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480" yWindow="30" windowWidth="18195" windowHeight="11310"/>
  </bookViews>
  <sheets>
    <sheet name="´ÖÓÎÉÇØÍÐÉ" sheetId="1" r:id="rId1"/>
  </sheets>
  <externalReferences>
    <externalReference r:id="rId2"/>
  </externalReferences>
  <definedNames>
    <definedName name="ChainBelts">[1]Specs!$J$5:$J$11</definedName>
    <definedName name="ChainBeltSpecs">[1]Specs!$J$5:$N$11</definedName>
    <definedName name="Eval_Links_Teeth">EVALUATE(CHOOSE(MATCH('[1]§ÌÅÍÒ¦ÉÐØ'!A1048572, {"Nearest","Up","Down"}, 0), "MROUND", "CEILING", "FLOOR") &amp; "(" &amp; 2/'[1]§ÌÅÍÒ¦ÉÐØ'!XEY5*SQRT(('[1]§ÌÅÍÒ¦ÉÐØ'!A1048571-'[1]§ÌÅÍÒ¦ÉÐØ'!XEY8)^2-('[1]§ÌÅÍÒ¦ÉÐØ'!XEY1048574/2-'[1]§ÌÅÍÒ¦ÉÐØ'!XEY1/2)^2)+('[1]§ÌÅÍÒ¦ÉÐØ'!XEY1048573-'[1]§ÌÅÍÒ¦ÉÐØ'!XEY1048576)*ACOS(('[1]§ÌÅÍÒ¦ÉÐØ'!XEY1-'[1]§ÌÅÍÒ¦ÉÐØ'!XEY1048574)/(2*('[1]§ÌÅÍÒ¦ÉÐØ'!A1048571-'[1]§ÌÅÍÒ¦ÉÐØ'!XEY8)))/PI()+'[1]§ÌÅÍÒ¦ÉÐØ'!XEY1048576 &amp; "," &amp; '[1]§ÌÅÍÒ¦ÉÐØ'!A1048573 &amp; ")")</definedName>
    <definedName name="Materials">[1]Specs!$Q$5:$Q$11</definedName>
    <definedName name="MaterialSpecs">[1]Specs!$Q$5:$S$11</definedName>
    <definedName name="Motors">[1]Specs!$B$5:$B$28</definedName>
    <definedName name="MotorSpecs">[1]Specs!$B$5:$G$28</definedName>
    <definedName name="VP_180">[1]º´¨ÅØÅ!$O$46:$V$47</definedName>
    <definedName name="VP_90">[1]º´¨ÅØÅ!$O$51:$T$52</definedName>
    <definedName name="VP_Base">[1]º´¨ÅØÅ!$O$4:$U$8</definedName>
    <definedName name="VP_DualMotor">[1]º´¨ÅØÅ!$O$35:$V$42</definedName>
    <definedName name="VP_Encoder">[1]º´¨ÅØÅ!$O$60:$T$61</definedName>
    <definedName name="VP_Load">[1]º´¨ÅØÅ!$D$2:$L$1261</definedName>
    <definedName name="VP_Motor">[1]º´¨ÅØÅ!$O$12:$U$21</definedName>
    <definedName name="VP_Ratchet">[1]º´¨ÅØÅ!$O$56:$T$57</definedName>
    <definedName name="VP_Stage">[1]º´¨ÅØÅ!$O$25:$U$31</definedName>
  </definedNames>
  <calcPr calcId="145621"/>
</workbook>
</file>

<file path=xl/calcChain.xml><?xml version="1.0" encoding="utf-8"?>
<calcChain xmlns="http://schemas.openxmlformats.org/spreadsheetml/2006/main">
  <c r="D21" i="1" l="1"/>
  <c r="G20" i="1"/>
  <c r="D20" i="1"/>
  <c r="F19" i="1"/>
  <c r="D19" i="1"/>
  <c r="C19" i="1"/>
  <c r="G18" i="1"/>
  <c r="F18" i="1"/>
  <c r="D18" i="1"/>
  <c r="C18" i="1"/>
  <c r="F16" i="1"/>
  <c r="C16" i="1"/>
  <c r="F15" i="1"/>
  <c r="C15" i="1"/>
  <c r="F11" i="1"/>
  <c r="F10" i="1"/>
  <c r="C10" i="1"/>
  <c r="F9" i="1"/>
  <c r="C9" i="1"/>
  <c r="F8" i="1"/>
  <c r="C8" i="1"/>
  <c r="F7" i="1"/>
  <c r="C7" i="1"/>
  <c r="G19" i="1" l="1"/>
  <c r="G21" i="1"/>
</calcChain>
</file>

<file path=xl/sharedStrings.xml><?xml version="1.0" encoding="utf-8"?>
<sst xmlns="http://schemas.openxmlformats.org/spreadsheetml/2006/main" count="17" uniqueCount="13">
  <si>
    <t>Projectile Trajectory Calculator</t>
  </si>
  <si>
    <t>Reverse</t>
  </si>
  <si>
    <t>Metric?</t>
  </si>
  <si>
    <t>Forward</t>
  </si>
  <si>
    <t xml:space="preserve">     ^ Tolerance (%)</t>
  </si>
  <si>
    <t>Release Angle (°)</t>
  </si>
  <si>
    <t>Target Angle (°)</t>
  </si>
  <si>
    <t xml:space="preserve">     ^ Tolerance (°)</t>
  </si>
  <si>
    <t>Final Angle (°)</t>
  </si>
  <si>
    <t xml:space="preserve">     ^ Range (°)</t>
  </si>
  <si>
    <t>This calculator relies on standard projectile motion equation only. It does not account for air resistance, magnus effect, etc. Use these results as a starting place for prototyping, not as a replacement for it.</t>
  </si>
  <si>
    <t>For an "exact" solution set all Tolerance inputs to 0. For a range of solutions, add tolerances according to your use case.</t>
  </si>
  <si>
    <t>Note that the range output shows the max. and min. outputs across all solutions, but the max. of one output does not necessarily correspond to the same trajectory as the max. of the other, and same for min.</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</si>
</sst>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0.0"/>
    <numFmt numFmtId="165" formatCode="0.0\°"/>
    <numFmt numFmtId="166" formatCode="0.000"/>
    <numFmt numFmtId="167" formatCode="0.00000"/>
    <numFmt numFmtId="168" formatCode="\±0%"/>
    <numFmt numFmtId="169" formatCode="\±0.00"/>
    <numFmt numFmtId="170" formatCode="0\°"/>
    <numFmt numFmtId="171" formatCode="\±0\°"/>
    <numFmt numFmtId="172" formatCode="\±0.0"/>
  </numFmts>
  <fonts count="12"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sz val="11"/>
      <color theme="0"/>
      <name val="Calibri"/>
      <family val="2"/>
      <scheme val="minor"/>
    </font>
    <font>
      <b/>
      <sz val="24"/>
      <color theme="1"/>
      <name val="Calibri"/>
      <family val="2"/>
      <scheme val="minor"/>
    </font>
    <font>
      <b/>
      <sz val="11"/>
      <color rgb="FFFF0000"/>
      <name val="Calibri"/>
      <family val="2"/>
      <scheme val="minor"/>
    </font>
    <font>
      <b/>
      <sz val="14"/>
      <color theme="1"/>
      <name val="Calibri"/>
      <family val="2"/>
      <scheme val="minor"/>
    </font>
    <font>
      <sz val="12"/>
      <color rgb="FFFF0000"/>
      <name val="Calibri"/>
      <family val="2"/>
      <scheme val="minor"/>
    </font>
    <font>
      <sz val="11"/>
      <name val="Calibri"/>
      <family val="2"/>
      <scheme val="minor"/>
    </font>
    <font>
      <sz val="12"/>
      <color theme="1"/>
      <name val="Calibri"/>
      <family val="2"/>
      <scheme val="minor"/>
    </font>
    <font>
      <sz val="11"/>
      <color theme="1"/>
      <name val="Arial"/>
      <family val="2"/>
    </font>
  </fonts>
  <fills count="6">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5"/>
        <bgColor indexed="64"/>
      </patternFill>
    </fill>
    <fill>
      <patternFill patternType="solid">
        <fgColor rgb="FFFFEB9C"/>
        <bgColor indexed="64"/>
      </patternFill>
    </fill>
  </fills>
  <borders count="13">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s>
  <cellStyleXfs count="6">
    <xf numFmtId="0" fontId="0" fillId="0" borderId="0"/>
    <xf numFmtId="9" fontId="1" fillId="0" borderId="0" applyFont="0" applyFill="0" applyBorder="0" applyAlignment="0" applyProtection="0"/>
    <xf numFmtId="0" fontId="9" fillId="4" borderId="0" applyNumberFormat="0" applyBorder="0" applyAlignment="0" applyProtection="0"/>
    <xf numFmtId="0" fontId="2" fillId="5" borderId="0" applyNumberFormat="0" applyBorder="0" applyAlignment="0" applyProtection="0"/>
    <xf numFmtId="0" fontId="10" fillId="0" borderId="0"/>
    <xf numFmtId="0" fontId="11" fillId="0" borderId="0"/>
  </cellStyleXfs>
  <cellXfs count="40">
    <xf numFmtId="0" fontId="0" fillId="0" borderId="0" xfId="0"/>
    <xf numFmtId="0" fontId="0" fillId="0" borderId="0" xfId="0" applyAlignment="1">
      <alignment vertical="center"/>
    </xf>
    <xf numFmtId="0" fontId="5" fillId="0" borderId="0" xfId="0" applyFont="1" applyAlignment="1">
      <alignment vertical="center"/>
    </xf>
    <xf numFmtId="0" fontId="3" fillId="0" borderId="0" xfId="0" applyFont="1" applyAlignment="1">
      <alignment vertical="center"/>
    </xf>
    <xf numFmtId="0" fontId="0" fillId="2" borderId="1" xfId="0" applyFill="1" applyBorder="1" applyAlignment="1" applyProtection="1">
      <alignment horizontal="left" vertical="center"/>
      <protection locked="0"/>
    </xf>
    <xf numFmtId="0" fontId="0" fillId="2" borderId="2" xfId="0" applyFill="1" applyBorder="1" applyAlignment="1" applyProtection="1">
      <alignment horizontal="left" vertical="center"/>
      <protection locked="0"/>
    </xf>
    <xf numFmtId="0" fontId="4" fillId="0" borderId="0" xfId="0" applyFont="1" applyAlignment="1" applyProtection="1">
      <alignment vertical="center"/>
      <protection locked="0"/>
    </xf>
    <xf numFmtId="164" fontId="3" fillId="0" borderId="0" xfId="0" applyNumberFormat="1" applyFont="1" applyAlignment="1">
      <alignment vertical="center"/>
    </xf>
    <xf numFmtId="165" fontId="3" fillId="0" borderId="0" xfId="0" applyNumberFormat="1" applyFont="1" applyAlignment="1">
      <alignment vertical="center"/>
    </xf>
    <xf numFmtId="2" fontId="3" fillId="0" borderId="0" xfId="0" applyNumberFormat="1" applyFont="1" applyAlignment="1">
      <alignment vertical="center"/>
    </xf>
    <xf numFmtId="164" fontId="6" fillId="0" borderId="0" xfId="0" applyNumberFormat="1" applyFont="1" applyAlignment="1">
      <alignment vertical="center"/>
    </xf>
    <xf numFmtId="0" fontId="7" fillId="0" borderId="0" xfId="0" applyFont="1" applyAlignment="1">
      <alignment horizontal="left" vertical="center"/>
    </xf>
    <xf numFmtId="0" fontId="0" fillId="0" borderId="3" xfId="0" applyBorder="1" applyAlignment="1">
      <alignment vertical="center"/>
    </xf>
    <xf numFmtId="164" fontId="0" fillId="2" borderId="4" xfId="0" applyNumberFormat="1" applyFill="1" applyBorder="1" applyAlignment="1" applyProtection="1">
      <alignment vertical="center"/>
      <protection locked="0"/>
    </xf>
    <xf numFmtId="165" fontId="6" fillId="0" borderId="0" xfId="0" applyNumberFormat="1" applyFont="1" applyAlignment="1">
      <alignment vertical="center"/>
    </xf>
    <xf numFmtId="164" fontId="0" fillId="0" borderId="0" xfId="0" applyNumberFormat="1" applyAlignment="1">
      <alignment vertical="center"/>
    </xf>
    <xf numFmtId="166" fontId="3" fillId="0" borderId="0" xfId="0" applyNumberFormat="1" applyFont="1" applyAlignment="1">
      <alignment vertical="center"/>
    </xf>
    <xf numFmtId="167" fontId="3" fillId="0" borderId="0" xfId="0" applyNumberFormat="1" applyFont="1" applyAlignment="1">
      <alignment vertical="center"/>
    </xf>
    <xf numFmtId="0" fontId="6" fillId="0" borderId="0" xfId="0" applyFont="1" applyAlignment="1">
      <alignment vertical="center"/>
    </xf>
    <xf numFmtId="167" fontId="0" fillId="0" borderId="0" xfId="0" applyNumberFormat="1" applyAlignment="1">
      <alignment vertical="center"/>
    </xf>
    <xf numFmtId="168" fontId="0" fillId="2" borderId="4" xfId="1" applyNumberFormat="1" applyFont="1" applyFill="1" applyBorder="1" applyAlignment="1" applyProtection="1">
      <alignment vertical="center"/>
      <protection locked="0"/>
    </xf>
    <xf numFmtId="169" fontId="0" fillId="2" borderId="4" xfId="0" applyNumberFormat="1" applyFill="1" applyBorder="1" applyAlignment="1" applyProtection="1">
      <alignment vertical="center"/>
      <protection locked="0"/>
    </xf>
    <xf numFmtId="170" fontId="0" fillId="2" borderId="4" xfId="0" applyNumberFormat="1" applyFill="1" applyBorder="1" applyAlignment="1" applyProtection="1">
      <alignment vertical="center"/>
      <protection locked="0"/>
    </xf>
    <xf numFmtId="171" fontId="0" fillId="2" borderId="4" xfId="0" applyNumberFormat="1" applyFill="1" applyBorder="1" applyAlignment="1" applyProtection="1">
      <alignment vertical="center"/>
      <protection locked="0"/>
    </xf>
    <xf numFmtId="166" fontId="0" fillId="0" borderId="0" xfId="0" applyNumberFormat="1" applyAlignment="1">
      <alignment vertical="center"/>
    </xf>
    <xf numFmtId="0" fontId="4" fillId="0" borderId="0" xfId="0" applyFont="1" applyAlignment="1">
      <alignment vertical="center"/>
    </xf>
    <xf numFmtId="164" fontId="0" fillId="3" borderId="4" xfId="0" applyNumberFormat="1" applyFill="1" applyBorder="1" applyAlignment="1">
      <alignment vertical="center"/>
    </xf>
    <xf numFmtId="172" fontId="0" fillId="3" borderId="4" xfId="0" applyNumberFormat="1" applyFill="1" applyBorder="1" applyAlignment="1">
      <alignment horizontal="right" vertical="center"/>
    </xf>
    <xf numFmtId="168" fontId="0" fillId="3" borderId="4" xfId="1" applyNumberFormat="1" applyFont="1" applyFill="1" applyBorder="1" applyAlignment="1" applyProtection="1">
      <alignment horizontal="right" vertical="center"/>
    </xf>
    <xf numFmtId="170" fontId="0" fillId="3" borderId="4" xfId="0" applyNumberFormat="1" applyFill="1" applyBorder="1" applyAlignment="1">
      <alignment vertical="center"/>
    </xf>
    <xf numFmtId="171" fontId="0" fillId="3" borderId="4" xfId="0" applyNumberFormat="1" applyFill="1" applyBorder="1" applyAlignment="1">
      <alignment horizontal="right" vertical="center"/>
    </xf>
    <xf numFmtId="0" fontId="8" fillId="0" borderId="5" xfId="0" applyFont="1" applyBorder="1" applyAlignment="1">
      <alignment horizontal="center" vertical="center" wrapText="1"/>
    </xf>
    <xf numFmtId="0" fontId="8" fillId="0" borderId="6" xfId="0" applyFont="1" applyBorder="1" applyAlignment="1">
      <alignment horizontal="center" vertical="center" wrapText="1"/>
    </xf>
    <xf numFmtId="0" fontId="8" fillId="0" borderId="7" xfId="0" applyFont="1" applyBorder="1" applyAlignment="1">
      <alignment horizontal="center" vertical="center" wrapText="1"/>
    </xf>
    <xf numFmtId="0" fontId="8" fillId="0" borderId="8" xfId="0" applyFont="1" applyBorder="1" applyAlignment="1">
      <alignment horizontal="center" vertical="center" wrapText="1"/>
    </xf>
    <xf numFmtId="0" fontId="8" fillId="0" borderId="0" xfId="0" applyFont="1" applyBorder="1" applyAlignment="1">
      <alignment horizontal="center" vertical="center" wrapText="1"/>
    </xf>
    <xf numFmtId="0" fontId="8" fillId="0" borderId="9" xfId="0" applyFont="1" applyBorder="1" applyAlignment="1">
      <alignment horizontal="center" vertical="center" wrapText="1"/>
    </xf>
    <xf numFmtId="0" fontId="8" fillId="0" borderId="10" xfId="0" applyFont="1" applyBorder="1" applyAlignment="1">
      <alignment horizontal="center"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cellXfs>
  <cellStyles count="6">
    <cellStyle name="Bad 2" xfId="2"/>
    <cellStyle name="Neutral 2" xfId="3"/>
    <cellStyle name="Normal" xfId="0" builtinId="0"/>
    <cellStyle name="Normal 2" xfId="4"/>
    <cellStyle name="Normal 3" xfId="5"/>
    <cellStyle name="Percent" xfId="1" builtinId="5"/>
  </cellStyles>
  <dxfs count="11">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dLbls>
          <c:showLegendKey val="0"/>
          <c:showVal val="0"/>
          <c:showCatName val="0"/>
          <c:showSerName val="0"/>
          <c:showPercent val="0"/>
          <c:showBubbleSize val="0"/>
        </c:dLbls>
        <c:axId val="155413888"/>
        <c:axId val="155423872"/>
      </c:scatterChart>
      <c:valAx>
        <c:axId val="1554138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23872"/>
        <c:crosses val="autoZero"/>
        <c:crossBetween val="midCat"/>
      </c:valAx>
      <c:valAx>
        <c:axId val="15542387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13888"/>
        <c:crosses val="autoZero"/>
        <c:crossBetween val="midCat"/>
      </c:valAx>
      <c:spPr>
        <a:noFill/>
        <a:ln>
          <a:noFill/>
        </a:ln>
        <a:effectLst/>
      </c:spPr>
    </c:plotArea>
    <c:plotVisOnly val="0"/>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B$4"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209550</xdr:colOff>
          <xdr:row>3</xdr:row>
          <xdr:rowOff>171450</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twoCellAnchor>
    <xdr:from>
      <xdr:col>8</xdr:col>
      <xdr:colOff>0</xdr:colOff>
      <xdr:row>3</xdr:row>
      <xdr:rowOff>19050</xdr:rowOff>
    </xdr:from>
    <xdr:to>
      <xdr:col>18</xdr:col>
      <xdr:colOff>160020</xdr:colOff>
      <xdr:row>35</xdr:row>
      <xdr:rowOff>1905</xdr:rowOff>
    </xdr:to>
    <xdr:graphicFrame macro="">
      <xdr:nvGraphicFramePr>
        <xdr:cNvPr id="3" name="Chart 2">
          <a:extLst>
            <a:ext uri="{FF2B5EF4-FFF2-40B4-BE49-F238E27FC236}">
              <a16:creationId xmlns=""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_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ÉÇÌÅÒÍ×Ñ¶ÅØÍÓ"/>
      <sheetName val="°ÉÅÈ·ÇÖÉÛ"/>
      <sheetName val="¨ÖÍÚÉØÖÅÍÒ"/>
      <sheetName val="¦ÉÅÑ¦ÉÒÈ"/>
      <sheetName val="´ÖÓÎÉÇØÍÐÉ"/>
      <sheetName val="§ÌÅÍÒ¦ÉÐØ"/>
      <sheetName val="«ÉÅÖ§ÐÉÅÖ"/>
      <sheetName val="¶ÅØÍÓ¨Í×Ø"/>
      <sheetName val="´ÒÉÙÑÅØÍÇ×"/>
      <sheetName val="´ÒÉÙ°ÍÒÏÅËÉ"/>
      <sheetName val="º´¨ÅØÅ"/>
      <sheetName val="ºÉÖ×Å´ÐÅÒÉØÅÖÝ"/>
      <sheetName val="Specs"/>
    </sheetNames>
    <definedNames>
      <definedName name="Projectile_Metric"/>
    </definedNames>
    <sheetDataSet>
      <sheetData sheetId="0" refreshError="1"/>
      <sheetData sheetId="1" refreshError="1"/>
      <sheetData sheetId="2" refreshError="1"/>
      <sheetData sheetId="3" refreshError="1"/>
      <sheetData sheetId="4" refreshError="1"/>
      <sheetData sheetId="5">
        <row r="8">
          <cell r="U8">
            <v>0</v>
          </cell>
          <cell r="W8">
            <v>0.2</v>
          </cell>
          <cell r="Z8">
            <v>0</v>
          </cell>
          <cell r="AB8">
            <v>0.2</v>
          </cell>
          <cell r="AE8">
            <v>0</v>
          </cell>
          <cell r="AG8">
            <v>0.2</v>
          </cell>
          <cell r="AJ8">
            <v>0</v>
          </cell>
          <cell r="AL8">
            <v>0.2</v>
          </cell>
          <cell r="AO8">
            <v>0</v>
          </cell>
          <cell r="AQ8">
            <v>0.2</v>
          </cell>
          <cell r="AT8">
            <v>0</v>
          </cell>
          <cell r="AV8">
            <v>0.2</v>
          </cell>
          <cell r="AY8">
            <v>0</v>
          </cell>
          <cell r="BA8">
            <v>0.2</v>
          </cell>
          <cell r="BD8">
            <v>0</v>
          </cell>
          <cell r="BF8">
            <v>0.2</v>
          </cell>
          <cell r="BI8">
            <v>0</v>
          </cell>
          <cell r="BK8">
            <v>0.2</v>
          </cell>
          <cell r="BN8">
            <v>0</v>
          </cell>
          <cell r="BP8">
            <v>0.2</v>
          </cell>
          <cell r="BS8">
            <v>0</v>
          </cell>
          <cell r="BU8">
            <v>0.2</v>
          </cell>
          <cell r="BX8">
            <v>0</v>
          </cell>
          <cell r="BZ8">
            <v>0.2</v>
          </cell>
          <cell r="CC8">
            <v>0</v>
          </cell>
          <cell r="CE8">
            <v>0.2</v>
          </cell>
          <cell r="CH8">
            <v>0</v>
          </cell>
          <cell r="CJ8">
            <v>0.2</v>
          </cell>
          <cell r="CM8">
            <v>0</v>
          </cell>
          <cell r="CO8">
            <v>0.2</v>
          </cell>
          <cell r="CR8">
            <v>0</v>
          </cell>
          <cell r="CT8">
            <v>0.2</v>
          </cell>
          <cell r="CW8">
            <v>0</v>
          </cell>
          <cell r="CY8">
            <v>0.2</v>
          </cell>
          <cell r="DB8">
            <v>0</v>
          </cell>
          <cell r="DD8">
            <v>0.2</v>
          </cell>
          <cell r="DG8">
            <v>0</v>
          </cell>
          <cell r="DI8">
            <v>0.2</v>
          </cell>
          <cell r="DL8">
            <v>0</v>
          </cell>
          <cell r="DN8">
            <v>0.2</v>
          </cell>
          <cell r="DQ8">
            <v>0</v>
          </cell>
          <cell r="DS8">
            <v>0.2</v>
          </cell>
          <cell r="DV8">
            <v>0</v>
          </cell>
          <cell r="DX8">
            <v>0.2</v>
          </cell>
          <cell r="EA8">
            <v>0</v>
          </cell>
          <cell r="EC8">
            <v>0.2</v>
          </cell>
          <cell r="EF8">
            <v>0</v>
          </cell>
          <cell r="EH8">
            <v>0.2</v>
          </cell>
          <cell r="EK8">
            <v>0</v>
          </cell>
          <cell r="EM8">
            <v>0.2</v>
          </cell>
          <cell r="EP8">
            <v>0</v>
          </cell>
          <cell r="ER8">
            <v>0.2</v>
          </cell>
          <cell r="EU8">
            <v>0</v>
          </cell>
          <cell r="EW8">
            <v>0.2</v>
          </cell>
        </row>
        <row r="9">
          <cell r="U9">
            <v>0.02</v>
          </cell>
          <cell r="W9">
            <v>0.3560713800284307</v>
          </cell>
          <cell r="Z9">
            <v>0.02</v>
          </cell>
          <cell r="AB9">
            <v>0.3560713800284307</v>
          </cell>
          <cell r="AE9">
            <v>0.02</v>
          </cell>
          <cell r="AG9">
            <v>0.3560713800284307</v>
          </cell>
          <cell r="AJ9">
            <v>0.02</v>
          </cell>
          <cell r="AL9">
            <v>0.3560713800284307</v>
          </cell>
          <cell r="AO9">
            <v>0.02</v>
          </cell>
          <cell r="AQ9">
            <v>0.3560713800284307</v>
          </cell>
          <cell r="AT9">
            <v>0.02</v>
          </cell>
          <cell r="AV9">
            <v>0.3560713800284307</v>
          </cell>
          <cell r="AY9">
            <v>0.02</v>
          </cell>
          <cell r="BA9">
            <v>0.3560713800284307</v>
          </cell>
          <cell r="BD9">
            <v>0.02</v>
          </cell>
          <cell r="BF9">
            <v>0.3560713800284307</v>
          </cell>
          <cell r="BI9">
            <v>0.02</v>
          </cell>
          <cell r="BK9">
            <v>0.3560713800284307</v>
          </cell>
          <cell r="BN9">
            <v>0.02</v>
          </cell>
          <cell r="BP9">
            <v>0.3560713800284307</v>
          </cell>
          <cell r="BS9">
            <v>0.02</v>
          </cell>
          <cell r="BU9">
            <v>0.3560713800284307</v>
          </cell>
          <cell r="BX9">
            <v>0.02</v>
          </cell>
          <cell r="BZ9">
            <v>0.3560713800284307</v>
          </cell>
          <cell r="CC9">
            <v>0.02</v>
          </cell>
          <cell r="CE9">
            <v>0.3560713800284307</v>
          </cell>
          <cell r="CH9">
            <v>0.02</v>
          </cell>
          <cell r="CJ9">
            <v>0.3560713800284307</v>
          </cell>
          <cell r="CM9">
            <v>0.02</v>
          </cell>
          <cell r="CO9">
            <v>0.3560713800284307</v>
          </cell>
          <cell r="CR9">
            <v>0.02</v>
          </cell>
          <cell r="CT9">
            <v>0.3560713800284307</v>
          </cell>
          <cell r="CW9">
            <v>0.02</v>
          </cell>
          <cell r="CY9">
            <v>0.3560713800284307</v>
          </cell>
          <cell r="DB9">
            <v>0.02</v>
          </cell>
          <cell r="DD9">
            <v>0.3560713800284307</v>
          </cell>
          <cell r="DG9">
            <v>0.02</v>
          </cell>
          <cell r="DI9">
            <v>0.3560713800284307</v>
          </cell>
          <cell r="DL9">
            <v>0.02</v>
          </cell>
          <cell r="DN9">
            <v>0.3560713800284307</v>
          </cell>
          <cell r="DQ9">
            <v>0.02</v>
          </cell>
          <cell r="DS9">
            <v>0.3560713800284307</v>
          </cell>
          <cell r="DV9">
            <v>0.02</v>
          </cell>
          <cell r="DX9">
            <v>0.3560713800284307</v>
          </cell>
          <cell r="EA9">
            <v>0.02</v>
          </cell>
          <cell r="EC9">
            <v>0.3560713800284307</v>
          </cell>
          <cell r="EF9">
            <v>0.02</v>
          </cell>
          <cell r="EH9">
            <v>0.3560713800284307</v>
          </cell>
          <cell r="EK9">
            <v>0.02</v>
          </cell>
          <cell r="EM9">
            <v>0.3560713800284307</v>
          </cell>
          <cell r="EP9">
            <v>0.02</v>
          </cell>
          <cell r="ER9">
            <v>0.3560713800284307</v>
          </cell>
          <cell r="EU9">
            <v>0.02</v>
          </cell>
          <cell r="EW9">
            <v>0.3560713800284307</v>
          </cell>
        </row>
        <row r="10">
          <cell r="U10">
            <v>0.04</v>
          </cell>
          <cell r="W10">
            <v>0.50943424732901432</v>
          </cell>
          <cell r="Z10">
            <v>0.04</v>
          </cell>
          <cell r="AB10">
            <v>0.50943424732901432</v>
          </cell>
          <cell r="AE10">
            <v>0.04</v>
          </cell>
          <cell r="AG10">
            <v>0.50943424732901432</v>
          </cell>
          <cell r="AJ10">
            <v>0.04</v>
          </cell>
          <cell r="AL10">
            <v>0.50943424732901432</v>
          </cell>
          <cell r="AO10">
            <v>0.04</v>
          </cell>
          <cell r="AQ10">
            <v>0.50943424732901432</v>
          </cell>
          <cell r="AT10">
            <v>0.04</v>
          </cell>
          <cell r="AV10">
            <v>0.50943424732901432</v>
          </cell>
          <cell r="AY10">
            <v>0.04</v>
          </cell>
          <cell r="BA10">
            <v>0.50943424732901432</v>
          </cell>
          <cell r="BD10">
            <v>0.04</v>
          </cell>
          <cell r="BF10">
            <v>0.50943424732901432</v>
          </cell>
          <cell r="BI10">
            <v>0.04</v>
          </cell>
          <cell r="BK10">
            <v>0.50943424732901432</v>
          </cell>
          <cell r="BN10">
            <v>0.04</v>
          </cell>
          <cell r="BP10">
            <v>0.50943424732901432</v>
          </cell>
          <cell r="BS10">
            <v>0.04</v>
          </cell>
          <cell r="BU10">
            <v>0.50943424732901432</v>
          </cell>
          <cell r="BX10">
            <v>0.04</v>
          </cell>
          <cell r="BZ10">
            <v>0.50943424732901432</v>
          </cell>
          <cell r="CC10">
            <v>0.04</v>
          </cell>
          <cell r="CE10">
            <v>0.50943424732901432</v>
          </cell>
          <cell r="CH10">
            <v>0.04</v>
          </cell>
          <cell r="CJ10">
            <v>0.50943424732901432</v>
          </cell>
          <cell r="CM10">
            <v>0.04</v>
          </cell>
          <cell r="CO10">
            <v>0.50943424732901432</v>
          </cell>
          <cell r="CR10">
            <v>0.04</v>
          </cell>
          <cell r="CT10">
            <v>0.50943424732901432</v>
          </cell>
          <cell r="CW10">
            <v>0.04</v>
          </cell>
          <cell r="CY10">
            <v>0.50943424732901432</v>
          </cell>
          <cell r="DB10">
            <v>0.04</v>
          </cell>
          <cell r="DD10">
            <v>0.50943424732901432</v>
          </cell>
          <cell r="DG10">
            <v>0.04</v>
          </cell>
          <cell r="DI10">
            <v>0.50943424732901432</v>
          </cell>
          <cell r="DL10">
            <v>0.04</v>
          </cell>
          <cell r="DN10">
            <v>0.50943424732901432</v>
          </cell>
          <cell r="DQ10">
            <v>0.04</v>
          </cell>
          <cell r="DS10">
            <v>0.50943424732901432</v>
          </cell>
          <cell r="DV10">
            <v>0.04</v>
          </cell>
          <cell r="DX10">
            <v>0.50943424732901432</v>
          </cell>
          <cell r="EA10">
            <v>0.04</v>
          </cell>
          <cell r="EC10">
            <v>0.50943424732901432</v>
          </cell>
          <cell r="EF10">
            <v>0.04</v>
          </cell>
          <cell r="EH10">
            <v>0.50943424732901432</v>
          </cell>
          <cell r="EK10">
            <v>0.04</v>
          </cell>
          <cell r="EM10">
            <v>0.50943424732901432</v>
          </cell>
          <cell r="EP10">
            <v>0.04</v>
          </cell>
          <cell r="ER10">
            <v>0.50943424732901432</v>
          </cell>
          <cell r="EU10">
            <v>0.04</v>
          </cell>
          <cell r="EW10">
            <v>0.50943424732901432</v>
          </cell>
        </row>
        <row r="11">
          <cell r="U11">
            <v>0.06</v>
          </cell>
          <cell r="W11">
            <v>0.66008860190175067</v>
          </cell>
          <cell r="Z11">
            <v>0.06</v>
          </cell>
          <cell r="AB11">
            <v>0.66008860190175067</v>
          </cell>
          <cell r="AE11">
            <v>0.06</v>
          </cell>
          <cell r="AG11">
            <v>0.66008860190175067</v>
          </cell>
          <cell r="AJ11">
            <v>0.06</v>
          </cell>
          <cell r="AL11">
            <v>0.66008860190175067</v>
          </cell>
          <cell r="AO11">
            <v>0.06</v>
          </cell>
          <cell r="AQ11">
            <v>0.66008860190175067</v>
          </cell>
          <cell r="AT11">
            <v>0.06</v>
          </cell>
          <cell r="AV11">
            <v>0.66008860190175067</v>
          </cell>
          <cell r="AY11">
            <v>0.06</v>
          </cell>
          <cell r="BA11">
            <v>0.66008860190175067</v>
          </cell>
          <cell r="BD11">
            <v>0.06</v>
          </cell>
          <cell r="BF11">
            <v>0.66008860190175067</v>
          </cell>
          <cell r="BI11">
            <v>0.06</v>
          </cell>
          <cell r="BK11">
            <v>0.66008860190175067</v>
          </cell>
          <cell r="BN11">
            <v>0.06</v>
          </cell>
          <cell r="BP11">
            <v>0.66008860190175067</v>
          </cell>
          <cell r="BS11">
            <v>0.06</v>
          </cell>
          <cell r="BU11">
            <v>0.66008860190175067</v>
          </cell>
          <cell r="BX11">
            <v>0.06</v>
          </cell>
          <cell r="BZ11">
            <v>0.66008860190175067</v>
          </cell>
          <cell r="CC11">
            <v>0.06</v>
          </cell>
          <cell r="CE11">
            <v>0.66008860190175067</v>
          </cell>
          <cell r="CH11">
            <v>0.06</v>
          </cell>
          <cell r="CJ11">
            <v>0.66008860190175067</v>
          </cell>
          <cell r="CM11">
            <v>0.06</v>
          </cell>
          <cell r="CO11">
            <v>0.66008860190175067</v>
          </cell>
          <cell r="CR11">
            <v>0.06</v>
          </cell>
          <cell r="CT11">
            <v>0.66008860190175067</v>
          </cell>
          <cell r="CW11">
            <v>0.06</v>
          </cell>
          <cell r="CY11">
            <v>0.66008860190175067</v>
          </cell>
          <cell r="DB11">
            <v>0.06</v>
          </cell>
          <cell r="DD11">
            <v>0.66008860190175067</v>
          </cell>
          <cell r="DG11">
            <v>0.06</v>
          </cell>
          <cell r="DI11">
            <v>0.66008860190175067</v>
          </cell>
          <cell r="DL11">
            <v>0.06</v>
          </cell>
          <cell r="DN11">
            <v>0.66008860190175067</v>
          </cell>
          <cell r="DQ11">
            <v>0.06</v>
          </cell>
          <cell r="DS11">
            <v>0.66008860190175067</v>
          </cell>
          <cell r="DV11">
            <v>0.06</v>
          </cell>
          <cell r="DX11">
            <v>0.66008860190175067</v>
          </cell>
          <cell r="EA11">
            <v>0.06</v>
          </cell>
          <cell r="EC11">
            <v>0.66008860190175067</v>
          </cell>
          <cell r="EF11">
            <v>0.06</v>
          </cell>
          <cell r="EH11">
            <v>0.66008860190175067</v>
          </cell>
          <cell r="EK11">
            <v>0.06</v>
          </cell>
          <cell r="EM11">
            <v>0.66008860190175067</v>
          </cell>
          <cell r="EP11">
            <v>0.06</v>
          </cell>
          <cell r="ER11">
            <v>0.66008860190175067</v>
          </cell>
          <cell r="EU11">
            <v>0.06</v>
          </cell>
          <cell r="EW11">
            <v>0.66008860190175067</v>
          </cell>
        </row>
        <row r="12">
          <cell r="U12">
            <v>0.08</v>
          </cell>
          <cell r="W12">
            <v>0.80803444374664024</v>
          </cell>
          <cell r="Z12">
            <v>0.08</v>
          </cell>
          <cell r="AB12">
            <v>0.80803444374664024</v>
          </cell>
          <cell r="AE12">
            <v>0.08</v>
          </cell>
          <cell r="AG12">
            <v>0.80803444374664024</v>
          </cell>
          <cell r="AJ12">
            <v>0.08</v>
          </cell>
          <cell r="AL12">
            <v>0.80803444374664024</v>
          </cell>
          <cell r="AO12">
            <v>0.08</v>
          </cell>
          <cell r="AQ12">
            <v>0.80803444374664024</v>
          </cell>
          <cell r="AT12">
            <v>0.08</v>
          </cell>
          <cell r="AV12">
            <v>0.80803444374664024</v>
          </cell>
          <cell r="AY12">
            <v>0.08</v>
          </cell>
          <cell r="BA12">
            <v>0.80803444374664024</v>
          </cell>
          <cell r="BD12">
            <v>0.08</v>
          </cell>
          <cell r="BF12">
            <v>0.80803444374664024</v>
          </cell>
          <cell r="BI12">
            <v>0.08</v>
          </cell>
          <cell r="BK12">
            <v>0.80803444374664024</v>
          </cell>
          <cell r="BN12">
            <v>0.08</v>
          </cell>
          <cell r="BP12">
            <v>0.80803444374664024</v>
          </cell>
          <cell r="BS12">
            <v>0.08</v>
          </cell>
          <cell r="BU12">
            <v>0.80803444374664024</v>
          </cell>
          <cell r="BX12">
            <v>0.08</v>
          </cell>
          <cell r="BZ12">
            <v>0.80803444374664024</v>
          </cell>
          <cell r="CC12">
            <v>0.08</v>
          </cell>
          <cell r="CE12">
            <v>0.80803444374664024</v>
          </cell>
          <cell r="CH12">
            <v>0.08</v>
          </cell>
          <cell r="CJ12">
            <v>0.80803444374664024</v>
          </cell>
          <cell r="CM12">
            <v>0.08</v>
          </cell>
          <cell r="CO12">
            <v>0.80803444374664024</v>
          </cell>
          <cell r="CR12">
            <v>0.08</v>
          </cell>
          <cell r="CT12">
            <v>0.80803444374664024</v>
          </cell>
          <cell r="CW12">
            <v>0.08</v>
          </cell>
          <cell r="CY12">
            <v>0.80803444374664024</v>
          </cell>
          <cell r="DB12">
            <v>0.08</v>
          </cell>
          <cell r="DD12">
            <v>0.80803444374664024</v>
          </cell>
          <cell r="DG12">
            <v>0.08</v>
          </cell>
          <cell r="DI12">
            <v>0.80803444374664024</v>
          </cell>
          <cell r="DL12">
            <v>0.08</v>
          </cell>
          <cell r="DN12">
            <v>0.80803444374664024</v>
          </cell>
          <cell r="DQ12">
            <v>0.08</v>
          </cell>
          <cell r="DS12">
            <v>0.80803444374664024</v>
          </cell>
          <cell r="DV12">
            <v>0.08</v>
          </cell>
          <cell r="DX12">
            <v>0.80803444374664024</v>
          </cell>
          <cell r="EA12">
            <v>0.08</v>
          </cell>
          <cell r="EC12">
            <v>0.80803444374664024</v>
          </cell>
          <cell r="EF12">
            <v>0.08</v>
          </cell>
          <cell r="EH12">
            <v>0.80803444374664024</v>
          </cell>
          <cell r="EK12">
            <v>0.08</v>
          </cell>
          <cell r="EM12">
            <v>0.80803444374664024</v>
          </cell>
          <cell r="EP12">
            <v>0.08</v>
          </cell>
          <cell r="ER12">
            <v>0.80803444374664024</v>
          </cell>
          <cell r="EU12">
            <v>0.08</v>
          </cell>
          <cell r="EW12">
            <v>0.80803444374664024</v>
          </cell>
        </row>
        <row r="13">
          <cell r="U13">
            <v>0.1</v>
          </cell>
          <cell r="W13">
            <v>0.95327177286368259</v>
          </cell>
          <cell r="Z13">
            <v>0.1</v>
          </cell>
          <cell r="AB13">
            <v>0.95327177286368259</v>
          </cell>
          <cell r="AE13">
            <v>0.1</v>
          </cell>
          <cell r="AG13">
            <v>0.95327177286368259</v>
          </cell>
          <cell r="AJ13">
            <v>0.1</v>
          </cell>
          <cell r="AL13">
            <v>0.95327177286368259</v>
          </cell>
          <cell r="AO13">
            <v>0.1</v>
          </cell>
          <cell r="AQ13">
            <v>0.95327177286368259</v>
          </cell>
          <cell r="AT13">
            <v>0.1</v>
          </cell>
          <cell r="AV13">
            <v>0.95327177286368259</v>
          </cell>
          <cell r="AY13">
            <v>0.1</v>
          </cell>
          <cell r="BA13">
            <v>0.95327177286368259</v>
          </cell>
          <cell r="BD13">
            <v>0.1</v>
          </cell>
          <cell r="BF13">
            <v>0.95327177286368259</v>
          </cell>
          <cell r="BI13">
            <v>0.1</v>
          </cell>
          <cell r="BK13">
            <v>0.95327177286368259</v>
          </cell>
          <cell r="BN13">
            <v>0.1</v>
          </cell>
          <cell r="BP13">
            <v>0.95327177286368259</v>
          </cell>
          <cell r="BS13">
            <v>0.1</v>
          </cell>
          <cell r="BU13">
            <v>0.95327177286368259</v>
          </cell>
          <cell r="BX13">
            <v>0.1</v>
          </cell>
          <cell r="BZ13">
            <v>0.95327177286368259</v>
          </cell>
          <cell r="CC13">
            <v>0.1</v>
          </cell>
          <cell r="CE13">
            <v>0.95327177286368259</v>
          </cell>
          <cell r="CH13">
            <v>0.1</v>
          </cell>
          <cell r="CJ13">
            <v>0.95327177286368259</v>
          </cell>
          <cell r="CM13">
            <v>0.1</v>
          </cell>
          <cell r="CO13">
            <v>0.95327177286368259</v>
          </cell>
          <cell r="CR13">
            <v>0.1</v>
          </cell>
          <cell r="CT13">
            <v>0.95327177286368259</v>
          </cell>
          <cell r="CW13">
            <v>0.1</v>
          </cell>
          <cell r="CY13">
            <v>0.95327177286368259</v>
          </cell>
          <cell r="DB13">
            <v>0.1</v>
          </cell>
          <cell r="DD13">
            <v>0.95327177286368259</v>
          </cell>
          <cell r="DG13">
            <v>0.1</v>
          </cell>
          <cell r="DI13">
            <v>0.95327177286368259</v>
          </cell>
          <cell r="DL13">
            <v>0.1</v>
          </cell>
          <cell r="DN13">
            <v>0.95327177286368259</v>
          </cell>
          <cell r="DQ13">
            <v>0.1</v>
          </cell>
          <cell r="DS13">
            <v>0.95327177286368259</v>
          </cell>
          <cell r="DV13">
            <v>0.1</v>
          </cell>
          <cell r="DX13">
            <v>0.95327177286368259</v>
          </cell>
          <cell r="EA13">
            <v>0.1</v>
          </cell>
          <cell r="EC13">
            <v>0.95327177286368259</v>
          </cell>
          <cell r="EF13">
            <v>0.1</v>
          </cell>
          <cell r="EH13">
            <v>0.95327177286368259</v>
          </cell>
          <cell r="EK13">
            <v>0.1</v>
          </cell>
          <cell r="EM13">
            <v>0.95327177286368259</v>
          </cell>
          <cell r="EP13">
            <v>0.1</v>
          </cell>
          <cell r="ER13">
            <v>0.95327177286368259</v>
          </cell>
          <cell r="EU13">
            <v>0.1</v>
          </cell>
          <cell r="EW13">
            <v>0.95327177286368259</v>
          </cell>
        </row>
        <row r="14">
          <cell r="N14">
            <v>4.7749685025177477</v>
          </cell>
          <cell r="P14">
            <v>0</v>
          </cell>
          <cell r="Q14">
            <v>0.99999999999999967</v>
          </cell>
          <cell r="U14">
            <v>0.12000000000000001</v>
          </cell>
          <cell r="W14">
            <v>1.0958005892528777</v>
          </cell>
          <cell r="Z14">
            <v>0.12000000000000001</v>
          </cell>
          <cell r="AB14">
            <v>1.0958005892528777</v>
          </cell>
          <cell r="AE14">
            <v>0.12000000000000001</v>
          </cell>
          <cell r="AG14">
            <v>1.0958005892528777</v>
          </cell>
          <cell r="AJ14">
            <v>0.12000000000000001</v>
          </cell>
          <cell r="AL14">
            <v>1.0958005892528777</v>
          </cell>
          <cell r="AO14">
            <v>0.12000000000000001</v>
          </cell>
          <cell r="AQ14">
            <v>1.0958005892528777</v>
          </cell>
          <cell r="AT14">
            <v>0.12000000000000001</v>
          </cell>
          <cell r="AV14">
            <v>1.0958005892528777</v>
          </cell>
          <cell r="AY14">
            <v>0.12000000000000001</v>
          </cell>
          <cell r="BA14">
            <v>1.0958005892528777</v>
          </cell>
          <cell r="BD14">
            <v>0.12000000000000001</v>
          </cell>
          <cell r="BF14">
            <v>1.0958005892528777</v>
          </cell>
          <cell r="BI14">
            <v>0.12000000000000001</v>
          </cell>
          <cell r="BK14">
            <v>1.0958005892528777</v>
          </cell>
          <cell r="BN14">
            <v>0.12000000000000001</v>
          </cell>
          <cell r="BP14">
            <v>1.0958005892528777</v>
          </cell>
          <cell r="BS14">
            <v>0.12000000000000001</v>
          </cell>
          <cell r="BU14">
            <v>1.0958005892528777</v>
          </cell>
          <cell r="BX14">
            <v>0.12000000000000001</v>
          </cell>
          <cell r="BZ14">
            <v>1.0958005892528777</v>
          </cell>
          <cell r="CC14">
            <v>0.12000000000000001</v>
          </cell>
          <cell r="CE14">
            <v>1.0958005892528777</v>
          </cell>
          <cell r="CH14">
            <v>0.12000000000000001</v>
          </cell>
          <cell r="CJ14">
            <v>1.0958005892528777</v>
          </cell>
          <cell r="CM14">
            <v>0.12000000000000001</v>
          </cell>
          <cell r="CO14">
            <v>1.0958005892528777</v>
          </cell>
          <cell r="CR14">
            <v>0.12000000000000001</v>
          </cell>
          <cell r="CT14">
            <v>1.0958005892528777</v>
          </cell>
          <cell r="CW14">
            <v>0.12000000000000001</v>
          </cell>
          <cell r="CY14">
            <v>1.0958005892528777</v>
          </cell>
          <cell r="DB14">
            <v>0.12000000000000001</v>
          </cell>
          <cell r="DD14">
            <v>1.0958005892528777</v>
          </cell>
          <cell r="DG14">
            <v>0.12000000000000001</v>
          </cell>
          <cell r="DI14">
            <v>1.0958005892528777</v>
          </cell>
          <cell r="DL14">
            <v>0.12000000000000001</v>
          </cell>
          <cell r="DN14">
            <v>1.0958005892528777</v>
          </cell>
          <cell r="DQ14">
            <v>0.12000000000000001</v>
          </cell>
          <cell r="DS14">
            <v>1.0958005892528777</v>
          </cell>
          <cell r="DV14">
            <v>0.12000000000000001</v>
          </cell>
          <cell r="DX14">
            <v>1.0958005892528777</v>
          </cell>
          <cell r="EA14">
            <v>0.12000000000000001</v>
          </cell>
          <cell r="EC14">
            <v>1.0958005892528777</v>
          </cell>
          <cell r="EF14">
            <v>0.12000000000000001</v>
          </cell>
          <cell r="EH14">
            <v>1.0958005892528777</v>
          </cell>
          <cell r="EK14">
            <v>0.12000000000000001</v>
          </cell>
          <cell r="EM14">
            <v>1.0958005892528777</v>
          </cell>
          <cell r="EP14">
            <v>0.12000000000000001</v>
          </cell>
          <cell r="ER14">
            <v>1.0958005892528777</v>
          </cell>
          <cell r="EU14">
            <v>0.12000000000000001</v>
          </cell>
          <cell r="EW14">
            <v>1.0958005892528777</v>
          </cell>
        </row>
        <row r="15">
          <cell r="N15">
            <v>0</v>
          </cell>
          <cell r="P15">
            <v>1.9999999999999993</v>
          </cell>
          <cell r="Q15">
            <v>0.99999999999999967</v>
          </cell>
          <cell r="U15">
            <v>0.14000000000000001</v>
          </cell>
          <cell r="W15">
            <v>1.2356208929142261</v>
          </cell>
          <cell r="Z15">
            <v>0.14000000000000001</v>
          </cell>
          <cell r="AB15">
            <v>1.2356208929142261</v>
          </cell>
          <cell r="AE15">
            <v>0.14000000000000001</v>
          </cell>
          <cell r="AG15">
            <v>1.2356208929142261</v>
          </cell>
          <cell r="AJ15">
            <v>0.14000000000000001</v>
          </cell>
          <cell r="AL15">
            <v>1.2356208929142261</v>
          </cell>
          <cell r="AO15">
            <v>0.14000000000000001</v>
          </cell>
          <cell r="AQ15">
            <v>1.2356208929142261</v>
          </cell>
          <cell r="AT15">
            <v>0.14000000000000001</v>
          </cell>
          <cell r="AV15">
            <v>1.2356208929142261</v>
          </cell>
          <cell r="AY15">
            <v>0.14000000000000001</v>
          </cell>
          <cell r="BA15">
            <v>1.2356208929142261</v>
          </cell>
          <cell r="BD15">
            <v>0.14000000000000001</v>
          </cell>
          <cell r="BF15">
            <v>1.2356208929142261</v>
          </cell>
          <cell r="BI15">
            <v>0.14000000000000001</v>
          </cell>
          <cell r="BK15">
            <v>1.2356208929142261</v>
          </cell>
          <cell r="BN15">
            <v>0.14000000000000001</v>
          </cell>
          <cell r="BP15">
            <v>1.2356208929142261</v>
          </cell>
          <cell r="BS15">
            <v>0.14000000000000001</v>
          </cell>
          <cell r="BU15">
            <v>1.2356208929142261</v>
          </cell>
          <cell r="BX15">
            <v>0.14000000000000001</v>
          </cell>
          <cell r="BZ15">
            <v>1.2356208929142261</v>
          </cell>
          <cell r="CC15">
            <v>0.14000000000000001</v>
          </cell>
          <cell r="CE15">
            <v>1.2356208929142261</v>
          </cell>
          <cell r="CH15">
            <v>0.14000000000000001</v>
          </cell>
          <cell r="CJ15">
            <v>1.2356208929142261</v>
          </cell>
          <cell r="CM15">
            <v>0.14000000000000001</v>
          </cell>
          <cell r="CO15">
            <v>1.2356208929142261</v>
          </cell>
          <cell r="CR15">
            <v>0.14000000000000001</v>
          </cell>
          <cell r="CT15">
            <v>1.2356208929142261</v>
          </cell>
          <cell r="CW15">
            <v>0.14000000000000001</v>
          </cell>
          <cell r="CY15">
            <v>1.2356208929142261</v>
          </cell>
          <cell r="DB15">
            <v>0.14000000000000001</v>
          </cell>
          <cell r="DD15">
            <v>1.2356208929142261</v>
          </cell>
          <cell r="DG15">
            <v>0.14000000000000001</v>
          </cell>
          <cell r="DI15">
            <v>1.2356208929142261</v>
          </cell>
          <cell r="DL15">
            <v>0.14000000000000001</v>
          </cell>
          <cell r="DN15">
            <v>1.2356208929142261</v>
          </cell>
          <cell r="DQ15">
            <v>0.14000000000000001</v>
          </cell>
          <cell r="DS15">
            <v>1.2356208929142261</v>
          </cell>
          <cell r="DV15">
            <v>0.14000000000000001</v>
          </cell>
          <cell r="DX15">
            <v>1.2356208929142261</v>
          </cell>
          <cell r="EA15">
            <v>0.14000000000000001</v>
          </cell>
          <cell r="EC15">
            <v>1.2356208929142261</v>
          </cell>
          <cell r="EF15">
            <v>0.14000000000000001</v>
          </cell>
          <cell r="EH15">
            <v>1.2356208929142261</v>
          </cell>
          <cell r="EK15">
            <v>0.14000000000000001</v>
          </cell>
          <cell r="EM15">
            <v>1.2356208929142261</v>
          </cell>
          <cell r="EP15">
            <v>0.14000000000000001</v>
          </cell>
          <cell r="ER15">
            <v>1.2356208929142261</v>
          </cell>
          <cell r="EU15">
            <v>0.14000000000000001</v>
          </cell>
          <cell r="EW15">
            <v>1.2356208929142261</v>
          </cell>
        </row>
        <row r="16">
          <cell r="U16">
            <v>0.16</v>
          </cell>
          <cell r="W16">
            <v>1.372732683847727</v>
          </cell>
          <cell r="Z16">
            <v>0.16</v>
          </cell>
          <cell r="AB16">
            <v>1.372732683847727</v>
          </cell>
          <cell r="AE16">
            <v>0.16</v>
          </cell>
          <cell r="AG16">
            <v>1.372732683847727</v>
          </cell>
          <cell r="AJ16">
            <v>0.16</v>
          </cell>
          <cell r="AL16">
            <v>1.372732683847727</v>
          </cell>
          <cell r="AO16">
            <v>0.16</v>
          </cell>
          <cell r="AQ16">
            <v>1.372732683847727</v>
          </cell>
          <cell r="AT16">
            <v>0.16</v>
          </cell>
          <cell r="AV16">
            <v>1.372732683847727</v>
          </cell>
          <cell r="AY16">
            <v>0.16</v>
          </cell>
          <cell r="BA16">
            <v>1.372732683847727</v>
          </cell>
          <cell r="BD16">
            <v>0.16</v>
          </cell>
          <cell r="BF16">
            <v>1.372732683847727</v>
          </cell>
          <cell r="BI16">
            <v>0.16</v>
          </cell>
          <cell r="BK16">
            <v>1.372732683847727</v>
          </cell>
          <cell r="BN16">
            <v>0.16</v>
          </cell>
          <cell r="BP16">
            <v>1.372732683847727</v>
          </cell>
          <cell r="BS16">
            <v>0.16</v>
          </cell>
          <cell r="BU16">
            <v>1.372732683847727</v>
          </cell>
          <cell r="BX16">
            <v>0.16</v>
          </cell>
          <cell r="BZ16">
            <v>1.372732683847727</v>
          </cell>
          <cell r="CC16">
            <v>0.16</v>
          </cell>
          <cell r="CE16">
            <v>1.372732683847727</v>
          </cell>
          <cell r="CH16">
            <v>0.16</v>
          </cell>
          <cell r="CJ16">
            <v>1.372732683847727</v>
          </cell>
          <cell r="CM16">
            <v>0.16</v>
          </cell>
          <cell r="CO16">
            <v>1.372732683847727</v>
          </cell>
          <cell r="CR16">
            <v>0.16</v>
          </cell>
          <cell r="CT16">
            <v>1.372732683847727</v>
          </cell>
          <cell r="CW16">
            <v>0.16</v>
          </cell>
          <cell r="CY16">
            <v>1.372732683847727</v>
          </cell>
          <cell r="DB16">
            <v>0.16</v>
          </cell>
          <cell r="DD16">
            <v>1.372732683847727</v>
          </cell>
          <cell r="DG16">
            <v>0.16</v>
          </cell>
          <cell r="DI16">
            <v>1.372732683847727</v>
          </cell>
          <cell r="DL16">
            <v>0.16</v>
          </cell>
          <cell r="DN16">
            <v>1.372732683847727</v>
          </cell>
          <cell r="DQ16">
            <v>0.16</v>
          </cell>
          <cell r="DS16">
            <v>1.372732683847727</v>
          </cell>
          <cell r="DV16">
            <v>0.16</v>
          </cell>
          <cell r="DX16">
            <v>1.372732683847727</v>
          </cell>
          <cell r="EA16">
            <v>0.16</v>
          </cell>
          <cell r="EC16">
            <v>1.372732683847727</v>
          </cell>
          <cell r="EF16">
            <v>0.16</v>
          </cell>
          <cell r="EH16">
            <v>1.372732683847727</v>
          </cell>
          <cell r="EK16">
            <v>0.16</v>
          </cell>
          <cell r="EM16">
            <v>1.372732683847727</v>
          </cell>
          <cell r="EP16">
            <v>0.16</v>
          </cell>
          <cell r="ER16">
            <v>1.372732683847727</v>
          </cell>
          <cell r="EU16">
            <v>0.16</v>
          </cell>
          <cell r="EW16">
            <v>1.372732683847727</v>
          </cell>
        </row>
        <row r="17">
          <cell r="U17">
            <v>0.18</v>
          </cell>
          <cell r="W17">
            <v>1.5071359620533809</v>
          </cell>
          <cell r="Z17">
            <v>0.18</v>
          </cell>
          <cell r="AB17">
            <v>1.5071359620533809</v>
          </cell>
          <cell r="AE17">
            <v>0.18</v>
          </cell>
          <cell r="AG17">
            <v>1.5071359620533809</v>
          </cell>
          <cell r="AJ17">
            <v>0.18</v>
          </cell>
          <cell r="AL17">
            <v>1.5071359620533809</v>
          </cell>
          <cell r="AO17">
            <v>0.18</v>
          </cell>
          <cell r="AQ17">
            <v>1.5071359620533809</v>
          </cell>
          <cell r="AT17">
            <v>0.18</v>
          </cell>
          <cell r="AV17">
            <v>1.5071359620533809</v>
          </cell>
          <cell r="AY17">
            <v>0.18</v>
          </cell>
          <cell r="BA17">
            <v>1.5071359620533809</v>
          </cell>
          <cell r="BD17">
            <v>0.18</v>
          </cell>
          <cell r="BF17">
            <v>1.5071359620533809</v>
          </cell>
          <cell r="BI17">
            <v>0.18</v>
          </cell>
          <cell r="BK17">
            <v>1.5071359620533809</v>
          </cell>
          <cell r="BN17">
            <v>0.18</v>
          </cell>
          <cell r="BP17">
            <v>1.5071359620533809</v>
          </cell>
          <cell r="BS17">
            <v>0.18</v>
          </cell>
          <cell r="BU17">
            <v>1.5071359620533809</v>
          </cell>
          <cell r="BX17">
            <v>0.18</v>
          </cell>
          <cell r="BZ17">
            <v>1.5071359620533809</v>
          </cell>
          <cell r="CC17">
            <v>0.18</v>
          </cell>
          <cell r="CE17">
            <v>1.5071359620533809</v>
          </cell>
          <cell r="CH17">
            <v>0.18</v>
          </cell>
          <cell r="CJ17">
            <v>1.5071359620533809</v>
          </cell>
          <cell r="CM17">
            <v>0.18</v>
          </cell>
          <cell r="CO17">
            <v>1.5071359620533809</v>
          </cell>
          <cell r="CR17">
            <v>0.18</v>
          </cell>
          <cell r="CT17">
            <v>1.5071359620533809</v>
          </cell>
          <cell r="CW17">
            <v>0.18</v>
          </cell>
          <cell r="CY17">
            <v>1.5071359620533809</v>
          </cell>
          <cell r="DB17">
            <v>0.18</v>
          </cell>
          <cell r="DD17">
            <v>1.5071359620533809</v>
          </cell>
          <cell r="DG17">
            <v>0.18</v>
          </cell>
          <cell r="DI17">
            <v>1.5071359620533809</v>
          </cell>
          <cell r="DL17">
            <v>0.18</v>
          </cell>
          <cell r="DN17">
            <v>1.5071359620533809</v>
          </cell>
          <cell r="DQ17">
            <v>0.18</v>
          </cell>
          <cell r="DS17">
            <v>1.5071359620533809</v>
          </cell>
          <cell r="DV17">
            <v>0.18</v>
          </cell>
          <cell r="DX17">
            <v>1.5071359620533809</v>
          </cell>
          <cell r="EA17">
            <v>0.18</v>
          </cell>
          <cell r="EC17">
            <v>1.5071359620533809</v>
          </cell>
          <cell r="EF17">
            <v>0.18</v>
          </cell>
          <cell r="EH17">
            <v>1.5071359620533809</v>
          </cell>
          <cell r="EK17">
            <v>0.18</v>
          </cell>
          <cell r="EM17">
            <v>1.5071359620533809</v>
          </cell>
          <cell r="EP17">
            <v>0.18</v>
          </cell>
          <cell r="ER17">
            <v>1.5071359620533809</v>
          </cell>
          <cell r="EU17">
            <v>0.18</v>
          </cell>
          <cell r="EW17">
            <v>1.5071359620533809</v>
          </cell>
        </row>
        <row r="18">
          <cell r="U18">
            <v>0.19999999999999998</v>
          </cell>
          <cell r="W18">
            <v>1.6388307275311875</v>
          </cell>
          <cell r="Z18">
            <v>0.19999999999999998</v>
          </cell>
          <cell r="AB18">
            <v>1.6388307275311875</v>
          </cell>
          <cell r="AE18">
            <v>0.19999999999999998</v>
          </cell>
          <cell r="AG18">
            <v>1.6388307275311875</v>
          </cell>
          <cell r="AJ18">
            <v>0.19999999999999998</v>
          </cell>
          <cell r="AL18">
            <v>1.6388307275311875</v>
          </cell>
          <cell r="AO18">
            <v>0.19999999999999998</v>
          </cell>
          <cell r="AQ18">
            <v>1.6388307275311875</v>
          </cell>
          <cell r="AT18">
            <v>0.19999999999999998</v>
          </cell>
          <cell r="AV18">
            <v>1.6388307275311875</v>
          </cell>
          <cell r="AY18">
            <v>0.19999999999999998</v>
          </cell>
          <cell r="BA18">
            <v>1.6388307275311875</v>
          </cell>
          <cell r="BD18">
            <v>0.19999999999999998</v>
          </cell>
          <cell r="BF18">
            <v>1.6388307275311875</v>
          </cell>
          <cell r="BI18">
            <v>0.19999999999999998</v>
          </cell>
          <cell r="BK18">
            <v>1.6388307275311875</v>
          </cell>
          <cell r="BN18">
            <v>0.19999999999999998</v>
          </cell>
          <cell r="BP18">
            <v>1.6388307275311875</v>
          </cell>
          <cell r="BS18">
            <v>0.19999999999999998</v>
          </cell>
          <cell r="BU18">
            <v>1.6388307275311875</v>
          </cell>
          <cell r="BX18">
            <v>0.19999999999999998</v>
          </cell>
          <cell r="BZ18">
            <v>1.6388307275311875</v>
          </cell>
          <cell r="CC18">
            <v>0.19999999999999998</v>
          </cell>
          <cell r="CE18">
            <v>1.6388307275311875</v>
          </cell>
          <cell r="CH18">
            <v>0.19999999999999998</v>
          </cell>
          <cell r="CJ18">
            <v>1.6388307275311875</v>
          </cell>
          <cell r="CM18">
            <v>0.19999999999999998</v>
          </cell>
          <cell r="CO18">
            <v>1.6388307275311875</v>
          </cell>
          <cell r="CR18">
            <v>0.19999999999999998</v>
          </cell>
          <cell r="CT18">
            <v>1.6388307275311875</v>
          </cell>
          <cell r="CW18">
            <v>0.19999999999999998</v>
          </cell>
          <cell r="CY18">
            <v>1.6388307275311875</v>
          </cell>
          <cell r="DB18">
            <v>0.19999999999999998</v>
          </cell>
          <cell r="DD18">
            <v>1.6388307275311875</v>
          </cell>
          <cell r="DG18">
            <v>0.19999999999999998</v>
          </cell>
          <cell r="DI18">
            <v>1.6388307275311875</v>
          </cell>
          <cell r="DL18">
            <v>0.19999999999999998</v>
          </cell>
          <cell r="DN18">
            <v>1.6388307275311875</v>
          </cell>
          <cell r="DQ18">
            <v>0.19999999999999998</v>
          </cell>
          <cell r="DS18">
            <v>1.6388307275311875</v>
          </cell>
          <cell r="DV18">
            <v>0.19999999999999998</v>
          </cell>
          <cell r="DX18">
            <v>1.6388307275311875</v>
          </cell>
          <cell r="EA18">
            <v>0.19999999999999998</v>
          </cell>
          <cell r="EC18">
            <v>1.6388307275311875</v>
          </cell>
          <cell r="EF18">
            <v>0.19999999999999998</v>
          </cell>
          <cell r="EH18">
            <v>1.6388307275311875</v>
          </cell>
          <cell r="EK18">
            <v>0.19999999999999998</v>
          </cell>
          <cell r="EM18">
            <v>1.6388307275311875</v>
          </cell>
          <cell r="EP18">
            <v>0.19999999999999998</v>
          </cell>
          <cell r="ER18">
            <v>1.6388307275311875</v>
          </cell>
          <cell r="EU18">
            <v>0.19999999999999998</v>
          </cell>
          <cell r="EW18">
            <v>1.6388307275311875</v>
          </cell>
        </row>
        <row r="19">
          <cell r="U19">
            <v>0.21999999999999997</v>
          </cell>
          <cell r="W19">
            <v>1.7678169802811474</v>
          </cell>
          <cell r="Z19">
            <v>0.21999999999999997</v>
          </cell>
          <cell r="AB19">
            <v>1.7678169802811474</v>
          </cell>
          <cell r="AE19">
            <v>0.21999999999999997</v>
          </cell>
          <cell r="AG19">
            <v>1.7678169802811474</v>
          </cell>
          <cell r="AJ19">
            <v>0.21999999999999997</v>
          </cell>
          <cell r="AL19">
            <v>1.7678169802811474</v>
          </cell>
          <cell r="AO19">
            <v>0.21999999999999997</v>
          </cell>
          <cell r="AQ19">
            <v>1.7678169802811474</v>
          </cell>
          <cell r="AT19">
            <v>0.21999999999999997</v>
          </cell>
          <cell r="AV19">
            <v>1.7678169802811474</v>
          </cell>
          <cell r="AY19">
            <v>0.21999999999999997</v>
          </cell>
          <cell r="BA19">
            <v>1.7678169802811474</v>
          </cell>
          <cell r="BD19">
            <v>0.21999999999999997</v>
          </cell>
          <cell r="BF19">
            <v>1.7678169802811474</v>
          </cell>
          <cell r="BI19">
            <v>0.21999999999999997</v>
          </cell>
          <cell r="BK19">
            <v>1.7678169802811474</v>
          </cell>
          <cell r="BN19">
            <v>0.21999999999999997</v>
          </cell>
          <cell r="BP19">
            <v>1.7678169802811474</v>
          </cell>
          <cell r="BS19">
            <v>0.21999999999999997</v>
          </cell>
          <cell r="BU19">
            <v>1.7678169802811474</v>
          </cell>
          <cell r="BX19">
            <v>0.21999999999999997</v>
          </cell>
          <cell r="BZ19">
            <v>1.7678169802811474</v>
          </cell>
          <cell r="CC19">
            <v>0.21999999999999997</v>
          </cell>
          <cell r="CE19">
            <v>1.7678169802811474</v>
          </cell>
          <cell r="CH19">
            <v>0.21999999999999997</v>
          </cell>
          <cell r="CJ19">
            <v>1.7678169802811474</v>
          </cell>
          <cell r="CM19">
            <v>0.21999999999999997</v>
          </cell>
          <cell r="CO19">
            <v>1.7678169802811474</v>
          </cell>
          <cell r="CR19">
            <v>0.21999999999999997</v>
          </cell>
          <cell r="CT19">
            <v>1.7678169802811474</v>
          </cell>
          <cell r="CW19">
            <v>0.21999999999999997</v>
          </cell>
          <cell r="CY19">
            <v>1.7678169802811474</v>
          </cell>
          <cell r="DB19">
            <v>0.21999999999999997</v>
          </cell>
          <cell r="DD19">
            <v>1.7678169802811474</v>
          </cell>
          <cell r="DG19">
            <v>0.21999999999999997</v>
          </cell>
          <cell r="DI19">
            <v>1.7678169802811474</v>
          </cell>
          <cell r="DL19">
            <v>0.21999999999999997</v>
          </cell>
          <cell r="DN19">
            <v>1.7678169802811474</v>
          </cell>
          <cell r="DQ19">
            <v>0.21999999999999997</v>
          </cell>
          <cell r="DS19">
            <v>1.7678169802811474</v>
          </cell>
          <cell r="DV19">
            <v>0.21999999999999997</v>
          </cell>
          <cell r="DX19">
            <v>1.7678169802811474</v>
          </cell>
          <cell r="EA19">
            <v>0.21999999999999997</v>
          </cell>
          <cell r="EC19">
            <v>1.7678169802811474</v>
          </cell>
          <cell r="EF19">
            <v>0.21999999999999997</v>
          </cell>
          <cell r="EH19">
            <v>1.7678169802811474</v>
          </cell>
          <cell r="EK19">
            <v>0.21999999999999997</v>
          </cell>
          <cell r="EM19">
            <v>1.7678169802811474</v>
          </cell>
          <cell r="EP19">
            <v>0.21999999999999997</v>
          </cell>
          <cell r="ER19">
            <v>1.7678169802811474</v>
          </cell>
          <cell r="EU19">
            <v>0.21999999999999997</v>
          </cell>
          <cell r="EW19">
            <v>1.7678169802811474</v>
          </cell>
        </row>
        <row r="20">
          <cell r="U20">
            <v>0.23999999999999996</v>
          </cell>
          <cell r="W20">
            <v>1.8940947203032601</v>
          </cell>
          <cell r="Z20">
            <v>0.23999999999999996</v>
          </cell>
          <cell r="AB20">
            <v>1.8940947203032601</v>
          </cell>
          <cell r="AE20">
            <v>0.23999999999999996</v>
          </cell>
          <cell r="AG20">
            <v>1.8940947203032601</v>
          </cell>
          <cell r="AJ20">
            <v>0.23999999999999996</v>
          </cell>
          <cell r="AL20">
            <v>1.8940947203032601</v>
          </cell>
          <cell r="AO20">
            <v>0.23999999999999996</v>
          </cell>
          <cell r="AQ20">
            <v>1.8940947203032601</v>
          </cell>
          <cell r="AT20">
            <v>0.23999999999999996</v>
          </cell>
          <cell r="AV20">
            <v>1.8940947203032601</v>
          </cell>
          <cell r="AY20">
            <v>0.23999999999999996</v>
          </cell>
          <cell r="BA20">
            <v>1.8940947203032601</v>
          </cell>
          <cell r="BD20">
            <v>0.23999999999999996</v>
          </cell>
          <cell r="BF20">
            <v>1.8940947203032601</v>
          </cell>
          <cell r="BI20">
            <v>0.23999999999999996</v>
          </cell>
          <cell r="BK20">
            <v>1.8940947203032601</v>
          </cell>
          <cell r="BN20">
            <v>0.23999999999999996</v>
          </cell>
          <cell r="BP20">
            <v>1.8940947203032601</v>
          </cell>
          <cell r="BS20">
            <v>0.23999999999999996</v>
          </cell>
          <cell r="BU20">
            <v>1.8940947203032601</v>
          </cell>
          <cell r="BX20">
            <v>0.23999999999999996</v>
          </cell>
          <cell r="BZ20">
            <v>1.8940947203032601</v>
          </cell>
          <cell r="CC20">
            <v>0.23999999999999996</v>
          </cell>
          <cell r="CE20">
            <v>1.8940947203032601</v>
          </cell>
          <cell r="CH20">
            <v>0.23999999999999996</v>
          </cell>
          <cell r="CJ20">
            <v>1.8940947203032601</v>
          </cell>
          <cell r="CM20">
            <v>0.23999999999999996</v>
          </cell>
          <cell r="CO20">
            <v>1.8940947203032601</v>
          </cell>
          <cell r="CR20">
            <v>0.23999999999999996</v>
          </cell>
          <cell r="CT20">
            <v>1.8940947203032601</v>
          </cell>
          <cell r="CW20">
            <v>0.23999999999999996</v>
          </cell>
          <cell r="CY20">
            <v>1.8940947203032601</v>
          </cell>
          <cell r="DB20">
            <v>0.23999999999999996</v>
          </cell>
          <cell r="DD20">
            <v>1.8940947203032601</v>
          </cell>
          <cell r="DG20">
            <v>0.23999999999999996</v>
          </cell>
          <cell r="DI20">
            <v>1.8940947203032601</v>
          </cell>
          <cell r="DL20">
            <v>0.23999999999999996</v>
          </cell>
          <cell r="DN20">
            <v>1.8940947203032601</v>
          </cell>
          <cell r="DQ20">
            <v>0.23999999999999996</v>
          </cell>
          <cell r="DS20">
            <v>1.8940947203032601</v>
          </cell>
          <cell r="DV20">
            <v>0.23999999999999996</v>
          </cell>
          <cell r="DX20">
            <v>1.8940947203032601</v>
          </cell>
          <cell r="EA20">
            <v>0.23999999999999996</v>
          </cell>
          <cell r="EC20">
            <v>1.8940947203032601</v>
          </cell>
          <cell r="EF20">
            <v>0.23999999999999996</v>
          </cell>
          <cell r="EH20">
            <v>1.8940947203032601</v>
          </cell>
          <cell r="EK20">
            <v>0.23999999999999996</v>
          </cell>
          <cell r="EM20">
            <v>1.8940947203032601</v>
          </cell>
          <cell r="EP20">
            <v>0.23999999999999996</v>
          </cell>
          <cell r="ER20">
            <v>1.8940947203032601</v>
          </cell>
          <cell r="EU20">
            <v>0.23999999999999996</v>
          </cell>
          <cell r="EW20">
            <v>1.8940947203032601</v>
          </cell>
        </row>
        <row r="21">
          <cell r="U21">
            <v>0.25999999999999995</v>
          </cell>
          <cell r="W21">
            <v>2.017663947597526</v>
          </cell>
          <cell r="Z21">
            <v>0.25999999999999995</v>
          </cell>
          <cell r="AB21">
            <v>2.017663947597526</v>
          </cell>
          <cell r="AE21">
            <v>0.25999999999999995</v>
          </cell>
          <cell r="AG21">
            <v>2.017663947597526</v>
          </cell>
          <cell r="AJ21">
            <v>0.25999999999999995</v>
          </cell>
          <cell r="AL21">
            <v>2.017663947597526</v>
          </cell>
          <cell r="AO21">
            <v>0.25999999999999995</v>
          </cell>
          <cell r="AQ21">
            <v>2.017663947597526</v>
          </cell>
          <cell r="AT21">
            <v>0.25999999999999995</v>
          </cell>
          <cell r="AV21">
            <v>2.017663947597526</v>
          </cell>
          <cell r="AY21">
            <v>0.25999999999999995</v>
          </cell>
          <cell r="BA21">
            <v>2.017663947597526</v>
          </cell>
          <cell r="BD21">
            <v>0.25999999999999995</v>
          </cell>
          <cell r="BF21">
            <v>2.017663947597526</v>
          </cell>
          <cell r="BI21">
            <v>0.25999999999999995</v>
          </cell>
          <cell r="BK21">
            <v>2.017663947597526</v>
          </cell>
          <cell r="BN21">
            <v>0.25999999999999995</v>
          </cell>
          <cell r="BP21">
            <v>2.017663947597526</v>
          </cell>
          <cell r="BS21">
            <v>0.25999999999999995</v>
          </cell>
          <cell r="BU21">
            <v>2.017663947597526</v>
          </cell>
          <cell r="BX21">
            <v>0.25999999999999995</v>
          </cell>
          <cell r="BZ21">
            <v>2.017663947597526</v>
          </cell>
          <cell r="CC21">
            <v>0.25999999999999995</v>
          </cell>
          <cell r="CE21">
            <v>2.017663947597526</v>
          </cell>
          <cell r="CH21">
            <v>0.25999999999999995</v>
          </cell>
          <cell r="CJ21">
            <v>2.017663947597526</v>
          </cell>
          <cell r="CM21">
            <v>0.25999999999999995</v>
          </cell>
          <cell r="CO21">
            <v>2.017663947597526</v>
          </cell>
          <cell r="CR21">
            <v>0.25999999999999995</v>
          </cell>
          <cell r="CT21">
            <v>2.017663947597526</v>
          </cell>
          <cell r="CW21">
            <v>0.25999999999999995</v>
          </cell>
          <cell r="CY21">
            <v>2.017663947597526</v>
          </cell>
          <cell r="DB21">
            <v>0.25999999999999995</v>
          </cell>
          <cell r="DD21">
            <v>2.017663947597526</v>
          </cell>
          <cell r="DG21">
            <v>0.25999999999999995</v>
          </cell>
          <cell r="DI21">
            <v>2.017663947597526</v>
          </cell>
          <cell r="DL21">
            <v>0.25999999999999995</v>
          </cell>
          <cell r="DN21">
            <v>2.017663947597526</v>
          </cell>
          <cell r="DQ21">
            <v>0.25999999999999995</v>
          </cell>
          <cell r="DS21">
            <v>2.017663947597526</v>
          </cell>
          <cell r="DV21">
            <v>0.25999999999999995</v>
          </cell>
          <cell r="DX21">
            <v>2.017663947597526</v>
          </cell>
          <cell r="EA21">
            <v>0.25999999999999995</v>
          </cell>
          <cell r="EC21">
            <v>2.017663947597526</v>
          </cell>
          <cell r="EF21">
            <v>0.25999999999999995</v>
          </cell>
          <cell r="EH21">
            <v>2.017663947597526</v>
          </cell>
          <cell r="EK21">
            <v>0.25999999999999995</v>
          </cell>
          <cell r="EM21">
            <v>2.017663947597526</v>
          </cell>
          <cell r="EP21">
            <v>0.25999999999999995</v>
          </cell>
          <cell r="ER21">
            <v>2.017663947597526</v>
          </cell>
          <cell r="EU21">
            <v>0.25999999999999995</v>
          </cell>
          <cell r="EW21">
            <v>2.017663947597526</v>
          </cell>
        </row>
        <row r="22">
          <cell r="U22">
            <v>0.27999999999999997</v>
          </cell>
          <cell r="W22">
            <v>2.1385246621639449</v>
          </cell>
          <cell r="Z22">
            <v>0.27999999999999997</v>
          </cell>
          <cell r="AB22">
            <v>2.1385246621639449</v>
          </cell>
          <cell r="AE22">
            <v>0.27999999999999997</v>
          </cell>
          <cell r="AG22">
            <v>2.1385246621639449</v>
          </cell>
          <cell r="AJ22">
            <v>0.27999999999999997</v>
          </cell>
          <cell r="AL22">
            <v>2.1385246621639449</v>
          </cell>
          <cell r="AO22">
            <v>0.27999999999999997</v>
          </cell>
          <cell r="AQ22">
            <v>2.1385246621639449</v>
          </cell>
          <cell r="AT22">
            <v>0.27999999999999997</v>
          </cell>
          <cell r="AV22">
            <v>2.1385246621639449</v>
          </cell>
          <cell r="AY22">
            <v>0.27999999999999997</v>
          </cell>
          <cell r="BA22">
            <v>2.1385246621639449</v>
          </cell>
          <cell r="BD22">
            <v>0.27999999999999997</v>
          </cell>
          <cell r="BF22">
            <v>2.1385246621639449</v>
          </cell>
          <cell r="BI22">
            <v>0.27999999999999997</v>
          </cell>
          <cell r="BK22">
            <v>2.1385246621639449</v>
          </cell>
          <cell r="BN22">
            <v>0.27999999999999997</v>
          </cell>
          <cell r="BP22">
            <v>2.1385246621639449</v>
          </cell>
          <cell r="BS22">
            <v>0.27999999999999997</v>
          </cell>
          <cell r="BU22">
            <v>2.1385246621639449</v>
          </cell>
          <cell r="BX22">
            <v>0.27999999999999997</v>
          </cell>
          <cell r="BZ22">
            <v>2.1385246621639449</v>
          </cell>
          <cell r="CC22">
            <v>0.27999999999999997</v>
          </cell>
          <cell r="CE22">
            <v>2.1385246621639449</v>
          </cell>
          <cell r="CH22">
            <v>0.27999999999999997</v>
          </cell>
          <cell r="CJ22">
            <v>2.1385246621639449</v>
          </cell>
          <cell r="CM22">
            <v>0.27999999999999997</v>
          </cell>
          <cell r="CO22">
            <v>2.1385246621639449</v>
          </cell>
          <cell r="CR22">
            <v>0.27999999999999997</v>
          </cell>
          <cell r="CT22">
            <v>2.1385246621639449</v>
          </cell>
          <cell r="CW22">
            <v>0.27999999999999997</v>
          </cell>
          <cell r="CY22">
            <v>2.1385246621639449</v>
          </cell>
          <cell r="DB22">
            <v>0.27999999999999997</v>
          </cell>
          <cell r="DD22">
            <v>2.1385246621639449</v>
          </cell>
          <cell r="DG22">
            <v>0.27999999999999997</v>
          </cell>
          <cell r="DI22">
            <v>2.1385246621639449</v>
          </cell>
          <cell r="DL22">
            <v>0.27999999999999997</v>
          </cell>
          <cell r="DN22">
            <v>2.1385246621639449</v>
          </cell>
          <cell r="DQ22">
            <v>0.27999999999999997</v>
          </cell>
          <cell r="DS22">
            <v>2.1385246621639449</v>
          </cell>
          <cell r="DV22">
            <v>0.27999999999999997</v>
          </cell>
          <cell r="DX22">
            <v>2.1385246621639449</v>
          </cell>
          <cell r="EA22">
            <v>0.27999999999999997</v>
          </cell>
          <cell r="EC22">
            <v>2.1385246621639449</v>
          </cell>
          <cell r="EF22">
            <v>0.27999999999999997</v>
          </cell>
          <cell r="EH22">
            <v>2.1385246621639449</v>
          </cell>
          <cell r="EK22">
            <v>0.27999999999999997</v>
          </cell>
          <cell r="EM22">
            <v>2.1385246621639449</v>
          </cell>
          <cell r="EP22">
            <v>0.27999999999999997</v>
          </cell>
          <cell r="ER22">
            <v>2.1385246621639449</v>
          </cell>
          <cell r="EU22">
            <v>0.27999999999999997</v>
          </cell>
          <cell r="EW22">
            <v>2.1385246621639449</v>
          </cell>
        </row>
        <row r="23">
          <cell r="U23">
            <v>0.3</v>
          </cell>
          <cell r="W23">
            <v>2.2566768640025163</v>
          </cell>
          <cell r="Z23">
            <v>0.3</v>
          </cell>
          <cell r="AB23">
            <v>2.2566768640025163</v>
          </cell>
          <cell r="AE23">
            <v>0.3</v>
          </cell>
          <cell r="AG23">
            <v>2.2566768640025163</v>
          </cell>
          <cell r="AJ23">
            <v>0.3</v>
          </cell>
          <cell r="AL23">
            <v>2.2566768640025163</v>
          </cell>
          <cell r="AO23">
            <v>0.3</v>
          </cell>
          <cell r="AQ23">
            <v>2.2566768640025163</v>
          </cell>
          <cell r="AT23">
            <v>0.3</v>
          </cell>
          <cell r="AV23">
            <v>2.2566768640025163</v>
          </cell>
          <cell r="AY23">
            <v>0.3</v>
          </cell>
          <cell r="BA23">
            <v>2.2566768640025163</v>
          </cell>
          <cell r="BD23">
            <v>0.3</v>
          </cell>
          <cell r="BF23">
            <v>2.2566768640025163</v>
          </cell>
          <cell r="BI23">
            <v>0.3</v>
          </cell>
          <cell r="BK23">
            <v>2.2566768640025163</v>
          </cell>
          <cell r="BN23">
            <v>0.3</v>
          </cell>
          <cell r="BP23">
            <v>2.2566768640025163</v>
          </cell>
          <cell r="BS23">
            <v>0.3</v>
          </cell>
          <cell r="BU23">
            <v>2.2566768640025163</v>
          </cell>
          <cell r="BX23">
            <v>0.3</v>
          </cell>
          <cell r="BZ23">
            <v>2.2566768640025163</v>
          </cell>
          <cell r="CC23">
            <v>0.3</v>
          </cell>
          <cell r="CE23">
            <v>2.2566768640025163</v>
          </cell>
          <cell r="CH23">
            <v>0.3</v>
          </cell>
          <cell r="CJ23">
            <v>2.2566768640025163</v>
          </cell>
          <cell r="CM23">
            <v>0.3</v>
          </cell>
          <cell r="CO23">
            <v>2.2566768640025163</v>
          </cell>
          <cell r="CR23">
            <v>0.3</v>
          </cell>
          <cell r="CT23">
            <v>2.2566768640025163</v>
          </cell>
          <cell r="CW23">
            <v>0.3</v>
          </cell>
          <cell r="CY23">
            <v>2.2566768640025163</v>
          </cell>
          <cell r="DB23">
            <v>0.3</v>
          </cell>
          <cell r="DD23">
            <v>2.2566768640025163</v>
          </cell>
          <cell r="DG23">
            <v>0.3</v>
          </cell>
          <cell r="DI23">
            <v>2.2566768640025163</v>
          </cell>
          <cell r="DL23">
            <v>0.3</v>
          </cell>
          <cell r="DN23">
            <v>2.2566768640025163</v>
          </cell>
          <cell r="DQ23">
            <v>0.3</v>
          </cell>
          <cell r="DS23">
            <v>2.2566768640025163</v>
          </cell>
          <cell r="DV23">
            <v>0.3</v>
          </cell>
          <cell r="DX23">
            <v>2.2566768640025163</v>
          </cell>
          <cell r="EA23">
            <v>0.3</v>
          </cell>
          <cell r="EC23">
            <v>2.2566768640025163</v>
          </cell>
          <cell r="EF23">
            <v>0.3</v>
          </cell>
          <cell r="EH23">
            <v>2.2566768640025163</v>
          </cell>
          <cell r="EK23">
            <v>0.3</v>
          </cell>
          <cell r="EM23">
            <v>2.2566768640025163</v>
          </cell>
          <cell r="EP23">
            <v>0.3</v>
          </cell>
          <cell r="ER23">
            <v>2.2566768640025163</v>
          </cell>
          <cell r="EU23">
            <v>0.3</v>
          </cell>
          <cell r="EW23">
            <v>2.2566768640025163</v>
          </cell>
        </row>
        <row r="24">
          <cell r="U24">
            <v>0.32</v>
          </cell>
          <cell r="W24">
            <v>2.3721205531132408</v>
          </cell>
          <cell r="Z24">
            <v>0.32</v>
          </cell>
          <cell r="AB24">
            <v>2.3721205531132408</v>
          </cell>
          <cell r="AE24">
            <v>0.32</v>
          </cell>
          <cell r="AG24">
            <v>2.3721205531132408</v>
          </cell>
          <cell r="AJ24">
            <v>0.32</v>
          </cell>
          <cell r="AL24">
            <v>2.3721205531132408</v>
          </cell>
          <cell r="AO24">
            <v>0.32</v>
          </cell>
          <cell r="AQ24">
            <v>2.3721205531132408</v>
          </cell>
          <cell r="AT24">
            <v>0.32</v>
          </cell>
          <cell r="AV24">
            <v>2.3721205531132408</v>
          </cell>
          <cell r="AY24">
            <v>0.32</v>
          </cell>
          <cell r="BA24">
            <v>2.3721205531132408</v>
          </cell>
          <cell r="BD24">
            <v>0.32</v>
          </cell>
          <cell r="BF24">
            <v>2.3721205531132408</v>
          </cell>
          <cell r="BI24">
            <v>0.32</v>
          </cell>
          <cell r="BK24">
            <v>2.3721205531132408</v>
          </cell>
          <cell r="BN24">
            <v>0.32</v>
          </cell>
          <cell r="BP24">
            <v>2.3721205531132408</v>
          </cell>
          <cell r="BS24">
            <v>0.32</v>
          </cell>
          <cell r="BU24">
            <v>2.3721205531132408</v>
          </cell>
          <cell r="BX24">
            <v>0.32</v>
          </cell>
          <cell r="BZ24">
            <v>2.3721205531132408</v>
          </cell>
          <cell r="CC24">
            <v>0.32</v>
          </cell>
          <cell r="CE24">
            <v>2.3721205531132408</v>
          </cell>
          <cell r="CH24">
            <v>0.32</v>
          </cell>
          <cell r="CJ24">
            <v>2.3721205531132408</v>
          </cell>
          <cell r="CM24">
            <v>0.32</v>
          </cell>
          <cell r="CO24">
            <v>2.3721205531132408</v>
          </cell>
          <cell r="CR24">
            <v>0.32</v>
          </cell>
          <cell r="CT24">
            <v>2.3721205531132408</v>
          </cell>
          <cell r="CW24">
            <v>0.32</v>
          </cell>
          <cell r="CY24">
            <v>2.3721205531132408</v>
          </cell>
          <cell r="DB24">
            <v>0.32</v>
          </cell>
          <cell r="DD24">
            <v>2.3721205531132408</v>
          </cell>
          <cell r="DG24">
            <v>0.32</v>
          </cell>
          <cell r="DI24">
            <v>2.3721205531132408</v>
          </cell>
          <cell r="DL24">
            <v>0.32</v>
          </cell>
          <cell r="DN24">
            <v>2.3721205531132408</v>
          </cell>
          <cell r="DQ24">
            <v>0.32</v>
          </cell>
          <cell r="DS24">
            <v>2.3721205531132408</v>
          </cell>
          <cell r="DV24">
            <v>0.32</v>
          </cell>
          <cell r="DX24">
            <v>2.3721205531132408</v>
          </cell>
          <cell r="EA24">
            <v>0.32</v>
          </cell>
          <cell r="EC24">
            <v>2.3721205531132408</v>
          </cell>
          <cell r="EF24">
            <v>0.32</v>
          </cell>
          <cell r="EH24">
            <v>2.3721205531132408</v>
          </cell>
          <cell r="EK24">
            <v>0.32</v>
          </cell>
          <cell r="EM24">
            <v>2.3721205531132408</v>
          </cell>
          <cell r="EP24">
            <v>0.32</v>
          </cell>
          <cell r="ER24">
            <v>2.3721205531132408</v>
          </cell>
          <cell r="EU24">
            <v>0.32</v>
          </cell>
          <cell r="EW24">
            <v>2.3721205531132408</v>
          </cell>
        </row>
        <row r="25">
          <cell r="U25">
            <v>0.34</v>
          </cell>
          <cell r="W25">
            <v>2.4848557294961182</v>
          </cell>
          <cell r="Z25">
            <v>0.34</v>
          </cell>
          <cell r="AB25">
            <v>2.4848557294961182</v>
          </cell>
          <cell r="AE25">
            <v>0.34</v>
          </cell>
          <cell r="AG25">
            <v>2.4848557294961182</v>
          </cell>
          <cell r="AJ25">
            <v>0.34</v>
          </cell>
          <cell r="AL25">
            <v>2.4848557294961182</v>
          </cell>
          <cell r="AO25">
            <v>0.34</v>
          </cell>
          <cell r="AQ25">
            <v>2.4848557294961182</v>
          </cell>
          <cell r="AT25">
            <v>0.34</v>
          </cell>
          <cell r="AV25">
            <v>2.4848557294961182</v>
          </cell>
          <cell r="AY25">
            <v>0.34</v>
          </cell>
          <cell r="BA25">
            <v>2.4848557294961182</v>
          </cell>
          <cell r="BD25">
            <v>0.34</v>
          </cell>
          <cell r="BF25">
            <v>2.4848557294961182</v>
          </cell>
          <cell r="BI25">
            <v>0.34</v>
          </cell>
          <cell r="BK25">
            <v>2.4848557294961182</v>
          </cell>
          <cell r="BN25">
            <v>0.34</v>
          </cell>
          <cell r="BP25">
            <v>2.4848557294961182</v>
          </cell>
          <cell r="BS25">
            <v>0.34</v>
          </cell>
          <cell r="BU25">
            <v>2.4848557294961182</v>
          </cell>
          <cell r="BX25">
            <v>0.34</v>
          </cell>
          <cell r="BZ25">
            <v>2.4848557294961182</v>
          </cell>
          <cell r="CC25">
            <v>0.34</v>
          </cell>
          <cell r="CE25">
            <v>2.4848557294961182</v>
          </cell>
          <cell r="CH25">
            <v>0.34</v>
          </cell>
          <cell r="CJ25">
            <v>2.4848557294961182</v>
          </cell>
          <cell r="CM25">
            <v>0.34</v>
          </cell>
          <cell r="CO25">
            <v>2.4848557294961182</v>
          </cell>
          <cell r="CR25">
            <v>0.34</v>
          </cell>
          <cell r="CT25">
            <v>2.4848557294961182</v>
          </cell>
          <cell r="CW25">
            <v>0.34</v>
          </cell>
          <cell r="CY25">
            <v>2.4848557294961182</v>
          </cell>
          <cell r="DB25">
            <v>0.34</v>
          </cell>
          <cell r="DD25">
            <v>2.4848557294961182</v>
          </cell>
          <cell r="DG25">
            <v>0.34</v>
          </cell>
          <cell r="DI25">
            <v>2.4848557294961182</v>
          </cell>
          <cell r="DL25">
            <v>0.34</v>
          </cell>
          <cell r="DN25">
            <v>2.4848557294961182</v>
          </cell>
          <cell r="DQ25">
            <v>0.34</v>
          </cell>
          <cell r="DS25">
            <v>2.4848557294961182</v>
          </cell>
          <cell r="DV25">
            <v>0.34</v>
          </cell>
          <cell r="DX25">
            <v>2.4848557294961182</v>
          </cell>
          <cell r="EA25">
            <v>0.34</v>
          </cell>
          <cell r="EC25">
            <v>2.4848557294961182</v>
          </cell>
          <cell r="EF25">
            <v>0.34</v>
          </cell>
          <cell r="EH25">
            <v>2.4848557294961182</v>
          </cell>
          <cell r="EK25">
            <v>0.34</v>
          </cell>
          <cell r="EM25">
            <v>2.4848557294961182</v>
          </cell>
          <cell r="EP25">
            <v>0.34</v>
          </cell>
          <cell r="ER25">
            <v>2.4848557294961182</v>
          </cell>
          <cell r="EU25">
            <v>0.34</v>
          </cell>
          <cell r="EW25">
            <v>2.4848557294961182</v>
          </cell>
        </row>
        <row r="26">
          <cell r="U26">
            <v>0.36000000000000004</v>
          </cell>
          <cell r="W26">
            <v>2.5948823931511487</v>
          </cell>
          <cell r="Z26">
            <v>0.36000000000000004</v>
          </cell>
          <cell r="AB26">
            <v>2.5948823931511487</v>
          </cell>
          <cell r="AE26">
            <v>0.36000000000000004</v>
          </cell>
          <cell r="AG26">
            <v>2.5948823931511487</v>
          </cell>
          <cell r="AJ26">
            <v>0.36000000000000004</v>
          </cell>
          <cell r="AL26">
            <v>2.5948823931511487</v>
          </cell>
          <cell r="AO26">
            <v>0.36000000000000004</v>
          </cell>
          <cell r="AQ26">
            <v>2.5948823931511487</v>
          </cell>
          <cell r="AT26">
            <v>0.36000000000000004</v>
          </cell>
          <cell r="AV26">
            <v>2.5948823931511487</v>
          </cell>
          <cell r="AY26">
            <v>0.36000000000000004</v>
          </cell>
          <cell r="BA26">
            <v>2.5948823931511487</v>
          </cell>
          <cell r="BD26">
            <v>0.36000000000000004</v>
          </cell>
          <cell r="BF26">
            <v>2.5948823931511487</v>
          </cell>
          <cell r="BI26">
            <v>0.36000000000000004</v>
          </cell>
          <cell r="BK26">
            <v>2.5948823931511487</v>
          </cell>
          <cell r="BN26">
            <v>0.36000000000000004</v>
          </cell>
          <cell r="BP26">
            <v>2.5948823931511487</v>
          </cell>
          <cell r="BS26">
            <v>0.36000000000000004</v>
          </cell>
          <cell r="BU26">
            <v>2.5948823931511487</v>
          </cell>
          <cell r="BX26">
            <v>0.36000000000000004</v>
          </cell>
          <cell r="BZ26">
            <v>2.5948823931511487</v>
          </cell>
          <cell r="CC26">
            <v>0.36000000000000004</v>
          </cell>
          <cell r="CE26">
            <v>2.5948823931511487</v>
          </cell>
          <cell r="CH26">
            <v>0.36000000000000004</v>
          </cell>
          <cell r="CJ26">
            <v>2.5948823931511487</v>
          </cell>
          <cell r="CM26">
            <v>0.36000000000000004</v>
          </cell>
          <cell r="CO26">
            <v>2.5948823931511487</v>
          </cell>
          <cell r="CR26">
            <v>0.36000000000000004</v>
          </cell>
          <cell r="CT26">
            <v>2.5948823931511487</v>
          </cell>
          <cell r="CW26">
            <v>0.36000000000000004</v>
          </cell>
          <cell r="CY26">
            <v>2.5948823931511487</v>
          </cell>
          <cell r="DB26">
            <v>0.36000000000000004</v>
          </cell>
          <cell r="DD26">
            <v>2.5948823931511487</v>
          </cell>
          <cell r="DG26">
            <v>0.36000000000000004</v>
          </cell>
          <cell r="DI26">
            <v>2.5948823931511487</v>
          </cell>
          <cell r="DL26">
            <v>0.36000000000000004</v>
          </cell>
          <cell r="DN26">
            <v>2.5948823931511487</v>
          </cell>
          <cell r="DQ26">
            <v>0.36000000000000004</v>
          </cell>
          <cell r="DS26">
            <v>2.5948823931511487</v>
          </cell>
          <cell r="DV26">
            <v>0.36000000000000004</v>
          </cell>
          <cell r="DX26">
            <v>2.5948823931511487</v>
          </cell>
          <cell r="EA26">
            <v>0.36000000000000004</v>
          </cell>
          <cell r="EC26">
            <v>2.5948823931511487</v>
          </cell>
          <cell r="EF26">
            <v>0.36000000000000004</v>
          </cell>
          <cell r="EH26">
            <v>2.5948823931511487</v>
          </cell>
          <cell r="EK26">
            <v>0.36000000000000004</v>
          </cell>
          <cell r="EM26">
            <v>2.5948823931511487</v>
          </cell>
          <cell r="EP26">
            <v>0.36000000000000004</v>
          </cell>
          <cell r="ER26">
            <v>2.5948823931511487</v>
          </cell>
          <cell r="EU26">
            <v>0.36000000000000004</v>
          </cell>
          <cell r="EW26">
            <v>2.5948823931511487</v>
          </cell>
        </row>
        <row r="27">
          <cell r="U27">
            <v>0.38000000000000006</v>
          </cell>
          <cell r="W27">
            <v>2.7022005440783317</v>
          </cell>
          <cell r="Z27">
            <v>0.38000000000000006</v>
          </cell>
          <cell r="AB27">
            <v>2.7022005440783317</v>
          </cell>
          <cell r="AE27">
            <v>0.38000000000000006</v>
          </cell>
          <cell r="AG27">
            <v>2.7022005440783317</v>
          </cell>
          <cell r="AJ27">
            <v>0.38000000000000006</v>
          </cell>
          <cell r="AL27">
            <v>2.7022005440783317</v>
          </cell>
          <cell r="AO27">
            <v>0.38000000000000006</v>
          </cell>
          <cell r="AQ27">
            <v>2.7022005440783317</v>
          </cell>
          <cell r="AT27">
            <v>0.38000000000000006</v>
          </cell>
          <cell r="AV27">
            <v>2.7022005440783317</v>
          </cell>
          <cell r="AY27">
            <v>0.38000000000000006</v>
          </cell>
          <cell r="BA27">
            <v>2.7022005440783317</v>
          </cell>
          <cell r="BD27">
            <v>0.38000000000000006</v>
          </cell>
          <cell r="BF27">
            <v>2.7022005440783317</v>
          </cell>
          <cell r="BI27">
            <v>0.38000000000000006</v>
          </cell>
          <cell r="BK27">
            <v>2.7022005440783317</v>
          </cell>
          <cell r="BN27">
            <v>0.38000000000000006</v>
          </cell>
          <cell r="BP27">
            <v>2.7022005440783317</v>
          </cell>
          <cell r="BS27">
            <v>0.38000000000000006</v>
          </cell>
          <cell r="BU27">
            <v>2.7022005440783317</v>
          </cell>
          <cell r="BX27">
            <v>0.38000000000000006</v>
          </cell>
          <cell r="BZ27">
            <v>2.7022005440783317</v>
          </cell>
          <cell r="CC27">
            <v>0.38000000000000006</v>
          </cell>
          <cell r="CE27">
            <v>2.7022005440783317</v>
          </cell>
          <cell r="CH27">
            <v>0.38000000000000006</v>
          </cell>
          <cell r="CJ27">
            <v>2.7022005440783317</v>
          </cell>
          <cell r="CM27">
            <v>0.38000000000000006</v>
          </cell>
          <cell r="CO27">
            <v>2.7022005440783317</v>
          </cell>
          <cell r="CR27">
            <v>0.38000000000000006</v>
          </cell>
          <cell r="CT27">
            <v>2.7022005440783317</v>
          </cell>
          <cell r="CW27">
            <v>0.38000000000000006</v>
          </cell>
          <cell r="CY27">
            <v>2.7022005440783317</v>
          </cell>
          <cell r="DB27">
            <v>0.38000000000000006</v>
          </cell>
          <cell r="DD27">
            <v>2.7022005440783317</v>
          </cell>
          <cell r="DG27">
            <v>0.38000000000000006</v>
          </cell>
          <cell r="DI27">
            <v>2.7022005440783317</v>
          </cell>
          <cell r="DL27">
            <v>0.38000000000000006</v>
          </cell>
          <cell r="DN27">
            <v>2.7022005440783317</v>
          </cell>
          <cell r="DQ27">
            <v>0.38000000000000006</v>
          </cell>
          <cell r="DS27">
            <v>2.7022005440783317</v>
          </cell>
          <cell r="DV27">
            <v>0.38000000000000006</v>
          </cell>
          <cell r="DX27">
            <v>2.7022005440783317</v>
          </cell>
          <cell r="EA27">
            <v>0.38000000000000006</v>
          </cell>
          <cell r="EC27">
            <v>2.7022005440783317</v>
          </cell>
          <cell r="EF27">
            <v>0.38000000000000006</v>
          </cell>
          <cell r="EH27">
            <v>2.7022005440783317</v>
          </cell>
          <cell r="EK27">
            <v>0.38000000000000006</v>
          </cell>
          <cell r="EM27">
            <v>2.7022005440783317</v>
          </cell>
          <cell r="EP27">
            <v>0.38000000000000006</v>
          </cell>
          <cell r="ER27">
            <v>2.7022005440783317</v>
          </cell>
          <cell r="EU27">
            <v>0.38000000000000006</v>
          </cell>
          <cell r="EW27">
            <v>2.7022005440783317</v>
          </cell>
        </row>
        <row r="28">
          <cell r="U28">
            <v>0.40000000000000008</v>
          </cell>
          <cell r="W28">
            <v>2.8068101822776677</v>
          </cell>
          <cell r="Z28">
            <v>0.40000000000000008</v>
          </cell>
          <cell r="AB28">
            <v>2.8068101822776677</v>
          </cell>
          <cell r="AE28">
            <v>0.40000000000000008</v>
          </cell>
          <cell r="AG28">
            <v>2.8068101822776677</v>
          </cell>
          <cell r="AJ28">
            <v>0.40000000000000008</v>
          </cell>
          <cell r="AL28">
            <v>2.8068101822776677</v>
          </cell>
          <cell r="AO28">
            <v>0.40000000000000008</v>
          </cell>
          <cell r="AQ28">
            <v>2.8068101822776677</v>
          </cell>
          <cell r="AT28">
            <v>0.40000000000000008</v>
          </cell>
          <cell r="AV28">
            <v>2.8068101822776677</v>
          </cell>
          <cell r="AY28">
            <v>0.40000000000000008</v>
          </cell>
          <cell r="BA28">
            <v>2.8068101822776677</v>
          </cell>
          <cell r="BD28">
            <v>0.40000000000000008</v>
          </cell>
          <cell r="BF28">
            <v>2.8068101822776677</v>
          </cell>
          <cell r="BI28">
            <v>0.40000000000000008</v>
          </cell>
          <cell r="BK28">
            <v>2.8068101822776677</v>
          </cell>
          <cell r="BN28">
            <v>0.40000000000000008</v>
          </cell>
          <cell r="BP28">
            <v>2.8068101822776677</v>
          </cell>
          <cell r="BS28">
            <v>0.40000000000000008</v>
          </cell>
          <cell r="BU28">
            <v>2.8068101822776677</v>
          </cell>
          <cell r="BX28">
            <v>0.40000000000000008</v>
          </cell>
          <cell r="BZ28">
            <v>2.8068101822776677</v>
          </cell>
          <cell r="CC28">
            <v>0.40000000000000008</v>
          </cell>
          <cell r="CE28">
            <v>2.8068101822776677</v>
          </cell>
          <cell r="CH28">
            <v>0.40000000000000008</v>
          </cell>
          <cell r="CJ28">
            <v>2.8068101822776677</v>
          </cell>
          <cell r="CM28">
            <v>0.40000000000000008</v>
          </cell>
          <cell r="CO28">
            <v>2.8068101822776677</v>
          </cell>
          <cell r="CR28">
            <v>0.40000000000000008</v>
          </cell>
          <cell r="CT28">
            <v>2.8068101822776677</v>
          </cell>
          <cell r="CW28">
            <v>0.40000000000000008</v>
          </cell>
          <cell r="CY28">
            <v>2.8068101822776677</v>
          </cell>
          <cell r="DB28">
            <v>0.40000000000000008</v>
          </cell>
          <cell r="DD28">
            <v>2.8068101822776677</v>
          </cell>
          <cell r="DG28">
            <v>0.40000000000000008</v>
          </cell>
          <cell r="DI28">
            <v>2.8068101822776677</v>
          </cell>
          <cell r="DL28">
            <v>0.40000000000000008</v>
          </cell>
          <cell r="DN28">
            <v>2.8068101822776677</v>
          </cell>
          <cell r="DQ28">
            <v>0.40000000000000008</v>
          </cell>
          <cell r="DS28">
            <v>2.8068101822776677</v>
          </cell>
          <cell r="DV28">
            <v>0.40000000000000008</v>
          </cell>
          <cell r="DX28">
            <v>2.8068101822776677</v>
          </cell>
          <cell r="EA28">
            <v>0.40000000000000008</v>
          </cell>
          <cell r="EC28">
            <v>2.8068101822776677</v>
          </cell>
          <cell r="EF28">
            <v>0.40000000000000008</v>
          </cell>
          <cell r="EH28">
            <v>2.8068101822776677</v>
          </cell>
          <cell r="EK28">
            <v>0.40000000000000008</v>
          </cell>
          <cell r="EM28">
            <v>2.8068101822776677</v>
          </cell>
          <cell r="EP28">
            <v>0.40000000000000008</v>
          </cell>
          <cell r="ER28">
            <v>2.8068101822776677</v>
          </cell>
          <cell r="EU28">
            <v>0.40000000000000008</v>
          </cell>
          <cell r="EW28">
            <v>2.8068101822776677</v>
          </cell>
        </row>
        <row r="29">
          <cell r="U29">
            <v>0.4200000000000001</v>
          </cell>
          <cell r="W29">
            <v>2.9087113077491566</v>
          </cell>
          <cell r="Z29">
            <v>0.4200000000000001</v>
          </cell>
          <cell r="AB29">
            <v>2.9087113077491566</v>
          </cell>
          <cell r="AE29">
            <v>0.4200000000000001</v>
          </cell>
          <cell r="AG29">
            <v>2.9087113077491566</v>
          </cell>
          <cell r="AJ29">
            <v>0.4200000000000001</v>
          </cell>
          <cell r="AL29">
            <v>2.9087113077491566</v>
          </cell>
          <cell r="AO29">
            <v>0.4200000000000001</v>
          </cell>
          <cell r="AQ29">
            <v>2.9087113077491566</v>
          </cell>
          <cell r="AT29">
            <v>0.4200000000000001</v>
          </cell>
          <cell r="AV29">
            <v>2.9087113077491566</v>
          </cell>
          <cell r="AY29">
            <v>0.4200000000000001</v>
          </cell>
          <cell r="BA29">
            <v>2.9087113077491566</v>
          </cell>
          <cell r="BD29">
            <v>0.4200000000000001</v>
          </cell>
          <cell r="BF29">
            <v>2.9087113077491566</v>
          </cell>
          <cell r="BI29">
            <v>0.4200000000000001</v>
          </cell>
          <cell r="BK29">
            <v>2.9087113077491566</v>
          </cell>
          <cell r="BN29">
            <v>0.4200000000000001</v>
          </cell>
          <cell r="BP29">
            <v>2.9087113077491566</v>
          </cell>
          <cell r="BS29">
            <v>0.4200000000000001</v>
          </cell>
          <cell r="BU29">
            <v>2.9087113077491566</v>
          </cell>
          <cell r="BX29">
            <v>0.4200000000000001</v>
          </cell>
          <cell r="BZ29">
            <v>2.9087113077491566</v>
          </cell>
          <cell r="CC29">
            <v>0.4200000000000001</v>
          </cell>
          <cell r="CE29">
            <v>2.9087113077491566</v>
          </cell>
          <cell r="CH29">
            <v>0.4200000000000001</v>
          </cell>
          <cell r="CJ29">
            <v>2.9087113077491566</v>
          </cell>
          <cell r="CM29">
            <v>0.4200000000000001</v>
          </cell>
          <cell r="CO29">
            <v>2.9087113077491566</v>
          </cell>
          <cell r="CR29">
            <v>0.4200000000000001</v>
          </cell>
          <cell r="CT29">
            <v>2.9087113077491566</v>
          </cell>
          <cell r="CW29">
            <v>0.4200000000000001</v>
          </cell>
          <cell r="CY29">
            <v>2.9087113077491566</v>
          </cell>
          <cell r="DB29">
            <v>0.4200000000000001</v>
          </cell>
          <cell r="DD29">
            <v>2.9087113077491566</v>
          </cell>
          <cell r="DG29">
            <v>0.4200000000000001</v>
          </cell>
          <cell r="DI29">
            <v>2.9087113077491566</v>
          </cell>
          <cell r="DL29">
            <v>0.4200000000000001</v>
          </cell>
          <cell r="DN29">
            <v>2.9087113077491566</v>
          </cell>
          <cell r="DQ29">
            <v>0.4200000000000001</v>
          </cell>
          <cell r="DS29">
            <v>2.9087113077491566</v>
          </cell>
          <cell r="DV29">
            <v>0.4200000000000001</v>
          </cell>
          <cell r="DX29">
            <v>2.9087113077491566</v>
          </cell>
          <cell r="EA29">
            <v>0.4200000000000001</v>
          </cell>
          <cell r="EC29">
            <v>2.9087113077491566</v>
          </cell>
          <cell r="EF29">
            <v>0.4200000000000001</v>
          </cell>
          <cell r="EH29">
            <v>2.9087113077491566</v>
          </cell>
          <cell r="EK29">
            <v>0.4200000000000001</v>
          </cell>
          <cell r="EM29">
            <v>2.9087113077491566</v>
          </cell>
          <cell r="EP29">
            <v>0.4200000000000001</v>
          </cell>
          <cell r="ER29">
            <v>2.9087113077491566</v>
          </cell>
          <cell r="EU29">
            <v>0.4200000000000001</v>
          </cell>
          <cell r="EW29">
            <v>2.9087113077491566</v>
          </cell>
        </row>
        <row r="30">
          <cell r="U30">
            <v>0.44000000000000011</v>
          </cell>
          <cell r="W30">
            <v>3.0079039204927991</v>
          </cell>
          <cell r="Z30">
            <v>0.44000000000000011</v>
          </cell>
          <cell r="AB30">
            <v>3.0079039204927991</v>
          </cell>
          <cell r="AE30">
            <v>0.44000000000000011</v>
          </cell>
          <cell r="AG30">
            <v>3.0079039204927991</v>
          </cell>
          <cell r="AJ30">
            <v>0.44000000000000011</v>
          </cell>
          <cell r="AL30">
            <v>3.0079039204927991</v>
          </cell>
          <cell r="AO30">
            <v>0.44000000000000011</v>
          </cell>
          <cell r="AQ30">
            <v>3.0079039204927991</v>
          </cell>
          <cell r="AT30">
            <v>0.44000000000000011</v>
          </cell>
          <cell r="AV30">
            <v>3.0079039204927991</v>
          </cell>
          <cell r="AY30">
            <v>0.44000000000000011</v>
          </cell>
          <cell r="BA30">
            <v>3.0079039204927991</v>
          </cell>
          <cell r="BD30">
            <v>0.44000000000000011</v>
          </cell>
          <cell r="BF30">
            <v>3.0079039204927991</v>
          </cell>
          <cell r="BI30">
            <v>0.44000000000000011</v>
          </cell>
          <cell r="BK30">
            <v>3.0079039204927991</v>
          </cell>
          <cell r="BN30">
            <v>0.44000000000000011</v>
          </cell>
          <cell r="BP30">
            <v>3.0079039204927991</v>
          </cell>
          <cell r="BS30">
            <v>0.44000000000000011</v>
          </cell>
          <cell r="BU30">
            <v>3.0079039204927991</v>
          </cell>
          <cell r="BX30">
            <v>0.44000000000000011</v>
          </cell>
          <cell r="BZ30">
            <v>3.0079039204927991</v>
          </cell>
          <cell r="CC30">
            <v>0.44000000000000011</v>
          </cell>
          <cell r="CE30">
            <v>3.0079039204927991</v>
          </cell>
          <cell r="CH30">
            <v>0.44000000000000011</v>
          </cell>
          <cell r="CJ30">
            <v>3.0079039204927991</v>
          </cell>
          <cell r="CM30">
            <v>0.44000000000000011</v>
          </cell>
          <cell r="CO30">
            <v>3.0079039204927991</v>
          </cell>
          <cell r="CR30">
            <v>0.44000000000000011</v>
          </cell>
          <cell r="CT30">
            <v>3.0079039204927991</v>
          </cell>
          <cell r="CW30">
            <v>0.44000000000000011</v>
          </cell>
          <cell r="CY30">
            <v>3.0079039204927991</v>
          </cell>
          <cell r="DB30">
            <v>0.44000000000000011</v>
          </cell>
          <cell r="DD30">
            <v>3.0079039204927991</v>
          </cell>
          <cell r="DG30">
            <v>0.44000000000000011</v>
          </cell>
          <cell r="DI30">
            <v>3.0079039204927991</v>
          </cell>
          <cell r="DL30">
            <v>0.44000000000000011</v>
          </cell>
          <cell r="DN30">
            <v>3.0079039204927991</v>
          </cell>
          <cell r="DQ30">
            <v>0.44000000000000011</v>
          </cell>
          <cell r="DS30">
            <v>3.0079039204927991</v>
          </cell>
          <cell r="DV30">
            <v>0.44000000000000011</v>
          </cell>
          <cell r="DX30">
            <v>3.0079039204927991</v>
          </cell>
          <cell r="EA30">
            <v>0.44000000000000011</v>
          </cell>
          <cell r="EC30">
            <v>3.0079039204927991</v>
          </cell>
          <cell r="EF30">
            <v>0.44000000000000011</v>
          </cell>
          <cell r="EH30">
            <v>3.0079039204927991</v>
          </cell>
          <cell r="EK30">
            <v>0.44000000000000011</v>
          </cell>
          <cell r="EM30">
            <v>3.0079039204927991</v>
          </cell>
          <cell r="EP30">
            <v>0.44000000000000011</v>
          </cell>
          <cell r="ER30">
            <v>3.0079039204927991</v>
          </cell>
          <cell r="EU30">
            <v>0.44000000000000011</v>
          </cell>
          <cell r="EW30">
            <v>3.0079039204927991</v>
          </cell>
        </row>
        <row r="31">
          <cell r="U31">
            <v>0.46000000000000013</v>
          </cell>
          <cell r="W31">
            <v>3.1043880205085941</v>
          </cell>
          <cell r="Z31">
            <v>0.46000000000000013</v>
          </cell>
          <cell r="AB31">
            <v>3.1043880205085941</v>
          </cell>
          <cell r="AE31">
            <v>0.46000000000000013</v>
          </cell>
          <cell r="AG31">
            <v>3.1043880205085941</v>
          </cell>
          <cell r="AJ31">
            <v>0.46000000000000013</v>
          </cell>
          <cell r="AL31">
            <v>3.1043880205085941</v>
          </cell>
          <cell r="AO31">
            <v>0.46000000000000013</v>
          </cell>
          <cell r="AQ31">
            <v>3.1043880205085941</v>
          </cell>
          <cell r="AT31">
            <v>0.46000000000000013</v>
          </cell>
          <cell r="AV31">
            <v>3.1043880205085941</v>
          </cell>
          <cell r="AY31">
            <v>0.46000000000000013</v>
          </cell>
          <cell r="BA31">
            <v>3.1043880205085941</v>
          </cell>
          <cell r="BD31">
            <v>0.46000000000000013</v>
          </cell>
          <cell r="BF31">
            <v>3.1043880205085941</v>
          </cell>
          <cell r="BI31">
            <v>0.46000000000000013</v>
          </cell>
          <cell r="BK31">
            <v>3.1043880205085941</v>
          </cell>
          <cell r="BN31">
            <v>0.46000000000000013</v>
          </cell>
          <cell r="BP31">
            <v>3.1043880205085941</v>
          </cell>
          <cell r="BS31">
            <v>0.46000000000000013</v>
          </cell>
          <cell r="BU31">
            <v>3.1043880205085941</v>
          </cell>
          <cell r="BX31">
            <v>0.46000000000000013</v>
          </cell>
          <cell r="BZ31">
            <v>3.1043880205085941</v>
          </cell>
          <cell r="CC31">
            <v>0.46000000000000013</v>
          </cell>
          <cell r="CE31">
            <v>3.1043880205085941</v>
          </cell>
          <cell r="CH31">
            <v>0.46000000000000013</v>
          </cell>
          <cell r="CJ31">
            <v>3.1043880205085941</v>
          </cell>
          <cell r="CM31">
            <v>0.46000000000000013</v>
          </cell>
          <cell r="CO31">
            <v>3.1043880205085941</v>
          </cell>
          <cell r="CR31">
            <v>0.46000000000000013</v>
          </cell>
          <cell r="CT31">
            <v>3.1043880205085941</v>
          </cell>
          <cell r="CW31">
            <v>0.46000000000000013</v>
          </cell>
          <cell r="CY31">
            <v>3.1043880205085941</v>
          </cell>
          <cell r="DB31">
            <v>0.46000000000000013</v>
          </cell>
          <cell r="DD31">
            <v>3.1043880205085941</v>
          </cell>
          <cell r="DG31">
            <v>0.46000000000000013</v>
          </cell>
          <cell r="DI31">
            <v>3.1043880205085941</v>
          </cell>
          <cell r="DL31">
            <v>0.46000000000000013</v>
          </cell>
          <cell r="DN31">
            <v>3.1043880205085941</v>
          </cell>
          <cell r="DQ31">
            <v>0.46000000000000013</v>
          </cell>
          <cell r="DS31">
            <v>3.1043880205085941</v>
          </cell>
          <cell r="DV31">
            <v>0.46000000000000013</v>
          </cell>
          <cell r="DX31">
            <v>3.1043880205085941</v>
          </cell>
          <cell r="EA31">
            <v>0.46000000000000013</v>
          </cell>
          <cell r="EC31">
            <v>3.1043880205085941</v>
          </cell>
          <cell r="EF31">
            <v>0.46000000000000013</v>
          </cell>
          <cell r="EH31">
            <v>3.1043880205085941</v>
          </cell>
          <cell r="EK31">
            <v>0.46000000000000013</v>
          </cell>
          <cell r="EM31">
            <v>3.1043880205085941</v>
          </cell>
          <cell r="EP31">
            <v>0.46000000000000013</v>
          </cell>
          <cell r="ER31">
            <v>3.1043880205085941</v>
          </cell>
          <cell r="EU31">
            <v>0.46000000000000013</v>
          </cell>
          <cell r="EW31">
            <v>3.1043880205085941</v>
          </cell>
        </row>
        <row r="32">
          <cell r="U32">
            <v>0.48000000000000015</v>
          </cell>
          <cell r="W32">
            <v>3.1981636077965416</v>
          </cell>
          <cell r="Z32">
            <v>0.48000000000000015</v>
          </cell>
          <cell r="AB32">
            <v>3.1981636077965416</v>
          </cell>
          <cell r="AE32">
            <v>0.48000000000000015</v>
          </cell>
          <cell r="AG32">
            <v>3.1981636077965416</v>
          </cell>
          <cell r="AJ32">
            <v>0.48000000000000015</v>
          </cell>
          <cell r="AL32">
            <v>3.1981636077965416</v>
          </cell>
          <cell r="AO32">
            <v>0.48000000000000015</v>
          </cell>
          <cell r="AQ32">
            <v>3.1981636077965416</v>
          </cell>
          <cell r="AT32">
            <v>0.48000000000000015</v>
          </cell>
          <cell r="AV32">
            <v>3.1981636077965416</v>
          </cell>
          <cell r="AY32">
            <v>0.48000000000000015</v>
          </cell>
          <cell r="BA32">
            <v>3.1981636077965416</v>
          </cell>
          <cell r="BD32">
            <v>0.48000000000000015</v>
          </cell>
          <cell r="BF32">
            <v>3.1981636077965416</v>
          </cell>
          <cell r="BI32">
            <v>0.48000000000000015</v>
          </cell>
          <cell r="BK32">
            <v>3.1981636077965416</v>
          </cell>
          <cell r="BN32">
            <v>0.48000000000000015</v>
          </cell>
          <cell r="BP32">
            <v>3.1981636077965416</v>
          </cell>
          <cell r="BS32">
            <v>0.48000000000000015</v>
          </cell>
          <cell r="BU32">
            <v>3.1981636077965416</v>
          </cell>
          <cell r="BX32">
            <v>0.48000000000000015</v>
          </cell>
          <cell r="BZ32">
            <v>3.1981636077965416</v>
          </cell>
          <cell r="CC32">
            <v>0.48000000000000015</v>
          </cell>
          <cell r="CE32">
            <v>3.1981636077965416</v>
          </cell>
          <cell r="CH32">
            <v>0.48000000000000015</v>
          </cell>
          <cell r="CJ32">
            <v>3.1981636077965416</v>
          </cell>
          <cell r="CM32">
            <v>0.48000000000000015</v>
          </cell>
          <cell r="CO32">
            <v>3.1981636077965416</v>
          </cell>
          <cell r="CR32">
            <v>0.48000000000000015</v>
          </cell>
          <cell r="CT32">
            <v>3.1981636077965416</v>
          </cell>
          <cell r="CW32">
            <v>0.48000000000000015</v>
          </cell>
          <cell r="CY32">
            <v>3.1981636077965416</v>
          </cell>
          <cell r="DB32">
            <v>0.48000000000000015</v>
          </cell>
          <cell r="DD32">
            <v>3.1981636077965416</v>
          </cell>
          <cell r="DG32">
            <v>0.48000000000000015</v>
          </cell>
          <cell r="DI32">
            <v>3.1981636077965416</v>
          </cell>
          <cell r="DL32">
            <v>0.48000000000000015</v>
          </cell>
          <cell r="DN32">
            <v>3.1981636077965416</v>
          </cell>
          <cell r="DQ32">
            <v>0.48000000000000015</v>
          </cell>
          <cell r="DS32">
            <v>3.1981636077965416</v>
          </cell>
          <cell r="DV32">
            <v>0.48000000000000015</v>
          </cell>
          <cell r="DX32">
            <v>3.1981636077965416</v>
          </cell>
          <cell r="EA32">
            <v>0.48000000000000015</v>
          </cell>
          <cell r="EC32">
            <v>3.1981636077965416</v>
          </cell>
          <cell r="EF32">
            <v>0.48000000000000015</v>
          </cell>
          <cell r="EH32">
            <v>3.1981636077965416</v>
          </cell>
          <cell r="EK32">
            <v>0.48000000000000015</v>
          </cell>
          <cell r="EM32">
            <v>3.1981636077965416</v>
          </cell>
          <cell r="EP32">
            <v>0.48000000000000015</v>
          </cell>
          <cell r="ER32">
            <v>3.1981636077965416</v>
          </cell>
          <cell r="EU32">
            <v>0.48000000000000015</v>
          </cell>
          <cell r="EW32">
            <v>3.1981636077965416</v>
          </cell>
        </row>
        <row r="33">
          <cell r="U33">
            <v>0.50000000000000011</v>
          </cell>
          <cell r="W33">
            <v>3.2892306823566422</v>
          </cell>
          <cell r="Z33">
            <v>0.50000000000000011</v>
          </cell>
          <cell r="AB33">
            <v>3.2892306823566422</v>
          </cell>
          <cell r="AE33">
            <v>0.50000000000000011</v>
          </cell>
          <cell r="AG33">
            <v>3.2892306823566422</v>
          </cell>
          <cell r="AJ33">
            <v>0.50000000000000011</v>
          </cell>
          <cell r="AL33">
            <v>3.2892306823566422</v>
          </cell>
          <cell r="AO33">
            <v>0.50000000000000011</v>
          </cell>
          <cell r="AQ33">
            <v>3.2892306823566422</v>
          </cell>
          <cell r="AT33">
            <v>0.50000000000000011</v>
          </cell>
          <cell r="AV33">
            <v>3.2892306823566422</v>
          </cell>
          <cell r="AY33">
            <v>0.50000000000000011</v>
          </cell>
          <cell r="BA33">
            <v>3.2892306823566422</v>
          </cell>
          <cell r="BD33">
            <v>0.50000000000000011</v>
          </cell>
          <cell r="BF33">
            <v>3.2892306823566422</v>
          </cell>
          <cell r="BI33">
            <v>0.50000000000000011</v>
          </cell>
          <cell r="BK33">
            <v>3.2892306823566422</v>
          </cell>
          <cell r="BN33">
            <v>0.50000000000000011</v>
          </cell>
          <cell r="BP33">
            <v>3.2892306823566422</v>
          </cell>
          <cell r="BS33">
            <v>0.50000000000000011</v>
          </cell>
          <cell r="BU33">
            <v>3.2892306823566422</v>
          </cell>
          <cell r="BX33">
            <v>0.50000000000000011</v>
          </cell>
          <cell r="BZ33">
            <v>3.2892306823566422</v>
          </cell>
          <cell r="CC33">
            <v>0.50000000000000011</v>
          </cell>
          <cell r="CE33">
            <v>3.2892306823566422</v>
          </cell>
          <cell r="CH33">
            <v>0.50000000000000011</v>
          </cell>
          <cell r="CJ33">
            <v>3.2892306823566422</v>
          </cell>
          <cell r="CM33">
            <v>0.50000000000000011</v>
          </cell>
          <cell r="CO33">
            <v>3.2892306823566422</v>
          </cell>
          <cell r="CR33">
            <v>0.50000000000000011</v>
          </cell>
          <cell r="CT33">
            <v>3.2892306823566422</v>
          </cell>
          <cell r="CW33">
            <v>0.50000000000000011</v>
          </cell>
          <cell r="CY33">
            <v>3.2892306823566422</v>
          </cell>
          <cell r="DB33">
            <v>0.50000000000000011</v>
          </cell>
          <cell r="DD33">
            <v>3.2892306823566422</v>
          </cell>
          <cell r="DG33">
            <v>0.50000000000000011</v>
          </cell>
          <cell r="DI33">
            <v>3.2892306823566422</v>
          </cell>
          <cell r="DL33">
            <v>0.50000000000000011</v>
          </cell>
          <cell r="DN33">
            <v>3.2892306823566422</v>
          </cell>
          <cell r="DQ33">
            <v>0.50000000000000011</v>
          </cell>
          <cell r="DS33">
            <v>3.2892306823566422</v>
          </cell>
          <cell r="DV33">
            <v>0.50000000000000011</v>
          </cell>
          <cell r="DX33">
            <v>3.2892306823566422</v>
          </cell>
          <cell r="EA33">
            <v>0.50000000000000011</v>
          </cell>
          <cell r="EC33">
            <v>3.2892306823566422</v>
          </cell>
          <cell r="EF33">
            <v>0.50000000000000011</v>
          </cell>
          <cell r="EH33">
            <v>3.2892306823566422</v>
          </cell>
          <cell r="EK33">
            <v>0.50000000000000011</v>
          </cell>
          <cell r="EM33">
            <v>3.2892306823566422</v>
          </cell>
          <cell r="EP33">
            <v>0.50000000000000011</v>
          </cell>
          <cell r="ER33">
            <v>3.2892306823566422</v>
          </cell>
          <cell r="EU33">
            <v>0.50000000000000011</v>
          </cell>
          <cell r="EW33">
            <v>3.2892306823566422</v>
          </cell>
        </row>
        <row r="34">
          <cell r="U34">
            <v>0.52000000000000013</v>
          </cell>
          <cell r="W34">
            <v>3.3775892441888962</v>
          </cell>
          <cell r="Z34">
            <v>0.52000000000000013</v>
          </cell>
          <cell r="AB34">
            <v>3.3775892441888962</v>
          </cell>
          <cell r="AE34">
            <v>0.52000000000000013</v>
          </cell>
          <cell r="AG34">
            <v>3.3775892441888962</v>
          </cell>
          <cell r="AJ34">
            <v>0.52000000000000013</v>
          </cell>
          <cell r="AL34">
            <v>3.3775892441888962</v>
          </cell>
          <cell r="AO34">
            <v>0.52000000000000013</v>
          </cell>
          <cell r="AQ34">
            <v>3.3775892441888962</v>
          </cell>
          <cell r="AT34">
            <v>0.52000000000000013</v>
          </cell>
          <cell r="AV34">
            <v>3.3775892441888962</v>
          </cell>
          <cell r="AY34">
            <v>0.52000000000000013</v>
          </cell>
          <cell r="BA34">
            <v>3.3775892441888962</v>
          </cell>
          <cell r="BD34">
            <v>0.52000000000000013</v>
          </cell>
          <cell r="BF34">
            <v>3.3775892441888962</v>
          </cell>
          <cell r="BI34">
            <v>0.52000000000000013</v>
          </cell>
          <cell r="BK34">
            <v>3.3775892441888962</v>
          </cell>
          <cell r="BN34">
            <v>0.52000000000000013</v>
          </cell>
          <cell r="BP34">
            <v>3.3775892441888962</v>
          </cell>
          <cell r="BS34">
            <v>0.52000000000000013</v>
          </cell>
          <cell r="BU34">
            <v>3.3775892441888962</v>
          </cell>
          <cell r="BX34">
            <v>0.52000000000000013</v>
          </cell>
          <cell r="BZ34">
            <v>3.3775892441888962</v>
          </cell>
          <cell r="CC34">
            <v>0.52000000000000013</v>
          </cell>
          <cell r="CE34">
            <v>3.3775892441888962</v>
          </cell>
          <cell r="CH34">
            <v>0.52000000000000013</v>
          </cell>
          <cell r="CJ34">
            <v>3.3775892441888962</v>
          </cell>
          <cell r="CM34">
            <v>0.52000000000000013</v>
          </cell>
          <cell r="CO34">
            <v>3.3775892441888962</v>
          </cell>
          <cell r="CR34">
            <v>0.52000000000000013</v>
          </cell>
          <cell r="CT34">
            <v>3.3775892441888962</v>
          </cell>
          <cell r="CW34">
            <v>0.52000000000000013</v>
          </cell>
          <cell r="CY34">
            <v>3.3775892441888962</v>
          </cell>
          <cell r="DB34">
            <v>0.52000000000000013</v>
          </cell>
          <cell r="DD34">
            <v>3.3775892441888962</v>
          </cell>
          <cell r="DG34">
            <v>0.52000000000000013</v>
          </cell>
          <cell r="DI34">
            <v>3.3775892441888962</v>
          </cell>
          <cell r="DL34">
            <v>0.52000000000000013</v>
          </cell>
          <cell r="DN34">
            <v>3.3775892441888962</v>
          </cell>
          <cell r="DQ34">
            <v>0.52000000000000013</v>
          </cell>
          <cell r="DS34">
            <v>3.3775892441888962</v>
          </cell>
          <cell r="DV34">
            <v>0.52000000000000013</v>
          </cell>
          <cell r="DX34">
            <v>3.3775892441888962</v>
          </cell>
          <cell r="EA34">
            <v>0.52000000000000013</v>
          </cell>
          <cell r="EC34">
            <v>3.3775892441888962</v>
          </cell>
          <cell r="EF34">
            <v>0.52000000000000013</v>
          </cell>
          <cell r="EH34">
            <v>3.3775892441888962</v>
          </cell>
          <cell r="EK34">
            <v>0.52000000000000013</v>
          </cell>
          <cell r="EM34">
            <v>3.3775892441888962</v>
          </cell>
          <cell r="EP34">
            <v>0.52000000000000013</v>
          </cell>
          <cell r="ER34">
            <v>3.3775892441888962</v>
          </cell>
          <cell r="EU34">
            <v>0.52000000000000013</v>
          </cell>
          <cell r="EW34">
            <v>3.3775892441888962</v>
          </cell>
        </row>
        <row r="35">
          <cell r="U35">
            <v>0.54000000000000015</v>
          </cell>
          <cell r="W35">
            <v>3.4632392932933023</v>
          </cell>
          <cell r="Z35">
            <v>0.54000000000000015</v>
          </cell>
          <cell r="AB35">
            <v>3.4632392932933023</v>
          </cell>
          <cell r="AE35">
            <v>0.54000000000000015</v>
          </cell>
          <cell r="AG35">
            <v>3.4632392932933023</v>
          </cell>
          <cell r="AJ35">
            <v>0.54000000000000015</v>
          </cell>
          <cell r="AL35">
            <v>3.4632392932933023</v>
          </cell>
          <cell r="AO35">
            <v>0.54000000000000015</v>
          </cell>
          <cell r="AQ35">
            <v>3.4632392932933023</v>
          </cell>
          <cell r="AT35">
            <v>0.54000000000000015</v>
          </cell>
          <cell r="AV35">
            <v>3.4632392932933023</v>
          </cell>
          <cell r="AY35">
            <v>0.54000000000000015</v>
          </cell>
          <cell r="BA35">
            <v>3.4632392932933023</v>
          </cell>
          <cell r="BD35">
            <v>0.54000000000000015</v>
          </cell>
          <cell r="BF35">
            <v>3.4632392932933023</v>
          </cell>
          <cell r="BI35">
            <v>0.54000000000000015</v>
          </cell>
          <cell r="BK35">
            <v>3.4632392932933023</v>
          </cell>
          <cell r="BN35">
            <v>0.54000000000000015</v>
          </cell>
          <cell r="BP35">
            <v>3.4632392932933023</v>
          </cell>
          <cell r="BS35">
            <v>0.54000000000000015</v>
          </cell>
          <cell r="BU35">
            <v>3.4632392932933023</v>
          </cell>
          <cell r="BX35">
            <v>0.54000000000000015</v>
          </cell>
          <cell r="BZ35">
            <v>3.4632392932933023</v>
          </cell>
          <cell r="CC35">
            <v>0.54000000000000015</v>
          </cell>
          <cell r="CE35">
            <v>3.4632392932933023</v>
          </cell>
          <cell r="CH35">
            <v>0.54000000000000015</v>
          </cell>
          <cell r="CJ35">
            <v>3.4632392932933023</v>
          </cell>
          <cell r="CM35">
            <v>0.54000000000000015</v>
          </cell>
          <cell r="CO35">
            <v>3.4632392932933023</v>
          </cell>
          <cell r="CR35">
            <v>0.54000000000000015</v>
          </cell>
          <cell r="CT35">
            <v>3.4632392932933023</v>
          </cell>
          <cell r="CW35">
            <v>0.54000000000000015</v>
          </cell>
          <cell r="CY35">
            <v>3.4632392932933023</v>
          </cell>
          <cell r="DB35">
            <v>0.54000000000000015</v>
          </cell>
          <cell r="DD35">
            <v>3.4632392932933023</v>
          </cell>
          <cell r="DG35">
            <v>0.54000000000000015</v>
          </cell>
          <cell r="DI35">
            <v>3.4632392932933023</v>
          </cell>
          <cell r="DL35">
            <v>0.54000000000000015</v>
          </cell>
          <cell r="DN35">
            <v>3.4632392932933023</v>
          </cell>
          <cell r="DQ35">
            <v>0.54000000000000015</v>
          </cell>
          <cell r="DS35">
            <v>3.4632392932933023</v>
          </cell>
          <cell r="DV35">
            <v>0.54000000000000015</v>
          </cell>
          <cell r="DX35">
            <v>3.4632392932933023</v>
          </cell>
          <cell r="EA35">
            <v>0.54000000000000015</v>
          </cell>
          <cell r="EC35">
            <v>3.4632392932933023</v>
          </cell>
          <cell r="EF35">
            <v>0.54000000000000015</v>
          </cell>
          <cell r="EH35">
            <v>3.4632392932933023</v>
          </cell>
          <cell r="EK35">
            <v>0.54000000000000015</v>
          </cell>
          <cell r="EM35">
            <v>3.4632392932933023</v>
          </cell>
          <cell r="EP35">
            <v>0.54000000000000015</v>
          </cell>
          <cell r="ER35">
            <v>3.4632392932933023</v>
          </cell>
          <cell r="EU35">
            <v>0.54000000000000015</v>
          </cell>
          <cell r="EW35">
            <v>3.4632392932933023</v>
          </cell>
        </row>
        <row r="36">
          <cell r="U36">
            <v>0.56000000000000016</v>
          </cell>
          <cell r="W36">
            <v>3.5461808296698623</v>
          </cell>
          <cell r="Z36">
            <v>0.56000000000000016</v>
          </cell>
          <cell r="AB36">
            <v>3.5461808296698623</v>
          </cell>
          <cell r="AE36">
            <v>0.56000000000000016</v>
          </cell>
          <cell r="AG36">
            <v>3.5461808296698623</v>
          </cell>
          <cell r="AJ36">
            <v>0.56000000000000016</v>
          </cell>
          <cell r="AL36">
            <v>3.5461808296698623</v>
          </cell>
          <cell r="AO36">
            <v>0.56000000000000016</v>
          </cell>
          <cell r="AQ36">
            <v>3.5461808296698623</v>
          </cell>
          <cell r="AT36">
            <v>0.56000000000000016</v>
          </cell>
          <cell r="AV36">
            <v>3.5461808296698623</v>
          </cell>
          <cell r="AY36">
            <v>0.56000000000000016</v>
          </cell>
          <cell r="BA36">
            <v>3.5461808296698623</v>
          </cell>
          <cell r="BD36">
            <v>0.56000000000000016</v>
          </cell>
          <cell r="BF36">
            <v>3.5461808296698623</v>
          </cell>
          <cell r="BI36">
            <v>0.56000000000000016</v>
          </cell>
          <cell r="BK36">
            <v>3.5461808296698623</v>
          </cell>
          <cell r="BN36">
            <v>0.56000000000000016</v>
          </cell>
          <cell r="BP36">
            <v>3.5461808296698623</v>
          </cell>
          <cell r="BS36">
            <v>0.56000000000000016</v>
          </cell>
          <cell r="BU36">
            <v>3.5461808296698623</v>
          </cell>
          <cell r="BX36">
            <v>0.56000000000000016</v>
          </cell>
          <cell r="BZ36">
            <v>3.5461808296698623</v>
          </cell>
          <cell r="CC36">
            <v>0.56000000000000016</v>
          </cell>
          <cell r="CE36">
            <v>3.5461808296698623</v>
          </cell>
          <cell r="CH36">
            <v>0.56000000000000016</v>
          </cell>
          <cell r="CJ36">
            <v>3.5461808296698623</v>
          </cell>
          <cell r="CM36">
            <v>0.56000000000000016</v>
          </cell>
          <cell r="CO36">
            <v>3.5461808296698623</v>
          </cell>
          <cell r="CR36">
            <v>0.56000000000000016</v>
          </cell>
          <cell r="CT36">
            <v>3.5461808296698623</v>
          </cell>
          <cell r="CW36">
            <v>0.56000000000000016</v>
          </cell>
          <cell r="CY36">
            <v>3.5461808296698623</v>
          </cell>
          <cell r="DB36">
            <v>0.56000000000000016</v>
          </cell>
          <cell r="DD36">
            <v>3.5461808296698623</v>
          </cell>
          <cell r="DG36">
            <v>0.56000000000000016</v>
          </cell>
          <cell r="DI36">
            <v>3.5461808296698623</v>
          </cell>
          <cell r="DL36">
            <v>0.56000000000000016</v>
          </cell>
          <cell r="DN36">
            <v>3.5461808296698623</v>
          </cell>
          <cell r="DQ36">
            <v>0.56000000000000016</v>
          </cell>
          <cell r="DS36">
            <v>3.5461808296698623</v>
          </cell>
          <cell r="DV36">
            <v>0.56000000000000016</v>
          </cell>
          <cell r="DX36">
            <v>3.5461808296698623</v>
          </cell>
          <cell r="EA36">
            <v>0.56000000000000016</v>
          </cell>
          <cell r="EC36">
            <v>3.5461808296698623</v>
          </cell>
          <cell r="EF36">
            <v>0.56000000000000016</v>
          </cell>
          <cell r="EH36">
            <v>3.5461808296698623</v>
          </cell>
          <cell r="EK36">
            <v>0.56000000000000016</v>
          </cell>
          <cell r="EM36">
            <v>3.5461808296698623</v>
          </cell>
          <cell r="EP36">
            <v>0.56000000000000016</v>
          </cell>
          <cell r="ER36">
            <v>3.5461808296698623</v>
          </cell>
          <cell r="EU36">
            <v>0.56000000000000016</v>
          </cell>
          <cell r="EW36">
            <v>3.5461808296698623</v>
          </cell>
        </row>
        <row r="37">
          <cell r="U37">
            <v>0.58000000000000018</v>
          </cell>
          <cell r="W37">
            <v>3.6264138533185739</v>
          </cell>
          <cell r="Z37">
            <v>0.58000000000000018</v>
          </cell>
          <cell r="AB37">
            <v>3.6264138533185739</v>
          </cell>
          <cell r="AE37">
            <v>0.58000000000000018</v>
          </cell>
          <cell r="AG37">
            <v>3.6264138533185739</v>
          </cell>
          <cell r="AJ37">
            <v>0.58000000000000018</v>
          </cell>
          <cell r="AL37">
            <v>3.6264138533185739</v>
          </cell>
          <cell r="AO37">
            <v>0.58000000000000018</v>
          </cell>
          <cell r="AQ37">
            <v>3.6264138533185739</v>
          </cell>
          <cell r="AT37">
            <v>0.58000000000000018</v>
          </cell>
          <cell r="AV37">
            <v>3.6264138533185739</v>
          </cell>
          <cell r="AY37">
            <v>0.58000000000000018</v>
          </cell>
          <cell r="BA37">
            <v>3.6264138533185739</v>
          </cell>
          <cell r="BD37">
            <v>0.58000000000000018</v>
          </cell>
          <cell r="BF37">
            <v>3.6264138533185739</v>
          </cell>
          <cell r="BI37">
            <v>0.58000000000000018</v>
          </cell>
          <cell r="BK37">
            <v>3.6264138533185739</v>
          </cell>
          <cell r="BN37">
            <v>0.58000000000000018</v>
          </cell>
          <cell r="BP37">
            <v>3.6264138533185739</v>
          </cell>
          <cell r="BS37">
            <v>0.58000000000000018</v>
          </cell>
          <cell r="BU37">
            <v>3.6264138533185739</v>
          </cell>
          <cell r="BX37">
            <v>0.58000000000000018</v>
          </cell>
          <cell r="BZ37">
            <v>3.6264138533185739</v>
          </cell>
          <cell r="CC37">
            <v>0.58000000000000018</v>
          </cell>
          <cell r="CE37">
            <v>3.6264138533185739</v>
          </cell>
          <cell r="CH37">
            <v>0.58000000000000018</v>
          </cell>
          <cell r="CJ37">
            <v>3.6264138533185739</v>
          </cell>
          <cell r="CM37">
            <v>0.58000000000000018</v>
          </cell>
          <cell r="CO37">
            <v>3.6264138533185739</v>
          </cell>
          <cell r="CR37">
            <v>0.58000000000000018</v>
          </cell>
          <cell r="CT37">
            <v>3.6264138533185739</v>
          </cell>
          <cell r="CW37">
            <v>0.58000000000000018</v>
          </cell>
          <cell r="CY37">
            <v>3.6264138533185739</v>
          </cell>
          <cell r="DB37">
            <v>0.58000000000000018</v>
          </cell>
          <cell r="DD37">
            <v>3.6264138533185739</v>
          </cell>
          <cell r="DG37">
            <v>0.58000000000000018</v>
          </cell>
          <cell r="DI37">
            <v>3.6264138533185739</v>
          </cell>
          <cell r="DL37">
            <v>0.58000000000000018</v>
          </cell>
          <cell r="DN37">
            <v>3.6264138533185739</v>
          </cell>
          <cell r="DQ37">
            <v>0.58000000000000018</v>
          </cell>
          <cell r="DS37">
            <v>3.6264138533185739</v>
          </cell>
          <cell r="DV37">
            <v>0.58000000000000018</v>
          </cell>
          <cell r="DX37">
            <v>3.6264138533185739</v>
          </cell>
          <cell r="EA37">
            <v>0.58000000000000018</v>
          </cell>
          <cell r="EC37">
            <v>3.6264138533185739</v>
          </cell>
          <cell r="EF37">
            <v>0.58000000000000018</v>
          </cell>
          <cell r="EH37">
            <v>3.6264138533185739</v>
          </cell>
          <cell r="EK37">
            <v>0.58000000000000018</v>
          </cell>
          <cell r="EM37">
            <v>3.6264138533185739</v>
          </cell>
          <cell r="EP37">
            <v>0.58000000000000018</v>
          </cell>
          <cell r="ER37">
            <v>3.6264138533185739</v>
          </cell>
          <cell r="EU37">
            <v>0.58000000000000018</v>
          </cell>
          <cell r="EW37">
            <v>3.6264138533185739</v>
          </cell>
        </row>
        <row r="38">
          <cell r="U38">
            <v>0.6000000000000002</v>
          </cell>
          <cell r="W38">
            <v>3.7039383642394395</v>
          </cell>
          <cell r="Z38">
            <v>0.6000000000000002</v>
          </cell>
          <cell r="AB38">
            <v>3.7039383642394395</v>
          </cell>
          <cell r="AE38">
            <v>0.6000000000000002</v>
          </cell>
          <cell r="AG38">
            <v>3.7039383642394395</v>
          </cell>
          <cell r="AJ38">
            <v>0.6000000000000002</v>
          </cell>
          <cell r="AL38">
            <v>3.7039383642394395</v>
          </cell>
          <cell r="AO38">
            <v>0.6000000000000002</v>
          </cell>
          <cell r="AQ38">
            <v>3.7039383642394395</v>
          </cell>
          <cell r="AT38">
            <v>0.6000000000000002</v>
          </cell>
          <cell r="AV38">
            <v>3.7039383642394395</v>
          </cell>
          <cell r="AY38">
            <v>0.6000000000000002</v>
          </cell>
          <cell r="BA38">
            <v>3.7039383642394395</v>
          </cell>
          <cell r="BD38">
            <v>0.6000000000000002</v>
          </cell>
          <cell r="BF38">
            <v>3.7039383642394395</v>
          </cell>
          <cell r="BI38">
            <v>0.6000000000000002</v>
          </cell>
          <cell r="BK38">
            <v>3.7039383642394395</v>
          </cell>
          <cell r="BN38">
            <v>0.6000000000000002</v>
          </cell>
          <cell r="BP38">
            <v>3.7039383642394395</v>
          </cell>
          <cell r="BS38">
            <v>0.6000000000000002</v>
          </cell>
          <cell r="BU38">
            <v>3.7039383642394395</v>
          </cell>
          <cell r="BX38">
            <v>0.6000000000000002</v>
          </cell>
          <cell r="BZ38">
            <v>3.7039383642394395</v>
          </cell>
          <cell r="CC38">
            <v>0.6000000000000002</v>
          </cell>
          <cell r="CE38">
            <v>3.7039383642394395</v>
          </cell>
          <cell r="CH38">
            <v>0.6000000000000002</v>
          </cell>
          <cell r="CJ38">
            <v>3.7039383642394395</v>
          </cell>
          <cell r="CM38">
            <v>0.6000000000000002</v>
          </cell>
          <cell r="CO38">
            <v>3.7039383642394395</v>
          </cell>
          <cell r="CR38">
            <v>0.6000000000000002</v>
          </cell>
          <cell r="CT38">
            <v>3.7039383642394395</v>
          </cell>
          <cell r="CW38">
            <v>0.6000000000000002</v>
          </cell>
          <cell r="CY38">
            <v>3.7039383642394395</v>
          </cell>
          <cell r="DB38">
            <v>0.6000000000000002</v>
          </cell>
          <cell r="DD38">
            <v>3.7039383642394395</v>
          </cell>
          <cell r="DG38">
            <v>0.6000000000000002</v>
          </cell>
          <cell r="DI38">
            <v>3.7039383642394395</v>
          </cell>
          <cell r="DL38">
            <v>0.6000000000000002</v>
          </cell>
          <cell r="DN38">
            <v>3.7039383642394395</v>
          </cell>
          <cell r="DQ38">
            <v>0.6000000000000002</v>
          </cell>
          <cell r="DS38">
            <v>3.7039383642394395</v>
          </cell>
          <cell r="DV38">
            <v>0.6000000000000002</v>
          </cell>
          <cell r="DX38">
            <v>3.7039383642394395</v>
          </cell>
          <cell r="EA38">
            <v>0.6000000000000002</v>
          </cell>
          <cell r="EC38">
            <v>3.7039383642394395</v>
          </cell>
          <cell r="EF38">
            <v>0.6000000000000002</v>
          </cell>
          <cell r="EH38">
            <v>3.7039383642394395</v>
          </cell>
          <cell r="EK38">
            <v>0.6000000000000002</v>
          </cell>
          <cell r="EM38">
            <v>3.7039383642394395</v>
          </cell>
          <cell r="EP38">
            <v>0.6000000000000002</v>
          </cell>
          <cell r="ER38">
            <v>3.7039383642394395</v>
          </cell>
          <cell r="EU38">
            <v>0.6000000000000002</v>
          </cell>
          <cell r="EW38">
            <v>3.7039383642394395</v>
          </cell>
        </row>
        <row r="39">
          <cell r="U39">
            <v>0.62000000000000022</v>
          </cell>
          <cell r="W39">
            <v>3.7787543624324571</v>
          </cell>
          <cell r="Z39">
            <v>0.62000000000000022</v>
          </cell>
          <cell r="AB39">
            <v>3.7787543624324571</v>
          </cell>
          <cell r="AE39">
            <v>0.62000000000000022</v>
          </cell>
          <cell r="AG39">
            <v>3.7787543624324571</v>
          </cell>
          <cell r="AJ39">
            <v>0.62000000000000022</v>
          </cell>
          <cell r="AL39">
            <v>3.7787543624324571</v>
          </cell>
          <cell r="AO39">
            <v>0.62000000000000022</v>
          </cell>
          <cell r="AQ39">
            <v>3.7787543624324571</v>
          </cell>
          <cell r="AT39">
            <v>0.62000000000000022</v>
          </cell>
          <cell r="AV39">
            <v>3.7787543624324571</v>
          </cell>
          <cell r="AY39">
            <v>0.62000000000000022</v>
          </cell>
          <cell r="BA39">
            <v>3.7787543624324571</v>
          </cell>
          <cell r="BD39">
            <v>0.62000000000000022</v>
          </cell>
          <cell r="BF39">
            <v>3.7787543624324571</v>
          </cell>
          <cell r="BI39">
            <v>0.62000000000000022</v>
          </cell>
          <cell r="BK39">
            <v>3.7787543624324571</v>
          </cell>
          <cell r="BN39">
            <v>0.62000000000000022</v>
          </cell>
          <cell r="BP39">
            <v>3.7787543624324571</v>
          </cell>
          <cell r="BS39">
            <v>0.62000000000000022</v>
          </cell>
          <cell r="BU39">
            <v>3.7787543624324571</v>
          </cell>
          <cell r="BX39">
            <v>0.62000000000000022</v>
          </cell>
          <cell r="BZ39">
            <v>3.7787543624324571</v>
          </cell>
          <cell r="CC39">
            <v>0.62000000000000022</v>
          </cell>
          <cell r="CE39">
            <v>3.7787543624324571</v>
          </cell>
          <cell r="CH39">
            <v>0.62000000000000022</v>
          </cell>
          <cell r="CJ39">
            <v>3.7787543624324571</v>
          </cell>
          <cell r="CM39">
            <v>0.62000000000000022</v>
          </cell>
          <cell r="CO39">
            <v>3.7787543624324571</v>
          </cell>
          <cell r="CR39">
            <v>0.62000000000000022</v>
          </cell>
          <cell r="CT39">
            <v>3.7787543624324571</v>
          </cell>
          <cell r="CW39">
            <v>0.62000000000000022</v>
          </cell>
          <cell r="CY39">
            <v>3.7787543624324571</v>
          </cell>
          <cell r="DB39">
            <v>0.62000000000000022</v>
          </cell>
          <cell r="DD39">
            <v>3.7787543624324571</v>
          </cell>
          <cell r="DG39">
            <v>0.62000000000000022</v>
          </cell>
          <cell r="DI39">
            <v>3.7787543624324571</v>
          </cell>
          <cell r="DL39">
            <v>0.62000000000000022</v>
          </cell>
          <cell r="DN39">
            <v>3.7787543624324571</v>
          </cell>
          <cell r="DQ39">
            <v>0.62000000000000022</v>
          </cell>
          <cell r="DS39">
            <v>3.7787543624324571</v>
          </cell>
          <cell r="DV39">
            <v>0.62000000000000022</v>
          </cell>
          <cell r="DX39">
            <v>3.7787543624324571</v>
          </cell>
          <cell r="EA39">
            <v>0.62000000000000022</v>
          </cell>
          <cell r="EC39">
            <v>3.7787543624324571</v>
          </cell>
          <cell r="EF39">
            <v>0.62000000000000022</v>
          </cell>
          <cell r="EH39">
            <v>3.7787543624324571</v>
          </cell>
          <cell r="EK39">
            <v>0.62000000000000022</v>
          </cell>
          <cell r="EM39">
            <v>3.7787543624324571</v>
          </cell>
          <cell r="EP39">
            <v>0.62000000000000022</v>
          </cell>
          <cell r="ER39">
            <v>3.7787543624324571</v>
          </cell>
          <cell r="EU39">
            <v>0.62000000000000022</v>
          </cell>
          <cell r="EW39">
            <v>3.7787543624324571</v>
          </cell>
        </row>
        <row r="40">
          <cell r="U40">
            <v>0.64000000000000024</v>
          </cell>
          <cell r="W40">
            <v>3.8508618478976286</v>
          </cell>
          <cell r="Z40">
            <v>0.64000000000000024</v>
          </cell>
          <cell r="AB40">
            <v>3.8508618478976286</v>
          </cell>
          <cell r="AE40">
            <v>0.64000000000000024</v>
          </cell>
          <cell r="AG40">
            <v>3.8508618478976286</v>
          </cell>
          <cell r="AJ40">
            <v>0.64000000000000024</v>
          </cell>
          <cell r="AL40">
            <v>3.8508618478976286</v>
          </cell>
          <cell r="AO40">
            <v>0.64000000000000024</v>
          </cell>
          <cell r="AQ40">
            <v>3.8508618478976286</v>
          </cell>
          <cell r="AT40">
            <v>0.64000000000000024</v>
          </cell>
          <cell r="AV40">
            <v>3.8508618478976286</v>
          </cell>
          <cell r="AY40">
            <v>0.64000000000000024</v>
          </cell>
          <cell r="BA40">
            <v>3.8508618478976286</v>
          </cell>
          <cell r="BD40">
            <v>0.64000000000000024</v>
          </cell>
          <cell r="BF40">
            <v>3.8508618478976286</v>
          </cell>
          <cell r="BI40">
            <v>0.64000000000000024</v>
          </cell>
          <cell r="BK40">
            <v>3.8508618478976286</v>
          </cell>
          <cell r="BN40">
            <v>0.64000000000000024</v>
          </cell>
          <cell r="BP40">
            <v>3.8508618478976286</v>
          </cell>
          <cell r="BS40">
            <v>0.64000000000000024</v>
          </cell>
          <cell r="BU40">
            <v>3.8508618478976286</v>
          </cell>
          <cell r="BX40">
            <v>0.64000000000000024</v>
          </cell>
          <cell r="BZ40">
            <v>3.8508618478976286</v>
          </cell>
          <cell r="CC40">
            <v>0.64000000000000024</v>
          </cell>
          <cell r="CE40">
            <v>3.8508618478976286</v>
          </cell>
          <cell r="CH40">
            <v>0.64000000000000024</v>
          </cell>
          <cell r="CJ40">
            <v>3.8508618478976286</v>
          </cell>
          <cell r="CM40">
            <v>0.64000000000000024</v>
          </cell>
          <cell r="CO40">
            <v>3.8508618478976286</v>
          </cell>
          <cell r="CR40">
            <v>0.64000000000000024</v>
          </cell>
          <cell r="CT40">
            <v>3.8508618478976286</v>
          </cell>
          <cell r="CW40">
            <v>0.64000000000000024</v>
          </cell>
          <cell r="CY40">
            <v>3.8508618478976286</v>
          </cell>
          <cell r="DB40">
            <v>0.64000000000000024</v>
          </cell>
          <cell r="DD40">
            <v>3.8508618478976286</v>
          </cell>
          <cell r="DG40">
            <v>0.64000000000000024</v>
          </cell>
          <cell r="DI40">
            <v>3.8508618478976286</v>
          </cell>
          <cell r="DL40">
            <v>0.64000000000000024</v>
          </cell>
          <cell r="DN40">
            <v>3.8508618478976286</v>
          </cell>
          <cell r="DQ40">
            <v>0.64000000000000024</v>
          </cell>
          <cell r="DS40">
            <v>3.8508618478976286</v>
          </cell>
          <cell r="DV40">
            <v>0.64000000000000024</v>
          </cell>
          <cell r="DX40">
            <v>3.8508618478976286</v>
          </cell>
          <cell r="EA40">
            <v>0.64000000000000024</v>
          </cell>
          <cell r="EC40">
            <v>3.8508618478976286</v>
          </cell>
          <cell r="EF40">
            <v>0.64000000000000024</v>
          </cell>
          <cell r="EH40">
            <v>3.8508618478976286</v>
          </cell>
          <cell r="EK40">
            <v>0.64000000000000024</v>
          </cell>
          <cell r="EM40">
            <v>3.8508618478976286</v>
          </cell>
          <cell r="EP40">
            <v>0.64000000000000024</v>
          </cell>
          <cell r="ER40">
            <v>3.8508618478976286</v>
          </cell>
          <cell r="EU40">
            <v>0.64000000000000024</v>
          </cell>
          <cell r="EW40">
            <v>3.8508618478976286</v>
          </cell>
        </row>
        <row r="41">
          <cell r="U41">
            <v>0.66000000000000025</v>
          </cell>
          <cell r="W41">
            <v>3.9202608206349523</v>
          </cell>
          <cell r="Z41">
            <v>0.66000000000000025</v>
          </cell>
          <cell r="AB41">
            <v>3.9202608206349523</v>
          </cell>
          <cell r="AE41">
            <v>0.66000000000000025</v>
          </cell>
          <cell r="AG41">
            <v>3.9202608206349523</v>
          </cell>
          <cell r="AJ41">
            <v>0.66000000000000025</v>
          </cell>
          <cell r="AL41">
            <v>3.9202608206349523</v>
          </cell>
          <cell r="AO41">
            <v>0.66000000000000025</v>
          </cell>
          <cell r="AQ41">
            <v>3.9202608206349523</v>
          </cell>
          <cell r="AT41">
            <v>0.66000000000000025</v>
          </cell>
          <cell r="AV41">
            <v>3.9202608206349523</v>
          </cell>
          <cell r="AY41">
            <v>0.66000000000000025</v>
          </cell>
          <cell r="BA41">
            <v>3.9202608206349523</v>
          </cell>
          <cell r="BD41">
            <v>0.66000000000000025</v>
          </cell>
          <cell r="BF41">
            <v>3.9202608206349523</v>
          </cell>
          <cell r="BI41">
            <v>0.66000000000000025</v>
          </cell>
          <cell r="BK41">
            <v>3.9202608206349523</v>
          </cell>
          <cell r="BN41">
            <v>0.66000000000000025</v>
          </cell>
          <cell r="BP41">
            <v>3.9202608206349523</v>
          </cell>
          <cell r="BS41">
            <v>0.66000000000000025</v>
          </cell>
          <cell r="BU41">
            <v>3.9202608206349523</v>
          </cell>
          <cell r="BX41">
            <v>0.66000000000000025</v>
          </cell>
          <cell r="BZ41">
            <v>3.9202608206349523</v>
          </cell>
          <cell r="CC41">
            <v>0.66000000000000025</v>
          </cell>
          <cell r="CE41">
            <v>3.9202608206349523</v>
          </cell>
          <cell r="CH41">
            <v>0.66000000000000025</v>
          </cell>
          <cell r="CJ41">
            <v>3.9202608206349523</v>
          </cell>
          <cell r="CM41">
            <v>0.66000000000000025</v>
          </cell>
          <cell r="CO41">
            <v>3.9202608206349523</v>
          </cell>
          <cell r="CR41">
            <v>0.66000000000000025</v>
          </cell>
          <cell r="CT41">
            <v>3.9202608206349523</v>
          </cell>
          <cell r="CW41">
            <v>0.66000000000000025</v>
          </cell>
          <cell r="CY41">
            <v>3.9202608206349523</v>
          </cell>
          <cell r="DB41">
            <v>0.66000000000000025</v>
          </cell>
          <cell r="DD41">
            <v>3.9202608206349523</v>
          </cell>
          <cell r="DG41">
            <v>0.66000000000000025</v>
          </cell>
          <cell r="DI41">
            <v>3.9202608206349523</v>
          </cell>
          <cell r="DL41">
            <v>0.66000000000000025</v>
          </cell>
          <cell r="DN41">
            <v>3.9202608206349523</v>
          </cell>
          <cell r="DQ41">
            <v>0.66000000000000025</v>
          </cell>
          <cell r="DS41">
            <v>3.9202608206349523</v>
          </cell>
          <cell r="DV41">
            <v>0.66000000000000025</v>
          </cell>
          <cell r="DX41">
            <v>3.9202608206349523</v>
          </cell>
          <cell r="EA41">
            <v>0.66000000000000025</v>
          </cell>
          <cell r="EC41">
            <v>3.9202608206349523</v>
          </cell>
          <cell r="EF41">
            <v>0.66000000000000025</v>
          </cell>
          <cell r="EH41">
            <v>3.9202608206349523</v>
          </cell>
          <cell r="EK41">
            <v>0.66000000000000025</v>
          </cell>
          <cell r="EM41">
            <v>3.9202608206349523</v>
          </cell>
          <cell r="EP41">
            <v>0.66000000000000025</v>
          </cell>
          <cell r="ER41">
            <v>3.9202608206349523</v>
          </cell>
          <cell r="EU41">
            <v>0.66000000000000025</v>
          </cell>
          <cell r="EW41">
            <v>3.9202608206349523</v>
          </cell>
        </row>
        <row r="42">
          <cell r="U42">
            <v>0.68000000000000027</v>
          </cell>
          <cell r="W42">
            <v>3.9869512806444294</v>
          </cell>
          <cell r="Z42">
            <v>0.68000000000000027</v>
          </cell>
          <cell r="AB42">
            <v>3.9869512806444294</v>
          </cell>
          <cell r="AE42">
            <v>0.68000000000000027</v>
          </cell>
          <cell r="AG42">
            <v>3.9869512806444294</v>
          </cell>
          <cell r="AJ42">
            <v>0.68000000000000027</v>
          </cell>
          <cell r="AL42">
            <v>3.9869512806444294</v>
          </cell>
          <cell r="AO42">
            <v>0.68000000000000027</v>
          </cell>
          <cell r="AQ42">
            <v>3.9869512806444294</v>
          </cell>
          <cell r="AT42">
            <v>0.68000000000000027</v>
          </cell>
          <cell r="AV42">
            <v>3.9869512806444294</v>
          </cell>
          <cell r="AY42">
            <v>0.68000000000000027</v>
          </cell>
          <cell r="BA42">
            <v>3.9869512806444294</v>
          </cell>
          <cell r="BD42">
            <v>0.68000000000000027</v>
          </cell>
          <cell r="BF42">
            <v>3.9869512806444294</v>
          </cell>
          <cell r="BI42">
            <v>0.68000000000000027</v>
          </cell>
          <cell r="BK42">
            <v>3.9869512806444294</v>
          </cell>
          <cell r="BN42">
            <v>0.68000000000000027</v>
          </cell>
          <cell r="BP42">
            <v>3.9869512806444294</v>
          </cell>
          <cell r="BS42">
            <v>0.68000000000000027</v>
          </cell>
          <cell r="BU42">
            <v>3.9869512806444294</v>
          </cell>
          <cell r="BX42">
            <v>0.68000000000000027</v>
          </cell>
          <cell r="BZ42">
            <v>3.9869512806444294</v>
          </cell>
          <cell r="CC42">
            <v>0.68000000000000027</v>
          </cell>
          <cell r="CE42">
            <v>3.9869512806444294</v>
          </cell>
          <cell r="CH42">
            <v>0.68000000000000027</v>
          </cell>
          <cell r="CJ42">
            <v>3.9869512806444294</v>
          </cell>
          <cell r="CM42">
            <v>0.68000000000000027</v>
          </cell>
          <cell r="CO42">
            <v>3.9869512806444294</v>
          </cell>
          <cell r="CR42">
            <v>0.68000000000000027</v>
          </cell>
          <cell r="CT42">
            <v>3.9869512806444294</v>
          </cell>
          <cell r="CW42">
            <v>0.68000000000000027</v>
          </cell>
          <cell r="CY42">
            <v>3.9869512806444294</v>
          </cell>
          <cell r="DB42">
            <v>0.68000000000000027</v>
          </cell>
          <cell r="DD42">
            <v>3.9869512806444294</v>
          </cell>
          <cell r="DG42">
            <v>0.68000000000000027</v>
          </cell>
          <cell r="DI42">
            <v>3.9869512806444294</v>
          </cell>
          <cell r="DL42">
            <v>0.68000000000000027</v>
          </cell>
          <cell r="DN42">
            <v>3.9869512806444294</v>
          </cell>
          <cell r="DQ42">
            <v>0.68000000000000027</v>
          </cell>
          <cell r="DS42">
            <v>3.9869512806444294</v>
          </cell>
          <cell r="DV42">
            <v>0.68000000000000027</v>
          </cell>
          <cell r="DX42">
            <v>3.9869512806444294</v>
          </cell>
          <cell r="EA42">
            <v>0.68000000000000027</v>
          </cell>
          <cell r="EC42">
            <v>3.9869512806444294</v>
          </cell>
          <cell r="EF42">
            <v>0.68000000000000027</v>
          </cell>
          <cell r="EH42">
            <v>3.9869512806444294</v>
          </cell>
          <cell r="EK42">
            <v>0.68000000000000027</v>
          </cell>
          <cell r="EM42">
            <v>3.9869512806444294</v>
          </cell>
          <cell r="EP42">
            <v>0.68000000000000027</v>
          </cell>
          <cell r="ER42">
            <v>3.9869512806444294</v>
          </cell>
          <cell r="EU42">
            <v>0.68000000000000027</v>
          </cell>
          <cell r="EW42">
            <v>3.9869512806444294</v>
          </cell>
        </row>
        <row r="43">
          <cell r="U43">
            <v>0.70000000000000029</v>
          </cell>
          <cell r="W43">
            <v>4.0509332279260599</v>
          </cell>
          <cell r="Z43">
            <v>0.70000000000000029</v>
          </cell>
          <cell r="AB43">
            <v>4.0509332279260599</v>
          </cell>
          <cell r="AE43">
            <v>0.70000000000000029</v>
          </cell>
          <cell r="AG43">
            <v>4.0509332279260599</v>
          </cell>
          <cell r="AJ43">
            <v>0.70000000000000029</v>
          </cell>
          <cell r="AL43">
            <v>4.0509332279260599</v>
          </cell>
          <cell r="AO43">
            <v>0.70000000000000029</v>
          </cell>
          <cell r="AQ43">
            <v>4.0509332279260599</v>
          </cell>
          <cell r="AT43">
            <v>0.70000000000000029</v>
          </cell>
          <cell r="AV43">
            <v>4.0509332279260599</v>
          </cell>
          <cell r="AY43">
            <v>0.70000000000000029</v>
          </cell>
          <cell r="BA43">
            <v>4.0509332279260599</v>
          </cell>
          <cell r="BD43">
            <v>0.70000000000000029</v>
          </cell>
          <cell r="BF43">
            <v>4.0509332279260599</v>
          </cell>
          <cell r="BI43">
            <v>0.70000000000000029</v>
          </cell>
          <cell r="BK43">
            <v>4.0509332279260599</v>
          </cell>
          <cell r="BN43">
            <v>0.70000000000000029</v>
          </cell>
          <cell r="BP43">
            <v>4.0509332279260599</v>
          </cell>
          <cell r="BS43">
            <v>0.70000000000000029</v>
          </cell>
          <cell r="BU43">
            <v>4.0509332279260599</v>
          </cell>
          <cell r="BX43">
            <v>0.70000000000000029</v>
          </cell>
          <cell r="BZ43">
            <v>4.0509332279260599</v>
          </cell>
          <cell r="CC43">
            <v>0.70000000000000029</v>
          </cell>
          <cell r="CE43">
            <v>4.0509332279260599</v>
          </cell>
          <cell r="CH43">
            <v>0.70000000000000029</v>
          </cell>
          <cell r="CJ43">
            <v>4.0509332279260599</v>
          </cell>
          <cell r="CM43">
            <v>0.70000000000000029</v>
          </cell>
          <cell r="CO43">
            <v>4.0509332279260599</v>
          </cell>
          <cell r="CR43">
            <v>0.70000000000000029</v>
          </cell>
          <cell r="CT43">
            <v>4.0509332279260599</v>
          </cell>
          <cell r="CW43">
            <v>0.70000000000000029</v>
          </cell>
          <cell r="CY43">
            <v>4.0509332279260599</v>
          </cell>
          <cell r="DB43">
            <v>0.70000000000000029</v>
          </cell>
          <cell r="DD43">
            <v>4.0509332279260599</v>
          </cell>
          <cell r="DG43">
            <v>0.70000000000000029</v>
          </cell>
          <cell r="DI43">
            <v>4.0509332279260599</v>
          </cell>
          <cell r="DL43">
            <v>0.70000000000000029</v>
          </cell>
          <cell r="DN43">
            <v>4.0509332279260599</v>
          </cell>
          <cell r="DQ43">
            <v>0.70000000000000029</v>
          </cell>
          <cell r="DS43">
            <v>4.0509332279260599</v>
          </cell>
          <cell r="DV43">
            <v>0.70000000000000029</v>
          </cell>
          <cell r="DX43">
            <v>4.0509332279260599</v>
          </cell>
          <cell r="EA43">
            <v>0.70000000000000029</v>
          </cell>
          <cell r="EC43">
            <v>4.0509332279260599</v>
          </cell>
          <cell r="EF43">
            <v>0.70000000000000029</v>
          </cell>
          <cell r="EH43">
            <v>4.0509332279260599</v>
          </cell>
          <cell r="EK43">
            <v>0.70000000000000029</v>
          </cell>
          <cell r="EM43">
            <v>4.0509332279260599</v>
          </cell>
          <cell r="EP43">
            <v>0.70000000000000029</v>
          </cell>
          <cell r="ER43">
            <v>4.0509332279260599</v>
          </cell>
          <cell r="EU43">
            <v>0.70000000000000029</v>
          </cell>
          <cell r="EW43">
            <v>4.0509332279260599</v>
          </cell>
        </row>
        <row r="44">
          <cell r="U44">
            <v>0.72000000000000031</v>
          </cell>
          <cell r="W44">
            <v>4.1122066624798421</v>
          </cell>
          <cell r="Z44">
            <v>0.72000000000000031</v>
          </cell>
          <cell r="AB44">
            <v>4.1122066624798421</v>
          </cell>
          <cell r="AE44">
            <v>0.72000000000000031</v>
          </cell>
          <cell r="AG44">
            <v>4.1122066624798421</v>
          </cell>
          <cell r="AJ44">
            <v>0.72000000000000031</v>
          </cell>
          <cell r="AL44">
            <v>4.1122066624798421</v>
          </cell>
          <cell r="AO44">
            <v>0.72000000000000031</v>
          </cell>
          <cell r="AQ44">
            <v>4.1122066624798421</v>
          </cell>
          <cell r="AT44">
            <v>0.72000000000000031</v>
          </cell>
          <cell r="AV44">
            <v>4.1122066624798421</v>
          </cell>
          <cell r="AY44">
            <v>0.72000000000000031</v>
          </cell>
          <cell r="BA44">
            <v>4.1122066624798421</v>
          </cell>
          <cell r="BD44">
            <v>0.72000000000000031</v>
          </cell>
          <cell r="BF44">
            <v>4.1122066624798421</v>
          </cell>
          <cell r="BI44">
            <v>0.72000000000000031</v>
          </cell>
          <cell r="BK44">
            <v>4.1122066624798421</v>
          </cell>
          <cell r="BN44">
            <v>0.72000000000000031</v>
          </cell>
          <cell r="BP44">
            <v>4.1122066624798421</v>
          </cell>
          <cell r="BS44">
            <v>0.72000000000000031</v>
          </cell>
          <cell r="BU44">
            <v>4.1122066624798421</v>
          </cell>
          <cell r="BX44">
            <v>0.72000000000000031</v>
          </cell>
          <cell r="BZ44">
            <v>4.1122066624798421</v>
          </cell>
          <cell r="CC44">
            <v>0.72000000000000031</v>
          </cell>
          <cell r="CE44">
            <v>4.1122066624798421</v>
          </cell>
          <cell r="CH44">
            <v>0.72000000000000031</v>
          </cell>
          <cell r="CJ44">
            <v>4.1122066624798421</v>
          </cell>
          <cell r="CM44">
            <v>0.72000000000000031</v>
          </cell>
          <cell r="CO44">
            <v>4.1122066624798421</v>
          </cell>
          <cell r="CR44">
            <v>0.72000000000000031</v>
          </cell>
          <cell r="CT44">
            <v>4.1122066624798421</v>
          </cell>
          <cell r="CW44">
            <v>0.72000000000000031</v>
          </cell>
          <cell r="CY44">
            <v>4.1122066624798421</v>
          </cell>
          <cell r="DB44">
            <v>0.72000000000000031</v>
          </cell>
          <cell r="DD44">
            <v>4.1122066624798421</v>
          </cell>
          <cell r="DG44">
            <v>0.72000000000000031</v>
          </cell>
          <cell r="DI44">
            <v>4.1122066624798421</v>
          </cell>
          <cell r="DL44">
            <v>0.72000000000000031</v>
          </cell>
          <cell r="DN44">
            <v>4.1122066624798421</v>
          </cell>
          <cell r="DQ44">
            <v>0.72000000000000031</v>
          </cell>
          <cell r="DS44">
            <v>4.1122066624798421</v>
          </cell>
          <cell r="DV44">
            <v>0.72000000000000031</v>
          </cell>
          <cell r="DX44">
            <v>4.1122066624798421</v>
          </cell>
          <cell r="EA44">
            <v>0.72000000000000031</v>
          </cell>
          <cell r="EC44">
            <v>4.1122066624798421</v>
          </cell>
          <cell r="EF44">
            <v>0.72000000000000031</v>
          </cell>
          <cell r="EH44">
            <v>4.1122066624798421</v>
          </cell>
          <cell r="EK44">
            <v>0.72000000000000031</v>
          </cell>
          <cell r="EM44">
            <v>4.1122066624798421</v>
          </cell>
          <cell r="EP44">
            <v>0.72000000000000031</v>
          </cell>
          <cell r="ER44">
            <v>4.1122066624798421</v>
          </cell>
          <cell r="EU44">
            <v>0.72000000000000031</v>
          </cell>
          <cell r="EW44">
            <v>4.1122066624798421</v>
          </cell>
        </row>
        <row r="45">
          <cell r="U45">
            <v>0.74000000000000032</v>
          </cell>
          <cell r="W45">
            <v>4.1707715843057773</v>
          </cell>
          <cell r="Z45">
            <v>0.74000000000000032</v>
          </cell>
          <cell r="AB45">
            <v>4.1707715843057773</v>
          </cell>
          <cell r="AE45">
            <v>0.74000000000000032</v>
          </cell>
          <cell r="AG45">
            <v>4.1707715843057773</v>
          </cell>
          <cell r="AJ45">
            <v>0.74000000000000032</v>
          </cell>
          <cell r="AL45">
            <v>4.1707715843057773</v>
          </cell>
          <cell r="AO45">
            <v>0.74000000000000032</v>
          </cell>
          <cell r="AQ45">
            <v>4.1707715843057773</v>
          </cell>
          <cell r="AT45">
            <v>0.74000000000000032</v>
          </cell>
          <cell r="AV45">
            <v>4.1707715843057773</v>
          </cell>
          <cell r="AY45">
            <v>0.74000000000000032</v>
          </cell>
          <cell r="BA45">
            <v>4.1707715843057773</v>
          </cell>
          <cell r="BD45">
            <v>0.74000000000000032</v>
          </cell>
          <cell r="BF45">
            <v>4.1707715843057773</v>
          </cell>
          <cell r="BI45">
            <v>0.74000000000000032</v>
          </cell>
          <cell r="BK45">
            <v>4.1707715843057773</v>
          </cell>
          <cell r="BN45">
            <v>0.74000000000000032</v>
          </cell>
          <cell r="BP45">
            <v>4.1707715843057773</v>
          </cell>
          <cell r="BS45">
            <v>0.74000000000000032</v>
          </cell>
          <cell r="BU45">
            <v>4.1707715843057773</v>
          </cell>
          <cell r="BX45">
            <v>0.74000000000000032</v>
          </cell>
          <cell r="BZ45">
            <v>4.1707715843057773</v>
          </cell>
          <cell r="CC45">
            <v>0.74000000000000032</v>
          </cell>
          <cell r="CE45">
            <v>4.1707715843057773</v>
          </cell>
          <cell r="CH45">
            <v>0.74000000000000032</v>
          </cell>
          <cell r="CJ45">
            <v>4.1707715843057773</v>
          </cell>
          <cell r="CM45">
            <v>0.74000000000000032</v>
          </cell>
          <cell r="CO45">
            <v>4.1707715843057773</v>
          </cell>
          <cell r="CR45">
            <v>0.74000000000000032</v>
          </cell>
          <cell r="CT45">
            <v>4.1707715843057773</v>
          </cell>
          <cell r="CW45">
            <v>0.74000000000000032</v>
          </cell>
          <cell r="CY45">
            <v>4.1707715843057773</v>
          </cell>
          <cell r="DB45">
            <v>0.74000000000000032</v>
          </cell>
          <cell r="DD45">
            <v>4.1707715843057773</v>
          </cell>
          <cell r="DG45">
            <v>0.74000000000000032</v>
          </cell>
          <cell r="DI45">
            <v>4.1707715843057773</v>
          </cell>
          <cell r="DL45">
            <v>0.74000000000000032</v>
          </cell>
          <cell r="DN45">
            <v>4.1707715843057773</v>
          </cell>
          <cell r="DQ45">
            <v>0.74000000000000032</v>
          </cell>
          <cell r="DS45">
            <v>4.1707715843057773</v>
          </cell>
          <cell r="DV45">
            <v>0.74000000000000032</v>
          </cell>
          <cell r="DX45">
            <v>4.1707715843057773</v>
          </cell>
          <cell r="EA45">
            <v>0.74000000000000032</v>
          </cell>
          <cell r="EC45">
            <v>4.1707715843057773</v>
          </cell>
          <cell r="EF45">
            <v>0.74000000000000032</v>
          </cell>
          <cell r="EH45">
            <v>4.1707715843057773</v>
          </cell>
          <cell r="EK45">
            <v>0.74000000000000032</v>
          </cell>
          <cell r="EM45">
            <v>4.1707715843057773</v>
          </cell>
          <cell r="EP45">
            <v>0.74000000000000032</v>
          </cell>
          <cell r="ER45">
            <v>4.1707715843057773</v>
          </cell>
          <cell r="EU45">
            <v>0.74000000000000032</v>
          </cell>
          <cell r="EW45">
            <v>4.1707715843057773</v>
          </cell>
        </row>
        <row r="46">
          <cell r="U46">
            <v>0.76000000000000034</v>
          </cell>
          <cell r="W46">
            <v>4.2266279934038655</v>
          </cell>
          <cell r="Z46">
            <v>0.76000000000000034</v>
          </cell>
          <cell r="AB46">
            <v>4.2266279934038655</v>
          </cell>
          <cell r="AE46">
            <v>0.76000000000000034</v>
          </cell>
          <cell r="AG46">
            <v>4.2266279934038655</v>
          </cell>
          <cell r="AJ46">
            <v>0.76000000000000034</v>
          </cell>
          <cell r="AL46">
            <v>4.2266279934038655</v>
          </cell>
          <cell r="AO46">
            <v>0.76000000000000034</v>
          </cell>
          <cell r="AQ46">
            <v>4.2266279934038655</v>
          </cell>
          <cell r="AT46">
            <v>0.76000000000000034</v>
          </cell>
          <cell r="AV46">
            <v>4.2266279934038655</v>
          </cell>
          <cell r="AY46">
            <v>0.76000000000000034</v>
          </cell>
          <cell r="BA46">
            <v>4.2266279934038655</v>
          </cell>
          <cell r="BD46">
            <v>0.76000000000000034</v>
          </cell>
          <cell r="BF46">
            <v>4.2266279934038655</v>
          </cell>
          <cell r="BI46">
            <v>0.76000000000000034</v>
          </cell>
          <cell r="BK46">
            <v>4.2266279934038655</v>
          </cell>
          <cell r="BN46">
            <v>0.76000000000000034</v>
          </cell>
          <cell r="BP46">
            <v>4.2266279934038655</v>
          </cell>
          <cell r="BS46">
            <v>0.76000000000000034</v>
          </cell>
          <cell r="BU46">
            <v>4.2266279934038655</v>
          </cell>
          <cell r="BX46">
            <v>0.76000000000000034</v>
          </cell>
          <cell r="BZ46">
            <v>4.2266279934038655</v>
          </cell>
          <cell r="CC46">
            <v>0.76000000000000034</v>
          </cell>
          <cell r="CE46">
            <v>4.2266279934038655</v>
          </cell>
          <cell r="CH46">
            <v>0.76000000000000034</v>
          </cell>
          <cell r="CJ46">
            <v>4.2266279934038655</v>
          </cell>
          <cell r="CM46">
            <v>0.76000000000000034</v>
          </cell>
          <cell r="CO46">
            <v>4.2266279934038655</v>
          </cell>
          <cell r="CR46">
            <v>0.76000000000000034</v>
          </cell>
          <cell r="CT46">
            <v>4.2266279934038655</v>
          </cell>
          <cell r="CW46">
            <v>0.76000000000000034</v>
          </cell>
          <cell r="CY46">
            <v>4.2266279934038655</v>
          </cell>
          <cell r="DB46">
            <v>0.76000000000000034</v>
          </cell>
          <cell r="DD46">
            <v>4.2266279934038655</v>
          </cell>
          <cell r="DG46">
            <v>0.76000000000000034</v>
          </cell>
          <cell r="DI46">
            <v>4.2266279934038655</v>
          </cell>
          <cell r="DL46">
            <v>0.76000000000000034</v>
          </cell>
          <cell r="DN46">
            <v>4.2266279934038655</v>
          </cell>
          <cell r="DQ46">
            <v>0.76000000000000034</v>
          </cell>
          <cell r="DS46">
            <v>4.2266279934038655</v>
          </cell>
          <cell r="DV46">
            <v>0.76000000000000034</v>
          </cell>
          <cell r="DX46">
            <v>4.2266279934038655</v>
          </cell>
          <cell r="EA46">
            <v>0.76000000000000034</v>
          </cell>
          <cell r="EC46">
            <v>4.2266279934038655</v>
          </cell>
          <cell r="EF46">
            <v>0.76000000000000034</v>
          </cell>
          <cell r="EH46">
            <v>4.2266279934038655</v>
          </cell>
          <cell r="EK46">
            <v>0.76000000000000034</v>
          </cell>
          <cell r="EM46">
            <v>4.2266279934038655</v>
          </cell>
          <cell r="EP46">
            <v>0.76000000000000034</v>
          </cell>
          <cell r="ER46">
            <v>4.2266279934038655</v>
          </cell>
          <cell r="EU46">
            <v>0.76000000000000034</v>
          </cell>
          <cell r="EW46">
            <v>4.2266279934038655</v>
          </cell>
        </row>
        <row r="47">
          <cell r="U47">
            <v>0.78000000000000036</v>
          </cell>
          <cell r="W47">
            <v>4.2797758897741076</v>
          </cell>
          <cell r="Z47">
            <v>0.78000000000000036</v>
          </cell>
          <cell r="AB47">
            <v>4.2797758897741076</v>
          </cell>
          <cell r="AE47">
            <v>0.78000000000000036</v>
          </cell>
          <cell r="AG47">
            <v>4.2797758897741076</v>
          </cell>
          <cell r="AJ47">
            <v>0.78000000000000036</v>
          </cell>
          <cell r="AL47">
            <v>4.2797758897741076</v>
          </cell>
          <cell r="AO47">
            <v>0.78000000000000036</v>
          </cell>
          <cell r="AQ47">
            <v>4.2797758897741076</v>
          </cell>
          <cell r="AT47">
            <v>0.78000000000000036</v>
          </cell>
          <cell r="AV47">
            <v>4.2797758897741076</v>
          </cell>
          <cell r="AY47">
            <v>0.78000000000000036</v>
          </cell>
          <cell r="BA47">
            <v>4.2797758897741076</v>
          </cell>
          <cell r="BD47">
            <v>0.78000000000000036</v>
          </cell>
          <cell r="BF47">
            <v>4.2797758897741076</v>
          </cell>
          <cell r="BI47">
            <v>0.78000000000000036</v>
          </cell>
          <cell r="BK47">
            <v>4.2797758897741076</v>
          </cell>
          <cell r="BN47">
            <v>0.78000000000000036</v>
          </cell>
          <cell r="BP47">
            <v>4.2797758897741076</v>
          </cell>
          <cell r="BS47">
            <v>0.78000000000000036</v>
          </cell>
          <cell r="BU47">
            <v>4.2797758897741076</v>
          </cell>
          <cell r="BX47">
            <v>0.78000000000000036</v>
          </cell>
          <cell r="BZ47">
            <v>4.2797758897741076</v>
          </cell>
          <cell r="CC47">
            <v>0.78000000000000036</v>
          </cell>
          <cell r="CE47">
            <v>4.2797758897741076</v>
          </cell>
          <cell r="CH47">
            <v>0.78000000000000036</v>
          </cell>
          <cell r="CJ47">
            <v>4.2797758897741076</v>
          </cell>
          <cell r="CM47">
            <v>0.78000000000000036</v>
          </cell>
          <cell r="CO47">
            <v>4.2797758897741076</v>
          </cell>
          <cell r="CR47">
            <v>0.78000000000000036</v>
          </cell>
          <cell r="CT47">
            <v>4.2797758897741076</v>
          </cell>
          <cell r="CW47">
            <v>0.78000000000000036</v>
          </cell>
          <cell r="CY47">
            <v>4.2797758897741076</v>
          </cell>
          <cell r="DB47">
            <v>0.78000000000000036</v>
          </cell>
          <cell r="DD47">
            <v>4.2797758897741076</v>
          </cell>
          <cell r="DG47">
            <v>0.78000000000000036</v>
          </cell>
          <cell r="DI47">
            <v>4.2797758897741076</v>
          </cell>
          <cell r="DL47">
            <v>0.78000000000000036</v>
          </cell>
          <cell r="DN47">
            <v>4.2797758897741076</v>
          </cell>
          <cell r="DQ47">
            <v>0.78000000000000036</v>
          </cell>
          <cell r="DS47">
            <v>4.2797758897741076</v>
          </cell>
          <cell r="DV47">
            <v>0.78000000000000036</v>
          </cell>
          <cell r="DX47">
            <v>4.2797758897741076</v>
          </cell>
          <cell r="EA47">
            <v>0.78000000000000036</v>
          </cell>
          <cell r="EC47">
            <v>4.2797758897741076</v>
          </cell>
          <cell r="EF47">
            <v>0.78000000000000036</v>
          </cell>
          <cell r="EH47">
            <v>4.2797758897741076</v>
          </cell>
          <cell r="EK47">
            <v>0.78000000000000036</v>
          </cell>
          <cell r="EM47">
            <v>4.2797758897741076</v>
          </cell>
          <cell r="EP47">
            <v>0.78000000000000036</v>
          </cell>
          <cell r="ER47">
            <v>4.2797758897741076</v>
          </cell>
          <cell r="EU47">
            <v>0.78000000000000036</v>
          </cell>
          <cell r="EW47">
            <v>4.2797758897741076</v>
          </cell>
        </row>
        <row r="48">
          <cell r="U48">
            <v>0.80000000000000038</v>
          </cell>
          <cell r="W48">
            <v>4.3302152734165018</v>
          </cell>
          <cell r="Z48">
            <v>0.80000000000000038</v>
          </cell>
          <cell r="AB48">
            <v>4.3302152734165018</v>
          </cell>
          <cell r="AE48">
            <v>0.80000000000000038</v>
          </cell>
          <cell r="AG48">
            <v>4.3302152734165018</v>
          </cell>
          <cell r="AJ48">
            <v>0.80000000000000038</v>
          </cell>
          <cell r="AL48">
            <v>4.3302152734165018</v>
          </cell>
          <cell r="AO48">
            <v>0.80000000000000038</v>
          </cell>
          <cell r="AQ48">
            <v>4.3302152734165018</v>
          </cell>
          <cell r="AT48">
            <v>0.80000000000000038</v>
          </cell>
          <cell r="AV48">
            <v>4.3302152734165018</v>
          </cell>
          <cell r="AY48">
            <v>0.80000000000000038</v>
          </cell>
          <cell r="BA48">
            <v>4.3302152734165018</v>
          </cell>
          <cell r="BD48">
            <v>0.80000000000000038</v>
          </cell>
          <cell r="BF48">
            <v>4.3302152734165018</v>
          </cell>
          <cell r="BI48">
            <v>0.80000000000000038</v>
          </cell>
          <cell r="BK48">
            <v>4.3302152734165018</v>
          </cell>
          <cell r="BN48">
            <v>0.80000000000000038</v>
          </cell>
          <cell r="BP48">
            <v>4.3302152734165018</v>
          </cell>
          <cell r="BS48">
            <v>0.80000000000000038</v>
          </cell>
          <cell r="BU48">
            <v>4.3302152734165018</v>
          </cell>
          <cell r="BX48">
            <v>0.80000000000000038</v>
          </cell>
          <cell r="BZ48">
            <v>4.3302152734165018</v>
          </cell>
          <cell r="CC48">
            <v>0.80000000000000038</v>
          </cell>
          <cell r="CE48">
            <v>4.3302152734165018</v>
          </cell>
          <cell r="CH48">
            <v>0.80000000000000038</v>
          </cell>
          <cell r="CJ48">
            <v>4.3302152734165018</v>
          </cell>
          <cell r="CM48">
            <v>0.80000000000000038</v>
          </cell>
          <cell r="CO48">
            <v>4.3302152734165018</v>
          </cell>
          <cell r="CR48">
            <v>0.80000000000000038</v>
          </cell>
          <cell r="CT48">
            <v>4.3302152734165018</v>
          </cell>
          <cell r="CW48">
            <v>0.80000000000000038</v>
          </cell>
          <cell r="CY48">
            <v>4.3302152734165018</v>
          </cell>
          <cell r="DB48">
            <v>0.80000000000000038</v>
          </cell>
          <cell r="DD48">
            <v>4.3302152734165018</v>
          </cell>
          <cell r="DG48">
            <v>0.80000000000000038</v>
          </cell>
          <cell r="DI48">
            <v>4.3302152734165018</v>
          </cell>
          <cell r="DL48">
            <v>0.80000000000000038</v>
          </cell>
          <cell r="DN48">
            <v>4.3302152734165018</v>
          </cell>
          <cell r="DQ48">
            <v>0.80000000000000038</v>
          </cell>
          <cell r="DS48">
            <v>4.3302152734165018</v>
          </cell>
          <cell r="DV48">
            <v>0.80000000000000038</v>
          </cell>
          <cell r="DX48">
            <v>4.3302152734165018</v>
          </cell>
          <cell r="EA48">
            <v>0.80000000000000038</v>
          </cell>
          <cell r="EC48">
            <v>4.3302152734165018</v>
          </cell>
          <cell r="EF48">
            <v>0.80000000000000038</v>
          </cell>
          <cell r="EH48">
            <v>4.3302152734165018</v>
          </cell>
          <cell r="EK48">
            <v>0.80000000000000038</v>
          </cell>
          <cell r="EM48">
            <v>4.3302152734165018</v>
          </cell>
          <cell r="EP48">
            <v>0.80000000000000038</v>
          </cell>
          <cell r="ER48">
            <v>4.3302152734165018</v>
          </cell>
          <cell r="EU48">
            <v>0.80000000000000038</v>
          </cell>
          <cell r="EW48">
            <v>4.3302152734165018</v>
          </cell>
        </row>
        <row r="49">
          <cell r="U49">
            <v>0.8200000000000004</v>
          </cell>
          <cell r="W49">
            <v>4.377946144331049</v>
          </cell>
          <cell r="Z49">
            <v>0.8200000000000004</v>
          </cell>
          <cell r="AB49">
            <v>4.377946144331049</v>
          </cell>
          <cell r="AE49">
            <v>0.8200000000000004</v>
          </cell>
          <cell r="AG49">
            <v>4.377946144331049</v>
          </cell>
          <cell r="AJ49">
            <v>0.8200000000000004</v>
          </cell>
          <cell r="AL49">
            <v>4.377946144331049</v>
          </cell>
          <cell r="AO49">
            <v>0.8200000000000004</v>
          </cell>
          <cell r="AQ49">
            <v>4.377946144331049</v>
          </cell>
          <cell r="AT49">
            <v>0.8200000000000004</v>
          </cell>
          <cell r="AV49">
            <v>4.377946144331049</v>
          </cell>
          <cell r="AY49">
            <v>0.8200000000000004</v>
          </cell>
          <cell r="BA49">
            <v>4.377946144331049</v>
          </cell>
          <cell r="BD49">
            <v>0.8200000000000004</v>
          </cell>
          <cell r="BF49">
            <v>4.377946144331049</v>
          </cell>
          <cell r="BI49">
            <v>0.8200000000000004</v>
          </cell>
          <cell r="BK49">
            <v>4.377946144331049</v>
          </cell>
          <cell r="BN49">
            <v>0.8200000000000004</v>
          </cell>
          <cell r="BP49">
            <v>4.377946144331049</v>
          </cell>
          <cell r="BS49">
            <v>0.8200000000000004</v>
          </cell>
          <cell r="BU49">
            <v>4.377946144331049</v>
          </cell>
          <cell r="BX49">
            <v>0.8200000000000004</v>
          </cell>
          <cell r="BZ49">
            <v>4.377946144331049</v>
          </cell>
          <cell r="CC49">
            <v>0.8200000000000004</v>
          </cell>
          <cell r="CE49">
            <v>4.377946144331049</v>
          </cell>
          <cell r="CH49">
            <v>0.8200000000000004</v>
          </cell>
          <cell r="CJ49">
            <v>4.377946144331049</v>
          </cell>
          <cell r="CM49">
            <v>0.8200000000000004</v>
          </cell>
          <cell r="CO49">
            <v>4.377946144331049</v>
          </cell>
          <cell r="CR49">
            <v>0.8200000000000004</v>
          </cell>
          <cell r="CT49">
            <v>4.377946144331049</v>
          </cell>
          <cell r="CW49">
            <v>0.8200000000000004</v>
          </cell>
          <cell r="CY49">
            <v>4.377946144331049</v>
          </cell>
          <cell r="DB49">
            <v>0.8200000000000004</v>
          </cell>
          <cell r="DD49">
            <v>4.377946144331049</v>
          </cell>
          <cell r="DG49">
            <v>0.8200000000000004</v>
          </cell>
          <cell r="DI49">
            <v>4.377946144331049</v>
          </cell>
          <cell r="DL49">
            <v>0.8200000000000004</v>
          </cell>
          <cell r="DN49">
            <v>4.377946144331049</v>
          </cell>
          <cell r="DQ49">
            <v>0.8200000000000004</v>
          </cell>
          <cell r="DS49">
            <v>4.377946144331049</v>
          </cell>
          <cell r="DV49">
            <v>0.8200000000000004</v>
          </cell>
          <cell r="DX49">
            <v>4.377946144331049</v>
          </cell>
          <cell r="EA49">
            <v>0.8200000000000004</v>
          </cell>
          <cell r="EC49">
            <v>4.377946144331049</v>
          </cell>
          <cell r="EF49">
            <v>0.8200000000000004</v>
          </cell>
          <cell r="EH49">
            <v>4.377946144331049</v>
          </cell>
          <cell r="EK49">
            <v>0.8200000000000004</v>
          </cell>
          <cell r="EM49">
            <v>4.377946144331049</v>
          </cell>
          <cell r="EP49">
            <v>0.8200000000000004</v>
          </cell>
          <cell r="ER49">
            <v>4.377946144331049</v>
          </cell>
          <cell r="EU49">
            <v>0.8200000000000004</v>
          </cell>
          <cell r="EW49">
            <v>4.377946144331049</v>
          </cell>
        </row>
        <row r="50">
          <cell r="U50">
            <v>0.84000000000000041</v>
          </cell>
          <cell r="W50">
            <v>4.4229685025177492</v>
          </cell>
          <cell r="Z50">
            <v>0.84000000000000041</v>
          </cell>
          <cell r="AB50">
            <v>4.4229685025177492</v>
          </cell>
          <cell r="AE50">
            <v>0.84000000000000041</v>
          </cell>
          <cell r="AG50">
            <v>4.4229685025177492</v>
          </cell>
          <cell r="AJ50">
            <v>0.84000000000000041</v>
          </cell>
          <cell r="AL50">
            <v>4.4229685025177492</v>
          </cell>
          <cell r="AO50">
            <v>0.84000000000000041</v>
          </cell>
          <cell r="AQ50">
            <v>4.4229685025177492</v>
          </cell>
          <cell r="AT50">
            <v>0.84000000000000041</v>
          </cell>
          <cell r="AV50">
            <v>4.4229685025177492</v>
          </cell>
          <cell r="AY50">
            <v>0.84000000000000041</v>
          </cell>
          <cell r="BA50">
            <v>4.4229685025177492</v>
          </cell>
          <cell r="BD50">
            <v>0.84000000000000041</v>
          </cell>
          <cell r="BF50">
            <v>4.4229685025177492</v>
          </cell>
          <cell r="BI50">
            <v>0.84000000000000041</v>
          </cell>
          <cell r="BK50">
            <v>4.4229685025177492</v>
          </cell>
          <cell r="BN50">
            <v>0.84000000000000041</v>
          </cell>
          <cell r="BP50">
            <v>4.4229685025177492</v>
          </cell>
          <cell r="BS50">
            <v>0.84000000000000041</v>
          </cell>
          <cell r="BU50">
            <v>4.4229685025177492</v>
          </cell>
          <cell r="BX50">
            <v>0.84000000000000041</v>
          </cell>
          <cell r="BZ50">
            <v>4.4229685025177492</v>
          </cell>
          <cell r="CC50">
            <v>0.84000000000000041</v>
          </cell>
          <cell r="CE50">
            <v>4.4229685025177492</v>
          </cell>
          <cell r="CH50">
            <v>0.84000000000000041</v>
          </cell>
          <cell r="CJ50">
            <v>4.4229685025177492</v>
          </cell>
          <cell r="CM50">
            <v>0.84000000000000041</v>
          </cell>
          <cell r="CO50">
            <v>4.4229685025177492</v>
          </cell>
          <cell r="CR50">
            <v>0.84000000000000041</v>
          </cell>
          <cell r="CT50">
            <v>4.4229685025177492</v>
          </cell>
          <cell r="CW50">
            <v>0.84000000000000041</v>
          </cell>
          <cell r="CY50">
            <v>4.4229685025177492</v>
          </cell>
          <cell r="DB50">
            <v>0.84000000000000041</v>
          </cell>
          <cell r="DD50">
            <v>4.4229685025177492</v>
          </cell>
          <cell r="DG50">
            <v>0.84000000000000041</v>
          </cell>
          <cell r="DI50">
            <v>4.4229685025177492</v>
          </cell>
          <cell r="DL50">
            <v>0.84000000000000041</v>
          </cell>
          <cell r="DN50">
            <v>4.4229685025177492</v>
          </cell>
          <cell r="DQ50">
            <v>0.84000000000000041</v>
          </cell>
          <cell r="DS50">
            <v>4.4229685025177492</v>
          </cell>
          <cell r="DV50">
            <v>0.84000000000000041</v>
          </cell>
          <cell r="DX50">
            <v>4.4229685025177492</v>
          </cell>
          <cell r="EA50">
            <v>0.84000000000000041</v>
          </cell>
          <cell r="EC50">
            <v>4.4229685025177492</v>
          </cell>
          <cell r="EF50">
            <v>0.84000000000000041</v>
          </cell>
          <cell r="EH50">
            <v>4.4229685025177492</v>
          </cell>
          <cell r="EK50">
            <v>0.84000000000000041</v>
          </cell>
          <cell r="EM50">
            <v>4.4229685025177492</v>
          </cell>
          <cell r="EP50">
            <v>0.84000000000000041</v>
          </cell>
          <cell r="ER50">
            <v>4.4229685025177492</v>
          </cell>
          <cell r="EU50">
            <v>0.84000000000000041</v>
          </cell>
          <cell r="EW50">
            <v>4.4229685025177492</v>
          </cell>
        </row>
        <row r="51">
          <cell r="U51">
            <v>0.86000000000000043</v>
          </cell>
          <cell r="W51">
            <v>4.4652823479766033</v>
          </cell>
          <cell r="Z51">
            <v>0.86000000000000043</v>
          </cell>
          <cell r="AB51">
            <v>4.4652823479766033</v>
          </cell>
          <cell r="AE51">
            <v>0.86000000000000043</v>
          </cell>
          <cell r="AG51">
            <v>4.4652823479766033</v>
          </cell>
          <cell r="AJ51">
            <v>0.86000000000000043</v>
          </cell>
          <cell r="AL51">
            <v>4.4652823479766033</v>
          </cell>
          <cell r="AO51">
            <v>0.86000000000000043</v>
          </cell>
          <cell r="AQ51">
            <v>4.4652823479766033</v>
          </cell>
          <cell r="AT51">
            <v>0.86000000000000043</v>
          </cell>
          <cell r="AV51">
            <v>4.4652823479766033</v>
          </cell>
          <cell r="AY51">
            <v>0.86000000000000043</v>
          </cell>
          <cell r="BA51">
            <v>4.4652823479766033</v>
          </cell>
          <cell r="BD51">
            <v>0.86000000000000043</v>
          </cell>
          <cell r="BF51">
            <v>4.4652823479766033</v>
          </cell>
          <cell r="BI51">
            <v>0.86000000000000043</v>
          </cell>
          <cell r="BK51">
            <v>4.4652823479766033</v>
          </cell>
          <cell r="BN51">
            <v>0.86000000000000043</v>
          </cell>
          <cell r="BP51">
            <v>4.4652823479766033</v>
          </cell>
          <cell r="BS51">
            <v>0.86000000000000043</v>
          </cell>
          <cell r="BU51">
            <v>4.4652823479766033</v>
          </cell>
          <cell r="BX51">
            <v>0.86000000000000043</v>
          </cell>
          <cell r="BZ51">
            <v>4.4652823479766033</v>
          </cell>
          <cell r="CC51">
            <v>0.86000000000000043</v>
          </cell>
          <cell r="CE51">
            <v>4.4652823479766033</v>
          </cell>
          <cell r="CH51">
            <v>0.86000000000000043</v>
          </cell>
          <cell r="CJ51">
            <v>4.4652823479766033</v>
          </cell>
          <cell r="CM51">
            <v>0.86000000000000043</v>
          </cell>
          <cell r="CO51">
            <v>4.4652823479766033</v>
          </cell>
          <cell r="CR51">
            <v>0.86000000000000043</v>
          </cell>
          <cell r="CT51">
            <v>4.4652823479766033</v>
          </cell>
          <cell r="CW51">
            <v>0.86000000000000043</v>
          </cell>
          <cell r="CY51">
            <v>4.4652823479766033</v>
          </cell>
          <cell r="DB51">
            <v>0.86000000000000043</v>
          </cell>
          <cell r="DD51">
            <v>4.4652823479766033</v>
          </cell>
          <cell r="DG51">
            <v>0.86000000000000043</v>
          </cell>
          <cell r="DI51">
            <v>4.4652823479766033</v>
          </cell>
          <cell r="DL51">
            <v>0.86000000000000043</v>
          </cell>
          <cell r="DN51">
            <v>4.4652823479766033</v>
          </cell>
          <cell r="DQ51">
            <v>0.86000000000000043</v>
          </cell>
          <cell r="DS51">
            <v>4.4652823479766033</v>
          </cell>
          <cell r="DV51">
            <v>0.86000000000000043</v>
          </cell>
          <cell r="DX51">
            <v>4.4652823479766033</v>
          </cell>
          <cell r="EA51">
            <v>0.86000000000000043</v>
          </cell>
          <cell r="EC51">
            <v>4.4652823479766033</v>
          </cell>
          <cell r="EF51">
            <v>0.86000000000000043</v>
          </cell>
          <cell r="EH51">
            <v>4.4652823479766033</v>
          </cell>
          <cell r="EK51">
            <v>0.86000000000000043</v>
          </cell>
          <cell r="EM51">
            <v>4.4652823479766033</v>
          </cell>
          <cell r="EP51">
            <v>0.86000000000000043</v>
          </cell>
          <cell r="ER51">
            <v>4.4652823479766033</v>
          </cell>
          <cell r="EU51">
            <v>0.86000000000000043</v>
          </cell>
          <cell r="EW51">
            <v>4.4652823479766033</v>
          </cell>
        </row>
        <row r="52">
          <cell r="U52">
            <v>0.88000000000000045</v>
          </cell>
          <cell r="W52">
            <v>4.5048876807076086</v>
          </cell>
          <cell r="Z52">
            <v>0.88000000000000045</v>
          </cell>
          <cell r="AB52">
            <v>4.5048876807076086</v>
          </cell>
          <cell r="AE52">
            <v>0.88000000000000045</v>
          </cell>
          <cell r="AG52">
            <v>4.5048876807076086</v>
          </cell>
          <cell r="AJ52">
            <v>0.88000000000000045</v>
          </cell>
          <cell r="AL52">
            <v>4.5048876807076086</v>
          </cell>
          <cell r="AO52">
            <v>0.88000000000000045</v>
          </cell>
          <cell r="AQ52">
            <v>4.5048876807076086</v>
          </cell>
          <cell r="AT52">
            <v>0.88000000000000045</v>
          </cell>
          <cell r="AV52">
            <v>4.5048876807076086</v>
          </cell>
          <cell r="AY52">
            <v>0.88000000000000045</v>
          </cell>
          <cell r="BA52">
            <v>4.5048876807076086</v>
          </cell>
          <cell r="BD52">
            <v>0.88000000000000045</v>
          </cell>
          <cell r="BF52">
            <v>4.5048876807076086</v>
          </cell>
          <cell r="BI52">
            <v>0.88000000000000045</v>
          </cell>
          <cell r="BK52">
            <v>4.5048876807076086</v>
          </cell>
          <cell r="BN52">
            <v>0.88000000000000045</v>
          </cell>
          <cell r="BP52">
            <v>4.5048876807076086</v>
          </cell>
          <cell r="BS52">
            <v>0.88000000000000045</v>
          </cell>
          <cell r="BU52">
            <v>4.5048876807076086</v>
          </cell>
          <cell r="BX52">
            <v>0.88000000000000045</v>
          </cell>
          <cell r="BZ52">
            <v>4.5048876807076086</v>
          </cell>
          <cell r="CC52">
            <v>0.88000000000000045</v>
          </cell>
          <cell r="CE52">
            <v>4.5048876807076086</v>
          </cell>
          <cell r="CH52">
            <v>0.88000000000000045</v>
          </cell>
          <cell r="CJ52">
            <v>4.5048876807076086</v>
          </cell>
          <cell r="CM52">
            <v>0.88000000000000045</v>
          </cell>
          <cell r="CO52">
            <v>4.5048876807076086</v>
          </cell>
          <cell r="CR52">
            <v>0.88000000000000045</v>
          </cell>
          <cell r="CT52">
            <v>4.5048876807076086</v>
          </cell>
          <cell r="CW52">
            <v>0.88000000000000045</v>
          </cell>
          <cell r="CY52">
            <v>4.5048876807076086</v>
          </cell>
          <cell r="DB52">
            <v>0.88000000000000045</v>
          </cell>
          <cell r="DD52">
            <v>4.5048876807076086</v>
          </cell>
          <cell r="DG52">
            <v>0.88000000000000045</v>
          </cell>
          <cell r="DI52">
            <v>4.5048876807076086</v>
          </cell>
          <cell r="DL52">
            <v>0.88000000000000045</v>
          </cell>
          <cell r="DN52">
            <v>4.5048876807076086</v>
          </cell>
          <cell r="DQ52">
            <v>0.88000000000000045</v>
          </cell>
          <cell r="DS52">
            <v>4.5048876807076086</v>
          </cell>
          <cell r="DV52">
            <v>0.88000000000000045</v>
          </cell>
          <cell r="DX52">
            <v>4.5048876807076086</v>
          </cell>
          <cell r="EA52">
            <v>0.88000000000000045</v>
          </cell>
          <cell r="EC52">
            <v>4.5048876807076086</v>
          </cell>
          <cell r="EF52">
            <v>0.88000000000000045</v>
          </cell>
          <cell r="EH52">
            <v>4.5048876807076086</v>
          </cell>
          <cell r="EK52">
            <v>0.88000000000000045</v>
          </cell>
          <cell r="EM52">
            <v>4.5048876807076086</v>
          </cell>
          <cell r="EP52">
            <v>0.88000000000000045</v>
          </cell>
          <cell r="ER52">
            <v>4.5048876807076086</v>
          </cell>
          <cell r="EU52">
            <v>0.88000000000000045</v>
          </cell>
          <cell r="EW52">
            <v>4.5048876807076086</v>
          </cell>
        </row>
        <row r="53">
          <cell r="U53">
            <v>0.90000000000000047</v>
          </cell>
          <cell r="W53">
            <v>4.5417845007107678</v>
          </cell>
          <cell r="Z53">
            <v>0.90000000000000047</v>
          </cell>
          <cell r="AB53">
            <v>4.5417845007107678</v>
          </cell>
          <cell r="AE53">
            <v>0.90000000000000047</v>
          </cell>
          <cell r="AG53">
            <v>4.5417845007107678</v>
          </cell>
          <cell r="AJ53">
            <v>0.90000000000000047</v>
          </cell>
          <cell r="AL53">
            <v>4.5417845007107678</v>
          </cell>
          <cell r="AO53">
            <v>0.90000000000000047</v>
          </cell>
          <cell r="AQ53">
            <v>4.5417845007107678</v>
          </cell>
          <cell r="AT53">
            <v>0.90000000000000047</v>
          </cell>
          <cell r="AV53">
            <v>4.5417845007107678</v>
          </cell>
          <cell r="AY53">
            <v>0.90000000000000047</v>
          </cell>
          <cell r="BA53">
            <v>4.5417845007107678</v>
          </cell>
          <cell r="BD53">
            <v>0.90000000000000047</v>
          </cell>
          <cell r="BF53">
            <v>4.5417845007107678</v>
          </cell>
          <cell r="BI53">
            <v>0.90000000000000047</v>
          </cell>
          <cell r="BK53">
            <v>4.5417845007107678</v>
          </cell>
          <cell r="BN53">
            <v>0.90000000000000047</v>
          </cell>
          <cell r="BP53">
            <v>4.5417845007107678</v>
          </cell>
          <cell r="BS53">
            <v>0.90000000000000047</v>
          </cell>
          <cell r="BU53">
            <v>4.5417845007107678</v>
          </cell>
          <cell r="BX53">
            <v>0.90000000000000047</v>
          </cell>
          <cell r="BZ53">
            <v>4.5417845007107678</v>
          </cell>
          <cell r="CC53">
            <v>0.90000000000000047</v>
          </cell>
          <cell r="CE53">
            <v>4.5417845007107678</v>
          </cell>
          <cell r="CH53">
            <v>0.90000000000000047</v>
          </cell>
          <cell r="CJ53">
            <v>4.5417845007107678</v>
          </cell>
          <cell r="CM53">
            <v>0.90000000000000047</v>
          </cell>
          <cell r="CO53">
            <v>4.5417845007107678</v>
          </cell>
          <cell r="CR53">
            <v>0.90000000000000047</v>
          </cell>
          <cell r="CT53">
            <v>4.5417845007107678</v>
          </cell>
          <cell r="CW53">
            <v>0.90000000000000047</v>
          </cell>
          <cell r="CY53">
            <v>4.5417845007107678</v>
          </cell>
          <cell r="DB53">
            <v>0.90000000000000047</v>
          </cell>
          <cell r="DD53">
            <v>4.5417845007107678</v>
          </cell>
          <cell r="DG53">
            <v>0.90000000000000047</v>
          </cell>
          <cell r="DI53">
            <v>4.5417845007107678</v>
          </cell>
          <cell r="DL53">
            <v>0.90000000000000047</v>
          </cell>
          <cell r="DN53">
            <v>4.5417845007107678</v>
          </cell>
          <cell r="DQ53">
            <v>0.90000000000000047</v>
          </cell>
          <cell r="DS53">
            <v>4.5417845007107678</v>
          </cell>
          <cell r="DV53">
            <v>0.90000000000000047</v>
          </cell>
          <cell r="DX53">
            <v>4.5417845007107678</v>
          </cell>
          <cell r="EA53">
            <v>0.90000000000000047</v>
          </cell>
          <cell r="EC53">
            <v>4.5417845007107678</v>
          </cell>
          <cell r="EF53">
            <v>0.90000000000000047</v>
          </cell>
          <cell r="EH53">
            <v>4.5417845007107678</v>
          </cell>
          <cell r="EK53">
            <v>0.90000000000000047</v>
          </cell>
          <cell r="EM53">
            <v>4.5417845007107678</v>
          </cell>
          <cell r="EP53">
            <v>0.90000000000000047</v>
          </cell>
          <cell r="ER53">
            <v>4.5417845007107678</v>
          </cell>
          <cell r="EU53">
            <v>0.90000000000000047</v>
          </cell>
          <cell r="EW53">
            <v>4.5417845007107678</v>
          </cell>
        </row>
        <row r="54">
          <cell r="U54">
            <v>0.92000000000000048</v>
          </cell>
          <cell r="W54">
            <v>4.5759728079860791</v>
          </cell>
          <cell r="Z54">
            <v>0.92000000000000048</v>
          </cell>
          <cell r="AB54">
            <v>4.5759728079860791</v>
          </cell>
          <cell r="AE54">
            <v>0.92000000000000048</v>
          </cell>
          <cell r="AG54">
            <v>4.5759728079860791</v>
          </cell>
          <cell r="AJ54">
            <v>0.92000000000000048</v>
          </cell>
          <cell r="AL54">
            <v>4.5759728079860791</v>
          </cell>
          <cell r="AO54">
            <v>0.92000000000000048</v>
          </cell>
          <cell r="AQ54">
            <v>4.5759728079860791</v>
          </cell>
          <cell r="AT54">
            <v>0.92000000000000048</v>
          </cell>
          <cell r="AV54">
            <v>4.5759728079860791</v>
          </cell>
          <cell r="AY54">
            <v>0.92000000000000048</v>
          </cell>
          <cell r="BA54">
            <v>4.5759728079860791</v>
          </cell>
          <cell r="BD54">
            <v>0.92000000000000048</v>
          </cell>
          <cell r="BF54">
            <v>4.5759728079860791</v>
          </cell>
          <cell r="BI54">
            <v>0.92000000000000048</v>
          </cell>
          <cell r="BK54">
            <v>4.5759728079860791</v>
          </cell>
          <cell r="BN54">
            <v>0.92000000000000048</v>
          </cell>
          <cell r="BP54">
            <v>4.5759728079860791</v>
          </cell>
          <cell r="BS54">
            <v>0.92000000000000048</v>
          </cell>
          <cell r="BU54">
            <v>4.5759728079860791</v>
          </cell>
          <cell r="BX54">
            <v>0.92000000000000048</v>
          </cell>
          <cell r="BZ54">
            <v>4.5759728079860791</v>
          </cell>
          <cell r="CC54">
            <v>0.92000000000000048</v>
          </cell>
          <cell r="CE54">
            <v>4.5759728079860791</v>
          </cell>
          <cell r="CH54">
            <v>0.92000000000000048</v>
          </cell>
          <cell r="CJ54">
            <v>4.5759728079860791</v>
          </cell>
          <cell r="CM54">
            <v>0.92000000000000048</v>
          </cell>
          <cell r="CO54">
            <v>4.5759728079860791</v>
          </cell>
          <cell r="CR54">
            <v>0.92000000000000048</v>
          </cell>
          <cell r="CT54">
            <v>4.5759728079860791</v>
          </cell>
          <cell r="CW54">
            <v>0.92000000000000048</v>
          </cell>
          <cell r="CY54">
            <v>4.5759728079860791</v>
          </cell>
          <cell r="DB54">
            <v>0.92000000000000048</v>
          </cell>
          <cell r="DD54">
            <v>4.5759728079860791</v>
          </cell>
          <cell r="DG54">
            <v>0.92000000000000048</v>
          </cell>
          <cell r="DI54">
            <v>4.5759728079860791</v>
          </cell>
          <cell r="DL54">
            <v>0.92000000000000048</v>
          </cell>
          <cell r="DN54">
            <v>4.5759728079860791</v>
          </cell>
          <cell r="DQ54">
            <v>0.92000000000000048</v>
          </cell>
          <cell r="DS54">
            <v>4.5759728079860791</v>
          </cell>
          <cell r="DV54">
            <v>0.92000000000000048</v>
          </cell>
          <cell r="DX54">
            <v>4.5759728079860791</v>
          </cell>
          <cell r="EA54">
            <v>0.92000000000000048</v>
          </cell>
          <cell r="EC54">
            <v>4.5759728079860791</v>
          </cell>
          <cell r="EF54">
            <v>0.92000000000000048</v>
          </cell>
          <cell r="EH54">
            <v>4.5759728079860791</v>
          </cell>
          <cell r="EK54">
            <v>0.92000000000000048</v>
          </cell>
          <cell r="EM54">
            <v>4.5759728079860791</v>
          </cell>
          <cell r="EP54">
            <v>0.92000000000000048</v>
          </cell>
          <cell r="ER54">
            <v>4.5759728079860791</v>
          </cell>
          <cell r="EU54">
            <v>0.92000000000000048</v>
          </cell>
          <cell r="EW54">
            <v>4.5759728079860791</v>
          </cell>
        </row>
        <row r="55">
          <cell r="U55">
            <v>0.9400000000000005</v>
          </cell>
          <cell r="W55">
            <v>4.6074526025335443</v>
          </cell>
          <cell r="Z55">
            <v>0.9400000000000005</v>
          </cell>
          <cell r="AB55">
            <v>4.6074526025335443</v>
          </cell>
          <cell r="AE55">
            <v>0.9400000000000005</v>
          </cell>
          <cell r="AG55">
            <v>4.6074526025335443</v>
          </cell>
          <cell r="AJ55">
            <v>0.9400000000000005</v>
          </cell>
          <cell r="AL55">
            <v>4.6074526025335443</v>
          </cell>
          <cell r="AO55">
            <v>0.9400000000000005</v>
          </cell>
          <cell r="AQ55">
            <v>4.6074526025335443</v>
          </cell>
          <cell r="AT55">
            <v>0.9400000000000005</v>
          </cell>
          <cell r="AV55">
            <v>4.6074526025335443</v>
          </cell>
          <cell r="AY55">
            <v>0.9400000000000005</v>
          </cell>
          <cell r="BA55">
            <v>4.6074526025335443</v>
          </cell>
          <cell r="BD55">
            <v>0.9400000000000005</v>
          </cell>
          <cell r="BF55">
            <v>4.6074526025335443</v>
          </cell>
          <cell r="BI55">
            <v>0.9400000000000005</v>
          </cell>
          <cell r="BK55">
            <v>4.6074526025335443</v>
          </cell>
          <cell r="BN55">
            <v>0.9400000000000005</v>
          </cell>
          <cell r="BP55">
            <v>4.6074526025335443</v>
          </cell>
          <cell r="BS55">
            <v>0.9400000000000005</v>
          </cell>
          <cell r="BU55">
            <v>4.6074526025335443</v>
          </cell>
          <cell r="BX55">
            <v>0.9400000000000005</v>
          </cell>
          <cell r="BZ55">
            <v>4.6074526025335443</v>
          </cell>
          <cell r="CC55">
            <v>0.9400000000000005</v>
          </cell>
          <cell r="CE55">
            <v>4.6074526025335443</v>
          </cell>
          <cell r="CH55">
            <v>0.9400000000000005</v>
          </cell>
          <cell r="CJ55">
            <v>4.6074526025335443</v>
          </cell>
          <cell r="CM55">
            <v>0.9400000000000005</v>
          </cell>
          <cell r="CO55">
            <v>4.6074526025335443</v>
          </cell>
          <cell r="CR55">
            <v>0.9400000000000005</v>
          </cell>
          <cell r="CT55">
            <v>4.6074526025335443</v>
          </cell>
          <cell r="CW55">
            <v>0.9400000000000005</v>
          </cell>
          <cell r="CY55">
            <v>4.6074526025335443</v>
          </cell>
          <cell r="DB55">
            <v>0.9400000000000005</v>
          </cell>
          <cell r="DD55">
            <v>4.6074526025335443</v>
          </cell>
          <cell r="DG55">
            <v>0.9400000000000005</v>
          </cell>
          <cell r="DI55">
            <v>4.6074526025335443</v>
          </cell>
          <cell r="DL55">
            <v>0.9400000000000005</v>
          </cell>
          <cell r="DN55">
            <v>4.6074526025335443</v>
          </cell>
          <cell r="DQ55">
            <v>0.9400000000000005</v>
          </cell>
          <cell r="DS55">
            <v>4.6074526025335443</v>
          </cell>
          <cell r="DV55">
            <v>0.9400000000000005</v>
          </cell>
          <cell r="DX55">
            <v>4.6074526025335443</v>
          </cell>
          <cell r="EA55">
            <v>0.9400000000000005</v>
          </cell>
          <cell r="EC55">
            <v>4.6074526025335443</v>
          </cell>
          <cell r="EF55">
            <v>0.9400000000000005</v>
          </cell>
          <cell r="EH55">
            <v>4.6074526025335443</v>
          </cell>
          <cell r="EK55">
            <v>0.9400000000000005</v>
          </cell>
          <cell r="EM55">
            <v>4.6074526025335443</v>
          </cell>
          <cell r="EP55">
            <v>0.9400000000000005</v>
          </cell>
          <cell r="ER55">
            <v>4.6074526025335443</v>
          </cell>
          <cell r="EU55">
            <v>0.9400000000000005</v>
          </cell>
          <cell r="EW55">
            <v>4.6074526025335443</v>
          </cell>
        </row>
        <row r="56">
          <cell r="U56">
            <v>0.96000000000000052</v>
          </cell>
          <cell r="W56">
            <v>4.6362238843531625</v>
          </cell>
          <cell r="Z56">
            <v>0.96000000000000052</v>
          </cell>
          <cell r="AB56">
            <v>4.6362238843531625</v>
          </cell>
          <cell r="AE56">
            <v>0.96000000000000052</v>
          </cell>
          <cell r="AG56">
            <v>4.6362238843531625</v>
          </cell>
          <cell r="AJ56">
            <v>0.96000000000000052</v>
          </cell>
          <cell r="AL56">
            <v>4.6362238843531625</v>
          </cell>
          <cell r="AO56">
            <v>0.96000000000000052</v>
          </cell>
          <cell r="AQ56">
            <v>4.6362238843531625</v>
          </cell>
          <cell r="AT56">
            <v>0.96000000000000052</v>
          </cell>
          <cell r="AV56">
            <v>4.6362238843531625</v>
          </cell>
          <cell r="AY56">
            <v>0.96000000000000052</v>
          </cell>
          <cell r="BA56">
            <v>4.6362238843531625</v>
          </cell>
          <cell r="BD56">
            <v>0.96000000000000052</v>
          </cell>
          <cell r="BF56">
            <v>4.6362238843531625</v>
          </cell>
          <cell r="BI56">
            <v>0.96000000000000052</v>
          </cell>
          <cell r="BK56">
            <v>4.6362238843531625</v>
          </cell>
          <cell r="BN56">
            <v>0.96000000000000052</v>
          </cell>
          <cell r="BP56">
            <v>4.6362238843531625</v>
          </cell>
          <cell r="BS56">
            <v>0.96000000000000052</v>
          </cell>
          <cell r="BU56">
            <v>4.6362238843531625</v>
          </cell>
          <cell r="BX56">
            <v>0.96000000000000052</v>
          </cell>
          <cell r="BZ56">
            <v>4.6362238843531625</v>
          </cell>
          <cell r="CC56">
            <v>0.96000000000000052</v>
          </cell>
          <cell r="CE56">
            <v>4.6362238843531625</v>
          </cell>
          <cell r="CH56">
            <v>0.96000000000000052</v>
          </cell>
          <cell r="CJ56">
            <v>4.6362238843531625</v>
          </cell>
          <cell r="CM56">
            <v>0.96000000000000052</v>
          </cell>
          <cell r="CO56">
            <v>4.6362238843531625</v>
          </cell>
          <cell r="CR56">
            <v>0.96000000000000052</v>
          </cell>
          <cell r="CT56">
            <v>4.6362238843531625</v>
          </cell>
          <cell r="CW56">
            <v>0.96000000000000052</v>
          </cell>
          <cell r="CY56">
            <v>4.6362238843531625</v>
          </cell>
          <cell r="DB56">
            <v>0.96000000000000052</v>
          </cell>
          <cell r="DD56">
            <v>4.6362238843531625</v>
          </cell>
          <cell r="DG56">
            <v>0.96000000000000052</v>
          </cell>
          <cell r="DI56">
            <v>4.6362238843531625</v>
          </cell>
          <cell r="DL56">
            <v>0.96000000000000052</v>
          </cell>
          <cell r="DN56">
            <v>4.6362238843531625</v>
          </cell>
          <cell r="DQ56">
            <v>0.96000000000000052</v>
          </cell>
          <cell r="DS56">
            <v>4.6362238843531625</v>
          </cell>
          <cell r="DV56">
            <v>0.96000000000000052</v>
          </cell>
          <cell r="DX56">
            <v>4.6362238843531625</v>
          </cell>
          <cell r="EA56">
            <v>0.96000000000000052</v>
          </cell>
          <cell r="EC56">
            <v>4.6362238843531625</v>
          </cell>
          <cell r="EF56">
            <v>0.96000000000000052</v>
          </cell>
          <cell r="EH56">
            <v>4.6362238843531625</v>
          </cell>
          <cell r="EK56">
            <v>0.96000000000000052</v>
          </cell>
          <cell r="EM56">
            <v>4.6362238843531625</v>
          </cell>
          <cell r="EP56">
            <v>0.96000000000000052</v>
          </cell>
          <cell r="ER56">
            <v>4.6362238843531625</v>
          </cell>
          <cell r="EU56">
            <v>0.96000000000000052</v>
          </cell>
          <cell r="EW56">
            <v>4.6362238843531625</v>
          </cell>
        </row>
        <row r="57">
          <cell r="U57">
            <v>0.98000000000000054</v>
          </cell>
          <cell r="W57">
            <v>4.6622866534449319</v>
          </cell>
          <cell r="Z57">
            <v>0.98000000000000054</v>
          </cell>
          <cell r="AB57">
            <v>4.6622866534449319</v>
          </cell>
          <cell r="AE57">
            <v>0.98000000000000054</v>
          </cell>
          <cell r="AG57">
            <v>4.6622866534449319</v>
          </cell>
          <cell r="AJ57">
            <v>0.98000000000000054</v>
          </cell>
          <cell r="AL57">
            <v>4.6622866534449319</v>
          </cell>
          <cell r="AO57">
            <v>0.98000000000000054</v>
          </cell>
          <cell r="AQ57">
            <v>4.6622866534449319</v>
          </cell>
          <cell r="AT57">
            <v>0.98000000000000054</v>
          </cell>
          <cell r="AV57">
            <v>4.6622866534449319</v>
          </cell>
          <cell r="AY57">
            <v>0.98000000000000054</v>
          </cell>
          <cell r="BA57">
            <v>4.6622866534449319</v>
          </cell>
          <cell r="BD57">
            <v>0.98000000000000054</v>
          </cell>
          <cell r="BF57">
            <v>4.6622866534449319</v>
          </cell>
          <cell r="BI57">
            <v>0.98000000000000054</v>
          </cell>
          <cell r="BK57">
            <v>4.6622866534449319</v>
          </cell>
          <cell r="BN57">
            <v>0.98000000000000054</v>
          </cell>
          <cell r="BP57">
            <v>4.6622866534449319</v>
          </cell>
          <cell r="BS57">
            <v>0.98000000000000054</v>
          </cell>
          <cell r="BU57">
            <v>4.6622866534449319</v>
          </cell>
          <cell r="BX57">
            <v>0.98000000000000054</v>
          </cell>
          <cell r="BZ57">
            <v>4.6622866534449319</v>
          </cell>
          <cell r="CC57">
            <v>0.98000000000000054</v>
          </cell>
          <cell r="CE57">
            <v>4.6622866534449319</v>
          </cell>
          <cell r="CH57">
            <v>0.98000000000000054</v>
          </cell>
          <cell r="CJ57">
            <v>4.6622866534449319</v>
          </cell>
          <cell r="CM57">
            <v>0.98000000000000054</v>
          </cell>
          <cell r="CO57">
            <v>4.6622866534449319</v>
          </cell>
          <cell r="CR57">
            <v>0.98000000000000054</v>
          </cell>
          <cell r="CT57">
            <v>4.6622866534449319</v>
          </cell>
          <cell r="CW57">
            <v>0.98000000000000054</v>
          </cell>
          <cell r="CY57">
            <v>4.6622866534449319</v>
          </cell>
          <cell r="DB57">
            <v>0.98000000000000054</v>
          </cell>
          <cell r="DD57">
            <v>4.6622866534449319</v>
          </cell>
          <cell r="DG57">
            <v>0.98000000000000054</v>
          </cell>
          <cell r="DI57">
            <v>4.6622866534449319</v>
          </cell>
          <cell r="DL57">
            <v>0.98000000000000054</v>
          </cell>
          <cell r="DN57">
            <v>4.6622866534449319</v>
          </cell>
          <cell r="DQ57">
            <v>0.98000000000000054</v>
          </cell>
          <cell r="DS57">
            <v>4.6622866534449319</v>
          </cell>
          <cell r="DV57">
            <v>0.98000000000000054</v>
          </cell>
          <cell r="DX57">
            <v>4.6622866534449319</v>
          </cell>
          <cell r="EA57">
            <v>0.98000000000000054</v>
          </cell>
          <cell r="EC57">
            <v>4.6622866534449319</v>
          </cell>
          <cell r="EF57">
            <v>0.98000000000000054</v>
          </cell>
          <cell r="EH57">
            <v>4.6622866534449319</v>
          </cell>
          <cell r="EK57">
            <v>0.98000000000000054</v>
          </cell>
          <cell r="EM57">
            <v>4.6622866534449319</v>
          </cell>
          <cell r="EP57">
            <v>0.98000000000000054</v>
          </cell>
          <cell r="ER57">
            <v>4.6622866534449319</v>
          </cell>
          <cell r="EU57">
            <v>0.98000000000000054</v>
          </cell>
          <cell r="EW57">
            <v>4.6622866534449319</v>
          </cell>
        </row>
        <row r="58">
          <cell r="U58">
            <v>1.0000000000000004</v>
          </cell>
          <cell r="W58">
            <v>4.6856409098088561</v>
          </cell>
          <cell r="Z58">
            <v>1.0000000000000004</v>
          </cell>
          <cell r="AB58">
            <v>4.6856409098088561</v>
          </cell>
          <cell r="AE58">
            <v>1.0000000000000004</v>
          </cell>
          <cell r="AG58">
            <v>4.6856409098088561</v>
          </cell>
          <cell r="AJ58">
            <v>1.0000000000000004</v>
          </cell>
          <cell r="AL58">
            <v>4.6856409098088561</v>
          </cell>
          <cell r="AO58">
            <v>1.0000000000000004</v>
          </cell>
          <cell r="AQ58">
            <v>4.6856409098088561</v>
          </cell>
          <cell r="AT58">
            <v>1.0000000000000004</v>
          </cell>
          <cell r="AV58">
            <v>4.6856409098088561</v>
          </cell>
          <cell r="AY58">
            <v>1.0000000000000004</v>
          </cell>
          <cell r="BA58">
            <v>4.6856409098088561</v>
          </cell>
          <cell r="BD58">
            <v>1.0000000000000004</v>
          </cell>
          <cell r="BF58">
            <v>4.6856409098088561</v>
          </cell>
          <cell r="BI58">
            <v>1.0000000000000004</v>
          </cell>
          <cell r="BK58">
            <v>4.6856409098088561</v>
          </cell>
          <cell r="BN58">
            <v>1.0000000000000004</v>
          </cell>
          <cell r="BP58">
            <v>4.6856409098088561</v>
          </cell>
          <cell r="BS58">
            <v>1.0000000000000004</v>
          </cell>
          <cell r="BU58">
            <v>4.6856409098088561</v>
          </cell>
          <cell r="BX58">
            <v>1.0000000000000004</v>
          </cell>
          <cell r="BZ58">
            <v>4.6856409098088561</v>
          </cell>
          <cell r="CC58">
            <v>1.0000000000000004</v>
          </cell>
          <cell r="CE58">
            <v>4.6856409098088561</v>
          </cell>
          <cell r="CH58">
            <v>1.0000000000000004</v>
          </cell>
          <cell r="CJ58">
            <v>4.6856409098088561</v>
          </cell>
          <cell r="CM58">
            <v>1.0000000000000004</v>
          </cell>
          <cell r="CO58">
            <v>4.6856409098088561</v>
          </cell>
          <cell r="CR58">
            <v>1.0000000000000004</v>
          </cell>
          <cell r="CT58">
            <v>4.6856409098088561</v>
          </cell>
          <cell r="CW58">
            <v>1.0000000000000004</v>
          </cell>
          <cell r="CY58">
            <v>4.6856409098088561</v>
          </cell>
          <cell r="DB58">
            <v>1.0000000000000004</v>
          </cell>
          <cell r="DD58">
            <v>4.6856409098088561</v>
          </cell>
          <cell r="DG58">
            <v>1.0000000000000004</v>
          </cell>
          <cell r="DI58">
            <v>4.6856409098088561</v>
          </cell>
          <cell r="DL58">
            <v>1.0000000000000004</v>
          </cell>
          <cell r="DN58">
            <v>4.6856409098088561</v>
          </cell>
          <cell r="DQ58">
            <v>1.0000000000000004</v>
          </cell>
          <cell r="DS58">
            <v>4.6856409098088561</v>
          </cell>
          <cell r="DV58">
            <v>1.0000000000000004</v>
          </cell>
          <cell r="DX58">
            <v>4.6856409098088561</v>
          </cell>
          <cell r="EA58">
            <v>1.0000000000000004</v>
          </cell>
          <cell r="EC58">
            <v>4.6856409098088561</v>
          </cell>
          <cell r="EF58">
            <v>1.0000000000000004</v>
          </cell>
          <cell r="EH58">
            <v>4.6856409098088561</v>
          </cell>
          <cell r="EK58">
            <v>1.0000000000000004</v>
          </cell>
          <cell r="EM58">
            <v>4.6856409098088561</v>
          </cell>
          <cell r="EP58">
            <v>1.0000000000000004</v>
          </cell>
          <cell r="ER58">
            <v>4.6856409098088561</v>
          </cell>
          <cell r="EU58">
            <v>1.0000000000000004</v>
          </cell>
          <cell r="EW58">
            <v>4.6856409098088561</v>
          </cell>
        </row>
        <row r="59">
          <cell r="U59">
            <v>1.0200000000000005</v>
          </cell>
          <cell r="W59">
            <v>4.7062866534449324</v>
          </cell>
          <cell r="Z59">
            <v>1.0200000000000005</v>
          </cell>
          <cell r="AB59">
            <v>4.7062866534449324</v>
          </cell>
          <cell r="AE59">
            <v>1.0200000000000005</v>
          </cell>
          <cell r="AG59">
            <v>4.7062866534449324</v>
          </cell>
          <cell r="AJ59">
            <v>1.0200000000000005</v>
          </cell>
          <cell r="AL59">
            <v>4.7062866534449324</v>
          </cell>
          <cell r="AO59">
            <v>1.0200000000000005</v>
          </cell>
          <cell r="AQ59">
            <v>4.7062866534449324</v>
          </cell>
          <cell r="AT59">
            <v>1.0200000000000005</v>
          </cell>
          <cell r="AV59">
            <v>4.7062866534449324</v>
          </cell>
          <cell r="AY59">
            <v>1.0200000000000005</v>
          </cell>
          <cell r="BA59">
            <v>4.7062866534449324</v>
          </cell>
          <cell r="BD59">
            <v>1.0200000000000005</v>
          </cell>
          <cell r="BF59">
            <v>4.7062866534449324</v>
          </cell>
          <cell r="BI59">
            <v>1.0200000000000005</v>
          </cell>
          <cell r="BK59">
            <v>4.7062866534449324</v>
          </cell>
          <cell r="BN59">
            <v>1.0200000000000005</v>
          </cell>
          <cell r="BP59">
            <v>4.7062866534449324</v>
          </cell>
          <cell r="BS59">
            <v>1.0200000000000005</v>
          </cell>
          <cell r="BU59">
            <v>4.7062866534449324</v>
          </cell>
          <cell r="BX59">
            <v>1.0200000000000005</v>
          </cell>
          <cell r="BZ59">
            <v>4.7062866534449324</v>
          </cell>
          <cell r="CC59">
            <v>1.0200000000000005</v>
          </cell>
          <cell r="CE59">
            <v>4.7062866534449324</v>
          </cell>
          <cell r="CH59">
            <v>1.0200000000000005</v>
          </cell>
          <cell r="CJ59">
            <v>4.7062866534449324</v>
          </cell>
          <cell r="CM59">
            <v>1.0200000000000005</v>
          </cell>
          <cell r="CO59">
            <v>4.7062866534449324</v>
          </cell>
          <cell r="CR59">
            <v>1.0200000000000005</v>
          </cell>
          <cell r="CT59">
            <v>4.7062866534449324</v>
          </cell>
          <cell r="CW59">
            <v>1.0200000000000005</v>
          </cell>
          <cell r="CY59">
            <v>4.7062866534449324</v>
          </cell>
          <cell r="DB59">
            <v>1.0200000000000005</v>
          </cell>
          <cell r="DD59">
            <v>4.7062866534449324</v>
          </cell>
          <cell r="DG59">
            <v>1.0200000000000005</v>
          </cell>
          <cell r="DI59">
            <v>4.7062866534449324</v>
          </cell>
          <cell r="DL59">
            <v>1.0200000000000005</v>
          </cell>
          <cell r="DN59">
            <v>4.7062866534449324</v>
          </cell>
          <cell r="DQ59">
            <v>1.0200000000000005</v>
          </cell>
          <cell r="DS59">
            <v>4.7062866534449324</v>
          </cell>
          <cell r="DV59">
            <v>1.0200000000000005</v>
          </cell>
          <cell r="DX59">
            <v>4.7062866534449324</v>
          </cell>
          <cell r="EA59">
            <v>1.0200000000000005</v>
          </cell>
          <cell r="EC59">
            <v>4.7062866534449324</v>
          </cell>
          <cell r="EF59">
            <v>1.0200000000000005</v>
          </cell>
          <cell r="EH59">
            <v>4.7062866534449324</v>
          </cell>
          <cell r="EK59">
            <v>1.0200000000000005</v>
          </cell>
          <cell r="EM59">
            <v>4.7062866534449324</v>
          </cell>
          <cell r="EP59">
            <v>1.0200000000000005</v>
          </cell>
          <cell r="ER59">
            <v>4.7062866534449324</v>
          </cell>
          <cell r="EU59">
            <v>1.0200000000000005</v>
          </cell>
          <cell r="EW59">
            <v>4.7062866534449324</v>
          </cell>
        </row>
        <row r="60">
          <cell r="U60">
            <v>1.0400000000000005</v>
          </cell>
          <cell r="W60">
            <v>4.7242238843531625</v>
          </cell>
          <cell r="Z60">
            <v>1.0400000000000005</v>
          </cell>
          <cell r="AB60">
            <v>4.7242238843531625</v>
          </cell>
          <cell r="AE60">
            <v>1.0400000000000005</v>
          </cell>
          <cell r="AG60">
            <v>4.7242238843531625</v>
          </cell>
          <cell r="AJ60">
            <v>1.0400000000000005</v>
          </cell>
          <cell r="AL60">
            <v>4.7242238843531625</v>
          </cell>
          <cell r="AO60">
            <v>1.0400000000000005</v>
          </cell>
          <cell r="AQ60">
            <v>4.7242238843531625</v>
          </cell>
          <cell r="AT60">
            <v>1.0400000000000005</v>
          </cell>
          <cell r="AV60">
            <v>4.7242238843531625</v>
          </cell>
          <cell r="AY60">
            <v>1.0400000000000005</v>
          </cell>
          <cell r="BA60">
            <v>4.7242238843531625</v>
          </cell>
          <cell r="BD60">
            <v>1.0400000000000005</v>
          </cell>
          <cell r="BF60">
            <v>4.7242238843531625</v>
          </cell>
          <cell r="BI60">
            <v>1.0400000000000005</v>
          </cell>
          <cell r="BK60">
            <v>4.7242238843531625</v>
          </cell>
          <cell r="BN60">
            <v>1.0400000000000005</v>
          </cell>
          <cell r="BP60">
            <v>4.7242238843531625</v>
          </cell>
          <cell r="BS60">
            <v>1.0400000000000005</v>
          </cell>
          <cell r="BU60">
            <v>4.7242238843531625</v>
          </cell>
          <cell r="BX60">
            <v>1.0400000000000005</v>
          </cell>
          <cell r="BZ60">
            <v>4.7242238843531625</v>
          </cell>
          <cell r="CC60">
            <v>1.0400000000000005</v>
          </cell>
          <cell r="CE60">
            <v>4.7242238843531625</v>
          </cell>
          <cell r="CH60">
            <v>1.0400000000000005</v>
          </cell>
          <cell r="CJ60">
            <v>4.7242238843531625</v>
          </cell>
          <cell r="CM60">
            <v>1.0400000000000005</v>
          </cell>
          <cell r="CO60">
            <v>4.7242238843531625</v>
          </cell>
          <cell r="CR60">
            <v>1.0400000000000005</v>
          </cell>
          <cell r="CT60">
            <v>4.7242238843531625</v>
          </cell>
          <cell r="CW60">
            <v>1.0400000000000005</v>
          </cell>
          <cell r="CY60">
            <v>4.7242238843531625</v>
          </cell>
          <cell r="DB60">
            <v>1.0400000000000005</v>
          </cell>
          <cell r="DD60">
            <v>4.7242238843531625</v>
          </cell>
          <cell r="DG60">
            <v>1.0400000000000005</v>
          </cell>
          <cell r="DI60">
            <v>4.7242238843531625</v>
          </cell>
          <cell r="DL60">
            <v>1.0400000000000005</v>
          </cell>
          <cell r="DN60">
            <v>4.7242238843531625</v>
          </cell>
          <cell r="DQ60">
            <v>1.0400000000000005</v>
          </cell>
          <cell r="DS60">
            <v>4.7242238843531625</v>
          </cell>
          <cell r="DV60">
            <v>1.0400000000000005</v>
          </cell>
          <cell r="DX60">
            <v>4.7242238843531625</v>
          </cell>
          <cell r="EA60">
            <v>1.0400000000000005</v>
          </cell>
          <cell r="EC60">
            <v>4.7242238843531625</v>
          </cell>
          <cell r="EF60">
            <v>1.0400000000000005</v>
          </cell>
          <cell r="EH60">
            <v>4.7242238843531625</v>
          </cell>
          <cell r="EK60">
            <v>1.0400000000000005</v>
          </cell>
          <cell r="EM60">
            <v>4.7242238843531625</v>
          </cell>
          <cell r="EP60">
            <v>1.0400000000000005</v>
          </cell>
          <cell r="ER60">
            <v>4.7242238843531625</v>
          </cell>
          <cell r="EU60">
            <v>1.0400000000000005</v>
          </cell>
          <cell r="EW60">
            <v>4.7242238843531625</v>
          </cell>
        </row>
        <row r="61">
          <cell r="U61">
            <v>1.0600000000000005</v>
          </cell>
          <cell r="W61">
            <v>4.7394526025335439</v>
          </cell>
          <cell r="Z61">
            <v>1.0600000000000005</v>
          </cell>
          <cell r="AB61">
            <v>4.7394526025335439</v>
          </cell>
          <cell r="AE61">
            <v>1.0600000000000005</v>
          </cell>
          <cell r="AG61">
            <v>4.7394526025335439</v>
          </cell>
          <cell r="AJ61">
            <v>1.0600000000000005</v>
          </cell>
          <cell r="AL61">
            <v>4.7394526025335439</v>
          </cell>
          <cell r="AO61">
            <v>1.0600000000000005</v>
          </cell>
          <cell r="AQ61">
            <v>4.7394526025335439</v>
          </cell>
          <cell r="AT61">
            <v>1.0600000000000005</v>
          </cell>
          <cell r="AV61">
            <v>4.7394526025335439</v>
          </cell>
          <cell r="AY61">
            <v>1.0600000000000005</v>
          </cell>
          <cell r="BA61">
            <v>4.7394526025335439</v>
          </cell>
          <cell r="BD61">
            <v>1.0600000000000005</v>
          </cell>
          <cell r="BF61">
            <v>4.7394526025335439</v>
          </cell>
          <cell r="BI61">
            <v>1.0600000000000005</v>
          </cell>
          <cell r="BK61">
            <v>4.7394526025335439</v>
          </cell>
          <cell r="BN61">
            <v>1.0600000000000005</v>
          </cell>
          <cell r="BP61">
            <v>4.7394526025335439</v>
          </cell>
          <cell r="BS61">
            <v>1.0600000000000005</v>
          </cell>
          <cell r="BU61">
            <v>4.7394526025335439</v>
          </cell>
          <cell r="BX61">
            <v>1.0600000000000005</v>
          </cell>
          <cell r="BZ61">
            <v>4.7394526025335439</v>
          </cell>
          <cell r="CC61">
            <v>1.0600000000000005</v>
          </cell>
          <cell r="CE61">
            <v>4.7394526025335439</v>
          </cell>
          <cell r="CH61">
            <v>1.0600000000000005</v>
          </cell>
          <cell r="CJ61">
            <v>4.7394526025335439</v>
          </cell>
          <cell r="CM61">
            <v>1.0600000000000005</v>
          </cell>
          <cell r="CO61">
            <v>4.7394526025335439</v>
          </cell>
          <cell r="CR61">
            <v>1.0600000000000005</v>
          </cell>
          <cell r="CT61">
            <v>4.7394526025335439</v>
          </cell>
          <cell r="CW61">
            <v>1.0600000000000005</v>
          </cell>
          <cell r="CY61">
            <v>4.7394526025335439</v>
          </cell>
          <cell r="DB61">
            <v>1.0600000000000005</v>
          </cell>
          <cell r="DD61">
            <v>4.7394526025335439</v>
          </cell>
          <cell r="DG61">
            <v>1.0600000000000005</v>
          </cell>
          <cell r="DI61">
            <v>4.7394526025335439</v>
          </cell>
          <cell r="DL61">
            <v>1.0600000000000005</v>
          </cell>
          <cell r="DN61">
            <v>4.7394526025335439</v>
          </cell>
          <cell r="DQ61">
            <v>1.0600000000000005</v>
          </cell>
          <cell r="DS61">
            <v>4.7394526025335439</v>
          </cell>
          <cell r="DV61">
            <v>1.0600000000000005</v>
          </cell>
          <cell r="DX61">
            <v>4.7394526025335439</v>
          </cell>
          <cell r="EA61">
            <v>1.0600000000000005</v>
          </cell>
          <cell r="EC61">
            <v>4.7394526025335439</v>
          </cell>
          <cell r="EF61">
            <v>1.0600000000000005</v>
          </cell>
          <cell r="EH61">
            <v>4.7394526025335439</v>
          </cell>
          <cell r="EK61">
            <v>1.0600000000000005</v>
          </cell>
          <cell r="EM61">
            <v>4.7394526025335439</v>
          </cell>
          <cell r="EP61">
            <v>1.0600000000000005</v>
          </cell>
          <cell r="ER61">
            <v>4.7394526025335439</v>
          </cell>
          <cell r="EU61">
            <v>1.0600000000000005</v>
          </cell>
          <cell r="EW61">
            <v>4.7394526025335439</v>
          </cell>
        </row>
        <row r="62">
          <cell r="U62">
            <v>1.0800000000000005</v>
          </cell>
          <cell r="W62">
            <v>4.7519728079860784</v>
          </cell>
          <cell r="Z62">
            <v>1.0800000000000005</v>
          </cell>
          <cell r="AB62">
            <v>4.7519728079860784</v>
          </cell>
          <cell r="AE62">
            <v>1.0800000000000005</v>
          </cell>
          <cell r="AG62">
            <v>4.7519728079860784</v>
          </cell>
          <cell r="AJ62">
            <v>1.0800000000000005</v>
          </cell>
          <cell r="AL62">
            <v>4.7519728079860784</v>
          </cell>
          <cell r="AO62">
            <v>1.0800000000000005</v>
          </cell>
          <cell r="AQ62">
            <v>4.7519728079860784</v>
          </cell>
          <cell r="AT62">
            <v>1.0800000000000005</v>
          </cell>
          <cell r="AV62">
            <v>4.7519728079860784</v>
          </cell>
          <cell r="AY62">
            <v>1.0800000000000005</v>
          </cell>
          <cell r="BA62">
            <v>4.7519728079860784</v>
          </cell>
          <cell r="BD62">
            <v>1.0800000000000005</v>
          </cell>
          <cell r="BF62">
            <v>4.7519728079860784</v>
          </cell>
          <cell r="BI62">
            <v>1.0800000000000005</v>
          </cell>
          <cell r="BK62">
            <v>4.7519728079860784</v>
          </cell>
          <cell r="BN62">
            <v>1.0800000000000005</v>
          </cell>
          <cell r="BP62">
            <v>4.7519728079860784</v>
          </cell>
          <cell r="BS62">
            <v>1.0800000000000005</v>
          </cell>
          <cell r="BU62">
            <v>4.7519728079860784</v>
          </cell>
          <cell r="BX62">
            <v>1.0800000000000005</v>
          </cell>
          <cell r="BZ62">
            <v>4.7519728079860784</v>
          </cell>
          <cell r="CC62">
            <v>1.0800000000000005</v>
          </cell>
          <cell r="CE62">
            <v>4.7519728079860784</v>
          </cell>
          <cell r="CH62">
            <v>1.0800000000000005</v>
          </cell>
          <cell r="CJ62">
            <v>4.7519728079860784</v>
          </cell>
          <cell r="CM62">
            <v>1.0800000000000005</v>
          </cell>
          <cell r="CO62">
            <v>4.7519728079860784</v>
          </cell>
          <cell r="CR62">
            <v>1.0800000000000005</v>
          </cell>
          <cell r="CT62">
            <v>4.7519728079860784</v>
          </cell>
          <cell r="CW62">
            <v>1.0800000000000005</v>
          </cell>
          <cell r="CY62">
            <v>4.7519728079860784</v>
          </cell>
          <cell r="DB62">
            <v>1.0800000000000005</v>
          </cell>
          <cell r="DD62">
            <v>4.7519728079860784</v>
          </cell>
          <cell r="DG62">
            <v>1.0800000000000005</v>
          </cell>
          <cell r="DI62">
            <v>4.7519728079860784</v>
          </cell>
          <cell r="DL62">
            <v>1.0800000000000005</v>
          </cell>
          <cell r="DN62">
            <v>4.7519728079860784</v>
          </cell>
          <cell r="DQ62">
            <v>1.0800000000000005</v>
          </cell>
          <cell r="DS62">
            <v>4.7519728079860784</v>
          </cell>
          <cell r="DV62">
            <v>1.0800000000000005</v>
          </cell>
          <cell r="DX62">
            <v>4.7519728079860784</v>
          </cell>
          <cell r="EA62">
            <v>1.0800000000000005</v>
          </cell>
          <cell r="EC62">
            <v>4.7519728079860784</v>
          </cell>
          <cell r="EF62">
            <v>1.0800000000000005</v>
          </cell>
          <cell r="EH62">
            <v>4.7519728079860784</v>
          </cell>
          <cell r="EK62">
            <v>1.0800000000000005</v>
          </cell>
          <cell r="EM62">
            <v>4.7519728079860784</v>
          </cell>
          <cell r="EP62">
            <v>1.0800000000000005</v>
          </cell>
          <cell r="ER62">
            <v>4.7519728079860784</v>
          </cell>
          <cell r="EU62">
            <v>1.0800000000000005</v>
          </cell>
          <cell r="EW62">
            <v>4.7519728079860784</v>
          </cell>
        </row>
        <row r="63">
          <cell r="U63">
            <v>1.1000000000000005</v>
          </cell>
          <cell r="W63">
            <v>4.7617845007107666</v>
          </cell>
          <cell r="Z63">
            <v>1.1000000000000005</v>
          </cell>
          <cell r="AB63">
            <v>4.7617845007107666</v>
          </cell>
          <cell r="AE63">
            <v>1.1000000000000005</v>
          </cell>
          <cell r="AG63">
            <v>4.7617845007107666</v>
          </cell>
          <cell r="AJ63">
            <v>1.1000000000000005</v>
          </cell>
          <cell r="AL63">
            <v>4.7617845007107666</v>
          </cell>
          <cell r="AO63">
            <v>1.1000000000000005</v>
          </cell>
          <cell r="AQ63">
            <v>4.7617845007107666</v>
          </cell>
          <cell r="AT63">
            <v>1.1000000000000005</v>
          </cell>
          <cell r="AV63">
            <v>4.7617845007107666</v>
          </cell>
          <cell r="AY63">
            <v>1.1000000000000005</v>
          </cell>
          <cell r="BA63">
            <v>4.7617845007107666</v>
          </cell>
          <cell r="BD63">
            <v>1.1000000000000005</v>
          </cell>
          <cell r="BF63">
            <v>4.7617845007107666</v>
          </cell>
          <cell r="BI63">
            <v>1.1000000000000005</v>
          </cell>
          <cell r="BK63">
            <v>4.7617845007107666</v>
          </cell>
          <cell r="BN63">
            <v>1.1000000000000005</v>
          </cell>
          <cell r="BP63">
            <v>4.7617845007107666</v>
          </cell>
          <cell r="BS63">
            <v>1.1000000000000005</v>
          </cell>
          <cell r="BU63">
            <v>4.7617845007107666</v>
          </cell>
          <cell r="BX63">
            <v>1.1000000000000005</v>
          </cell>
          <cell r="BZ63">
            <v>4.7617845007107666</v>
          </cell>
          <cell r="CC63">
            <v>1.1000000000000005</v>
          </cell>
          <cell r="CE63">
            <v>4.7617845007107666</v>
          </cell>
          <cell r="CH63">
            <v>1.1000000000000005</v>
          </cell>
          <cell r="CJ63">
            <v>4.7617845007107666</v>
          </cell>
          <cell r="CM63">
            <v>1.1000000000000005</v>
          </cell>
          <cell r="CO63">
            <v>4.7617845007107666</v>
          </cell>
          <cell r="CR63">
            <v>1.1000000000000005</v>
          </cell>
          <cell r="CT63">
            <v>4.7617845007107666</v>
          </cell>
          <cell r="CW63">
            <v>1.1000000000000005</v>
          </cell>
          <cell r="CY63">
            <v>4.7617845007107666</v>
          </cell>
          <cell r="DB63">
            <v>1.1000000000000005</v>
          </cell>
          <cell r="DD63">
            <v>4.7617845007107666</v>
          </cell>
          <cell r="DG63">
            <v>1.1000000000000005</v>
          </cell>
          <cell r="DI63">
            <v>4.7617845007107666</v>
          </cell>
          <cell r="DL63">
            <v>1.1000000000000005</v>
          </cell>
          <cell r="DN63">
            <v>4.7617845007107666</v>
          </cell>
          <cell r="DQ63">
            <v>1.1000000000000005</v>
          </cell>
          <cell r="DS63">
            <v>4.7617845007107666</v>
          </cell>
          <cell r="DV63">
            <v>1.1000000000000005</v>
          </cell>
          <cell r="DX63">
            <v>4.7617845007107666</v>
          </cell>
          <cell r="EA63">
            <v>1.1000000000000005</v>
          </cell>
          <cell r="EC63">
            <v>4.7617845007107666</v>
          </cell>
          <cell r="EF63">
            <v>1.1000000000000005</v>
          </cell>
          <cell r="EH63">
            <v>4.7617845007107666</v>
          </cell>
          <cell r="EK63">
            <v>1.1000000000000005</v>
          </cell>
          <cell r="EM63">
            <v>4.7617845007107666</v>
          </cell>
          <cell r="EP63">
            <v>1.1000000000000005</v>
          </cell>
          <cell r="ER63">
            <v>4.7617845007107666</v>
          </cell>
          <cell r="EU63">
            <v>1.1000000000000005</v>
          </cell>
          <cell r="EW63">
            <v>4.7617845007107666</v>
          </cell>
        </row>
        <row r="64">
          <cell r="U64">
            <v>1.1200000000000006</v>
          </cell>
          <cell r="W64">
            <v>4.7688876807076088</v>
          </cell>
          <cell r="Z64">
            <v>1.1200000000000006</v>
          </cell>
          <cell r="AB64">
            <v>4.7688876807076088</v>
          </cell>
          <cell r="AE64">
            <v>1.1200000000000006</v>
          </cell>
          <cell r="AG64">
            <v>4.7688876807076088</v>
          </cell>
          <cell r="AJ64">
            <v>1.1200000000000006</v>
          </cell>
          <cell r="AL64">
            <v>4.7688876807076088</v>
          </cell>
          <cell r="AO64">
            <v>1.1200000000000006</v>
          </cell>
          <cell r="AQ64">
            <v>4.7688876807076088</v>
          </cell>
          <cell r="AT64">
            <v>1.1200000000000006</v>
          </cell>
          <cell r="AV64">
            <v>4.7688876807076088</v>
          </cell>
          <cell r="AY64">
            <v>1.1200000000000006</v>
          </cell>
          <cell r="BA64">
            <v>4.7688876807076088</v>
          </cell>
          <cell r="BD64">
            <v>1.1200000000000006</v>
          </cell>
          <cell r="BF64">
            <v>4.7688876807076088</v>
          </cell>
          <cell r="BI64">
            <v>1.1200000000000006</v>
          </cell>
          <cell r="BK64">
            <v>4.7688876807076088</v>
          </cell>
          <cell r="BN64">
            <v>1.1200000000000006</v>
          </cell>
          <cell r="BP64">
            <v>4.7688876807076088</v>
          </cell>
          <cell r="BS64">
            <v>1.1200000000000006</v>
          </cell>
          <cell r="BU64">
            <v>4.7688876807076088</v>
          </cell>
          <cell r="BX64">
            <v>1.1200000000000006</v>
          </cell>
          <cell r="BZ64">
            <v>4.7688876807076088</v>
          </cell>
          <cell r="CC64">
            <v>1.1200000000000006</v>
          </cell>
          <cell r="CE64">
            <v>4.7688876807076088</v>
          </cell>
          <cell r="CH64">
            <v>1.1200000000000006</v>
          </cell>
          <cell r="CJ64">
            <v>4.7688876807076088</v>
          </cell>
          <cell r="CM64">
            <v>1.1200000000000006</v>
          </cell>
          <cell r="CO64">
            <v>4.7688876807076088</v>
          </cell>
          <cell r="CR64">
            <v>1.1200000000000006</v>
          </cell>
          <cell r="CT64">
            <v>4.7688876807076088</v>
          </cell>
          <cell r="CW64">
            <v>1.1200000000000006</v>
          </cell>
          <cell r="CY64">
            <v>4.7688876807076088</v>
          </cell>
          <cell r="DB64">
            <v>1.1200000000000006</v>
          </cell>
          <cell r="DD64">
            <v>4.7688876807076088</v>
          </cell>
          <cell r="DG64">
            <v>1.1200000000000006</v>
          </cell>
          <cell r="DI64">
            <v>4.7688876807076088</v>
          </cell>
          <cell r="DL64">
            <v>1.1200000000000006</v>
          </cell>
          <cell r="DN64">
            <v>4.7688876807076088</v>
          </cell>
          <cell r="DQ64">
            <v>1.1200000000000006</v>
          </cell>
          <cell r="DS64">
            <v>4.7688876807076088</v>
          </cell>
          <cell r="DV64">
            <v>1.1200000000000006</v>
          </cell>
          <cell r="DX64">
            <v>4.7688876807076088</v>
          </cell>
          <cell r="EA64">
            <v>1.1200000000000006</v>
          </cell>
          <cell r="EC64">
            <v>4.7688876807076088</v>
          </cell>
          <cell r="EF64">
            <v>1.1200000000000006</v>
          </cell>
          <cell r="EH64">
            <v>4.7688876807076088</v>
          </cell>
          <cell r="EK64">
            <v>1.1200000000000006</v>
          </cell>
          <cell r="EM64">
            <v>4.7688876807076088</v>
          </cell>
          <cell r="EP64">
            <v>1.1200000000000006</v>
          </cell>
          <cell r="ER64">
            <v>4.7688876807076088</v>
          </cell>
          <cell r="EU64">
            <v>1.1200000000000006</v>
          </cell>
          <cell r="EW64">
            <v>4.7688876807076088</v>
          </cell>
        </row>
        <row r="65">
          <cell r="U65">
            <v>1.1400000000000006</v>
          </cell>
          <cell r="W65">
            <v>4.7732823479766022</v>
          </cell>
          <cell r="Z65">
            <v>1.1400000000000006</v>
          </cell>
          <cell r="AB65">
            <v>4.7732823479766022</v>
          </cell>
          <cell r="AE65">
            <v>1.1400000000000006</v>
          </cell>
          <cell r="AG65">
            <v>4.7732823479766022</v>
          </cell>
          <cell r="AJ65">
            <v>1.1400000000000006</v>
          </cell>
          <cell r="AL65">
            <v>4.7732823479766022</v>
          </cell>
          <cell r="AO65">
            <v>1.1400000000000006</v>
          </cell>
          <cell r="AQ65">
            <v>4.7732823479766022</v>
          </cell>
          <cell r="AT65">
            <v>1.1400000000000006</v>
          </cell>
          <cell r="AV65">
            <v>4.7732823479766022</v>
          </cell>
          <cell r="AY65">
            <v>1.1400000000000006</v>
          </cell>
          <cell r="BA65">
            <v>4.7732823479766022</v>
          </cell>
          <cell r="BD65">
            <v>1.1400000000000006</v>
          </cell>
          <cell r="BF65">
            <v>4.7732823479766022</v>
          </cell>
          <cell r="BI65">
            <v>1.1400000000000006</v>
          </cell>
          <cell r="BK65">
            <v>4.7732823479766022</v>
          </cell>
          <cell r="BN65">
            <v>1.1400000000000006</v>
          </cell>
          <cell r="BP65">
            <v>4.7732823479766022</v>
          </cell>
          <cell r="BS65">
            <v>1.1400000000000006</v>
          </cell>
          <cell r="BU65">
            <v>4.7732823479766022</v>
          </cell>
          <cell r="BX65">
            <v>1.1400000000000006</v>
          </cell>
          <cell r="BZ65">
            <v>4.7732823479766022</v>
          </cell>
          <cell r="CC65">
            <v>1.1400000000000006</v>
          </cell>
          <cell r="CE65">
            <v>4.7732823479766022</v>
          </cell>
          <cell r="CH65">
            <v>1.1400000000000006</v>
          </cell>
          <cell r="CJ65">
            <v>4.7732823479766022</v>
          </cell>
          <cell r="CM65">
            <v>1.1400000000000006</v>
          </cell>
          <cell r="CO65">
            <v>4.7732823479766022</v>
          </cell>
          <cell r="CR65">
            <v>1.1400000000000006</v>
          </cell>
          <cell r="CT65">
            <v>4.7732823479766022</v>
          </cell>
          <cell r="CW65">
            <v>1.1400000000000006</v>
          </cell>
          <cell r="CY65">
            <v>4.7732823479766022</v>
          </cell>
          <cell r="DB65">
            <v>1.1400000000000006</v>
          </cell>
          <cell r="DD65">
            <v>4.7732823479766022</v>
          </cell>
          <cell r="DG65">
            <v>1.1400000000000006</v>
          </cell>
          <cell r="DI65">
            <v>4.7732823479766022</v>
          </cell>
          <cell r="DL65">
            <v>1.1400000000000006</v>
          </cell>
          <cell r="DN65">
            <v>4.7732823479766022</v>
          </cell>
          <cell r="DQ65">
            <v>1.1400000000000006</v>
          </cell>
          <cell r="DS65">
            <v>4.7732823479766022</v>
          </cell>
          <cell r="DV65">
            <v>1.1400000000000006</v>
          </cell>
          <cell r="DX65">
            <v>4.7732823479766022</v>
          </cell>
          <cell r="EA65">
            <v>1.1400000000000006</v>
          </cell>
          <cell r="EC65">
            <v>4.7732823479766022</v>
          </cell>
          <cell r="EF65">
            <v>1.1400000000000006</v>
          </cell>
          <cell r="EH65">
            <v>4.7732823479766022</v>
          </cell>
          <cell r="EK65">
            <v>1.1400000000000006</v>
          </cell>
          <cell r="EM65">
            <v>4.7732823479766022</v>
          </cell>
          <cell r="EP65">
            <v>1.1400000000000006</v>
          </cell>
          <cell r="ER65">
            <v>4.7732823479766022</v>
          </cell>
          <cell r="EU65">
            <v>1.1400000000000006</v>
          </cell>
          <cell r="EW65">
            <v>4.7732823479766022</v>
          </cell>
        </row>
        <row r="66">
          <cell r="U66">
            <v>1.1600000000000006</v>
          </cell>
          <cell r="W66">
            <v>4.7749685025177477</v>
          </cell>
          <cell r="Z66">
            <v>1.1600000000000006</v>
          </cell>
          <cell r="AB66">
            <v>4.7749685025177477</v>
          </cell>
          <cell r="AE66">
            <v>1.1600000000000006</v>
          </cell>
          <cell r="AG66">
            <v>4.7749685025177477</v>
          </cell>
          <cell r="AJ66">
            <v>1.1600000000000006</v>
          </cell>
          <cell r="AL66">
            <v>4.7749685025177477</v>
          </cell>
          <cell r="AO66">
            <v>1.1600000000000006</v>
          </cell>
          <cell r="AQ66">
            <v>4.7749685025177477</v>
          </cell>
          <cell r="AT66">
            <v>1.1600000000000006</v>
          </cell>
          <cell r="AV66">
            <v>4.7749685025177477</v>
          </cell>
          <cell r="AY66">
            <v>1.1600000000000006</v>
          </cell>
          <cell r="BA66">
            <v>4.7749685025177477</v>
          </cell>
          <cell r="BD66">
            <v>1.1600000000000006</v>
          </cell>
          <cell r="BF66">
            <v>4.7749685025177477</v>
          </cell>
          <cell r="BI66">
            <v>1.1600000000000006</v>
          </cell>
          <cell r="BK66">
            <v>4.7749685025177477</v>
          </cell>
          <cell r="BN66">
            <v>1.1600000000000006</v>
          </cell>
          <cell r="BP66">
            <v>4.7749685025177477</v>
          </cell>
          <cell r="BS66">
            <v>1.1600000000000006</v>
          </cell>
          <cell r="BU66">
            <v>4.7749685025177477</v>
          </cell>
          <cell r="BX66">
            <v>1.1600000000000006</v>
          </cell>
          <cell r="BZ66">
            <v>4.7749685025177477</v>
          </cell>
          <cell r="CC66">
            <v>1.1600000000000006</v>
          </cell>
          <cell r="CE66">
            <v>4.7749685025177477</v>
          </cell>
          <cell r="CH66">
            <v>1.1600000000000006</v>
          </cell>
          <cell r="CJ66">
            <v>4.7749685025177477</v>
          </cell>
          <cell r="CM66">
            <v>1.1600000000000006</v>
          </cell>
          <cell r="CO66">
            <v>4.7749685025177477</v>
          </cell>
          <cell r="CR66">
            <v>1.1600000000000006</v>
          </cell>
          <cell r="CT66">
            <v>4.7749685025177477</v>
          </cell>
          <cell r="CW66">
            <v>1.1600000000000006</v>
          </cell>
          <cell r="CY66">
            <v>4.7749685025177477</v>
          </cell>
          <cell r="DB66">
            <v>1.1600000000000006</v>
          </cell>
          <cell r="DD66">
            <v>4.7749685025177477</v>
          </cell>
          <cell r="DG66">
            <v>1.1600000000000006</v>
          </cell>
          <cell r="DI66">
            <v>4.7749685025177477</v>
          </cell>
          <cell r="DL66">
            <v>1.1600000000000006</v>
          </cell>
          <cell r="DN66">
            <v>4.7749685025177477</v>
          </cell>
          <cell r="DQ66">
            <v>1.1600000000000006</v>
          </cell>
          <cell r="DS66">
            <v>4.7749685025177477</v>
          </cell>
          <cell r="DV66">
            <v>1.1600000000000006</v>
          </cell>
          <cell r="DX66">
            <v>4.7749685025177477</v>
          </cell>
          <cell r="EA66">
            <v>1.1600000000000006</v>
          </cell>
          <cell r="EC66">
            <v>4.7749685025177477</v>
          </cell>
          <cell r="EF66">
            <v>1.1600000000000006</v>
          </cell>
          <cell r="EH66">
            <v>4.7749685025177477</v>
          </cell>
          <cell r="EK66">
            <v>1.1600000000000006</v>
          </cell>
          <cell r="EM66">
            <v>4.7749685025177477</v>
          </cell>
          <cell r="EP66">
            <v>1.1600000000000006</v>
          </cell>
          <cell r="ER66">
            <v>4.7749685025177477</v>
          </cell>
          <cell r="EU66">
            <v>1.1600000000000006</v>
          </cell>
          <cell r="EW66">
            <v>4.7749685025177477</v>
          </cell>
        </row>
        <row r="67">
          <cell r="U67">
            <v>1.1800000000000006</v>
          </cell>
          <cell r="W67">
            <v>4.773946144331048</v>
          </cell>
          <cell r="Z67">
            <v>1.1800000000000006</v>
          </cell>
          <cell r="AB67">
            <v>4.773946144331048</v>
          </cell>
          <cell r="AE67">
            <v>1.1800000000000006</v>
          </cell>
          <cell r="AG67">
            <v>4.773946144331048</v>
          </cell>
          <cell r="AJ67">
            <v>1.1800000000000006</v>
          </cell>
          <cell r="AL67">
            <v>4.773946144331048</v>
          </cell>
          <cell r="AO67">
            <v>1.1800000000000006</v>
          </cell>
          <cell r="AQ67">
            <v>4.773946144331048</v>
          </cell>
          <cell r="AT67">
            <v>1.1800000000000006</v>
          </cell>
          <cell r="AV67">
            <v>4.773946144331048</v>
          </cell>
          <cell r="AY67">
            <v>1.1800000000000006</v>
          </cell>
          <cell r="BA67">
            <v>4.773946144331048</v>
          </cell>
          <cell r="BD67">
            <v>1.1800000000000006</v>
          </cell>
          <cell r="BF67">
            <v>4.773946144331048</v>
          </cell>
          <cell r="BI67">
            <v>1.1800000000000006</v>
          </cell>
          <cell r="BK67">
            <v>4.773946144331048</v>
          </cell>
          <cell r="BN67">
            <v>1.1800000000000006</v>
          </cell>
          <cell r="BP67">
            <v>4.773946144331048</v>
          </cell>
          <cell r="BS67">
            <v>1.1800000000000006</v>
          </cell>
          <cell r="BU67">
            <v>4.773946144331048</v>
          </cell>
          <cell r="BX67">
            <v>1.1800000000000006</v>
          </cell>
          <cell r="BZ67">
            <v>4.773946144331048</v>
          </cell>
          <cell r="CC67">
            <v>1.1800000000000006</v>
          </cell>
          <cell r="CE67">
            <v>4.773946144331048</v>
          </cell>
          <cell r="CH67">
            <v>1.1800000000000006</v>
          </cell>
          <cell r="CJ67">
            <v>4.773946144331048</v>
          </cell>
          <cell r="CM67">
            <v>1.1800000000000006</v>
          </cell>
          <cell r="CO67">
            <v>4.773946144331048</v>
          </cell>
          <cell r="CR67">
            <v>1.1800000000000006</v>
          </cell>
          <cell r="CT67">
            <v>4.773946144331048</v>
          </cell>
          <cell r="CW67">
            <v>1.1800000000000006</v>
          </cell>
          <cell r="CY67">
            <v>4.773946144331048</v>
          </cell>
          <cell r="DB67">
            <v>1.1800000000000006</v>
          </cell>
          <cell r="DD67">
            <v>4.773946144331048</v>
          </cell>
          <cell r="DG67">
            <v>1.1800000000000006</v>
          </cell>
          <cell r="DI67">
            <v>4.773946144331048</v>
          </cell>
          <cell r="DL67">
            <v>1.1800000000000006</v>
          </cell>
          <cell r="DN67">
            <v>4.773946144331048</v>
          </cell>
          <cell r="DQ67">
            <v>1.1800000000000006</v>
          </cell>
          <cell r="DS67">
            <v>4.773946144331048</v>
          </cell>
          <cell r="DV67">
            <v>1.1800000000000006</v>
          </cell>
          <cell r="DX67">
            <v>4.773946144331048</v>
          </cell>
          <cell r="EA67">
            <v>1.1800000000000006</v>
          </cell>
          <cell r="EC67">
            <v>4.773946144331048</v>
          </cell>
          <cell r="EF67">
            <v>1.1800000000000006</v>
          </cell>
          <cell r="EH67">
            <v>4.773946144331048</v>
          </cell>
          <cell r="EK67">
            <v>1.1800000000000006</v>
          </cell>
          <cell r="EM67">
            <v>4.773946144331048</v>
          </cell>
          <cell r="EP67">
            <v>1.1800000000000006</v>
          </cell>
          <cell r="ER67">
            <v>4.773946144331048</v>
          </cell>
          <cell r="EU67">
            <v>1.1800000000000006</v>
          </cell>
          <cell r="EW67">
            <v>4.773946144331048</v>
          </cell>
        </row>
        <row r="68">
          <cell r="U68">
            <v>1.2000000000000006</v>
          </cell>
          <cell r="W68">
            <v>4.7702152734165013</v>
          </cell>
          <cell r="Z68">
            <v>1.2000000000000006</v>
          </cell>
          <cell r="AB68">
            <v>4.7702152734165013</v>
          </cell>
          <cell r="AE68">
            <v>1.2000000000000006</v>
          </cell>
          <cell r="AG68">
            <v>4.7702152734165013</v>
          </cell>
          <cell r="AJ68">
            <v>1.2000000000000006</v>
          </cell>
          <cell r="AL68">
            <v>4.7702152734165013</v>
          </cell>
          <cell r="AO68">
            <v>1.2000000000000006</v>
          </cell>
          <cell r="AQ68">
            <v>4.7702152734165013</v>
          </cell>
          <cell r="AT68">
            <v>1.2000000000000006</v>
          </cell>
          <cell r="AV68">
            <v>4.7702152734165013</v>
          </cell>
          <cell r="AY68">
            <v>1.2000000000000006</v>
          </cell>
          <cell r="BA68">
            <v>4.7702152734165013</v>
          </cell>
          <cell r="BD68">
            <v>1.2000000000000006</v>
          </cell>
          <cell r="BF68">
            <v>4.7702152734165013</v>
          </cell>
          <cell r="BI68">
            <v>1.2000000000000006</v>
          </cell>
          <cell r="BK68">
            <v>4.7702152734165013</v>
          </cell>
          <cell r="BN68">
            <v>1.2000000000000006</v>
          </cell>
          <cell r="BP68">
            <v>4.7702152734165013</v>
          </cell>
          <cell r="BS68">
            <v>1.2000000000000006</v>
          </cell>
          <cell r="BU68">
            <v>4.7702152734165013</v>
          </cell>
          <cell r="BX68">
            <v>1.2000000000000006</v>
          </cell>
          <cell r="BZ68">
            <v>4.7702152734165013</v>
          </cell>
          <cell r="CC68">
            <v>1.2000000000000006</v>
          </cell>
          <cell r="CE68">
            <v>4.7702152734165013</v>
          </cell>
          <cell r="CH68">
            <v>1.2000000000000006</v>
          </cell>
          <cell r="CJ68">
            <v>4.7702152734165013</v>
          </cell>
          <cell r="CM68">
            <v>1.2000000000000006</v>
          </cell>
          <cell r="CO68">
            <v>4.7702152734165013</v>
          </cell>
          <cell r="CR68">
            <v>1.2000000000000006</v>
          </cell>
          <cell r="CT68">
            <v>4.7702152734165013</v>
          </cell>
          <cell r="CW68">
            <v>1.2000000000000006</v>
          </cell>
          <cell r="CY68">
            <v>4.7702152734165013</v>
          </cell>
          <cell r="DB68">
            <v>1.2000000000000006</v>
          </cell>
          <cell r="DD68">
            <v>4.7702152734165013</v>
          </cell>
          <cell r="DG68">
            <v>1.2000000000000006</v>
          </cell>
          <cell r="DI68">
            <v>4.7702152734165013</v>
          </cell>
          <cell r="DL68">
            <v>1.2000000000000006</v>
          </cell>
          <cell r="DN68">
            <v>4.7702152734165013</v>
          </cell>
          <cell r="DQ68">
            <v>1.2000000000000006</v>
          </cell>
          <cell r="DS68">
            <v>4.7702152734165013</v>
          </cell>
          <cell r="DV68">
            <v>1.2000000000000006</v>
          </cell>
          <cell r="DX68">
            <v>4.7702152734165013</v>
          </cell>
          <cell r="EA68">
            <v>1.2000000000000006</v>
          </cell>
          <cell r="EC68">
            <v>4.7702152734165013</v>
          </cell>
          <cell r="EF68">
            <v>1.2000000000000006</v>
          </cell>
          <cell r="EH68">
            <v>4.7702152734165013</v>
          </cell>
          <cell r="EK68">
            <v>1.2000000000000006</v>
          </cell>
          <cell r="EM68">
            <v>4.7702152734165013</v>
          </cell>
          <cell r="EP68">
            <v>1.2000000000000006</v>
          </cell>
          <cell r="ER68">
            <v>4.7702152734165013</v>
          </cell>
          <cell r="EU68">
            <v>1.2000000000000006</v>
          </cell>
          <cell r="EW68">
            <v>4.7702152734165013</v>
          </cell>
        </row>
        <row r="69">
          <cell r="U69">
            <v>1.2200000000000006</v>
          </cell>
          <cell r="W69">
            <v>4.7637758897741067</v>
          </cell>
          <cell r="Z69">
            <v>1.2200000000000006</v>
          </cell>
          <cell r="AB69">
            <v>4.7637758897741067</v>
          </cell>
          <cell r="AE69">
            <v>1.2200000000000006</v>
          </cell>
          <cell r="AG69">
            <v>4.7637758897741067</v>
          </cell>
          <cell r="AJ69">
            <v>1.2200000000000006</v>
          </cell>
          <cell r="AL69">
            <v>4.7637758897741067</v>
          </cell>
          <cell r="AO69">
            <v>1.2200000000000006</v>
          </cell>
          <cell r="AQ69">
            <v>4.7637758897741067</v>
          </cell>
          <cell r="AT69">
            <v>1.2200000000000006</v>
          </cell>
          <cell r="AV69">
            <v>4.7637758897741067</v>
          </cell>
          <cell r="AY69">
            <v>1.2200000000000006</v>
          </cell>
          <cell r="BA69">
            <v>4.7637758897741067</v>
          </cell>
          <cell r="BD69">
            <v>1.2200000000000006</v>
          </cell>
          <cell r="BF69">
            <v>4.7637758897741067</v>
          </cell>
          <cell r="BI69">
            <v>1.2200000000000006</v>
          </cell>
          <cell r="BK69">
            <v>4.7637758897741067</v>
          </cell>
          <cell r="BN69">
            <v>1.2200000000000006</v>
          </cell>
          <cell r="BP69">
            <v>4.7637758897741067</v>
          </cell>
          <cell r="BS69">
            <v>1.2200000000000006</v>
          </cell>
          <cell r="BU69">
            <v>4.7637758897741067</v>
          </cell>
          <cell r="BX69">
            <v>1.2200000000000006</v>
          </cell>
          <cell r="BZ69">
            <v>4.7637758897741067</v>
          </cell>
          <cell r="CC69">
            <v>1.2200000000000006</v>
          </cell>
          <cell r="CE69">
            <v>4.7637758897741067</v>
          </cell>
          <cell r="CH69">
            <v>1.2200000000000006</v>
          </cell>
          <cell r="CJ69">
            <v>4.7637758897741067</v>
          </cell>
          <cell r="CM69">
            <v>1.2200000000000006</v>
          </cell>
          <cell r="CO69">
            <v>4.7637758897741067</v>
          </cell>
          <cell r="CR69">
            <v>1.2200000000000006</v>
          </cell>
          <cell r="CT69">
            <v>4.7637758897741067</v>
          </cell>
          <cell r="CW69">
            <v>1.2200000000000006</v>
          </cell>
          <cell r="CY69">
            <v>4.7637758897741067</v>
          </cell>
          <cell r="DB69">
            <v>1.2200000000000006</v>
          </cell>
          <cell r="DD69">
            <v>4.7637758897741067</v>
          </cell>
          <cell r="DG69">
            <v>1.2200000000000006</v>
          </cell>
          <cell r="DI69">
            <v>4.7637758897741067</v>
          </cell>
          <cell r="DL69">
            <v>1.2200000000000006</v>
          </cell>
          <cell r="DN69">
            <v>4.7637758897741067</v>
          </cell>
          <cell r="DQ69">
            <v>1.2200000000000006</v>
          </cell>
          <cell r="DS69">
            <v>4.7637758897741067</v>
          </cell>
          <cell r="DV69">
            <v>1.2200000000000006</v>
          </cell>
          <cell r="DX69">
            <v>4.7637758897741067</v>
          </cell>
          <cell r="EA69">
            <v>1.2200000000000006</v>
          </cell>
          <cell r="EC69">
            <v>4.7637758897741067</v>
          </cell>
          <cell r="EF69">
            <v>1.2200000000000006</v>
          </cell>
          <cell r="EH69">
            <v>4.7637758897741067</v>
          </cell>
          <cell r="EK69">
            <v>1.2200000000000006</v>
          </cell>
          <cell r="EM69">
            <v>4.7637758897741067</v>
          </cell>
          <cell r="EP69">
            <v>1.2200000000000006</v>
          </cell>
          <cell r="ER69">
            <v>4.7637758897741067</v>
          </cell>
          <cell r="EU69">
            <v>1.2200000000000006</v>
          </cell>
          <cell r="EW69">
            <v>4.7637758897741067</v>
          </cell>
        </row>
        <row r="70">
          <cell r="U70">
            <v>1.2400000000000007</v>
          </cell>
          <cell r="W70">
            <v>4.7546279934038642</v>
          </cell>
          <cell r="Z70">
            <v>1.2400000000000007</v>
          </cell>
          <cell r="AB70">
            <v>4.7546279934038642</v>
          </cell>
          <cell r="AE70">
            <v>1.2400000000000007</v>
          </cell>
          <cell r="AG70">
            <v>4.7546279934038642</v>
          </cell>
          <cell r="AJ70">
            <v>1.2400000000000007</v>
          </cell>
          <cell r="AL70">
            <v>4.7546279934038642</v>
          </cell>
          <cell r="AO70">
            <v>1.2400000000000007</v>
          </cell>
          <cell r="AQ70">
            <v>4.7546279934038642</v>
          </cell>
          <cell r="AT70">
            <v>1.2400000000000007</v>
          </cell>
          <cell r="AV70">
            <v>4.7546279934038642</v>
          </cell>
          <cell r="AY70">
            <v>1.2400000000000007</v>
          </cell>
          <cell r="BA70">
            <v>4.7546279934038642</v>
          </cell>
          <cell r="BD70">
            <v>1.2400000000000007</v>
          </cell>
          <cell r="BF70">
            <v>4.7546279934038642</v>
          </cell>
          <cell r="BI70">
            <v>1.2400000000000007</v>
          </cell>
          <cell r="BK70">
            <v>4.7546279934038642</v>
          </cell>
          <cell r="BN70">
            <v>1.2400000000000007</v>
          </cell>
          <cell r="BP70">
            <v>4.7546279934038642</v>
          </cell>
          <cell r="BS70">
            <v>1.2400000000000007</v>
          </cell>
          <cell r="BU70">
            <v>4.7546279934038642</v>
          </cell>
          <cell r="BX70">
            <v>1.2400000000000007</v>
          </cell>
          <cell r="BZ70">
            <v>4.7546279934038642</v>
          </cell>
          <cell r="CC70">
            <v>1.2400000000000007</v>
          </cell>
          <cell r="CE70">
            <v>4.7546279934038642</v>
          </cell>
          <cell r="CH70">
            <v>1.2400000000000007</v>
          </cell>
          <cell r="CJ70">
            <v>4.7546279934038642</v>
          </cell>
          <cell r="CM70">
            <v>1.2400000000000007</v>
          </cell>
          <cell r="CO70">
            <v>4.7546279934038642</v>
          </cell>
          <cell r="CR70">
            <v>1.2400000000000007</v>
          </cell>
          <cell r="CT70">
            <v>4.7546279934038642</v>
          </cell>
          <cell r="CW70">
            <v>1.2400000000000007</v>
          </cell>
          <cell r="CY70">
            <v>4.7546279934038642</v>
          </cell>
          <cell r="DB70">
            <v>1.2400000000000007</v>
          </cell>
          <cell r="DD70">
            <v>4.7546279934038642</v>
          </cell>
          <cell r="DG70">
            <v>1.2400000000000007</v>
          </cell>
          <cell r="DI70">
            <v>4.7546279934038642</v>
          </cell>
          <cell r="DL70">
            <v>1.2400000000000007</v>
          </cell>
          <cell r="DN70">
            <v>4.7546279934038642</v>
          </cell>
          <cell r="DQ70">
            <v>1.2400000000000007</v>
          </cell>
          <cell r="DS70">
            <v>4.7546279934038642</v>
          </cell>
          <cell r="DV70">
            <v>1.2400000000000007</v>
          </cell>
          <cell r="DX70">
            <v>4.7546279934038642</v>
          </cell>
          <cell r="EA70">
            <v>1.2400000000000007</v>
          </cell>
          <cell r="EC70">
            <v>4.7546279934038642</v>
          </cell>
          <cell r="EF70">
            <v>1.2400000000000007</v>
          </cell>
          <cell r="EH70">
            <v>4.7546279934038642</v>
          </cell>
          <cell r="EK70">
            <v>1.2400000000000007</v>
          </cell>
          <cell r="EM70">
            <v>4.7546279934038642</v>
          </cell>
          <cell r="EP70">
            <v>1.2400000000000007</v>
          </cell>
          <cell r="ER70">
            <v>4.7546279934038642</v>
          </cell>
          <cell r="EU70">
            <v>1.2400000000000007</v>
          </cell>
          <cell r="EW70">
            <v>4.7546279934038642</v>
          </cell>
        </row>
        <row r="71">
          <cell r="U71">
            <v>1.2600000000000007</v>
          </cell>
          <cell r="W71">
            <v>4.7427715843057765</v>
          </cell>
          <cell r="Z71">
            <v>1.2600000000000007</v>
          </cell>
          <cell r="AB71">
            <v>4.7427715843057765</v>
          </cell>
          <cell r="AE71">
            <v>1.2600000000000007</v>
          </cell>
          <cell r="AG71">
            <v>4.7427715843057765</v>
          </cell>
          <cell r="AJ71">
            <v>1.2600000000000007</v>
          </cell>
          <cell r="AL71">
            <v>4.7427715843057765</v>
          </cell>
          <cell r="AO71">
            <v>1.2600000000000007</v>
          </cell>
          <cell r="AQ71">
            <v>4.7427715843057765</v>
          </cell>
          <cell r="AT71">
            <v>1.2600000000000007</v>
          </cell>
          <cell r="AV71">
            <v>4.7427715843057765</v>
          </cell>
          <cell r="AY71">
            <v>1.2600000000000007</v>
          </cell>
          <cell r="BA71">
            <v>4.7427715843057765</v>
          </cell>
          <cell r="BD71">
            <v>1.2600000000000007</v>
          </cell>
          <cell r="BF71">
            <v>4.7427715843057765</v>
          </cell>
          <cell r="BI71">
            <v>1.2600000000000007</v>
          </cell>
          <cell r="BK71">
            <v>4.7427715843057765</v>
          </cell>
          <cell r="BN71">
            <v>1.2600000000000007</v>
          </cell>
          <cell r="BP71">
            <v>4.7427715843057765</v>
          </cell>
          <cell r="BS71">
            <v>1.2600000000000007</v>
          </cell>
          <cell r="BU71">
            <v>4.7427715843057765</v>
          </cell>
          <cell r="BX71">
            <v>1.2600000000000007</v>
          </cell>
          <cell r="BZ71">
            <v>4.7427715843057765</v>
          </cell>
          <cell r="CC71">
            <v>1.2600000000000007</v>
          </cell>
          <cell r="CE71">
            <v>4.7427715843057765</v>
          </cell>
          <cell r="CH71">
            <v>1.2600000000000007</v>
          </cell>
          <cell r="CJ71">
            <v>4.7427715843057765</v>
          </cell>
          <cell r="CM71">
            <v>1.2600000000000007</v>
          </cell>
          <cell r="CO71">
            <v>4.7427715843057765</v>
          </cell>
          <cell r="CR71">
            <v>1.2600000000000007</v>
          </cell>
          <cell r="CT71">
            <v>4.7427715843057765</v>
          </cell>
          <cell r="CW71">
            <v>1.2600000000000007</v>
          </cell>
          <cell r="CY71">
            <v>4.7427715843057765</v>
          </cell>
          <cell r="DB71">
            <v>1.2600000000000007</v>
          </cell>
          <cell r="DD71">
            <v>4.7427715843057765</v>
          </cell>
          <cell r="DG71">
            <v>1.2600000000000007</v>
          </cell>
          <cell r="DI71">
            <v>4.7427715843057765</v>
          </cell>
          <cell r="DL71">
            <v>1.2600000000000007</v>
          </cell>
          <cell r="DN71">
            <v>4.7427715843057765</v>
          </cell>
          <cell r="DQ71">
            <v>1.2600000000000007</v>
          </cell>
          <cell r="DS71">
            <v>4.7427715843057765</v>
          </cell>
          <cell r="DV71">
            <v>1.2600000000000007</v>
          </cell>
          <cell r="DX71">
            <v>4.7427715843057765</v>
          </cell>
          <cell r="EA71">
            <v>1.2600000000000007</v>
          </cell>
          <cell r="EC71">
            <v>4.7427715843057765</v>
          </cell>
          <cell r="EF71">
            <v>1.2600000000000007</v>
          </cell>
          <cell r="EH71">
            <v>4.7427715843057765</v>
          </cell>
          <cell r="EK71">
            <v>1.2600000000000007</v>
          </cell>
          <cell r="EM71">
            <v>4.7427715843057765</v>
          </cell>
          <cell r="EP71">
            <v>1.2600000000000007</v>
          </cell>
          <cell r="ER71">
            <v>4.7427715843057765</v>
          </cell>
          <cell r="EU71">
            <v>1.2600000000000007</v>
          </cell>
          <cell r="EW71">
            <v>4.7427715843057765</v>
          </cell>
        </row>
        <row r="72">
          <cell r="U72">
            <v>1.2800000000000007</v>
          </cell>
          <cell r="W72">
            <v>4.72820666247984</v>
          </cell>
          <cell r="Z72">
            <v>1.2800000000000007</v>
          </cell>
          <cell r="AB72">
            <v>4.72820666247984</v>
          </cell>
          <cell r="AE72">
            <v>1.2800000000000007</v>
          </cell>
          <cell r="AG72">
            <v>4.72820666247984</v>
          </cell>
          <cell r="AJ72">
            <v>1.2800000000000007</v>
          </cell>
          <cell r="AL72">
            <v>4.72820666247984</v>
          </cell>
          <cell r="AO72">
            <v>1.2800000000000007</v>
          </cell>
          <cell r="AQ72">
            <v>4.72820666247984</v>
          </cell>
          <cell r="AT72">
            <v>1.2800000000000007</v>
          </cell>
          <cell r="AV72">
            <v>4.72820666247984</v>
          </cell>
          <cell r="AY72">
            <v>1.2800000000000007</v>
          </cell>
          <cell r="BA72">
            <v>4.72820666247984</v>
          </cell>
          <cell r="BD72">
            <v>1.2800000000000007</v>
          </cell>
          <cell r="BF72">
            <v>4.72820666247984</v>
          </cell>
          <cell r="BI72">
            <v>1.2800000000000007</v>
          </cell>
          <cell r="BK72">
            <v>4.72820666247984</v>
          </cell>
          <cell r="BN72">
            <v>1.2800000000000007</v>
          </cell>
          <cell r="BP72">
            <v>4.72820666247984</v>
          </cell>
          <cell r="BS72">
            <v>1.2800000000000007</v>
          </cell>
          <cell r="BU72">
            <v>4.72820666247984</v>
          </cell>
          <cell r="BX72">
            <v>1.2800000000000007</v>
          </cell>
          <cell r="BZ72">
            <v>4.72820666247984</v>
          </cell>
          <cell r="CC72">
            <v>1.2800000000000007</v>
          </cell>
          <cell r="CE72">
            <v>4.72820666247984</v>
          </cell>
          <cell r="CH72">
            <v>1.2800000000000007</v>
          </cell>
          <cell r="CJ72">
            <v>4.72820666247984</v>
          </cell>
          <cell r="CM72">
            <v>1.2800000000000007</v>
          </cell>
          <cell r="CO72">
            <v>4.72820666247984</v>
          </cell>
          <cell r="CR72">
            <v>1.2800000000000007</v>
          </cell>
          <cell r="CT72">
            <v>4.72820666247984</v>
          </cell>
          <cell r="CW72">
            <v>1.2800000000000007</v>
          </cell>
          <cell r="CY72">
            <v>4.72820666247984</v>
          </cell>
          <cell r="DB72">
            <v>1.2800000000000007</v>
          </cell>
          <cell r="DD72">
            <v>4.72820666247984</v>
          </cell>
          <cell r="DG72">
            <v>1.2800000000000007</v>
          </cell>
          <cell r="DI72">
            <v>4.72820666247984</v>
          </cell>
          <cell r="DL72">
            <v>1.2800000000000007</v>
          </cell>
          <cell r="DN72">
            <v>4.72820666247984</v>
          </cell>
          <cell r="DQ72">
            <v>1.2800000000000007</v>
          </cell>
          <cell r="DS72">
            <v>4.72820666247984</v>
          </cell>
          <cell r="DV72">
            <v>1.2800000000000007</v>
          </cell>
          <cell r="DX72">
            <v>4.72820666247984</v>
          </cell>
          <cell r="EA72">
            <v>1.2800000000000007</v>
          </cell>
          <cell r="EC72">
            <v>4.72820666247984</v>
          </cell>
          <cell r="EF72">
            <v>1.2800000000000007</v>
          </cell>
          <cell r="EH72">
            <v>4.72820666247984</v>
          </cell>
          <cell r="EK72">
            <v>1.2800000000000007</v>
          </cell>
          <cell r="EM72">
            <v>4.72820666247984</v>
          </cell>
          <cell r="EP72">
            <v>1.2800000000000007</v>
          </cell>
          <cell r="ER72">
            <v>4.72820666247984</v>
          </cell>
          <cell r="EU72">
            <v>1.2800000000000007</v>
          </cell>
          <cell r="EW72">
            <v>4.72820666247984</v>
          </cell>
        </row>
        <row r="73">
          <cell r="U73">
            <v>1.3000000000000007</v>
          </cell>
          <cell r="W73">
            <v>4.7109332279260574</v>
          </cell>
          <cell r="Z73">
            <v>1.3000000000000007</v>
          </cell>
          <cell r="AB73">
            <v>4.7109332279260574</v>
          </cell>
          <cell r="AE73">
            <v>1.3000000000000007</v>
          </cell>
          <cell r="AG73">
            <v>4.7109332279260574</v>
          </cell>
          <cell r="AJ73">
            <v>1.3000000000000007</v>
          </cell>
          <cell r="AL73">
            <v>4.7109332279260574</v>
          </cell>
          <cell r="AO73">
            <v>1.3000000000000007</v>
          </cell>
          <cell r="AQ73">
            <v>4.7109332279260574</v>
          </cell>
          <cell r="AT73">
            <v>1.3000000000000007</v>
          </cell>
          <cell r="AV73">
            <v>4.7109332279260574</v>
          </cell>
          <cell r="AY73">
            <v>1.3000000000000007</v>
          </cell>
          <cell r="BA73">
            <v>4.7109332279260574</v>
          </cell>
          <cell r="BD73">
            <v>1.3000000000000007</v>
          </cell>
          <cell r="BF73">
            <v>4.7109332279260574</v>
          </cell>
          <cell r="BI73">
            <v>1.3000000000000007</v>
          </cell>
          <cell r="BK73">
            <v>4.7109332279260574</v>
          </cell>
          <cell r="BN73">
            <v>1.3000000000000007</v>
          </cell>
          <cell r="BP73">
            <v>4.7109332279260574</v>
          </cell>
          <cell r="BS73">
            <v>1.3000000000000007</v>
          </cell>
          <cell r="BU73">
            <v>4.7109332279260574</v>
          </cell>
          <cell r="BX73">
            <v>1.3000000000000007</v>
          </cell>
          <cell r="BZ73">
            <v>4.7109332279260574</v>
          </cell>
          <cell r="CC73">
            <v>1.3000000000000007</v>
          </cell>
          <cell r="CE73">
            <v>4.7109332279260574</v>
          </cell>
          <cell r="CH73">
            <v>1.3000000000000007</v>
          </cell>
          <cell r="CJ73">
            <v>4.7109332279260574</v>
          </cell>
          <cell r="CM73">
            <v>1.3000000000000007</v>
          </cell>
          <cell r="CO73">
            <v>4.7109332279260574</v>
          </cell>
          <cell r="CR73">
            <v>1.3000000000000007</v>
          </cell>
          <cell r="CT73">
            <v>4.7109332279260574</v>
          </cell>
          <cell r="CW73">
            <v>1.3000000000000007</v>
          </cell>
          <cell r="CY73">
            <v>4.7109332279260574</v>
          </cell>
          <cell r="DB73">
            <v>1.3000000000000007</v>
          </cell>
          <cell r="DD73">
            <v>4.7109332279260574</v>
          </cell>
          <cell r="DG73">
            <v>1.3000000000000007</v>
          </cell>
          <cell r="DI73">
            <v>4.7109332279260574</v>
          </cell>
          <cell r="DL73">
            <v>1.3000000000000007</v>
          </cell>
          <cell r="DN73">
            <v>4.7109332279260574</v>
          </cell>
          <cell r="DQ73">
            <v>1.3000000000000007</v>
          </cell>
          <cell r="DS73">
            <v>4.7109332279260574</v>
          </cell>
          <cell r="DV73">
            <v>1.3000000000000007</v>
          </cell>
          <cell r="DX73">
            <v>4.7109332279260574</v>
          </cell>
          <cell r="EA73">
            <v>1.3000000000000007</v>
          </cell>
          <cell r="EC73">
            <v>4.7109332279260574</v>
          </cell>
          <cell r="EF73">
            <v>1.3000000000000007</v>
          </cell>
          <cell r="EH73">
            <v>4.7109332279260574</v>
          </cell>
          <cell r="EK73">
            <v>1.3000000000000007</v>
          </cell>
          <cell r="EM73">
            <v>4.7109332279260574</v>
          </cell>
          <cell r="EP73">
            <v>1.3000000000000007</v>
          </cell>
          <cell r="ER73">
            <v>4.7109332279260574</v>
          </cell>
          <cell r="EU73">
            <v>1.3000000000000007</v>
          </cell>
          <cell r="EW73">
            <v>4.7109332279260574</v>
          </cell>
        </row>
        <row r="74">
          <cell r="U74">
            <v>1.3200000000000007</v>
          </cell>
          <cell r="W74">
            <v>4.6909512806444269</v>
          </cell>
          <cell r="Z74">
            <v>1.3200000000000007</v>
          </cell>
          <cell r="AB74">
            <v>4.6909512806444269</v>
          </cell>
          <cell r="AE74">
            <v>1.3200000000000007</v>
          </cell>
          <cell r="AG74">
            <v>4.6909512806444269</v>
          </cell>
          <cell r="AJ74">
            <v>1.3200000000000007</v>
          </cell>
          <cell r="AL74">
            <v>4.6909512806444269</v>
          </cell>
          <cell r="AO74">
            <v>1.3200000000000007</v>
          </cell>
          <cell r="AQ74">
            <v>4.6909512806444269</v>
          </cell>
          <cell r="AT74">
            <v>1.3200000000000007</v>
          </cell>
          <cell r="AV74">
            <v>4.6909512806444269</v>
          </cell>
          <cell r="AY74">
            <v>1.3200000000000007</v>
          </cell>
          <cell r="BA74">
            <v>4.6909512806444269</v>
          </cell>
          <cell r="BD74">
            <v>1.3200000000000007</v>
          </cell>
          <cell r="BF74">
            <v>4.6909512806444269</v>
          </cell>
          <cell r="BI74">
            <v>1.3200000000000007</v>
          </cell>
          <cell r="BK74">
            <v>4.6909512806444269</v>
          </cell>
          <cell r="BN74">
            <v>1.3200000000000007</v>
          </cell>
          <cell r="BP74">
            <v>4.6909512806444269</v>
          </cell>
          <cell r="BS74">
            <v>1.3200000000000007</v>
          </cell>
          <cell r="BU74">
            <v>4.6909512806444269</v>
          </cell>
          <cell r="BX74">
            <v>1.3200000000000007</v>
          </cell>
          <cell r="BZ74">
            <v>4.6909512806444269</v>
          </cell>
          <cell r="CC74">
            <v>1.3200000000000007</v>
          </cell>
          <cell r="CE74">
            <v>4.6909512806444269</v>
          </cell>
          <cell r="CH74">
            <v>1.3200000000000007</v>
          </cell>
          <cell r="CJ74">
            <v>4.6909512806444269</v>
          </cell>
          <cell r="CM74">
            <v>1.3200000000000007</v>
          </cell>
          <cell r="CO74">
            <v>4.6909512806444269</v>
          </cell>
          <cell r="CR74">
            <v>1.3200000000000007</v>
          </cell>
          <cell r="CT74">
            <v>4.6909512806444269</v>
          </cell>
          <cell r="CW74">
            <v>1.3200000000000007</v>
          </cell>
          <cell r="CY74">
            <v>4.6909512806444269</v>
          </cell>
          <cell r="DB74">
            <v>1.3200000000000007</v>
          </cell>
          <cell r="DD74">
            <v>4.6909512806444269</v>
          </cell>
          <cell r="DG74">
            <v>1.3200000000000007</v>
          </cell>
          <cell r="DI74">
            <v>4.6909512806444269</v>
          </cell>
          <cell r="DL74">
            <v>1.3200000000000007</v>
          </cell>
          <cell r="DN74">
            <v>4.6909512806444269</v>
          </cell>
          <cell r="DQ74">
            <v>1.3200000000000007</v>
          </cell>
          <cell r="DS74">
            <v>4.6909512806444269</v>
          </cell>
          <cell r="DV74">
            <v>1.3200000000000007</v>
          </cell>
          <cell r="DX74">
            <v>4.6909512806444269</v>
          </cell>
          <cell r="EA74">
            <v>1.3200000000000007</v>
          </cell>
          <cell r="EC74">
            <v>4.6909512806444269</v>
          </cell>
          <cell r="EF74">
            <v>1.3200000000000007</v>
          </cell>
          <cell r="EH74">
            <v>4.6909512806444269</v>
          </cell>
          <cell r="EK74">
            <v>1.3200000000000007</v>
          </cell>
          <cell r="EM74">
            <v>4.6909512806444269</v>
          </cell>
          <cell r="EP74">
            <v>1.3200000000000007</v>
          </cell>
          <cell r="ER74">
            <v>4.6909512806444269</v>
          </cell>
          <cell r="EU74">
            <v>1.3200000000000007</v>
          </cell>
          <cell r="EW74">
            <v>4.6909512806444269</v>
          </cell>
        </row>
        <row r="75">
          <cell r="U75">
            <v>1.3400000000000007</v>
          </cell>
          <cell r="W75">
            <v>4.6682608206349512</v>
          </cell>
          <cell r="Z75">
            <v>1.3400000000000007</v>
          </cell>
          <cell r="AB75">
            <v>4.6682608206349512</v>
          </cell>
          <cell r="AE75">
            <v>1.3400000000000007</v>
          </cell>
          <cell r="AG75">
            <v>4.6682608206349512</v>
          </cell>
          <cell r="AJ75">
            <v>1.3400000000000007</v>
          </cell>
          <cell r="AL75">
            <v>4.6682608206349512</v>
          </cell>
          <cell r="AO75">
            <v>1.3400000000000007</v>
          </cell>
          <cell r="AQ75">
            <v>4.6682608206349512</v>
          </cell>
          <cell r="AT75">
            <v>1.3400000000000007</v>
          </cell>
          <cell r="AV75">
            <v>4.6682608206349512</v>
          </cell>
          <cell r="AY75">
            <v>1.3400000000000007</v>
          </cell>
          <cell r="BA75">
            <v>4.6682608206349512</v>
          </cell>
          <cell r="BD75">
            <v>1.3400000000000007</v>
          </cell>
          <cell r="BF75">
            <v>4.6682608206349512</v>
          </cell>
          <cell r="BI75">
            <v>1.3400000000000007</v>
          </cell>
          <cell r="BK75">
            <v>4.6682608206349512</v>
          </cell>
          <cell r="BN75">
            <v>1.3400000000000007</v>
          </cell>
          <cell r="BP75">
            <v>4.6682608206349512</v>
          </cell>
          <cell r="BS75">
            <v>1.3400000000000007</v>
          </cell>
          <cell r="BU75">
            <v>4.6682608206349512</v>
          </cell>
          <cell r="BX75">
            <v>1.3400000000000007</v>
          </cell>
          <cell r="BZ75">
            <v>4.6682608206349512</v>
          </cell>
          <cell r="CC75">
            <v>1.3400000000000007</v>
          </cell>
          <cell r="CE75">
            <v>4.6682608206349512</v>
          </cell>
          <cell r="CH75">
            <v>1.3400000000000007</v>
          </cell>
          <cell r="CJ75">
            <v>4.6682608206349512</v>
          </cell>
          <cell r="CM75">
            <v>1.3400000000000007</v>
          </cell>
          <cell r="CO75">
            <v>4.6682608206349512</v>
          </cell>
          <cell r="CR75">
            <v>1.3400000000000007</v>
          </cell>
          <cell r="CT75">
            <v>4.6682608206349512</v>
          </cell>
          <cell r="CW75">
            <v>1.3400000000000007</v>
          </cell>
          <cell r="CY75">
            <v>4.6682608206349512</v>
          </cell>
          <cell r="DB75">
            <v>1.3400000000000007</v>
          </cell>
          <cell r="DD75">
            <v>4.6682608206349512</v>
          </cell>
          <cell r="DG75">
            <v>1.3400000000000007</v>
          </cell>
          <cell r="DI75">
            <v>4.6682608206349512</v>
          </cell>
          <cell r="DL75">
            <v>1.3400000000000007</v>
          </cell>
          <cell r="DN75">
            <v>4.6682608206349512</v>
          </cell>
          <cell r="DQ75">
            <v>1.3400000000000007</v>
          </cell>
          <cell r="DS75">
            <v>4.6682608206349512</v>
          </cell>
          <cell r="DV75">
            <v>1.3400000000000007</v>
          </cell>
          <cell r="DX75">
            <v>4.6682608206349512</v>
          </cell>
          <cell r="EA75">
            <v>1.3400000000000007</v>
          </cell>
          <cell r="EC75">
            <v>4.6682608206349512</v>
          </cell>
          <cell r="EF75">
            <v>1.3400000000000007</v>
          </cell>
          <cell r="EH75">
            <v>4.6682608206349512</v>
          </cell>
          <cell r="EK75">
            <v>1.3400000000000007</v>
          </cell>
          <cell r="EM75">
            <v>4.6682608206349512</v>
          </cell>
          <cell r="EP75">
            <v>1.3400000000000007</v>
          </cell>
          <cell r="ER75">
            <v>4.6682608206349512</v>
          </cell>
          <cell r="EU75">
            <v>1.3400000000000007</v>
          </cell>
          <cell r="EW75">
            <v>4.6682608206349512</v>
          </cell>
        </row>
        <row r="76">
          <cell r="U76">
            <v>1.3600000000000008</v>
          </cell>
          <cell r="W76">
            <v>4.6428618478976267</v>
          </cell>
          <cell r="Z76">
            <v>1.3600000000000008</v>
          </cell>
          <cell r="AB76">
            <v>4.6428618478976267</v>
          </cell>
          <cell r="AE76">
            <v>1.3600000000000008</v>
          </cell>
          <cell r="AG76">
            <v>4.6428618478976267</v>
          </cell>
          <cell r="AJ76">
            <v>1.3600000000000008</v>
          </cell>
          <cell r="AL76">
            <v>4.6428618478976267</v>
          </cell>
          <cell r="AO76">
            <v>1.3600000000000008</v>
          </cell>
          <cell r="AQ76">
            <v>4.6428618478976267</v>
          </cell>
          <cell r="AT76">
            <v>1.3600000000000008</v>
          </cell>
          <cell r="AV76">
            <v>4.6428618478976267</v>
          </cell>
          <cell r="AY76">
            <v>1.3600000000000008</v>
          </cell>
          <cell r="BA76">
            <v>4.6428618478976267</v>
          </cell>
          <cell r="BD76">
            <v>1.3600000000000008</v>
          </cell>
          <cell r="BF76">
            <v>4.6428618478976267</v>
          </cell>
          <cell r="BI76">
            <v>1.3600000000000008</v>
          </cell>
          <cell r="BK76">
            <v>4.6428618478976267</v>
          </cell>
          <cell r="BN76">
            <v>1.3600000000000008</v>
          </cell>
          <cell r="BP76">
            <v>4.6428618478976267</v>
          </cell>
          <cell r="BS76">
            <v>1.3600000000000008</v>
          </cell>
          <cell r="BU76">
            <v>4.6428618478976267</v>
          </cell>
          <cell r="BX76">
            <v>1.3600000000000008</v>
          </cell>
          <cell r="BZ76">
            <v>4.6428618478976267</v>
          </cell>
          <cell r="CC76">
            <v>1.3600000000000008</v>
          </cell>
          <cell r="CE76">
            <v>4.6428618478976267</v>
          </cell>
          <cell r="CH76">
            <v>1.3600000000000008</v>
          </cell>
          <cell r="CJ76">
            <v>4.6428618478976267</v>
          </cell>
          <cell r="CM76">
            <v>1.3600000000000008</v>
          </cell>
          <cell r="CO76">
            <v>4.6428618478976267</v>
          </cell>
          <cell r="CR76">
            <v>1.3600000000000008</v>
          </cell>
          <cell r="CT76">
            <v>4.6428618478976267</v>
          </cell>
          <cell r="CW76">
            <v>1.3600000000000008</v>
          </cell>
          <cell r="CY76">
            <v>4.6428618478976267</v>
          </cell>
          <cell r="DB76">
            <v>1.3600000000000008</v>
          </cell>
          <cell r="DD76">
            <v>4.6428618478976267</v>
          </cell>
          <cell r="DG76">
            <v>1.3600000000000008</v>
          </cell>
          <cell r="DI76">
            <v>4.6428618478976267</v>
          </cell>
          <cell r="DL76">
            <v>1.3600000000000008</v>
          </cell>
          <cell r="DN76">
            <v>4.6428618478976267</v>
          </cell>
          <cell r="DQ76">
            <v>1.3600000000000008</v>
          </cell>
          <cell r="DS76">
            <v>4.6428618478976267</v>
          </cell>
          <cell r="DV76">
            <v>1.3600000000000008</v>
          </cell>
          <cell r="DX76">
            <v>4.6428618478976267</v>
          </cell>
          <cell r="EA76">
            <v>1.3600000000000008</v>
          </cell>
          <cell r="EC76">
            <v>4.6428618478976267</v>
          </cell>
          <cell r="EF76">
            <v>1.3600000000000008</v>
          </cell>
          <cell r="EH76">
            <v>4.6428618478976267</v>
          </cell>
          <cell r="EK76">
            <v>1.3600000000000008</v>
          </cell>
          <cell r="EM76">
            <v>4.6428618478976267</v>
          </cell>
          <cell r="EP76">
            <v>1.3600000000000008</v>
          </cell>
          <cell r="ER76">
            <v>4.6428618478976267</v>
          </cell>
          <cell r="EU76">
            <v>1.3600000000000008</v>
          </cell>
          <cell r="EW76">
            <v>4.6428618478976267</v>
          </cell>
        </row>
        <row r="77">
          <cell r="U77">
            <v>1.3800000000000008</v>
          </cell>
          <cell r="W77">
            <v>4.6147543624324552</v>
          </cell>
          <cell r="Z77">
            <v>1.3800000000000008</v>
          </cell>
          <cell r="AB77">
            <v>4.6147543624324552</v>
          </cell>
          <cell r="AE77">
            <v>1.3800000000000008</v>
          </cell>
          <cell r="AG77">
            <v>4.6147543624324552</v>
          </cell>
          <cell r="AJ77">
            <v>1.3800000000000008</v>
          </cell>
          <cell r="AL77">
            <v>4.6147543624324552</v>
          </cell>
          <cell r="AO77">
            <v>1.3800000000000008</v>
          </cell>
          <cell r="AQ77">
            <v>4.6147543624324552</v>
          </cell>
          <cell r="AT77">
            <v>1.3800000000000008</v>
          </cell>
          <cell r="AV77">
            <v>4.6147543624324552</v>
          </cell>
          <cell r="AY77">
            <v>1.3800000000000008</v>
          </cell>
          <cell r="BA77">
            <v>4.6147543624324552</v>
          </cell>
          <cell r="BD77">
            <v>1.3800000000000008</v>
          </cell>
          <cell r="BF77">
            <v>4.6147543624324552</v>
          </cell>
          <cell r="BI77">
            <v>1.3800000000000008</v>
          </cell>
          <cell r="BK77">
            <v>4.6147543624324552</v>
          </cell>
          <cell r="BN77">
            <v>1.3800000000000008</v>
          </cell>
          <cell r="BP77">
            <v>4.6147543624324552</v>
          </cell>
          <cell r="BS77">
            <v>1.3800000000000008</v>
          </cell>
          <cell r="BU77">
            <v>4.6147543624324552</v>
          </cell>
          <cell r="BX77">
            <v>1.3800000000000008</v>
          </cell>
          <cell r="BZ77">
            <v>4.6147543624324552</v>
          </cell>
          <cell r="CC77">
            <v>1.3800000000000008</v>
          </cell>
          <cell r="CE77">
            <v>4.6147543624324552</v>
          </cell>
          <cell r="CH77">
            <v>1.3800000000000008</v>
          </cell>
          <cell r="CJ77">
            <v>4.6147543624324552</v>
          </cell>
          <cell r="CM77">
            <v>1.3800000000000008</v>
          </cell>
          <cell r="CO77">
            <v>4.6147543624324552</v>
          </cell>
          <cell r="CR77">
            <v>1.3800000000000008</v>
          </cell>
          <cell r="CT77">
            <v>4.6147543624324552</v>
          </cell>
          <cell r="CW77">
            <v>1.3800000000000008</v>
          </cell>
          <cell r="CY77">
            <v>4.6147543624324552</v>
          </cell>
          <cell r="DB77">
            <v>1.3800000000000008</v>
          </cell>
          <cell r="DD77">
            <v>4.6147543624324552</v>
          </cell>
          <cell r="DG77">
            <v>1.3800000000000008</v>
          </cell>
          <cell r="DI77">
            <v>4.6147543624324552</v>
          </cell>
          <cell r="DL77">
            <v>1.3800000000000008</v>
          </cell>
          <cell r="DN77">
            <v>4.6147543624324552</v>
          </cell>
          <cell r="DQ77">
            <v>1.3800000000000008</v>
          </cell>
          <cell r="DS77">
            <v>4.6147543624324552</v>
          </cell>
          <cell r="DV77">
            <v>1.3800000000000008</v>
          </cell>
          <cell r="DX77">
            <v>4.6147543624324552</v>
          </cell>
          <cell r="EA77">
            <v>1.3800000000000008</v>
          </cell>
          <cell r="EC77">
            <v>4.6147543624324552</v>
          </cell>
          <cell r="EF77">
            <v>1.3800000000000008</v>
          </cell>
          <cell r="EH77">
            <v>4.6147543624324552</v>
          </cell>
          <cell r="EK77">
            <v>1.3800000000000008</v>
          </cell>
          <cell r="EM77">
            <v>4.6147543624324552</v>
          </cell>
          <cell r="EP77">
            <v>1.3800000000000008</v>
          </cell>
          <cell r="ER77">
            <v>4.6147543624324552</v>
          </cell>
          <cell r="EU77">
            <v>1.3800000000000008</v>
          </cell>
          <cell r="EW77">
            <v>4.6147543624324552</v>
          </cell>
        </row>
        <row r="78">
          <cell r="U78">
            <v>1.4000000000000008</v>
          </cell>
          <cell r="W78">
            <v>4.5839383642394385</v>
          </cell>
          <cell r="Z78">
            <v>1.4000000000000008</v>
          </cell>
          <cell r="AB78">
            <v>4.5839383642394385</v>
          </cell>
          <cell r="AE78">
            <v>1.4000000000000008</v>
          </cell>
          <cell r="AG78">
            <v>4.5839383642394385</v>
          </cell>
          <cell r="AJ78">
            <v>1.4000000000000008</v>
          </cell>
          <cell r="AL78">
            <v>4.5839383642394385</v>
          </cell>
          <cell r="AO78">
            <v>1.4000000000000008</v>
          </cell>
          <cell r="AQ78">
            <v>4.5839383642394385</v>
          </cell>
          <cell r="AT78">
            <v>1.4000000000000008</v>
          </cell>
          <cell r="AV78">
            <v>4.5839383642394385</v>
          </cell>
          <cell r="AY78">
            <v>1.4000000000000008</v>
          </cell>
          <cell r="BA78">
            <v>4.5839383642394385</v>
          </cell>
          <cell r="BD78">
            <v>1.4000000000000008</v>
          </cell>
          <cell r="BF78">
            <v>4.5839383642394385</v>
          </cell>
          <cell r="BI78">
            <v>1.4000000000000008</v>
          </cell>
          <cell r="BK78">
            <v>4.5839383642394385</v>
          </cell>
          <cell r="BN78">
            <v>1.4000000000000008</v>
          </cell>
          <cell r="BP78">
            <v>4.5839383642394385</v>
          </cell>
          <cell r="BS78">
            <v>1.4000000000000008</v>
          </cell>
          <cell r="BU78">
            <v>4.5839383642394385</v>
          </cell>
          <cell r="BX78">
            <v>1.4000000000000008</v>
          </cell>
          <cell r="BZ78">
            <v>4.5839383642394385</v>
          </cell>
          <cell r="CC78">
            <v>1.4000000000000008</v>
          </cell>
          <cell r="CE78">
            <v>4.5839383642394385</v>
          </cell>
          <cell r="CH78">
            <v>1.4000000000000008</v>
          </cell>
          <cell r="CJ78">
            <v>4.5839383642394385</v>
          </cell>
          <cell r="CM78">
            <v>1.4000000000000008</v>
          </cell>
          <cell r="CO78">
            <v>4.5839383642394385</v>
          </cell>
          <cell r="CR78">
            <v>1.4000000000000008</v>
          </cell>
          <cell r="CT78">
            <v>4.5839383642394385</v>
          </cell>
          <cell r="CW78">
            <v>1.4000000000000008</v>
          </cell>
          <cell r="CY78">
            <v>4.5839383642394385</v>
          </cell>
          <cell r="DB78">
            <v>1.4000000000000008</v>
          </cell>
          <cell r="DD78">
            <v>4.5839383642394385</v>
          </cell>
          <cell r="DG78">
            <v>1.4000000000000008</v>
          </cell>
          <cell r="DI78">
            <v>4.5839383642394385</v>
          </cell>
          <cell r="DL78">
            <v>1.4000000000000008</v>
          </cell>
          <cell r="DN78">
            <v>4.5839383642394385</v>
          </cell>
          <cell r="DQ78">
            <v>1.4000000000000008</v>
          </cell>
          <cell r="DS78">
            <v>4.5839383642394385</v>
          </cell>
          <cell r="DV78">
            <v>1.4000000000000008</v>
          </cell>
          <cell r="DX78">
            <v>4.5839383642394385</v>
          </cell>
          <cell r="EA78">
            <v>1.4000000000000008</v>
          </cell>
          <cell r="EC78">
            <v>4.5839383642394385</v>
          </cell>
          <cell r="EF78">
            <v>1.4000000000000008</v>
          </cell>
          <cell r="EH78">
            <v>4.5839383642394385</v>
          </cell>
          <cell r="EK78">
            <v>1.4000000000000008</v>
          </cell>
          <cell r="EM78">
            <v>4.5839383642394385</v>
          </cell>
          <cell r="EP78">
            <v>1.4000000000000008</v>
          </cell>
          <cell r="ER78">
            <v>4.5839383642394385</v>
          </cell>
          <cell r="EU78">
            <v>1.4000000000000008</v>
          </cell>
          <cell r="EW78">
            <v>4.5839383642394385</v>
          </cell>
        </row>
        <row r="79">
          <cell r="U79">
            <v>1.4200000000000008</v>
          </cell>
          <cell r="W79">
            <v>4.550413853318573</v>
          </cell>
          <cell r="Z79">
            <v>1.4200000000000008</v>
          </cell>
          <cell r="AB79">
            <v>4.550413853318573</v>
          </cell>
          <cell r="AE79">
            <v>1.4200000000000008</v>
          </cell>
          <cell r="AG79">
            <v>4.550413853318573</v>
          </cell>
          <cell r="AJ79">
            <v>1.4200000000000008</v>
          </cell>
          <cell r="AL79">
            <v>4.550413853318573</v>
          </cell>
          <cell r="AO79">
            <v>1.4200000000000008</v>
          </cell>
          <cell r="AQ79">
            <v>4.550413853318573</v>
          </cell>
          <cell r="AT79">
            <v>1.4200000000000008</v>
          </cell>
          <cell r="AV79">
            <v>4.550413853318573</v>
          </cell>
          <cell r="AY79">
            <v>1.4200000000000008</v>
          </cell>
          <cell r="BA79">
            <v>4.550413853318573</v>
          </cell>
          <cell r="BD79">
            <v>1.4200000000000008</v>
          </cell>
          <cell r="BF79">
            <v>4.550413853318573</v>
          </cell>
          <cell r="BI79">
            <v>1.4200000000000008</v>
          </cell>
          <cell r="BK79">
            <v>4.550413853318573</v>
          </cell>
          <cell r="BN79">
            <v>1.4200000000000008</v>
          </cell>
          <cell r="BP79">
            <v>4.550413853318573</v>
          </cell>
          <cell r="BS79">
            <v>1.4200000000000008</v>
          </cell>
          <cell r="BU79">
            <v>4.550413853318573</v>
          </cell>
          <cell r="BX79">
            <v>1.4200000000000008</v>
          </cell>
          <cell r="BZ79">
            <v>4.550413853318573</v>
          </cell>
          <cell r="CC79">
            <v>1.4200000000000008</v>
          </cell>
          <cell r="CE79">
            <v>4.550413853318573</v>
          </cell>
          <cell r="CH79">
            <v>1.4200000000000008</v>
          </cell>
          <cell r="CJ79">
            <v>4.550413853318573</v>
          </cell>
          <cell r="CM79">
            <v>1.4200000000000008</v>
          </cell>
          <cell r="CO79">
            <v>4.550413853318573</v>
          </cell>
          <cell r="CR79">
            <v>1.4200000000000008</v>
          </cell>
          <cell r="CT79">
            <v>4.550413853318573</v>
          </cell>
          <cell r="CW79">
            <v>1.4200000000000008</v>
          </cell>
          <cell r="CY79">
            <v>4.550413853318573</v>
          </cell>
          <cell r="DB79">
            <v>1.4200000000000008</v>
          </cell>
          <cell r="DD79">
            <v>4.550413853318573</v>
          </cell>
          <cell r="DG79">
            <v>1.4200000000000008</v>
          </cell>
          <cell r="DI79">
            <v>4.550413853318573</v>
          </cell>
          <cell r="DL79">
            <v>1.4200000000000008</v>
          </cell>
          <cell r="DN79">
            <v>4.550413853318573</v>
          </cell>
          <cell r="DQ79">
            <v>1.4200000000000008</v>
          </cell>
          <cell r="DS79">
            <v>4.550413853318573</v>
          </cell>
          <cell r="DV79">
            <v>1.4200000000000008</v>
          </cell>
          <cell r="DX79">
            <v>4.550413853318573</v>
          </cell>
          <cell r="EA79">
            <v>1.4200000000000008</v>
          </cell>
          <cell r="EC79">
            <v>4.550413853318573</v>
          </cell>
          <cell r="EF79">
            <v>1.4200000000000008</v>
          </cell>
          <cell r="EH79">
            <v>4.550413853318573</v>
          </cell>
          <cell r="EK79">
            <v>1.4200000000000008</v>
          </cell>
          <cell r="EM79">
            <v>4.550413853318573</v>
          </cell>
          <cell r="EP79">
            <v>1.4200000000000008</v>
          </cell>
          <cell r="ER79">
            <v>4.550413853318573</v>
          </cell>
          <cell r="EU79">
            <v>1.4200000000000008</v>
          </cell>
          <cell r="EW79">
            <v>4.550413853318573</v>
          </cell>
        </row>
        <row r="80">
          <cell r="U80">
            <v>1.4400000000000008</v>
          </cell>
          <cell r="W80">
            <v>4.5141808296698596</v>
          </cell>
          <cell r="Z80">
            <v>1.4400000000000008</v>
          </cell>
          <cell r="AB80">
            <v>4.5141808296698596</v>
          </cell>
          <cell r="AE80">
            <v>1.4400000000000008</v>
          </cell>
          <cell r="AG80">
            <v>4.5141808296698596</v>
          </cell>
          <cell r="AJ80">
            <v>1.4400000000000008</v>
          </cell>
          <cell r="AL80">
            <v>4.5141808296698596</v>
          </cell>
          <cell r="AO80">
            <v>1.4400000000000008</v>
          </cell>
          <cell r="AQ80">
            <v>4.5141808296698596</v>
          </cell>
          <cell r="AT80">
            <v>1.4400000000000008</v>
          </cell>
          <cell r="AV80">
            <v>4.5141808296698596</v>
          </cell>
          <cell r="AY80">
            <v>1.4400000000000008</v>
          </cell>
          <cell r="BA80">
            <v>4.5141808296698596</v>
          </cell>
          <cell r="BD80">
            <v>1.4400000000000008</v>
          </cell>
          <cell r="BF80">
            <v>4.5141808296698596</v>
          </cell>
          <cell r="BI80">
            <v>1.4400000000000008</v>
          </cell>
          <cell r="BK80">
            <v>4.5141808296698596</v>
          </cell>
          <cell r="BN80">
            <v>1.4400000000000008</v>
          </cell>
          <cell r="BP80">
            <v>4.5141808296698596</v>
          </cell>
          <cell r="BS80">
            <v>1.4400000000000008</v>
          </cell>
          <cell r="BU80">
            <v>4.5141808296698596</v>
          </cell>
          <cell r="BX80">
            <v>1.4400000000000008</v>
          </cell>
          <cell r="BZ80">
            <v>4.5141808296698596</v>
          </cell>
          <cell r="CC80">
            <v>1.4400000000000008</v>
          </cell>
          <cell r="CE80">
            <v>4.5141808296698596</v>
          </cell>
          <cell r="CH80">
            <v>1.4400000000000008</v>
          </cell>
          <cell r="CJ80">
            <v>4.5141808296698596</v>
          </cell>
          <cell r="CM80">
            <v>1.4400000000000008</v>
          </cell>
          <cell r="CO80">
            <v>4.5141808296698596</v>
          </cell>
          <cell r="CR80">
            <v>1.4400000000000008</v>
          </cell>
          <cell r="CT80">
            <v>4.5141808296698596</v>
          </cell>
          <cell r="CW80">
            <v>1.4400000000000008</v>
          </cell>
          <cell r="CY80">
            <v>4.5141808296698596</v>
          </cell>
          <cell r="DB80">
            <v>1.4400000000000008</v>
          </cell>
          <cell r="DD80">
            <v>4.5141808296698596</v>
          </cell>
          <cell r="DG80">
            <v>1.4400000000000008</v>
          </cell>
          <cell r="DI80">
            <v>4.5141808296698596</v>
          </cell>
          <cell r="DL80">
            <v>1.4400000000000008</v>
          </cell>
          <cell r="DN80">
            <v>4.5141808296698596</v>
          </cell>
          <cell r="DQ80">
            <v>1.4400000000000008</v>
          </cell>
          <cell r="DS80">
            <v>4.5141808296698596</v>
          </cell>
          <cell r="DV80">
            <v>1.4400000000000008</v>
          </cell>
          <cell r="DX80">
            <v>4.5141808296698596</v>
          </cell>
          <cell r="EA80">
            <v>1.4400000000000008</v>
          </cell>
          <cell r="EC80">
            <v>4.5141808296698596</v>
          </cell>
          <cell r="EF80">
            <v>1.4400000000000008</v>
          </cell>
          <cell r="EH80">
            <v>4.5141808296698596</v>
          </cell>
          <cell r="EK80">
            <v>1.4400000000000008</v>
          </cell>
          <cell r="EM80">
            <v>4.5141808296698596</v>
          </cell>
          <cell r="EP80">
            <v>1.4400000000000008</v>
          </cell>
          <cell r="ER80">
            <v>4.5141808296698596</v>
          </cell>
          <cell r="EU80">
            <v>1.4400000000000008</v>
          </cell>
          <cell r="EW80">
            <v>4.5141808296698596</v>
          </cell>
        </row>
        <row r="81">
          <cell r="U81">
            <v>1.4600000000000009</v>
          </cell>
          <cell r="W81">
            <v>4.4752392932933001</v>
          </cell>
          <cell r="Z81">
            <v>1.4600000000000009</v>
          </cell>
          <cell r="AB81">
            <v>4.4752392932933001</v>
          </cell>
          <cell r="AE81">
            <v>1.4600000000000009</v>
          </cell>
          <cell r="AG81">
            <v>4.4752392932933001</v>
          </cell>
          <cell r="AJ81">
            <v>1.4600000000000009</v>
          </cell>
          <cell r="AL81">
            <v>4.4752392932933001</v>
          </cell>
          <cell r="AO81">
            <v>1.4600000000000009</v>
          </cell>
          <cell r="AQ81">
            <v>4.4752392932933001</v>
          </cell>
          <cell r="AT81">
            <v>1.4600000000000009</v>
          </cell>
          <cell r="AV81">
            <v>4.4752392932933001</v>
          </cell>
          <cell r="AY81">
            <v>1.4600000000000009</v>
          </cell>
          <cell r="BA81">
            <v>4.4752392932933001</v>
          </cell>
          <cell r="BD81">
            <v>1.4600000000000009</v>
          </cell>
          <cell r="BF81">
            <v>4.4752392932933001</v>
          </cell>
          <cell r="BI81">
            <v>1.4600000000000009</v>
          </cell>
          <cell r="BK81">
            <v>4.4752392932933001</v>
          </cell>
          <cell r="BN81">
            <v>1.4600000000000009</v>
          </cell>
          <cell r="BP81">
            <v>4.4752392932933001</v>
          </cell>
          <cell r="BS81">
            <v>1.4600000000000009</v>
          </cell>
          <cell r="BU81">
            <v>4.4752392932933001</v>
          </cell>
          <cell r="BX81">
            <v>1.4600000000000009</v>
          </cell>
          <cell r="BZ81">
            <v>4.4752392932933001</v>
          </cell>
          <cell r="CC81">
            <v>1.4600000000000009</v>
          </cell>
          <cell r="CE81">
            <v>4.4752392932933001</v>
          </cell>
          <cell r="CH81">
            <v>1.4600000000000009</v>
          </cell>
          <cell r="CJ81">
            <v>4.4752392932933001</v>
          </cell>
          <cell r="CM81">
            <v>1.4600000000000009</v>
          </cell>
          <cell r="CO81">
            <v>4.4752392932933001</v>
          </cell>
          <cell r="CR81">
            <v>1.4600000000000009</v>
          </cell>
          <cell r="CT81">
            <v>4.4752392932933001</v>
          </cell>
          <cell r="CW81">
            <v>1.4600000000000009</v>
          </cell>
          <cell r="CY81">
            <v>4.4752392932933001</v>
          </cell>
          <cell r="DB81">
            <v>1.4600000000000009</v>
          </cell>
          <cell r="DD81">
            <v>4.4752392932933001</v>
          </cell>
          <cell r="DG81">
            <v>1.4600000000000009</v>
          </cell>
          <cell r="DI81">
            <v>4.4752392932933001</v>
          </cell>
          <cell r="DL81">
            <v>1.4600000000000009</v>
          </cell>
          <cell r="DN81">
            <v>4.4752392932933001</v>
          </cell>
          <cell r="DQ81">
            <v>1.4600000000000009</v>
          </cell>
          <cell r="DS81">
            <v>4.4752392932933001</v>
          </cell>
          <cell r="DV81">
            <v>1.4600000000000009</v>
          </cell>
          <cell r="DX81">
            <v>4.4752392932933001</v>
          </cell>
          <cell r="EA81">
            <v>1.4600000000000009</v>
          </cell>
          <cell r="EC81">
            <v>4.4752392932933001</v>
          </cell>
          <cell r="EF81">
            <v>1.4600000000000009</v>
          </cell>
          <cell r="EH81">
            <v>4.4752392932933001</v>
          </cell>
          <cell r="EK81">
            <v>1.4600000000000009</v>
          </cell>
          <cell r="EM81">
            <v>4.4752392932933001</v>
          </cell>
          <cell r="EP81">
            <v>1.4600000000000009</v>
          </cell>
          <cell r="ER81">
            <v>4.4752392932933001</v>
          </cell>
          <cell r="EU81">
            <v>1.4600000000000009</v>
          </cell>
          <cell r="EW81">
            <v>4.4752392932933001</v>
          </cell>
        </row>
        <row r="82">
          <cell r="U82">
            <v>1.4800000000000009</v>
          </cell>
          <cell r="W82">
            <v>4.4335892441888944</v>
          </cell>
          <cell r="Z82">
            <v>1.4800000000000009</v>
          </cell>
          <cell r="AB82">
            <v>4.4335892441888944</v>
          </cell>
          <cell r="AE82">
            <v>1.4800000000000009</v>
          </cell>
          <cell r="AG82">
            <v>4.4335892441888944</v>
          </cell>
          <cell r="AJ82">
            <v>1.4800000000000009</v>
          </cell>
          <cell r="AL82">
            <v>4.4335892441888944</v>
          </cell>
          <cell r="AO82">
            <v>1.4800000000000009</v>
          </cell>
          <cell r="AQ82">
            <v>4.4335892441888944</v>
          </cell>
          <cell r="AT82">
            <v>1.4800000000000009</v>
          </cell>
          <cell r="AV82">
            <v>4.4335892441888944</v>
          </cell>
          <cell r="AY82">
            <v>1.4800000000000009</v>
          </cell>
          <cell r="BA82">
            <v>4.4335892441888944</v>
          </cell>
          <cell r="BD82">
            <v>1.4800000000000009</v>
          </cell>
          <cell r="BF82">
            <v>4.4335892441888944</v>
          </cell>
          <cell r="BI82">
            <v>1.4800000000000009</v>
          </cell>
          <cell r="BK82">
            <v>4.4335892441888944</v>
          </cell>
          <cell r="BN82">
            <v>1.4800000000000009</v>
          </cell>
          <cell r="BP82">
            <v>4.4335892441888944</v>
          </cell>
          <cell r="BS82">
            <v>1.4800000000000009</v>
          </cell>
          <cell r="BU82">
            <v>4.4335892441888944</v>
          </cell>
          <cell r="BX82">
            <v>1.4800000000000009</v>
          </cell>
          <cell r="BZ82">
            <v>4.4335892441888944</v>
          </cell>
          <cell r="CC82">
            <v>1.4800000000000009</v>
          </cell>
          <cell r="CE82">
            <v>4.4335892441888944</v>
          </cell>
          <cell r="CH82">
            <v>1.4800000000000009</v>
          </cell>
          <cell r="CJ82">
            <v>4.4335892441888944</v>
          </cell>
          <cell r="CM82">
            <v>1.4800000000000009</v>
          </cell>
          <cell r="CO82">
            <v>4.4335892441888944</v>
          </cell>
          <cell r="CR82">
            <v>1.4800000000000009</v>
          </cell>
          <cell r="CT82">
            <v>4.4335892441888944</v>
          </cell>
          <cell r="CW82">
            <v>1.4800000000000009</v>
          </cell>
          <cell r="CY82">
            <v>4.4335892441888944</v>
          </cell>
          <cell r="DB82">
            <v>1.4800000000000009</v>
          </cell>
          <cell r="DD82">
            <v>4.4335892441888944</v>
          </cell>
          <cell r="DG82">
            <v>1.4800000000000009</v>
          </cell>
          <cell r="DI82">
            <v>4.4335892441888944</v>
          </cell>
          <cell r="DL82">
            <v>1.4800000000000009</v>
          </cell>
          <cell r="DN82">
            <v>4.4335892441888944</v>
          </cell>
          <cell r="DQ82">
            <v>1.4800000000000009</v>
          </cell>
          <cell r="DS82">
            <v>4.4335892441888944</v>
          </cell>
          <cell r="DV82">
            <v>1.4800000000000009</v>
          </cell>
          <cell r="DX82">
            <v>4.4335892441888944</v>
          </cell>
          <cell r="EA82">
            <v>1.4800000000000009</v>
          </cell>
          <cell r="EC82">
            <v>4.4335892441888944</v>
          </cell>
          <cell r="EF82">
            <v>1.4800000000000009</v>
          </cell>
          <cell r="EH82">
            <v>4.4335892441888944</v>
          </cell>
          <cell r="EK82">
            <v>1.4800000000000009</v>
          </cell>
          <cell r="EM82">
            <v>4.4335892441888944</v>
          </cell>
          <cell r="EP82">
            <v>1.4800000000000009</v>
          </cell>
          <cell r="ER82">
            <v>4.4335892441888944</v>
          </cell>
          <cell r="EU82">
            <v>1.4800000000000009</v>
          </cell>
          <cell r="EW82">
            <v>4.4335892441888944</v>
          </cell>
        </row>
        <row r="83">
          <cell r="U83">
            <v>1.5000000000000009</v>
          </cell>
          <cell r="W83">
            <v>4.38923068235664</v>
          </cell>
          <cell r="Z83">
            <v>1.5000000000000009</v>
          </cell>
          <cell r="AB83">
            <v>4.38923068235664</v>
          </cell>
          <cell r="AE83">
            <v>1.5000000000000009</v>
          </cell>
          <cell r="AG83">
            <v>4.38923068235664</v>
          </cell>
          <cell r="AJ83">
            <v>1.5000000000000009</v>
          </cell>
          <cell r="AL83">
            <v>4.38923068235664</v>
          </cell>
          <cell r="AO83">
            <v>1.5000000000000009</v>
          </cell>
          <cell r="AQ83">
            <v>4.38923068235664</v>
          </cell>
          <cell r="AT83">
            <v>1.5000000000000009</v>
          </cell>
          <cell r="AV83">
            <v>4.38923068235664</v>
          </cell>
          <cell r="AY83">
            <v>1.5000000000000009</v>
          </cell>
          <cell r="BA83">
            <v>4.38923068235664</v>
          </cell>
          <cell r="BD83">
            <v>1.5000000000000009</v>
          </cell>
          <cell r="BF83">
            <v>4.38923068235664</v>
          </cell>
          <cell r="BI83">
            <v>1.5000000000000009</v>
          </cell>
          <cell r="BK83">
            <v>4.38923068235664</v>
          </cell>
          <cell r="BN83">
            <v>1.5000000000000009</v>
          </cell>
          <cell r="BP83">
            <v>4.38923068235664</v>
          </cell>
          <cell r="BS83">
            <v>1.5000000000000009</v>
          </cell>
          <cell r="BU83">
            <v>4.38923068235664</v>
          </cell>
          <cell r="BX83">
            <v>1.5000000000000009</v>
          </cell>
          <cell r="BZ83">
            <v>4.38923068235664</v>
          </cell>
          <cell r="CC83">
            <v>1.5000000000000009</v>
          </cell>
          <cell r="CE83">
            <v>4.38923068235664</v>
          </cell>
          <cell r="CH83">
            <v>1.5000000000000009</v>
          </cell>
          <cell r="CJ83">
            <v>4.38923068235664</v>
          </cell>
          <cell r="CM83">
            <v>1.5000000000000009</v>
          </cell>
          <cell r="CO83">
            <v>4.38923068235664</v>
          </cell>
          <cell r="CR83">
            <v>1.5000000000000009</v>
          </cell>
          <cell r="CT83">
            <v>4.38923068235664</v>
          </cell>
          <cell r="CW83">
            <v>1.5000000000000009</v>
          </cell>
          <cell r="CY83">
            <v>4.38923068235664</v>
          </cell>
          <cell r="DB83">
            <v>1.5000000000000009</v>
          </cell>
          <cell r="DD83">
            <v>4.38923068235664</v>
          </cell>
          <cell r="DG83">
            <v>1.5000000000000009</v>
          </cell>
          <cell r="DI83">
            <v>4.38923068235664</v>
          </cell>
          <cell r="DL83">
            <v>1.5000000000000009</v>
          </cell>
          <cell r="DN83">
            <v>4.38923068235664</v>
          </cell>
          <cell r="DQ83">
            <v>1.5000000000000009</v>
          </cell>
          <cell r="DS83">
            <v>4.38923068235664</v>
          </cell>
          <cell r="DV83">
            <v>1.5000000000000009</v>
          </cell>
          <cell r="DX83">
            <v>4.38923068235664</v>
          </cell>
          <cell r="EA83">
            <v>1.5000000000000009</v>
          </cell>
          <cell r="EC83">
            <v>4.38923068235664</v>
          </cell>
          <cell r="EF83">
            <v>1.5000000000000009</v>
          </cell>
          <cell r="EH83">
            <v>4.38923068235664</v>
          </cell>
          <cell r="EK83">
            <v>1.5000000000000009</v>
          </cell>
          <cell r="EM83">
            <v>4.38923068235664</v>
          </cell>
          <cell r="EP83">
            <v>1.5000000000000009</v>
          </cell>
          <cell r="ER83">
            <v>4.38923068235664</v>
          </cell>
          <cell r="EU83">
            <v>1.5000000000000009</v>
          </cell>
          <cell r="EW83">
            <v>4.38923068235664</v>
          </cell>
        </row>
        <row r="84">
          <cell r="U84">
            <v>1.5200000000000009</v>
          </cell>
          <cell r="W84">
            <v>4.3421636077965386</v>
          </cell>
          <cell r="Z84">
            <v>1.5200000000000009</v>
          </cell>
          <cell r="AB84">
            <v>4.3421636077965386</v>
          </cell>
          <cell r="AE84">
            <v>1.5200000000000009</v>
          </cell>
          <cell r="AG84">
            <v>4.3421636077965386</v>
          </cell>
          <cell r="AJ84">
            <v>1.5200000000000009</v>
          </cell>
          <cell r="AL84">
            <v>4.3421636077965386</v>
          </cell>
          <cell r="AO84">
            <v>1.5200000000000009</v>
          </cell>
          <cell r="AQ84">
            <v>4.3421636077965386</v>
          </cell>
          <cell r="AT84">
            <v>1.5200000000000009</v>
          </cell>
          <cell r="AV84">
            <v>4.3421636077965386</v>
          </cell>
          <cell r="AY84">
            <v>1.5200000000000009</v>
          </cell>
          <cell r="BA84">
            <v>4.3421636077965386</v>
          </cell>
          <cell r="BD84">
            <v>1.5200000000000009</v>
          </cell>
          <cell r="BF84">
            <v>4.3421636077965386</v>
          </cell>
          <cell r="BI84">
            <v>1.5200000000000009</v>
          </cell>
          <cell r="BK84">
            <v>4.3421636077965386</v>
          </cell>
          <cell r="BN84">
            <v>1.5200000000000009</v>
          </cell>
          <cell r="BP84">
            <v>4.3421636077965386</v>
          </cell>
          <cell r="BS84">
            <v>1.5200000000000009</v>
          </cell>
          <cell r="BU84">
            <v>4.3421636077965386</v>
          </cell>
          <cell r="BX84">
            <v>1.5200000000000009</v>
          </cell>
          <cell r="BZ84">
            <v>4.3421636077965386</v>
          </cell>
          <cell r="CC84">
            <v>1.5200000000000009</v>
          </cell>
          <cell r="CE84">
            <v>4.3421636077965386</v>
          </cell>
          <cell r="CH84">
            <v>1.5200000000000009</v>
          </cell>
          <cell r="CJ84">
            <v>4.3421636077965386</v>
          </cell>
          <cell r="CM84">
            <v>1.5200000000000009</v>
          </cell>
          <cell r="CO84">
            <v>4.3421636077965386</v>
          </cell>
          <cell r="CR84">
            <v>1.5200000000000009</v>
          </cell>
          <cell r="CT84">
            <v>4.3421636077965386</v>
          </cell>
          <cell r="CW84">
            <v>1.5200000000000009</v>
          </cell>
          <cell r="CY84">
            <v>4.3421636077965386</v>
          </cell>
          <cell r="DB84">
            <v>1.5200000000000009</v>
          </cell>
          <cell r="DD84">
            <v>4.3421636077965386</v>
          </cell>
          <cell r="DG84">
            <v>1.5200000000000009</v>
          </cell>
          <cell r="DI84">
            <v>4.3421636077965386</v>
          </cell>
          <cell r="DL84">
            <v>1.5200000000000009</v>
          </cell>
          <cell r="DN84">
            <v>4.3421636077965386</v>
          </cell>
          <cell r="DQ84">
            <v>1.5200000000000009</v>
          </cell>
          <cell r="DS84">
            <v>4.3421636077965386</v>
          </cell>
          <cell r="DV84">
            <v>1.5200000000000009</v>
          </cell>
          <cell r="DX84">
            <v>4.3421636077965386</v>
          </cell>
          <cell r="EA84">
            <v>1.5200000000000009</v>
          </cell>
          <cell r="EC84">
            <v>4.3421636077965386</v>
          </cell>
          <cell r="EF84">
            <v>1.5200000000000009</v>
          </cell>
          <cell r="EH84">
            <v>4.3421636077965386</v>
          </cell>
          <cell r="EK84">
            <v>1.5200000000000009</v>
          </cell>
          <cell r="EM84">
            <v>4.3421636077965386</v>
          </cell>
          <cell r="EP84">
            <v>1.5200000000000009</v>
          </cell>
          <cell r="ER84">
            <v>4.3421636077965386</v>
          </cell>
          <cell r="EU84">
            <v>1.5200000000000009</v>
          </cell>
          <cell r="EW84">
            <v>4.3421636077965386</v>
          </cell>
        </row>
        <row r="85">
          <cell r="U85">
            <v>1.5400000000000009</v>
          </cell>
          <cell r="W85">
            <v>4.2923880205085885</v>
          </cell>
          <cell r="Z85">
            <v>1.5400000000000009</v>
          </cell>
          <cell r="AB85">
            <v>4.2923880205085885</v>
          </cell>
          <cell r="AE85">
            <v>1.5400000000000009</v>
          </cell>
          <cell r="AG85">
            <v>4.2923880205085885</v>
          </cell>
          <cell r="AJ85">
            <v>1.5400000000000009</v>
          </cell>
          <cell r="AL85">
            <v>4.2923880205085885</v>
          </cell>
          <cell r="AO85">
            <v>1.5400000000000009</v>
          </cell>
          <cell r="AQ85">
            <v>4.2923880205085885</v>
          </cell>
          <cell r="AT85">
            <v>1.5400000000000009</v>
          </cell>
          <cell r="AV85">
            <v>4.2923880205085885</v>
          </cell>
          <cell r="AY85">
            <v>1.5400000000000009</v>
          </cell>
          <cell r="BA85">
            <v>4.2923880205085885</v>
          </cell>
          <cell r="BD85">
            <v>1.5400000000000009</v>
          </cell>
          <cell r="BF85">
            <v>4.2923880205085885</v>
          </cell>
          <cell r="BI85">
            <v>1.5400000000000009</v>
          </cell>
          <cell r="BK85">
            <v>4.2923880205085885</v>
          </cell>
          <cell r="BN85">
            <v>1.5400000000000009</v>
          </cell>
          <cell r="BP85">
            <v>4.2923880205085885</v>
          </cell>
          <cell r="BS85">
            <v>1.5400000000000009</v>
          </cell>
          <cell r="BU85">
            <v>4.2923880205085885</v>
          </cell>
          <cell r="BX85">
            <v>1.5400000000000009</v>
          </cell>
          <cell r="BZ85">
            <v>4.2923880205085885</v>
          </cell>
          <cell r="CC85">
            <v>1.5400000000000009</v>
          </cell>
          <cell r="CE85">
            <v>4.2923880205085885</v>
          </cell>
          <cell r="CH85">
            <v>1.5400000000000009</v>
          </cell>
          <cell r="CJ85">
            <v>4.2923880205085885</v>
          </cell>
          <cell r="CM85">
            <v>1.5400000000000009</v>
          </cell>
          <cell r="CO85">
            <v>4.2923880205085885</v>
          </cell>
          <cell r="CR85">
            <v>1.5400000000000009</v>
          </cell>
          <cell r="CT85">
            <v>4.2923880205085885</v>
          </cell>
          <cell r="CW85">
            <v>1.5400000000000009</v>
          </cell>
          <cell r="CY85">
            <v>4.2923880205085885</v>
          </cell>
          <cell r="DB85">
            <v>1.5400000000000009</v>
          </cell>
          <cell r="DD85">
            <v>4.2923880205085885</v>
          </cell>
          <cell r="DG85">
            <v>1.5400000000000009</v>
          </cell>
          <cell r="DI85">
            <v>4.2923880205085885</v>
          </cell>
          <cell r="DL85">
            <v>1.5400000000000009</v>
          </cell>
          <cell r="DN85">
            <v>4.2923880205085885</v>
          </cell>
          <cell r="DQ85">
            <v>1.5400000000000009</v>
          </cell>
          <cell r="DS85">
            <v>4.2923880205085885</v>
          </cell>
          <cell r="DV85">
            <v>1.5400000000000009</v>
          </cell>
          <cell r="DX85">
            <v>4.2923880205085885</v>
          </cell>
          <cell r="EA85">
            <v>1.5400000000000009</v>
          </cell>
          <cell r="EC85">
            <v>4.2923880205085885</v>
          </cell>
          <cell r="EF85">
            <v>1.5400000000000009</v>
          </cell>
          <cell r="EH85">
            <v>4.2923880205085885</v>
          </cell>
          <cell r="EK85">
            <v>1.5400000000000009</v>
          </cell>
          <cell r="EM85">
            <v>4.2923880205085885</v>
          </cell>
          <cell r="EP85">
            <v>1.5400000000000009</v>
          </cell>
          <cell r="ER85">
            <v>4.2923880205085885</v>
          </cell>
          <cell r="EU85">
            <v>1.5400000000000009</v>
          </cell>
          <cell r="EW85">
            <v>4.2923880205085885</v>
          </cell>
        </row>
        <row r="86">
          <cell r="U86">
            <v>1.5600000000000009</v>
          </cell>
          <cell r="W86">
            <v>4.2399039204927975</v>
          </cell>
          <cell r="Z86">
            <v>1.5600000000000009</v>
          </cell>
          <cell r="AB86">
            <v>4.2399039204927975</v>
          </cell>
          <cell r="AE86">
            <v>1.5600000000000009</v>
          </cell>
          <cell r="AG86">
            <v>4.2399039204927975</v>
          </cell>
          <cell r="AJ86">
            <v>1.5600000000000009</v>
          </cell>
          <cell r="AL86">
            <v>4.2399039204927975</v>
          </cell>
          <cell r="AO86">
            <v>1.5600000000000009</v>
          </cell>
          <cell r="AQ86">
            <v>4.2399039204927975</v>
          </cell>
          <cell r="AT86">
            <v>1.5600000000000009</v>
          </cell>
          <cell r="AV86">
            <v>4.2399039204927975</v>
          </cell>
          <cell r="AY86">
            <v>1.5600000000000009</v>
          </cell>
          <cell r="BA86">
            <v>4.2399039204927975</v>
          </cell>
          <cell r="BD86">
            <v>1.5600000000000009</v>
          </cell>
          <cell r="BF86">
            <v>4.2399039204927975</v>
          </cell>
          <cell r="BI86">
            <v>1.5600000000000009</v>
          </cell>
          <cell r="BK86">
            <v>4.2399039204927975</v>
          </cell>
          <cell r="BN86">
            <v>1.5600000000000009</v>
          </cell>
          <cell r="BP86">
            <v>4.2399039204927975</v>
          </cell>
          <cell r="BS86">
            <v>1.5600000000000009</v>
          </cell>
          <cell r="BU86">
            <v>4.2399039204927975</v>
          </cell>
          <cell r="BX86">
            <v>1.5600000000000009</v>
          </cell>
          <cell r="BZ86">
            <v>4.2399039204927975</v>
          </cell>
          <cell r="CC86">
            <v>1.5600000000000009</v>
          </cell>
          <cell r="CE86">
            <v>4.2399039204927975</v>
          </cell>
          <cell r="CH86">
            <v>1.5600000000000009</v>
          </cell>
          <cell r="CJ86">
            <v>4.2399039204927975</v>
          </cell>
          <cell r="CM86">
            <v>1.5600000000000009</v>
          </cell>
          <cell r="CO86">
            <v>4.2399039204927975</v>
          </cell>
          <cell r="CR86">
            <v>1.5600000000000009</v>
          </cell>
          <cell r="CT86">
            <v>4.2399039204927975</v>
          </cell>
          <cell r="CW86">
            <v>1.5600000000000009</v>
          </cell>
          <cell r="CY86">
            <v>4.2399039204927975</v>
          </cell>
          <cell r="DB86">
            <v>1.5600000000000009</v>
          </cell>
          <cell r="DD86">
            <v>4.2399039204927975</v>
          </cell>
          <cell r="DG86">
            <v>1.5600000000000009</v>
          </cell>
          <cell r="DI86">
            <v>4.2399039204927975</v>
          </cell>
          <cell r="DL86">
            <v>1.5600000000000009</v>
          </cell>
          <cell r="DN86">
            <v>4.2399039204927975</v>
          </cell>
          <cell r="DQ86">
            <v>1.5600000000000009</v>
          </cell>
          <cell r="DS86">
            <v>4.2399039204927975</v>
          </cell>
          <cell r="DV86">
            <v>1.5600000000000009</v>
          </cell>
          <cell r="DX86">
            <v>4.2399039204927975</v>
          </cell>
          <cell r="EA86">
            <v>1.5600000000000009</v>
          </cell>
          <cell r="EC86">
            <v>4.2399039204927975</v>
          </cell>
          <cell r="EF86">
            <v>1.5600000000000009</v>
          </cell>
          <cell r="EH86">
            <v>4.2399039204927975</v>
          </cell>
          <cell r="EK86">
            <v>1.5600000000000009</v>
          </cell>
          <cell r="EM86">
            <v>4.2399039204927975</v>
          </cell>
          <cell r="EP86">
            <v>1.5600000000000009</v>
          </cell>
          <cell r="ER86">
            <v>4.2399039204927975</v>
          </cell>
          <cell r="EU86">
            <v>1.5600000000000009</v>
          </cell>
          <cell r="EW86">
            <v>4.2399039204927975</v>
          </cell>
        </row>
        <row r="87">
          <cell r="U87">
            <v>1.580000000000001</v>
          </cell>
          <cell r="W87">
            <v>4.1847113077491533</v>
          </cell>
          <cell r="Z87">
            <v>1.580000000000001</v>
          </cell>
          <cell r="AB87">
            <v>4.1847113077491533</v>
          </cell>
          <cell r="AE87">
            <v>1.580000000000001</v>
          </cell>
          <cell r="AG87">
            <v>4.1847113077491533</v>
          </cell>
          <cell r="AJ87">
            <v>1.580000000000001</v>
          </cell>
          <cell r="AL87">
            <v>4.1847113077491533</v>
          </cell>
          <cell r="AO87">
            <v>1.580000000000001</v>
          </cell>
          <cell r="AQ87">
            <v>4.1847113077491533</v>
          </cell>
          <cell r="AT87">
            <v>1.580000000000001</v>
          </cell>
          <cell r="AV87">
            <v>4.1847113077491533</v>
          </cell>
          <cell r="AY87">
            <v>1.580000000000001</v>
          </cell>
          <cell r="BA87">
            <v>4.1847113077491533</v>
          </cell>
          <cell r="BD87">
            <v>1.580000000000001</v>
          </cell>
          <cell r="BF87">
            <v>4.1847113077491533</v>
          </cell>
          <cell r="BI87">
            <v>1.580000000000001</v>
          </cell>
          <cell r="BK87">
            <v>4.1847113077491533</v>
          </cell>
          <cell r="BN87">
            <v>1.580000000000001</v>
          </cell>
          <cell r="BP87">
            <v>4.1847113077491533</v>
          </cell>
          <cell r="BS87">
            <v>1.580000000000001</v>
          </cell>
          <cell r="BU87">
            <v>4.1847113077491533</v>
          </cell>
          <cell r="BX87">
            <v>1.580000000000001</v>
          </cell>
          <cell r="BZ87">
            <v>4.1847113077491533</v>
          </cell>
          <cell r="CC87">
            <v>1.580000000000001</v>
          </cell>
          <cell r="CE87">
            <v>4.1847113077491533</v>
          </cell>
          <cell r="CH87">
            <v>1.580000000000001</v>
          </cell>
          <cell r="CJ87">
            <v>4.1847113077491533</v>
          </cell>
          <cell r="CM87">
            <v>1.580000000000001</v>
          </cell>
          <cell r="CO87">
            <v>4.1847113077491533</v>
          </cell>
          <cell r="CR87">
            <v>1.580000000000001</v>
          </cell>
          <cell r="CT87">
            <v>4.1847113077491533</v>
          </cell>
          <cell r="CW87">
            <v>1.580000000000001</v>
          </cell>
          <cell r="CY87">
            <v>4.1847113077491533</v>
          </cell>
          <cell r="DB87">
            <v>1.580000000000001</v>
          </cell>
          <cell r="DD87">
            <v>4.1847113077491533</v>
          </cell>
          <cell r="DG87">
            <v>1.580000000000001</v>
          </cell>
          <cell r="DI87">
            <v>4.1847113077491533</v>
          </cell>
          <cell r="DL87">
            <v>1.580000000000001</v>
          </cell>
          <cell r="DN87">
            <v>4.1847113077491533</v>
          </cell>
          <cell r="DQ87">
            <v>1.580000000000001</v>
          </cell>
          <cell r="DS87">
            <v>4.1847113077491533</v>
          </cell>
          <cell r="DV87">
            <v>1.580000000000001</v>
          </cell>
          <cell r="DX87">
            <v>4.1847113077491533</v>
          </cell>
          <cell r="EA87">
            <v>1.580000000000001</v>
          </cell>
          <cell r="EC87">
            <v>4.1847113077491533</v>
          </cell>
          <cell r="EF87">
            <v>1.580000000000001</v>
          </cell>
          <cell r="EH87">
            <v>4.1847113077491533</v>
          </cell>
          <cell r="EK87">
            <v>1.580000000000001</v>
          </cell>
          <cell r="EM87">
            <v>4.1847113077491533</v>
          </cell>
          <cell r="EP87">
            <v>1.580000000000001</v>
          </cell>
          <cell r="ER87">
            <v>4.1847113077491533</v>
          </cell>
          <cell r="EU87">
            <v>1.580000000000001</v>
          </cell>
          <cell r="EW87">
            <v>4.1847113077491533</v>
          </cell>
        </row>
        <row r="88">
          <cell r="U88">
            <v>1.600000000000001</v>
          </cell>
          <cell r="W88">
            <v>4.1268101822776631</v>
          </cell>
          <cell r="Z88">
            <v>1.600000000000001</v>
          </cell>
          <cell r="AB88">
            <v>4.1268101822776631</v>
          </cell>
          <cell r="AE88">
            <v>1.600000000000001</v>
          </cell>
          <cell r="AG88">
            <v>4.1268101822776631</v>
          </cell>
          <cell r="AJ88">
            <v>1.600000000000001</v>
          </cell>
          <cell r="AL88">
            <v>4.1268101822776631</v>
          </cell>
          <cell r="AO88">
            <v>1.600000000000001</v>
          </cell>
          <cell r="AQ88">
            <v>4.1268101822776631</v>
          </cell>
          <cell r="AT88">
            <v>1.600000000000001</v>
          </cell>
          <cell r="AV88">
            <v>4.1268101822776631</v>
          </cell>
          <cell r="AY88">
            <v>1.600000000000001</v>
          </cell>
          <cell r="BA88">
            <v>4.1268101822776631</v>
          </cell>
          <cell r="BD88">
            <v>1.600000000000001</v>
          </cell>
          <cell r="BF88">
            <v>4.1268101822776631</v>
          </cell>
          <cell r="BI88">
            <v>1.600000000000001</v>
          </cell>
          <cell r="BK88">
            <v>4.1268101822776631</v>
          </cell>
          <cell r="BN88">
            <v>1.600000000000001</v>
          </cell>
          <cell r="BP88">
            <v>4.1268101822776631</v>
          </cell>
          <cell r="BS88">
            <v>1.600000000000001</v>
          </cell>
          <cell r="BU88">
            <v>4.1268101822776631</v>
          </cell>
          <cell r="BX88">
            <v>1.600000000000001</v>
          </cell>
          <cell r="BZ88">
            <v>4.1268101822776631</v>
          </cell>
          <cell r="CC88">
            <v>1.600000000000001</v>
          </cell>
          <cell r="CE88">
            <v>4.1268101822776631</v>
          </cell>
          <cell r="CH88">
            <v>1.600000000000001</v>
          </cell>
          <cell r="CJ88">
            <v>4.1268101822776631</v>
          </cell>
          <cell r="CM88">
            <v>1.600000000000001</v>
          </cell>
          <cell r="CO88">
            <v>4.1268101822776631</v>
          </cell>
          <cell r="CR88">
            <v>1.600000000000001</v>
          </cell>
          <cell r="CT88">
            <v>4.1268101822776631</v>
          </cell>
          <cell r="CW88">
            <v>1.600000000000001</v>
          </cell>
          <cell r="CY88">
            <v>4.1268101822776631</v>
          </cell>
          <cell r="DB88">
            <v>1.600000000000001</v>
          </cell>
          <cell r="DD88">
            <v>4.1268101822776631</v>
          </cell>
          <cell r="DG88">
            <v>1.600000000000001</v>
          </cell>
          <cell r="DI88">
            <v>4.1268101822776631</v>
          </cell>
          <cell r="DL88">
            <v>1.600000000000001</v>
          </cell>
          <cell r="DN88">
            <v>4.1268101822776631</v>
          </cell>
          <cell r="DQ88">
            <v>1.600000000000001</v>
          </cell>
          <cell r="DS88">
            <v>4.1268101822776631</v>
          </cell>
          <cell r="DV88">
            <v>1.600000000000001</v>
          </cell>
          <cell r="DX88">
            <v>4.1268101822776631</v>
          </cell>
          <cell r="EA88">
            <v>1.600000000000001</v>
          </cell>
          <cell r="EC88">
            <v>4.1268101822776631</v>
          </cell>
          <cell r="EF88">
            <v>1.600000000000001</v>
          </cell>
          <cell r="EH88">
            <v>4.1268101822776631</v>
          </cell>
          <cell r="EK88">
            <v>1.600000000000001</v>
          </cell>
          <cell r="EM88">
            <v>4.1268101822776631</v>
          </cell>
          <cell r="EP88">
            <v>1.600000000000001</v>
          </cell>
          <cell r="ER88">
            <v>4.1268101822776631</v>
          </cell>
          <cell r="EU88">
            <v>1.600000000000001</v>
          </cell>
          <cell r="EW88">
            <v>4.1268101822776631</v>
          </cell>
        </row>
        <row r="89">
          <cell r="U89">
            <v>1.620000000000001</v>
          </cell>
          <cell r="W89">
            <v>4.0662005440783302</v>
          </cell>
          <cell r="Z89">
            <v>1.620000000000001</v>
          </cell>
          <cell r="AB89">
            <v>4.0662005440783302</v>
          </cell>
          <cell r="AE89">
            <v>1.620000000000001</v>
          </cell>
          <cell r="AG89">
            <v>4.0662005440783302</v>
          </cell>
          <cell r="AJ89">
            <v>1.620000000000001</v>
          </cell>
          <cell r="AL89">
            <v>4.0662005440783302</v>
          </cell>
          <cell r="AO89">
            <v>1.620000000000001</v>
          </cell>
          <cell r="AQ89">
            <v>4.0662005440783302</v>
          </cell>
          <cell r="AT89">
            <v>1.620000000000001</v>
          </cell>
          <cell r="AV89">
            <v>4.0662005440783302</v>
          </cell>
          <cell r="AY89">
            <v>1.620000000000001</v>
          </cell>
          <cell r="BA89">
            <v>4.0662005440783302</v>
          </cell>
          <cell r="BD89">
            <v>1.620000000000001</v>
          </cell>
          <cell r="BF89">
            <v>4.0662005440783302</v>
          </cell>
          <cell r="BI89">
            <v>1.620000000000001</v>
          </cell>
          <cell r="BK89">
            <v>4.0662005440783302</v>
          </cell>
          <cell r="BN89">
            <v>1.620000000000001</v>
          </cell>
          <cell r="BP89">
            <v>4.0662005440783302</v>
          </cell>
          <cell r="BS89">
            <v>1.620000000000001</v>
          </cell>
          <cell r="BU89">
            <v>4.0662005440783302</v>
          </cell>
          <cell r="BX89">
            <v>1.620000000000001</v>
          </cell>
          <cell r="BZ89">
            <v>4.0662005440783302</v>
          </cell>
          <cell r="CC89">
            <v>1.620000000000001</v>
          </cell>
          <cell r="CE89">
            <v>4.0662005440783302</v>
          </cell>
          <cell r="CH89">
            <v>1.620000000000001</v>
          </cell>
          <cell r="CJ89">
            <v>4.0662005440783302</v>
          </cell>
          <cell r="CM89">
            <v>1.620000000000001</v>
          </cell>
          <cell r="CO89">
            <v>4.0662005440783302</v>
          </cell>
          <cell r="CR89">
            <v>1.620000000000001</v>
          </cell>
          <cell r="CT89">
            <v>4.0662005440783302</v>
          </cell>
          <cell r="CW89">
            <v>1.620000000000001</v>
          </cell>
          <cell r="CY89">
            <v>4.0662005440783302</v>
          </cell>
          <cell r="DB89">
            <v>1.620000000000001</v>
          </cell>
          <cell r="DD89">
            <v>4.0662005440783302</v>
          </cell>
          <cell r="DG89">
            <v>1.620000000000001</v>
          </cell>
          <cell r="DI89">
            <v>4.0662005440783302</v>
          </cell>
          <cell r="DL89">
            <v>1.620000000000001</v>
          </cell>
          <cell r="DN89">
            <v>4.0662005440783302</v>
          </cell>
          <cell r="DQ89">
            <v>1.620000000000001</v>
          </cell>
          <cell r="DS89">
            <v>4.0662005440783302</v>
          </cell>
          <cell r="DV89">
            <v>1.620000000000001</v>
          </cell>
          <cell r="DX89">
            <v>4.0662005440783302</v>
          </cell>
          <cell r="EA89">
            <v>1.620000000000001</v>
          </cell>
          <cell r="EC89">
            <v>4.0662005440783302</v>
          </cell>
          <cell r="EF89">
            <v>1.620000000000001</v>
          </cell>
          <cell r="EH89">
            <v>4.0662005440783302</v>
          </cell>
          <cell r="EK89">
            <v>1.620000000000001</v>
          </cell>
          <cell r="EM89">
            <v>4.0662005440783302</v>
          </cell>
          <cell r="EP89">
            <v>1.620000000000001</v>
          </cell>
          <cell r="ER89">
            <v>4.0662005440783302</v>
          </cell>
          <cell r="EU89">
            <v>1.620000000000001</v>
          </cell>
          <cell r="EW89">
            <v>4.0662005440783302</v>
          </cell>
        </row>
        <row r="90">
          <cell r="U90">
            <v>1.640000000000001</v>
          </cell>
          <cell r="W90">
            <v>4.0028823931511459</v>
          </cell>
          <cell r="Z90">
            <v>1.640000000000001</v>
          </cell>
          <cell r="AB90">
            <v>4.0028823931511459</v>
          </cell>
          <cell r="AE90">
            <v>1.640000000000001</v>
          </cell>
          <cell r="AG90">
            <v>4.0028823931511459</v>
          </cell>
          <cell r="AJ90">
            <v>1.640000000000001</v>
          </cell>
          <cell r="AL90">
            <v>4.0028823931511459</v>
          </cell>
          <cell r="AO90">
            <v>1.640000000000001</v>
          </cell>
          <cell r="AQ90">
            <v>4.0028823931511459</v>
          </cell>
          <cell r="AT90">
            <v>1.640000000000001</v>
          </cell>
          <cell r="AV90">
            <v>4.0028823931511459</v>
          </cell>
          <cell r="AY90">
            <v>1.640000000000001</v>
          </cell>
          <cell r="BA90">
            <v>4.0028823931511459</v>
          </cell>
          <cell r="BD90">
            <v>1.640000000000001</v>
          </cell>
          <cell r="BF90">
            <v>4.0028823931511459</v>
          </cell>
          <cell r="BI90">
            <v>1.640000000000001</v>
          </cell>
          <cell r="BK90">
            <v>4.0028823931511459</v>
          </cell>
          <cell r="BN90">
            <v>1.640000000000001</v>
          </cell>
          <cell r="BP90">
            <v>4.0028823931511459</v>
          </cell>
          <cell r="BS90">
            <v>1.640000000000001</v>
          </cell>
          <cell r="BU90">
            <v>4.0028823931511459</v>
          </cell>
          <cell r="BX90">
            <v>1.640000000000001</v>
          </cell>
          <cell r="BZ90">
            <v>4.0028823931511459</v>
          </cell>
          <cell r="CC90">
            <v>1.640000000000001</v>
          </cell>
          <cell r="CE90">
            <v>4.0028823931511459</v>
          </cell>
          <cell r="CH90">
            <v>1.640000000000001</v>
          </cell>
          <cell r="CJ90">
            <v>4.0028823931511459</v>
          </cell>
          <cell r="CM90">
            <v>1.640000000000001</v>
          </cell>
          <cell r="CO90">
            <v>4.0028823931511459</v>
          </cell>
          <cell r="CR90">
            <v>1.640000000000001</v>
          </cell>
          <cell r="CT90">
            <v>4.0028823931511459</v>
          </cell>
          <cell r="CW90">
            <v>1.640000000000001</v>
          </cell>
          <cell r="CY90">
            <v>4.0028823931511459</v>
          </cell>
          <cell r="DB90">
            <v>1.640000000000001</v>
          </cell>
          <cell r="DD90">
            <v>4.0028823931511459</v>
          </cell>
          <cell r="DG90">
            <v>1.640000000000001</v>
          </cell>
          <cell r="DI90">
            <v>4.0028823931511459</v>
          </cell>
          <cell r="DL90">
            <v>1.640000000000001</v>
          </cell>
          <cell r="DN90">
            <v>4.0028823931511459</v>
          </cell>
          <cell r="DQ90">
            <v>1.640000000000001</v>
          </cell>
          <cell r="DS90">
            <v>4.0028823931511459</v>
          </cell>
          <cell r="DV90">
            <v>1.640000000000001</v>
          </cell>
          <cell r="DX90">
            <v>4.0028823931511459</v>
          </cell>
          <cell r="EA90">
            <v>1.640000000000001</v>
          </cell>
          <cell r="EC90">
            <v>4.0028823931511459</v>
          </cell>
          <cell r="EF90">
            <v>1.640000000000001</v>
          </cell>
          <cell r="EH90">
            <v>4.0028823931511459</v>
          </cell>
          <cell r="EK90">
            <v>1.640000000000001</v>
          </cell>
          <cell r="EM90">
            <v>4.0028823931511459</v>
          </cell>
          <cell r="EP90">
            <v>1.640000000000001</v>
          </cell>
          <cell r="ER90">
            <v>4.0028823931511459</v>
          </cell>
          <cell r="EU90">
            <v>1.640000000000001</v>
          </cell>
          <cell r="EW90">
            <v>4.0028823931511459</v>
          </cell>
        </row>
        <row r="91">
          <cell r="U91">
            <v>1.660000000000001</v>
          </cell>
          <cell r="W91">
            <v>3.9368557294961137</v>
          </cell>
          <cell r="Z91">
            <v>1.660000000000001</v>
          </cell>
          <cell r="AB91">
            <v>3.9368557294961137</v>
          </cell>
          <cell r="AE91">
            <v>1.660000000000001</v>
          </cell>
          <cell r="AG91">
            <v>3.9368557294961137</v>
          </cell>
          <cell r="AJ91">
            <v>1.660000000000001</v>
          </cell>
          <cell r="AL91">
            <v>3.9368557294961137</v>
          </cell>
          <cell r="AO91">
            <v>1.660000000000001</v>
          </cell>
          <cell r="AQ91">
            <v>3.9368557294961137</v>
          </cell>
          <cell r="AT91">
            <v>1.660000000000001</v>
          </cell>
          <cell r="AV91">
            <v>3.9368557294961137</v>
          </cell>
          <cell r="AY91">
            <v>1.660000000000001</v>
          </cell>
          <cell r="BA91">
            <v>3.9368557294961137</v>
          </cell>
          <cell r="BD91">
            <v>1.660000000000001</v>
          </cell>
          <cell r="BF91">
            <v>3.9368557294961137</v>
          </cell>
          <cell r="BI91">
            <v>1.660000000000001</v>
          </cell>
          <cell r="BK91">
            <v>3.9368557294961137</v>
          </cell>
          <cell r="BN91">
            <v>1.660000000000001</v>
          </cell>
          <cell r="BP91">
            <v>3.9368557294961137</v>
          </cell>
          <cell r="BS91">
            <v>1.660000000000001</v>
          </cell>
          <cell r="BU91">
            <v>3.9368557294961137</v>
          </cell>
          <cell r="BX91">
            <v>1.660000000000001</v>
          </cell>
          <cell r="BZ91">
            <v>3.9368557294961137</v>
          </cell>
          <cell r="CC91">
            <v>1.660000000000001</v>
          </cell>
          <cell r="CE91">
            <v>3.9368557294961137</v>
          </cell>
          <cell r="CH91">
            <v>1.660000000000001</v>
          </cell>
          <cell r="CJ91">
            <v>3.9368557294961137</v>
          </cell>
          <cell r="CM91">
            <v>1.660000000000001</v>
          </cell>
          <cell r="CO91">
            <v>3.9368557294961137</v>
          </cell>
          <cell r="CR91">
            <v>1.660000000000001</v>
          </cell>
          <cell r="CT91">
            <v>3.9368557294961137</v>
          </cell>
          <cell r="CW91">
            <v>1.660000000000001</v>
          </cell>
          <cell r="CY91">
            <v>3.9368557294961137</v>
          </cell>
          <cell r="DB91">
            <v>1.660000000000001</v>
          </cell>
          <cell r="DD91">
            <v>3.9368557294961137</v>
          </cell>
          <cell r="DG91">
            <v>1.660000000000001</v>
          </cell>
          <cell r="DI91">
            <v>3.9368557294961137</v>
          </cell>
          <cell r="DL91">
            <v>1.660000000000001</v>
          </cell>
          <cell r="DN91">
            <v>3.9368557294961137</v>
          </cell>
          <cell r="DQ91">
            <v>1.660000000000001</v>
          </cell>
          <cell r="DS91">
            <v>3.9368557294961137</v>
          </cell>
          <cell r="DV91">
            <v>1.660000000000001</v>
          </cell>
          <cell r="DX91">
            <v>3.9368557294961137</v>
          </cell>
          <cell r="EA91">
            <v>1.660000000000001</v>
          </cell>
          <cell r="EC91">
            <v>3.9368557294961137</v>
          </cell>
          <cell r="EF91">
            <v>1.660000000000001</v>
          </cell>
          <cell r="EH91">
            <v>3.9368557294961137</v>
          </cell>
          <cell r="EK91">
            <v>1.660000000000001</v>
          </cell>
          <cell r="EM91">
            <v>3.9368557294961137</v>
          </cell>
          <cell r="EP91">
            <v>1.660000000000001</v>
          </cell>
          <cell r="ER91">
            <v>3.9368557294961137</v>
          </cell>
          <cell r="EU91">
            <v>1.660000000000001</v>
          </cell>
          <cell r="EW91">
            <v>3.9368557294961137</v>
          </cell>
        </row>
        <row r="92">
          <cell r="U92">
            <v>1.680000000000001</v>
          </cell>
          <cell r="W92">
            <v>3.8681205531132354</v>
          </cell>
          <cell r="Z92">
            <v>1.680000000000001</v>
          </cell>
          <cell r="AB92">
            <v>3.8681205531132354</v>
          </cell>
          <cell r="AE92">
            <v>1.680000000000001</v>
          </cell>
          <cell r="AG92">
            <v>3.8681205531132354</v>
          </cell>
          <cell r="AJ92">
            <v>1.680000000000001</v>
          </cell>
          <cell r="AL92">
            <v>3.8681205531132354</v>
          </cell>
          <cell r="AO92">
            <v>1.680000000000001</v>
          </cell>
          <cell r="AQ92">
            <v>3.8681205531132354</v>
          </cell>
          <cell r="AT92">
            <v>1.680000000000001</v>
          </cell>
          <cell r="AV92">
            <v>3.8681205531132354</v>
          </cell>
          <cell r="AY92">
            <v>1.680000000000001</v>
          </cell>
          <cell r="BA92">
            <v>3.8681205531132354</v>
          </cell>
          <cell r="BD92">
            <v>1.680000000000001</v>
          </cell>
          <cell r="BF92">
            <v>3.8681205531132354</v>
          </cell>
          <cell r="BI92">
            <v>1.680000000000001</v>
          </cell>
          <cell r="BK92">
            <v>3.8681205531132354</v>
          </cell>
          <cell r="BN92">
            <v>1.680000000000001</v>
          </cell>
          <cell r="BP92">
            <v>3.8681205531132354</v>
          </cell>
          <cell r="BS92">
            <v>1.680000000000001</v>
          </cell>
          <cell r="BU92">
            <v>3.8681205531132354</v>
          </cell>
          <cell r="BX92">
            <v>1.680000000000001</v>
          </cell>
          <cell r="BZ92">
            <v>3.8681205531132354</v>
          </cell>
          <cell r="CC92">
            <v>1.680000000000001</v>
          </cell>
          <cell r="CE92">
            <v>3.8681205531132354</v>
          </cell>
          <cell r="CH92">
            <v>1.680000000000001</v>
          </cell>
          <cell r="CJ92">
            <v>3.8681205531132354</v>
          </cell>
          <cell r="CM92">
            <v>1.680000000000001</v>
          </cell>
          <cell r="CO92">
            <v>3.8681205531132354</v>
          </cell>
          <cell r="CR92">
            <v>1.680000000000001</v>
          </cell>
          <cell r="CT92">
            <v>3.8681205531132354</v>
          </cell>
          <cell r="CW92">
            <v>1.680000000000001</v>
          </cell>
          <cell r="CY92">
            <v>3.8681205531132354</v>
          </cell>
          <cell r="DB92">
            <v>1.680000000000001</v>
          </cell>
          <cell r="DD92">
            <v>3.8681205531132354</v>
          </cell>
          <cell r="DG92">
            <v>1.680000000000001</v>
          </cell>
          <cell r="DI92">
            <v>3.8681205531132354</v>
          </cell>
          <cell r="DL92">
            <v>1.680000000000001</v>
          </cell>
          <cell r="DN92">
            <v>3.8681205531132354</v>
          </cell>
          <cell r="DQ92">
            <v>1.680000000000001</v>
          </cell>
          <cell r="DS92">
            <v>3.8681205531132354</v>
          </cell>
          <cell r="DV92">
            <v>1.680000000000001</v>
          </cell>
          <cell r="DX92">
            <v>3.8681205531132354</v>
          </cell>
          <cell r="EA92">
            <v>1.680000000000001</v>
          </cell>
          <cell r="EC92">
            <v>3.8681205531132354</v>
          </cell>
          <cell r="EF92">
            <v>1.680000000000001</v>
          </cell>
          <cell r="EH92">
            <v>3.8681205531132354</v>
          </cell>
          <cell r="EK92">
            <v>1.680000000000001</v>
          </cell>
          <cell r="EM92">
            <v>3.8681205531132354</v>
          </cell>
          <cell r="EP92">
            <v>1.680000000000001</v>
          </cell>
          <cell r="ER92">
            <v>3.8681205531132354</v>
          </cell>
          <cell r="EU92">
            <v>1.680000000000001</v>
          </cell>
          <cell r="EW92">
            <v>3.8681205531132354</v>
          </cell>
        </row>
        <row r="93">
          <cell r="U93">
            <v>1.7000000000000011</v>
          </cell>
          <cell r="W93">
            <v>3.7966768640025128</v>
          </cell>
          <cell r="Z93">
            <v>1.7000000000000011</v>
          </cell>
          <cell r="AB93">
            <v>3.7966768640025128</v>
          </cell>
          <cell r="AE93">
            <v>1.7000000000000011</v>
          </cell>
          <cell r="AG93">
            <v>3.7966768640025128</v>
          </cell>
          <cell r="AJ93">
            <v>1.7000000000000011</v>
          </cell>
          <cell r="AL93">
            <v>3.7966768640025128</v>
          </cell>
          <cell r="AO93">
            <v>1.7000000000000011</v>
          </cell>
          <cell r="AQ93">
            <v>3.7966768640025128</v>
          </cell>
          <cell r="AT93">
            <v>1.7000000000000011</v>
          </cell>
          <cell r="AV93">
            <v>3.7966768640025128</v>
          </cell>
          <cell r="AY93">
            <v>1.7000000000000011</v>
          </cell>
          <cell r="BA93">
            <v>3.7966768640025128</v>
          </cell>
          <cell r="BD93">
            <v>1.7000000000000011</v>
          </cell>
          <cell r="BF93">
            <v>3.7966768640025128</v>
          </cell>
          <cell r="BI93">
            <v>1.7000000000000011</v>
          </cell>
          <cell r="BK93">
            <v>3.7966768640025128</v>
          </cell>
          <cell r="BN93">
            <v>1.7000000000000011</v>
          </cell>
          <cell r="BP93">
            <v>3.7966768640025128</v>
          </cell>
          <cell r="BS93">
            <v>1.7000000000000011</v>
          </cell>
          <cell r="BU93">
            <v>3.7966768640025128</v>
          </cell>
          <cell r="BX93">
            <v>1.7000000000000011</v>
          </cell>
          <cell r="BZ93">
            <v>3.7966768640025128</v>
          </cell>
          <cell r="CC93">
            <v>1.7000000000000011</v>
          </cell>
          <cell r="CE93">
            <v>3.7966768640025128</v>
          </cell>
          <cell r="CH93">
            <v>1.7000000000000011</v>
          </cell>
          <cell r="CJ93">
            <v>3.7966768640025128</v>
          </cell>
          <cell r="CM93">
            <v>1.7000000000000011</v>
          </cell>
          <cell r="CO93">
            <v>3.7966768640025128</v>
          </cell>
          <cell r="CR93">
            <v>1.7000000000000011</v>
          </cell>
          <cell r="CT93">
            <v>3.7966768640025128</v>
          </cell>
          <cell r="CW93">
            <v>1.7000000000000011</v>
          </cell>
          <cell r="CY93">
            <v>3.7966768640025128</v>
          </cell>
          <cell r="DB93">
            <v>1.7000000000000011</v>
          </cell>
          <cell r="DD93">
            <v>3.7966768640025128</v>
          </cell>
          <cell r="DG93">
            <v>1.7000000000000011</v>
          </cell>
          <cell r="DI93">
            <v>3.7966768640025128</v>
          </cell>
          <cell r="DL93">
            <v>1.7000000000000011</v>
          </cell>
          <cell r="DN93">
            <v>3.7966768640025128</v>
          </cell>
          <cell r="DQ93">
            <v>1.7000000000000011</v>
          </cell>
          <cell r="DS93">
            <v>3.7966768640025128</v>
          </cell>
          <cell r="DV93">
            <v>1.7000000000000011</v>
          </cell>
          <cell r="DX93">
            <v>3.7966768640025128</v>
          </cell>
          <cell r="EA93">
            <v>1.7000000000000011</v>
          </cell>
          <cell r="EC93">
            <v>3.7966768640025128</v>
          </cell>
          <cell r="EF93">
            <v>1.7000000000000011</v>
          </cell>
          <cell r="EH93">
            <v>3.7966768640025128</v>
          </cell>
          <cell r="EK93">
            <v>1.7000000000000011</v>
          </cell>
          <cell r="EM93">
            <v>3.7966768640025128</v>
          </cell>
          <cell r="EP93">
            <v>1.7000000000000011</v>
          </cell>
          <cell r="ER93">
            <v>3.7966768640025128</v>
          </cell>
          <cell r="EU93">
            <v>1.7000000000000011</v>
          </cell>
          <cell r="EW93">
            <v>3.7966768640025128</v>
          </cell>
        </row>
        <row r="94">
          <cell r="U94">
            <v>1.7200000000000011</v>
          </cell>
          <cell r="W94">
            <v>3.7225246621639405</v>
          </cell>
          <cell r="Z94">
            <v>1.7200000000000011</v>
          </cell>
          <cell r="AB94">
            <v>3.7225246621639405</v>
          </cell>
          <cell r="AE94">
            <v>1.7200000000000011</v>
          </cell>
          <cell r="AG94">
            <v>3.7225246621639405</v>
          </cell>
          <cell r="AJ94">
            <v>1.7200000000000011</v>
          </cell>
          <cell r="AL94">
            <v>3.7225246621639405</v>
          </cell>
          <cell r="AO94">
            <v>1.7200000000000011</v>
          </cell>
          <cell r="AQ94">
            <v>3.7225246621639405</v>
          </cell>
          <cell r="AT94">
            <v>1.7200000000000011</v>
          </cell>
          <cell r="AV94">
            <v>3.7225246621639405</v>
          </cell>
          <cell r="AY94">
            <v>1.7200000000000011</v>
          </cell>
          <cell r="BA94">
            <v>3.7225246621639405</v>
          </cell>
          <cell r="BD94">
            <v>1.7200000000000011</v>
          </cell>
          <cell r="BF94">
            <v>3.7225246621639405</v>
          </cell>
          <cell r="BI94">
            <v>1.7200000000000011</v>
          </cell>
          <cell r="BK94">
            <v>3.7225246621639405</v>
          </cell>
          <cell r="BN94">
            <v>1.7200000000000011</v>
          </cell>
          <cell r="BP94">
            <v>3.7225246621639405</v>
          </cell>
          <cell r="BS94">
            <v>1.7200000000000011</v>
          </cell>
          <cell r="BU94">
            <v>3.7225246621639405</v>
          </cell>
          <cell r="BX94">
            <v>1.7200000000000011</v>
          </cell>
          <cell r="BZ94">
            <v>3.7225246621639405</v>
          </cell>
          <cell r="CC94">
            <v>1.7200000000000011</v>
          </cell>
          <cell r="CE94">
            <v>3.7225246621639405</v>
          </cell>
          <cell r="CH94">
            <v>1.7200000000000011</v>
          </cell>
          <cell r="CJ94">
            <v>3.7225246621639405</v>
          </cell>
          <cell r="CM94">
            <v>1.7200000000000011</v>
          </cell>
          <cell r="CO94">
            <v>3.7225246621639405</v>
          </cell>
          <cell r="CR94">
            <v>1.7200000000000011</v>
          </cell>
          <cell r="CT94">
            <v>3.7225246621639405</v>
          </cell>
          <cell r="CW94">
            <v>1.7200000000000011</v>
          </cell>
          <cell r="CY94">
            <v>3.7225246621639405</v>
          </cell>
          <cell r="DB94">
            <v>1.7200000000000011</v>
          </cell>
          <cell r="DD94">
            <v>3.7225246621639405</v>
          </cell>
          <cell r="DG94">
            <v>1.7200000000000011</v>
          </cell>
          <cell r="DI94">
            <v>3.7225246621639405</v>
          </cell>
          <cell r="DL94">
            <v>1.7200000000000011</v>
          </cell>
          <cell r="DN94">
            <v>3.7225246621639405</v>
          </cell>
          <cell r="DQ94">
            <v>1.7200000000000011</v>
          </cell>
          <cell r="DS94">
            <v>3.7225246621639405</v>
          </cell>
          <cell r="DV94">
            <v>1.7200000000000011</v>
          </cell>
          <cell r="DX94">
            <v>3.7225246621639405</v>
          </cell>
          <cell r="EA94">
            <v>1.7200000000000011</v>
          </cell>
          <cell r="EC94">
            <v>3.7225246621639405</v>
          </cell>
          <cell r="EF94">
            <v>1.7200000000000011</v>
          </cell>
          <cell r="EH94">
            <v>3.7225246621639405</v>
          </cell>
          <cell r="EK94">
            <v>1.7200000000000011</v>
          </cell>
          <cell r="EM94">
            <v>3.7225246621639405</v>
          </cell>
          <cell r="EP94">
            <v>1.7200000000000011</v>
          </cell>
          <cell r="ER94">
            <v>3.7225246621639405</v>
          </cell>
          <cell r="EU94">
            <v>1.7200000000000011</v>
          </cell>
          <cell r="EW94">
            <v>3.7225246621639405</v>
          </cell>
        </row>
        <row r="95">
          <cell r="U95">
            <v>1.7400000000000011</v>
          </cell>
          <cell r="W95">
            <v>3.6456639475975221</v>
          </cell>
          <cell r="Z95">
            <v>1.7400000000000011</v>
          </cell>
          <cell r="AB95">
            <v>3.6456639475975221</v>
          </cell>
          <cell r="AE95">
            <v>1.7400000000000011</v>
          </cell>
          <cell r="AG95">
            <v>3.6456639475975221</v>
          </cell>
          <cell r="AJ95">
            <v>1.7400000000000011</v>
          </cell>
          <cell r="AL95">
            <v>3.6456639475975221</v>
          </cell>
          <cell r="AO95">
            <v>1.7400000000000011</v>
          </cell>
          <cell r="AQ95">
            <v>3.6456639475975221</v>
          </cell>
          <cell r="AT95">
            <v>1.7400000000000011</v>
          </cell>
          <cell r="AV95">
            <v>3.6456639475975221</v>
          </cell>
          <cell r="AY95">
            <v>1.7400000000000011</v>
          </cell>
          <cell r="BA95">
            <v>3.6456639475975221</v>
          </cell>
          <cell r="BD95">
            <v>1.7400000000000011</v>
          </cell>
          <cell r="BF95">
            <v>3.6456639475975221</v>
          </cell>
          <cell r="BI95">
            <v>1.7400000000000011</v>
          </cell>
          <cell r="BK95">
            <v>3.6456639475975221</v>
          </cell>
          <cell r="BN95">
            <v>1.7400000000000011</v>
          </cell>
          <cell r="BP95">
            <v>3.6456639475975221</v>
          </cell>
          <cell r="BS95">
            <v>1.7400000000000011</v>
          </cell>
          <cell r="BU95">
            <v>3.6456639475975221</v>
          </cell>
          <cell r="BX95">
            <v>1.7400000000000011</v>
          </cell>
          <cell r="BZ95">
            <v>3.6456639475975221</v>
          </cell>
          <cell r="CC95">
            <v>1.7400000000000011</v>
          </cell>
          <cell r="CE95">
            <v>3.6456639475975221</v>
          </cell>
          <cell r="CH95">
            <v>1.7400000000000011</v>
          </cell>
          <cell r="CJ95">
            <v>3.6456639475975221</v>
          </cell>
          <cell r="CM95">
            <v>1.7400000000000011</v>
          </cell>
          <cell r="CO95">
            <v>3.6456639475975221</v>
          </cell>
          <cell r="CR95">
            <v>1.7400000000000011</v>
          </cell>
          <cell r="CT95">
            <v>3.6456639475975221</v>
          </cell>
          <cell r="CW95">
            <v>1.7400000000000011</v>
          </cell>
          <cell r="CY95">
            <v>3.6456639475975221</v>
          </cell>
          <cell r="DB95">
            <v>1.7400000000000011</v>
          </cell>
          <cell r="DD95">
            <v>3.6456639475975221</v>
          </cell>
          <cell r="DG95">
            <v>1.7400000000000011</v>
          </cell>
          <cell r="DI95">
            <v>3.6456639475975221</v>
          </cell>
          <cell r="DL95">
            <v>1.7400000000000011</v>
          </cell>
          <cell r="DN95">
            <v>3.6456639475975221</v>
          </cell>
          <cell r="DQ95">
            <v>1.7400000000000011</v>
          </cell>
          <cell r="DS95">
            <v>3.6456639475975221</v>
          </cell>
          <cell r="DV95">
            <v>1.7400000000000011</v>
          </cell>
          <cell r="DX95">
            <v>3.6456639475975221</v>
          </cell>
          <cell r="EA95">
            <v>1.7400000000000011</v>
          </cell>
          <cell r="EC95">
            <v>3.6456639475975221</v>
          </cell>
          <cell r="EF95">
            <v>1.7400000000000011</v>
          </cell>
          <cell r="EH95">
            <v>3.6456639475975221</v>
          </cell>
          <cell r="EK95">
            <v>1.7400000000000011</v>
          </cell>
          <cell r="EM95">
            <v>3.6456639475975221</v>
          </cell>
          <cell r="EP95">
            <v>1.7400000000000011</v>
          </cell>
          <cell r="ER95">
            <v>3.6456639475975221</v>
          </cell>
          <cell r="EU95">
            <v>1.7400000000000011</v>
          </cell>
          <cell r="EW95">
            <v>3.6456639475975221</v>
          </cell>
        </row>
        <row r="96">
          <cell r="U96">
            <v>1.7600000000000011</v>
          </cell>
          <cell r="W96">
            <v>3.5660947203032576</v>
          </cell>
          <cell r="Z96">
            <v>1.7600000000000011</v>
          </cell>
          <cell r="AB96">
            <v>3.5660947203032576</v>
          </cell>
          <cell r="AE96">
            <v>1.7600000000000011</v>
          </cell>
          <cell r="AG96">
            <v>3.5660947203032576</v>
          </cell>
          <cell r="AJ96">
            <v>1.7600000000000011</v>
          </cell>
          <cell r="AL96">
            <v>3.5660947203032576</v>
          </cell>
          <cell r="AO96">
            <v>1.7600000000000011</v>
          </cell>
          <cell r="AQ96">
            <v>3.5660947203032576</v>
          </cell>
          <cell r="AT96">
            <v>1.7600000000000011</v>
          </cell>
          <cell r="AV96">
            <v>3.5660947203032576</v>
          </cell>
          <cell r="AY96">
            <v>1.7600000000000011</v>
          </cell>
          <cell r="BA96">
            <v>3.5660947203032576</v>
          </cell>
          <cell r="BD96">
            <v>1.7600000000000011</v>
          </cell>
          <cell r="BF96">
            <v>3.5660947203032576</v>
          </cell>
          <cell r="BI96">
            <v>1.7600000000000011</v>
          </cell>
          <cell r="BK96">
            <v>3.5660947203032576</v>
          </cell>
          <cell r="BN96">
            <v>1.7600000000000011</v>
          </cell>
          <cell r="BP96">
            <v>3.5660947203032576</v>
          </cell>
          <cell r="BS96">
            <v>1.7600000000000011</v>
          </cell>
          <cell r="BU96">
            <v>3.5660947203032576</v>
          </cell>
          <cell r="BX96">
            <v>1.7600000000000011</v>
          </cell>
          <cell r="BZ96">
            <v>3.5660947203032576</v>
          </cell>
          <cell r="CC96">
            <v>1.7600000000000011</v>
          </cell>
          <cell r="CE96">
            <v>3.5660947203032576</v>
          </cell>
          <cell r="CH96">
            <v>1.7600000000000011</v>
          </cell>
          <cell r="CJ96">
            <v>3.5660947203032576</v>
          </cell>
          <cell r="CM96">
            <v>1.7600000000000011</v>
          </cell>
          <cell r="CO96">
            <v>3.5660947203032576</v>
          </cell>
          <cell r="CR96">
            <v>1.7600000000000011</v>
          </cell>
          <cell r="CT96">
            <v>3.5660947203032576</v>
          </cell>
          <cell r="CW96">
            <v>1.7600000000000011</v>
          </cell>
          <cell r="CY96">
            <v>3.5660947203032576</v>
          </cell>
          <cell r="DB96">
            <v>1.7600000000000011</v>
          </cell>
          <cell r="DD96">
            <v>3.5660947203032576</v>
          </cell>
          <cell r="DG96">
            <v>1.7600000000000011</v>
          </cell>
          <cell r="DI96">
            <v>3.5660947203032576</v>
          </cell>
          <cell r="DL96">
            <v>1.7600000000000011</v>
          </cell>
          <cell r="DN96">
            <v>3.5660947203032576</v>
          </cell>
          <cell r="DQ96">
            <v>1.7600000000000011</v>
          </cell>
          <cell r="DS96">
            <v>3.5660947203032576</v>
          </cell>
          <cell r="DV96">
            <v>1.7600000000000011</v>
          </cell>
          <cell r="DX96">
            <v>3.5660947203032576</v>
          </cell>
          <cell r="EA96">
            <v>1.7600000000000011</v>
          </cell>
          <cell r="EC96">
            <v>3.5660947203032576</v>
          </cell>
          <cell r="EF96">
            <v>1.7600000000000011</v>
          </cell>
          <cell r="EH96">
            <v>3.5660947203032576</v>
          </cell>
          <cell r="EK96">
            <v>1.7600000000000011</v>
          </cell>
          <cell r="EM96">
            <v>3.5660947203032576</v>
          </cell>
          <cell r="EP96">
            <v>1.7600000000000011</v>
          </cell>
          <cell r="ER96">
            <v>3.5660947203032576</v>
          </cell>
          <cell r="EU96">
            <v>1.7600000000000011</v>
          </cell>
          <cell r="EW96">
            <v>3.5660947203032576</v>
          </cell>
        </row>
        <row r="97">
          <cell r="U97">
            <v>1.7800000000000011</v>
          </cell>
          <cell r="W97">
            <v>3.4838169802811434</v>
          </cell>
          <cell r="Z97">
            <v>1.7800000000000011</v>
          </cell>
          <cell r="AB97">
            <v>3.4838169802811434</v>
          </cell>
          <cell r="AE97">
            <v>1.7800000000000011</v>
          </cell>
          <cell r="AG97">
            <v>3.4838169802811434</v>
          </cell>
          <cell r="AJ97">
            <v>1.7800000000000011</v>
          </cell>
          <cell r="AL97">
            <v>3.4838169802811434</v>
          </cell>
          <cell r="AO97">
            <v>1.7800000000000011</v>
          </cell>
          <cell r="AQ97">
            <v>3.4838169802811434</v>
          </cell>
          <cell r="AT97">
            <v>1.7800000000000011</v>
          </cell>
          <cell r="AV97">
            <v>3.4838169802811434</v>
          </cell>
          <cell r="AY97">
            <v>1.7800000000000011</v>
          </cell>
          <cell r="BA97">
            <v>3.4838169802811434</v>
          </cell>
          <cell r="BD97">
            <v>1.7800000000000011</v>
          </cell>
          <cell r="BF97">
            <v>3.4838169802811434</v>
          </cell>
          <cell r="BI97">
            <v>1.7800000000000011</v>
          </cell>
          <cell r="BK97">
            <v>3.4838169802811434</v>
          </cell>
          <cell r="BN97">
            <v>1.7800000000000011</v>
          </cell>
          <cell r="BP97">
            <v>3.4838169802811434</v>
          </cell>
          <cell r="BS97">
            <v>1.7800000000000011</v>
          </cell>
          <cell r="BU97">
            <v>3.4838169802811434</v>
          </cell>
          <cell r="BX97">
            <v>1.7800000000000011</v>
          </cell>
          <cell r="BZ97">
            <v>3.4838169802811434</v>
          </cell>
          <cell r="CC97">
            <v>1.7800000000000011</v>
          </cell>
          <cell r="CE97">
            <v>3.4838169802811434</v>
          </cell>
          <cell r="CH97">
            <v>1.7800000000000011</v>
          </cell>
          <cell r="CJ97">
            <v>3.4838169802811434</v>
          </cell>
          <cell r="CM97">
            <v>1.7800000000000011</v>
          </cell>
          <cell r="CO97">
            <v>3.4838169802811434</v>
          </cell>
          <cell r="CR97">
            <v>1.7800000000000011</v>
          </cell>
          <cell r="CT97">
            <v>3.4838169802811434</v>
          </cell>
          <cell r="CW97">
            <v>1.7800000000000011</v>
          </cell>
          <cell r="CY97">
            <v>3.4838169802811434</v>
          </cell>
          <cell r="DB97">
            <v>1.7800000000000011</v>
          </cell>
          <cell r="DD97">
            <v>3.4838169802811434</v>
          </cell>
          <cell r="DG97">
            <v>1.7800000000000011</v>
          </cell>
          <cell r="DI97">
            <v>3.4838169802811434</v>
          </cell>
          <cell r="DL97">
            <v>1.7800000000000011</v>
          </cell>
          <cell r="DN97">
            <v>3.4838169802811434</v>
          </cell>
          <cell r="DQ97">
            <v>1.7800000000000011</v>
          </cell>
          <cell r="DS97">
            <v>3.4838169802811434</v>
          </cell>
          <cell r="DV97">
            <v>1.7800000000000011</v>
          </cell>
          <cell r="DX97">
            <v>3.4838169802811434</v>
          </cell>
          <cell r="EA97">
            <v>1.7800000000000011</v>
          </cell>
          <cell r="EC97">
            <v>3.4838169802811434</v>
          </cell>
          <cell r="EF97">
            <v>1.7800000000000011</v>
          </cell>
          <cell r="EH97">
            <v>3.4838169802811434</v>
          </cell>
          <cell r="EK97">
            <v>1.7800000000000011</v>
          </cell>
          <cell r="EM97">
            <v>3.4838169802811434</v>
          </cell>
          <cell r="EP97">
            <v>1.7800000000000011</v>
          </cell>
          <cell r="ER97">
            <v>3.4838169802811434</v>
          </cell>
          <cell r="EU97">
            <v>1.7800000000000011</v>
          </cell>
          <cell r="EW97">
            <v>3.4838169802811434</v>
          </cell>
        </row>
        <row r="98">
          <cell r="U98">
            <v>1.8000000000000012</v>
          </cell>
          <cell r="W98">
            <v>3.3988307275311831</v>
          </cell>
          <cell r="Z98">
            <v>1.8000000000000012</v>
          </cell>
          <cell r="AB98">
            <v>3.3988307275311831</v>
          </cell>
          <cell r="AE98">
            <v>1.8000000000000012</v>
          </cell>
          <cell r="AG98">
            <v>3.3988307275311831</v>
          </cell>
          <cell r="AJ98">
            <v>1.8000000000000012</v>
          </cell>
          <cell r="AL98">
            <v>3.3988307275311831</v>
          </cell>
          <cell r="AO98">
            <v>1.8000000000000012</v>
          </cell>
          <cell r="AQ98">
            <v>3.3988307275311831</v>
          </cell>
          <cell r="AT98">
            <v>1.8000000000000012</v>
          </cell>
          <cell r="AV98">
            <v>3.3988307275311831</v>
          </cell>
          <cell r="AY98">
            <v>1.8000000000000012</v>
          </cell>
          <cell r="BA98">
            <v>3.3988307275311831</v>
          </cell>
          <cell r="BD98">
            <v>1.8000000000000012</v>
          </cell>
          <cell r="BF98">
            <v>3.3988307275311831</v>
          </cell>
          <cell r="BI98">
            <v>1.8000000000000012</v>
          </cell>
          <cell r="BK98">
            <v>3.3988307275311831</v>
          </cell>
          <cell r="BN98">
            <v>1.8000000000000012</v>
          </cell>
          <cell r="BP98">
            <v>3.3988307275311831</v>
          </cell>
          <cell r="BS98">
            <v>1.8000000000000012</v>
          </cell>
          <cell r="BU98">
            <v>3.3988307275311831</v>
          </cell>
          <cell r="BX98">
            <v>1.8000000000000012</v>
          </cell>
          <cell r="BZ98">
            <v>3.3988307275311831</v>
          </cell>
          <cell r="CC98">
            <v>1.8000000000000012</v>
          </cell>
          <cell r="CE98">
            <v>3.3988307275311831</v>
          </cell>
          <cell r="CH98">
            <v>1.8000000000000012</v>
          </cell>
          <cell r="CJ98">
            <v>3.3988307275311831</v>
          </cell>
          <cell r="CM98">
            <v>1.8000000000000012</v>
          </cell>
          <cell r="CO98">
            <v>3.3988307275311831</v>
          </cell>
          <cell r="CR98">
            <v>1.8000000000000012</v>
          </cell>
          <cell r="CT98">
            <v>3.3988307275311831</v>
          </cell>
          <cell r="CW98">
            <v>1.8000000000000012</v>
          </cell>
          <cell r="CY98">
            <v>3.3988307275311831</v>
          </cell>
          <cell r="DB98">
            <v>1.8000000000000012</v>
          </cell>
          <cell r="DD98">
            <v>3.3988307275311831</v>
          </cell>
          <cell r="DG98">
            <v>1.8000000000000012</v>
          </cell>
          <cell r="DI98">
            <v>3.3988307275311831</v>
          </cell>
          <cell r="DL98">
            <v>1.8000000000000012</v>
          </cell>
          <cell r="DN98">
            <v>3.3988307275311831</v>
          </cell>
          <cell r="DQ98">
            <v>1.8000000000000012</v>
          </cell>
          <cell r="DS98">
            <v>3.3988307275311831</v>
          </cell>
          <cell r="DV98">
            <v>1.8000000000000012</v>
          </cell>
          <cell r="DX98">
            <v>3.3988307275311831</v>
          </cell>
          <cell r="EA98">
            <v>1.8000000000000012</v>
          </cell>
          <cell r="EC98">
            <v>3.3988307275311831</v>
          </cell>
          <cell r="EF98">
            <v>1.8000000000000012</v>
          </cell>
          <cell r="EH98">
            <v>3.3988307275311831</v>
          </cell>
          <cell r="EK98">
            <v>1.8000000000000012</v>
          </cell>
          <cell r="EM98">
            <v>3.3988307275311831</v>
          </cell>
          <cell r="EP98">
            <v>1.8000000000000012</v>
          </cell>
          <cell r="ER98">
            <v>3.3988307275311831</v>
          </cell>
          <cell r="EU98">
            <v>1.8000000000000012</v>
          </cell>
          <cell r="EW98">
            <v>3.3988307275311831</v>
          </cell>
        </row>
        <row r="99">
          <cell r="U99">
            <v>1.8200000000000012</v>
          </cell>
          <cell r="W99">
            <v>3.3111359620533767</v>
          </cell>
          <cell r="Z99">
            <v>1.8200000000000012</v>
          </cell>
          <cell r="AB99">
            <v>3.3111359620533767</v>
          </cell>
          <cell r="AE99">
            <v>1.8200000000000012</v>
          </cell>
          <cell r="AG99">
            <v>3.3111359620533767</v>
          </cell>
          <cell r="AJ99">
            <v>1.8200000000000012</v>
          </cell>
          <cell r="AL99">
            <v>3.3111359620533767</v>
          </cell>
          <cell r="AO99">
            <v>1.8200000000000012</v>
          </cell>
          <cell r="AQ99">
            <v>3.3111359620533767</v>
          </cell>
          <cell r="AT99">
            <v>1.8200000000000012</v>
          </cell>
          <cell r="AV99">
            <v>3.3111359620533767</v>
          </cell>
          <cell r="AY99">
            <v>1.8200000000000012</v>
          </cell>
          <cell r="BA99">
            <v>3.3111359620533767</v>
          </cell>
          <cell r="BD99">
            <v>1.8200000000000012</v>
          </cell>
          <cell r="BF99">
            <v>3.3111359620533767</v>
          </cell>
          <cell r="BI99">
            <v>1.8200000000000012</v>
          </cell>
          <cell r="BK99">
            <v>3.3111359620533767</v>
          </cell>
          <cell r="BN99">
            <v>1.8200000000000012</v>
          </cell>
          <cell r="BP99">
            <v>3.3111359620533767</v>
          </cell>
          <cell r="BS99">
            <v>1.8200000000000012</v>
          </cell>
          <cell r="BU99">
            <v>3.3111359620533767</v>
          </cell>
          <cell r="BX99">
            <v>1.8200000000000012</v>
          </cell>
          <cell r="BZ99">
            <v>3.3111359620533767</v>
          </cell>
          <cell r="CC99">
            <v>1.8200000000000012</v>
          </cell>
          <cell r="CE99">
            <v>3.3111359620533767</v>
          </cell>
          <cell r="CH99">
            <v>1.8200000000000012</v>
          </cell>
          <cell r="CJ99">
            <v>3.3111359620533767</v>
          </cell>
          <cell r="CM99">
            <v>1.8200000000000012</v>
          </cell>
          <cell r="CO99">
            <v>3.3111359620533767</v>
          </cell>
          <cell r="CR99">
            <v>1.8200000000000012</v>
          </cell>
          <cell r="CT99">
            <v>3.3111359620533767</v>
          </cell>
          <cell r="CW99">
            <v>1.8200000000000012</v>
          </cell>
          <cell r="CY99">
            <v>3.3111359620533767</v>
          </cell>
          <cell r="DB99">
            <v>1.8200000000000012</v>
          </cell>
          <cell r="DD99">
            <v>3.3111359620533767</v>
          </cell>
          <cell r="DG99">
            <v>1.8200000000000012</v>
          </cell>
          <cell r="DI99">
            <v>3.3111359620533767</v>
          </cell>
          <cell r="DL99">
            <v>1.8200000000000012</v>
          </cell>
          <cell r="DN99">
            <v>3.3111359620533767</v>
          </cell>
          <cell r="DQ99">
            <v>1.8200000000000012</v>
          </cell>
          <cell r="DS99">
            <v>3.3111359620533767</v>
          </cell>
          <cell r="DV99">
            <v>1.8200000000000012</v>
          </cell>
          <cell r="DX99">
            <v>3.3111359620533767</v>
          </cell>
          <cell r="EA99">
            <v>1.8200000000000012</v>
          </cell>
          <cell r="EC99">
            <v>3.3111359620533767</v>
          </cell>
          <cell r="EF99">
            <v>1.8200000000000012</v>
          </cell>
          <cell r="EH99">
            <v>3.3111359620533767</v>
          </cell>
          <cell r="EK99">
            <v>1.8200000000000012</v>
          </cell>
          <cell r="EM99">
            <v>3.3111359620533767</v>
          </cell>
          <cell r="EP99">
            <v>1.8200000000000012</v>
          </cell>
          <cell r="ER99">
            <v>3.3111359620533767</v>
          </cell>
          <cell r="EU99">
            <v>1.8200000000000012</v>
          </cell>
          <cell r="EW99">
            <v>3.3111359620533767</v>
          </cell>
        </row>
        <row r="100">
          <cell r="U100">
            <v>1.8400000000000012</v>
          </cell>
          <cell r="W100">
            <v>3.2207326838477224</v>
          </cell>
          <cell r="Z100">
            <v>1.8400000000000012</v>
          </cell>
          <cell r="AB100">
            <v>3.2207326838477224</v>
          </cell>
          <cell r="AE100">
            <v>1.8400000000000012</v>
          </cell>
          <cell r="AG100">
            <v>3.2207326838477224</v>
          </cell>
          <cell r="AJ100">
            <v>1.8400000000000012</v>
          </cell>
          <cell r="AL100">
            <v>3.2207326838477224</v>
          </cell>
          <cell r="AO100">
            <v>1.8400000000000012</v>
          </cell>
          <cell r="AQ100">
            <v>3.2207326838477224</v>
          </cell>
          <cell r="AT100">
            <v>1.8400000000000012</v>
          </cell>
          <cell r="AV100">
            <v>3.2207326838477224</v>
          </cell>
          <cell r="AY100">
            <v>1.8400000000000012</v>
          </cell>
          <cell r="BA100">
            <v>3.2207326838477224</v>
          </cell>
          <cell r="BD100">
            <v>1.8400000000000012</v>
          </cell>
          <cell r="BF100">
            <v>3.2207326838477224</v>
          </cell>
          <cell r="BI100">
            <v>1.8400000000000012</v>
          </cell>
          <cell r="BK100">
            <v>3.2207326838477224</v>
          </cell>
          <cell r="BN100">
            <v>1.8400000000000012</v>
          </cell>
          <cell r="BP100">
            <v>3.2207326838477224</v>
          </cell>
          <cell r="BS100">
            <v>1.8400000000000012</v>
          </cell>
          <cell r="BU100">
            <v>3.2207326838477224</v>
          </cell>
          <cell r="BX100">
            <v>1.8400000000000012</v>
          </cell>
          <cell r="BZ100">
            <v>3.2207326838477224</v>
          </cell>
          <cell r="CC100">
            <v>1.8400000000000012</v>
          </cell>
          <cell r="CE100">
            <v>3.2207326838477224</v>
          </cell>
          <cell r="CH100">
            <v>1.8400000000000012</v>
          </cell>
          <cell r="CJ100">
            <v>3.2207326838477224</v>
          </cell>
          <cell r="CM100">
            <v>1.8400000000000012</v>
          </cell>
          <cell r="CO100">
            <v>3.2207326838477224</v>
          </cell>
          <cell r="CR100">
            <v>1.8400000000000012</v>
          </cell>
          <cell r="CT100">
            <v>3.2207326838477224</v>
          </cell>
          <cell r="CW100">
            <v>1.8400000000000012</v>
          </cell>
          <cell r="CY100">
            <v>3.2207326838477224</v>
          </cell>
          <cell r="DB100">
            <v>1.8400000000000012</v>
          </cell>
          <cell r="DD100">
            <v>3.2207326838477224</v>
          </cell>
          <cell r="DG100">
            <v>1.8400000000000012</v>
          </cell>
          <cell r="DI100">
            <v>3.2207326838477224</v>
          </cell>
          <cell r="DL100">
            <v>1.8400000000000012</v>
          </cell>
          <cell r="DN100">
            <v>3.2207326838477224</v>
          </cell>
          <cell r="DQ100">
            <v>1.8400000000000012</v>
          </cell>
          <cell r="DS100">
            <v>3.2207326838477224</v>
          </cell>
          <cell r="DV100">
            <v>1.8400000000000012</v>
          </cell>
          <cell r="DX100">
            <v>3.2207326838477224</v>
          </cell>
          <cell r="EA100">
            <v>1.8400000000000012</v>
          </cell>
          <cell r="EC100">
            <v>3.2207326838477224</v>
          </cell>
          <cell r="EF100">
            <v>1.8400000000000012</v>
          </cell>
          <cell r="EH100">
            <v>3.2207326838477224</v>
          </cell>
          <cell r="EK100">
            <v>1.8400000000000012</v>
          </cell>
          <cell r="EM100">
            <v>3.2207326838477224</v>
          </cell>
          <cell r="EP100">
            <v>1.8400000000000012</v>
          </cell>
          <cell r="ER100">
            <v>3.2207326838477224</v>
          </cell>
          <cell r="EU100">
            <v>1.8400000000000012</v>
          </cell>
          <cell r="EW100">
            <v>3.2207326838477224</v>
          </cell>
        </row>
        <row r="101">
          <cell r="U101">
            <v>1.8600000000000012</v>
          </cell>
          <cell r="W101">
            <v>3.1276208929142202</v>
          </cell>
          <cell r="Z101">
            <v>1.8600000000000012</v>
          </cell>
          <cell r="AB101">
            <v>3.1276208929142202</v>
          </cell>
          <cell r="AE101">
            <v>1.8600000000000012</v>
          </cell>
          <cell r="AG101">
            <v>3.1276208929142202</v>
          </cell>
          <cell r="AJ101">
            <v>1.8600000000000012</v>
          </cell>
          <cell r="AL101">
            <v>3.1276208929142202</v>
          </cell>
          <cell r="AO101">
            <v>1.8600000000000012</v>
          </cell>
          <cell r="AQ101">
            <v>3.1276208929142202</v>
          </cell>
          <cell r="AT101">
            <v>1.8600000000000012</v>
          </cell>
          <cell r="AV101">
            <v>3.1276208929142202</v>
          </cell>
          <cell r="AY101">
            <v>1.8600000000000012</v>
          </cell>
          <cell r="BA101">
            <v>3.1276208929142202</v>
          </cell>
          <cell r="BD101">
            <v>1.8600000000000012</v>
          </cell>
          <cell r="BF101">
            <v>3.1276208929142202</v>
          </cell>
          <cell r="BI101">
            <v>1.8600000000000012</v>
          </cell>
          <cell r="BK101">
            <v>3.1276208929142202</v>
          </cell>
          <cell r="BN101">
            <v>1.8600000000000012</v>
          </cell>
          <cell r="BP101">
            <v>3.1276208929142202</v>
          </cell>
          <cell r="BS101">
            <v>1.8600000000000012</v>
          </cell>
          <cell r="BU101">
            <v>3.1276208929142202</v>
          </cell>
          <cell r="BX101">
            <v>1.8600000000000012</v>
          </cell>
          <cell r="BZ101">
            <v>3.1276208929142202</v>
          </cell>
          <cell r="CC101">
            <v>1.8600000000000012</v>
          </cell>
          <cell r="CE101">
            <v>3.1276208929142202</v>
          </cell>
          <cell r="CH101">
            <v>1.8600000000000012</v>
          </cell>
          <cell r="CJ101">
            <v>3.1276208929142202</v>
          </cell>
          <cell r="CM101">
            <v>1.8600000000000012</v>
          </cell>
          <cell r="CO101">
            <v>3.1276208929142202</v>
          </cell>
          <cell r="CR101">
            <v>1.8600000000000012</v>
          </cell>
          <cell r="CT101">
            <v>3.1276208929142202</v>
          </cell>
          <cell r="CW101">
            <v>1.8600000000000012</v>
          </cell>
          <cell r="CY101">
            <v>3.1276208929142202</v>
          </cell>
          <cell r="DB101">
            <v>1.8600000000000012</v>
          </cell>
          <cell r="DD101">
            <v>3.1276208929142202</v>
          </cell>
          <cell r="DG101">
            <v>1.8600000000000012</v>
          </cell>
          <cell r="DI101">
            <v>3.1276208929142202</v>
          </cell>
          <cell r="DL101">
            <v>1.8600000000000012</v>
          </cell>
          <cell r="DN101">
            <v>3.1276208929142202</v>
          </cell>
          <cell r="DQ101">
            <v>1.8600000000000012</v>
          </cell>
          <cell r="DS101">
            <v>3.1276208929142202</v>
          </cell>
          <cell r="DV101">
            <v>1.8600000000000012</v>
          </cell>
          <cell r="DX101">
            <v>3.1276208929142202</v>
          </cell>
          <cell r="EA101">
            <v>1.8600000000000012</v>
          </cell>
          <cell r="EC101">
            <v>3.1276208929142202</v>
          </cell>
          <cell r="EF101">
            <v>1.8600000000000012</v>
          </cell>
          <cell r="EH101">
            <v>3.1276208929142202</v>
          </cell>
          <cell r="EK101">
            <v>1.8600000000000012</v>
          </cell>
          <cell r="EM101">
            <v>3.1276208929142202</v>
          </cell>
          <cell r="EP101">
            <v>1.8600000000000012</v>
          </cell>
          <cell r="ER101">
            <v>3.1276208929142202</v>
          </cell>
          <cell r="EU101">
            <v>1.8600000000000012</v>
          </cell>
          <cell r="EW101">
            <v>3.1276208929142202</v>
          </cell>
        </row>
        <row r="102">
          <cell r="U102">
            <v>1.8800000000000012</v>
          </cell>
          <cell r="W102">
            <v>3.0318005892528701</v>
          </cell>
          <cell r="Z102">
            <v>1.8800000000000012</v>
          </cell>
          <cell r="AB102">
            <v>3.0318005892528701</v>
          </cell>
          <cell r="AE102">
            <v>1.8800000000000012</v>
          </cell>
          <cell r="AG102">
            <v>3.0318005892528701</v>
          </cell>
          <cell r="AJ102">
            <v>1.8800000000000012</v>
          </cell>
          <cell r="AL102">
            <v>3.0318005892528701</v>
          </cell>
          <cell r="AO102">
            <v>1.8800000000000012</v>
          </cell>
          <cell r="AQ102">
            <v>3.0318005892528701</v>
          </cell>
          <cell r="AT102">
            <v>1.8800000000000012</v>
          </cell>
          <cell r="AV102">
            <v>3.0318005892528701</v>
          </cell>
          <cell r="AY102">
            <v>1.8800000000000012</v>
          </cell>
          <cell r="BA102">
            <v>3.0318005892528701</v>
          </cell>
          <cell r="BD102">
            <v>1.8800000000000012</v>
          </cell>
          <cell r="BF102">
            <v>3.0318005892528701</v>
          </cell>
          <cell r="BI102">
            <v>1.8800000000000012</v>
          </cell>
          <cell r="BK102">
            <v>3.0318005892528701</v>
          </cell>
          <cell r="BN102">
            <v>1.8800000000000012</v>
          </cell>
          <cell r="BP102">
            <v>3.0318005892528701</v>
          </cell>
          <cell r="BS102">
            <v>1.8800000000000012</v>
          </cell>
          <cell r="BU102">
            <v>3.0318005892528701</v>
          </cell>
          <cell r="BX102">
            <v>1.8800000000000012</v>
          </cell>
          <cell r="BZ102">
            <v>3.0318005892528701</v>
          </cell>
          <cell r="CC102">
            <v>1.8800000000000012</v>
          </cell>
          <cell r="CE102">
            <v>3.0318005892528701</v>
          </cell>
          <cell r="CH102">
            <v>1.8800000000000012</v>
          </cell>
          <cell r="CJ102">
            <v>3.0318005892528701</v>
          </cell>
          <cell r="CM102">
            <v>1.8800000000000012</v>
          </cell>
          <cell r="CO102">
            <v>3.0318005892528701</v>
          </cell>
          <cell r="CR102">
            <v>1.8800000000000012</v>
          </cell>
          <cell r="CT102">
            <v>3.0318005892528701</v>
          </cell>
          <cell r="CW102">
            <v>1.8800000000000012</v>
          </cell>
          <cell r="CY102">
            <v>3.0318005892528701</v>
          </cell>
          <cell r="DB102">
            <v>1.8800000000000012</v>
          </cell>
          <cell r="DD102">
            <v>3.0318005892528701</v>
          </cell>
          <cell r="DG102">
            <v>1.8800000000000012</v>
          </cell>
          <cell r="DI102">
            <v>3.0318005892528701</v>
          </cell>
          <cell r="DL102">
            <v>1.8800000000000012</v>
          </cell>
          <cell r="DN102">
            <v>3.0318005892528701</v>
          </cell>
          <cell r="DQ102">
            <v>1.8800000000000012</v>
          </cell>
          <cell r="DS102">
            <v>3.0318005892528701</v>
          </cell>
          <cell r="DV102">
            <v>1.8800000000000012</v>
          </cell>
          <cell r="DX102">
            <v>3.0318005892528701</v>
          </cell>
          <cell r="EA102">
            <v>1.8800000000000012</v>
          </cell>
          <cell r="EC102">
            <v>3.0318005892528701</v>
          </cell>
          <cell r="EF102">
            <v>1.8800000000000012</v>
          </cell>
          <cell r="EH102">
            <v>3.0318005892528701</v>
          </cell>
          <cell r="EK102">
            <v>1.8800000000000012</v>
          </cell>
          <cell r="EM102">
            <v>3.0318005892528701</v>
          </cell>
          <cell r="EP102">
            <v>1.8800000000000012</v>
          </cell>
          <cell r="ER102">
            <v>3.0318005892528701</v>
          </cell>
          <cell r="EU102">
            <v>1.8800000000000012</v>
          </cell>
          <cell r="EW102">
            <v>3.0318005892528701</v>
          </cell>
        </row>
        <row r="103">
          <cell r="U103">
            <v>1.9000000000000012</v>
          </cell>
          <cell r="W103">
            <v>2.9332717728636775</v>
          </cell>
          <cell r="Z103">
            <v>1.9000000000000012</v>
          </cell>
          <cell r="AB103">
            <v>2.9332717728636775</v>
          </cell>
          <cell r="AE103">
            <v>1.9000000000000012</v>
          </cell>
          <cell r="AG103">
            <v>2.9332717728636775</v>
          </cell>
          <cell r="AJ103">
            <v>1.9000000000000012</v>
          </cell>
          <cell r="AL103">
            <v>2.9332717728636775</v>
          </cell>
          <cell r="AO103">
            <v>1.9000000000000012</v>
          </cell>
          <cell r="AQ103">
            <v>2.9332717728636775</v>
          </cell>
          <cell r="AT103">
            <v>1.9000000000000012</v>
          </cell>
          <cell r="AV103">
            <v>2.9332717728636775</v>
          </cell>
          <cell r="AY103">
            <v>1.9000000000000012</v>
          </cell>
          <cell r="BA103">
            <v>2.9332717728636775</v>
          </cell>
          <cell r="BD103">
            <v>1.9000000000000012</v>
          </cell>
          <cell r="BF103">
            <v>2.9332717728636775</v>
          </cell>
          <cell r="BI103">
            <v>1.9000000000000012</v>
          </cell>
          <cell r="BK103">
            <v>2.9332717728636775</v>
          </cell>
          <cell r="BN103">
            <v>1.9000000000000012</v>
          </cell>
          <cell r="BP103">
            <v>2.9332717728636775</v>
          </cell>
          <cell r="BS103">
            <v>1.9000000000000012</v>
          </cell>
          <cell r="BU103">
            <v>2.9332717728636775</v>
          </cell>
          <cell r="BX103">
            <v>1.9000000000000012</v>
          </cell>
          <cell r="BZ103">
            <v>2.9332717728636775</v>
          </cell>
          <cell r="CC103">
            <v>1.9000000000000012</v>
          </cell>
          <cell r="CE103">
            <v>2.9332717728636775</v>
          </cell>
          <cell r="CH103">
            <v>1.9000000000000012</v>
          </cell>
          <cell r="CJ103">
            <v>2.9332717728636775</v>
          </cell>
          <cell r="CM103">
            <v>1.9000000000000012</v>
          </cell>
          <cell r="CO103">
            <v>2.9332717728636775</v>
          </cell>
          <cell r="CR103">
            <v>1.9000000000000012</v>
          </cell>
          <cell r="CT103">
            <v>2.9332717728636775</v>
          </cell>
          <cell r="CW103">
            <v>1.9000000000000012</v>
          </cell>
          <cell r="CY103">
            <v>2.9332717728636775</v>
          </cell>
          <cell r="DB103">
            <v>1.9000000000000012</v>
          </cell>
          <cell r="DD103">
            <v>2.9332717728636775</v>
          </cell>
          <cell r="DG103">
            <v>1.9000000000000012</v>
          </cell>
          <cell r="DI103">
            <v>2.9332717728636775</v>
          </cell>
          <cell r="DL103">
            <v>1.9000000000000012</v>
          </cell>
          <cell r="DN103">
            <v>2.9332717728636775</v>
          </cell>
          <cell r="DQ103">
            <v>1.9000000000000012</v>
          </cell>
          <cell r="DS103">
            <v>2.9332717728636775</v>
          </cell>
          <cell r="DV103">
            <v>1.9000000000000012</v>
          </cell>
          <cell r="DX103">
            <v>2.9332717728636775</v>
          </cell>
          <cell r="EA103">
            <v>1.9000000000000012</v>
          </cell>
          <cell r="EC103">
            <v>2.9332717728636775</v>
          </cell>
          <cell r="EF103">
            <v>1.9000000000000012</v>
          </cell>
          <cell r="EH103">
            <v>2.9332717728636775</v>
          </cell>
          <cell r="EK103">
            <v>1.9000000000000012</v>
          </cell>
          <cell r="EM103">
            <v>2.9332717728636775</v>
          </cell>
          <cell r="EP103">
            <v>1.9000000000000012</v>
          </cell>
          <cell r="ER103">
            <v>2.9332717728636775</v>
          </cell>
          <cell r="EU103">
            <v>1.9000000000000012</v>
          </cell>
          <cell r="EW103">
            <v>2.9332717728636775</v>
          </cell>
        </row>
        <row r="104">
          <cell r="U104">
            <v>1.9200000000000013</v>
          </cell>
          <cell r="W104">
            <v>2.8320344437466334</v>
          </cell>
          <cell r="Z104">
            <v>1.9200000000000013</v>
          </cell>
          <cell r="AB104">
            <v>2.8320344437466334</v>
          </cell>
          <cell r="AE104">
            <v>1.9200000000000013</v>
          </cell>
          <cell r="AG104">
            <v>2.8320344437466334</v>
          </cell>
          <cell r="AJ104">
            <v>1.9200000000000013</v>
          </cell>
          <cell r="AL104">
            <v>2.8320344437466334</v>
          </cell>
          <cell r="AO104">
            <v>1.9200000000000013</v>
          </cell>
          <cell r="AQ104">
            <v>2.8320344437466334</v>
          </cell>
          <cell r="AT104">
            <v>1.9200000000000013</v>
          </cell>
          <cell r="AV104">
            <v>2.8320344437466334</v>
          </cell>
          <cell r="AY104">
            <v>1.9200000000000013</v>
          </cell>
          <cell r="BA104">
            <v>2.8320344437466334</v>
          </cell>
          <cell r="BD104">
            <v>1.9200000000000013</v>
          </cell>
          <cell r="BF104">
            <v>2.8320344437466334</v>
          </cell>
          <cell r="BI104">
            <v>1.9200000000000013</v>
          </cell>
          <cell r="BK104">
            <v>2.8320344437466334</v>
          </cell>
          <cell r="BN104">
            <v>1.9200000000000013</v>
          </cell>
          <cell r="BP104">
            <v>2.8320344437466334</v>
          </cell>
          <cell r="BS104">
            <v>1.9200000000000013</v>
          </cell>
          <cell r="BU104">
            <v>2.8320344437466334</v>
          </cell>
          <cell r="BX104">
            <v>1.9200000000000013</v>
          </cell>
          <cell r="BZ104">
            <v>2.8320344437466334</v>
          </cell>
          <cell r="CC104">
            <v>1.9200000000000013</v>
          </cell>
          <cell r="CE104">
            <v>2.8320344437466334</v>
          </cell>
          <cell r="CH104">
            <v>1.9200000000000013</v>
          </cell>
          <cell r="CJ104">
            <v>2.8320344437466334</v>
          </cell>
          <cell r="CM104">
            <v>1.9200000000000013</v>
          </cell>
          <cell r="CO104">
            <v>2.8320344437466334</v>
          </cell>
          <cell r="CR104">
            <v>1.9200000000000013</v>
          </cell>
          <cell r="CT104">
            <v>2.8320344437466334</v>
          </cell>
          <cell r="CW104">
            <v>1.9200000000000013</v>
          </cell>
          <cell r="CY104">
            <v>2.8320344437466334</v>
          </cell>
          <cell r="DB104">
            <v>1.9200000000000013</v>
          </cell>
          <cell r="DD104">
            <v>2.8320344437466334</v>
          </cell>
          <cell r="DG104">
            <v>1.9200000000000013</v>
          </cell>
          <cell r="DI104">
            <v>2.8320344437466334</v>
          </cell>
          <cell r="DL104">
            <v>1.9200000000000013</v>
          </cell>
          <cell r="DN104">
            <v>2.8320344437466334</v>
          </cell>
          <cell r="DQ104">
            <v>1.9200000000000013</v>
          </cell>
          <cell r="DS104">
            <v>2.8320344437466334</v>
          </cell>
          <cell r="DV104">
            <v>1.9200000000000013</v>
          </cell>
          <cell r="DX104">
            <v>2.8320344437466334</v>
          </cell>
          <cell r="EA104">
            <v>1.9200000000000013</v>
          </cell>
          <cell r="EC104">
            <v>2.8320344437466334</v>
          </cell>
          <cell r="EF104">
            <v>1.9200000000000013</v>
          </cell>
          <cell r="EH104">
            <v>2.8320344437466334</v>
          </cell>
          <cell r="EK104">
            <v>1.9200000000000013</v>
          </cell>
          <cell r="EM104">
            <v>2.8320344437466334</v>
          </cell>
          <cell r="EP104">
            <v>1.9200000000000013</v>
          </cell>
          <cell r="ER104">
            <v>2.8320344437466334</v>
          </cell>
          <cell r="EU104">
            <v>1.9200000000000013</v>
          </cell>
          <cell r="EW104">
            <v>2.8320344437466334</v>
          </cell>
        </row>
        <row r="105">
          <cell r="U105">
            <v>1.9400000000000013</v>
          </cell>
          <cell r="W105">
            <v>2.728088601901745</v>
          </cell>
          <cell r="Z105">
            <v>1.9400000000000013</v>
          </cell>
          <cell r="AB105">
            <v>2.728088601901745</v>
          </cell>
          <cell r="AE105">
            <v>1.9400000000000013</v>
          </cell>
          <cell r="AG105">
            <v>2.728088601901745</v>
          </cell>
          <cell r="AJ105">
            <v>1.9400000000000013</v>
          </cell>
          <cell r="AL105">
            <v>2.728088601901745</v>
          </cell>
          <cell r="AO105">
            <v>1.9400000000000013</v>
          </cell>
          <cell r="AQ105">
            <v>2.728088601901745</v>
          </cell>
          <cell r="AT105">
            <v>1.9400000000000013</v>
          </cell>
          <cell r="AV105">
            <v>2.728088601901745</v>
          </cell>
          <cell r="AY105">
            <v>1.9400000000000013</v>
          </cell>
          <cell r="BA105">
            <v>2.728088601901745</v>
          </cell>
          <cell r="BD105">
            <v>1.9400000000000013</v>
          </cell>
          <cell r="BF105">
            <v>2.728088601901745</v>
          </cell>
          <cell r="BI105">
            <v>1.9400000000000013</v>
          </cell>
          <cell r="BK105">
            <v>2.728088601901745</v>
          </cell>
          <cell r="BN105">
            <v>1.9400000000000013</v>
          </cell>
          <cell r="BP105">
            <v>2.728088601901745</v>
          </cell>
          <cell r="BS105">
            <v>1.9400000000000013</v>
          </cell>
          <cell r="BU105">
            <v>2.728088601901745</v>
          </cell>
          <cell r="BX105">
            <v>1.9400000000000013</v>
          </cell>
          <cell r="BZ105">
            <v>2.728088601901745</v>
          </cell>
          <cell r="CC105">
            <v>1.9400000000000013</v>
          </cell>
          <cell r="CE105">
            <v>2.728088601901745</v>
          </cell>
          <cell r="CH105">
            <v>1.9400000000000013</v>
          </cell>
          <cell r="CJ105">
            <v>2.728088601901745</v>
          </cell>
          <cell r="CM105">
            <v>1.9400000000000013</v>
          </cell>
          <cell r="CO105">
            <v>2.728088601901745</v>
          </cell>
          <cell r="CR105">
            <v>1.9400000000000013</v>
          </cell>
          <cell r="CT105">
            <v>2.728088601901745</v>
          </cell>
          <cell r="CW105">
            <v>1.9400000000000013</v>
          </cell>
          <cell r="CY105">
            <v>2.728088601901745</v>
          </cell>
          <cell r="DB105">
            <v>1.9400000000000013</v>
          </cell>
          <cell r="DD105">
            <v>2.728088601901745</v>
          </cell>
          <cell r="DG105">
            <v>1.9400000000000013</v>
          </cell>
          <cell r="DI105">
            <v>2.728088601901745</v>
          </cell>
          <cell r="DL105">
            <v>1.9400000000000013</v>
          </cell>
          <cell r="DN105">
            <v>2.728088601901745</v>
          </cell>
          <cell r="DQ105">
            <v>1.9400000000000013</v>
          </cell>
          <cell r="DS105">
            <v>2.728088601901745</v>
          </cell>
          <cell r="DV105">
            <v>1.9400000000000013</v>
          </cell>
          <cell r="DX105">
            <v>2.728088601901745</v>
          </cell>
          <cell r="EA105">
            <v>1.9400000000000013</v>
          </cell>
          <cell r="EC105">
            <v>2.728088601901745</v>
          </cell>
          <cell r="EF105">
            <v>1.9400000000000013</v>
          </cell>
          <cell r="EH105">
            <v>2.728088601901745</v>
          </cell>
          <cell r="EK105">
            <v>1.9400000000000013</v>
          </cell>
          <cell r="EM105">
            <v>2.728088601901745</v>
          </cell>
          <cell r="EP105">
            <v>1.9400000000000013</v>
          </cell>
          <cell r="ER105">
            <v>2.728088601901745</v>
          </cell>
          <cell r="EU105">
            <v>1.9400000000000013</v>
          </cell>
          <cell r="EW105">
            <v>2.728088601901745</v>
          </cell>
        </row>
        <row r="106">
          <cell r="U106">
            <v>1.9600000000000013</v>
          </cell>
          <cell r="W106">
            <v>2.6214342473290069</v>
          </cell>
          <cell r="Z106">
            <v>1.9600000000000013</v>
          </cell>
          <cell r="AB106">
            <v>2.6214342473290069</v>
          </cell>
          <cell r="AE106">
            <v>1.9600000000000013</v>
          </cell>
          <cell r="AG106">
            <v>2.6214342473290069</v>
          </cell>
          <cell r="AJ106">
            <v>1.9600000000000013</v>
          </cell>
          <cell r="AL106">
            <v>2.6214342473290069</v>
          </cell>
          <cell r="AO106">
            <v>1.9600000000000013</v>
          </cell>
          <cell r="AQ106">
            <v>2.6214342473290069</v>
          </cell>
          <cell r="AT106">
            <v>1.9600000000000013</v>
          </cell>
          <cell r="AV106">
            <v>2.6214342473290069</v>
          </cell>
          <cell r="AY106">
            <v>1.9600000000000013</v>
          </cell>
          <cell r="BA106">
            <v>2.6214342473290069</v>
          </cell>
          <cell r="BD106">
            <v>1.9600000000000013</v>
          </cell>
          <cell r="BF106">
            <v>2.6214342473290069</v>
          </cell>
          <cell r="BI106">
            <v>1.9600000000000013</v>
          </cell>
          <cell r="BK106">
            <v>2.6214342473290069</v>
          </cell>
          <cell r="BN106">
            <v>1.9600000000000013</v>
          </cell>
          <cell r="BP106">
            <v>2.6214342473290069</v>
          </cell>
          <cell r="BS106">
            <v>1.9600000000000013</v>
          </cell>
          <cell r="BU106">
            <v>2.6214342473290069</v>
          </cell>
          <cell r="BX106">
            <v>1.9600000000000013</v>
          </cell>
          <cell r="BZ106">
            <v>2.6214342473290069</v>
          </cell>
          <cell r="CC106">
            <v>1.9600000000000013</v>
          </cell>
          <cell r="CE106">
            <v>2.6214342473290069</v>
          </cell>
          <cell r="CH106">
            <v>1.9600000000000013</v>
          </cell>
          <cell r="CJ106">
            <v>2.6214342473290069</v>
          </cell>
          <cell r="CM106">
            <v>1.9600000000000013</v>
          </cell>
          <cell r="CO106">
            <v>2.6214342473290069</v>
          </cell>
          <cell r="CR106">
            <v>1.9600000000000013</v>
          </cell>
          <cell r="CT106">
            <v>2.6214342473290069</v>
          </cell>
          <cell r="CW106">
            <v>1.9600000000000013</v>
          </cell>
          <cell r="CY106">
            <v>2.6214342473290069</v>
          </cell>
          <cell r="DB106">
            <v>1.9600000000000013</v>
          </cell>
          <cell r="DD106">
            <v>2.6214342473290069</v>
          </cell>
          <cell r="DG106">
            <v>1.9600000000000013</v>
          </cell>
          <cell r="DI106">
            <v>2.6214342473290069</v>
          </cell>
          <cell r="DL106">
            <v>1.9600000000000013</v>
          </cell>
          <cell r="DN106">
            <v>2.6214342473290069</v>
          </cell>
          <cell r="DQ106">
            <v>1.9600000000000013</v>
          </cell>
          <cell r="DS106">
            <v>2.6214342473290069</v>
          </cell>
          <cell r="DV106">
            <v>1.9600000000000013</v>
          </cell>
          <cell r="DX106">
            <v>2.6214342473290069</v>
          </cell>
          <cell r="EA106">
            <v>1.9600000000000013</v>
          </cell>
          <cell r="EC106">
            <v>2.6214342473290069</v>
          </cell>
          <cell r="EF106">
            <v>1.9600000000000013</v>
          </cell>
          <cell r="EH106">
            <v>2.6214342473290069</v>
          </cell>
          <cell r="EK106">
            <v>1.9600000000000013</v>
          </cell>
          <cell r="EM106">
            <v>2.6214342473290069</v>
          </cell>
          <cell r="EP106">
            <v>1.9600000000000013</v>
          </cell>
          <cell r="ER106">
            <v>2.6214342473290069</v>
          </cell>
          <cell r="EU106">
            <v>1.9600000000000013</v>
          </cell>
          <cell r="EW106">
            <v>2.6214342473290069</v>
          </cell>
        </row>
        <row r="107">
          <cell r="U107">
            <v>1.9800000000000013</v>
          </cell>
          <cell r="W107">
            <v>2.5120713800284244</v>
          </cell>
          <cell r="Z107">
            <v>1.9800000000000013</v>
          </cell>
          <cell r="AB107">
            <v>2.5120713800284244</v>
          </cell>
          <cell r="AE107">
            <v>1.9800000000000013</v>
          </cell>
          <cell r="AG107">
            <v>2.5120713800284244</v>
          </cell>
          <cell r="AJ107">
            <v>1.9800000000000013</v>
          </cell>
          <cell r="AL107">
            <v>2.5120713800284244</v>
          </cell>
          <cell r="AO107">
            <v>1.9800000000000013</v>
          </cell>
          <cell r="AQ107">
            <v>2.5120713800284244</v>
          </cell>
          <cell r="AT107">
            <v>1.9800000000000013</v>
          </cell>
          <cell r="AV107">
            <v>2.5120713800284244</v>
          </cell>
          <cell r="AY107">
            <v>1.9800000000000013</v>
          </cell>
          <cell r="BA107">
            <v>2.5120713800284244</v>
          </cell>
          <cell r="BD107">
            <v>1.9800000000000013</v>
          </cell>
          <cell r="BF107">
            <v>2.5120713800284244</v>
          </cell>
          <cell r="BI107">
            <v>1.9800000000000013</v>
          </cell>
          <cell r="BK107">
            <v>2.5120713800284244</v>
          </cell>
          <cell r="BN107">
            <v>1.9800000000000013</v>
          </cell>
          <cell r="BP107">
            <v>2.5120713800284244</v>
          </cell>
          <cell r="BS107">
            <v>1.9800000000000013</v>
          </cell>
          <cell r="BU107">
            <v>2.5120713800284244</v>
          </cell>
          <cell r="BX107">
            <v>1.9800000000000013</v>
          </cell>
          <cell r="BZ107">
            <v>2.5120713800284244</v>
          </cell>
          <cell r="CC107">
            <v>1.9800000000000013</v>
          </cell>
          <cell r="CE107">
            <v>2.5120713800284244</v>
          </cell>
          <cell r="CH107">
            <v>1.9800000000000013</v>
          </cell>
          <cell r="CJ107">
            <v>2.5120713800284244</v>
          </cell>
          <cell r="CM107">
            <v>1.9800000000000013</v>
          </cell>
          <cell r="CO107">
            <v>2.5120713800284244</v>
          </cell>
          <cell r="CR107">
            <v>1.9800000000000013</v>
          </cell>
          <cell r="CT107">
            <v>2.5120713800284244</v>
          </cell>
          <cell r="CW107">
            <v>1.9800000000000013</v>
          </cell>
          <cell r="CY107">
            <v>2.5120713800284244</v>
          </cell>
          <cell r="DB107">
            <v>1.9800000000000013</v>
          </cell>
          <cell r="DD107">
            <v>2.5120713800284244</v>
          </cell>
          <cell r="DG107">
            <v>1.9800000000000013</v>
          </cell>
          <cell r="DI107">
            <v>2.5120713800284244</v>
          </cell>
          <cell r="DL107">
            <v>1.9800000000000013</v>
          </cell>
          <cell r="DN107">
            <v>2.5120713800284244</v>
          </cell>
          <cell r="DQ107">
            <v>1.9800000000000013</v>
          </cell>
          <cell r="DS107">
            <v>2.5120713800284244</v>
          </cell>
          <cell r="DV107">
            <v>1.9800000000000013</v>
          </cell>
          <cell r="DX107">
            <v>2.5120713800284244</v>
          </cell>
          <cell r="EA107">
            <v>1.9800000000000013</v>
          </cell>
          <cell r="EC107">
            <v>2.5120713800284244</v>
          </cell>
          <cell r="EF107">
            <v>1.9800000000000013</v>
          </cell>
          <cell r="EH107">
            <v>2.5120713800284244</v>
          </cell>
          <cell r="EK107">
            <v>1.9800000000000013</v>
          </cell>
          <cell r="EM107">
            <v>2.5120713800284244</v>
          </cell>
          <cell r="EP107">
            <v>1.9800000000000013</v>
          </cell>
          <cell r="ER107">
            <v>2.5120713800284244</v>
          </cell>
          <cell r="EU107">
            <v>1.9800000000000013</v>
          </cell>
          <cell r="EW107">
            <v>2.5120713800284244</v>
          </cell>
        </row>
        <row r="108">
          <cell r="U108">
            <v>2.0000000000000013</v>
          </cell>
          <cell r="W108">
            <v>2.3999999999999941</v>
          </cell>
          <cell r="Z108">
            <v>2.0000000000000013</v>
          </cell>
          <cell r="AB108">
            <v>2.3999999999999941</v>
          </cell>
          <cell r="AE108">
            <v>2.0000000000000013</v>
          </cell>
          <cell r="AG108">
            <v>2.3999999999999941</v>
          </cell>
          <cell r="AJ108">
            <v>2.0000000000000013</v>
          </cell>
          <cell r="AL108">
            <v>2.3999999999999941</v>
          </cell>
          <cell r="AO108">
            <v>2.0000000000000013</v>
          </cell>
          <cell r="AQ108">
            <v>2.3999999999999941</v>
          </cell>
          <cell r="AT108">
            <v>2.0000000000000013</v>
          </cell>
          <cell r="AV108">
            <v>2.3999999999999941</v>
          </cell>
          <cell r="AY108">
            <v>2.0000000000000013</v>
          </cell>
          <cell r="BA108">
            <v>2.3999999999999941</v>
          </cell>
          <cell r="BD108">
            <v>2.0000000000000013</v>
          </cell>
          <cell r="BF108">
            <v>2.3999999999999941</v>
          </cell>
          <cell r="BI108">
            <v>2.0000000000000013</v>
          </cell>
          <cell r="BK108">
            <v>2.3999999999999941</v>
          </cell>
          <cell r="BN108">
            <v>2.0000000000000013</v>
          </cell>
          <cell r="BP108">
            <v>2.3999999999999941</v>
          </cell>
          <cell r="BS108">
            <v>2.0000000000000013</v>
          </cell>
          <cell r="BU108">
            <v>2.3999999999999941</v>
          </cell>
          <cell r="BX108">
            <v>2.0000000000000013</v>
          </cell>
          <cell r="BZ108">
            <v>2.3999999999999941</v>
          </cell>
          <cell r="CC108">
            <v>2.0000000000000013</v>
          </cell>
          <cell r="CE108">
            <v>2.3999999999999941</v>
          </cell>
          <cell r="CH108">
            <v>2.0000000000000013</v>
          </cell>
          <cell r="CJ108">
            <v>2.3999999999999941</v>
          </cell>
          <cell r="CM108">
            <v>2.0000000000000013</v>
          </cell>
          <cell r="CO108">
            <v>2.3999999999999941</v>
          </cell>
          <cell r="CR108">
            <v>2.0000000000000013</v>
          </cell>
          <cell r="CT108">
            <v>2.3999999999999941</v>
          </cell>
          <cell r="CW108">
            <v>2.0000000000000013</v>
          </cell>
          <cell r="CY108">
            <v>2.3999999999999941</v>
          </cell>
          <cell r="DB108">
            <v>2.0000000000000013</v>
          </cell>
          <cell r="DD108">
            <v>2.3999999999999941</v>
          </cell>
          <cell r="DG108">
            <v>2.0000000000000013</v>
          </cell>
          <cell r="DI108">
            <v>2.3999999999999941</v>
          </cell>
          <cell r="DL108">
            <v>2.0000000000000013</v>
          </cell>
          <cell r="DN108">
            <v>2.3999999999999941</v>
          </cell>
          <cell r="DQ108">
            <v>2.0000000000000013</v>
          </cell>
          <cell r="DS108">
            <v>2.3999999999999941</v>
          </cell>
          <cell r="DV108">
            <v>2.0000000000000013</v>
          </cell>
          <cell r="DX108">
            <v>2.3999999999999941</v>
          </cell>
          <cell r="EA108">
            <v>2.0000000000000013</v>
          </cell>
          <cell r="EC108">
            <v>2.3999999999999941</v>
          </cell>
          <cell r="EF108">
            <v>2.0000000000000013</v>
          </cell>
          <cell r="EH108">
            <v>2.3999999999999941</v>
          </cell>
          <cell r="EK108">
            <v>2.0000000000000013</v>
          </cell>
          <cell r="EM108">
            <v>2.3999999999999941</v>
          </cell>
          <cell r="EP108">
            <v>2.0000000000000013</v>
          </cell>
          <cell r="ER108">
            <v>2.3999999999999941</v>
          </cell>
          <cell r="EU108">
            <v>2.0000000000000013</v>
          </cell>
          <cell r="EW108">
            <v>2.3999999999999941</v>
          </cell>
        </row>
      </sheetData>
      <sheetData sheetId="6"/>
      <sheetData sheetId="7" refreshError="1"/>
      <sheetData sheetId="8" refreshError="1"/>
      <sheetData sheetId="9" refreshError="1"/>
      <sheetData sheetId="10" refreshError="1"/>
      <sheetData sheetId="11">
        <row r="2">
          <cell r="D2" t="str">
            <v>1/2" Hex AM 9015 -1</v>
          </cell>
          <cell r="E2">
            <v>1</v>
          </cell>
          <cell r="F2">
            <v>1</v>
          </cell>
          <cell r="G2">
            <v>1</v>
          </cell>
          <cell r="H2">
            <v>1</v>
          </cell>
          <cell r="I2">
            <v>1</v>
          </cell>
        </row>
        <row r="3">
          <cell r="D3" t="str">
            <v>1/2" Hex BB RS-550 -1</v>
          </cell>
          <cell r="E3">
            <v>1</v>
          </cell>
          <cell r="F3">
            <v>1</v>
          </cell>
          <cell r="G3">
            <v>1</v>
          </cell>
          <cell r="H3">
            <v>1</v>
          </cell>
          <cell r="I3">
            <v>1</v>
          </cell>
        </row>
        <row r="4">
          <cell r="D4" t="str">
            <v>1/2" Hex BB RS-775 -1</v>
          </cell>
          <cell r="E4">
            <v>1</v>
          </cell>
          <cell r="F4">
            <v>1</v>
          </cell>
          <cell r="G4">
            <v>1</v>
          </cell>
          <cell r="H4">
            <v>1</v>
          </cell>
          <cell r="I4">
            <v>1</v>
          </cell>
          <cell r="O4" t="str">
            <v>1/2" Hex</v>
          </cell>
          <cell r="P4">
            <v>39.99</v>
          </cell>
          <cell r="Q4">
            <v>31.979999999999997</v>
          </cell>
          <cell r="R4">
            <v>0.34</v>
          </cell>
          <cell r="S4">
            <v>0.22</v>
          </cell>
          <cell r="T4" t="str">
            <v>217-4973,</v>
          </cell>
          <cell r="U4" t="str">
            <v>217-5823,217-2897,</v>
          </cell>
        </row>
        <row r="5">
          <cell r="D5" t="str">
            <v>1/2" Hex BAG Motor -1</v>
          </cell>
          <cell r="E5">
            <v>1</v>
          </cell>
          <cell r="F5">
            <v>1</v>
          </cell>
          <cell r="G5">
            <v>1</v>
          </cell>
          <cell r="H5">
            <v>1</v>
          </cell>
          <cell r="I5">
            <v>1</v>
          </cell>
          <cell r="O5" t="str">
            <v>1/2" Round</v>
          </cell>
          <cell r="P5">
            <v>39.99</v>
          </cell>
          <cell r="Q5">
            <v>27.979999999999997</v>
          </cell>
          <cell r="R5">
            <v>0.34</v>
          </cell>
          <cell r="S5">
            <v>0.22</v>
          </cell>
          <cell r="T5" t="str">
            <v>217-4975,</v>
          </cell>
          <cell r="U5" t="str">
            <v>217-5823,217-2895,</v>
          </cell>
        </row>
        <row r="6">
          <cell r="D6" t="str">
            <v>1/2" Hex 775pro -1</v>
          </cell>
          <cell r="E6">
            <v>1</v>
          </cell>
          <cell r="F6">
            <v>1</v>
          </cell>
          <cell r="G6">
            <v>1</v>
          </cell>
          <cell r="H6">
            <v>1</v>
          </cell>
          <cell r="I6">
            <v>1</v>
          </cell>
          <cell r="O6" t="str">
            <v>3/8" Hex</v>
          </cell>
          <cell r="P6">
            <v>39.99</v>
          </cell>
          <cell r="Q6">
            <v>17.989999999999998</v>
          </cell>
          <cell r="R6">
            <v>0.34</v>
          </cell>
          <cell r="S6">
            <v>0.22</v>
          </cell>
          <cell r="T6" t="str">
            <v>217-4974,</v>
          </cell>
          <cell r="U6" t="str">
            <v>217-5823,</v>
          </cell>
        </row>
        <row r="7">
          <cell r="D7" t="str">
            <v>1/2" Hex Mini CIM -1</v>
          </cell>
          <cell r="E7">
            <v>1</v>
          </cell>
          <cell r="F7">
            <v>1</v>
          </cell>
          <cell r="G7">
            <v>1</v>
          </cell>
          <cell r="H7">
            <v>1</v>
          </cell>
          <cell r="I7">
            <v>0</v>
          </cell>
          <cell r="O7" t="str">
            <v>CIM Motor</v>
          </cell>
          <cell r="P7">
            <v>39.99</v>
          </cell>
          <cell r="Q7">
            <v>27.979999999999997</v>
          </cell>
          <cell r="R7">
            <v>0.34</v>
          </cell>
          <cell r="S7">
            <v>0.22</v>
          </cell>
          <cell r="T7" t="str">
            <v>217-4976,</v>
          </cell>
          <cell r="U7" t="str">
            <v>217-5823,217-2893,</v>
          </cell>
        </row>
        <row r="8">
          <cell r="D8" t="str">
            <v>1/2" Hex CIM -1</v>
          </cell>
          <cell r="E8">
            <v>1</v>
          </cell>
          <cell r="F8">
            <v>1</v>
          </cell>
          <cell r="G8">
            <v>1</v>
          </cell>
          <cell r="H8">
            <v>1</v>
          </cell>
          <cell r="I8">
            <v>0</v>
          </cell>
          <cell r="O8" t="str">
            <v>Female</v>
          </cell>
          <cell r="P8">
            <v>44.99</v>
          </cell>
          <cell r="Q8">
            <v>24.99</v>
          </cell>
          <cell r="R8">
            <v>0.34</v>
          </cell>
          <cell r="S8">
            <v>0.22</v>
          </cell>
          <cell r="T8" t="str">
            <v>217-6473,</v>
          </cell>
          <cell r="U8" t="str">
            <v>217-5995,</v>
          </cell>
        </row>
        <row r="9">
          <cell r="D9" t="str">
            <v>1/2" Hex NEO -1</v>
          </cell>
          <cell r="E9">
            <v>1</v>
          </cell>
          <cell r="F9">
            <v>1</v>
          </cell>
          <cell r="G9">
            <v>1</v>
          </cell>
          <cell r="H9">
            <v>1</v>
          </cell>
          <cell r="I9">
            <v>0</v>
          </cell>
        </row>
        <row r="10">
          <cell r="D10" t="str">
            <v>1/2" Hex Falcon 500 -1</v>
          </cell>
          <cell r="E10">
            <v>1</v>
          </cell>
          <cell r="F10">
            <v>1</v>
          </cell>
          <cell r="G10">
            <v>1</v>
          </cell>
          <cell r="H10">
            <v>1</v>
          </cell>
          <cell r="I10">
            <v>0</v>
          </cell>
        </row>
        <row r="11">
          <cell r="D11" t="str">
            <v>1/2" Round AM 9015 -1</v>
          </cell>
          <cell r="E11">
            <v>1</v>
          </cell>
          <cell r="F11">
            <v>1</v>
          </cell>
          <cell r="G11">
            <v>1</v>
          </cell>
          <cell r="H11">
            <v>1</v>
          </cell>
          <cell r="I11">
            <v>1</v>
          </cell>
        </row>
        <row r="12">
          <cell r="D12" t="str">
            <v>1/2" Round BB RS-550 -1</v>
          </cell>
          <cell r="E12">
            <v>1</v>
          </cell>
          <cell r="F12">
            <v>1</v>
          </cell>
          <cell r="G12">
            <v>1</v>
          </cell>
          <cell r="H12">
            <v>1</v>
          </cell>
          <cell r="I12">
            <v>1</v>
          </cell>
          <cell r="O12" t="str">
            <v>AM 9015</v>
          </cell>
          <cell r="P12">
            <v>0</v>
          </cell>
          <cell r="Q12">
            <v>12.98</v>
          </cell>
          <cell r="R12">
            <v>0</v>
          </cell>
          <cell r="S12">
            <v>0</v>
          </cell>
          <cell r="U12" t="str">
            <v>217-3564,217-4649,</v>
          </cell>
        </row>
        <row r="13">
          <cell r="D13" t="str">
            <v>1/2" Round BB RS-775 -1</v>
          </cell>
          <cell r="E13">
            <v>1</v>
          </cell>
          <cell r="F13">
            <v>1</v>
          </cell>
          <cell r="G13">
            <v>1</v>
          </cell>
          <cell r="H13">
            <v>1</v>
          </cell>
          <cell r="I13">
            <v>1</v>
          </cell>
          <cell r="O13" t="str">
            <v>NeveRest</v>
          </cell>
          <cell r="P13">
            <v>0</v>
          </cell>
          <cell r="Q13">
            <v>0</v>
          </cell>
          <cell r="R13">
            <v>0</v>
          </cell>
          <cell r="S13">
            <v>0</v>
          </cell>
        </row>
        <row r="14">
          <cell r="D14" t="str">
            <v>1/2" Round BAG Motor -1</v>
          </cell>
          <cell r="E14">
            <v>1</v>
          </cell>
          <cell r="F14">
            <v>1</v>
          </cell>
          <cell r="G14">
            <v>1</v>
          </cell>
          <cell r="H14">
            <v>1</v>
          </cell>
          <cell r="I14">
            <v>1</v>
          </cell>
          <cell r="O14" t="str">
            <v>BB RS-550</v>
          </cell>
          <cell r="P14">
            <v>0</v>
          </cell>
          <cell r="Q14">
            <v>0</v>
          </cell>
          <cell r="R14">
            <v>0</v>
          </cell>
          <cell r="S14">
            <v>0</v>
          </cell>
        </row>
        <row r="15">
          <cell r="D15" t="str">
            <v>1/2" Round 775pro -1</v>
          </cell>
          <cell r="E15">
            <v>1</v>
          </cell>
          <cell r="F15">
            <v>1</v>
          </cell>
          <cell r="G15">
            <v>1</v>
          </cell>
          <cell r="H15">
            <v>1</v>
          </cell>
          <cell r="I15">
            <v>1</v>
          </cell>
          <cell r="O15" t="str">
            <v>BB RS-775</v>
          </cell>
          <cell r="P15">
            <v>0</v>
          </cell>
          <cell r="Q15">
            <v>12.98</v>
          </cell>
          <cell r="R15">
            <v>0</v>
          </cell>
          <cell r="S15">
            <v>0</v>
          </cell>
          <cell r="U15" t="str">
            <v>217-3564,217-4649,</v>
          </cell>
        </row>
        <row r="16">
          <cell r="D16" t="str">
            <v>1/2" Round Mini CIM -1</v>
          </cell>
          <cell r="E16">
            <v>1</v>
          </cell>
          <cell r="F16">
            <v>1</v>
          </cell>
          <cell r="G16">
            <v>1</v>
          </cell>
          <cell r="H16">
            <v>1</v>
          </cell>
          <cell r="I16">
            <v>0</v>
          </cell>
          <cell r="O16" t="str">
            <v>BAG Motor</v>
          </cell>
          <cell r="P16">
            <v>0</v>
          </cell>
          <cell r="Q16">
            <v>12.98</v>
          </cell>
          <cell r="R16">
            <v>0</v>
          </cell>
          <cell r="S16">
            <v>0</v>
          </cell>
          <cell r="U16" t="str">
            <v>217-3564,217-4649,</v>
          </cell>
        </row>
        <row r="17">
          <cell r="D17" t="str">
            <v>1/2" Round CIM -1</v>
          </cell>
          <cell r="E17">
            <v>1</v>
          </cell>
          <cell r="F17">
            <v>1</v>
          </cell>
          <cell r="G17">
            <v>1</v>
          </cell>
          <cell r="H17">
            <v>1</v>
          </cell>
          <cell r="I17">
            <v>0</v>
          </cell>
          <cell r="O17" t="str">
            <v>Mini CIM</v>
          </cell>
          <cell r="P17">
            <v>4.99</v>
          </cell>
          <cell r="Q17">
            <v>11.98</v>
          </cell>
          <cell r="R17">
            <v>0.7</v>
          </cell>
          <cell r="S17">
            <v>0.7</v>
          </cell>
          <cell r="T17" t="str">
            <v>217-4018,</v>
          </cell>
          <cell r="U17" t="str">
            <v>217-4018,</v>
          </cell>
        </row>
        <row r="18">
          <cell r="D18" t="str">
            <v>1/2" Round NEO -1</v>
          </cell>
          <cell r="E18">
            <v>1</v>
          </cell>
          <cell r="F18">
            <v>1</v>
          </cell>
          <cell r="G18">
            <v>1</v>
          </cell>
          <cell r="H18">
            <v>1</v>
          </cell>
          <cell r="I18">
            <v>0</v>
          </cell>
          <cell r="O18" t="str">
            <v>CIM</v>
          </cell>
          <cell r="P18">
            <v>4.99</v>
          </cell>
          <cell r="Q18">
            <v>11.98</v>
          </cell>
          <cell r="R18">
            <v>0.7</v>
          </cell>
          <cell r="S18">
            <v>0.7</v>
          </cell>
          <cell r="T18" t="str">
            <v>217-4018,</v>
          </cell>
          <cell r="U18" t="str">
            <v>217-4018,</v>
          </cell>
        </row>
        <row r="19">
          <cell r="D19" t="str">
            <v>1/2" Round Falcon 500 -1</v>
          </cell>
          <cell r="E19">
            <v>1</v>
          </cell>
          <cell r="F19">
            <v>1</v>
          </cell>
          <cell r="G19">
            <v>1</v>
          </cell>
          <cell r="H19">
            <v>1</v>
          </cell>
          <cell r="I19">
            <v>0</v>
          </cell>
          <cell r="O19" t="str">
            <v>775pro</v>
          </cell>
          <cell r="P19">
            <v>0</v>
          </cell>
          <cell r="Q19">
            <v>12.98</v>
          </cell>
          <cell r="R19">
            <v>0</v>
          </cell>
          <cell r="S19">
            <v>0</v>
          </cell>
          <cell r="U19" t="str">
            <v>217-3564,217-4649,</v>
          </cell>
        </row>
        <row r="20">
          <cell r="D20" t="str">
            <v>3/8" Hex AM 9015 -1</v>
          </cell>
          <cell r="E20">
            <v>1</v>
          </cell>
          <cell r="F20">
            <v>1</v>
          </cell>
          <cell r="G20">
            <v>1</v>
          </cell>
          <cell r="H20">
            <v>1</v>
          </cell>
          <cell r="I20">
            <v>1</v>
          </cell>
          <cell r="O20" t="str">
            <v>NEO</v>
          </cell>
          <cell r="P20">
            <v>4.99</v>
          </cell>
          <cell r="Q20">
            <v>11.98</v>
          </cell>
          <cell r="R20">
            <v>0.7</v>
          </cell>
          <cell r="S20">
            <v>0.7</v>
          </cell>
          <cell r="T20" t="str">
            <v>217-4018,</v>
          </cell>
          <cell r="U20" t="str">
            <v>217-4018,</v>
          </cell>
        </row>
        <row r="21">
          <cell r="D21" t="str">
            <v>3/8" Hex BB RS-550 -1</v>
          </cell>
          <cell r="E21">
            <v>1</v>
          </cell>
          <cell r="F21">
            <v>1</v>
          </cell>
          <cell r="G21">
            <v>1</v>
          </cell>
          <cell r="H21">
            <v>1</v>
          </cell>
          <cell r="I21">
            <v>1</v>
          </cell>
          <cell r="O21" t="str">
            <v>Falcon 500</v>
          </cell>
          <cell r="P21">
            <v>4.99</v>
          </cell>
          <cell r="Q21">
            <v>11.98</v>
          </cell>
          <cell r="R21">
            <v>0.7</v>
          </cell>
          <cell r="S21">
            <v>0.7</v>
          </cell>
          <cell r="T21" t="str">
            <v>217-4018,</v>
          </cell>
          <cell r="U21" t="str">
            <v>217-4018,</v>
          </cell>
        </row>
        <row r="22">
          <cell r="D22" t="str">
            <v>3/8" Hex BB RS-775 -1</v>
          </cell>
          <cell r="E22">
            <v>1</v>
          </cell>
          <cell r="F22">
            <v>1</v>
          </cell>
          <cell r="G22">
            <v>1</v>
          </cell>
          <cell r="H22">
            <v>1</v>
          </cell>
          <cell r="I22">
            <v>1</v>
          </cell>
        </row>
        <row r="23">
          <cell r="D23" t="str">
            <v>3/8" Hex BAG Motor -1</v>
          </cell>
          <cell r="E23">
            <v>1</v>
          </cell>
          <cell r="F23">
            <v>1</v>
          </cell>
          <cell r="G23">
            <v>1</v>
          </cell>
          <cell r="H23">
            <v>1</v>
          </cell>
          <cell r="I23">
            <v>1</v>
          </cell>
        </row>
        <row r="24">
          <cell r="D24" t="str">
            <v>3/8" Hex 775pro -1</v>
          </cell>
          <cell r="E24">
            <v>1</v>
          </cell>
          <cell r="F24">
            <v>1</v>
          </cell>
          <cell r="G24">
            <v>1</v>
          </cell>
          <cell r="H24">
            <v>1</v>
          </cell>
          <cell r="I24">
            <v>1</v>
          </cell>
        </row>
        <row r="25">
          <cell r="D25" t="str">
            <v>3/8" Hex Mini CIM -1</v>
          </cell>
          <cell r="E25">
            <v>1</v>
          </cell>
          <cell r="F25">
            <v>1</v>
          </cell>
          <cell r="G25">
            <v>1</v>
          </cell>
          <cell r="H25">
            <v>1</v>
          </cell>
          <cell r="I25">
            <v>0</v>
          </cell>
          <cell r="O25" t="str">
            <v>None</v>
          </cell>
          <cell r="P25">
            <v>0</v>
          </cell>
          <cell r="Q25">
            <v>0</v>
          </cell>
          <cell r="R25">
            <v>0</v>
          </cell>
          <cell r="S25">
            <v>0</v>
          </cell>
        </row>
        <row r="26">
          <cell r="D26" t="str">
            <v>3/8" Hex CIM -1</v>
          </cell>
          <cell r="E26">
            <v>1</v>
          </cell>
          <cell r="F26">
            <v>1</v>
          </cell>
          <cell r="G26">
            <v>1</v>
          </cell>
          <cell r="H26">
            <v>1</v>
          </cell>
          <cell r="I26">
            <v>0</v>
          </cell>
          <cell r="O26" t="str">
            <v>3 : 1</v>
          </cell>
          <cell r="P26">
            <v>24.98</v>
          </cell>
          <cell r="Q26">
            <v>16.98</v>
          </cell>
          <cell r="R26">
            <v>0.2</v>
          </cell>
          <cell r="S26">
            <v>0.18</v>
          </cell>
          <cell r="T26" t="str">
            <v>217-2816,217-2817,</v>
          </cell>
          <cell r="U26" t="str">
            <v>217-5832,217-2817,</v>
          </cell>
        </row>
        <row r="27">
          <cell r="D27" t="str">
            <v>3/8" Hex NEO -1</v>
          </cell>
          <cell r="E27">
            <v>1</v>
          </cell>
          <cell r="F27">
            <v>1</v>
          </cell>
          <cell r="G27">
            <v>1</v>
          </cell>
          <cell r="H27">
            <v>1</v>
          </cell>
          <cell r="I27">
            <v>0</v>
          </cell>
          <cell r="O27" t="str">
            <v>4 : 1</v>
          </cell>
          <cell r="P27">
            <v>24.98</v>
          </cell>
          <cell r="Q27">
            <v>16.98</v>
          </cell>
          <cell r="R27">
            <v>0.2</v>
          </cell>
          <cell r="S27">
            <v>0.18</v>
          </cell>
          <cell r="T27" t="str">
            <v>217-2816,217-2818,</v>
          </cell>
          <cell r="U27" t="str">
            <v>217-5832,217-2818,</v>
          </cell>
        </row>
        <row r="28">
          <cell r="D28" t="str">
            <v>3/8" Hex Falcon 500 -1</v>
          </cell>
          <cell r="E28">
            <v>1</v>
          </cell>
          <cell r="F28">
            <v>1</v>
          </cell>
          <cell r="G28">
            <v>1</v>
          </cell>
          <cell r="H28">
            <v>1</v>
          </cell>
          <cell r="I28">
            <v>0</v>
          </cell>
          <cell r="O28" t="str">
            <v>5 : 1</v>
          </cell>
          <cell r="P28">
            <v>24.98</v>
          </cell>
          <cell r="Q28">
            <v>16.98</v>
          </cell>
          <cell r="R28">
            <v>0.2</v>
          </cell>
          <cell r="S28">
            <v>0.18</v>
          </cell>
          <cell r="T28" t="str">
            <v>217-2816,217-2819,</v>
          </cell>
          <cell r="U28" t="str">
            <v>217-5832,217-2819,</v>
          </cell>
        </row>
        <row r="29">
          <cell r="D29" t="str">
            <v>CIM Motor AM 9015 -1</v>
          </cell>
          <cell r="E29">
            <v>1</v>
          </cell>
          <cell r="F29">
            <v>1</v>
          </cell>
          <cell r="G29">
            <v>1</v>
          </cell>
          <cell r="H29">
            <v>1</v>
          </cell>
          <cell r="I29">
            <v>1</v>
          </cell>
          <cell r="O29" t="str">
            <v>7 : 1</v>
          </cell>
          <cell r="P29">
            <v>24.98</v>
          </cell>
          <cell r="Q29">
            <v>16.98</v>
          </cell>
          <cell r="R29">
            <v>0.2</v>
          </cell>
          <cell r="S29">
            <v>0.18</v>
          </cell>
          <cell r="T29" t="str">
            <v>217-2816,217-3102,</v>
          </cell>
          <cell r="U29" t="str">
            <v>217-5832,217-3102,</v>
          </cell>
        </row>
        <row r="30">
          <cell r="D30" t="str">
            <v>CIM Motor BB RS-550 -1</v>
          </cell>
          <cell r="E30">
            <v>1</v>
          </cell>
          <cell r="F30">
            <v>1</v>
          </cell>
          <cell r="G30">
            <v>1</v>
          </cell>
          <cell r="H30">
            <v>1</v>
          </cell>
          <cell r="I30">
            <v>1</v>
          </cell>
          <cell r="O30" t="str">
            <v>9 : 1</v>
          </cell>
          <cell r="P30">
            <v>24.98</v>
          </cell>
          <cell r="Q30">
            <v>16.98</v>
          </cell>
          <cell r="R30">
            <v>0.2</v>
          </cell>
          <cell r="S30">
            <v>0.18</v>
          </cell>
          <cell r="T30" t="str">
            <v>217-2816,217-3106,</v>
          </cell>
          <cell r="U30" t="str">
            <v>217-5832,217-3106,</v>
          </cell>
        </row>
        <row r="31">
          <cell r="D31" t="str">
            <v>CIM Motor BB RS-775 -1</v>
          </cell>
          <cell r="E31">
            <v>1</v>
          </cell>
          <cell r="F31">
            <v>1</v>
          </cell>
          <cell r="G31">
            <v>1</v>
          </cell>
          <cell r="H31">
            <v>1</v>
          </cell>
          <cell r="I31">
            <v>1</v>
          </cell>
          <cell r="O31" t="str">
            <v>10 : 1</v>
          </cell>
          <cell r="P31">
            <v>24.98</v>
          </cell>
          <cell r="Q31">
            <v>16.98</v>
          </cell>
          <cell r="R31">
            <v>0.2</v>
          </cell>
          <cell r="S31">
            <v>0.18</v>
          </cell>
          <cell r="T31" t="str">
            <v>217-2816,217-2820,</v>
          </cell>
          <cell r="U31" t="str">
            <v>217-5832,217-2820,</v>
          </cell>
        </row>
        <row r="32">
          <cell r="D32" t="str">
            <v>CIM Motor BAG Motor -1</v>
          </cell>
          <cell r="E32">
            <v>1</v>
          </cell>
          <cell r="F32">
            <v>1</v>
          </cell>
          <cell r="G32">
            <v>1</v>
          </cell>
          <cell r="H32">
            <v>1</v>
          </cell>
          <cell r="I32">
            <v>1</v>
          </cell>
        </row>
        <row r="33">
          <cell r="D33" t="str">
            <v>CIM Motor 775pro -1</v>
          </cell>
          <cell r="E33">
            <v>1</v>
          </cell>
          <cell r="F33">
            <v>1</v>
          </cell>
          <cell r="G33">
            <v>1</v>
          </cell>
          <cell r="H33">
            <v>1</v>
          </cell>
          <cell r="I33">
            <v>1</v>
          </cell>
        </row>
        <row r="34">
          <cell r="D34" t="str">
            <v>CIM Motor Mini CIM -1</v>
          </cell>
          <cell r="E34">
            <v>1</v>
          </cell>
          <cell r="F34">
            <v>1</v>
          </cell>
          <cell r="G34">
            <v>1</v>
          </cell>
          <cell r="H34">
            <v>1</v>
          </cell>
          <cell r="I34">
            <v>0</v>
          </cell>
        </row>
        <row r="35">
          <cell r="D35" t="str">
            <v>CIM Motor CIM -1</v>
          </cell>
          <cell r="E35">
            <v>1</v>
          </cell>
          <cell r="F35">
            <v>1</v>
          </cell>
          <cell r="G35">
            <v>1</v>
          </cell>
          <cell r="H35">
            <v>1</v>
          </cell>
          <cell r="I35">
            <v>0</v>
          </cell>
          <cell r="O35" t="str">
            <v>None</v>
          </cell>
          <cell r="P35">
            <v>0</v>
          </cell>
          <cell r="R35">
            <v>0</v>
          </cell>
        </row>
        <row r="36">
          <cell r="D36" t="str">
            <v>CIM Motor NEO -1</v>
          </cell>
          <cell r="E36">
            <v>1</v>
          </cell>
          <cell r="F36">
            <v>1</v>
          </cell>
          <cell r="G36">
            <v>1</v>
          </cell>
          <cell r="H36">
            <v>1</v>
          </cell>
          <cell r="I36">
            <v>0</v>
          </cell>
          <cell r="O36" t="str">
            <v>DM Nyl 1:1</v>
          </cell>
          <cell r="P36">
            <v>41.97</v>
          </cell>
          <cell r="R36">
            <v>0.31</v>
          </cell>
          <cell r="T36" t="str">
            <v>217-6342,217-2701,217-6432,</v>
          </cell>
          <cell r="U36" t="str">
            <v>217-6342,217-2701,217-6432,</v>
          </cell>
          <cell r="V36" t="str">
            <v>217-6342,217-2701,217-6432,</v>
          </cell>
        </row>
        <row r="37">
          <cell r="D37" t="str">
            <v>CIM Motor Falcon 500 -1</v>
          </cell>
          <cell r="E37">
            <v>1</v>
          </cell>
          <cell r="F37">
            <v>1</v>
          </cell>
          <cell r="G37">
            <v>1</v>
          </cell>
          <cell r="H37">
            <v>1</v>
          </cell>
          <cell r="I37">
            <v>0</v>
          </cell>
          <cell r="O37" t="str">
            <v>DM Nyl 3.75:1</v>
          </cell>
          <cell r="P37">
            <v>42.97</v>
          </cell>
          <cell r="R37">
            <v>0.31</v>
          </cell>
          <cell r="T37" t="str">
            <v>217-6342,217-3210,217-6367,</v>
          </cell>
          <cell r="U37" t="str">
            <v>217-6342,217-3210,217-6362,</v>
          </cell>
          <cell r="V37" t="str">
            <v>217-6342,217-3210,217-6368,</v>
          </cell>
        </row>
        <row r="38">
          <cell r="D38" t="str">
            <v>Female AM 9015 -1</v>
          </cell>
          <cell r="E38">
            <v>1</v>
          </cell>
          <cell r="F38">
            <v>1</v>
          </cell>
          <cell r="G38">
            <v>1</v>
          </cell>
          <cell r="H38">
            <v>1</v>
          </cell>
          <cell r="I38">
            <v>1</v>
          </cell>
          <cell r="O38" t="str">
            <v>DM Nyl 5.33:1</v>
          </cell>
          <cell r="P38">
            <v>42.97</v>
          </cell>
          <cell r="R38">
            <v>0.31</v>
          </cell>
          <cell r="T38" t="str">
            <v>217-6342,217-5455,217-6333,</v>
          </cell>
          <cell r="U38" t="str">
            <v>217-6342,217-5455,217-6285,</v>
          </cell>
          <cell r="V38" t="str">
            <v>217-6342,217-5455,217-6339,</v>
          </cell>
        </row>
        <row r="39">
          <cell r="D39" t="str">
            <v>Female BB RS-550 -1</v>
          </cell>
          <cell r="E39">
            <v>1</v>
          </cell>
          <cell r="F39">
            <v>1</v>
          </cell>
          <cell r="G39">
            <v>1</v>
          </cell>
          <cell r="H39">
            <v>1</v>
          </cell>
          <cell r="I39">
            <v>1</v>
          </cell>
          <cell r="O39" t="str">
            <v>DM Al 1:1</v>
          </cell>
          <cell r="P39">
            <v>56.97</v>
          </cell>
          <cell r="R39">
            <v>0.34</v>
          </cell>
          <cell r="T39" t="str">
            <v>217-6417,217-2701,217-6432,</v>
          </cell>
          <cell r="U39" t="str">
            <v>217-6417,217-2701,217-6432,</v>
          </cell>
          <cell r="V39" t="str">
            <v>217-6417,217-2701,217-6432,</v>
          </cell>
        </row>
        <row r="40">
          <cell r="D40" t="str">
            <v>Female BB RS-775 -1</v>
          </cell>
          <cell r="E40">
            <v>1</v>
          </cell>
          <cell r="F40">
            <v>1</v>
          </cell>
          <cell r="G40">
            <v>1</v>
          </cell>
          <cell r="H40">
            <v>1</v>
          </cell>
          <cell r="I40">
            <v>1</v>
          </cell>
          <cell r="O40" t="str">
            <v>DM Al 3.75:1</v>
          </cell>
          <cell r="P40">
            <v>57.97</v>
          </cell>
          <cell r="R40">
            <v>0.34</v>
          </cell>
          <cell r="T40" t="str">
            <v>217-6417,217-3210,217-6367,</v>
          </cell>
          <cell r="U40" t="str">
            <v>217-6417,217-3210,217-6362,</v>
          </cell>
          <cell r="V40" t="str">
            <v>217-6417,217-3210,217-6368,</v>
          </cell>
        </row>
        <row r="41">
          <cell r="D41" t="str">
            <v>Female BAG Motor -1</v>
          </cell>
          <cell r="E41">
            <v>1</v>
          </cell>
          <cell r="F41">
            <v>1</v>
          </cell>
          <cell r="G41">
            <v>1</v>
          </cell>
          <cell r="H41">
            <v>1</v>
          </cell>
          <cell r="I41">
            <v>1</v>
          </cell>
          <cell r="O41" t="str">
            <v>DM Al 5.33:1</v>
          </cell>
          <cell r="P41">
            <v>57.97</v>
          </cell>
          <cell r="R41">
            <v>0.34</v>
          </cell>
          <cell r="T41" t="str">
            <v>217-6417,217-5455,217-6333,</v>
          </cell>
          <cell r="U41" t="str">
            <v>217-6417,217-5455,217-6285,</v>
          </cell>
          <cell r="V41" t="str">
            <v>217-6417,217-5455,217-6339,</v>
          </cell>
        </row>
        <row r="42">
          <cell r="D42" t="str">
            <v>Female 775pro -1</v>
          </cell>
          <cell r="E42">
            <v>1</v>
          </cell>
          <cell r="F42">
            <v>1</v>
          </cell>
          <cell r="G42">
            <v>1</v>
          </cell>
          <cell r="H42">
            <v>1</v>
          </cell>
          <cell r="I42">
            <v>1</v>
          </cell>
          <cell r="O42" t="str">
            <v>Dual Motor</v>
          </cell>
          <cell r="P42">
            <v>14.98</v>
          </cell>
          <cell r="R42">
            <v>0.2</v>
          </cell>
          <cell r="T42" t="str">
            <v>217-3141,</v>
          </cell>
        </row>
        <row r="43">
          <cell r="D43" t="str">
            <v>Female Mini CIM -1</v>
          </cell>
          <cell r="E43">
            <v>1</v>
          </cell>
          <cell r="F43">
            <v>1</v>
          </cell>
          <cell r="G43">
            <v>1</v>
          </cell>
          <cell r="H43">
            <v>1</v>
          </cell>
          <cell r="I43">
            <v>0</v>
          </cell>
        </row>
        <row r="44">
          <cell r="D44" t="str">
            <v>Female CIM -1</v>
          </cell>
          <cell r="E44">
            <v>1</v>
          </cell>
          <cell r="F44">
            <v>1</v>
          </cell>
          <cell r="G44">
            <v>1</v>
          </cell>
          <cell r="H44">
            <v>1</v>
          </cell>
          <cell r="I44">
            <v>0</v>
          </cell>
        </row>
        <row r="45">
          <cell r="D45" t="str">
            <v>Female NEO -1</v>
          </cell>
          <cell r="E45">
            <v>1</v>
          </cell>
          <cell r="F45">
            <v>1</v>
          </cell>
          <cell r="G45">
            <v>1</v>
          </cell>
          <cell r="H45">
            <v>1</v>
          </cell>
          <cell r="I45">
            <v>0</v>
          </cell>
        </row>
        <row r="46">
          <cell r="D46" t="str">
            <v>Female Falcon 500 -1</v>
          </cell>
          <cell r="E46">
            <v>1</v>
          </cell>
          <cell r="F46">
            <v>1</v>
          </cell>
          <cell r="G46">
            <v>1</v>
          </cell>
          <cell r="H46">
            <v>1</v>
          </cell>
          <cell r="I46">
            <v>0</v>
          </cell>
          <cell r="O46" t="str">
            <v>Yes</v>
          </cell>
          <cell r="P46">
            <v>67.95</v>
          </cell>
          <cell r="R46">
            <v>0.28000000000000003</v>
          </cell>
          <cell r="T46" t="str">
            <v>217-6011,217-6043,217-5882,217-5875,217-5870,</v>
          </cell>
          <cell r="U46" t="str">
            <v>217-6011,217-6043,217-5882,217-5875,217-5871,</v>
          </cell>
          <cell r="V46" t="str">
            <v>217-6011,217-6043,217-5882,217-5875,217-5872,</v>
          </cell>
        </row>
        <row r="47">
          <cell r="D47" t="str">
            <v>1/2" Hex AM 9015 -3</v>
          </cell>
          <cell r="E47">
            <v>1</v>
          </cell>
          <cell r="I47">
            <v>1</v>
          </cell>
          <cell r="O47" t="str">
            <v>No</v>
          </cell>
          <cell r="P47">
            <v>0</v>
          </cell>
          <cell r="R47">
            <v>0</v>
          </cell>
        </row>
        <row r="48">
          <cell r="D48" t="str">
            <v>1/2" Hex AM 9015 -4</v>
          </cell>
          <cell r="E48">
            <v>1</v>
          </cell>
          <cell r="I48">
            <v>1</v>
          </cell>
        </row>
        <row r="49">
          <cell r="D49" t="str">
            <v>1/2" Hex AM 9015 -5</v>
          </cell>
          <cell r="E49">
            <v>1</v>
          </cell>
          <cell r="I49">
            <v>1</v>
          </cell>
        </row>
        <row r="50">
          <cell r="D50" t="str">
            <v>1/2" Hex AM 9015 -7</v>
          </cell>
          <cell r="E50">
            <v>1</v>
          </cell>
          <cell r="I50">
            <v>1</v>
          </cell>
        </row>
        <row r="51">
          <cell r="D51" t="str">
            <v>1/2" Hex AM 9015 -9</v>
          </cell>
          <cell r="E51">
            <v>1</v>
          </cell>
          <cell r="I51">
            <v>1</v>
          </cell>
          <cell r="O51" t="str">
            <v>Yes</v>
          </cell>
          <cell r="P51">
            <v>84.99</v>
          </cell>
          <cell r="R51">
            <v>0.57999999999999996</v>
          </cell>
          <cell r="T51" t="str">
            <v>217-6293,</v>
          </cell>
        </row>
        <row r="52">
          <cell r="D52" t="str">
            <v>1/2" Hex AM 9015 -10</v>
          </cell>
          <cell r="E52">
            <v>1</v>
          </cell>
          <cell r="I52">
            <v>1</v>
          </cell>
          <cell r="O52" t="str">
            <v>No</v>
          </cell>
          <cell r="P52">
            <v>0</v>
          </cell>
          <cell r="R52">
            <v>0</v>
          </cell>
        </row>
        <row r="53">
          <cell r="D53" t="str">
            <v>1/2" Hex AM 9015 9</v>
          </cell>
          <cell r="E53">
            <v>10</v>
          </cell>
          <cell r="I53">
            <v>10</v>
          </cell>
        </row>
        <row r="54">
          <cell r="D54" t="str">
            <v>1/2" Hex AM 9015 12</v>
          </cell>
          <cell r="E54">
            <v>10</v>
          </cell>
          <cell r="I54">
            <v>7</v>
          </cell>
        </row>
        <row r="55">
          <cell r="D55" t="str">
            <v>1/2" Hex AM 9015 15</v>
          </cell>
          <cell r="E55">
            <v>10</v>
          </cell>
          <cell r="I55">
            <v>5</v>
          </cell>
        </row>
        <row r="56">
          <cell r="D56" t="str">
            <v>1/2" Hex AM 9015 16</v>
          </cell>
          <cell r="E56">
            <v>10</v>
          </cell>
          <cell r="I56">
            <v>5</v>
          </cell>
          <cell r="O56" t="str">
            <v>Yes</v>
          </cell>
          <cell r="P56">
            <v>14.99</v>
          </cell>
          <cell r="R56">
            <v>0.14000000000000001</v>
          </cell>
          <cell r="T56" t="str">
            <v>217-6048,</v>
          </cell>
        </row>
        <row r="57">
          <cell r="D57" t="str">
            <v>1/2" Hex AM 9015 20</v>
          </cell>
          <cell r="E57">
            <v>10</v>
          </cell>
          <cell r="I57">
            <v>4</v>
          </cell>
          <cell r="O57" t="str">
            <v>No</v>
          </cell>
          <cell r="P57">
            <v>0</v>
          </cell>
          <cell r="R57">
            <v>0</v>
          </cell>
        </row>
        <row r="58">
          <cell r="D58" t="str">
            <v>1/2" Hex AM 9015 21</v>
          </cell>
          <cell r="E58">
            <v>10</v>
          </cell>
          <cell r="I58">
            <v>4</v>
          </cell>
        </row>
        <row r="59">
          <cell r="D59" t="str">
            <v>1/2" Hex AM 9015 25</v>
          </cell>
          <cell r="E59">
            <v>7</v>
          </cell>
          <cell r="I59">
            <v>3</v>
          </cell>
        </row>
        <row r="60">
          <cell r="D60" t="str">
            <v>1/2" Hex AM 9015 27</v>
          </cell>
          <cell r="E60">
            <v>7</v>
          </cell>
          <cell r="I60">
            <v>3</v>
          </cell>
          <cell r="O60" t="str">
            <v>Yes</v>
          </cell>
          <cell r="P60">
            <v>49.99</v>
          </cell>
          <cell r="R60">
            <v>0.08</v>
          </cell>
          <cell r="T60" t="str">
            <v>217-5046,</v>
          </cell>
        </row>
        <row r="61">
          <cell r="D61" t="str">
            <v>1/2" Hex AM 9015 28</v>
          </cell>
          <cell r="E61">
            <v>7</v>
          </cell>
          <cell r="I61">
            <v>3</v>
          </cell>
          <cell r="O61" t="str">
            <v>No</v>
          </cell>
          <cell r="P61">
            <v>0</v>
          </cell>
          <cell r="R61">
            <v>0</v>
          </cell>
        </row>
        <row r="62">
          <cell r="D62" t="str">
            <v>1/2" Hex AM 9015 30</v>
          </cell>
          <cell r="E62">
            <v>7</v>
          </cell>
          <cell r="I62">
            <v>3</v>
          </cell>
        </row>
        <row r="63">
          <cell r="D63" t="str">
            <v>1/2" Hex AM 9015 35</v>
          </cell>
          <cell r="E63">
            <v>5</v>
          </cell>
          <cell r="I63">
            <v>1</v>
          </cell>
        </row>
        <row r="64">
          <cell r="D64" t="str">
            <v>1/2" Hex AM 9015 36</v>
          </cell>
          <cell r="E64">
            <v>5</v>
          </cell>
          <cell r="I64">
            <v>1</v>
          </cell>
        </row>
        <row r="65">
          <cell r="D65" t="str">
            <v>1/2" Hex AM 9015 40</v>
          </cell>
          <cell r="E65">
            <v>5</v>
          </cell>
          <cell r="I65">
            <v>1</v>
          </cell>
        </row>
        <row r="66">
          <cell r="D66" t="str">
            <v>1/2" Hex AM 9015 45</v>
          </cell>
          <cell r="E66">
            <v>5</v>
          </cell>
          <cell r="I66">
            <v>1</v>
          </cell>
        </row>
        <row r="67">
          <cell r="D67" t="str">
            <v>1/2" Hex AM 9015 49</v>
          </cell>
          <cell r="E67">
            <v>5</v>
          </cell>
          <cell r="I67">
            <v>1</v>
          </cell>
        </row>
        <row r="68">
          <cell r="D68" t="str">
            <v>1/2" Hex AM 9015 50</v>
          </cell>
          <cell r="E68">
            <v>5</v>
          </cell>
          <cell r="I68">
            <v>1</v>
          </cell>
        </row>
        <row r="69">
          <cell r="D69" t="str">
            <v>1/2" Hex AM 9015 63</v>
          </cell>
          <cell r="E69">
            <v>5</v>
          </cell>
          <cell r="I69">
            <v>1</v>
          </cell>
        </row>
        <row r="70">
          <cell r="D70" t="str">
            <v>1/2" Hex AM 9015 70</v>
          </cell>
          <cell r="E70">
            <v>4</v>
          </cell>
          <cell r="I70">
            <v>1</v>
          </cell>
        </row>
        <row r="71">
          <cell r="D71" t="str">
            <v>1/2" Hex AM 9015 81</v>
          </cell>
          <cell r="E71">
            <v>4</v>
          </cell>
          <cell r="I71">
            <v>1</v>
          </cell>
        </row>
        <row r="72">
          <cell r="D72" t="str">
            <v>1/2" Hex AM 9015 90</v>
          </cell>
          <cell r="E72">
            <v>3</v>
          </cell>
          <cell r="I72">
            <v>1</v>
          </cell>
        </row>
        <row r="73">
          <cell r="D73" t="str">
            <v>1/2" Hex AM 9015 100</v>
          </cell>
          <cell r="E73">
            <v>3</v>
          </cell>
          <cell r="I73">
            <v>0</v>
          </cell>
        </row>
        <row r="74">
          <cell r="D74" t="str">
            <v>1/2" Hex BB RS-550 -3</v>
          </cell>
          <cell r="E74">
            <v>1</v>
          </cell>
          <cell r="F74">
            <v>1</v>
          </cell>
          <cell r="G74">
            <v>1</v>
          </cell>
          <cell r="H74">
            <v>1</v>
          </cell>
          <cell r="I74">
            <v>1</v>
          </cell>
        </row>
        <row r="75">
          <cell r="D75" t="str">
            <v>1/2" Hex BB RS-550 -4</v>
          </cell>
          <cell r="E75">
            <v>1</v>
          </cell>
          <cell r="F75">
            <v>1</v>
          </cell>
          <cell r="G75">
            <v>1</v>
          </cell>
          <cell r="H75">
            <v>1</v>
          </cell>
          <cell r="I75">
            <v>1</v>
          </cell>
        </row>
        <row r="76">
          <cell r="D76" t="str">
            <v>1/2" Hex BB RS-550 -5</v>
          </cell>
          <cell r="E76">
            <v>1</v>
          </cell>
          <cell r="F76">
            <v>1</v>
          </cell>
          <cell r="G76">
            <v>1</v>
          </cell>
          <cell r="H76">
            <v>1</v>
          </cell>
          <cell r="I76">
            <v>1</v>
          </cell>
        </row>
        <row r="77">
          <cell r="D77" t="str">
            <v>1/2" Hex BB RS-550 -7</v>
          </cell>
          <cell r="E77">
            <v>1</v>
          </cell>
          <cell r="F77">
            <v>1</v>
          </cell>
          <cell r="G77">
            <v>1</v>
          </cell>
          <cell r="H77">
            <v>0</v>
          </cell>
          <cell r="I77">
            <v>1</v>
          </cell>
        </row>
        <row r="78">
          <cell r="D78" t="str">
            <v>1/2" Hex BB RS-550 -9</v>
          </cell>
          <cell r="E78">
            <v>1</v>
          </cell>
          <cell r="F78">
            <v>1</v>
          </cell>
          <cell r="G78">
            <v>0</v>
          </cell>
          <cell r="H78">
            <v>0</v>
          </cell>
          <cell r="I78">
            <v>1</v>
          </cell>
        </row>
        <row r="79">
          <cell r="D79" t="str">
            <v>1/2" Hex BB RS-550 -10</v>
          </cell>
          <cell r="E79">
            <v>1</v>
          </cell>
          <cell r="F79">
            <v>1</v>
          </cell>
          <cell r="G79">
            <v>0</v>
          </cell>
          <cell r="H79">
            <v>0</v>
          </cell>
          <cell r="I79">
            <v>1</v>
          </cell>
        </row>
        <row r="80">
          <cell r="D80" t="str">
            <v>1/2" Hex BB RS-550 9</v>
          </cell>
          <cell r="E80">
            <v>10</v>
          </cell>
          <cell r="F80">
            <v>10</v>
          </cell>
          <cell r="G80">
            <v>1</v>
          </cell>
          <cell r="H80">
            <v>0</v>
          </cell>
          <cell r="I80">
            <v>10</v>
          </cell>
        </row>
        <row r="81">
          <cell r="D81" t="str">
            <v>1/2" Hex BB RS-550 12</v>
          </cell>
          <cell r="E81">
            <v>10</v>
          </cell>
          <cell r="F81">
            <v>7</v>
          </cell>
          <cell r="G81">
            <v>0</v>
          </cell>
          <cell r="H81">
            <v>0</v>
          </cell>
          <cell r="I81">
            <v>7</v>
          </cell>
        </row>
        <row r="82">
          <cell r="D82" t="str">
            <v>1/2" Hex BB RS-550 15</v>
          </cell>
          <cell r="E82">
            <v>10</v>
          </cell>
          <cell r="F82">
            <v>5</v>
          </cell>
          <cell r="G82">
            <v>0</v>
          </cell>
          <cell r="H82">
            <v>0</v>
          </cell>
          <cell r="I82">
            <v>5</v>
          </cell>
        </row>
        <row r="83">
          <cell r="D83" t="str">
            <v>1/2" Hex BB RS-550 16</v>
          </cell>
          <cell r="E83">
            <v>10</v>
          </cell>
          <cell r="F83">
            <v>5</v>
          </cell>
          <cell r="G83">
            <v>0</v>
          </cell>
          <cell r="H83">
            <v>0</v>
          </cell>
          <cell r="I83">
            <v>5</v>
          </cell>
        </row>
        <row r="84">
          <cell r="D84" t="str">
            <v>1/2" Hex BB RS-550 20</v>
          </cell>
          <cell r="E84">
            <v>9</v>
          </cell>
          <cell r="F84">
            <v>5</v>
          </cell>
          <cell r="G84">
            <v>0</v>
          </cell>
          <cell r="H84">
            <v>0</v>
          </cell>
          <cell r="I84">
            <v>4</v>
          </cell>
        </row>
        <row r="85">
          <cell r="D85" t="str">
            <v>1/2" Hex BB RS-550 21</v>
          </cell>
          <cell r="E85">
            <v>9</v>
          </cell>
          <cell r="F85">
            <v>5</v>
          </cell>
          <cell r="G85">
            <v>0</v>
          </cell>
          <cell r="H85">
            <v>0</v>
          </cell>
          <cell r="I85">
            <v>4</v>
          </cell>
        </row>
        <row r="86">
          <cell r="D86" t="str">
            <v>1/2" Hex BB RS-550 25</v>
          </cell>
          <cell r="E86">
            <v>7</v>
          </cell>
          <cell r="F86">
            <v>5</v>
          </cell>
          <cell r="G86">
            <v>0</v>
          </cell>
          <cell r="H86">
            <v>0</v>
          </cell>
          <cell r="I86">
            <v>3</v>
          </cell>
        </row>
        <row r="87">
          <cell r="D87" t="str">
            <v>1/2" Hex BB RS-550 27</v>
          </cell>
          <cell r="E87">
            <v>7</v>
          </cell>
          <cell r="F87">
            <v>5</v>
          </cell>
          <cell r="G87">
            <v>0</v>
          </cell>
          <cell r="H87">
            <v>0</v>
          </cell>
          <cell r="I87">
            <v>3</v>
          </cell>
        </row>
        <row r="88">
          <cell r="D88" t="str">
            <v>1/2" Hex BB RS-550 28</v>
          </cell>
          <cell r="E88">
            <v>7</v>
          </cell>
          <cell r="F88">
            <v>5</v>
          </cell>
          <cell r="G88">
            <v>0</v>
          </cell>
          <cell r="H88">
            <v>0</v>
          </cell>
          <cell r="I88">
            <v>3</v>
          </cell>
        </row>
        <row r="89">
          <cell r="D89" t="str">
            <v>1/2" Hex BB RS-550 30</v>
          </cell>
          <cell r="E89">
            <v>5</v>
          </cell>
          <cell r="F89">
            <v>5</v>
          </cell>
          <cell r="G89">
            <v>0</v>
          </cell>
          <cell r="H89">
            <v>0</v>
          </cell>
          <cell r="I89">
            <v>3</v>
          </cell>
        </row>
        <row r="90">
          <cell r="D90" t="str">
            <v>1/2" Hex BB RS-550 35</v>
          </cell>
          <cell r="E90">
            <v>5</v>
          </cell>
          <cell r="F90">
            <v>4</v>
          </cell>
          <cell r="G90">
            <v>0</v>
          </cell>
          <cell r="H90">
            <v>0</v>
          </cell>
          <cell r="I90">
            <v>1</v>
          </cell>
        </row>
        <row r="91">
          <cell r="D91" t="str">
            <v>1/2" Hex BB RS-550 36</v>
          </cell>
          <cell r="E91">
            <v>5</v>
          </cell>
          <cell r="F91">
            <v>4</v>
          </cell>
          <cell r="G91">
            <v>0</v>
          </cell>
          <cell r="H91">
            <v>0</v>
          </cell>
          <cell r="I91">
            <v>1</v>
          </cell>
        </row>
        <row r="92">
          <cell r="D92" t="str">
            <v>1/2" Hex BB RS-550 40</v>
          </cell>
          <cell r="E92">
            <v>5</v>
          </cell>
          <cell r="F92">
            <v>3</v>
          </cell>
          <cell r="G92">
            <v>0</v>
          </cell>
          <cell r="H92">
            <v>0</v>
          </cell>
          <cell r="I92">
            <v>5</v>
          </cell>
        </row>
        <row r="93">
          <cell r="D93" t="str">
            <v>1/2" Hex BB RS-550 45</v>
          </cell>
          <cell r="E93">
            <v>5</v>
          </cell>
          <cell r="F93">
            <v>3</v>
          </cell>
          <cell r="G93">
            <v>0</v>
          </cell>
          <cell r="H93">
            <v>0</v>
          </cell>
          <cell r="I93">
            <v>4</v>
          </cell>
        </row>
        <row r="94">
          <cell r="D94" t="str">
            <v>1/2" Hex BB RS-550 49</v>
          </cell>
          <cell r="E94">
            <v>5</v>
          </cell>
          <cell r="F94">
            <v>3</v>
          </cell>
          <cell r="G94">
            <v>0</v>
          </cell>
          <cell r="H94">
            <v>0</v>
          </cell>
          <cell r="I94">
            <v>4</v>
          </cell>
        </row>
        <row r="95">
          <cell r="D95" t="str">
            <v>1/2" Hex BB RS-550 50</v>
          </cell>
          <cell r="E95">
            <v>5</v>
          </cell>
          <cell r="F95">
            <v>3</v>
          </cell>
          <cell r="G95">
            <v>0</v>
          </cell>
          <cell r="H95">
            <v>0</v>
          </cell>
          <cell r="I95">
            <v>1</v>
          </cell>
        </row>
        <row r="96">
          <cell r="D96" t="str">
            <v>1/2" Hex BB RS-550 63</v>
          </cell>
          <cell r="E96">
            <v>4</v>
          </cell>
          <cell r="F96">
            <v>1</v>
          </cell>
          <cell r="G96">
            <v>0</v>
          </cell>
          <cell r="H96">
            <v>0</v>
          </cell>
          <cell r="I96">
            <v>1</v>
          </cell>
        </row>
        <row r="97">
          <cell r="D97" t="str">
            <v>1/2" Hex BB RS-550 70</v>
          </cell>
          <cell r="E97">
            <v>4</v>
          </cell>
          <cell r="F97">
            <v>1</v>
          </cell>
          <cell r="G97">
            <v>0</v>
          </cell>
          <cell r="H97">
            <v>0</v>
          </cell>
          <cell r="I97">
            <v>1</v>
          </cell>
        </row>
        <row r="98">
          <cell r="D98" t="str">
            <v>1/2" Hex BB RS-550 81</v>
          </cell>
          <cell r="E98">
            <v>3</v>
          </cell>
          <cell r="F98">
            <v>1</v>
          </cell>
          <cell r="G98">
            <v>0</v>
          </cell>
          <cell r="H98">
            <v>0</v>
          </cell>
          <cell r="I98">
            <v>1</v>
          </cell>
        </row>
        <row r="99">
          <cell r="D99" t="str">
            <v>1/2" Hex BB RS-550 90</v>
          </cell>
          <cell r="E99">
            <v>3</v>
          </cell>
          <cell r="F99">
            <v>1</v>
          </cell>
          <cell r="G99">
            <v>0</v>
          </cell>
          <cell r="H99">
            <v>0</v>
          </cell>
          <cell r="I99">
            <v>1</v>
          </cell>
        </row>
        <row r="100">
          <cell r="D100" t="str">
            <v>1/2" Hex BB RS-550 100</v>
          </cell>
          <cell r="E100">
            <v>3</v>
          </cell>
          <cell r="F100">
            <v>0</v>
          </cell>
          <cell r="G100">
            <v>0</v>
          </cell>
          <cell r="H100">
            <v>0</v>
          </cell>
          <cell r="I100">
            <v>0</v>
          </cell>
        </row>
        <row r="101">
          <cell r="D101" t="str">
            <v>1/2" Hex BB RS-775 -3</v>
          </cell>
          <cell r="E101">
            <v>1</v>
          </cell>
          <cell r="F101">
            <v>1</v>
          </cell>
          <cell r="G101">
            <v>1</v>
          </cell>
          <cell r="H101">
            <v>0</v>
          </cell>
          <cell r="I101">
            <v>1</v>
          </cell>
        </row>
        <row r="102">
          <cell r="D102" t="str">
            <v>1/2" Hex BB RS-775 -4</v>
          </cell>
          <cell r="E102">
            <v>1</v>
          </cell>
          <cell r="F102">
            <v>1</v>
          </cell>
          <cell r="G102">
            <v>1</v>
          </cell>
          <cell r="H102">
            <v>0</v>
          </cell>
          <cell r="I102">
            <v>1</v>
          </cell>
        </row>
        <row r="103">
          <cell r="D103" t="str">
            <v>1/2" Hex BB RS-775 -5</v>
          </cell>
          <cell r="E103">
            <v>1</v>
          </cell>
          <cell r="F103">
            <v>1</v>
          </cell>
          <cell r="G103">
            <v>1</v>
          </cell>
          <cell r="H103">
            <v>0</v>
          </cell>
          <cell r="I103">
            <v>1</v>
          </cell>
        </row>
        <row r="104">
          <cell r="D104" t="str">
            <v>1/2" Hex BB RS-775 -7</v>
          </cell>
          <cell r="E104">
            <v>1</v>
          </cell>
          <cell r="F104">
            <v>1</v>
          </cell>
          <cell r="G104">
            <v>0</v>
          </cell>
          <cell r="H104">
            <v>0</v>
          </cell>
          <cell r="I104">
            <v>1</v>
          </cell>
        </row>
        <row r="105">
          <cell r="D105" t="str">
            <v>1/2" Hex BB RS-775 -9</v>
          </cell>
          <cell r="E105">
            <v>1</v>
          </cell>
          <cell r="F105">
            <v>1</v>
          </cell>
          <cell r="G105">
            <v>0</v>
          </cell>
          <cell r="H105">
            <v>0</v>
          </cell>
          <cell r="I105">
            <v>1</v>
          </cell>
        </row>
        <row r="106">
          <cell r="D106" t="str">
            <v>1/2" Hex BB RS-775 -10</v>
          </cell>
          <cell r="E106">
            <v>1</v>
          </cell>
          <cell r="F106">
            <v>1</v>
          </cell>
          <cell r="G106">
            <v>0</v>
          </cell>
          <cell r="H106">
            <v>0</v>
          </cell>
          <cell r="I106">
            <v>1</v>
          </cell>
        </row>
        <row r="107">
          <cell r="D107" t="str">
            <v>1/2" Hex BB RS-775 9</v>
          </cell>
          <cell r="E107">
            <v>10</v>
          </cell>
          <cell r="F107">
            <v>5</v>
          </cell>
          <cell r="G107">
            <v>0</v>
          </cell>
          <cell r="H107">
            <v>0</v>
          </cell>
          <cell r="I107">
            <v>10</v>
          </cell>
        </row>
        <row r="108">
          <cell r="D108" t="str">
            <v>1/2" Hex BB RS-775 12</v>
          </cell>
          <cell r="E108">
            <v>10</v>
          </cell>
          <cell r="F108">
            <v>5</v>
          </cell>
          <cell r="G108">
            <v>0</v>
          </cell>
          <cell r="H108">
            <v>0</v>
          </cell>
          <cell r="I108">
            <v>10</v>
          </cell>
        </row>
        <row r="109">
          <cell r="D109" t="str">
            <v>1/2" Hex BB RS-775 15</v>
          </cell>
          <cell r="E109">
            <v>10</v>
          </cell>
          <cell r="F109">
            <v>5</v>
          </cell>
          <cell r="G109">
            <v>0</v>
          </cell>
          <cell r="H109">
            <v>0</v>
          </cell>
          <cell r="I109">
            <v>7</v>
          </cell>
        </row>
        <row r="110">
          <cell r="D110" t="str">
            <v>1/2" Hex BB RS-775 16</v>
          </cell>
          <cell r="E110">
            <v>10</v>
          </cell>
          <cell r="F110">
            <v>5</v>
          </cell>
          <cell r="G110">
            <v>0</v>
          </cell>
          <cell r="H110">
            <v>0</v>
          </cell>
          <cell r="I110">
            <v>7</v>
          </cell>
        </row>
        <row r="111">
          <cell r="D111" t="str">
            <v>1/2" Hex BB RS-775 20</v>
          </cell>
          <cell r="E111">
            <v>10</v>
          </cell>
          <cell r="F111">
            <v>4</v>
          </cell>
          <cell r="G111">
            <v>0</v>
          </cell>
          <cell r="H111">
            <v>0</v>
          </cell>
          <cell r="I111">
            <v>5</v>
          </cell>
        </row>
        <row r="112">
          <cell r="D112" t="str">
            <v>1/2" Hex BB RS-775 21</v>
          </cell>
          <cell r="E112">
            <v>10</v>
          </cell>
          <cell r="F112">
            <v>4</v>
          </cell>
          <cell r="G112">
            <v>0</v>
          </cell>
          <cell r="H112">
            <v>0</v>
          </cell>
          <cell r="I112">
            <v>5</v>
          </cell>
        </row>
        <row r="113">
          <cell r="D113" t="str">
            <v>1/2" Hex BB RS-775 25</v>
          </cell>
          <cell r="E113">
            <v>7</v>
          </cell>
          <cell r="F113">
            <v>3</v>
          </cell>
          <cell r="G113">
            <v>0</v>
          </cell>
          <cell r="H113">
            <v>0</v>
          </cell>
          <cell r="I113">
            <v>5</v>
          </cell>
        </row>
        <row r="114">
          <cell r="D114" t="str">
            <v>1/2" Hex BB RS-775 27</v>
          </cell>
          <cell r="E114">
            <v>7</v>
          </cell>
          <cell r="F114">
            <v>3</v>
          </cell>
          <cell r="G114">
            <v>0</v>
          </cell>
          <cell r="H114">
            <v>0</v>
          </cell>
          <cell r="I114">
            <v>4</v>
          </cell>
        </row>
        <row r="115">
          <cell r="D115" t="str">
            <v>1/2" Hex BB RS-775 28</v>
          </cell>
          <cell r="E115">
            <v>7</v>
          </cell>
          <cell r="F115">
            <v>3</v>
          </cell>
          <cell r="G115">
            <v>0</v>
          </cell>
          <cell r="H115">
            <v>0</v>
          </cell>
          <cell r="I115">
            <v>4</v>
          </cell>
        </row>
        <row r="116">
          <cell r="D116" t="str">
            <v>1/2" Hex BB RS-775 30</v>
          </cell>
          <cell r="E116">
            <v>7</v>
          </cell>
          <cell r="F116">
            <v>3</v>
          </cell>
          <cell r="G116">
            <v>0</v>
          </cell>
          <cell r="H116">
            <v>0</v>
          </cell>
          <cell r="I116">
            <v>4</v>
          </cell>
        </row>
        <row r="117">
          <cell r="D117" t="str">
            <v>1/2" Hex BB RS-775 35</v>
          </cell>
          <cell r="E117">
            <v>5</v>
          </cell>
          <cell r="F117">
            <v>1</v>
          </cell>
          <cell r="G117">
            <v>0</v>
          </cell>
          <cell r="H117">
            <v>0</v>
          </cell>
          <cell r="I117">
            <v>3</v>
          </cell>
        </row>
        <row r="118">
          <cell r="D118" t="str">
            <v>1/2" Hex BB RS-775 36</v>
          </cell>
          <cell r="E118">
            <v>5</v>
          </cell>
          <cell r="F118">
            <v>1</v>
          </cell>
          <cell r="G118">
            <v>0</v>
          </cell>
          <cell r="H118">
            <v>0</v>
          </cell>
          <cell r="I118">
            <v>3</v>
          </cell>
        </row>
        <row r="119">
          <cell r="D119" t="str">
            <v>1/2" Hex BB RS-775 40</v>
          </cell>
          <cell r="E119">
            <v>5</v>
          </cell>
          <cell r="F119">
            <v>1</v>
          </cell>
          <cell r="G119">
            <v>0</v>
          </cell>
          <cell r="H119">
            <v>0</v>
          </cell>
          <cell r="I119">
            <v>3</v>
          </cell>
        </row>
        <row r="120">
          <cell r="D120" t="str">
            <v>1/2" Hex BB RS-775 45</v>
          </cell>
          <cell r="E120">
            <v>5</v>
          </cell>
          <cell r="F120">
            <v>1</v>
          </cell>
          <cell r="G120">
            <v>0</v>
          </cell>
          <cell r="H120">
            <v>0</v>
          </cell>
          <cell r="I120">
            <v>1</v>
          </cell>
        </row>
        <row r="121">
          <cell r="D121" t="str">
            <v>1/2" Hex BB RS-775 49</v>
          </cell>
          <cell r="E121">
            <v>5</v>
          </cell>
          <cell r="F121">
            <v>1</v>
          </cell>
          <cell r="G121">
            <v>0</v>
          </cell>
          <cell r="H121">
            <v>0</v>
          </cell>
          <cell r="I121">
            <v>1</v>
          </cell>
        </row>
        <row r="122">
          <cell r="D122" t="str">
            <v>1/2" Hex BB RS-775 50</v>
          </cell>
          <cell r="E122">
            <v>5</v>
          </cell>
          <cell r="F122">
            <v>1</v>
          </cell>
          <cell r="G122">
            <v>0</v>
          </cell>
          <cell r="H122">
            <v>0</v>
          </cell>
          <cell r="I122">
            <v>1</v>
          </cell>
        </row>
        <row r="123">
          <cell r="D123" t="str">
            <v>1/2" Hex BB RS-775 63</v>
          </cell>
          <cell r="E123">
            <v>5</v>
          </cell>
          <cell r="F123">
            <v>0</v>
          </cell>
          <cell r="G123">
            <v>0</v>
          </cell>
          <cell r="H123">
            <v>0</v>
          </cell>
          <cell r="I123">
            <v>1</v>
          </cell>
        </row>
        <row r="124">
          <cell r="D124" t="str">
            <v>1/2" Hex BB RS-775 70</v>
          </cell>
          <cell r="E124">
            <v>4</v>
          </cell>
          <cell r="F124">
            <v>0</v>
          </cell>
          <cell r="G124">
            <v>0</v>
          </cell>
          <cell r="H124">
            <v>0</v>
          </cell>
          <cell r="I124">
            <v>1</v>
          </cell>
        </row>
        <row r="125">
          <cell r="D125" t="str">
            <v>1/2" Hex BB RS-775 81</v>
          </cell>
          <cell r="E125">
            <v>4</v>
          </cell>
          <cell r="F125">
            <v>0</v>
          </cell>
          <cell r="G125">
            <v>0</v>
          </cell>
          <cell r="H125">
            <v>0</v>
          </cell>
          <cell r="I125">
            <v>1</v>
          </cell>
        </row>
        <row r="126">
          <cell r="D126" t="str">
            <v>1/2" Hex BB RS-775 90</v>
          </cell>
          <cell r="E126">
            <v>3</v>
          </cell>
          <cell r="F126">
            <v>0</v>
          </cell>
          <cell r="G126">
            <v>0</v>
          </cell>
          <cell r="H126">
            <v>0</v>
          </cell>
          <cell r="I126">
            <v>1</v>
          </cell>
        </row>
        <row r="127">
          <cell r="D127" t="str">
            <v>1/2" Hex BB RS-775 100</v>
          </cell>
          <cell r="E127">
            <v>3</v>
          </cell>
          <cell r="F127">
            <v>0</v>
          </cell>
          <cell r="G127">
            <v>0</v>
          </cell>
          <cell r="H127">
            <v>0</v>
          </cell>
          <cell r="I127">
            <v>1</v>
          </cell>
        </row>
        <row r="128">
          <cell r="D128" t="str">
            <v>1/2" Hex BAG Motor -3</v>
          </cell>
          <cell r="E128">
            <v>1</v>
          </cell>
          <cell r="F128">
            <v>1</v>
          </cell>
          <cell r="G128">
            <v>1</v>
          </cell>
          <cell r="H128">
            <v>0</v>
          </cell>
          <cell r="I128">
            <v>1</v>
          </cell>
        </row>
        <row r="129">
          <cell r="D129" t="str">
            <v>1/2" Hex BAG Motor -4</v>
          </cell>
          <cell r="E129">
            <v>1</v>
          </cell>
          <cell r="F129">
            <v>1</v>
          </cell>
          <cell r="G129">
            <v>1</v>
          </cell>
          <cell r="H129">
            <v>0</v>
          </cell>
          <cell r="I129">
            <v>1</v>
          </cell>
        </row>
        <row r="130">
          <cell r="D130" t="str">
            <v>1/2" Hex BAG Motor -5</v>
          </cell>
          <cell r="E130">
            <v>1</v>
          </cell>
          <cell r="F130">
            <v>1</v>
          </cell>
          <cell r="G130">
            <v>1</v>
          </cell>
          <cell r="H130">
            <v>0</v>
          </cell>
          <cell r="I130">
            <v>1</v>
          </cell>
        </row>
        <row r="131">
          <cell r="D131" t="str">
            <v>1/2" Hex BAG Motor -7</v>
          </cell>
          <cell r="E131">
            <v>1</v>
          </cell>
          <cell r="F131">
            <v>1</v>
          </cell>
          <cell r="G131">
            <v>1</v>
          </cell>
          <cell r="H131">
            <v>0</v>
          </cell>
          <cell r="I131">
            <v>1</v>
          </cell>
        </row>
        <row r="132">
          <cell r="D132" t="str">
            <v>1/2" Hex BAG Motor -9</v>
          </cell>
          <cell r="E132">
            <v>1</v>
          </cell>
          <cell r="F132">
            <v>1</v>
          </cell>
          <cell r="G132">
            <v>0</v>
          </cell>
          <cell r="H132">
            <v>0</v>
          </cell>
          <cell r="I132">
            <v>1</v>
          </cell>
        </row>
        <row r="133">
          <cell r="D133" t="str">
            <v>1/2" Hex BAG Motor -10</v>
          </cell>
          <cell r="E133">
            <v>1</v>
          </cell>
          <cell r="F133">
            <v>1</v>
          </cell>
          <cell r="G133">
            <v>0</v>
          </cell>
          <cell r="H133">
            <v>0</v>
          </cell>
          <cell r="I133">
            <v>1</v>
          </cell>
        </row>
        <row r="134">
          <cell r="D134" t="str">
            <v>1/2" Hex BAG Motor 9</v>
          </cell>
          <cell r="E134">
            <v>10</v>
          </cell>
          <cell r="F134">
            <v>10</v>
          </cell>
          <cell r="G134">
            <v>1</v>
          </cell>
          <cell r="H134">
            <v>0</v>
          </cell>
          <cell r="I134">
            <v>9</v>
          </cell>
        </row>
        <row r="135">
          <cell r="D135" t="str">
            <v>1/2" Hex BAG Motor 12</v>
          </cell>
          <cell r="E135">
            <v>10</v>
          </cell>
          <cell r="F135">
            <v>9</v>
          </cell>
          <cell r="G135">
            <v>1</v>
          </cell>
          <cell r="H135">
            <v>0</v>
          </cell>
          <cell r="I135">
            <v>5</v>
          </cell>
        </row>
        <row r="136">
          <cell r="D136" t="str">
            <v>1/2" Hex BAG Motor 15</v>
          </cell>
          <cell r="E136">
            <v>10</v>
          </cell>
          <cell r="F136">
            <v>7</v>
          </cell>
          <cell r="G136">
            <v>0</v>
          </cell>
          <cell r="H136">
            <v>0</v>
          </cell>
          <cell r="I136">
            <v>5</v>
          </cell>
        </row>
        <row r="137">
          <cell r="D137" t="str">
            <v>1/2" Hex BAG Motor 16</v>
          </cell>
          <cell r="E137">
            <v>10</v>
          </cell>
          <cell r="F137">
            <v>5</v>
          </cell>
          <cell r="G137">
            <v>0</v>
          </cell>
          <cell r="H137">
            <v>0</v>
          </cell>
          <cell r="I137">
            <v>5</v>
          </cell>
        </row>
        <row r="138">
          <cell r="D138" t="str">
            <v>1/2" Hex BAG Motor 20</v>
          </cell>
          <cell r="E138">
            <v>9</v>
          </cell>
          <cell r="F138">
            <v>5</v>
          </cell>
          <cell r="G138">
            <v>0</v>
          </cell>
          <cell r="H138">
            <v>0</v>
          </cell>
          <cell r="I138">
            <v>4</v>
          </cell>
        </row>
        <row r="139">
          <cell r="D139" t="str">
            <v>1/2" Hex BAG Motor 21</v>
          </cell>
          <cell r="E139">
            <v>9</v>
          </cell>
          <cell r="F139">
            <v>5</v>
          </cell>
          <cell r="G139">
            <v>0</v>
          </cell>
          <cell r="H139">
            <v>0</v>
          </cell>
          <cell r="I139">
            <v>3</v>
          </cell>
        </row>
        <row r="140">
          <cell r="D140" t="str">
            <v>1/2" Hex BAG Motor 25</v>
          </cell>
          <cell r="E140">
            <v>7</v>
          </cell>
          <cell r="F140">
            <v>5</v>
          </cell>
          <cell r="G140">
            <v>0</v>
          </cell>
          <cell r="H140">
            <v>0</v>
          </cell>
          <cell r="I140">
            <v>3</v>
          </cell>
        </row>
        <row r="141">
          <cell r="D141" t="str">
            <v>1/2" Hex BAG Motor 27</v>
          </cell>
          <cell r="E141">
            <v>7</v>
          </cell>
          <cell r="F141">
            <v>5</v>
          </cell>
          <cell r="G141">
            <v>0</v>
          </cell>
          <cell r="H141">
            <v>0</v>
          </cell>
          <cell r="I141">
            <v>3</v>
          </cell>
        </row>
        <row r="142">
          <cell r="D142" t="str">
            <v>1/2" Hex BAG Motor 28</v>
          </cell>
          <cell r="E142">
            <v>7</v>
          </cell>
          <cell r="F142">
            <v>5</v>
          </cell>
          <cell r="G142">
            <v>0</v>
          </cell>
          <cell r="H142">
            <v>0</v>
          </cell>
          <cell r="I142">
            <v>1</v>
          </cell>
        </row>
        <row r="143">
          <cell r="D143" t="str">
            <v>1/2" Hex BAG Motor 30</v>
          </cell>
          <cell r="E143">
            <v>5</v>
          </cell>
          <cell r="F143">
            <v>5</v>
          </cell>
          <cell r="G143">
            <v>0</v>
          </cell>
          <cell r="H143">
            <v>0</v>
          </cell>
          <cell r="I143">
            <v>1</v>
          </cell>
        </row>
        <row r="144">
          <cell r="D144" t="str">
            <v>1/2" Hex BAG Motor 35</v>
          </cell>
          <cell r="E144">
            <v>5</v>
          </cell>
          <cell r="F144">
            <v>4</v>
          </cell>
          <cell r="G144">
            <v>0</v>
          </cell>
          <cell r="H144">
            <v>0</v>
          </cell>
          <cell r="I144">
            <v>1</v>
          </cell>
        </row>
        <row r="145">
          <cell r="D145" t="str">
            <v>1/2" Hex BAG Motor 36</v>
          </cell>
          <cell r="E145">
            <v>5</v>
          </cell>
          <cell r="F145">
            <v>4</v>
          </cell>
          <cell r="G145">
            <v>0</v>
          </cell>
          <cell r="H145">
            <v>0</v>
          </cell>
          <cell r="I145">
            <v>1</v>
          </cell>
        </row>
        <row r="146">
          <cell r="D146" t="str">
            <v>1/2" Hex BAG Motor 40</v>
          </cell>
          <cell r="E146">
            <v>5</v>
          </cell>
          <cell r="F146">
            <v>4</v>
          </cell>
          <cell r="G146">
            <v>0</v>
          </cell>
          <cell r="H146">
            <v>0</v>
          </cell>
          <cell r="I146">
            <v>1</v>
          </cell>
        </row>
        <row r="147">
          <cell r="D147" t="str">
            <v>1/2" Hex BAG Motor 45</v>
          </cell>
          <cell r="E147">
            <v>5</v>
          </cell>
          <cell r="F147">
            <v>3</v>
          </cell>
          <cell r="G147">
            <v>0</v>
          </cell>
          <cell r="H147">
            <v>0</v>
          </cell>
          <cell r="I147">
            <v>1</v>
          </cell>
        </row>
        <row r="148">
          <cell r="D148" t="str">
            <v>1/2" Hex BAG Motor 49</v>
          </cell>
          <cell r="E148">
            <v>5</v>
          </cell>
          <cell r="F148">
            <v>3</v>
          </cell>
          <cell r="G148">
            <v>0</v>
          </cell>
          <cell r="H148">
            <v>0</v>
          </cell>
          <cell r="I148">
            <v>1</v>
          </cell>
        </row>
        <row r="149">
          <cell r="D149" t="str">
            <v>1/2" Hex BAG Motor 50</v>
          </cell>
          <cell r="E149">
            <v>5</v>
          </cell>
          <cell r="F149">
            <v>3</v>
          </cell>
          <cell r="G149">
            <v>0</v>
          </cell>
          <cell r="H149">
            <v>0</v>
          </cell>
          <cell r="I149">
            <v>1</v>
          </cell>
        </row>
        <row r="150">
          <cell r="D150" t="str">
            <v>1/2" Hex BAG Motor 63</v>
          </cell>
          <cell r="E150">
            <v>4</v>
          </cell>
          <cell r="F150">
            <v>1</v>
          </cell>
          <cell r="G150">
            <v>0</v>
          </cell>
          <cell r="H150">
            <v>0</v>
          </cell>
          <cell r="I150">
            <v>1</v>
          </cell>
        </row>
        <row r="151">
          <cell r="D151" t="str">
            <v>1/2" Hex BAG Motor 70</v>
          </cell>
          <cell r="E151">
            <v>4</v>
          </cell>
          <cell r="F151">
            <v>1</v>
          </cell>
          <cell r="G151">
            <v>0</v>
          </cell>
          <cell r="H151">
            <v>0</v>
          </cell>
          <cell r="I151">
            <v>1</v>
          </cell>
        </row>
        <row r="152">
          <cell r="D152" t="str">
            <v>1/2" Hex BAG Motor 81</v>
          </cell>
          <cell r="E152">
            <v>3</v>
          </cell>
          <cell r="F152">
            <v>1</v>
          </cell>
          <cell r="G152">
            <v>0</v>
          </cell>
          <cell r="H152">
            <v>0</v>
          </cell>
          <cell r="I152">
            <v>1</v>
          </cell>
        </row>
        <row r="153">
          <cell r="D153" t="str">
            <v>1/2" Hex BAG Motor 90</v>
          </cell>
          <cell r="E153">
            <v>3</v>
          </cell>
          <cell r="F153">
            <v>1</v>
          </cell>
          <cell r="G153">
            <v>0</v>
          </cell>
          <cell r="H153">
            <v>0</v>
          </cell>
          <cell r="I153">
            <v>0</v>
          </cell>
        </row>
        <row r="154">
          <cell r="D154" t="str">
            <v>1/2" Hex BAG Motor 100</v>
          </cell>
          <cell r="E154">
            <v>3</v>
          </cell>
          <cell r="F154">
            <v>1</v>
          </cell>
          <cell r="G154">
            <v>0</v>
          </cell>
          <cell r="H154">
            <v>0</v>
          </cell>
          <cell r="I154">
            <v>0</v>
          </cell>
        </row>
        <row r="155">
          <cell r="D155" t="str">
            <v>1/2" Hex 775pro -3</v>
          </cell>
          <cell r="E155">
            <v>1</v>
          </cell>
          <cell r="F155">
            <v>1</v>
          </cell>
          <cell r="G155">
            <v>1</v>
          </cell>
          <cell r="H155">
            <v>0</v>
          </cell>
          <cell r="I155">
            <v>1</v>
          </cell>
        </row>
        <row r="156">
          <cell r="D156" t="str">
            <v>1/2" Hex 775pro -4</v>
          </cell>
          <cell r="E156">
            <v>1</v>
          </cell>
          <cell r="F156">
            <v>1</v>
          </cell>
          <cell r="G156">
            <v>1</v>
          </cell>
          <cell r="H156">
            <v>0</v>
          </cell>
          <cell r="I156">
            <v>1</v>
          </cell>
        </row>
        <row r="157">
          <cell r="D157" t="str">
            <v>1/2" Hex 775pro -5</v>
          </cell>
          <cell r="E157">
            <v>1</v>
          </cell>
          <cell r="F157">
            <v>1</v>
          </cell>
          <cell r="G157">
            <v>1</v>
          </cell>
          <cell r="H157">
            <v>0</v>
          </cell>
          <cell r="I157">
            <v>1</v>
          </cell>
        </row>
        <row r="158">
          <cell r="D158" t="str">
            <v>1/2" Hex 775pro -7</v>
          </cell>
          <cell r="E158">
            <v>1</v>
          </cell>
          <cell r="F158">
            <v>1</v>
          </cell>
          <cell r="G158">
            <v>0</v>
          </cell>
          <cell r="H158">
            <v>0</v>
          </cell>
          <cell r="I158">
            <v>1</v>
          </cell>
        </row>
        <row r="159">
          <cell r="D159" t="str">
            <v>1/2" Hex 775pro -9</v>
          </cell>
          <cell r="E159">
            <v>1</v>
          </cell>
          <cell r="F159">
            <v>1</v>
          </cell>
          <cell r="G159">
            <v>0</v>
          </cell>
          <cell r="H159">
            <v>0</v>
          </cell>
          <cell r="I159">
            <v>1</v>
          </cell>
        </row>
        <row r="160">
          <cell r="D160" t="str">
            <v>1/2" Hex 775pro -10</v>
          </cell>
          <cell r="E160">
            <v>1</v>
          </cell>
          <cell r="F160">
            <v>1</v>
          </cell>
          <cell r="G160">
            <v>0</v>
          </cell>
          <cell r="H160">
            <v>0</v>
          </cell>
          <cell r="I160">
            <v>1</v>
          </cell>
        </row>
        <row r="161">
          <cell r="D161" t="str">
            <v>1/2" Hex 775pro 9</v>
          </cell>
          <cell r="E161">
            <v>10</v>
          </cell>
          <cell r="F161">
            <v>7</v>
          </cell>
          <cell r="G161">
            <v>0</v>
          </cell>
          <cell r="H161">
            <v>0</v>
          </cell>
          <cell r="I161">
            <v>5</v>
          </cell>
        </row>
        <row r="162">
          <cell r="D162" t="str">
            <v>1/2" Hex 775pro 12</v>
          </cell>
          <cell r="E162">
            <v>10</v>
          </cell>
          <cell r="F162">
            <v>5</v>
          </cell>
          <cell r="G162">
            <v>0</v>
          </cell>
          <cell r="H162">
            <v>0</v>
          </cell>
          <cell r="I162">
            <v>4</v>
          </cell>
        </row>
        <row r="163">
          <cell r="D163" t="str">
            <v>1/2" Hex 775pro 15</v>
          </cell>
          <cell r="E163">
            <v>9</v>
          </cell>
          <cell r="F163">
            <v>5</v>
          </cell>
          <cell r="G163">
            <v>0</v>
          </cell>
          <cell r="H163">
            <v>0</v>
          </cell>
          <cell r="I163">
            <v>3</v>
          </cell>
        </row>
        <row r="164">
          <cell r="D164" t="str">
            <v>1/2" Hex 775pro 16</v>
          </cell>
          <cell r="E164">
            <v>7</v>
          </cell>
          <cell r="F164">
            <v>5</v>
          </cell>
          <cell r="G164">
            <v>0</v>
          </cell>
          <cell r="H164">
            <v>0</v>
          </cell>
          <cell r="I164">
            <v>3</v>
          </cell>
        </row>
        <row r="165">
          <cell r="D165" t="str">
            <v>1/2" Hex 775pro 20</v>
          </cell>
          <cell r="E165">
            <v>5</v>
          </cell>
          <cell r="F165">
            <v>5</v>
          </cell>
          <cell r="G165">
            <v>0</v>
          </cell>
          <cell r="H165">
            <v>0</v>
          </cell>
          <cell r="I165">
            <v>1</v>
          </cell>
        </row>
        <row r="166">
          <cell r="D166" t="str">
            <v>1/2" Hex 775pro 21</v>
          </cell>
          <cell r="E166">
            <v>5</v>
          </cell>
          <cell r="F166">
            <v>5</v>
          </cell>
          <cell r="G166">
            <v>0</v>
          </cell>
          <cell r="H166">
            <v>0</v>
          </cell>
          <cell r="I166">
            <v>1</v>
          </cell>
        </row>
        <row r="167">
          <cell r="D167" t="str">
            <v>1/2" Hex 775pro 25</v>
          </cell>
          <cell r="E167">
            <v>5</v>
          </cell>
          <cell r="F167">
            <v>4</v>
          </cell>
          <cell r="G167">
            <v>0</v>
          </cell>
          <cell r="H167">
            <v>0</v>
          </cell>
          <cell r="I167">
            <v>1</v>
          </cell>
        </row>
        <row r="168">
          <cell r="D168" t="str">
            <v>1/2" Hex 775pro 27</v>
          </cell>
          <cell r="E168">
            <v>5</v>
          </cell>
          <cell r="F168">
            <v>4</v>
          </cell>
          <cell r="G168">
            <v>0</v>
          </cell>
          <cell r="H168">
            <v>0</v>
          </cell>
          <cell r="I168">
            <v>1</v>
          </cell>
        </row>
        <row r="169">
          <cell r="D169" t="str">
            <v>1/2" Hex 775pro 28</v>
          </cell>
          <cell r="E169">
            <v>5</v>
          </cell>
          <cell r="F169">
            <v>3</v>
          </cell>
          <cell r="G169">
            <v>0</v>
          </cell>
          <cell r="H169">
            <v>0</v>
          </cell>
          <cell r="I169">
            <v>1</v>
          </cell>
        </row>
        <row r="170">
          <cell r="D170" t="str">
            <v>1/2" Hex 775pro 30</v>
          </cell>
          <cell r="E170">
            <v>5</v>
          </cell>
          <cell r="F170">
            <v>3</v>
          </cell>
          <cell r="G170">
            <v>0</v>
          </cell>
          <cell r="H170">
            <v>0</v>
          </cell>
          <cell r="I170">
            <v>1</v>
          </cell>
        </row>
        <row r="171">
          <cell r="D171" t="str">
            <v>1/2" Hex 775pro 35</v>
          </cell>
          <cell r="E171">
            <v>5</v>
          </cell>
          <cell r="F171">
            <v>3</v>
          </cell>
          <cell r="G171">
            <v>0</v>
          </cell>
          <cell r="H171">
            <v>0</v>
          </cell>
          <cell r="I171">
            <v>1</v>
          </cell>
        </row>
        <row r="172">
          <cell r="D172" t="str">
            <v>1/2" Hex 775pro 36</v>
          </cell>
          <cell r="E172">
            <v>5</v>
          </cell>
          <cell r="F172">
            <v>3</v>
          </cell>
          <cell r="G172">
            <v>0</v>
          </cell>
          <cell r="H172">
            <v>0</v>
          </cell>
          <cell r="I172">
            <v>1</v>
          </cell>
        </row>
        <row r="173">
          <cell r="D173" t="str">
            <v>1/2" Hex 775pro 40</v>
          </cell>
          <cell r="E173">
            <v>5</v>
          </cell>
          <cell r="F173">
            <v>1</v>
          </cell>
          <cell r="G173">
            <v>0</v>
          </cell>
          <cell r="H173">
            <v>0</v>
          </cell>
          <cell r="I173">
            <v>1</v>
          </cell>
        </row>
        <row r="174">
          <cell r="D174" t="str">
            <v>1/2" Hex 775pro 45</v>
          </cell>
          <cell r="E174">
            <v>4</v>
          </cell>
          <cell r="F174">
            <v>1</v>
          </cell>
          <cell r="G174">
            <v>0</v>
          </cell>
          <cell r="H174">
            <v>0</v>
          </cell>
          <cell r="I174">
            <v>1</v>
          </cell>
        </row>
        <row r="175">
          <cell r="D175" t="str">
            <v>1/2" Hex 775pro 49</v>
          </cell>
          <cell r="E175">
            <v>4</v>
          </cell>
          <cell r="F175">
            <v>1</v>
          </cell>
          <cell r="G175">
            <v>0</v>
          </cell>
          <cell r="H175">
            <v>0</v>
          </cell>
          <cell r="I175">
            <v>1</v>
          </cell>
        </row>
        <row r="176">
          <cell r="D176" t="str">
            <v>1/2" Hex 775pro 50</v>
          </cell>
          <cell r="E176">
            <v>4</v>
          </cell>
          <cell r="F176">
            <v>1</v>
          </cell>
          <cell r="G176">
            <v>0</v>
          </cell>
          <cell r="H176">
            <v>0</v>
          </cell>
          <cell r="I176">
            <v>0</v>
          </cell>
        </row>
        <row r="177">
          <cell r="D177" t="str">
            <v>1/2" Hex 775pro 63</v>
          </cell>
          <cell r="E177">
            <v>3</v>
          </cell>
          <cell r="F177">
            <v>1</v>
          </cell>
          <cell r="G177">
            <v>0</v>
          </cell>
          <cell r="H177">
            <v>0</v>
          </cell>
          <cell r="I177">
            <v>0</v>
          </cell>
        </row>
        <row r="178">
          <cell r="D178" t="str">
            <v>1/2" Hex 775pro 70</v>
          </cell>
          <cell r="E178">
            <v>3</v>
          </cell>
          <cell r="F178">
            <v>0</v>
          </cell>
          <cell r="G178">
            <v>0</v>
          </cell>
          <cell r="H178">
            <v>0</v>
          </cell>
          <cell r="I178">
            <v>0</v>
          </cell>
        </row>
        <row r="179">
          <cell r="D179" t="str">
            <v>1/2" Hex 775pro 81</v>
          </cell>
          <cell r="E179">
            <v>1</v>
          </cell>
          <cell r="F179">
            <v>0</v>
          </cell>
          <cell r="G179">
            <v>0</v>
          </cell>
          <cell r="H179">
            <v>0</v>
          </cell>
          <cell r="I179">
            <v>0</v>
          </cell>
        </row>
        <row r="180">
          <cell r="D180" t="str">
            <v>1/2" Hex 775pro 90</v>
          </cell>
          <cell r="E180">
            <v>1</v>
          </cell>
          <cell r="F180">
            <v>0</v>
          </cell>
          <cell r="G180">
            <v>0</v>
          </cell>
          <cell r="H180">
            <v>0</v>
          </cell>
          <cell r="I180">
            <v>0</v>
          </cell>
        </row>
        <row r="181">
          <cell r="D181" t="str">
            <v>1/2" Hex 775pro 100</v>
          </cell>
          <cell r="E181">
            <v>1</v>
          </cell>
          <cell r="F181">
            <v>0</v>
          </cell>
          <cell r="G181">
            <v>0</v>
          </cell>
          <cell r="H181">
            <v>0</v>
          </cell>
          <cell r="I181">
            <v>0</v>
          </cell>
        </row>
        <row r="182">
          <cell r="D182" t="str">
            <v>1/2" Hex Mini CIM -3</v>
          </cell>
          <cell r="E182">
            <v>1</v>
          </cell>
          <cell r="I182">
            <v>0</v>
          </cell>
        </row>
        <row r="183">
          <cell r="D183" t="str">
            <v>1/2" Hex Mini CIM -4</v>
          </cell>
          <cell r="E183">
            <v>1</v>
          </cell>
          <cell r="I183">
            <v>0</v>
          </cell>
        </row>
        <row r="184">
          <cell r="D184" t="str">
            <v>1/2" Hex Mini CIM -5</v>
          </cell>
          <cell r="E184">
            <v>1</v>
          </cell>
          <cell r="I184">
            <v>0</v>
          </cell>
        </row>
        <row r="185">
          <cell r="D185" t="str">
            <v>1/2" Hex Mini CIM -7</v>
          </cell>
          <cell r="E185">
            <v>1</v>
          </cell>
          <cell r="I185">
            <v>0</v>
          </cell>
        </row>
        <row r="186">
          <cell r="D186" t="str">
            <v>1/2" Hex Mini CIM -9</v>
          </cell>
          <cell r="E186">
            <v>1</v>
          </cell>
          <cell r="I186">
            <v>0</v>
          </cell>
        </row>
        <row r="187">
          <cell r="D187" t="str">
            <v>1/2" Hex Mini CIM -10</v>
          </cell>
          <cell r="E187">
            <v>1</v>
          </cell>
          <cell r="I187">
            <v>0</v>
          </cell>
        </row>
        <row r="188">
          <cell r="D188" t="str">
            <v>1/2" Hex Mini CIM 9</v>
          </cell>
          <cell r="E188">
            <v>7</v>
          </cell>
          <cell r="I188">
            <v>0</v>
          </cell>
        </row>
        <row r="189">
          <cell r="D189" t="str">
            <v>1/2" Hex Mini CIM 12</v>
          </cell>
          <cell r="E189">
            <v>5</v>
          </cell>
          <cell r="I189">
            <v>0</v>
          </cell>
        </row>
        <row r="190">
          <cell r="D190" t="str">
            <v>1/2" Hex Mini CIM 15</v>
          </cell>
          <cell r="E190">
            <v>5</v>
          </cell>
          <cell r="I190">
            <v>0</v>
          </cell>
        </row>
        <row r="191">
          <cell r="D191" t="str">
            <v>1/2" Hex Mini CIM 16</v>
          </cell>
          <cell r="E191">
            <v>5</v>
          </cell>
          <cell r="I191">
            <v>0</v>
          </cell>
        </row>
        <row r="192">
          <cell r="D192" t="str">
            <v>1/2" Hex Mini CIM 20</v>
          </cell>
          <cell r="E192">
            <v>5</v>
          </cell>
          <cell r="I192">
            <v>0</v>
          </cell>
        </row>
        <row r="193">
          <cell r="D193" t="str">
            <v>1/2" Hex Mini CIM 21</v>
          </cell>
          <cell r="E193">
            <v>5</v>
          </cell>
          <cell r="I193">
            <v>0</v>
          </cell>
        </row>
        <row r="194">
          <cell r="D194" t="str">
            <v>1/2" Hex Mini CIM 25</v>
          </cell>
          <cell r="E194">
            <v>4</v>
          </cell>
          <cell r="I194">
            <v>0</v>
          </cell>
        </row>
        <row r="195">
          <cell r="D195" t="str">
            <v>1/2" Hex Mini CIM 27</v>
          </cell>
          <cell r="E195">
            <v>4</v>
          </cell>
          <cell r="I195">
            <v>0</v>
          </cell>
        </row>
        <row r="196">
          <cell r="D196" t="str">
            <v>1/2" Hex Mini CIM 28</v>
          </cell>
          <cell r="E196">
            <v>3</v>
          </cell>
          <cell r="I196">
            <v>0</v>
          </cell>
        </row>
        <row r="197">
          <cell r="D197" t="str">
            <v>1/2" Hex Mini CIM 30</v>
          </cell>
          <cell r="E197">
            <v>3</v>
          </cell>
          <cell r="I197">
            <v>0</v>
          </cell>
        </row>
        <row r="198">
          <cell r="D198" t="str">
            <v>1/2" Hex Mini CIM 35</v>
          </cell>
          <cell r="E198">
            <v>3</v>
          </cell>
          <cell r="I198">
            <v>0</v>
          </cell>
        </row>
        <row r="199">
          <cell r="D199" t="str">
            <v>1/2" Hex Mini CIM 36</v>
          </cell>
          <cell r="E199">
            <v>3</v>
          </cell>
          <cell r="I199">
            <v>0</v>
          </cell>
        </row>
        <row r="200">
          <cell r="D200" t="str">
            <v>1/2" Hex Mini CIM 40</v>
          </cell>
          <cell r="E200">
            <v>1</v>
          </cell>
          <cell r="I200">
            <v>0</v>
          </cell>
        </row>
        <row r="201">
          <cell r="D201" t="str">
            <v>1/2" Hex Mini CIM 45</v>
          </cell>
          <cell r="E201">
            <v>1</v>
          </cell>
          <cell r="I201">
            <v>0</v>
          </cell>
        </row>
        <row r="202">
          <cell r="D202" t="str">
            <v>1/2" Hex Mini CIM 49</v>
          </cell>
          <cell r="E202">
            <v>1</v>
          </cell>
          <cell r="I202">
            <v>0</v>
          </cell>
        </row>
        <row r="203">
          <cell r="D203" t="str">
            <v>1/2" Hex Mini CIM 50</v>
          </cell>
          <cell r="E203">
            <v>1</v>
          </cell>
          <cell r="I203">
            <v>0</v>
          </cell>
        </row>
        <row r="204">
          <cell r="D204" t="str">
            <v>1/2" Hex Mini CIM 63</v>
          </cell>
          <cell r="E204">
            <v>1</v>
          </cell>
          <cell r="I204">
            <v>0</v>
          </cell>
        </row>
        <row r="205">
          <cell r="D205" t="str">
            <v>1/2" Hex Mini CIM 70</v>
          </cell>
          <cell r="E205">
            <v>0</v>
          </cell>
          <cell r="I205">
            <v>0</v>
          </cell>
        </row>
        <row r="206">
          <cell r="D206" t="str">
            <v>1/2" Hex Mini CIM 81</v>
          </cell>
          <cell r="E206">
            <v>0</v>
          </cell>
          <cell r="I206">
            <v>0</v>
          </cell>
        </row>
        <row r="207">
          <cell r="D207" t="str">
            <v>1/2" Hex Mini CIM 90</v>
          </cell>
          <cell r="E207">
            <v>0</v>
          </cell>
          <cell r="I207">
            <v>0</v>
          </cell>
        </row>
        <row r="208">
          <cell r="D208" t="str">
            <v>1/2" Hex Mini CIM 100</v>
          </cell>
          <cell r="E208">
            <v>0</v>
          </cell>
          <cell r="I208">
            <v>0</v>
          </cell>
        </row>
        <row r="209">
          <cell r="D209" t="str">
            <v>1/2" Hex CIM -3</v>
          </cell>
          <cell r="E209">
            <v>1</v>
          </cell>
          <cell r="I209">
            <v>0</v>
          </cell>
        </row>
        <row r="210">
          <cell r="D210" t="str">
            <v>1/2" Hex CIM -4</v>
          </cell>
          <cell r="E210">
            <v>1</v>
          </cell>
          <cell r="I210">
            <v>0</v>
          </cell>
        </row>
        <row r="211">
          <cell r="D211" t="str">
            <v>1/2" Hex CIM -5</v>
          </cell>
          <cell r="E211">
            <v>1</v>
          </cell>
          <cell r="I211">
            <v>0</v>
          </cell>
        </row>
        <row r="212">
          <cell r="D212" t="str">
            <v>1/2" Hex CIM -7</v>
          </cell>
          <cell r="E212">
            <v>1</v>
          </cell>
          <cell r="I212">
            <v>0</v>
          </cell>
        </row>
        <row r="213">
          <cell r="D213" t="str">
            <v>1/2" Hex CIM -9</v>
          </cell>
          <cell r="E213">
            <v>1</v>
          </cell>
          <cell r="I213">
            <v>0</v>
          </cell>
        </row>
        <row r="214">
          <cell r="D214" t="str">
            <v>1/2" Hex CIM -10</v>
          </cell>
          <cell r="E214">
            <v>1</v>
          </cell>
          <cell r="I214">
            <v>0</v>
          </cell>
        </row>
        <row r="215">
          <cell r="D215" t="str">
            <v>1/2" Hex CIM 9</v>
          </cell>
          <cell r="E215">
            <v>5</v>
          </cell>
          <cell r="I215">
            <v>0</v>
          </cell>
        </row>
        <row r="216">
          <cell r="D216" t="str">
            <v>1/2" Hex CIM 12</v>
          </cell>
          <cell r="E216">
            <v>5</v>
          </cell>
          <cell r="I216">
            <v>0</v>
          </cell>
        </row>
        <row r="217">
          <cell r="D217" t="str">
            <v>1/2" Hex CIM 15</v>
          </cell>
          <cell r="E217">
            <v>4</v>
          </cell>
          <cell r="I217">
            <v>0</v>
          </cell>
        </row>
        <row r="218">
          <cell r="D218" t="str">
            <v>1/2" Hex CIM 16</v>
          </cell>
          <cell r="E218">
            <v>4</v>
          </cell>
          <cell r="I218">
            <v>0</v>
          </cell>
        </row>
        <row r="219">
          <cell r="D219" t="str">
            <v>1/2" Hex CIM 20</v>
          </cell>
          <cell r="E219">
            <v>3</v>
          </cell>
          <cell r="I219">
            <v>0</v>
          </cell>
        </row>
        <row r="220">
          <cell r="D220" t="str">
            <v>1/2" Hex CIM 21</v>
          </cell>
          <cell r="E220">
            <v>3</v>
          </cell>
          <cell r="I220">
            <v>0</v>
          </cell>
        </row>
        <row r="221">
          <cell r="D221" t="str">
            <v>1/2" Hex CIM 25</v>
          </cell>
          <cell r="E221">
            <v>1</v>
          </cell>
          <cell r="I221">
            <v>0</v>
          </cell>
        </row>
        <row r="222">
          <cell r="D222" t="str">
            <v>1/2" Hex CIM 27</v>
          </cell>
          <cell r="E222">
            <v>1</v>
          </cell>
          <cell r="I222">
            <v>0</v>
          </cell>
        </row>
        <row r="223">
          <cell r="D223" t="str">
            <v>1/2" Hex CIM 28</v>
          </cell>
          <cell r="E223">
            <v>1</v>
          </cell>
          <cell r="I223">
            <v>0</v>
          </cell>
        </row>
        <row r="224">
          <cell r="D224" t="str">
            <v>1/2" Hex CIM 30</v>
          </cell>
          <cell r="E224">
            <v>1</v>
          </cell>
          <cell r="I224">
            <v>0</v>
          </cell>
        </row>
        <row r="225">
          <cell r="D225" t="str">
            <v>1/2" Hex CIM 35</v>
          </cell>
          <cell r="E225">
            <v>1</v>
          </cell>
          <cell r="I225">
            <v>0</v>
          </cell>
        </row>
        <row r="226">
          <cell r="D226" t="str">
            <v>1/2" Hex CIM 36</v>
          </cell>
          <cell r="E226">
            <v>1</v>
          </cell>
          <cell r="I226">
            <v>0</v>
          </cell>
        </row>
        <row r="227">
          <cell r="D227" t="str">
            <v>1/2" Hex CIM 40</v>
          </cell>
          <cell r="E227">
            <v>1</v>
          </cell>
          <cell r="I227">
            <v>0</v>
          </cell>
        </row>
        <row r="228">
          <cell r="D228" t="str">
            <v>1/2" Hex CIM 45</v>
          </cell>
          <cell r="E228">
            <v>1</v>
          </cell>
          <cell r="I228">
            <v>0</v>
          </cell>
        </row>
        <row r="229">
          <cell r="D229" t="str">
            <v>1/2" Hex CIM 49</v>
          </cell>
          <cell r="E229">
            <v>0</v>
          </cell>
          <cell r="I229">
            <v>0</v>
          </cell>
        </row>
        <row r="230">
          <cell r="D230" t="str">
            <v>1/2" Hex CIM 50</v>
          </cell>
          <cell r="E230">
            <v>1</v>
          </cell>
          <cell r="I230">
            <v>0</v>
          </cell>
        </row>
        <row r="231">
          <cell r="D231" t="str">
            <v>1/2" Hex CIM 63</v>
          </cell>
          <cell r="E231">
            <v>0</v>
          </cell>
          <cell r="I231">
            <v>0</v>
          </cell>
        </row>
        <row r="232">
          <cell r="D232" t="str">
            <v>1/2" Hex CIM 70</v>
          </cell>
          <cell r="E232">
            <v>0</v>
          </cell>
          <cell r="I232">
            <v>0</v>
          </cell>
        </row>
        <row r="233">
          <cell r="D233" t="str">
            <v>1/2" Hex CIM 81</v>
          </cell>
          <cell r="E233">
            <v>0</v>
          </cell>
          <cell r="I233">
            <v>0</v>
          </cell>
        </row>
        <row r="234">
          <cell r="D234" t="str">
            <v>1/2" Hex CIM 90</v>
          </cell>
          <cell r="E234">
            <v>0</v>
          </cell>
          <cell r="I234">
            <v>0</v>
          </cell>
        </row>
        <row r="235">
          <cell r="D235" t="str">
            <v>1/2" Hex CIM 100</v>
          </cell>
          <cell r="E235">
            <v>0</v>
          </cell>
          <cell r="I235">
            <v>0</v>
          </cell>
        </row>
        <row r="236">
          <cell r="D236" t="str">
            <v>1/2" Hex NEO -3</v>
          </cell>
          <cell r="E236">
            <v>1</v>
          </cell>
          <cell r="I236">
            <v>0</v>
          </cell>
        </row>
        <row r="237">
          <cell r="D237" t="str">
            <v>1/2" Hex NEO -4</v>
          </cell>
          <cell r="E237">
            <v>1</v>
          </cell>
          <cell r="I237">
            <v>0</v>
          </cell>
        </row>
        <row r="238">
          <cell r="D238" t="str">
            <v>1/2" Hex NEO -5</v>
          </cell>
          <cell r="E238">
            <v>1</v>
          </cell>
          <cell r="I238">
            <v>0</v>
          </cell>
        </row>
        <row r="239">
          <cell r="D239" t="str">
            <v>1/2" Hex NEO -7</v>
          </cell>
          <cell r="E239">
            <v>1</v>
          </cell>
          <cell r="I239">
            <v>0</v>
          </cell>
        </row>
        <row r="240">
          <cell r="D240" t="str">
            <v>1/2" Hex NEO -9</v>
          </cell>
          <cell r="E240">
            <v>1</v>
          </cell>
          <cell r="I240">
            <v>0</v>
          </cell>
        </row>
        <row r="241">
          <cell r="D241" t="str">
            <v>1/2" Hex NEO -10</v>
          </cell>
          <cell r="E241">
            <v>1</v>
          </cell>
          <cell r="I241">
            <v>0</v>
          </cell>
        </row>
        <row r="242">
          <cell r="D242" t="str">
            <v>1/2" Hex NEO 9</v>
          </cell>
          <cell r="E242">
            <v>5</v>
          </cell>
          <cell r="I242">
            <v>0</v>
          </cell>
        </row>
        <row r="243">
          <cell r="D243" t="str">
            <v>1/2" Hex NEO 12</v>
          </cell>
          <cell r="E243">
            <v>3</v>
          </cell>
          <cell r="I243">
            <v>0</v>
          </cell>
        </row>
        <row r="244">
          <cell r="D244" t="str">
            <v>1/2" Hex NEO 15</v>
          </cell>
          <cell r="E244">
            <v>3</v>
          </cell>
          <cell r="I244">
            <v>0</v>
          </cell>
        </row>
        <row r="245">
          <cell r="D245" t="str">
            <v>1/2" Hex NEO 16</v>
          </cell>
          <cell r="E245">
            <v>1</v>
          </cell>
          <cell r="I245">
            <v>0</v>
          </cell>
        </row>
        <row r="246">
          <cell r="D246" t="str">
            <v>1/2" Hex NEO 20</v>
          </cell>
          <cell r="E246">
            <v>1</v>
          </cell>
          <cell r="I246">
            <v>0</v>
          </cell>
        </row>
        <row r="247">
          <cell r="D247" t="str">
            <v>1/2" Hex NEO 21</v>
          </cell>
          <cell r="E247">
            <v>1</v>
          </cell>
          <cell r="I247">
            <v>0</v>
          </cell>
        </row>
        <row r="248">
          <cell r="D248" t="str">
            <v>1/2" Hex NEO 25</v>
          </cell>
          <cell r="E248">
            <v>1</v>
          </cell>
          <cell r="I248">
            <v>0</v>
          </cell>
        </row>
        <row r="249">
          <cell r="D249" t="str">
            <v>1/2" Hex NEO 27</v>
          </cell>
          <cell r="E249">
            <v>1</v>
          </cell>
          <cell r="I249">
            <v>0</v>
          </cell>
        </row>
        <row r="250">
          <cell r="D250" t="str">
            <v>1/2" Hex NEO 28</v>
          </cell>
          <cell r="E250">
            <v>1</v>
          </cell>
          <cell r="I250">
            <v>0</v>
          </cell>
        </row>
        <row r="251">
          <cell r="D251" t="str">
            <v>1/2" Hex NEO 30</v>
          </cell>
          <cell r="E251">
            <v>1</v>
          </cell>
          <cell r="I251">
            <v>0</v>
          </cell>
        </row>
        <row r="252">
          <cell r="D252" t="str">
            <v>1/2" Hex NEO 35</v>
          </cell>
          <cell r="E252">
            <v>1</v>
          </cell>
          <cell r="I252">
            <v>0</v>
          </cell>
        </row>
        <row r="253">
          <cell r="D253" t="str">
            <v>1/2" Hex NEO 36</v>
          </cell>
          <cell r="E253">
            <v>1</v>
          </cell>
          <cell r="I253">
            <v>0</v>
          </cell>
        </row>
        <row r="254">
          <cell r="D254" t="str">
            <v>1/2" Hex NEO 40</v>
          </cell>
          <cell r="E254">
            <v>1</v>
          </cell>
          <cell r="I254">
            <v>0</v>
          </cell>
        </row>
        <row r="255">
          <cell r="D255" t="str">
            <v>1/2" Hex NEO 45</v>
          </cell>
          <cell r="E255">
            <v>1</v>
          </cell>
          <cell r="I255">
            <v>0</v>
          </cell>
        </row>
        <row r="256">
          <cell r="D256" t="str">
            <v>1/2" Hex NEO 49</v>
          </cell>
          <cell r="E256">
            <v>0</v>
          </cell>
          <cell r="I256">
            <v>0</v>
          </cell>
        </row>
        <row r="257">
          <cell r="D257" t="str">
            <v>1/2" Hex NEO 50</v>
          </cell>
          <cell r="E257">
            <v>0</v>
          </cell>
          <cell r="I257">
            <v>0</v>
          </cell>
        </row>
        <row r="258">
          <cell r="D258" t="str">
            <v>1/2" Hex NEO 63</v>
          </cell>
          <cell r="E258">
            <v>0</v>
          </cell>
          <cell r="I258">
            <v>0</v>
          </cell>
        </row>
        <row r="259">
          <cell r="D259" t="str">
            <v>1/2" Hex NEO 70</v>
          </cell>
          <cell r="E259">
            <v>0</v>
          </cell>
          <cell r="I259">
            <v>0</v>
          </cell>
        </row>
        <row r="260">
          <cell r="D260" t="str">
            <v>1/2" Hex NEO 81</v>
          </cell>
          <cell r="E260">
            <v>0</v>
          </cell>
          <cell r="I260">
            <v>0</v>
          </cell>
        </row>
        <row r="261">
          <cell r="D261" t="str">
            <v>1/2" Hex NEO 90</v>
          </cell>
          <cell r="E261">
            <v>0</v>
          </cell>
          <cell r="I261">
            <v>0</v>
          </cell>
        </row>
        <row r="262">
          <cell r="D262" t="str">
            <v>1/2" Hex NEO 100</v>
          </cell>
          <cell r="E262">
            <v>0</v>
          </cell>
          <cell r="I262">
            <v>0</v>
          </cell>
        </row>
        <row r="263">
          <cell r="D263" t="str">
            <v>1/2" Hex Falcon 500 -3</v>
          </cell>
          <cell r="E263">
            <v>1</v>
          </cell>
          <cell r="I263">
            <v>0</v>
          </cell>
        </row>
        <row r="264">
          <cell r="D264" t="str">
            <v>1/2" Hex Falcon 500 -4</v>
          </cell>
          <cell r="E264">
            <v>1</v>
          </cell>
          <cell r="I264">
            <v>0</v>
          </cell>
        </row>
        <row r="265">
          <cell r="D265" t="str">
            <v>1/2" Hex Falcon 500 -5</v>
          </cell>
          <cell r="E265">
            <v>1</v>
          </cell>
          <cell r="I265">
            <v>0</v>
          </cell>
        </row>
        <row r="266">
          <cell r="D266" t="str">
            <v>1/2" Hex Falcon 500 -7</v>
          </cell>
          <cell r="E266">
            <v>1</v>
          </cell>
          <cell r="I266">
            <v>0</v>
          </cell>
        </row>
        <row r="267">
          <cell r="D267" t="str">
            <v>1/2" Hex Falcon 500 -9</v>
          </cell>
          <cell r="E267">
            <v>1</v>
          </cell>
          <cell r="I267">
            <v>0</v>
          </cell>
        </row>
        <row r="268">
          <cell r="D268" t="str">
            <v>1/2" Hex Falcon 500 -10</v>
          </cell>
          <cell r="E268">
            <v>1</v>
          </cell>
          <cell r="I268">
            <v>0</v>
          </cell>
        </row>
        <row r="269">
          <cell r="D269" t="str">
            <v>1/2" Hex Falcon 500 9</v>
          </cell>
          <cell r="E269">
            <v>3</v>
          </cell>
          <cell r="I269">
            <v>0</v>
          </cell>
        </row>
        <row r="270">
          <cell r="D270" t="str">
            <v>1/2" Hex Falcon 500 12</v>
          </cell>
          <cell r="E270">
            <v>1</v>
          </cell>
          <cell r="I270">
            <v>0</v>
          </cell>
        </row>
        <row r="271">
          <cell r="D271" t="str">
            <v>1/2" Hex Falcon 500 15</v>
          </cell>
          <cell r="E271">
            <v>1</v>
          </cell>
          <cell r="I271">
            <v>0</v>
          </cell>
        </row>
        <row r="272">
          <cell r="D272" t="str">
            <v>1/2" Hex Falcon 500 16</v>
          </cell>
          <cell r="E272">
            <v>1</v>
          </cell>
          <cell r="I272">
            <v>0</v>
          </cell>
        </row>
        <row r="273">
          <cell r="D273" t="str">
            <v>1/2" Hex Falcon 500 20</v>
          </cell>
          <cell r="E273">
            <v>1</v>
          </cell>
          <cell r="I273">
            <v>0</v>
          </cell>
        </row>
        <row r="274">
          <cell r="D274" t="str">
            <v>1/2" Hex Falcon 500 21</v>
          </cell>
          <cell r="E274">
            <v>1</v>
          </cell>
          <cell r="I274">
            <v>0</v>
          </cell>
        </row>
        <row r="275">
          <cell r="D275" t="str">
            <v>1/2" Hex Falcon 500 25</v>
          </cell>
          <cell r="E275">
            <v>1</v>
          </cell>
          <cell r="I275">
            <v>0</v>
          </cell>
        </row>
        <row r="276">
          <cell r="D276" t="str">
            <v>1/2" Hex Falcon 500 27</v>
          </cell>
          <cell r="E276">
            <v>1</v>
          </cell>
          <cell r="I276">
            <v>0</v>
          </cell>
        </row>
        <row r="277">
          <cell r="D277" t="str">
            <v>1/2" Hex Falcon 500 28</v>
          </cell>
          <cell r="E277">
            <v>1</v>
          </cell>
          <cell r="I277">
            <v>0</v>
          </cell>
        </row>
        <row r="278">
          <cell r="D278" t="str">
            <v>1/2" Hex Falcon 500 30</v>
          </cell>
          <cell r="E278">
            <v>1</v>
          </cell>
          <cell r="I278">
            <v>0</v>
          </cell>
        </row>
        <row r="279">
          <cell r="D279" t="str">
            <v>1/2" Hex Falcon 500 35</v>
          </cell>
          <cell r="E279">
            <v>0</v>
          </cell>
          <cell r="I279">
            <v>0</v>
          </cell>
        </row>
        <row r="280">
          <cell r="D280" t="str">
            <v>1/2" Hex Falcon 500 36</v>
          </cell>
          <cell r="E280">
            <v>0</v>
          </cell>
          <cell r="I280">
            <v>0</v>
          </cell>
        </row>
        <row r="281">
          <cell r="D281" t="str">
            <v>1/2" Hex Falcon 500 40</v>
          </cell>
          <cell r="E281">
            <v>0</v>
          </cell>
          <cell r="I281">
            <v>0</v>
          </cell>
        </row>
        <row r="282">
          <cell r="D282" t="str">
            <v>1/2" Hex Falcon 500 45</v>
          </cell>
          <cell r="E282">
            <v>0</v>
          </cell>
          <cell r="I282">
            <v>0</v>
          </cell>
        </row>
        <row r="283">
          <cell r="D283" t="str">
            <v>1/2" Hex Falcon 500 49</v>
          </cell>
          <cell r="E283">
            <v>0</v>
          </cell>
          <cell r="I283">
            <v>0</v>
          </cell>
        </row>
        <row r="284">
          <cell r="D284" t="str">
            <v>1/2" Hex Falcon 500 50</v>
          </cell>
          <cell r="E284">
            <v>0</v>
          </cell>
          <cell r="I284">
            <v>0</v>
          </cell>
        </row>
        <row r="285">
          <cell r="D285" t="str">
            <v>1/2" Hex Falcon 500 63</v>
          </cell>
          <cell r="E285">
            <v>0</v>
          </cell>
          <cell r="I285">
            <v>0</v>
          </cell>
        </row>
        <row r="286">
          <cell r="D286" t="str">
            <v>1/2" Hex Falcon 500 70</v>
          </cell>
          <cell r="E286">
            <v>0</v>
          </cell>
          <cell r="I286">
            <v>0</v>
          </cell>
        </row>
        <row r="287">
          <cell r="D287" t="str">
            <v>1/2" Hex Falcon 500 81</v>
          </cell>
          <cell r="E287">
            <v>0</v>
          </cell>
          <cell r="I287">
            <v>0</v>
          </cell>
        </row>
        <row r="288">
          <cell r="D288" t="str">
            <v>1/2" Hex Falcon 500 90</v>
          </cell>
          <cell r="E288">
            <v>0</v>
          </cell>
          <cell r="I288">
            <v>0</v>
          </cell>
        </row>
        <row r="289">
          <cell r="D289" t="str">
            <v>1/2" Hex Falcon 500 100</v>
          </cell>
          <cell r="E289">
            <v>0</v>
          </cell>
          <cell r="I289">
            <v>0</v>
          </cell>
        </row>
        <row r="290">
          <cell r="D290" t="str">
            <v>1/2" Round AM 9015 -3</v>
          </cell>
          <cell r="E290">
            <v>1</v>
          </cell>
          <cell r="I290">
            <v>1</v>
          </cell>
        </row>
        <row r="291">
          <cell r="D291" t="str">
            <v>1/2" Round AM 9015 -4</v>
          </cell>
          <cell r="E291">
            <v>1</v>
          </cell>
          <cell r="I291">
            <v>1</v>
          </cell>
        </row>
        <row r="292">
          <cell r="D292" t="str">
            <v>1/2" Round AM 9015 -5</v>
          </cell>
          <cell r="E292">
            <v>1</v>
          </cell>
          <cell r="I292">
            <v>1</v>
          </cell>
        </row>
        <row r="293">
          <cell r="D293" t="str">
            <v>1/2" Round AM 9015 -7</v>
          </cell>
          <cell r="E293">
            <v>1</v>
          </cell>
          <cell r="I293">
            <v>1</v>
          </cell>
        </row>
        <row r="294">
          <cell r="D294" t="str">
            <v>1/2" Round AM 9015 -9</v>
          </cell>
          <cell r="E294">
            <v>1</v>
          </cell>
          <cell r="I294">
            <v>1</v>
          </cell>
        </row>
        <row r="295">
          <cell r="D295" t="str">
            <v>1/2" Round AM 9015 -10</v>
          </cell>
          <cell r="E295">
            <v>1</v>
          </cell>
          <cell r="I295">
            <v>1</v>
          </cell>
        </row>
        <row r="296">
          <cell r="D296" t="str">
            <v>1/2" Round AM 9015 9</v>
          </cell>
          <cell r="E296">
            <v>10</v>
          </cell>
          <cell r="I296">
            <v>10</v>
          </cell>
        </row>
        <row r="297">
          <cell r="D297" t="str">
            <v>1/2" Round AM 9015 12</v>
          </cell>
          <cell r="E297">
            <v>10</v>
          </cell>
          <cell r="I297">
            <v>7</v>
          </cell>
        </row>
        <row r="298">
          <cell r="D298" t="str">
            <v>1/2" Round AM 9015 15</v>
          </cell>
          <cell r="E298">
            <v>10</v>
          </cell>
          <cell r="I298">
            <v>5</v>
          </cell>
        </row>
        <row r="299">
          <cell r="D299" t="str">
            <v>1/2" Round AM 9015 16</v>
          </cell>
          <cell r="E299">
            <v>10</v>
          </cell>
          <cell r="I299">
            <v>5</v>
          </cell>
        </row>
        <row r="300">
          <cell r="D300" t="str">
            <v>1/2" Round AM 9015 20</v>
          </cell>
          <cell r="E300">
            <v>10</v>
          </cell>
          <cell r="I300">
            <v>4</v>
          </cell>
        </row>
        <row r="301">
          <cell r="D301" t="str">
            <v>1/2" Round AM 9015 21</v>
          </cell>
          <cell r="E301">
            <v>10</v>
          </cell>
          <cell r="I301">
            <v>4</v>
          </cell>
        </row>
        <row r="302">
          <cell r="D302" t="str">
            <v>1/2" Round AM 9015 25</v>
          </cell>
          <cell r="E302">
            <v>7</v>
          </cell>
          <cell r="I302">
            <v>3</v>
          </cell>
        </row>
        <row r="303">
          <cell r="D303" t="str">
            <v>1/2" Round AM 9015 27</v>
          </cell>
          <cell r="E303">
            <v>7</v>
          </cell>
          <cell r="I303">
            <v>3</v>
          </cell>
        </row>
        <row r="304">
          <cell r="D304" t="str">
            <v>1/2" Round AM 9015 28</v>
          </cell>
          <cell r="E304">
            <v>7</v>
          </cell>
          <cell r="I304">
            <v>3</v>
          </cell>
        </row>
        <row r="305">
          <cell r="D305" t="str">
            <v>1/2" Round AM 9015 30</v>
          </cell>
          <cell r="E305">
            <v>7</v>
          </cell>
          <cell r="I305">
            <v>3</v>
          </cell>
        </row>
        <row r="306">
          <cell r="D306" t="str">
            <v>1/2" Round AM 9015 35</v>
          </cell>
          <cell r="E306">
            <v>5</v>
          </cell>
          <cell r="I306">
            <v>1</v>
          </cell>
        </row>
        <row r="307">
          <cell r="D307" t="str">
            <v>1/2" Round AM 9015 36</v>
          </cell>
          <cell r="E307">
            <v>5</v>
          </cell>
          <cell r="I307">
            <v>1</v>
          </cell>
        </row>
        <row r="308">
          <cell r="D308" t="str">
            <v>1/2" Round AM 9015 40</v>
          </cell>
          <cell r="E308">
            <v>5</v>
          </cell>
          <cell r="I308">
            <v>1</v>
          </cell>
        </row>
        <row r="309">
          <cell r="D309" t="str">
            <v>1/2" Round AM 9015 45</v>
          </cell>
          <cell r="E309">
            <v>5</v>
          </cell>
          <cell r="I309">
            <v>1</v>
          </cell>
        </row>
        <row r="310">
          <cell r="D310" t="str">
            <v>1/2" Round AM 9015 49</v>
          </cell>
          <cell r="E310">
            <v>5</v>
          </cell>
          <cell r="I310">
            <v>1</v>
          </cell>
        </row>
        <row r="311">
          <cell r="D311" t="str">
            <v>1/2" Round AM 9015 50</v>
          </cell>
          <cell r="E311">
            <v>5</v>
          </cell>
          <cell r="I311">
            <v>1</v>
          </cell>
        </row>
        <row r="312">
          <cell r="D312" t="str">
            <v>1/2" Round AM 9015 63</v>
          </cell>
          <cell r="E312">
            <v>4</v>
          </cell>
          <cell r="I312">
            <v>1</v>
          </cell>
        </row>
        <row r="313">
          <cell r="D313" t="str">
            <v>1/2" Round AM 9015 70</v>
          </cell>
          <cell r="E313">
            <v>4</v>
          </cell>
          <cell r="I313">
            <v>1</v>
          </cell>
        </row>
        <row r="314">
          <cell r="D314" t="str">
            <v>1/2" Round AM 9015 81</v>
          </cell>
          <cell r="E314">
            <v>3</v>
          </cell>
          <cell r="I314">
            <v>1</v>
          </cell>
        </row>
        <row r="315">
          <cell r="D315" t="str">
            <v>1/2" Round AM 9015 90</v>
          </cell>
          <cell r="E315">
            <v>3</v>
          </cell>
          <cell r="I315">
            <v>1</v>
          </cell>
        </row>
        <row r="316">
          <cell r="D316" t="str">
            <v>1/2" Round AM 9015 100</v>
          </cell>
          <cell r="E316">
            <v>1</v>
          </cell>
          <cell r="I316">
            <v>0</v>
          </cell>
        </row>
        <row r="317">
          <cell r="D317" t="str">
            <v>1/2" Round BB RS-550 -3</v>
          </cell>
          <cell r="E317">
            <v>1</v>
          </cell>
          <cell r="F317">
            <v>1</v>
          </cell>
          <cell r="G317">
            <v>1</v>
          </cell>
          <cell r="H317">
            <v>1</v>
          </cell>
          <cell r="I317">
            <v>1</v>
          </cell>
        </row>
        <row r="318">
          <cell r="D318" t="str">
            <v>1/2" Round BB RS-550 -4</v>
          </cell>
          <cell r="E318">
            <v>1</v>
          </cell>
          <cell r="F318">
            <v>1</v>
          </cell>
          <cell r="G318">
            <v>1</v>
          </cell>
          <cell r="H318">
            <v>0</v>
          </cell>
          <cell r="I318">
            <v>1</v>
          </cell>
        </row>
        <row r="319">
          <cell r="D319" t="str">
            <v>1/2" Round BB RS-550 -5</v>
          </cell>
          <cell r="E319">
            <v>1</v>
          </cell>
          <cell r="F319">
            <v>1</v>
          </cell>
          <cell r="G319">
            <v>1</v>
          </cell>
          <cell r="H319">
            <v>0</v>
          </cell>
          <cell r="I319">
            <v>1</v>
          </cell>
        </row>
        <row r="320">
          <cell r="D320" t="str">
            <v>1/2" Round BB RS-550 -7</v>
          </cell>
          <cell r="E320">
            <v>1</v>
          </cell>
          <cell r="F320">
            <v>1</v>
          </cell>
          <cell r="G320">
            <v>1</v>
          </cell>
          <cell r="H320">
            <v>0</v>
          </cell>
          <cell r="I320">
            <v>1</v>
          </cell>
        </row>
        <row r="321">
          <cell r="D321" t="str">
            <v>1/2" Round BB RS-550 -9</v>
          </cell>
          <cell r="E321">
            <v>1</v>
          </cell>
          <cell r="F321">
            <v>1</v>
          </cell>
          <cell r="G321">
            <v>0</v>
          </cell>
          <cell r="H321">
            <v>0</v>
          </cell>
          <cell r="I321">
            <v>1</v>
          </cell>
        </row>
        <row r="322">
          <cell r="D322" t="str">
            <v>1/2" Round BB RS-550 -10</v>
          </cell>
          <cell r="E322">
            <v>1</v>
          </cell>
          <cell r="F322">
            <v>1</v>
          </cell>
          <cell r="G322">
            <v>0</v>
          </cell>
          <cell r="H322">
            <v>0</v>
          </cell>
          <cell r="I322">
            <v>1</v>
          </cell>
        </row>
        <row r="323">
          <cell r="D323" t="str">
            <v>1/2" Round BB RS-550 9</v>
          </cell>
          <cell r="E323">
            <v>10</v>
          </cell>
          <cell r="F323">
            <v>10</v>
          </cell>
          <cell r="G323">
            <v>1</v>
          </cell>
          <cell r="H323">
            <v>0</v>
          </cell>
          <cell r="I323">
            <v>10</v>
          </cell>
        </row>
        <row r="324">
          <cell r="D324" t="str">
            <v>1/2" Round BB RS-550 12</v>
          </cell>
          <cell r="E324">
            <v>10</v>
          </cell>
          <cell r="F324">
            <v>7</v>
          </cell>
          <cell r="G324">
            <v>0</v>
          </cell>
          <cell r="H324">
            <v>0</v>
          </cell>
          <cell r="I324">
            <v>7</v>
          </cell>
        </row>
        <row r="325">
          <cell r="D325" t="str">
            <v>1/2" Round BB RS-550 15</v>
          </cell>
          <cell r="E325">
            <v>10</v>
          </cell>
          <cell r="F325">
            <v>5</v>
          </cell>
          <cell r="G325">
            <v>0</v>
          </cell>
          <cell r="H325">
            <v>0</v>
          </cell>
          <cell r="I325">
            <v>5</v>
          </cell>
        </row>
        <row r="326">
          <cell r="D326" t="str">
            <v>1/2" Round BB RS-550 16</v>
          </cell>
          <cell r="E326">
            <v>10</v>
          </cell>
          <cell r="F326">
            <v>5</v>
          </cell>
          <cell r="G326">
            <v>0</v>
          </cell>
          <cell r="H326">
            <v>0</v>
          </cell>
          <cell r="I326">
            <v>5</v>
          </cell>
        </row>
        <row r="327">
          <cell r="D327" t="str">
            <v>1/2" Round BB RS-550 20</v>
          </cell>
          <cell r="E327">
            <v>9</v>
          </cell>
          <cell r="F327">
            <v>5</v>
          </cell>
          <cell r="G327">
            <v>0</v>
          </cell>
          <cell r="H327">
            <v>0</v>
          </cell>
          <cell r="I327">
            <v>4</v>
          </cell>
        </row>
        <row r="328">
          <cell r="D328" t="str">
            <v>1/2" Round BB RS-550 21</v>
          </cell>
          <cell r="E328">
            <v>9</v>
          </cell>
          <cell r="F328">
            <v>5</v>
          </cell>
          <cell r="G328">
            <v>0</v>
          </cell>
          <cell r="H328">
            <v>0</v>
          </cell>
          <cell r="I328">
            <v>4</v>
          </cell>
        </row>
        <row r="329">
          <cell r="D329" t="str">
            <v>1/2" Round BB RS-550 25</v>
          </cell>
          <cell r="E329">
            <v>7</v>
          </cell>
          <cell r="F329">
            <v>5</v>
          </cell>
          <cell r="G329">
            <v>0</v>
          </cell>
          <cell r="H329">
            <v>0</v>
          </cell>
          <cell r="I329">
            <v>3</v>
          </cell>
        </row>
        <row r="330">
          <cell r="D330" t="str">
            <v>1/2" Round BB RS-550 27</v>
          </cell>
          <cell r="E330">
            <v>7</v>
          </cell>
          <cell r="F330">
            <v>4</v>
          </cell>
          <cell r="G330">
            <v>0</v>
          </cell>
          <cell r="H330">
            <v>0</v>
          </cell>
          <cell r="I330">
            <v>3</v>
          </cell>
        </row>
        <row r="331">
          <cell r="D331" t="str">
            <v>1/2" Round BB RS-550 28</v>
          </cell>
          <cell r="E331">
            <v>7</v>
          </cell>
          <cell r="F331">
            <v>4</v>
          </cell>
          <cell r="G331">
            <v>0</v>
          </cell>
          <cell r="H331">
            <v>0</v>
          </cell>
          <cell r="I331">
            <v>3</v>
          </cell>
        </row>
        <row r="332">
          <cell r="D332" t="str">
            <v>1/2" Round BB RS-550 30</v>
          </cell>
          <cell r="E332">
            <v>5</v>
          </cell>
          <cell r="F332">
            <v>4</v>
          </cell>
          <cell r="G332">
            <v>0</v>
          </cell>
          <cell r="H332">
            <v>0</v>
          </cell>
          <cell r="I332">
            <v>3</v>
          </cell>
        </row>
        <row r="333">
          <cell r="D333" t="str">
            <v>1/2" Round BB RS-550 35</v>
          </cell>
          <cell r="E333">
            <v>5</v>
          </cell>
          <cell r="F333">
            <v>3</v>
          </cell>
          <cell r="G333">
            <v>0</v>
          </cell>
          <cell r="H333">
            <v>0</v>
          </cell>
          <cell r="I333">
            <v>1</v>
          </cell>
        </row>
        <row r="334">
          <cell r="D334" t="str">
            <v>1/2" Round BB RS-550 36</v>
          </cell>
          <cell r="E334">
            <v>5</v>
          </cell>
          <cell r="F334">
            <v>3</v>
          </cell>
          <cell r="G334">
            <v>0</v>
          </cell>
          <cell r="H334">
            <v>0</v>
          </cell>
          <cell r="I334">
            <v>1</v>
          </cell>
        </row>
        <row r="335">
          <cell r="D335" t="str">
            <v>1/2" Round BB RS-550 40</v>
          </cell>
          <cell r="E335">
            <v>5</v>
          </cell>
          <cell r="F335">
            <v>3</v>
          </cell>
          <cell r="G335">
            <v>0</v>
          </cell>
          <cell r="H335">
            <v>0</v>
          </cell>
          <cell r="I335">
            <v>1</v>
          </cell>
        </row>
        <row r="336">
          <cell r="D336" t="str">
            <v>1/2" Round BB RS-550 45</v>
          </cell>
          <cell r="E336">
            <v>5</v>
          </cell>
          <cell r="F336">
            <v>1</v>
          </cell>
          <cell r="G336">
            <v>0</v>
          </cell>
          <cell r="H336">
            <v>0</v>
          </cell>
          <cell r="I336">
            <v>1</v>
          </cell>
        </row>
        <row r="337">
          <cell r="D337" t="str">
            <v>1/2" Round BB RS-550 49</v>
          </cell>
          <cell r="E337">
            <v>5</v>
          </cell>
          <cell r="F337">
            <v>1</v>
          </cell>
          <cell r="G337">
            <v>0</v>
          </cell>
          <cell r="H337">
            <v>0</v>
          </cell>
          <cell r="I337">
            <v>1</v>
          </cell>
        </row>
        <row r="338">
          <cell r="D338" t="str">
            <v>1/2" Round BB RS-550 50</v>
          </cell>
          <cell r="E338">
            <v>5</v>
          </cell>
          <cell r="F338">
            <v>1</v>
          </cell>
          <cell r="G338">
            <v>0</v>
          </cell>
          <cell r="H338">
            <v>0</v>
          </cell>
          <cell r="I338">
            <v>1</v>
          </cell>
        </row>
        <row r="339">
          <cell r="D339" t="str">
            <v>1/2" Round BB RS-550 63</v>
          </cell>
          <cell r="E339">
            <v>4</v>
          </cell>
          <cell r="F339">
            <v>1</v>
          </cell>
          <cell r="G339">
            <v>0</v>
          </cell>
          <cell r="H339">
            <v>0</v>
          </cell>
          <cell r="I339">
            <v>1</v>
          </cell>
        </row>
        <row r="340">
          <cell r="D340" t="str">
            <v>1/2" Round BB RS-550 70</v>
          </cell>
          <cell r="E340">
            <v>3</v>
          </cell>
          <cell r="F340">
            <v>1</v>
          </cell>
          <cell r="G340">
            <v>0</v>
          </cell>
          <cell r="H340">
            <v>0</v>
          </cell>
          <cell r="I340">
            <v>1</v>
          </cell>
        </row>
        <row r="341">
          <cell r="D341" t="str">
            <v>1/2" Round BB RS-550 81</v>
          </cell>
          <cell r="E341">
            <v>3</v>
          </cell>
          <cell r="F341">
            <v>1</v>
          </cell>
          <cell r="G341">
            <v>0</v>
          </cell>
          <cell r="H341">
            <v>0</v>
          </cell>
          <cell r="I341">
            <v>1</v>
          </cell>
        </row>
        <row r="342">
          <cell r="D342" t="str">
            <v>1/2" Round BB RS-550 90</v>
          </cell>
          <cell r="E342">
            <v>1</v>
          </cell>
          <cell r="F342">
            <v>1</v>
          </cell>
          <cell r="G342">
            <v>0</v>
          </cell>
          <cell r="H342">
            <v>0</v>
          </cell>
          <cell r="I342">
            <v>1</v>
          </cell>
        </row>
        <row r="343">
          <cell r="D343" t="str">
            <v>1/2" Round BB RS-550 100</v>
          </cell>
          <cell r="E343">
            <v>1</v>
          </cell>
          <cell r="F343">
            <v>0</v>
          </cell>
          <cell r="G343">
            <v>0</v>
          </cell>
          <cell r="H343">
            <v>0</v>
          </cell>
          <cell r="I343">
            <v>0</v>
          </cell>
        </row>
        <row r="344">
          <cell r="D344" t="str">
            <v>1/2" Round BB RS-775 -3</v>
          </cell>
          <cell r="E344">
            <v>1</v>
          </cell>
          <cell r="F344">
            <v>1</v>
          </cell>
          <cell r="G344">
            <v>1</v>
          </cell>
          <cell r="H344">
            <v>0</v>
          </cell>
          <cell r="I344">
            <v>1</v>
          </cell>
        </row>
        <row r="345">
          <cell r="D345" t="str">
            <v>1/2" Round BB RS-775 -4</v>
          </cell>
          <cell r="E345">
            <v>1</v>
          </cell>
          <cell r="F345">
            <v>1</v>
          </cell>
          <cell r="G345">
            <v>1</v>
          </cell>
          <cell r="H345">
            <v>0</v>
          </cell>
          <cell r="I345">
            <v>1</v>
          </cell>
        </row>
        <row r="346">
          <cell r="D346" t="str">
            <v>1/2" Round BB RS-775 -5</v>
          </cell>
          <cell r="E346">
            <v>1</v>
          </cell>
          <cell r="F346">
            <v>1</v>
          </cell>
          <cell r="G346">
            <v>1</v>
          </cell>
          <cell r="H346">
            <v>0</v>
          </cell>
          <cell r="I346">
            <v>1</v>
          </cell>
        </row>
        <row r="347">
          <cell r="D347" t="str">
            <v>1/2" Round BB RS-775 -7</v>
          </cell>
          <cell r="E347">
            <v>1</v>
          </cell>
          <cell r="F347">
            <v>1</v>
          </cell>
          <cell r="G347">
            <v>0</v>
          </cell>
          <cell r="H347">
            <v>0</v>
          </cell>
          <cell r="I347">
            <v>1</v>
          </cell>
        </row>
        <row r="348">
          <cell r="D348" t="str">
            <v>1/2" Round BB RS-775 -9</v>
          </cell>
          <cell r="E348">
            <v>1</v>
          </cell>
          <cell r="F348">
            <v>1</v>
          </cell>
          <cell r="G348">
            <v>0</v>
          </cell>
          <cell r="H348">
            <v>0</v>
          </cell>
          <cell r="I348">
            <v>1</v>
          </cell>
        </row>
        <row r="349">
          <cell r="D349" t="str">
            <v>1/2" Round BB RS-775 -10</v>
          </cell>
          <cell r="E349">
            <v>1</v>
          </cell>
          <cell r="F349">
            <v>1</v>
          </cell>
          <cell r="G349">
            <v>0</v>
          </cell>
          <cell r="H349">
            <v>0</v>
          </cell>
          <cell r="I349">
            <v>1</v>
          </cell>
        </row>
        <row r="350">
          <cell r="D350" t="str">
            <v>1/2" Round BB RS-775 9</v>
          </cell>
          <cell r="E350">
            <v>10</v>
          </cell>
          <cell r="F350">
            <v>5</v>
          </cell>
          <cell r="G350">
            <v>0</v>
          </cell>
          <cell r="H350">
            <v>0</v>
          </cell>
          <cell r="I350">
            <v>10</v>
          </cell>
        </row>
        <row r="351">
          <cell r="D351" t="str">
            <v>1/2" Round BB RS-775 12</v>
          </cell>
          <cell r="E351">
            <v>10</v>
          </cell>
          <cell r="F351">
            <v>5</v>
          </cell>
          <cell r="G351">
            <v>0</v>
          </cell>
          <cell r="H351">
            <v>0</v>
          </cell>
          <cell r="I351">
            <v>10</v>
          </cell>
        </row>
        <row r="352">
          <cell r="D352" t="str">
            <v>1/2" Round BB RS-775 15</v>
          </cell>
          <cell r="E352">
            <v>7</v>
          </cell>
          <cell r="F352">
            <v>5</v>
          </cell>
          <cell r="G352">
            <v>0</v>
          </cell>
          <cell r="H352">
            <v>0</v>
          </cell>
          <cell r="I352">
            <v>7</v>
          </cell>
        </row>
        <row r="353">
          <cell r="D353" t="str">
            <v>1/2" Round BB RS-775 16</v>
          </cell>
          <cell r="E353">
            <v>7</v>
          </cell>
          <cell r="F353">
            <v>5</v>
          </cell>
          <cell r="G353">
            <v>0</v>
          </cell>
          <cell r="H353">
            <v>0</v>
          </cell>
          <cell r="I353">
            <v>7</v>
          </cell>
        </row>
        <row r="354">
          <cell r="D354" t="str">
            <v>1/2" Round BB RS-775 20</v>
          </cell>
          <cell r="E354">
            <v>5</v>
          </cell>
          <cell r="F354">
            <v>4</v>
          </cell>
          <cell r="G354">
            <v>0</v>
          </cell>
          <cell r="H354">
            <v>0</v>
          </cell>
          <cell r="I354">
            <v>5</v>
          </cell>
        </row>
        <row r="355">
          <cell r="D355" t="str">
            <v>1/2" Round BB RS-775 21</v>
          </cell>
          <cell r="E355">
            <v>5</v>
          </cell>
          <cell r="F355">
            <v>3</v>
          </cell>
          <cell r="G355">
            <v>0</v>
          </cell>
          <cell r="H355">
            <v>0</v>
          </cell>
          <cell r="I355">
            <v>5</v>
          </cell>
        </row>
        <row r="356">
          <cell r="D356" t="str">
            <v>1/2" Round BB RS-775 25</v>
          </cell>
          <cell r="E356">
            <v>5</v>
          </cell>
          <cell r="F356">
            <v>3</v>
          </cell>
          <cell r="G356">
            <v>0</v>
          </cell>
          <cell r="H356">
            <v>0</v>
          </cell>
          <cell r="I356">
            <v>5</v>
          </cell>
        </row>
        <row r="357">
          <cell r="D357" t="str">
            <v>1/2" Round BB RS-775 27</v>
          </cell>
          <cell r="E357">
            <v>5</v>
          </cell>
          <cell r="F357">
            <v>3</v>
          </cell>
          <cell r="G357">
            <v>0</v>
          </cell>
          <cell r="H357">
            <v>0</v>
          </cell>
          <cell r="I357">
            <v>4</v>
          </cell>
        </row>
        <row r="358">
          <cell r="D358" t="str">
            <v>1/2" Round BB RS-775 28</v>
          </cell>
          <cell r="E358">
            <v>5</v>
          </cell>
          <cell r="F358">
            <v>1</v>
          </cell>
          <cell r="G358">
            <v>0</v>
          </cell>
          <cell r="H358">
            <v>0</v>
          </cell>
          <cell r="I358">
            <v>4</v>
          </cell>
        </row>
        <row r="359">
          <cell r="D359" t="str">
            <v>1/2" Round BB RS-775 30</v>
          </cell>
          <cell r="E359">
            <v>5</v>
          </cell>
          <cell r="F359">
            <v>1</v>
          </cell>
          <cell r="G359">
            <v>0</v>
          </cell>
          <cell r="H359">
            <v>0</v>
          </cell>
          <cell r="I359">
            <v>4</v>
          </cell>
        </row>
        <row r="360">
          <cell r="D360" t="str">
            <v>1/2" Round BB RS-775 35</v>
          </cell>
          <cell r="E360">
            <v>4</v>
          </cell>
          <cell r="F360">
            <v>1</v>
          </cell>
          <cell r="G360">
            <v>0</v>
          </cell>
          <cell r="H360">
            <v>0</v>
          </cell>
          <cell r="I360">
            <v>3</v>
          </cell>
        </row>
        <row r="361">
          <cell r="D361" t="str">
            <v>1/2" Round BB RS-775 36</v>
          </cell>
          <cell r="E361">
            <v>4</v>
          </cell>
          <cell r="F361">
            <v>1</v>
          </cell>
          <cell r="G361">
            <v>0</v>
          </cell>
          <cell r="H361">
            <v>0</v>
          </cell>
          <cell r="I361">
            <v>3</v>
          </cell>
        </row>
        <row r="362">
          <cell r="D362" t="str">
            <v>1/2" Round BB RS-775 40</v>
          </cell>
          <cell r="E362">
            <v>4</v>
          </cell>
          <cell r="F362">
            <v>1</v>
          </cell>
          <cell r="G362">
            <v>0</v>
          </cell>
          <cell r="H362">
            <v>0</v>
          </cell>
          <cell r="I362">
            <v>3</v>
          </cell>
        </row>
        <row r="363">
          <cell r="D363" t="str">
            <v>1/2" Round BB RS-775 45</v>
          </cell>
          <cell r="E363">
            <v>3</v>
          </cell>
          <cell r="F363">
            <v>1</v>
          </cell>
          <cell r="G363">
            <v>0</v>
          </cell>
          <cell r="H363">
            <v>0</v>
          </cell>
          <cell r="I363">
            <v>1</v>
          </cell>
        </row>
        <row r="364">
          <cell r="D364" t="str">
            <v>1/2" Round BB RS-775 49</v>
          </cell>
          <cell r="E364">
            <v>3</v>
          </cell>
          <cell r="F364">
            <v>1</v>
          </cell>
          <cell r="G364">
            <v>0</v>
          </cell>
          <cell r="H364">
            <v>0</v>
          </cell>
          <cell r="I364">
            <v>1</v>
          </cell>
        </row>
        <row r="365">
          <cell r="D365" t="str">
            <v>1/2" Round BB RS-775 50</v>
          </cell>
          <cell r="E365">
            <v>3</v>
          </cell>
          <cell r="F365">
            <v>1</v>
          </cell>
          <cell r="G365">
            <v>0</v>
          </cell>
          <cell r="H365">
            <v>0</v>
          </cell>
          <cell r="I365">
            <v>1</v>
          </cell>
        </row>
        <row r="366">
          <cell r="D366" t="str">
            <v>1/2" Round BB RS-775 63</v>
          </cell>
          <cell r="E366">
            <v>1</v>
          </cell>
          <cell r="F366">
            <v>0</v>
          </cell>
          <cell r="G366">
            <v>0</v>
          </cell>
          <cell r="H366">
            <v>0</v>
          </cell>
          <cell r="I366">
            <v>1</v>
          </cell>
        </row>
        <row r="367">
          <cell r="D367" t="str">
            <v>1/2" Round BB RS-775 70</v>
          </cell>
          <cell r="E367">
            <v>1</v>
          </cell>
          <cell r="F367">
            <v>0</v>
          </cell>
          <cell r="G367">
            <v>0</v>
          </cell>
          <cell r="H367">
            <v>0</v>
          </cell>
          <cell r="I367">
            <v>1</v>
          </cell>
        </row>
        <row r="368">
          <cell r="D368" t="str">
            <v>1/2" Round BB RS-775 81</v>
          </cell>
          <cell r="E368">
            <v>1</v>
          </cell>
          <cell r="F368">
            <v>0</v>
          </cell>
          <cell r="G368">
            <v>0</v>
          </cell>
          <cell r="H368">
            <v>0</v>
          </cell>
          <cell r="I368">
            <v>1</v>
          </cell>
        </row>
        <row r="369">
          <cell r="D369" t="str">
            <v>1/2" Round BB RS-775 90</v>
          </cell>
          <cell r="E369">
            <v>1</v>
          </cell>
          <cell r="F369">
            <v>0</v>
          </cell>
          <cell r="G369">
            <v>0</v>
          </cell>
          <cell r="H369">
            <v>0</v>
          </cell>
          <cell r="I369">
            <v>1</v>
          </cell>
        </row>
        <row r="370">
          <cell r="D370" t="str">
            <v>1/2" Round BB RS-775 100</v>
          </cell>
          <cell r="E370">
            <v>1</v>
          </cell>
          <cell r="F370">
            <v>0</v>
          </cell>
          <cell r="G370">
            <v>0</v>
          </cell>
          <cell r="H370">
            <v>0</v>
          </cell>
          <cell r="I370">
            <v>1</v>
          </cell>
        </row>
        <row r="371">
          <cell r="D371" t="str">
            <v>1/2" Round BAG Motor -3</v>
          </cell>
          <cell r="E371">
            <v>1</v>
          </cell>
          <cell r="F371">
            <v>1</v>
          </cell>
          <cell r="G371">
            <v>1</v>
          </cell>
          <cell r="H371">
            <v>0</v>
          </cell>
          <cell r="I371">
            <v>1</v>
          </cell>
        </row>
        <row r="372">
          <cell r="D372" t="str">
            <v>1/2" Round BAG Motor -4</v>
          </cell>
          <cell r="E372">
            <v>1</v>
          </cell>
          <cell r="F372">
            <v>1</v>
          </cell>
          <cell r="G372">
            <v>1</v>
          </cell>
          <cell r="H372">
            <v>0</v>
          </cell>
          <cell r="I372">
            <v>1</v>
          </cell>
        </row>
        <row r="373">
          <cell r="D373" t="str">
            <v>1/2" Round BAG Motor -5</v>
          </cell>
          <cell r="E373">
            <v>1</v>
          </cell>
          <cell r="F373">
            <v>1</v>
          </cell>
          <cell r="G373">
            <v>1</v>
          </cell>
          <cell r="H373">
            <v>0</v>
          </cell>
          <cell r="I373">
            <v>1</v>
          </cell>
        </row>
        <row r="374">
          <cell r="D374" t="str">
            <v>1/2" Round BAG Motor -7</v>
          </cell>
          <cell r="E374">
            <v>1</v>
          </cell>
          <cell r="F374">
            <v>1</v>
          </cell>
          <cell r="G374">
            <v>1</v>
          </cell>
          <cell r="H374">
            <v>0</v>
          </cell>
          <cell r="I374">
            <v>1</v>
          </cell>
        </row>
        <row r="375">
          <cell r="D375" t="str">
            <v>1/2" Round BAG Motor -9</v>
          </cell>
          <cell r="E375">
            <v>1</v>
          </cell>
          <cell r="F375">
            <v>1</v>
          </cell>
          <cell r="G375">
            <v>0</v>
          </cell>
          <cell r="H375">
            <v>0</v>
          </cell>
          <cell r="I375">
            <v>1</v>
          </cell>
        </row>
        <row r="376">
          <cell r="D376" t="str">
            <v>1/2" Round BAG Motor -10</v>
          </cell>
          <cell r="E376">
            <v>1</v>
          </cell>
          <cell r="F376">
            <v>1</v>
          </cell>
          <cell r="G376">
            <v>0</v>
          </cell>
          <cell r="H376">
            <v>0</v>
          </cell>
          <cell r="I376">
            <v>1</v>
          </cell>
        </row>
        <row r="377">
          <cell r="D377" t="str">
            <v>1/2" Round BAG Motor 9</v>
          </cell>
          <cell r="E377">
            <v>10</v>
          </cell>
          <cell r="F377">
            <v>10</v>
          </cell>
          <cell r="G377">
            <v>1</v>
          </cell>
          <cell r="H377">
            <v>0</v>
          </cell>
          <cell r="I377">
            <v>9</v>
          </cell>
        </row>
        <row r="378">
          <cell r="D378" t="str">
            <v>1/2" Round BAG Motor 12</v>
          </cell>
          <cell r="E378">
            <v>10</v>
          </cell>
          <cell r="F378">
            <v>9</v>
          </cell>
          <cell r="G378">
            <v>1</v>
          </cell>
          <cell r="H378">
            <v>0</v>
          </cell>
          <cell r="I378">
            <v>5</v>
          </cell>
        </row>
        <row r="379">
          <cell r="D379" t="str">
            <v>1/2" Round BAG Motor 15</v>
          </cell>
          <cell r="E379">
            <v>10</v>
          </cell>
          <cell r="F379">
            <v>7</v>
          </cell>
          <cell r="G379">
            <v>0</v>
          </cell>
          <cell r="H379">
            <v>0</v>
          </cell>
          <cell r="I379">
            <v>5</v>
          </cell>
        </row>
        <row r="380">
          <cell r="D380" t="str">
            <v>1/2" Round BAG Motor 16</v>
          </cell>
          <cell r="E380">
            <v>10</v>
          </cell>
          <cell r="F380">
            <v>5</v>
          </cell>
          <cell r="G380">
            <v>0</v>
          </cell>
          <cell r="H380">
            <v>0</v>
          </cell>
          <cell r="I380">
            <v>5</v>
          </cell>
        </row>
        <row r="381">
          <cell r="D381" t="str">
            <v>1/2" Round BAG Motor 20</v>
          </cell>
          <cell r="E381">
            <v>10</v>
          </cell>
          <cell r="F381">
            <v>5</v>
          </cell>
          <cell r="G381">
            <v>0</v>
          </cell>
          <cell r="H381">
            <v>0</v>
          </cell>
          <cell r="I381">
            <v>4</v>
          </cell>
        </row>
        <row r="382">
          <cell r="D382" t="str">
            <v>1/2" Round BAG Motor 21</v>
          </cell>
          <cell r="E382">
            <v>10</v>
          </cell>
          <cell r="F382">
            <v>5</v>
          </cell>
          <cell r="G382">
            <v>0</v>
          </cell>
          <cell r="H382">
            <v>0</v>
          </cell>
          <cell r="I382">
            <v>3</v>
          </cell>
        </row>
        <row r="383">
          <cell r="D383" t="str">
            <v>1/2" Round BAG Motor 25</v>
          </cell>
          <cell r="E383">
            <v>7</v>
          </cell>
          <cell r="F383">
            <v>5</v>
          </cell>
          <cell r="G383">
            <v>0</v>
          </cell>
          <cell r="H383">
            <v>0</v>
          </cell>
          <cell r="I383">
            <v>3</v>
          </cell>
        </row>
        <row r="384">
          <cell r="D384" t="str">
            <v>1/2" Round BAG Motor 27</v>
          </cell>
          <cell r="E384">
            <v>7</v>
          </cell>
          <cell r="F384">
            <v>5</v>
          </cell>
          <cell r="G384">
            <v>0</v>
          </cell>
          <cell r="H384">
            <v>0</v>
          </cell>
          <cell r="I384">
            <v>3</v>
          </cell>
        </row>
        <row r="385">
          <cell r="D385" t="str">
            <v>1/2" Round BAG Motor 28</v>
          </cell>
          <cell r="E385">
            <v>7</v>
          </cell>
          <cell r="F385">
            <v>5</v>
          </cell>
          <cell r="G385">
            <v>0</v>
          </cell>
          <cell r="H385">
            <v>0</v>
          </cell>
          <cell r="I385">
            <v>1</v>
          </cell>
        </row>
        <row r="386">
          <cell r="D386" t="str">
            <v>1/2" Round BAG Motor 30</v>
          </cell>
          <cell r="E386">
            <v>7</v>
          </cell>
          <cell r="F386">
            <v>4</v>
          </cell>
          <cell r="G386">
            <v>0</v>
          </cell>
          <cell r="H386">
            <v>0</v>
          </cell>
          <cell r="I386">
            <v>1</v>
          </cell>
        </row>
        <row r="387">
          <cell r="D387" t="str">
            <v>1/2" Round BAG Motor 35</v>
          </cell>
          <cell r="E387">
            <v>5</v>
          </cell>
          <cell r="F387">
            <v>4</v>
          </cell>
          <cell r="G387">
            <v>0</v>
          </cell>
          <cell r="H387">
            <v>0</v>
          </cell>
          <cell r="I387">
            <v>1</v>
          </cell>
        </row>
        <row r="388">
          <cell r="D388" t="str">
            <v>1/2" Round BAG Motor 36</v>
          </cell>
          <cell r="E388">
            <v>5</v>
          </cell>
          <cell r="F388">
            <v>4</v>
          </cell>
          <cell r="G388">
            <v>0</v>
          </cell>
          <cell r="H388">
            <v>0</v>
          </cell>
          <cell r="I388">
            <v>1</v>
          </cell>
        </row>
        <row r="389">
          <cell r="D389" t="str">
            <v>1/2" Round BAG Motor 40</v>
          </cell>
          <cell r="E389">
            <v>5</v>
          </cell>
          <cell r="F389">
            <v>3</v>
          </cell>
          <cell r="G389">
            <v>0</v>
          </cell>
          <cell r="H389">
            <v>0</v>
          </cell>
          <cell r="I389">
            <v>1</v>
          </cell>
        </row>
        <row r="390">
          <cell r="D390" t="str">
            <v>1/2" Round BAG Motor 45</v>
          </cell>
          <cell r="E390">
            <v>5</v>
          </cell>
          <cell r="F390">
            <v>3</v>
          </cell>
          <cell r="G390">
            <v>0</v>
          </cell>
          <cell r="H390">
            <v>0</v>
          </cell>
          <cell r="I390">
            <v>1</v>
          </cell>
        </row>
        <row r="391">
          <cell r="D391" t="str">
            <v>1/2" Round BAG Motor 49</v>
          </cell>
          <cell r="E391">
            <v>5</v>
          </cell>
          <cell r="F391">
            <v>1</v>
          </cell>
          <cell r="G391">
            <v>0</v>
          </cell>
          <cell r="H391">
            <v>0</v>
          </cell>
          <cell r="I391">
            <v>1</v>
          </cell>
        </row>
        <row r="392">
          <cell r="D392" t="str">
            <v>1/2" Round BAG Motor 50</v>
          </cell>
          <cell r="E392">
            <v>5</v>
          </cell>
          <cell r="F392">
            <v>1</v>
          </cell>
          <cell r="G392">
            <v>0</v>
          </cell>
          <cell r="H392">
            <v>0</v>
          </cell>
          <cell r="I392">
            <v>1</v>
          </cell>
        </row>
        <row r="393">
          <cell r="D393" t="str">
            <v>1/2" Round BAG Motor 63</v>
          </cell>
          <cell r="E393">
            <v>4</v>
          </cell>
          <cell r="F393">
            <v>1</v>
          </cell>
          <cell r="G393">
            <v>0</v>
          </cell>
          <cell r="H393">
            <v>0</v>
          </cell>
          <cell r="I393">
            <v>1</v>
          </cell>
        </row>
        <row r="394">
          <cell r="D394" t="str">
            <v>1/2" Round BAG Motor 70</v>
          </cell>
          <cell r="E394">
            <v>4</v>
          </cell>
          <cell r="F394">
            <v>1</v>
          </cell>
          <cell r="G394">
            <v>0</v>
          </cell>
          <cell r="H394">
            <v>0</v>
          </cell>
          <cell r="I394">
            <v>1</v>
          </cell>
        </row>
        <row r="395">
          <cell r="D395" t="str">
            <v>1/2" Round BAG Motor 81</v>
          </cell>
          <cell r="E395">
            <v>3</v>
          </cell>
          <cell r="F395">
            <v>1</v>
          </cell>
          <cell r="G395">
            <v>0</v>
          </cell>
          <cell r="H395">
            <v>0</v>
          </cell>
          <cell r="I395">
            <v>1</v>
          </cell>
        </row>
        <row r="396">
          <cell r="D396" t="str">
            <v>1/2" Round BAG Motor 90</v>
          </cell>
          <cell r="E396">
            <v>3</v>
          </cell>
          <cell r="F396">
            <v>1</v>
          </cell>
          <cell r="G396">
            <v>0</v>
          </cell>
          <cell r="H396">
            <v>0</v>
          </cell>
          <cell r="I396">
            <v>0</v>
          </cell>
        </row>
        <row r="397">
          <cell r="D397" t="str">
            <v>1/2" Round BAG Motor 100</v>
          </cell>
          <cell r="E397">
            <v>1</v>
          </cell>
          <cell r="F397">
            <v>1</v>
          </cell>
          <cell r="G397">
            <v>0</v>
          </cell>
          <cell r="H397">
            <v>0</v>
          </cell>
          <cell r="I397">
            <v>0</v>
          </cell>
        </row>
        <row r="398">
          <cell r="D398" t="str">
            <v>1/2" Round 775pro -3</v>
          </cell>
          <cell r="E398">
            <v>1</v>
          </cell>
          <cell r="F398">
            <v>1</v>
          </cell>
          <cell r="G398">
            <v>1</v>
          </cell>
          <cell r="H398">
            <v>0</v>
          </cell>
          <cell r="I398">
            <v>1</v>
          </cell>
        </row>
        <row r="399">
          <cell r="D399" t="str">
            <v>1/2" Round 775pro -4</v>
          </cell>
          <cell r="E399">
            <v>1</v>
          </cell>
          <cell r="F399">
            <v>1</v>
          </cell>
          <cell r="G399">
            <v>1</v>
          </cell>
          <cell r="H399">
            <v>0</v>
          </cell>
          <cell r="I399">
            <v>1</v>
          </cell>
        </row>
        <row r="400">
          <cell r="D400" t="str">
            <v>1/2" Round 775pro -5</v>
          </cell>
          <cell r="E400">
            <v>1</v>
          </cell>
          <cell r="F400">
            <v>1</v>
          </cell>
          <cell r="G400">
            <v>1</v>
          </cell>
          <cell r="H400">
            <v>0</v>
          </cell>
          <cell r="I400">
            <v>1</v>
          </cell>
        </row>
        <row r="401">
          <cell r="D401" t="str">
            <v>1/2" Round 775pro -7</v>
          </cell>
          <cell r="E401">
            <v>1</v>
          </cell>
          <cell r="F401">
            <v>1</v>
          </cell>
          <cell r="G401">
            <v>0</v>
          </cell>
          <cell r="H401">
            <v>0</v>
          </cell>
          <cell r="I401">
            <v>1</v>
          </cell>
        </row>
        <row r="402">
          <cell r="D402" t="str">
            <v>1/2" Round 775pro -9</v>
          </cell>
          <cell r="E402">
            <v>1</v>
          </cell>
          <cell r="F402">
            <v>1</v>
          </cell>
          <cell r="G402">
            <v>0</v>
          </cell>
          <cell r="H402">
            <v>0</v>
          </cell>
          <cell r="I402">
            <v>1</v>
          </cell>
        </row>
        <row r="403">
          <cell r="D403" t="str">
            <v>1/2" Round 775pro -10</v>
          </cell>
          <cell r="E403">
            <v>1</v>
          </cell>
          <cell r="F403">
            <v>1</v>
          </cell>
          <cell r="G403">
            <v>0</v>
          </cell>
          <cell r="H403">
            <v>0</v>
          </cell>
          <cell r="I403">
            <v>1</v>
          </cell>
        </row>
        <row r="404">
          <cell r="D404" t="str">
            <v>1/2" Round 775pro 9</v>
          </cell>
          <cell r="E404">
            <v>10</v>
          </cell>
          <cell r="F404">
            <v>7</v>
          </cell>
          <cell r="G404">
            <v>0</v>
          </cell>
          <cell r="H404">
            <v>0</v>
          </cell>
          <cell r="I404">
            <v>5</v>
          </cell>
        </row>
        <row r="405">
          <cell r="D405" t="str">
            <v>1/2" Round 775pro 12</v>
          </cell>
          <cell r="E405">
            <v>10</v>
          </cell>
          <cell r="F405">
            <v>5</v>
          </cell>
          <cell r="G405">
            <v>0</v>
          </cell>
          <cell r="H405">
            <v>0</v>
          </cell>
          <cell r="I405">
            <v>4</v>
          </cell>
        </row>
        <row r="406">
          <cell r="D406" t="str">
            <v>1/2" Round 775pro 15</v>
          </cell>
          <cell r="E406">
            <v>9</v>
          </cell>
          <cell r="F406">
            <v>5</v>
          </cell>
          <cell r="G406">
            <v>0</v>
          </cell>
          <cell r="H406">
            <v>0</v>
          </cell>
          <cell r="I406">
            <v>3</v>
          </cell>
        </row>
        <row r="407">
          <cell r="D407" t="str">
            <v>1/2" Round 775pro 16</v>
          </cell>
          <cell r="E407">
            <v>7</v>
          </cell>
          <cell r="F407">
            <v>5</v>
          </cell>
          <cell r="G407">
            <v>0</v>
          </cell>
          <cell r="H407">
            <v>0</v>
          </cell>
          <cell r="I407">
            <v>3</v>
          </cell>
        </row>
        <row r="408">
          <cell r="D408" t="str">
            <v>1/2" Round 775pro 20</v>
          </cell>
          <cell r="E408">
            <v>5</v>
          </cell>
          <cell r="F408">
            <v>4</v>
          </cell>
          <cell r="G408">
            <v>0</v>
          </cell>
          <cell r="H408">
            <v>0</v>
          </cell>
          <cell r="I408">
            <v>1</v>
          </cell>
        </row>
        <row r="409">
          <cell r="D409" t="str">
            <v>1/2" Round 775pro 21</v>
          </cell>
          <cell r="E409">
            <v>5</v>
          </cell>
          <cell r="F409">
            <v>4</v>
          </cell>
          <cell r="G409">
            <v>0</v>
          </cell>
          <cell r="H409">
            <v>0</v>
          </cell>
          <cell r="I409">
            <v>1</v>
          </cell>
        </row>
        <row r="410">
          <cell r="D410" t="str">
            <v>1/2" Round 775pro 25</v>
          </cell>
          <cell r="E410">
            <v>5</v>
          </cell>
          <cell r="F410">
            <v>3</v>
          </cell>
          <cell r="G410">
            <v>0</v>
          </cell>
          <cell r="H410">
            <v>0</v>
          </cell>
          <cell r="I410">
            <v>1</v>
          </cell>
        </row>
        <row r="411">
          <cell r="D411" t="str">
            <v>1/2" Round 775pro 27</v>
          </cell>
          <cell r="E411">
            <v>5</v>
          </cell>
          <cell r="F411">
            <v>3</v>
          </cell>
          <cell r="G411">
            <v>0</v>
          </cell>
          <cell r="H411">
            <v>0</v>
          </cell>
          <cell r="I411">
            <v>1</v>
          </cell>
        </row>
        <row r="412">
          <cell r="D412" t="str">
            <v>1/2" Round 775pro 28</v>
          </cell>
          <cell r="E412">
            <v>5</v>
          </cell>
          <cell r="F412">
            <v>3</v>
          </cell>
          <cell r="G412">
            <v>0</v>
          </cell>
          <cell r="H412">
            <v>0</v>
          </cell>
          <cell r="I412">
            <v>1</v>
          </cell>
        </row>
        <row r="413">
          <cell r="D413" t="str">
            <v>1/2" Round 775pro 30</v>
          </cell>
          <cell r="E413">
            <v>5</v>
          </cell>
          <cell r="F413">
            <v>3</v>
          </cell>
          <cell r="G413">
            <v>0</v>
          </cell>
          <cell r="H413">
            <v>0</v>
          </cell>
          <cell r="I413">
            <v>1</v>
          </cell>
        </row>
        <row r="414">
          <cell r="D414" t="str">
            <v>1/2" Round 775pro 35</v>
          </cell>
          <cell r="E414">
            <v>5</v>
          </cell>
          <cell r="F414">
            <v>1</v>
          </cell>
          <cell r="G414">
            <v>0</v>
          </cell>
          <cell r="H414">
            <v>0</v>
          </cell>
          <cell r="I414">
            <v>1</v>
          </cell>
        </row>
        <row r="415">
          <cell r="D415" t="str">
            <v>1/2" Round 775pro 36</v>
          </cell>
          <cell r="E415">
            <v>5</v>
          </cell>
          <cell r="F415">
            <v>1</v>
          </cell>
          <cell r="G415">
            <v>0</v>
          </cell>
          <cell r="H415">
            <v>0</v>
          </cell>
          <cell r="I415">
            <v>1</v>
          </cell>
        </row>
        <row r="416">
          <cell r="D416" t="str">
            <v>1/2" Round 775pro 40</v>
          </cell>
          <cell r="E416">
            <v>4</v>
          </cell>
          <cell r="F416">
            <v>1</v>
          </cell>
          <cell r="G416">
            <v>0</v>
          </cell>
          <cell r="H416">
            <v>0</v>
          </cell>
          <cell r="I416">
            <v>1</v>
          </cell>
        </row>
        <row r="417">
          <cell r="D417" t="str">
            <v>1/2" Round 775pro 45</v>
          </cell>
          <cell r="E417">
            <v>4</v>
          </cell>
          <cell r="F417">
            <v>1</v>
          </cell>
          <cell r="G417">
            <v>0</v>
          </cell>
          <cell r="H417">
            <v>0</v>
          </cell>
          <cell r="I417">
            <v>1</v>
          </cell>
        </row>
        <row r="418">
          <cell r="D418" t="str">
            <v>1/2" Round 775pro 49</v>
          </cell>
          <cell r="E418">
            <v>3</v>
          </cell>
          <cell r="F418">
            <v>1</v>
          </cell>
          <cell r="G418">
            <v>0</v>
          </cell>
          <cell r="H418">
            <v>0</v>
          </cell>
          <cell r="I418">
            <v>1</v>
          </cell>
        </row>
        <row r="419">
          <cell r="D419" t="str">
            <v>1/2" Round 775pro 50</v>
          </cell>
          <cell r="E419">
            <v>3</v>
          </cell>
          <cell r="F419">
            <v>1</v>
          </cell>
          <cell r="G419">
            <v>0</v>
          </cell>
          <cell r="H419">
            <v>0</v>
          </cell>
          <cell r="I419">
            <v>0</v>
          </cell>
        </row>
        <row r="420">
          <cell r="D420" t="str">
            <v>1/2" Round 775pro 63</v>
          </cell>
          <cell r="E420">
            <v>1</v>
          </cell>
          <cell r="F420">
            <v>1</v>
          </cell>
          <cell r="G420">
            <v>0</v>
          </cell>
          <cell r="H420">
            <v>0</v>
          </cell>
          <cell r="I420">
            <v>0</v>
          </cell>
        </row>
        <row r="421">
          <cell r="D421" t="str">
            <v>1/2" Round 775pro 70</v>
          </cell>
          <cell r="E421">
            <v>1</v>
          </cell>
          <cell r="F421">
            <v>0</v>
          </cell>
          <cell r="G421">
            <v>0</v>
          </cell>
          <cell r="H421">
            <v>0</v>
          </cell>
          <cell r="I421">
            <v>0</v>
          </cell>
        </row>
        <row r="422">
          <cell r="D422" t="str">
            <v>1/2" Round 775pro 81</v>
          </cell>
          <cell r="E422">
            <v>1</v>
          </cell>
          <cell r="F422">
            <v>0</v>
          </cell>
          <cell r="G422">
            <v>0</v>
          </cell>
          <cell r="H422">
            <v>0</v>
          </cell>
          <cell r="I422">
            <v>0</v>
          </cell>
        </row>
        <row r="423">
          <cell r="D423" t="str">
            <v>1/2" Round 775pro 90</v>
          </cell>
          <cell r="E423">
            <v>1</v>
          </cell>
          <cell r="F423">
            <v>0</v>
          </cell>
          <cell r="G423">
            <v>0</v>
          </cell>
          <cell r="H423">
            <v>0</v>
          </cell>
          <cell r="I423">
            <v>0</v>
          </cell>
        </row>
        <row r="424">
          <cell r="D424" t="str">
            <v>1/2" Round 775pro 100</v>
          </cell>
          <cell r="E424">
            <v>1</v>
          </cell>
          <cell r="F424">
            <v>0</v>
          </cell>
          <cell r="G424">
            <v>0</v>
          </cell>
          <cell r="H424">
            <v>0</v>
          </cell>
          <cell r="I424">
            <v>0</v>
          </cell>
        </row>
        <row r="425">
          <cell r="D425" t="str">
            <v>1/2" Round Mini CIM -3</v>
          </cell>
          <cell r="E425">
            <v>1</v>
          </cell>
          <cell r="I425">
            <v>0</v>
          </cell>
        </row>
        <row r="426">
          <cell r="D426" t="str">
            <v>1/2" Round Mini CIM -4</v>
          </cell>
          <cell r="E426">
            <v>1</v>
          </cell>
          <cell r="I426">
            <v>0</v>
          </cell>
        </row>
        <row r="427">
          <cell r="D427" t="str">
            <v>1/2" Round Mini CIM -5</v>
          </cell>
          <cell r="E427">
            <v>1</v>
          </cell>
          <cell r="I427">
            <v>0</v>
          </cell>
        </row>
        <row r="428">
          <cell r="D428" t="str">
            <v>1/2" Round Mini CIM -7</v>
          </cell>
          <cell r="E428">
            <v>1</v>
          </cell>
          <cell r="I428">
            <v>0</v>
          </cell>
        </row>
        <row r="429">
          <cell r="D429" t="str">
            <v>1/2" Round Mini CIM -9</v>
          </cell>
          <cell r="E429">
            <v>1</v>
          </cell>
          <cell r="I429">
            <v>0</v>
          </cell>
        </row>
        <row r="430">
          <cell r="D430" t="str">
            <v>1/2" Round Mini CIM -10</v>
          </cell>
          <cell r="E430">
            <v>1</v>
          </cell>
          <cell r="I430">
            <v>0</v>
          </cell>
        </row>
        <row r="431">
          <cell r="D431" t="str">
            <v>1/2" Round Mini CIM 9</v>
          </cell>
          <cell r="E431">
            <v>7</v>
          </cell>
          <cell r="I431">
            <v>0</v>
          </cell>
        </row>
        <row r="432">
          <cell r="D432" t="str">
            <v>1/2" Round Mini CIM 12</v>
          </cell>
          <cell r="E432">
            <v>5</v>
          </cell>
          <cell r="I432">
            <v>0</v>
          </cell>
        </row>
        <row r="433">
          <cell r="D433" t="str">
            <v>1/2" Round Mini CIM 15</v>
          </cell>
          <cell r="E433">
            <v>5</v>
          </cell>
          <cell r="I433">
            <v>0</v>
          </cell>
        </row>
        <row r="434">
          <cell r="D434" t="str">
            <v>1/2" Round Mini CIM 16</v>
          </cell>
          <cell r="E434">
            <v>5</v>
          </cell>
          <cell r="I434">
            <v>0</v>
          </cell>
        </row>
        <row r="435">
          <cell r="D435" t="str">
            <v>1/2" Round Mini CIM 20</v>
          </cell>
          <cell r="E435">
            <v>4</v>
          </cell>
          <cell r="I435">
            <v>0</v>
          </cell>
        </row>
        <row r="436">
          <cell r="D436" t="str">
            <v>1/2" Round Mini CIM 21</v>
          </cell>
          <cell r="E436">
            <v>4</v>
          </cell>
          <cell r="I436">
            <v>0</v>
          </cell>
        </row>
        <row r="437">
          <cell r="D437" t="str">
            <v>1/2" Round Mini CIM 25</v>
          </cell>
          <cell r="E437">
            <v>3</v>
          </cell>
          <cell r="I437">
            <v>0</v>
          </cell>
        </row>
        <row r="438">
          <cell r="D438" t="str">
            <v>1/2" Round Mini CIM 27</v>
          </cell>
          <cell r="E438">
            <v>3</v>
          </cell>
          <cell r="I438">
            <v>0</v>
          </cell>
        </row>
        <row r="439">
          <cell r="D439" t="str">
            <v>1/2" Round Mini CIM 28</v>
          </cell>
          <cell r="E439">
            <v>3</v>
          </cell>
          <cell r="I439">
            <v>0</v>
          </cell>
        </row>
        <row r="440">
          <cell r="D440" t="str">
            <v>1/2" Round Mini CIM 30</v>
          </cell>
          <cell r="E440">
            <v>1</v>
          </cell>
          <cell r="I440">
            <v>0</v>
          </cell>
        </row>
        <row r="441">
          <cell r="D441" t="str">
            <v>1/2" Round Mini CIM 35</v>
          </cell>
          <cell r="E441">
            <v>1</v>
          </cell>
          <cell r="I441">
            <v>0</v>
          </cell>
        </row>
        <row r="442">
          <cell r="D442" t="str">
            <v>1/2" Round Mini CIM 36</v>
          </cell>
          <cell r="E442">
            <v>1</v>
          </cell>
          <cell r="I442">
            <v>0</v>
          </cell>
        </row>
        <row r="443">
          <cell r="D443" t="str">
            <v>1/2" Round Mini CIM 40</v>
          </cell>
          <cell r="E443">
            <v>1</v>
          </cell>
          <cell r="I443">
            <v>0</v>
          </cell>
        </row>
        <row r="444">
          <cell r="D444" t="str">
            <v>1/2" Round Mini CIM 45</v>
          </cell>
          <cell r="E444">
            <v>1</v>
          </cell>
          <cell r="I444">
            <v>0</v>
          </cell>
        </row>
        <row r="445">
          <cell r="D445" t="str">
            <v>1/2" Round Mini CIM 49</v>
          </cell>
          <cell r="E445">
            <v>1</v>
          </cell>
          <cell r="I445">
            <v>0</v>
          </cell>
        </row>
        <row r="446">
          <cell r="D446" t="str">
            <v>1/2" Round Mini CIM 50</v>
          </cell>
          <cell r="E446">
            <v>1</v>
          </cell>
          <cell r="I446">
            <v>0</v>
          </cell>
        </row>
        <row r="447">
          <cell r="D447" t="str">
            <v>1/2" Round Mini CIM 63</v>
          </cell>
          <cell r="E447">
            <v>1</v>
          </cell>
          <cell r="I447">
            <v>0</v>
          </cell>
        </row>
        <row r="448">
          <cell r="D448" t="str">
            <v>1/2" Round Mini CIM 70</v>
          </cell>
          <cell r="E448">
            <v>0</v>
          </cell>
          <cell r="I448">
            <v>0</v>
          </cell>
        </row>
        <row r="449">
          <cell r="D449" t="str">
            <v>1/2" Round Mini CIM 81</v>
          </cell>
          <cell r="E449">
            <v>0</v>
          </cell>
          <cell r="I449">
            <v>0</v>
          </cell>
        </row>
        <row r="450">
          <cell r="D450" t="str">
            <v>1/2" Round Mini CIM 90</v>
          </cell>
          <cell r="E450">
            <v>0</v>
          </cell>
          <cell r="I450">
            <v>0</v>
          </cell>
        </row>
        <row r="451">
          <cell r="D451" t="str">
            <v>1/2" Round Mini CIM 100</v>
          </cell>
          <cell r="E451">
            <v>0</v>
          </cell>
          <cell r="I451">
            <v>0</v>
          </cell>
        </row>
        <row r="452">
          <cell r="D452" t="str">
            <v>1/2" Round CIM -3</v>
          </cell>
          <cell r="E452">
            <v>1</v>
          </cell>
          <cell r="I452">
            <v>0</v>
          </cell>
        </row>
        <row r="453">
          <cell r="D453" t="str">
            <v>1/2" Round CIM -4</v>
          </cell>
          <cell r="E453">
            <v>1</v>
          </cell>
          <cell r="I453">
            <v>0</v>
          </cell>
        </row>
        <row r="454">
          <cell r="D454" t="str">
            <v>1/2" Round CIM -5</v>
          </cell>
          <cell r="E454">
            <v>1</v>
          </cell>
          <cell r="I454">
            <v>0</v>
          </cell>
        </row>
        <row r="455">
          <cell r="D455" t="str">
            <v>1/2" Round CIM -7</v>
          </cell>
          <cell r="E455">
            <v>1</v>
          </cell>
          <cell r="I455">
            <v>0</v>
          </cell>
        </row>
        <row r="456">
          <cell r="D456" t="str">
            <v>1/2" Round CIM -9</v>
          </cell>
          <cell r="E456">
            <v>1</v>
          </cell>
          <cell r="I456">
            <v>0</v>
          </cell>
        </row>
        <row r="457">
          <cell r="D457" t="str">
            <v>1/2" Round CIM -10</v>
          </cell>
          <cell r="E457">
            <v>1</v>
          </cell>
          <cell r="I457">
            <v>0</v>
          </cell>
        </row>
        <row r="458">
          <cell r="D458" t="str">
            <v>1/2" Round CIM 9</v>
          </cell>
          <cell r="E458">
            <v>5</v>
          </cell>
          <cell r="I458">
            <v>0</v>
          </cell>
        </row>
        <row r="459">
          <cell r="D459" t="str">
            <v>1/2" Round CIM 12</v>
          </cell>
          <cell r="E459">
            <v>4</v>
          </cell>
          <cell r="I459">
            <v>0</v>
          </cell>
        </row>
        <row r="460">
          <cell r="D460" t="str">
            <v>1/2" Round CIM 15</v>
          </cell>
          <cell r="E460">
            <v>3</v>
          </cell>
          <cell r="I460">
            <v>0</v>
          </cell>
        </row>
        <row r="461">
          <cell r="D461" t="str">
            <v>1/2" Round CIM 16</v>
          </cell>
          <cell r="E461">
            <v>3</v>
          </cell>
          <cell r="I461">
            <v>0</v>
          </cell>
        </row>
        <row r="462">
          <cell r="D462" t="str">
            <v>1/2" Round CIM 20</v>
          </cell>
          <cell r="E462">
            <v>1</v>
          </cell>
          <cell r="I462">
            <v>0</v>
          </cell>
        </row>
        <row r="463">
          <cell r="D463" t="str">
            <v>1/2" Round CIM 21</v>
          </cell>
          <cell r="E463">
            <v>1</v>
          </cell>
          <cell r="I463">
            <v>0</v>
          </cell>
        </row>
        <row r="464">
          <cell r="D464" t="str">
            <v>1/2" Round CIM 25</v>
          </cell>
          <cell r="E464">
            <v>1</v>
          </cell>
          <cell r="I464">
            <v>0</v>
          </cell>
        </row>
        <row r="465">
          <cell r="D465" t="str">
            <v>1/2" Round CIM 27</v>
          </cell>
          <cell r="E465">
            <v>1</v>
          </cell>
          <cell r="I465">
            <v>0</v>
          </cell>
        </row>
        <row r="466">
          <cell r="D466" t="str">
            <v>1/2" Round CIM 28</v>
          </cell>
          <cell r="E466">
            <v>1</v>
          </cell>
          <cell r="I466">
            <v>0</v>
          </cell>
        </row>
        <row r="467">
          <cell r="D467" t="str">
            <v>1/2" Round CIM 30</v>
          </cell>
          <cell r="E467">
            <v>1</v>
          </cell>
          <cell r="I467">
            <v>0</v>
          </cell>
        </row>
        <row r="468">
          <cell r="D468" t="str">
            <v>1/2" Round CIM 35</v>
          </cell>
          <cell r="E468">
            <v>1</v>
          </cell>
          <cell r="I468">
            <v>0</v>
          </cell>
        </row>
        <row r="469">
          <cell r="D469" t="str">
            <v>1/2" Round CIM 36</v>
          </cell>
          <cell r="E469">
            <v>1</v>
          </cell>
          <cell r="I469">
            <v>0</v>
          </cell>
        </row>
        <row r="470">
          <cell r="D470" t="str">
            <v>1/2" Round CIM 40</v>
          </cell>
          <cell r="E470">
            <v>1</v>
          </cell>
          <cell r="I470">
            <v>0</v>
          </cell>
        </row>
        <row r="471">
          <cell r="D471" t="str">
            <v>1/2" Round CIM 45</v>
          </cell>
          <cell r="E471">
            <v>1</v>
          </cell>
          <cell r="I471">
            <v>0</v>
          </cell>
        </row>
        <row r="472">
          <cell r="D472" t="str">
            <v>1/2" Round CIM 49</v>
          </cell>
          <cell r="E472">
            <v>0</v>
          </cell>
          <cell r="I472">
            <v>0</v>
          </cell>
        </row>
        <row r="473">
          <cell r="D473" t="str">
            <v>1/2" Round CIM 50</v>
          </cell>
          <cell r="E473">
            <v>1</v>
          </cell>
          <cell r="I473">
            <v>0</v>
          </cell>
        </row>
        <row r="474">
          <cell r="D474" t="str">
            <v>1/2" Round CIM 63</v>
          </cell>
          <cell r="E474">
            <v>0</v>
          </cell>
          <cell r="I474">
            <v>0</v>
          </cell>
        </row>
        <row r="475">
          <cell r="D475" t="str">
            <v>1/2" Round CIM 70</v>
          </cell>
          <cell r="E475">
            <v>0</v>
          </cell>
          <cell r="I475">
            <v>0</v>
          </cell>
        </row>
        <row r="476">
          <cell r="D476" t="str">
            <v>1/2" Round CIM 81</v>
          </cell>
          <cell r="E476">
            <v>0</v>
          </cell>
          <cell r="I476">
            <v>0</v>
          </cell>
        </row>
        <row r="477">
          <cell r="D477" t="str">
            <v>1/2" Round CIM 90</v>
          </cell>
          <cell r="E477">
            <v>0</v>
          </cell>
          <cell r="I477">
            <v>0</v>
          </cell>
        </row>
        <row r="478">
          <cell r="D478" t="str">
            <v>1/2" Round CIM 100</v>
          </cell>
          <cell r="E478">
            <v>0</v>
          </cell>
          <cell r="I478">
            <v>0</v>
          </cell>
        </row>
        <row r="479">
          <cell r="D479" t="str">
            <v>1/2" Round NEO -3</v>
          </cell>
          <cell r="E479">
            <v>1</v>
          </cell>
          <cell r="I479">
            <v>0</v>
          </cell>
        </row>
        <row r="480">
          <cell r="D480" t="str">
            <v>1/2" Round NEO -4</v>
          </cell>
          <cell r="E480">
            <v>1</v>
          </cell>
          <cell r="I480">
            <v>0</v>
          </cell>
        </row>
        <row r="481">
          <cell r="D481" t="str">
            <v>1/2" Round NEO -5</v>
          </cell>
          <cell r="E481">
            <v>1</v>
          </cell>
          <cell r="I481">
            <v>0</v>
          </cell>
        </row>
        <row r="482">
          <cell r="D482" t="str">
            <v>1/2" Round NEO -7</v>
          </cell>
          <cell r="E482">
            <v>1</v>
          </cell>
          <cell r="I482">
            <v>0</v>
          </cell>
        </row>
        <row r="483">
          <cell r="D483" t="str">
            <v>1/2" Round NEO -9</v>
          </cell>
          <cell r="E483">
            <v>1</v>
          </cell>
          <cell r="I483">
            <v>0</v>
          </cell>
        </row>
        <row r="484">
          <cell r="D484" t="str">
            <v>1/2" Round NEO -10</v>
          </cell>
          <cell r="E484">
            <v>1</v>
          </cell>
          <cell r="I484">
            <v>0</v>
          </cell>
        </row>
        <row r="485">
          <cell r="D485" t="str">
            <v>1/2" Round NEO 9</v>
          </cell>
          <cell r="E485">
            <v>4</v>
          </cell>
          <cell r="I485">
            <v>0</v>
          </cell>
        </row>
        <row r="486">
          <cell r="D486" t="str">
            <v>1/2" Round NEO 12</v>
          </cell>
          <cell r="E486">
            <v>3</v>
          </cell>
          <cell r="I486">
            <v>0</v>
          </cell>
        </row>
        <row r="487">
          <cell r="D487" t="str">
            <v>1/2" Round NEO 15</v>
          </cell>
          <cell r="E487">
            <v>1</v>
          </cell>
          <cell r="I487">
            <v>0</v>
          </cell>
        </row>
        <row r="488">
          <cell r="D488" t="str">
            <v>1/2" Round NEO 16</v>
          </cell>
          <cell r="E488">
            <v>1</v>
          </cell>
          <cell r="I488">
            <v>0</v>
          </cell>
        </row>
        <row r="489">
          <cell r="D489" t="str">
            <v>1/2" Round NEO 20</v>
          </cell>
          <cell r="E489">
            <v>1</v>
          </cell>
          <cell r="I489">
            <v>0</v>
          </cell>
        </row>
        <row r="490">
          <cell r="D490" t="str">
            <v>1/2" Round NEO 21</v>
          </cell>
          <cell r="E490">
            <v>1</v>
          </cell>
          <cell r="I490">
            <v>0</v>
          </cell>
        </row>
        <row r="491">
          <cell r="D491" t="str">
            <v>1/2" Round NEO 25</v>
          </cell>
          <cell r="E491">
            <v>1</v>
          </cell>
          <cell r="I491">
            <v>0</v>
          </cell>
        </row>
        <row r="492">
          <cell r="D492" t="str">
            <v>1/2" Round NEO 27</v>
          </cell>
          <cell r="E492">
            <v>1</v>
          </cell>
          <cell r="I492">
            <v>0</v>
          </cell>
        </row>
        <row r="493">
          <cell r="D493" t="str">
            <v>1/2" Round NEO 28</v>
          </cell>
          <cell r="E493">
            <v>1</v>
          </cell>
          <cell r="I493">
            <v>0</v>
          </cell>
        </row>
        <row r="494">
          <cell r="D494" t="str">
            <v>1/2" Round NEO 30</v>
          </cell>
          <cell r="E494">
            <v>1</v>
          </cell>
          <cell r="I494">
            <v>0</v>
          </cell>
        </row>
        <row r="495">
          <cell r="D495" t="str">
            <v>1/2" Round NEO 35</v>
          </cell>
          <cell r="E495">
            <v>1</v>
          </cell>
          <cell r="I495">
            <v>0</v>
          </cell>
        </row>
        <row r="496">
          <cell r="D496" t="str">
            <v>1/2" Round NEO 36</v>
          </cell>
          <cell r="E496">
            <v>1</v>
          </cell>
          <cell r="I496">
            <v>0</v>
          </cell>
        </row>
        <row r="497">
          <cell r="D497" t="str">
            <v>1/2" Round NEO 40</v>
          </cell>
          <cell r="E497">
            <v>0</v>
          </cell>
          <cell r="I497">
            <v>0</v>
          </cell>
        </row>
        <row r="498">
          <cell r="D498" t="str">
            <v>1/2" Round NEO 45</v>
          </cell>
          <cell r="E498">
            <v>0</v>
          </cell>
          <cell r="I498">
            <v>0</v>
          </cell>
        </row>
        <row r="499">
          <cell r="D499" t="str">
            <v>1/2" Round NEO 49</v>
          </cell>
          <cell r="E499">
            <v>0</v>
          </cell>
          <cell r="I499">
            <v>0</v>
          </cell>
        </row>
        <row r="500">
          <cell r="D500" t="str">
            <v>1/2" Round NEO 50</v>
          </cell>
          <cell r="E500">
            <v>0</v>
          </cell>
          <cell r="I500">
            <v>0</v>
          </cell>
        </row>
        <row r="501">
          <cell r="D501" t="str">
            <v>1/2" Round NEO 63</v>
          </cell>
          <cell r="E501">
            <v>0</v>
          </cell>
          <cell r="I501">
            <v>0</v>
          </cell>
        </row>
        <row r="502">
          <cell r="D502" t="str">
            <v>1/2" Round NEO 70</v>
          </cell>
          <cell r="E502">
            <v>0</v>
          </cell>
          <cell r="I502">
            <v>0</v>
          </cell>
        </row>
        <row r="503">
          <cell r="D503" t="str">
            <v>1/2" Round NEO 81</v>
          </cell>
          <cell r="E503">
            <v>0</v>
          </cell>
          <cell r="I503">
            <v>0</v>
          </cell>
        </row>
        <row r="504">
          <cell r="D504" t="str">
            <v>1/2" Round NEO 90</v>
          </cell>
          <cell r="E504">
            <v>0</v>
          </cell>
          <cell r="I504">
            <v>0</v>
          </cell>
        </row>
        <row r="505">
          <cell r="D505" t="str">
            <v>1/2" Round NEO 100</v>
          </cell>
          <cell r="E505">
            <v>0</v>
          </cell>
          <cell r="I505">
            <v>0</v>
          </cell>
        </row>
        <row r="506">
          <cell r="D506" t="str">
            <v>1/2" Round Falcon 500 -3</v>
          </cell>
          <cell r="E506">
            <v>1</v>
          </cell>
          <cell r="I506">
            <v>0</v>
          </cell>
        </row>
        <row r="507">
          <cell r="D507" t="str">
            <v>1/2" Round Falcon 500 -4</v>
          </cell>
          <cell r="E507">
            <v>1</v>
          </cell>
          <cell r="I507">
            <v>0</v>
          </cell>
        </row>
        <row r="508">
          <cell r="D508" t="str">
            <v>1/2" Round Falcon 500 -5</v>
          </cell>
          <cell r="E508">
            <v>1</v>
          </cell>
          <cell r="I508">
            <v>0</v>
          </cell>
        </row>
        <row r="509">
          <cell r="D509" t="str">
            <v>1/2" Round Falcon 500 -7</v>
          </cell>
          <cell r="E509">
            <v>1</v>
          </cell>
          <cell r="I509">
            <v>0</v>
          </cell>
        </row>
        <row r="510">
          <cell r="D510" t="str">
            <v>1/2" Round Falcon 500 -9</v>
          </cell>
          <cell r="E510">
            <v>1</v>
          </cell>
          <cell r="I510">
            <v>0</v>
          </cell>
        </row>
        <row r="511">
          <cell r="D511" t="str">
            <v>1/2" Round Falcon 500 -10</v>
          </cell>
          <cell r="E511">
            <v>1</v>
          </cell>
          <cell r="I511">
            <v>0</v>
          </cell>
        </row>
        <row r="512">
          <cell r="D512" t="str">
            <v>1/2" Round Falcon 500 9</v>
          </cell>
          <cell r="E512">
            <v>3</v>
          </cell>
          <cell r="I512">
            <v>0</v>
          </cell>
        </row>
        <row r="513">
          <cell r="D513" t="str">
            <v>1/2" Round Falcon 500 12</v>
          </cell>
          <cell r="E513">
            <v>1</v>
          </cell>
          <cell r="I513">
            <v>0</v>
          </cell>
        </row>
        <row r="514">
          <cell r="D514" t="str">
            <v>1/2" Round Falcon 500 15</v>
          </cell>
          <cell r="E514">
            <v>1</v>
          </cell>
          <cell r="I514">
            <v>0</v>
          </cell>
        </row>
        <row r="515">
          <cell r="D515" t="str">
            <v>1/2" Round Falcon 500 16</v>
          </cell>
          <cell r="E515">
            <v>1</v>
          </cell>
          <cell r="I515">
            <v>0</v>
          </cell>
        </row>
        <row r="516">
          <cell r="D516" t="str">
            <v>1/2" Round Falcon 500 20</v>
          </cell>
          <cell r="E516">
            <v>1</v>
          </cell>
          <cell r="I516">
            <v>0</v>
          </cell>
        </row>
        <row r="517">
          <cell r="D517" t="str">
            <v>1/2" Round Falcon 500 21</v>
          </cell>
          <cell r="E517">
            <v>1</v>
          </cell>
          <cell r="I517">
            <v>0</v>
          </cell>
        </row>
        <row r="518">
          <cell r="D518" t="str">
            <v>1/2" Round Falcon 500 25</v>
          </cell>
          <cell r="E518">
            <v>1</v>
          </cell>
          <cell r="I518">
            <v>0</v>
          </cell>
        </row>
        <row r="519">
          <cell r="D519" t="str">
            <v>1/2" Round Falcon 500 27</v>
          </cell>
          <cell r="E519">
            <v>1</v>
          </cell>
          <cell r="I519">
            <v>0</v>
          </cell>
        </row>
        <row r="520">
          <cell r="D520" t="str">
            <v>1/2" Round Falcon 500 28</v>
          </cell>
          <cell r="E520">
            <v>0</v>
          </cell>
          <cell r="I520">
            <v>0</v>
          </cell>
        </row>
        <row r="521">
          <cell r="D521" t="str">
            <v>1/2" Round Falcon 500 30</v>
          </cell>
          <cell r="E521">
            <v>0</v>
          </cell>
          <cell r="I521">
            <v>0</v>
          </cell>
        </row>
        <row r="522">
          <cell r="D522" t="str">
            <v>1/2" Round Falcon 500 35</v>
          </cell>
          <cell r="E522">
            <v>0</v>
          </cell>
          <cell r="I522">
            <v>0</v>
          </cell>
        </row>
        <row r="523">
          <cell r="D523" t="str">
            <v>1/2" Round Falcon 500 36</v>
          </cell>
          <cell r="E523">
            <v>0</v>
          </cell>
          <cell r="I523">
            <v>0</v>
          </cell>
        </row>
        <row r="524">
          <cell r="D524" t="str">
            <v>1/2" Round Falcon 500 40</v>
          </cell>
          <cell r="E524">
            <v>0</v>
          </cell>
          <cell r="I524">
            <v>0</v>
          </cell>
        </row>
        <row r="525">
          <cell r="D525" t="str">
            <v>1/2" Round Falcon 500 45</v>
          </cell>
          <cell r="E525">
            <v>0</v>
          </cell>
          <cell r="I525">
            <v>0</v>
          </cell>
        </row>
        <row r="526">
          <cell r="D526" t="str">
            <v>1/2" Round Falcon 500 49</v>
          </cell>
          <cell r="E526">
            <v>0</v>
          </cell>
          <cell r="I526">
            <v>0</v>
          </cell>
        </row>
        <row r="527">
          <cell r="D527" t="str">
            <v>1/2" Round Falcon 500 50</v>
          </cell>
          <cell r="E527">
            <v>0</v>
          </cell>
          <cell r="I527">
            <v>0</v>
          </cell>
        </row>
        <row r="528">
          <cell r="D528" t="str">
            <v>1/2" Round Falcon 500 63</v>
          </cell>
          <cell r="E528">
            <v>0</v>
          </cell>
          <cell r="I528">
            <v>0</v>
          </cell>
        </row>
        <row r="529">
          <cell r="D529" t="str">
            <v>1/2" Round Falcon 500 70</v>
          </cell>
          <cell r="E529">
            <v>0</v>
          </cell>
          <cell r="I529">
            <v>0</v>
          </cell>
        </row>
        <row r="530">
          <cell r="D530" t="str">
            <v>1/2" Round Falcon 500 81</v>
          </cell>
          <cell r="E530">
            <v>0</v>
          </cell>
          <cell r="I530">
            <v>0</v>
          </cell>
        </row>
        <row r="531">
          <cell r="D531" t="str">
            <v>1/2" Round Falcon 500 90</v>
          </cell>
          <cell r="E531">
            <v>0</v>
          </cell>
          <cell r="I531">
            <v>0</v>
          </cell>
        </row>
        <row r="532">
          <cell r="D532" t="str">
            <v>1/2" Round Falcon 500 100</v>
          </cell>
          <cell r="E532">
            <v>0</v>
          </cell>
          <cell r="I532">
            <v>0</v>
          </cell>
        </row>
        <row r="533">
          <cell r="D533" t="str">
            <v>3/8" Hex AM 9015 -3</v>
          </cell>
          <cell r="E533">
            <v>1</v>
          </cell>
          <cell r="I533">
            <v>1</v>
          </cell>
        </row>
        <row r="534">
          <cell r="D534" t="str">
            <v>3/8" Hex AM 9015 -4</v>
          </cell>
          <cell r="E534">
            <v>1</v>
          </cell>
          <cell r="I534">
            <v>1</v>
          </cell>
        </row>
        <row r="535">
          <cell r="D535" t="str">
            <v>3/8" Hex AM 9015 -5</v>
          </cell>
          <cell r="E535">
            <v>1</v>
          </cell>
          <cell r="I535">
            <v>1</v>
          </cell>
        </row>
        <row r="536">
          <cell r="D536" t="str">
            <v>3/8" Hex AM 9015 -7</v>
          </cell>
          <cell r="E536">
            <v>1</v>
          </cell>
          <cell r="I536">
            <v>1</v>
          </cell>
        </row>
        <row r="537">
          <cell r="D537" t="str">
            <v>3/8" Hex AM 9015 -9</v>
          </cell>
          <cell r="E537">
            <v>1</v>
          </cell>
          <cell r="I537">
            <v>1</v>
          </cell>
        </row>
        <row r="538">
          <cell r="D538" t="str">
            <v>3/8" Hex AM 9015 -10</v>
          </cell>
          <cell r="E538">
            <v>1</v>
          </cell>
          <cell r="I538">
            <v>1</v>
          </cell>
        </row>
        <row r="539">
          <cell r="D539" t="str">
            <v>3/8" Hex AM 9015 9</v>
          </cell>
          <cell r="E539">
            <v>10</v>
          </cell>
          <cell r="I539">
            <v>10</v>
          </cell>
        </row>
        <row r="540">
          <cell r="D540" t="str">
            <v>3/8" Hex AM 9015 12</v>
          </cell>
          <cell r="E540">
            <v>10</v>
          </cell>
          <cell r="I540">
            <v>7</v>
          </cell>
        </row>
        <row r="541">
          <cell r="D541" t="str">
            <v>3/8" Hex AM 9015 15</v>
          </cell>
          <cell r="E541">
            <v>7</v>
          </cell>
          <cell r="I541">
            <v>5</v>
          </cell>
        </row>
        <row r="542">
          <cell r="D542" t="str">
            <v>3/8" Hex AM 9015 16</v>
          </cell>
          <cell r="E542">
            <v>7</v>
          </cell>
          <cell r="I542">
            <v>5</v>
          </cell>
        </row>
        <row r="543">
          <cell r="D543" t="str">
            <v>3/8" Hex AM 9015 20</v>
          </cell>
          <cell r="E543">
            <v>5</v>
          </cell>
          <cell r="I543">
            <v>4</v>
          </cell>
        </row>
        <row r="544">
          <cell r="D544" t="str">
            <v>3/8" Hex AM 9015 21</v>
          </cell>
          <cell r="E544">
            <v>5</v>
          </cell>
          <cell r="I544">
            <v>4</v>
          </cell>
        </row>
        <row r="545">
          <cell r="D545" t="str">
            <v>3/8" Hex AM 9015 25</v>
          </cell>
          <cell r="E545">
            <v>5</v>
          </cell>
          <cell r="I545">
            <v>3</v>
          </cell>
        </row>
        <row r="546">
          <cell r="D546" t="str">
            <v>3/8" Hex AM 9015 27</v>
          </cell>
          <cell r="E546">
            <v>4</v>
          </cell>
          <cell r="I546">
            <v>3</v>
          </cell>
        </row>
        <row r="547">
          <cell r="D547" t="str">
            <v>3/8" Hex AM 9015 28</v>
          </cell>
          <cell r="E547">
            <v>4</v>
          </cell>
          <cell r="I547">
            <v>3</v>
          </cell>
        </row>
        <row r="548">
          <cell r="D548" t="str">
            <v>3/8" Hex AM 9015 30</v>
          </cell>
          <cell r="E548">
            <v>4</v>
          </cell>
          <cell r="I548">
            <v>3</v>
          </cell>
        </row>
        <row r="549">
          <cell r="D549" t="str">
            <v>3/8" Hex AM 9015 35</v>
          </cell>
          <cell r="E549">
            <v>3</v>
          </cell>
          <cell r="I549">
            <v>1</v>
          </cell>
        </row>
        <row r="550">
          <cell r="D550" t="str">
            <v>3/8" Hex AM 9015 36</v>
          </cell>
          <cell r="E550">
            <v>3</v>
          </cell>
          <cell r="I550">
            <v>1</v>
          </cell>
        </row>
        <row r="551">
          <cell r="D551" t="str">
            <v>3/8" Hex AM 9015 40</v>
          </cell>
          <cell r="E551">
            <v>3</v>
          </cell>
          <cell r="I551">
            <v>1</v>
          </cell>
        </row>
        <row r="552">
          <cell r="D552" t="str">
            <v>3/8" Hex AM 9015 45</v>
          </cell>
          <cell r="E552">
            <v>1</v>
          </cell>
          <cell r="I552">
            <v>1</v>
          </cell>
        </row>
        <row r="553">
          <cell r="D553" t="str">
            <v>3/8" Hex AM 9015 49</v>
          </cell>
          <cell r="E553">
            <v>1</v>
          </cell>
          <cell r="I553">
            <v>1</v>
          </cell>
        </row>
        <row r="554">
          <cell r="D554" t="str">
            <v>3/8" Hex AM 9015 50</v>
          </cell>
          <cell r="E554">
            <v>1</v>
          </cell>
          <cell r="I554">
            <v>1</v>
          </cell>
        </row>
        <row r="555">
          <cell r="D555" t="str">
            <v>3/8" Hex AM 9015 63</v>
          </cell>
          <cell r="E555">
            <v>1</v>
          </cell>
          <cell r="I555">
            <v>1</v>
          </cell>
        </row>
        <row r="556">
          <cell r="D556" t="str">
            <v>3/8" Hex AM 9015 70</v>
          </cell>
          <cell r="E556">
            <v>1</v>
          </cell>
          <cell r="I556">
            <v>1</v>
          </cell>
        </row>
        <row r="557">
          <cell r="D557" t="str">
            <v>3/8" Hex AM 9015 81</v>
          </cell>
          <cell r="E557">
            <v>1</v>
          </cell>
          <cell r="I557">
            <v>1</v>
          </cell>
        </row>
        <row r="558">
          <cell r="D558" t="str">
            <v>3/8" Hex AM 9015 90</v>
          </cell>
          <cell r="E558">
            <v>1</v>
          </cell>
          <cell r="I558">
            <v>1</v>
          </cell>
        </row>
        <row r="559">
          <cell r="D559" t="str">
            <v>3/8" Hex AM 9015 100</v>
          </cell>
          <cell r="E559">
            <v>1</v>
          </cell>
          <cell r="I559">
            <v>0</v>
          </cell>
        </row>
        <row r="560">
          <cell r="D560" t="str">
            <v>3/8" Hex BB RS-550 -3</v>
          </cell>
          <cell r="E560">
            <v>1</v>
          </cell>
          <cell r="F560">
            <v>1</v>
          </cell>
          <cell r="G560">
            <v>1</v>
          </cell>
          <cell r="H560">
            <v>1</v>
          </cell>
          <cell r="I560">
            <v>1</v>
          </cell>
        </row>
        <row r="561">
          <cell r="D561" t="str">
            <v>3/8" Hex BB RS-550 -4</v>
          </cell>
          <cell r="E561">
            <v>1</v>
          </cell>
          <cell r="F561">
            <v>1</v>
          </cell>
          <cell r="G561">
            <v>1</v>
          </cell>
          <cell r="H561">
            <v>1</v>
          </cell>
          <cell r="I561">
            <v>1</v>
          </cell>
        </row>
        <row r="562">
          <cell r="D562" t="str">
            <v>3/8" Hex BB RS-550 -5</v>
          </cell>
          <cell r="E562">
            <v>1</v>
          </cell>
          <cell r="F562">
            <v>1</v>
          </cell>
          <cell r="G562">
            <v>0</v>
          </cell>
          <cell r="H562">
            <v>1</v>
          </cell>
          <cell r="I562">
            <v>1</v>
          </cell>
        </row>
        <row r="563">
          <cell r="D563" t="str">
            <v>3/8" Hex BB RS-550 -7</v>
          </cell>
          <cell r="E563">
            <v>1</v>
          </cell>
          <cell r="F563">
            <v>1</v>
          </cell>
          <cell r="G563">
            <v>0</v>
          </cell>
          <cell r="H563">
            <v>0</v>
          </cell>
          <cell r="I563">
            <v>1</v>
          </cell>
        </row>
        <row r="564">
          <cell r="D564" t="str">
            <v>3/8" Hex BB RS-550 -9</v>
          </cell>
          <cell r="E564">
            <v>1</v>
          </cell>
          <cell r="F564">
            <v>1</v>
          </cell>
          <cell r="G564">
            <v>0</v>
          </cell>
          <cell r="H564">
            <v>0</v>
          </cell>
          <cell r="I564">
            <v>1</v>
          </cell>
        </row>
        <row r="565">
          <cell r="D565" t="str">
            <v>3/8" Hex BB RS-550 -10</v>
          </cell>
          <cell r="E565">
            <v>1</v>
          </cell>
          <cell r="F565">
            <v>1</v>
          </cell>
          <cell r="G565">
            <v>0</v>
          </cell>
          <cell r="H565">
            <v>0</v>
          </cell>
          <cell r="I565">
            <v>1</v>
          </cell>
        </row>
        <row r="566">
          <cell r="D566" t="str">
            <v>3/8" Hex BB RS-550 9</v>
          </cell>
          <cell r="E566">
            <v>10</v>
          </cell>
          <cell r="F566">
            <v>5</v>
          </cell>
          <cell r="G566">
            <v>0</v>
          </cell>
          <cell r="H566">
            <v>0</v>
          </cell>
          <cell r="I566">
            <v>10</v>
          </cell>
        </row>
        <row r="567">
          <cell r="D567" t="str">
            <v>3/8" Hex BB RS-550 12</v>
          </cell>
          <cell r="E567">
            <v>9</v>
          </cell>
          <cell r="F567">
            <v>4</v>
          </cell>
          <cell r="G567">
            <v>0</v>
          </cell>
          <cell r="H567">
            <v>0</v>
          </cell>
          <cell r="I567">
            <v>7</v>
          </cell>
        </row>
        <row r="568">
          <cell r="D568" t="str">
            <v>3/8" Hex BB RS-550 15</v>
          </cell>
          <cell r="E568">
            <v>7</v>
          </cell>
          <cell r="F568">
            <v>3</v>
          </cell>
          <cell r="G568">
            <v>0</v>
          </cell>
          <cell r="H568">
            <v>0</v>
          </cell>
          <cell r="I568">
            <v>5</v>
          </cell>
        </row>
        <row r="569">
          <cell r="D569" t="str">
            <v>3/8" Hex BB RS-550 16</v>
          </cell>
          <cell r="E569">
            <v>7</v>
          </cell>
          <cell r="F569">
            <v>3</v>
          </cell>
          <cell r="G569">
            <v>0</v>
          </cell>
          <cell r="H569">
            <v>0</v>
          </cell>
          <cell r="I569">
            <v>5</v>
          </cell>
        </row>
        <row r="570">
          <cell r="D570" t="str">
            <v>3/8" Hex BB RS-550 20</v>
          </cell>
          <cell r="E570">
            <v>5</v>
          </cell>
          <cell r="F570">
            <v>1</v>
          </cell>
          <cell r="G570">
            <v>0</v>
          </cell>
          <cell r="H570">
            <v>0</v>
          </cell>
          <cell r="I570">
            <v>4</v>
          </cell>
        </row>
        <row r="571">
          <cell r="D571" t="str">
            <v>3/8" Hex BB RS-550 21</v>
          </cell>
          <cell r="E571">
            <v>5</v>
          </cell>
          <cell r="F571">
            <v>1</v>
          </cell>
          <cell r="G571">
            <v>0</v>
          </cell>
          <cell r="H571">
            <v>0</v>
          </cell>
          <cell r="I571">
            <v>4</v>
          </cell>
        </row>
        <row r="572">
          <cell r="D572" t="str">
            <v>3/8" Hex BB RS-550 25</v>
          </cell>
          <cell r="E572">
            <v>4</v>
          </cell>
          <cell r="F572">
            <v>1</v>
          </cell>
          <cell r="G572">
            <v>0</v>
          </cell>
          <cell r="H572">
            <v>0</v>
          </cell>
          <cell r="I572">
            <v>3</v>
          </cell>
        </row>
        <row r="573">
          <cell r="D573" t="str">
            <v>3/8" Hex BB RS-550 27</v>
          </cell>
          <cell r="E573">
            <v>4</v>
          </cell>
          <cell r="F573">
            <v>1</v>
          </cell>
          <cell r="G573">
            <v>0</v>
          </cell>
          <cell r="H573">
            <v>0</v>
          </cell>
          <cell r="I573">
            <v>3</v>
          </cell>
        </row>
        <row r="574">
          <cell r="D574" t="str">
            <v>3/8" Hex BB RS-550 28</v>
          </cell>
          <cell r="E574">
            <v>4</v>
          </cell>
          <cell r="F574">
            <v>1</v>
          </cell>
          <cell r="G574">
            <v>0</v>
          </cell>
          <cell r="H574">
            <v>0</v>
          </cell>
          <cell r="I574">
            <v>3</v>
          </cell>
        </row>
        <row r="575">
          <cell r="D575" t="str">
            <v>3/8" Hex BB RS-550 30</v>
          </cell>
          <cell r="E575">
            <v>3</v>
          </cell>
          <cell r="F575">
            <v>1</v>
          </cell>
          <cell r="G575">
            <v>0</v>
          </cell>
          <cell r="H575">
            <v>0</v>
          </cell>
          <cell r="I575">
            <v>3</v>
          </cell>
        </row>
        <row r="576">
          <cell r="D576" t="str">
            <v>3/8" Hex BB RS-550 35</v>
          </cell>
          <cell r="E576">
            <v>3</v>
          </cell>
          <cell r="F576">
            <v>1</v>
          </cell>
          <cell r="G576">
            <v>0</v>
          </cell>
          <cell r="H576">
            <v>0</v>
          </cell>
          <cell r="I576">
            <v>1</v>
          </cell>
        </row>
        <row r="577">
          <cell r="D577" t="str">
            <v>3/8" Hex BB RS-550 36</v>
          </cell>
          <cell r="E577">
            <v>3</v>
          </cell>
          <cell r="F577">
            <v>1</v>
          </cell>
          <cell r="G577">
            <v>0</v>
          </cell>
          <cell r="H577">
            <v>0</v>
          </cell>
          <cell r="I577">
            <v>1</v>
          </cell>
        </row>
        <row r="578">
          <cell r="D578" t="str">
            <v>3/8" Hex BB RS-550 40</v>
          </cell>
          <cell r="E578">
            <v>1</v>
          </cell>
          <cell r="F578">
            <v>1</v>
          </cell>
          <cell r="G578">
            <v>0</v>
          </cell>
          <cell r="H578">
            <v>0</v>
          </cell>
          <cell r="I578">
            <v>5</v>
          </cell>
        </row>
        <row r="579">
          <cell r="D579" t="str">
            <v>3/8" Hex BB RS-550 45</v>
          </cell>
          <cell r="E579">
            <v>1</v>
          </cell>
          <cell r="F579">
            <v>1</v>
          </cell>
          <cell r="G579">
            <v>0</v>
          </cell>
          <cell r="H579">
            <v>0</v>
          </cell>
          <cell r="I579">
            <v>4</v>
          </cell>
        </row>
        <row r="580">
          <cell r="D580" t="str">
            <v>3/8" Hex BB RS-550 49</v>
          </cell>
          <cell r="E580">
            <v>1</v>
          </cell>
          <cell r="F580">
            <v>1</v>
          </cell>
          <cell r="G580">
            <v>0</v>
          </cell>
          <cell r="H580">
            <v>0</v>
          </cell>
          <cell r="I580">
            <v>4</v>
          </cell>
        </row>
        <row r="581">
          <cell r="D581" t="str">
            <v>3/8" Hex BB RS-550 50</v>
          </cell>
          <cell r="E581">
            <v>1</v>
          </cell>
          <cell r="F581">
            <v>1</v>
          </cell>
          <cell r="G581">
            <v>0</v>
          </cell>
          <cell r="H581">
            <v>0</v>
          </cell>
          <cell r="I581">
            <v>1</v>
          </cell>
        </row>
        <row r="582">
          <cell r="D582" t="str">
            <v>3/8" Hex BB RS-550 63</v>
          </cell>
          <cell r="E582">
            <v>1</v>
          </cell>
          <cell r="F582">
            <v>0</v>
          </cell>
          <cell r="G582">
            <v>0</v>
          </cell>
          <cell r="H582">
            <v>0</v>
          </cell>
          <cell r="I582">
            <v>1</v>
          </cell>
        </row>
        <row r="583">
          <cell r="D583" t="str">
            <v>3/8" Hex BB RS-550 70</v>
          </cell>
          <cell r="E583">
            <v>1</v>
          </cell>
          <cell r="F583">
            <v>0</v>
          </cell>
          <cell r="G583">
            <v>0</v>
          </cell>
          <cell r="H583">
            <v>0</v>
          </cell>
          <cell r="I583">
            <v>1</v>
          </cell>
        </row>
        <row r="584">
          <cell r="D584" t="str">
            <v>3/8" Hex BB RS-550 81</v>
          </cell>
          <cell r="E584">
            <v>1</v>
          </cell>
          <cell r="F584">
            <v>0</v>
          </cell>
          <cell r="G584">
            <v>0</v>
          </cell>
          <cell r="H584">
            <v>0</v>
          </cell>
          <cell r="I584">
            <v>1</v>
          </cell>
        </row>
        <row r="585">
          <cell r="D585" t="str">
            <v>3/8" Hex BB RS-550 90</v>
          </cell>
          <cell r="E585">
            <v>1</v>
          </cell>
          <cell r="F585">
            <v>0</v>
          </cell>
          <cell r="G585">
            <v>0</v>
          </cell>
          <cell r="H585">
            <v>0</v>
          </cell>
          <cell r="I585">
            <v>1</v>
          </cell>
        </row>
        <row r="586">
          <cell r="D586" t="str">
            <v>3/8" Hex BB RS-550 100</v>
          </cell>
          <cell r="E586">
            <v>1</v>
          </cell>
          <cell r="F586">
            <v>0</v>
          </cell>
          <cell r="G586">
            <v>0</v>
          </cell>
          <cell r="H586">
            <v>0</v>
          </cell>
          <cell r="I586">
            <v>0</v>
          </cell>
        </row>
        <row r="587">
          <cell r="D587" t="str">
            <v>3/8" Hex BB RS-775 -3</v>
          </cell>
          <cell r="E587">
            <v>1</v>
          </cell>
          <cell r="F587">
            <v>1</v>
          </cell>
          <cell r="G587">
            <v>0</v>
          </cell>
          <cell r="H587">
            <v>0</v>
          </cell>
          <cell r="I587">
            <v>1</v>
          </cell>
        </row>
        <row r="588">
          <cell r="D588" t="str">
            <v>3/8" Hex BB RS-775 -4</v>
          </cell>
          <cell r="E588">
            <v>1</v>
          </cell>
          <cell r="F588">
            <v>1</v>
          </cell>
          <cell r="G588">
            <v>0</v>
          </cell>
          <cell r="H588">
            <v>0</v>
          </cell>
          <cell r="I588">
            <v>1</v>
          </cell>
        </row>
        <row r="589">
          <cell r="D589" t="str">
            <v>3/8" Hex BB RS-775 -5</v>
          </cell>
          <cell r="E589">
            <v>1</v>
          </cell>
          <cell r="F589">
            <v>1</v>
          </cell>
          <cell r="G589">
            <v>0</v>
          </cell>
          <cell r="H589">
            <v>0</v>
          </cell>
          <cell r="I589">
            <v>1</v>
          </cell>
        </row>
        <row r="590">
          <cell r="D590" t="str">
            <v>3/8" Hex BB RS-775 -7</v>
          </cell>
          <cell r="E590">
            <v>1</v>
          </cell>
          <cell r="F590">
            <v>1</v>
          </cell>
          <cell r="G590">
            <v>0</v>
          </cell>
          <cell r="H590">
            <v>0</v>
          </cell>
          <cell r="I590">
            <v>1</v>
          </cell>
        </row>
        <row r="591">
          <cell r="D591" t="str">
            <v>3/8" Hex BB RS-775 -9</v>
          </cell>
          <cell r="E591">
            <v>1</v>
          </cell>
          <cell r="F591">
            <v>1</v>
          </cell>
          <cell r="G591">
            <v>0</v>
          </cell>
          <cell r="H591">
            <v>0</v>
          </cell>
          <cell r="I591">
            <v>1</v>
          </cell>
        </row>
        <row r="592">
          <cell r="D592" t="str">
            <v>3/8" Hex BB RS-775 -10</v>
          </cell>
          <cell r="E592">
            <v>1</v>
          </cell>
          <cell r="F592">
            <v>1</v>
          </cell>
          <cell r="G592">
            <v>0</v>
          </cell>
          <cell r="H592">
            <v>0</v>
          </cell>
          <cell r="I592">
            <v>1</v>
          </cell>
        </row>
        <row r="593">
          <cell r="D593" t="str">
            <v>3/8" Hex BB RS-775 9</v>
          </cell>
          <cell r="E593">
            <v>7</v>
          </cell>
          <cell r="F593">
            <v>3</v>
          </cell>
          <cell r="G593">
            <v>0</v>
          </cell>
          <cell r="H593">
            <v>0</v>
          </cell>
          <cell r="I593">
            <v>10</v>
          </cell>
        </row>
        <row r="594">
          <cell r="D594" t="str">
            <v>3/8" Hex BB RS-775 12</v>
          </cell>
          <cell r="E594">
            <v>5</v>
          </cell>
          <cell r="F594">
            <v>1</v>
          </cell>
          <cell r="G594">
            <v>0</v>
          </cell>
          <cell r="H594">
            <v>0</v>
          </cell>
          <cell r="I594">
            <v>10</v>
          </cell>
        </row>
        <row r="595">
          <cell r="D595" t="str">
            <v>3/8" Hex BB RS-775 15</v>
          </cell>
          <cell r="E595">
            <v>4</v>
          </cell>
          <cell r="F595">
            <v>1</v>
          </cell>
          <cell r="G595">
            <v>0</v>
          </cell>
          <cell r="H595">
            <v>0</v>
          </cell>
          <cell r="I595">
            <v>7</v>
          </cell>
        </row>
        <row r="596">
          <cell r="D596" t="str">
            <v>3/8" Hex BB RS-775 16</v>
          </cell>
          <cell r="E596">
            <v>4</v>
          </cell>
          <cell r="F596">
            <v>1</v>
          </cell>
          <cell r="G596">
            <v>0</v>
          </cell>
          <cell r="H596">
            <v>0</v>
          </cell>
          <cell r="I596">
            <v>7</v>
          </cell>
        </row>
        <row r="597">
          <cell r="D597" t="str">
            <v>3/8" Hex BB RS-775 20</v>
          </cell>
          <cell r="E597">
            <v>3</v>
          </cell>
          <cell r="F597">
            <v>1</v>
          </cell>
          <cell r="G597">
            <v>0</v>
          </cell>
          <cell r="H597">
            <v>0</v>
          </cell>
          <cell r="I597">
            <v>5</v>
          </cell>
        </row>
        <row r="598">
          <cell r="D598" t="str">
            <v>3/8" Hex BB RS-775 21</v>
          </cell>
          <cell r="E598">
            <v>3</v>
          </cell>
          <cell r="F598">
            <v>1</v>
          </cell>
          <cell r="G598">
            <v>0</v>
          </cell>
          <cell r="H598">
            <v>0</v>
          </cell>
          <cell r="I598">
            <v>5</v>
          </cell>
        </row>
        <row r="599">
          <cell r="D599" t="str">
            <v>3/8" Hex BB RS-775 25</v>
          </cell>
          <cell r="E599">
            <v>1</v>
          </cell>
          <cell r="F599">
            <v>1</v>
          </cell>
          <cell r="G599">
            <v>0</v>
          </cell>
          <cell r="H599">
            <v>0</v>
          </cell>
          <cell r="I599">
            <v>5</v>
          </cell>
        </row>
        <row r="600">
          <cell r="D600" t="str">
            <v>3/8" Hex BB RS-775 27</v>
          </cell>
          <cell r="E600">
            <v>1</v>
          </cell>
          <cell r="F600">
            <v>1</v>
          </cell>
          <cell r="G600">
            <v>0</v>
          </cell>
          <cell r="H600">
            <v>0</v>
          </cell>
          <cell r="I600">
            <v>4</v>
          </cell>
        </row>
        <row r="601">
          <cell r="D601" t="str">
            <v>3/8" Hex BB RS-775 28</v>
          </cell>
          <cell r="E601">
            <v>1</v>
          </cell>
          <cell r="F601">
            <v>1</v>
          </cell>
          <cell r="G601">
            <v>0</v>
          </cell>
          <cell r="H601">
            <v>0</v>
          </cell>
          <cell r="I601">
            <v>4</v>
          </cell>
        </row>
        <row r="602">
          <cell r="D602" t="str">
            <v>3/8" Hex BB RS-775 30</v>
          </cell>
          <cell r="E602">
            <v>1</v>
          </cell>
          <cell r="F602">
            <v>1</v>
          </cell>
          <cell r="G602">
            <v>0</v>
          </cell>
          <cell r="H602">
            <v>0</v>
          </cell>
          <cell r="I602">
            <v>4</v>
          </cell>
        </row>
        <row r="603">
          <cell r="D603" t="str">
            <v>3/8" Hex BB RS-775 35</v>
          </cell>
          <cell r="E603">
            <v>1</v>
          </cell>
          <cell r="F603">
            <v>1</v>
          </cell>
          <cell r="G603">
            <v>0</v>
          </cell>
          <cell r="H603">
            <v>0</v>
          </cell>
          <cell r="I603">
            <v>3</v>
          </cell>
        </row>
        <row r="604">
          <cell r="D604" t="str">
            <v>3/8" Hex BB RS-775 36</v>
          </cell>
          <cell r="E604">
            <v>1</v>
          </cell>
          <cell r="F604">
            <v>0</v>
          </cell>
          <cell r="G604">
            <v>0</v>
          </cell>
          <cell r="H604">
            <v>0</v>
          </cell>
          <cell r="I604">
            <v>3</v>
          </cell>
        </row>
        <row r="605">
          <cell r="D605" t="str">
            <v>3/8" Hex BB RS-775 40</v>
          </cell>
          <cell r="E605">
            <v>1</v>
          </cell>
          <cell r="F605">
            <v>0</v>
          </cell>
          <cell r="G605">
            <v>0</v>
          </cell>
          <cell r="H605">
            <v>0</v>
          </cell>
          <cell r="I605">
            <v>3</v>
          </cell>
        </row>
        <row r="606">
          <cell r="D606" t="str">
            <v>3/8" Hex BB RS-775 45</v>
          </cell>
          <cell r="E606">
            <v>1</v>
          </cell>
          <cell r="F606">
            <v>0</v>
          </cell>
          <cell r="G606">
            <v>0</v>
          </cell>
          <cell r="H606">
            <v>0</v>
          </cell>
          <cell r="I606">
            <v>1</v>
          </cell>
        </row>
        <row r="607">
          <cell r="D607" t="str">
            <v>3/8" Hex BB RS-775 49</v>
          </cell>
          <cell r="E607">
            <v>1</v>
          </cell>
          <cell r="F607">
            <v>0</v>
          </cell>
          <cell r="G607">
            <v>0</v>
          </cell>
          <cell r="H607">
            <v>0</v>
          </cell>
          <cell r="I607">
            <v>1</v>
          </cell>
        </row>
        <row r="608">
          <cell r="D608" t="str">
            <v>3/8" Hex BB RS-775 50</v>
          </cell>
          <cell r="E608">
            <v>1</v>
          </cell>
          <cell r="F608">
            <v>0</v>
          </cell>
          <cell r="G608">
            <v>0</v>
          </cell>
          <cell r="H608">
            <v>0</v>
          </cell>
          <cell r="I608">
            <v>1</v>
          </cell>
        </row>
        <row r="609">
          <cell r="D609" t="str">
            <v>3/8" Hex BB RS-775 63</v>
          </cell>
          <cell r="E609">
            <v>1</v>
          </cell>
          <cell r="F609">
            <v>0</v>
          </cell>
          <cell r="G609">
            <v>0</v>
          </cell>
          <cell r="H609">
            <v>0</v>
          </cell>
          <cell r="I609">
            <v>1</v>
          </cell>
        </row>
        <row r="610">
          <cell r="D610" t="str">
            <v>3/8" Hex BB RS-775 70</v>
          </cell>
          <cell r="E610">
            <v>1</v>
          </cell>
          <cell r="F610">
            <v>0</v>
          </cell>
          <cell r="G610">
            <v>0</v>
          </cell>
          <cell r="H610">
            <v>0</v>
          </cell>
          <cell r="I610">
            <v>1</v>
          </cell>
        </row>
        <row r="611">
          <cell r="D611" t="str">
            <v>3/8" Hex BB RS-775 81</v>
          </cell>
          <cell r="E611">
            <v>0</v>
          </cell>
          <cell r="F611">
            <v>0</v>
          </cell>
          <cell r="G611">
            <v>0</v>
          </cell>
          <cell r="H611">
            <v>0</v>
          </cell>
          <cell r="I611">
            <v>1</v>
          </cell>
        </row>
        <row r="612">
          <cell r="D612" t="str">
            <v>3/8" Hex BB RS-775 90</v>
          </cell>
          <cell r="E612">
            <v>0</v>
          </cell>
          <cell r="F612">
            <v>0</v>
          </cell>
          <cell r="G612">
            <v>0</v>
          </cell>
          <cell r="H612">
            <v>0</v>
          </cell>
          <cell r="I612">
            <v>1</v>
          </cell>
        </row>
        <row r="613">
          <cell r="D613" t="str">
            <v>3/8" Hex BB RS-775 100</v>
          </cell>
          <cell r="E613">
            <v>0</v>
          </cell>
          <cell r="F613">
            <v>0</v>
          </cell>
          <cell r="G613">
            <v>0</v>
          </cell>
          <cell r="H613">
            <v>0</v>
          </cell>
          <cell r="I613">
            <v>1</v>
          </cell>
        </row>
        <row r="614">
          <cell r="D614" t="str">
            <v>3/8" Hex BAG Motor -3</v>
          </cell>
          <cell r="E614">
            <v>1</v>
          </cell>
          <cell r="F614">
            <v>1</v>
          </cell>
          <cell r="G614">
            <v>1</v>
          </cell>
          <cell r="H614">
            <v>0</v>
          </cell>
          <cell r="I614">
            <v>1</v>
          </cell>
        </row>
        <row r="615">
          <cell r="D615" t="str">
            <v>3/8" Hex BAG Motor -4</v>
          </cell>
          <cell r="E615">
            <v>1</v>
          </cell>
          <cell r="F615">
            <v>1</v>
          </cell>
          <cell r="G615">
            <v>1</v>
          </cell>
          <cell r="H615">
            <v>0</v>
          </cell>
          <cell r="I615">
            <v>1</v>
          </cell>
        </row>
        <row r="616">
          <cell r="D616" t="str">
            <v>3/8" Hex BAG Motor -5</v>
          </cell>
          <cell r="E616">
            <v>1</v>
          </cell>
          <cell r="F616">
            <v>1</v>
          </cell>
          <cell r="G616">
            <v>0</v>
          </cell>
          <cell r="H616">
            <v>0</v>
          </cell>
          <cell r="I616">
            <v>1</v>
          </cell>
        </row>
        <row r="617">
          <cell r="D617" t="str">
            <v>3/8" Hex BAG Motor -7</v>
          </cell>
          <cell r="E617">
            <v>1</v>
          </cell>
          <cell r="F617">
            <v>1</v>
          </cell>
          <cell r="G617">
            <v>0</v>
          </cell>
          <cell r="H617">
            <v>0</v>
          </cell>
          <cell r="I617">
            <v>1</v>
          </cell>
        </row>
        <row r="618">
          <cell r="D618" t="str">
            <v>3/8" Hex BAG Motor -9</v>
          </cell>
          <cell r="E618">
            <v>1</v>
          </cell>
          <cell r="F618">
            <v>1</v>
          </cell>
          <cell r="G618">
            <v>0</v>
          </cell>
          <cell r="H618">
            <v>0</v>
          </cell>
          <cell r="I618">
            <v>1</v>
          </cell>
        </row>
        <row r="619">
          <cell r="D619" t="str">
            <v>3/8" Hex BAG Motor -10</v>
          </cell>
          <cell r="E619">
            <v>1</v>
          </cell>
          <cell r="F619">
            <v>1</v>
          </cell>
          <cell r="G619">
            <v>0</v>
          </cell>
          <cell r="H619">
            <v>0</v>
          </cell>
          <cell r="I619">
            <v>1</v>
          </cell>
        </row>
        <row r="620">
          <cell r="D620" t="str">
            <v>3/8" Hex BAG Motor 9</v>
          </cell>
          <cell r="E620">
            <v>10</v>
          </cell>
          <cell r="F620">
            <v>5</v>
          </cell>
          <cell r="G620">
            <v>0</v>
          </cell>
          <cell r="H620">
            <v>0</v>
          </cell>
          <cell r="I620">
            <v>9</v>
          </cell>
        </row>
        <row r="621">
          <cell r="D621" t="str">
            <v>3/8" Hex BAG Motor 12</v>
          </cell>
          <cell r="E621">
            <v>10</v>
          </cell>
          <cell r="F621">
            <v>5</v>
          </cell>
          <cell r="G621">
            <v>0</v>
          </cell>
          <cell r="H621">
            <v>0</v>
          </cell>
          <cell r="I621">
            <v>5</v>
          </cell>
        </row>
        <row r="622">
          <cell r="D622" t="str">
            <v>3/8" Hex BAG Motor 15</v>
          </cell>
          <cell r="E622">
            <v>7</v>
          </cell>
          <cell r="F622">
            <v>4</v>
          </cell>
          <cell r="G622">
            <v>0</v>
          </cell>
          <cell r="H622">
            <v>0</v>
          </cell>
          <cell r="I622">
            <v>5</v>
          </cell>
        </row>
        <row r="623">
          <cell r="D623" t="str">
            <v>3/8" Hex BAG Motor 16</v>
          </cell>
          <cell r="E623">
            <v>7</v>
          </cell>
          <cell r="F623">
            <v>3</v>
          </cell>
          <cell r="G623">
            <v>0</v>
          </cell>
          <cell r="H623">
            <v>0</v>
          </cell>
          <cell r="I623">
            <v>5</v>
          </cell>
        </row>
        <row r="624">
          <cell r="D624" t="str">
            <v>3/8" Hex BAG Motor 20</v>
          </cell>
          <cell r="E624">
            <v>5</v>
          </cell>
          <cell r="F624">
            <v>3</v>
          </cell>
          <cell r="G624">
            <v>0</v>
          </cell>
          <cell r="H624">
            <v>0</v>
          </cell>
          <cell r="I624">
            <v>4</v>
          </cell>
        </row>
        <row r="625">
          <cell r="D625" t="str">
            <v>3/8" Hex BAG Motor 21</v>
          </cell>
          <cell r="E625">
            <v>5</v>
          </cell>
          <cell r="F625">
            <v>1</v>
          </cell>
          <cell r="G625">
            <v>0</v>
          </cell>
          <cell r="H625">
            <v>0</v>
          </cell>
          <cell r="I625">
            <v>3</v>
          </cell>
        </row>
        <row r="626">
          <cell r="D626" t="str">
            <v>3/8" Hex BAG Motor 25</v>
          </cell>
          <cell r="E626">
            <v>5</v>
          </cell>
          <cell r="F626">
            <v>1</v>
          </cell>
          <cell r="G626">
            <v>0</v>
          </cell>
          <cell r="H626">
            <v>0</v>
          </cell>
          <cell r="I626">
            <v>3</v>
          </cell>
        </row>
        <row r="627">
          <cell r="D627" t="str">
            <v>3/8" Hex BAG Motor 27</v>
          </cell>
          <cell r="E627">
            <v>4</v>
          </cell>
          <cell r="F627">
            <v>1</v>
          </cell>
          <cell r="G627">
            <v>0</v>
          </cell>
          <cell r="H627">
            <v>0</v>
          </cell>
          <cell r="I627">
            <v>3</v>
          </cell>
        </row>
        <row r="628">
          <cell r="D628" t="str">
            <v>3/8" Hex BAG Motor 28</v>
          </cell>
          <cell r="E628">
            <v>4</v>
          </cell>
          <cell r="F628">
            <v>1</v>
          </cell>
          <cell r="G628">
            <v>0</v>
          </cell>
          <cell r="H628">
            <v>0</v>
          </cell>
          <cell r="I628">
            <v>1</v>
          </cell>
        </row>
        <row r="629">
          <cell r="D629" t="str">
            <v>3/8" Hex BAG Motor 30</v>
          </cell>
          <cell r="E629">
            <v>4</v>
          </cell>
          <cell r="F629">
            <v>1</v>
          </cell>
          <cell r="G629">
            <v>0</v>
          </cell>
          <cell r="H629">
            <v>0</v>
          </cell>
          <cell r="I629">
            <v>1</v>
          </cell>
        </row>
        <row r="630">
          <cell r="D630" t="str">
            <v>3/8" Hex BAG Motor 35</v>
          </cell>
          <cell r="E630">
            <v>3</v>
          </cell>
          <cell r="F630">
            <v>1</v>
          </cell>
          <cell r="G630">
            <v>0</v>
          </cell>
          <cell r="H630">
            <v>0</v>
          </cell>
          <cell r="I630">
            <v>1</v>
          </cell>
        </row>
        <row r="631">
          <cell r="D631" t="str">
            <v>3/8" Hex BAG Motor 36</v>
          </cell>
          <cell r="E631">
            <v>3</v>
          </cell>
          <cell r="F631">
            <v>1</v>
          </cell>
          <cell r="G631">
            <v>0</v>
          </cell>
          <cell r="H631">
            <v>0</v>
          </cell>
          <cell r="I631">
            <v>1</v>
          </cell>
        </row>
        <row r="632">
          <cell r="D632" t="str">
            <v>3/8" Hex BAG Motor 40</v>
          </cell>
          <cell r="E632">
            <v>3</v>
          </cell>
          <cell r="F632">
            <v>1</v>
          </cell>
          <cell r="G632">
            <v>0</v>
          </cell>
          <cell r="H632">
            <v>0</v>
          </cell>
          <cell r="I632">
            <v>1</v>
          </cell>
        </row>
        <row r="633">
          <cell r="D633" t="str">
            <v>3/8" Hex BAG Motor 45</v>
          </cell>
          <cell r="E633">
            <v>1</v>
          </cell>
          <cell r="F633">
            <v>1</v>
          </cell>
          <cell r="G633">
            <v>0</v>
          </cell>
          <cell r="H633">
            <v>0</v>
          </cell>
          <cell r="I633">
            <v>1</v>
          </cell>
        </row>
        <row r="634">
          <cell r="D634" t="str">
            <v>3/8" Hex BAG Motor 49</v>
          </cell>
          <cell r="E634">
            <v>1</v>
          </cell>
          <cell r="F634">
            <v>1</v>
          </cell>
          <cell r="G634">
            <v>0</v>
          </cell>
          <cell r="H634">
            <v>0</v>
          </cell>
          <cell r="I634">
            <v>1</v>
          </cell>
        </row>
        <row r="635">
          <cell r="D635" t="str">
            <v>3/8" Hex BAG Motor 50</v>
          </cell>
          <cell r="E635">
            <v>1</v>
          </cell>
          <cell r="F635">
            <v>1</v>
          </cell>
          <cell r="G635">
            <v>0</v>
          </cell>
          <cell r="H635">
            <v>0</v>
          </cell>
          <cell r="I635">
            <v>1</v>
          </cell>
        </row>
        <row r="636">
          <cell r="D636" t="str">
            <v>3/8" Hex BAG Motor 63</v>
          </cell>
          <cell r="E636">
            <v>1</v>
          </cell>
          <cell r="F636">
            <v>0</v>
          </cell>
          <cell r="G636">
            <v>0</v>
          </cell>
          <cell r="H636">
            <v>0</v>
          </cell>
          <cell r="I636">
            <v>1</v>
          </cell>
        </row>
        <row r="637">
          <cell r="D637" t="str">
            <v>3/8" Hex BAG Motor 70</v>
          </cell>
          <cell r="E637">
            <v>1</v>
          </cell>
          <cell r="F637">
            <v>0</v>
          </cell>
          <cell r="G637">
            <v>0</v>
          </cell>
          <cell r="H637">
            <v>0</v>
          </cell>
          <cell r="I637">
            <v>1</v>
          </cell>
        </row>
        <row r="638">
          <cell r="D638" t="str">
            <v>3/8" Hex BAG Motor 81</v>
          </cell>
          <cell r="E638">
            <v>1</v>
          </cell>
          <cell r="F638">
            <v>0</v>
          </cell>
          <cell r="G638">
            <v>0</v>
          </cell>
          <cell r="H638">
            <v>0</v>
          </cell>
          <cell r="I638">
            <v>1</v>
          </cell>
        </row>
        <row r="639">
          <cell r="D639" t="str">
            <v>3/8" Hex BAG Motor 90</v>
          </cell>
          <cell r="E639">
            <v>1</v>
          </cell>
          <cell r="F639">
            <v>0</v>
          </cell>
          <cell r="G639">
            <v>0</v>
          </cell>
          <cell r="H639">
            <v>0</v>
          </cell>
          <cell r="I639">
            <v>0</v>
          </cell>
        </row>
        <row r="640">
          <cell r="D640" t="str">
            <v>3/8" Hex BAG Motor 100</v>
          </cell>
          <cell r="E640">
            <v>1</v>
          </cell>
          <cell r="F640">
            <v>0</v>
          </cell>
          <cell r="G640">
            <v>0</v>
          </cell>
          <cell r="H640">
            <v>0</v>
          </cell>
          <cell r="I640">
            <v>0</v>
          </cell>
        </row>
        <row r="641">
          <cell r="D641" t="str">
            <v>3/8" Hex 775pro -3</v>
          </cell>
          <cell r="E641">
            <v>1</v>
          </cell>
          <cell r="F641">
            <v>1</v>
          </cell>
          <cell r="G641">
            <v>0</v>
          </cell>
          <cell r="H641">
            <v>0</v>
          </cell>
          <cell r="I641">
            <v>1</v>
          </cell>
        </row>
        <row r="642">
          <cell r="D642" t="str">
            <v>3/8" Hex 775pro -4</v>
          </cell>
          <cell r="E642">
            <v>1</v>
          </cell>
          <cell r="F642">
            <v>1</v>
          </cell>
          <cell r="G642">
            <v>0</v>
          </cell>
          <cell r="H642">
            <v>0</v>
          </cell>
          <cell r="I642">
            <v>1</v>
          </cell>
        </row>
        <row r="643">
          <cell r="D643" t="str">
            <v>3/8" Hex 775pro -5</v>
          </cell>
          <cell r="E643">
            <v>1</v>
          </cell>
          <cell r="F643">
            <v>1</v>
          </cell>
          <cell r="G643">
            <v>0</v>
          </cell>
          <cell r="H643">
            <v>0</v>
          </cell>
          <cell r="I643">
            <v>1</v>
          </cell>
        </row>
        <row r="644">
          <cell r="D644" t="str">
            <v>3/8" Hex 775pro -7</v>
          </cell>
          <cell r="E644">
            <v>1</v>
          </cell>
          <cell r="F644">
            <v>1</v>
          </cell>
          <cell r="G644">
            <v>0</v>
          </cell>
          <cell r="H644">
            <v>0</v>
          </cell>
          <cell r="I644">
            <v>1</v>
          </cell>
        </row>
        <row r="645">
          <cell r="D645" t="str">
            <v>3/8" Hex 775pro -9</v>
          </cell>
          <cell r="E645">
            <v>1</v>
          </cell>
          <cell r="F645">
            <v>1</v>
          </cell>
          <cell r="G645">
            <v>0</v>
          </cell>
          <cell r="H645">
            <v>0</v>
          </cell>
          <cell r="I645">
            <v>1</v>
          </cell>
        </row>
        <row r="646">
          <cell r="D646" t="str">
            <v>3/8" Hex 775pro -10</v>
          </cell>
          <cell r="E646">
            <v>1</v>
          </cell>
          <cell r="F646">
            <v>1</v>
          </cell>
          <cell r="G646">
            <v>0</v>
          </cell>
          <cell r="H646">
            <v>0</v>
          </cell>
          <cell r="I646">
            <v>1</v>
          </cell>
        </row>
        <row r="647">
          <cell r="D647" t="str">
            <v>3/8" Hex 775pro 9</v>
          </cell>
          <cell r="E647">
            <v>7</v>
          </cell>
          <cell r="F647">
            <v>4</v>
          </cell>
          <cell r="G647">
            <v>0</v>
          </cell>
          <cell r="H647">
            <v>0</v>
          </cell>
          <cell r="I647">
            <v>5</v>
          </cell>
        </row>
        <row r="648">
          <cell r="D648" t="str">
            <v>3/8" Hex 775pro 12</v>
          </cell>
          <cell r="E648">
            <v>5</v>
          </cell>
          <cell r="F648">
            <v>3</v>
          </cell>
          <cell r="G648">
            <v>0</v>
          </cell>
          <cell r="H648">
            <v>0</v>
          </cell>
          <cell r="I648">
            <v>4</v>
          </cell>
        </row>
        <row r="649">
          <cell r="D649" t="str">
            <v>3/8" Hex 775pro 15</v>
          </cell>
          <cell r="E649">
            <v>5</v>
          </cell>
          <cell r="F649">
            <v>1</v>
          </cell>
          <cell r="G649">
            <v>0</v>
          </cell>
          <cell r="H649">
            <v>0</v>
          </cell>
          <cell r="I649">
            <v>3</v>
          </cell>
        </row>
        <row r="650">
          <cell r="D650" t="str">
            <v>3/8" Hex 775pro 16</v>
          </cell>
          <cell r="E650">
            <v>4</v>
          </cell>
          <cell r="F650">
            <v>1</v>
          </cell>
          <cell r="G650">
            <v>0</v>
          </cell>
          <cell r="H650">
            <v>0</v>
          </cell>
          <cell r="I650">
            <v>3</v>
          </cell>
        </row>
        <row r="651">
          <cell r="D651" t="str">
            <v>3/8" Hex 775pro 20</v>
          </cell>
          <cell r="E651">
            <v>3</v>
          </cell>
          <cell r="F651">
            <v>1</v>
          </cell>
          <cell r="G651">
            <v>0</v>
          </cell>
          <cell r="H651">
            <v>0</v>
          </cell>
          <cell r="I651">
            <v>1</v>
          </cell>
        </row>
        <row r="652">
          <cell r="D652" t="str">
            <v>3/8" Hex 775pro 21</v>
          </cell>
          <cell r="E652">
            <v>3</v>
          </cell>
          <cell r="F652">
            <v>1</v>
          </cell>
          <cell r="G652">
            <v>0</v>
          </cell>
          <cell r="H652">
            <v>0</v>
          </cell>
          <cell r="I652">
            <v>1</v>
          </cell>
        </row>
        <row r="653">
          <cell r="D653" t="str">
            <v>3/8" Hex 775pro 25</v>
          </cell>
          <cell r="E653">
            <v>3</v>
          </cell>
          <cell r="F653">
            <v>1</v>
          </cell>
          <cell r="G653">
            <v>0</v>
          </cell>
          <cell r="H653">
            <v>0</v>
          </cell>
          <cell r="I653">
            <v>1</v>
          </cell>
        </row>
        <row r="654">
          <cell r="D654" t="str">
            <v>3/8" Hex 775pro 27</v>
          </cell>
          <cell r="E654">
            <v>1</v>
          </cell>
          <cell r="F654">
            <v>1</v>
          </cell>
          <cell r="G654">
            <v>0</v>
          </cell>
          <cell r="H654">
            <v>0</v>
          </cell>
          <cell r="I654">
            <v>1</v>
          </cell>
        </row>
        <row r="655">
          <cell r="D655" t="str">
            <v>3/8" Hex 775pro 28</v>
          </cell>
          <cell r="E655">
            <v>1</v>
          </cell>
          <cell r="F655">
            <v>1</v>
          </cell>
          <cell r="G655">
            <v>0</v>
          </cell>
          <cell r="H655">
            <v>0</v>
          </cell>
          <cell r="I655">
            <v>1</v>
          </cell>
        </row>
        <row r="656">
          <cell r="D656" t="str">
            <v>3/8" Hex 775pro 30</v>
          </cell>
          <cell r="E656">
            <v>1</v>
          </cell>
          <cell r="F656">
            <v>1</v>
          </cell>
          <cell r="G656">
            <v>0</v>
          </cell>
          <cell r="H656">
            <v>0</v>
          </cell>
          <cell r="I656">
            <v>1</v>
          </cell>
        </row>
        <row r="657">
          <cell r="D657" t="str">
            <v>3/8" Hex 775pro 35</v>
          </cell>
          <cell r="E657">
            <v>1</v>
          </cell>
          <cell r="F657">
            <v>1</v>
          </cell>
          <cell r="G657">
            <v>0</v>
          </cell>
          <cell r="H657">
            <v>0</v>
          </cell>
          <cell r="I657">
            <v>1</v>
          </cell>
        </row>
        <row r="658">
          <cell r="D658" t="str">
            <v>3/8" Hex 775pro 36</v>
          </cell>
          <cell r="E658">
            <v>1</v>
          </cell>
          <cell r="F658">
            <v>1</v>
          </cell>
          <cell r="G658">
            <v>0</v>
          </cell>
          <cell r="H658">
            <v>0</v>
          </cell>
          <cell r="I658">
            <v>1</v>
          </cell>
        </row>
        <row r="659">
          <cell r="D659" t="str">
            <v>3/8" Hex 775pro 40</v>
          </cell>
          <cell r="E659">
            <v>1</v>
          </cell>
          <cell r="F659">
            <v>0</v>
          </cell>
          <cell r="G659">
            <v>0</v>
          </cell>
          <cell r="H659">
            <v>0</v>
          </cell>
          <cell r="I659">
            <v>1</v>
          </cell>
        </row>
        <row r="660">
          <cell r="D660" t="str">
            <v>3/8" Hex 775pro 45</v>
          </cell>
          <cell r="E660">
            <v>1</v>
          </cell>
          <cell r="F660">
            <v>0</v>
          </cell>
          <cell r="G660">
            <v>0</v>
          </cell>
          <cell r="H660">
            <v>0</v>
          </cell>
          <cell r="I660">
            <v>1</v>
          </cell>
        </row>
        <row r="661">
          <cell r="D661" t="str">
            <v>3/8" Hex 775pro 49</v>
          </cell>
          <cell r="E661">
            <v>1</v>
          </cell>
          <cell r="F661">
            <v>0</v>
          </cell>
          <cell r="G661">
            <v>0</v>
          </cell>
          <cell r="H661">
            <v>0</v>
          </cell>
          <cell r="I661">
            <v>1</v>
          </cell>
        </row>
        <row r="662">
          <cell r="D662" t="str">
            <v>3/8" Hex 775pro 50</v>
          </cell>
          <cell r="E662">
            <v>1</v>
          </cell>
          <cell r="F662">
            <v>0</v>
          </cell>
          <cell r="G662">
            <v>0</v>
          </cell>
          <cell r="H662">
            <v>0</v>
          </cell>
          <cell r="I662">
            <v>0</v>
          </cell>
        </row>
        <row r="663">
          <cell r="D663" t="str">
            <v>3/8" Hex 775pro 63</v>
          </cell>
          <cell r="E663">
            <v>1</v>
          </cell>
          <cell r="F663">
            <v>0</v>
          </cell>
          <cell r="G663">
            <v>0</v>
          </cell>
          <cell r="H663">
            <v>0</v>
          </cell>
          <cell r="I663">
            <v>0</v>
          </cell>
        </row>
        <row r="664">
          <cell r="D664" t="str">
            <v>3/8" Hex 775pro 70</v>
          </cell>
          <cell r="E664">
            <v>1</v>
          </cell>
          <cell r="F664">
            <v>0</v>
          </cell>
          <cell r="G664">
            <v>0</v>
          </cell>
          <cell r="H664">
            <v>0</v>
          </cell>
          <cell r="I664">
            <v>0</v>
          </cell>
        </row>
        <row r="665">
          <cell r="D665" t="str">
            <v>3/8" Hex 775pro 81</v>
          </cell>
          <cell r="E665">
            <v>0</v>
          </cell>
          <cell r="F665">
            <v>0</v>
          </cell>
          <cell r="G665">
            <v>0</v>
          </cell>
          <cell r="H665">
            <v>0</v>
          </cell>
          <cell r="I665">
            <v>0</v>
          </cell>
        </row>
        <row r="666">
          <cell r="D666" t="str">
            <v>3/8" Hex 775pro 90</v>
          </cell>
          <cell r="E666">
            <v>0</v>
          </cell>
          <cell r="F666">
            <v>0</v>
          </cell>
          <cell r="G666">
            <v>0</v>
          </cell>
          <cell r="H666">
            <v>0</v>
          </cell>
          <cell r="I666">
            <v>0</v>
          </cell>
        </row>
        <row r="667">
          <cell r="D667" t="str">
            <v>3/8" Hex 775pro 100</v>
          </cell>
          <cell r="E667">
            <v>0</v>
          </cell>
          <cell r="F667">
            <v>0</v>
          </cell>
          <cell r="G667">
            <v>0</v>
          </cell>
          <cell r="H667">
            <v>0</v>
          </cell>
          <cell r="I667">
            <v>0</v>
          </cell>
        </row>
        <row r="668">
          <cell r="D668" t="str">
            <v>3/8" Hex Mini CIM -3</v>
          </cell>
          <cell r="E668">
            <v>1</v>
          </cell>
          <cell r="I668">
            <v>0</v>
          </cell>
        </row>
        <row r="669">
          <cell r="D669" t="str">
            <v>3/8" Hex Mini CIM -4</v>
          </cell>
          <cell r="E669">
            <v>1</v>
          </cell>
          <cell r="I669">
            <v>0</v>
          </cell>
        </row>
        <row r="670">
          <cell r="D670" t="str">
            <v>3/8" Hex Mini CIM -5</v>
          </cell>
          <cell r="E670">
            <v>1</v>
          </cell>
          <cell r="I670">
            <v>0</v>
          </cell>
        </row>
        <row r="671">
          <cell r="D671" t="str">
            <v>3/8" Hex Mini CIM -7</v>
          </cell>
          <cell r="E671">
            <v>1</v>
          </cell>
          <cell r="I671">
            <v>0</v>
          </cell>
        </row>
        <row r="672">
          <cell r="D672" t="str">
            <v>3/8" Hex Mini CIM -9</v>
          </cell>
          <cell r="E672">
            <v>1</v>
          </cell>
          <cell r="I672">
            <v>0</v>
          </cell>
        </row>
        <row r="673">
          <cell r="D673" t="str">
            <v>3/8" Hex Mini CIM -10</v>
          </cell>
          <cell r="E673">
            <v>1</v>
          </cell>
          <cell r="I673">
            <v>0</v>
          </cell>
        </row>
        <row r="674">
          <cell r="D674" t="str">
            <v>3/8" Hex Mini CIM 9</v>
          </cell>
          <cell r="E674">
            <v>4</v>
          </cell>
          <cell r="I674">
            <v>0</v>
          </cell>
        </row>
        <row r="675">
          <cell r="D675" t="str">
            <v>3/8" Hex Mini CIM 12</v>
          </cell>
          <cell r="E675">
            <v>3</v>
          </cell>
          <cell r="I675">
            <v>0</v>
          </cell>
        </row>
        <row r="676">
          <cell r="D676" t="str">
            <v>3/8" Hex Mini CIM 15</v>
          </cell>
          <cell r="E676">
            <v>1</v>
          </cell>
          <cell r="I676">
            <v>0</v>
          </cell>
        </row>
        <row r="677">
          <cell r="D677" t="str">
            <v>3/8" Hex Mini CIM 16</v>
          </cell>
          <cell r="E677">
            <v>1</v>
          </cell>
          <cell r="I677">
            <v>0</v>
          </cell>
        </row>
        <row r="678">
          <cell r="D678" t="str">
            <v>3/8" Hex Mini CIM 20</v>
          </cell>
          <cell r="E678">
            <v>1</v>
          </cell>
          <cell r="I678">
            <v>0</v>
          </cell>
        </row>
        <row r="679">
          <cell r="D679" t="str">
            <v>3/8" Hex Mini CIM 21</v>
          </cell>
          <cell r="E679">
            <v>1</v>
          </cell>
          <cell r="I679">
            <v>0</v>
          </cell>
        </row>
        <row r="680">
          <cell r="D680" t="str">
            <v>3/8" Hex Mini CIM 25</v>
          </cell>
          <cell r="E680">
            <v>1</v>
          </cell>
          <cell r="I680">
            <v>0</v>
          </cell>
        </row>
        <row r="681">
          <cell r="D681" t="str">
            <v>3/8" Hex Mini CIM 27</v>
          </cell>
          <cell r="E681">
            <v>1</v>
          </cell>
          <cell r="I681">
            <v>0</v>
          </cell>
        </row>
        <row r="682">
          <cell r="D682" t="str">
            <v>3/8" Hex Mini CIM 28</v>
          </cell>
          <cell r="E682">
            <v>1</v>
          </cell>
          <cell r="I682">
            <v>0</v>
          </cell>
        </row>
        <row r="683">
          <cell r="D683" t="str">
            <v>3/8" Hex Mini CIM 30</v>
          </cell>
          <cell r="E683">
            <v>1</v>
          </cell>
          <cell r="I683">
            <v>0</v>
          </cell>
        </row>
        <row r="684">
          <cell r="D684" t="str">
            <v>3/8" Hex Mini CIM 35</v>
          </cell>
          <cell r="E684">
            <v>1</v>
          </cell>
          <cell r="I684">
            <v>0</v>
          </cell>
        </row>
        <row r="685">
          <cell r="D685" t="str">
            <v>3/8" Hex Mini CIM 36</v>
          </cell>
          <cell r="E685">
            <v>1</v>
          </cell>
          <cell r="I685">
            <v>0</v>
          </cell>
        </row>
        <row r="686">
          <cell r="D686" t="str">
            <v>3/8" Hex Mini CIM 40</v>
          </cell>
          <cell r="E686">
            <v>0</v>
          </cell>
          <cell r="I686">
            <v>0</v>
          </cell>
        </row>
        <row r="687">
          <cell r="D687" t="str">
            <v>3/8" Hex Mini CIM 45</v>
          </cell>
          <cell r="E687">
            <v>0</v>
          </cell>
          <cell r="I687">
            <v>0</v>
          </cell>
        </row>
        <row r="688">
          <cell r="D688" t="str">
            <v>3/8" Hex Mini CIM 49</v>
          </cell>
          <cell r="E688">
            <v>0</v>
          </cell>
          <cell r="I688">
            <v>0</v>
          </cell>
        </row>
        <row r="689">
          <cell r="D689" t="str">
            <v>3/8" Hex Mini CIM 50</v>
          </cell>
          <cell r="E689">
            <v>0</v>
          </cell>
          <cell r="I689">
            <v>0</v>
          </cell>
        </row>
        <row r="690">
          <cell r="D690" t="str">
            <v>3/8" Hex Mini CIM 63</v>
          </cell>
          <cell r="E690">
            <v>0</v>
          </cell>
          <cell r="I690">
            <v>0</v>
          </cell>
        </row>
        <row r="691">
          <cell r="D691" t="str">
            <v>3/8" Hex Mini CIM 70</v>
          </cell>
          <cell r="E691">
            <v>0</v>
          </cell>
          <cell r="I691">
            <v>0</v>
          </cell>
        </row>
        <row r="692">
          <cell r="D692" t="str">
            <v>3/8" Hex Mini CIM 81</v>
          </cell>
          <cell r="E692">
            <v>0</v>
          </cell>
          <cell r="I692">
            <v>0</v>
          </cell>
        </row>
        <row r="693">
          <cell r="D693" t="str">
            <v>3/8" Hex Mini CIM 90</v>
          </cell>
          <cell r="E693">
            <v>0</v>
          </cell>
          <cell r="I693">
            <v>0</v>
          </cell>
        </row>
        <row r="694">
          <cell r="D694" t="str">
            <v>3/8" Hex Mini CIM 100</v>
          </cell>
          <cell r="E694">
            <v>0</v>
          </cell>
          <cell r="I694">
            <v>0</v>
          </cell>
        </row>
        <row r="695">
          <cell r="D695" t="str">
            <v>3/8" Hex CIM -3</v>
          </cell>
          <cell r="E695">
            <v>1</v>
          </cell>
          <cell r="I695">
            <v>0</v>
          </cell>
        </row>
        <row r="696">
          <cell r="D696" t="str">
            <v>3/8" Hex CIM -4</v>
          </cell>
          <cell r="E696">
            <v>1</v>
          </cell>
          <cell r="I696">
            <v>0</v>
          </cell>
        </row>
        <row r="697">
          <cell r="D697" t="str">
            <v>3/8" Hex CIM -5</v>
          </cell>
          <cell r="E697">
            <v>1</v>
          </cell>
          <cell r="I697">
            <v>0</v>
          </cell>
        </row>
        <row r="698">
          <cell r="D698" t="str">
            <v>3/8" Hex CIM -7</v>
          </cell>
          <cell r="E698">
            <v>1</v>
          </cell>
          <cell r="I698">
            <v>0</v>
          </cell>
        </row>
        <row r="699">
          <cell r="D699" t="str">
            <v>3/8" Hex CIM -9</v>
          </cell>
          <cell r="E699">
            <v>1</v>
          </cell>
          <cell r="I699">
            <v>0</v>
          </cell>
        </row>
        <row r="700">
          <cell r="D700" t="str">
            <v>3/8" Hex CIM -10</v>
          </cell>
          <cell r="E700">
            <v>1</v>
          </cell>
          <cell r="I700">
            <v>0</v>
          </cell>
        </row>
        <row r="701">
          <cell r="D701" t="str">
            <v>3/8" Hex CIM 9</v>
          </cell>
          <cell r="E701">
            <v>1</v>
          </cell>
          <cell r="I701">
            <v>0</v>
          </cell>
        </row>
        <row r="702">
          <cell r="D702" t="str">
            <v>3/8" Hex CIM 12</v>
          </cell>
          <cell r="E702">
            <v>1</v>
          </cell>
          <cell r="I702">
            <v>0</v>
          </cell>
        </row>
        <row r="703">
          <cell r="D703" t="str">
            <v>3/8" Hex CIM 15</v>
          </cell>
          <cell r="E703">
            <v>1</v>
          </cell>
          <cell r="I703">
            <v>0</v>
          </cell>
        </row>
        <row r="704">
          <cell r="D704" t="str">
            <v>3/8" Hex CIM 16</v>
          </cell>
          <cell r="E704">
            <v>1</v>
          </cell>
          <cell r="I704">
            <v>0</v>
          </cell>
        </row>
        <row r="705">
          <cell r="D705" t="str">
            <v>3/8" Hex CIM 20</v>
          </cell>
          <cell r="E705">
            <v>1</v>
          </cell>
          <cell r="I705">
            <v>0</v>
          </cell>
        </row>
        <row r="706">
          <cell r="D706" t="str">
            <v>3/8" Hex CIM 21</v>
          </cell>
          <cell r="E706">
            <v>1</v>
          </cell>
          <cell r="I706">
            <v>0</v>
          </cell>
        </row>
        <row r="707">
          <cell r="D707" t="str">
            <v>3/8" Hex CIM 25</v>
          </cell>
          <cell r="E707">
            <v>0</v>
          </cell>
          <cell r="I707">
            <v>0</v>
          </cell>
        </row>
        <row r="708">
          <cell r="D708" t="str">
            <v>3/8" Hex CIM 27</v>
          </cell>
          <cell r="E708">
            <v>0</v>
          </cell>
          <cell r="I708">
            <v>0</v>
          </cell>
        </row>
        <row r="709">
          <cell r="D709" t="str">
            <v>3/8" Hex CIM 28</v>
          </cell>
          <cell r="E709">
            <v>0</v>
          </cell>
          <cell r="I709">
            <v>0</v>
          </cell>
        </row>
        <row r="710">
          <cell r="D710" t="str">
            <v>3/8" Hex CIM 30</v>
          </cell>
          <cell r="E710">
            <v>0</v>
          </cell>
          <cell r="I710">
            <v>0</v>
          </cell>
        </row>
        <row r="711">
          <cell r="D711" t="str">
            <v>3/8" Hex CIM 35</v>
          </cell>
          <cell r="E711">
            <v>0</v>
          </cell>
          <cell r="I711">
            <v>0</v>
          </cell>
        </row>
        <row r="712">
          <cell r="D712" t="str">
            <v>3/8" Hex CIM 36</v>
          </cell>
          <cell r="E712">
            <v>0</v>
          </cell>
          <cell r="I712">
            <v>0</v>
          </cell>
        </row>
        <row r="713">
          <cell r="D713" t="str">
            <v>3/8" Hex CIM 40</v>
          </cell>
          <cell r="E713">
            <v>0</v>
          </cell>
          <cell r="I713">
            <v>0</v>
          </cell>
        </row>
        <row r="714">
          <cell r="D714" t="str">
            <v>3/8" Hex CIM 45</v>
          </cell>
          <cell r="E714">
            <v>0</v>
          </cell>
          <cell r="I714">
            <v>0</v>
          </cell>
        </row>
        <row r="715">
          <cell r="D715" t="str">
            <v>3/8" Hex CIM 49</v>
          </cell>
          <cell r="E715">
            <v>0</v>
          </cell>
          <cell r="I715">
            <v>0</v>
          </cell>
        </row>
        <row r="716">
          <cell r="D716" t="str">
            <v>3/8" Hex CIM 50</v>
          </cell>
          <cell r="E716">
            <v>0</v>
          </cell>
          <cell r="I716">
            <v>0</v>
          </cell>
        </row>
        <row r="717">
          <cell r="D717" t="str">
            <v>3/8" Hex CIM 63</v>
          </cell>
          <cell r="E717">
            <v>0</v>
          </cell>
          <cell r="I717">
            <v>0</v>
          </cell>
        </row>
        <row r="718">
          <cell r="D718" t="str">
            <v>3/8" Hex CIM 70</v>
          </cell>
          <cell r="E718">
            <v>0</v>
          </cell>
          <cell r="I718">
            <v>0</v>
          </cell>
        </row>
        <row r="719">
          <cell r="D719" t="str">
            <v>3/8" Hex CIM 81</v>
          </cell>
          <cell r="E719">
            <v>0</v>
          </cell>
          <cell r="I719">
            <v>0</v>
          </cell>
        </row>
        <row r="720">
          <cell r="D720" t="str">
            <v>3/8" Hex CIM 90</v>
          </cell>
          <cell r="E720">
            <v>0</v>
          </cell>
          <cell r="I720">
            <v>0</v>
          </cell>
        </row>
        <row r="721">
          <cell r="D721" t="str">
            <v>3/8" Hex CIM 100</v>
          </cell>
          <cell r="E721">
            <v>0</v>
          </cell>
          <cell r="I721">
            <v>0</v>
          </cell>
        </row>
        <row r="722">
          <cell r="D722" t="str">
            <v>3/8" Hex NEO -3</v>
          </cell>
          <cell r="E722">
            <v>1</v>
          </cell>
          <cell r="I722">
            <v>0</v>
          </cell>
        </row>
        <row r="723">
          <cell r="D723" t="str">
            <v>3/8" Hex NEO -4</v>
          </cell>
          <cell r="E723">
            <v>1</v>
          </cell>
          <cell r="I723">
            <v>0</v>
          </cell>
        </row>
        <row r="724">
          <cell r="D724" t="str">
            <v>3/8" Hex NEO -5</v>
          </cell>
          <cell r="E724">
            <v>1</v>
          </cell>
          <cell r="I724">
            <v>0</v>
          </cell>
        </row>
        <row r="725">
          <cell r="D725" t="str">
            <v>3/8" Hex NEO -7</v>
          </cell>
          <cell r="E725">
            <v>1</v>
          </cell>
          <cell r="I725">
            <v>0</v>
          </cell>
        </row>
        <row r="726">
          <cell r="D726" t="str">
            <v>3/8" Hex NEO -9</v>
          </cell>
          <cell r="E726">
            <v>1</v>
          </cell>
          <cell r="I726">
            <v>0</v>
          </cell>
        </row>
        <row r="727">
          <cell r="D727" t="str">
            <v>3/8" Hex NEO -10</v>
          </cell>
          <cell r="E727">
            <v>1</v>
          </cell>
          <cell r="I727">
            <v>0</v>
          </cell>
        </row>
        <row r="728">
          <cell r="D728" t="str">
            <v>3/8" Hex NEO 9</v>
          </cell>
          <cell r="E728">
            <v>1</v>
          </cell>
          <cell r="I728">
            <v>0</v>
          </cell>
        </row>
        <row r="729">
          <cell r="D729" t="str">
            <v>3/8" Hex NEO 12</v>
          </cell>
          <cell r="E729">
            <v>1</v>
          </cell>
          <cell r="I729">
            <v>0</v>
          </cell>
        </row>
        <row r="730">
          <cell r="D730" t="str">
            <v>3/8" Hex NEO 15</v>
          </cell>
          <cell r="E730">
            <v>1</v>
          </cell>
          <cell r="I730">
            <v>0</v>
          </cell>
        </row>
        <row r="731">
          <cell r="D731" t="str">
            <v>3/8" Hex NEO 16</v>
          </cell>
          <cell r="E731">
            <v>1</v>
          </cell>
          <cell r="I731">
            <v>0</v>
          </cell>
        </row>
        <row r="732">
          <cell r="D732" t="str">
            <v>3/8" Hex NEO 20</v>
          </cell>
          <cell r="E732">
            <v>0</v>
          </cell>
          <cell r="I732">
            <v>0</v>
          </cell>
        </row>
        <row r="733">
          <cell r="D733" t="str">
            <v>3/8" Hex NEO 21</v>
          </cell>
          <cell r="E733">
            <v>0</v>
          </cell>
          <cell r="I733">
            <v>0</v>
          </cell>
        </row>
        <row r="734">
          <cell r="D734" t="str">
            <v>3/8" Hex NEO 25</v>
          </cell>
          <cell r="E734">
            <v>0</v>
          </cell>
          <cell r="I734">
            <v>0</v>
          </cell>
        </row>
        <row r="735">
          <cell r="D735" t="str">
            <v>3/8" Hex NEO 27</v>
          </cell>
          <cell r="E735">
            <v>0</v>
          </cell>
          <cell r="I735">
            <v>0</v>
          </cell>
        </row>
        <row r="736">
          <cell r="D736" t="str">
            <v>3/8" Hex NEO 28</v>
          </cell>
          <cell r="E736">
            <v>0</v>
          </cell>
          <cell r="I736">
            <v>0</v>
          </cell>
        </row>
        <row r="737">
          <cell r="D737" t="str">
            <v>3/8" Hex NEO 30</v>
          </cell>
          <cell r="E737">
            <v>0</v>
          </cell>
          <cell r="I737">
            <v>0</v>
          </cell>
        </row>
        <row r="738">
          <cell r="D738" t="str">
            <v>3/8" Hex NEO 35</v>
          </cell>
          <cell r="E738">
            <v>0</v>
          </cell>
          <cell r="I738">
            <v>0</v>
          </cell>
        </row>
        <row r="739">
          <cell r="D739" t="str">
            <v>3/8" Hex NEO 36</v>
          </cell>
          <cell r="E739">
            <v>0</v>
          </cell>
          <cell r="I739">
            <v>0</v>
          </cell>
        </row>
        <row r="740">
          <cell r="D740" t="str">
            <v>3/8" Hex NEO 40</v>
          </cell>
          <cell r="E740">
            <v>0</v>
          </cell>
          <cell r="I740">
            <v>0</v>
          </cell>
        </row>
        <row r="741">
          <cell r="D741" t="str">
            <v>3/8" Hex NEO 45</v>
          </cell>
          <cell r="E741">
            <v>0</v>
          </cell>
          <cell r="I741">
            <v>0</v>
          </cell>
        </row>
        <row r="742">
          <cell r="D742" t="str">
            <v>3/8" Hex NEO 49</v>
          </cell>
          <cell r="E742">
            <v>0</v>
          </cell>
          <cell r="I742">
            <v>0</v>
          </cell>
        </row>
        <row r="743">
          <cell r="D743" t="str">
            <v>3/8" Hex NEO 50</v>
          </cell>
          <cell r="E743">
            <v>0</v>
          </cell>
          <cell r="I743">
            <v>0</v>
          </cell>
        </row>
        <row r="744">
          <cell r="D744" t="str">
            <v>3/8" Hex NEO 63</v>
          </cell>
          <cell r="E744">
            <v>0</v>
          </cell>
          <cell r="I744">
            <v>0</v>
          </cell>
        </row>
        <row r="745">
          <cell r="D745" t="str">
            <v>3/8" Hex NEO 70</v>
          </cell>
          <cell r="E745">
            <v>0</v>
          </cell>
          <cell r="I745">
            <v>0</v>
          </cell>
        </row>
        <row r="746">
          <cell r="D746" t="str">
            <v>3/8" Hex NEO 81</v>
          </cell>
          <cell r="E746">
            <v>0</v>
          </cell>
          <cell r="I746">
            <v>0</v>
          </cell>
        </row>
        <row r="747">
          <cell r="D747" t="str">
            <v>3/8" Hex NEO 90</v>
          </cell>
          <cell r="E747">
            <v>0</v>
          </cell>
          <cell r="I747">
            <v>0</v>
          </cell>
        </row>
        <row r="748">
          <cell r="D748" t="str">
            <v>3/8" Hex NEO 100</v>
          </cell>
          <cell r="E748">
            <v>0</v>
          </cell>
          <cell r="I748">
            <v>0</v>
          </cell>
        </row>
        <row r="749">
          <cell r="D749" t="str">
            <v>3/8" Hex Falcon 500 -3</v>
          </cell>
          <cell r="E749">
            <v>1</v>
          </cell>
          <cell r="I749">
            <v>0</v>
          </cell>
        </row>
        <row r="750">
          <cell r="D750" t="str">
            <v>3/8" Hex Falcon 500 -4</v>
          </cell>
          <cell r="E750">
            <v>1</v>
          </cell>
          <cell r="I750">
            <v>0</v>
          </cell>
        </row>
        <row r="751">
          <cell r="D751" t="str">
            <v>3/8" Hex Falcon 500 -5</v>
          </cell>
          <cell r="E751">
            <v>1</v>
          </cell>
          <cell r="I751">
            <v>0</v>
          </cell>
        </row>
        <row r="752">
          <cell r="D752" t="str">
            <v>3/8" Hex Falcon 500 -7</v>
          </cell>
          <cell r="E752">
            <v>1</v>
          </cell>
          <cell r="I752">
            <v>0</v>
          </cell>
        </row>
        <row r="753">
          <cell r="D753" t="str">
            <v>3/8" Hex Falcon 500 -9</v>
          </cell>
          <cell r="E753">
            <v>1</v>
          </cell>
          <cell r="I753">
            <v>0</v>
          </cell>
        </row>
        <row r="754">
          <cell r="D754" t="str">
            <v>3/8" Hex Falcon 500 -10</v>
          </cell>
          <cell r="E754">
            <v>1</v>
          </cell>
          <cell r="I754">
            <v>0</v>
          </cell>
        </row>
        <row r="755">
          <cell r="D755" t="str">
            <v>3/8" Hex Falcon 500 9</v>
          </cell>
          <cell r="E755">
            <v>1</v>
          </cell>
          <cell r="I755">
            <v>0</v>
          </cell>
        </row>
        <row r="756">
          <cell r="D756" t="str">
            <v>3/8" Hex Falcon 500 12</v>
          </cell>
          <cell r="E756">
            <v>1</v>
          </cell>
          <cell r="I756">
            <v>0</v>
          </cell>
        </row>
        <row r="757">
          <cell r="D757" t="str">
            <v>3/8" Hex Falcon 500 15</v>
          </cell>
          <cell r="E757">
            <v>0</v>
          </cell>
          <cell r="I757">
            <v>0</v>
          </cell>
        </row>
        <row r="758">
          <cell r="D758" t="str">
            <v>3/8" Hex Falcon 500 16</v>
          </cell>
          <cell r="E758">
            <v>0</v>
          </cell>
          <cell r="I758">
            <v>0</v>
          </cell>
        </row>
        <row r="759">
          <cell r="D759" t="str">
            <v>3/8" Hex Falcon 500 20</v>
          </cell>
          <cell r="E759">
            <v>0</v>
          </cell>
          <cell r="I759">
            <v>0</v>
          </cell>
        </row>
        <row r="760">
          <cell r="D760" t="str">
            <v>3/8" Hex Falcon 500 21</v>
          </cell>
          <cell r="E760">
            <v>0</v>
          </cell>
          <cell r="I760">
            <v>0</v>
          </cell>
        </row>
        <row r="761">
          <cell r="D761" t="str">
            <v>3/8" Hex Falcon 500 25</v>
          </cell>
          <cell r="E761">
            <v>0</v>
          </cell>
          <cell r="I761">
            <v>0</v>
          </cell>
        </row>
        <row r="762">
          <cell r="D762" t="str">
            <v>3/8" Hex Falcon 500 27</v>
          </cell>
          <cell r="E762">
            <v>0</v>
          </cell>
          <cell r="I762">
            <v>0</v>
          </cell>
        </row>
        <row r="763">
          <cell r="D763" t="str">
            <v>3/8" Hex Falcon 500 28</v>
          </cell>
          <cell r="E763">
            <v>0</v>
          </cell>
          <cell r="I763">
            <v>0</v>
          </cell>
        </row>
        <row r="764">
          <cell r="D764" t="str">
            <v>3/8" Hex Falcon 500 30</v>
          </cell>
          <cell r="E764">
            <v>0</v>
          </cell>
          <cell r="I764">
            <v>0</v>
          </cell>
        </row>
        <row r="765">
          <cell r="D765" t="str">
            <v>3/8" Hex Falcon 500 35</v>
          </cell>
          <cell r="E765">
            <v>0</v>
          </cell>
          <cell r="I765">
            <v>0</v>
          </cell>
        </row>
        <row r="766">
          <cell r="D766" t="str">
            <v>3/8" Hex Falcon 500 36</v>
          </cell>
          <cell r="E766">
            <v>0</v>
          </cell>
          <cell r="I766">
            <v>0</v>
          </cell>
        </row>
        <row r="767">
          <cell r="D767" t="str">
            <v>3/8" Hex Falcon 500 40</v>
          </cell>
          <cell r="E767">
            <v>0</v>
          </cell>
          <cell r="I767">
            <v>0</v>
          </cell>
        </row>
        <row r="768">
          <cell r="D768" t="str">
            <v>3/8" Hex Falcon 500 45</v>
          </cell>
          <cell r="E768">
            <v>0</v>
          </cell>
          <cell r="I768">
            <v>0</v>
          </cell>
        </row>
        <row r="769">
          <cell r="D769" t="str">
            <v>3/8" Hex Falcon 500 49</v>
          </cell>
          <cell r="E769">
            <v>0</v>
          </cell>
          <cell r="I769">
            <v>0</v>
          </cell>
        </row>
        <row r="770">
          <cell r="D770" t="str">
            <v>3/8" Hex Falcon 500 50</v>
          </cell>
          <cell r="E770">
            <v>0</v>
          </cell>
          <cell r="I770">
            <v>0</v>
          </cell>
        </row>
        <row r="771">
          <cell r="D771" t="str">
            <v>3/8" Hex Falcon 500 63</v>
          </cell>
          <cell r="E771">
            <v>0</v>
          </cell>
          <cell r="I771">
            <v>0</v>
          </cell>
        </row>
        <row r="772">
          <cell r="D772" t="str">
            <v>3/8" Hex Falcon 500 70</v>
          </cell>
          <cell r="E772">
            <v>0</v>
          </cell>
          <cell r="I772">
            <v>0</v>
          </cell>
        </row>
        <row r="773">
          <cell r="D773" t="str">
            <v>3/8" Hex Falcon 500 81</v>
          </cell>
          <cell r="E773">
            <v>0</v>
          </cell>
          <cell r="I773">
            <v>0</v>
          </cell>
        </row>
        <row r="774">
          <cell r="D774" t="str">
            <v>3/8" Hex Falcon 500 90</v>
          </cell>
          <cell r="E774">
            <v>0</v>
          </cell>
          <cell r="I774">
            <v>0</v>
          </cell>
        </row>
        <row r="775">
          <cell r="D775" t="str">
            <v>3/8" Hex Falcon 500 100</v>
          </cell>
          <cell r="E775">
            <v>0</v>
          </cell>
          <cell r="I775">
            <v>0</v>
          </cell>
        </row>
        <row r="776">
          <cell r="D776" t="str">
            <v>CIM Motor AM 9015 -3</v>
          </cell>
          <cell r="E776">
            <v>1</v>
          </cell>
          <cell r="I776">
            <v>1</v>
          </cell>
        </row>
        <row r="777">
          <cell r="D777" t="str">
            <v>CIM Motor AM 9015 -4</v>
          </cell>
          <cell r="E777">
            <v>1</v>
          </cell>
          <cell r="I777">
            <v>1</v>
          </cell>
        </row>
        <row r="778">
          <cell r="D778" t="str">
            <v>CIM Motor AM 9015 -5</v>
          </cell>
          <cell r="E778">
            <v>1</v>
          </cell>
          <cell r="I778">
            <v>1</v>
          </cell>
        </row>
        <row r="779">
          <cell r="D779" t="str">
            <v>CIM Motor AM 9015 -7</v>
          </cell>
          <cell r="E779">
            <v>1</v>
          </cell>
          <cell r="I779">
            <v>1</v>
          </cell>
        </row>
        <row r="780">
          <cell r="D780" t="str">
            <v>CIM Motor AM 9015 -9</v>
          </cell>
          <cell r="E780">
            <v>1</v>
          </cell>
          <cell r="I780">
            <v>1</v>
          </cell>
        </row>
        <row r="781">
          <cell r="D781" t="str">
            <v>CIM Motor AM 9015 -10</v>
          </cell>
          <cell r="E781">
            <v>1</v>
          </cell>
          <cell r="I781">
            <v>1</v>
          </cell>
        </row>
        <row r="782">
          <cell r="D782" t="str">
            <v>CIM Motor AM 9015 9</v>
          </cell>
          <cell r="E782">
            <v>7</v>
          </cell>
          <cell r="I782">
            <v>7</v>
          </cell>
        </row>
        <row r="783">
          <cell r="D783" t="str">
            <v>CIM Motor AM 9015 12</v>
          </cell>
          <cell r="E783">
            <v>5</v>
          </cell>
          <cell r="I783">
            <v>5</v>
          </cell>
        </row>
        <row r="784">
          <cell r="D784" t="str">
            <v>CIM Motor AM 9015 15</v>
          </cell>
          <cell r="E784">
            <v>4</v>
          </cell>
          <cell r="I784">
            <v>5</v>
          </cell>
        </row>
        <row r="785">
          <cell r="D785" t="str">
            <v>CIM Motor AM 9015 16</v>
          </cell>
          <cell r="E785">
            <v>4</v>
          </cell>
          <cell r="I785">
            <v>5</v>
          </cell>
        </row>
        <row r="786">
          <cell r="D786" t="str">
            <v>CIM Motor AM 9015 20</v>
          </cell>
          <cell r="E786">
            <v>3</v>
          </cell>
          <cell r="I786">
            <v>4</v>
          </cell>
        </row>
        <row r="787">
          <cell r="D787" t="str">
            <v>CIM Motor AM 9015 21</v>
          </cell>
          <cell r="E787">
            <v>3</v>
          </cell>
          <cell r="I787">
            <v>3</v>
          </cell>
        </row>
        <row r="788">
          <cell r="D788" t="str">
            <v>CIM Motor AM 9015 25</v>
          </cell>
          <cell r="E788">
            <v>1</v>
          </cell>
          <cell r="I788">
            <v>3</v>
          </cell>
        </row>
        <row r="789">
          <cell r="D789" t="str">
            <v>CIM Motor AM 9015 27</v>
          </cell>
          <cell r="E789">
            <v>1</v>
          </cell>
          <cell r="I789">
            <v>1</v>
          </cell>
        </row>
        <row r="790">
          <cell r="D790" t="str">
            <v>CIM Motor AM 9015 28</v>
          </cell>
          <cell r="E790">
            <v>1</v>
          </cell>
          <cell r="I790">
            <v>1</v>
          </cell>
        </row>
        <row r="791">
          <cell r="D791" t="str">
            <v>CIM Motor AM 9015 30</v>
          </cell>
          <cell r="E791">
            <v>1</v>
          </cell>
          <cell r="I791">
            <v>1</v>
          </cell>
        </row>
        <row r="792">
          <cell r="D792" t="str">
            <v>CIM Motor AM 9015 35</v>
          </cell>
          <cell r="E792">
            <v>1</v>
          </cell>
          <cell r="I792">
            <v>1</v>
          </cell>
        </row>
        <row r="793">
          <cell r="D793" t="str">
            <v>CIM Motor AM 9015 36</v>
          </cell>
          <cell r="E793">
            <v>1</v>
          </cell>
          <cell r="I793">
            <v>1</v>
          </cell>
        </row>
        <row r="794">
          <cell r="D794" t="str">
            <v>CIM Motor AM 9015 40</v>
          </cell>
          <cell r="E794">
            <v>1</v>
          </cell>
          <cell r="I794">
            <v>1</v>
          </cell>
        </row>
        <row r="795">
          <cell r="D795" t="str">
            <v>CIM Motor AM 9015 45</v>
          </cell>
          <cell r="E795">
            <v>1</v>
          </cell>
          <cell r="I795">
            <v>1</v>
          </cell>
        </row>
        <row r="796">
          <cell r="D796" t="str">
            <v>CIM Motor AM 9015 49</v>
          </cell>
          <cell r="E796">
            <v>1</v>
          </cell>
          <cell r="I796">
            <v>1</v>
          </cell>
        </row>
        <row r="797">
          <cell r="D797" t="str">
            <v>CIM Motor AM 9015 50</v>
          </cell>
          <cell r="E797">
            <v>1</v>
          </cell>
          <cell r="I797">
            <v>1</v>
          </cell>
        </row>
        <row r="798">
          <cell r="D798" t="str">
            <v>CIM Motor AM 9015 63</v>
          </cell>
          <cell r="E798">
            <v>1</v>
          </cell>
          <cell r="I798">
            <v>1</v>
          </cell>
        </row>
        <row r="799">
          <cell r="D799" t="str">
            <v>CIM Motor AM 9015 70</v>
          </cell>
          <cell r="E799">
            <v>0</v>
          </cell>
          <cell r="I799">
            <v>1</v>
          </cell>
        </row>
        <row r="800">
          <cell r="D800" t="str">
            <v>CIM Motor AM 9015 81</v>
          </cell>
          <cell r="E800">
            <v>0</v>
          </cell>
          <cell r="I800">
            <v>0</v>
          </cell>
        </row>
        <row r="801">
          <cell r="D801" t="str">
            <v>CIM Motor AM 9015 90</v>
          </cell>
          <cell r="E801">
            <v>0</v>
          </cell>
          <cell r="I801">
            <v>0</v>
          </cell>
        </row>
        <row r="802">
          <cell r="D802" t="str">
            <v>CIM Motor AM 9015 100</v>
          </cell>
          <cell r="E802">
            <v>0</v>
          </cell>
          <cell r="I802">
            <v>0</v>
          </cell>
        </row>
        <row r="803">
          <cell r="D803" t="str">
            <v>CIM Motor BB RS-550 -3</v>
          </cell>
          <cell r="E803">
            <v>1</v>
          </cell>
          <cell r="F803">
            <v>1</v>
          </cell>
          <cell r="G803">
            <v>0</v>
          </cell>
          <cell r="H803">
            <v>1</v>
          </cell>
          <cell r="I803">
            <v>1</v>
          </cell>
        </row>
        <row r="804">
          <cell r="D804" t="str">
            <v>CIM Motor BB RS-550 -4</v>
          </cell>
          <cell r="E804">
            <v>1</v>
          </cell>
          <cell r="F804">
            <v>1</v>
          </cell>
          <cell r="G804">
            <v>0</v>
          </cell>
          <cell r="H804">
            <v>0</v>
          </cell>
          <cell r="I804">
            <v>1</v>
          </cell>
        </row>
        <row r="805">
          <cell r="D805" t="str">
            <v>CIM Motor BB RS-550 -5</v>
          </cell>
          <cell r="E805">
            <v>1</v>
          </cell>
          <cell r="F805">
            <v>1</v>
          </cell>
          <cell r="G805">
            <v>0</v>
          </cell>
          <cell r="H805">
            <v>0</v>
          </cell>
          <cell r="I805">
            <v>1</v>
          </cell>
        </row>
        <row r="806">
          <cell r="D806" t="str">
            <v>CIM Motor BB RS-550 -7</v>
          </cell>
          <cell r="E806">
            <v>1</v>
          </cell>
          <cell r="F806">
            <v>1</v>
          </cell>
          <cell r="G806">
            <v>0</v>
          </cell>
          <cell r="H806">
            <v>0</v>
          </cell>
          <cell r="I806">
            <v>1</v>
          </cell>
        </row>
        <row r="807">
          <cell r="D807" t="str">
            <v>CIM Motor BB RS-550 -9</v>
          </cell>
          <cell r="E807">
            <v>1</v>
          </cell>
          <cell r="F807">
            <v>1</v>
          </cell>
          <cell r="G807">
            <v>0</v>
          </cell>
          <cell r="H807">
            <v>0</v>
          </cell>
          <cell r="I807">
            <v>1</v>
          </cell>
        </row>
        <row r="808">
          <cell r="D808" t="str">
            <v>CIM Motor BB RS-550 -10</v>
          </cell>
          <cell r="E808">
            <v>1</v>
          </cell>
          <cell r="F808">
            <v>1</v>
          </cell>
          <cell r="G808">
            <v>0</v>
          </cell>
          <cell r="H808">
            <v>0</v>
          </cell>
          <cell r="I808">
            <v>1</v>
          </cell>
        </row>
        <row r="809">
          <cell r="D809" t="str">
            <v>CIM Motor BB RS-550 9</v>
          </cell>
          <cell r="E809">
            <v>5</v>
          </cell>
          <cell r="F809">
            <v>3</v>
          </cell>
          <cell r="G809">
            <v>0</v>
          </cell>
          <cell r="H809">
            <v>0</v>
          </cell>
          <cell r="I809">
            <v>7</v>
          </cell>
        </row>
        <row r="810">
          <cell r="D810" t="str">
            <v>CIM Motor BB RS-550 12</v>
          </cell>
          <cell r="E810">
            <v>4</v>
          </cell>
          <cell r="F810">
            <v>1</v>
          </cell>
          <cell r="G810">
            <v>0</v>
          </cell>
          <cell r="H810">
            <v>0</v>
          </cell>
          <cell r="I810">
            <v>5</v>
          </cell>
        </row>
        <row r="811">
          <cell r="D811" t="str">
            <v>CIM Motor BB RS-550 15</v>
          </cell>
          <cell r="E811">
            <v>3</v>
          </cell>
          <cell r="F811">
            <v>1</v>
          </cell>
          <cell r="G811">
            <v>0</v>
          </cell>
          <cell r="H811">
            <v>0</v>
          </cell>
          <cell r="I811">
            <v>5</v>
          </cell>
        </row>
        <row r="812">
          <cell r="D812" t="str">
            <v>CIM Motor BB RS-550 16</v>
          </cell>
          <cell r="E812">
            <v>3</v>
          </cell>
          <cell r="F812">
            <v>1</v>
          </cell>
          <cell r="G812">
            <v>0</v>
          </cell>
          <cell r="H812">
            <v>0</v>
          </cell>
          <cell r="I812">
            <v>5</v>
          </cell>
        </row>
        <row r="813">
          <cell r="D813" t="str">
            <v>CIM Motor BB RS-550 20</v>
          </cell>
          <cell r="E813">
            <v>1</v>
          </cell>
          <cell r="F813">
            <v>1</v>
          </cell>
          <cell r="G813">
            <v>0</v>
          </cell>
          <cell r="H813">
            <v>0</v>
          </cell>
          <cell r="I813">
            <v>4</v>
          </cell>
        </row>
        <row r="814">
          <cell r="D814" t="str">
            <v>CIM Motor BB RS-550 21</v>
          </cell>
          <cell r="E814">
            <v>1</v>
          </cell>
          <cell r="F814">
            <v>1</v>
          </cell>
          <cell r="G814">
            <v>0</v>
          </cell>
          <cell r="H814">
            <v>0</v>
          </cell>
          <cell r="I814">
            <v>3</v>
          </cell>
        </row>
        <row r="815">
          <cell r="D815" t="str">
            <v>CIM Motor BB RS-550 25</v>
          </cell>
          <cell r="E815">
            <v>1</v>
          </cell>
          <cell r="F815">
            <v>1</v>
          </cell>
          <cell r="G815">
            <v>0</v>
          </cell>
          <cell r="H815">
            <v>0</v>
          </cell>
          <cell r="I815">
            <v>3</v>
          </cell>
        </row>
        <row r="816">
          <cell r="D816" t="str">
            <v>CIM Motor BB RS-550 27</v>
          </cell>
          <cell r="E816">
            <v>1</v>
          </cell>
          <cell r="F816">
            <v>1</v>
          </cell>
          <cell r="G816">
            <v>0</v>
          </cell>
          <cell r="H816">
            <v>0</v>
          </cell>
          <cell r="I816">
            <v>1</v>
          </cell>
        </row>
        <row r="817">
          <cell r="D817" t="str">
            <v>CIM Motor BB RS-550 28</v>
          </cell>
          <cell r="E817">
            <v>1</v>
          </cell>
          <cell r="F817">
            <v>1</v>
          </cell>
          <cell r="G817">
            <v>0</v>
          </cell>
          <cell r="H817">
            <v>0</v>
          </cell>
          <cell r="I817">
            <v>1</v>
          </cell>
        </row>
        <row r="818">
          <cell r="D818" t="str">
            <v>CIM Motor BB RS-550 30</v>
          </cell>
          <cell r="E818">
            <v>1</v>
          </cell>
          <cell r="F818">
            <v>0</v>
          </cell>
          <cell r="G818">
            <v>0</v>
          </cell>
          <cell r="H818">
            <v>0</v>
          </cell>
          <cell r="I818">
            <v>1</v>
          </cell>
        </row>
        <row r="819">
          <cell r="D819" t="str">
            <v>CIM Motor BB RS-550 35</v>
          </cell>
          <cell r="E819">
            <v>1</v>
          </cell>
          <cell r="F819">
            <v>0</v>
          </cell>
          <cell r="G819">
            <v>0</v>
          </cell>
          <cell r="H819">
            <v>0</v>
          </cell>
          <cell r="I819">
            <v>1</v>
          </cell>
        </row>
        <row r="820">
          <cell r="D820" t="str">
            <v>CIM Motor BB RS-550 36</v>
          </cell>
          <cell r="E820">
            <v>1</v>
          </cell>
          <cell r="F820">
            <v>0</v>
          </cell>
          <cell r="G820">
            <v>0</v>
          </cell>
          <cell r="H820">
            <v>0</v>
          </cell>
          <cell r="I820">
            <v>1</v>
          </cell>
        </row>
        <row r="821">
          <cell r="D821" t="str">
            <v>CIM Motor BB RS-550 40</v>
          </cell>
          <cell r="E821">
            <v>1</v>
          </cell>
          <cell r="F821">
            <v>0</v>
          </cell>
          <cell r="G821">
            <v>0</v>
          </cell>
          <cell r="H821">
            <v>0</v>
          </cell>
          <cell r="I821">
            <v>1</v>
          </cell>
        </row>
        <row r="822">
          <cell r="D822" t="str">
            <v>CIM Motor BB RS-550 45</v>
          </cell>
          <cell r="E822">
            <v>1</v>
          </cell>
          <cell r="F822">
            <v>0</v>
          </cell>
          <cell r="G822">
            <v>0</v>
          </cell>
          <cell r="H822">
            <v>0</v>
          </cell>
          <cell r="I822">
            <v>1</v>
          </cell>
        </row>
        <row r="823">
          <cell r="D823" t="str">
            <v>CIM Motor BB RS-550 49</v>
          </cell>
          <cell r="E823">
            <v>1</v>
          </cell>
          <cell r="F823">
            <v>0</v>
          </cell>
          <cell r="G823">
            <v>0</v>
          </cell>
          <cell r="H823">
            <v>0</v>
          </cell>
          <cell r="I823">
            <v>1</v>
          </cell>
        </row>
        <row r="824">
          <cell r="D824" t="str">
            <v>CIM Motor BB RS-550 50</v>
          </cell>
          <cell r="E824">
            <v>1</v>
          </cell>
          <cell r="F824">
            <v>0</v>
          </cell>
          <cell r="G824">
            <v>0</v>
          </cell>
          <cell r="H824">
            <v>0</v>
          </cell>
          <cell r="I824">
            <v>1</v>
          </cell>
        </row>
        <row r="825">
          <cell r="D825" t="str">
            <v>CIM Motor BB RS-550 63</v>
          </cell>
          <cell r="E825">
            <v>0</v>
          </cell>
          <cell r="F825">
            <v>0</v>
          </cell>
          <cell r="G825">
            <v>0</v>
          </cell>
          <cell r="H825">
            <v>0</v>
          </cell>
          <cell r="I825">
            <v>1</v>
          </cell>
        </row>
        <row r="826">
          <cell r="D826" t="str">
            <v>CIM Motor BB RS-550 70</v>
          </cell>
          <cell r="E826">
            <v>0</v>
          </cell>
          <cell r="F826">
            <v>0</v>
          </cell>
          <cell r="G826">
            <v>0</v>
          </cell>
          <cell r="H826">
            <v>0</v>
          </cell>
          <cell r="I826">
            <v>1</v>
          </cell>
        </row>
        <row r="827">
          <cell r="D827" t="str">
            <v>CIM Motor BB RS-550 81</v>
          </cell>
          <cell r="E827">
            <v>0</v>
          </cell>
          <cell r="F827">
            <v>0</v>
          </cell>
          <cell r="G827">
            <v>0</v>
          </cell>
          <cell r="H827">
            <v>0</v>
          </cell>
          <cell r="I827">
            <v>0</v>
          </cell>
        </row>
        <row r="828">
          <cell r="D828" t="str">
            <v>CIM Motor BB RS-550 90</v>
          </cell>
          <cell r="E828">
            <v>0</v>
          </cell>
          <cell r="F828">
            <v>0</v>
          </cell>
          <cell r="G828">
            <v>0</v>
          </cell>
          <cell r="H828">
            <v>0</v>
          </cell>
          <cell r="I828">
            <v>0</v>
          </cell>
        </row>
        <row r="829">
          <cell r="D829" t="str">
            <v>CIM Motor BB RS-550 100</v>
          </cell>
          <cell r="E829">
            <v>0</v>
          </cell>
          <cell r="F829">
            <v>0</v>
          </cell>
          <cell r="G829">
            <v>0</v>
          </cell>
          <cell r="H829">
            <v>0</v>
          </cell>
          <cell r="I829">
            <v>0</v>
          </cell>
        </row>
        <row r="830">
          <cell r="D830" t="str">
            <v>CIM Motor BB RS-775 -3</v>
          </cell>
          <cell r="E830">
            <v>1</v>
          </cell>
          <cell r="F830">
            <v>1</v>
          </cell>
          <cell r="G830">
            <v>0</v>
          </cell>
          <cell r="H830">
            <v>0</v>
          </cell>
          <cell r="I830">
            <v>1</v>
          </cell>
        </row>
        <row r="831">
          <cell r="D831" t="str">
            <v>CIM Motor BB RS-775 -4</v>
          </cell>
          <cell r="E831">
            <v>1</v>
          </cell>
          <cell r="F831">
            <v>1</v>
          </cell>
          <cell r="G831">
            <v>0</v>
          </cell>
          <cell r="H831">
            <v>0</v>
          </cell>
          <cell r="I831">
            <v>1</v>
          </cell>
        </row>
        <row r="832">
          <cell r="D832" t="str">
            <v>CIM Motor BB RS-775 -5</v>
          </cell>
          <cell r="E832">
            <v>1</v>
          </cell>
          <cell r="F832">
            <v>1</v>
          </cell>
          <cell r="G832">
            <v>0</v>
          </cell>
          <cell r="H832">
            <v>0</v>
          </cell>
          <cell r="I832">
            <v>1</v>
          </cell>
        </row>
        <row r="833">
          <cell r="D833" t="str">
            <v>CIM Motor BB RS-775 -7</v>
          </cell>
          <cell r="E833">
            <v>1</v>
          </cell>
          <cell r="F833">
            <v>1</v>
          </cell>
          <cell r="G833">
            <v>0</v>
          </cell>
          <cell r="H833">
            <v>0</v>
          </cell>
          <cell r="I833">
            <v>1</v>
          </cell>
        </row>
        <row r="834">
          <cell r="D834" t="str">
            <v>CIM Motor BB RS-775 -9</v>
          </cell>
          <cell r="E834">
            <v>1</v>
          </cell>
          <cell r="F834">
            <v>1</v>
          </cell>
          <cell r="G834">
            <v>0</v>
          </cell>
          <cell r="H834">
            <v>0</v>
          </cell>
          <cell r="I834">
            <v>1</v>
          </cell>
        </row>
        <row r="835">
          <cell r="D835" t="str">
            <v>CIM Motor BB RS-775 -10</v>
          </cell>
          <cell r="E835">
            <v>1</v>
          </cell>
          <cell r="F835">
            <v>1</v>
          </cell>
          <cell r="G835">
            <v>0</v>
          </cell>
          <cell r="H835">
            <v>0</v>
          </cell>
          <cell r="I835">
            <v>1</v>
          </cell>
        </row>
        <row r="836">
          <cell r="D836" t="str">
            <v>CIM Motor BB RS-775 9</v>
          </cell>
          <cell r="E836">
            <v>4</v>
          </cell>
          <cell r="F836">
            <v>1</v>
          </cell>
          <cell r="G836">
            <v>0</v>
          </cell>
          <cell r="H836">
            <v>0</v>
          </cell>
          <cell r="I836">
            <v>7</v>
          </cell>
        </row>
        <row r="837">
          <cell r="D837" t="str">
            <v>CIM Motor BB RS-775 12</v>
          </cell>
          <cell r="E837">
            <v>3</v>
          </cell>
          <cell r="F837">
            <v>1</v>
          </cell>
          <cell r="G837">
            <v>0</v>
          </cell>
          <cell r="H837">
            <v>0</v>
          </cell>
          <cell r="I837">
            <v>5</v>
          </cell>
        </row>
        <row r="838">
          <cell r="D838" t="str">
            <v>CIM Motor BB RS-775 15</v>
          </cell>
          <cell r="E838">
            <v>1</v>
          </cell>
          <cell r="F838">
            <v>1</v>
          </cell>
          <cell r="G838">
            <v>0</v>
          </cell>
          <cell r="H838">
            <v>0</v>
          </cell>
          <cell r="I838">
            <v>5</v>
          </cell>
        </row>
        <row r="839">
          <cell r="D839" t="str">
            <v>CIM Motor BB RS-775 16</v>
          </cell>
          <cell r="E839">
            <v>1</v>
          </cell>
          <cell r="F839">
            <v>1</v>
          </cell>
          <cell r="G839">
            <v>0</v>
          </cell>
          <cell r="H839">
            <v>0</v>
          </cell>
          <cell r="I839">
            <v>5</v>
          </cell>
        </row>
        <row r="840">
          <cell r="D840" t="str">
            <v>CIM Motor BB RS-775 20</v>
          </cell>
          <cell r="E840">
            <v>1</v>
          </cell>
          <cell r="F840">
            <v>0</v>
          </cell>
          <cell r="G840">
            <v>0</v>
          </cell>
          <cell r="H840">
            <v>0</v>
          </cell>
          <cell r="I840">
            <v>4</v>
          </cell>
        </row>
        <row r="841">
          <cell r="D841" t="str">
            <v>CIM Motor BB RS-775 21</v>
          </cell>
          <cell r="E841">
            <v>1</v>
          </cell>
          <cell r="F841">
            <v>0</v>
          </cell>
          <cell r="G841">
            <v>0</v>
          </cell>
          <cell r="H841">
            <v>0</v>
          </cell>
          <cell r="I841">
            <v>3</v>
          </cell>
        </row>
        <row r="842">
          <cell r="D842" t="str">
            <v>CIM Motor BB RS-775 25</v>
          </cell>
          <cell r="E842">
            <v>1</v>
          </cell>
          <cell r="F842">
            <v>0</v>
          </cell>
          <cell r="G842">
            <v>0</v>
          </cell>
          <cell r="H842">
            <v>0</v>
          </cell>
          <cell r="I842">
            <v>3</v>
          </cell>
        </row>
        <row r="843">
          <cell r="D843" t="str">
            <v>CIM Motor BB RS-775 27</v>
          </cell>
          <cell r="E843">
            <v>1</v>
          </cell>
          <cell r="F843">
            <v>0</v>
          </cell>
          <cell r="G843">
            <v>0</v>
          </cell>
          <cell r="H843">
            <v>0</v>
          </cell>
          <cell r="I843">
            <v>1</v>
          </cell>
        </row>
        <row r="844">
          <cell r="D844" t="str">
            <v>CIM Motor BB RS-775 28</v>
          </cell>
          <cell r="E844">
            <v>1</v>
          </cell>
          <cell r="F844">
            <v>0</v>
          </cell>
          <cell r="G844">
            <v>0</v>
          </cell>
          <cell r="H844">
            <v>0</v>
          </cell>
          <cell r="I844">
            <v>1</v>
          </cell>
        </row>
        <row r="845">
          <cell r="D845" t="str">
            <v>CIM Motor BB RS-775 30</v>
          </cell>
          <cell r="E845">
            <v>1</v>
          </cell>
          <cell r="F845">
            <v>0</v>
          </cell>
          <cell r="G845">
            <v>0</v>
          </cell>
          <cell r="H845">
            <v>0</v>
          </cell>
          <cell r="I845">
            <v>1</v>
          </cell>
        </row>
        <row r="846">
          <cell r="D846" t="str">
            <v>CIM Motor BB RS-775 35</v>
          </cell>
          <cell r="E846">
            <v>1</v>
          </cell>
          <cell r="F846">
            <v>0</v>
          </cell>
          <cell r="G846">
            <v>0</v>
          </cell>
          <cell r="H846">
            <v>0</v>
          </cell>
          <cell r="I846">
            <v>1</v>
          </cell>
        </row>
        <row r="847">
          <cell r="D847" t="str">
            <v>CIM Motor BB RS-775 36</v>
          </cell>
          <cell r="E847">
            <v>1</v>
          </cell>
          <cell r="F847">
            <v>0</v>
          </cell>
          <cell r="G847">
            <v>0</v>
          </cell>
          <cell r="H847">
            <v>0</v>
          </cell>
          <cell r="I847">
            <v>1</v>
          </cell>
        </row>
        <row r="848">
          <cell r="D848" t="str">
            <v>CIM Motor BB RS-775 40</v>
          </cell>
          <cell r="E848">
            <v>0</v>
          </cell>
          <cell r="F848">
            <v>0</v>
          </cell>
          <cell r="G848">
            <v>0</v>
          </cell>
          <cell r="H848">
            <v>0</v>
          </cell>
          <cell r="I848">
            <v>1</v>
          </cell>
        </row>
        <row r="849">
          <cell r="D849" t="str">
            <v>CIM Motor BB RS-775 45</v>
          </cell>
          <cell r="E849">
            <v>0</v>
          </cell>
          <cell r="F849">
            <v>0</v>
          </cell>
          <cell r="G849">
            <v>0</v>
          </cell>
          <cell r="H849">
            <v>0</v>
          </cell>
          <cell r="I849">
            <v>1</v>
          </cell>
        </row>
        <row r="850">
          <cell r="D850" t="str">
            <v>CIM Motor BB RS-775 49</v>
          </cell>
          <cell r="E850">
            <v>0</v>
          </cell>
          <cell r="F850">
            <v>0</v>
          </cell>
          <cell r="G850">
            <v>0</v>
          </cell>
          <cell r="H850">
            <v>0</v>
          </cell>
          <cell r="I850">
            <v>1</v>
          </cell>
        </row>
        <row r="851">
          <cell r="D851" t="str">
            <v>CIM Motor BB RS-775 50</v>
          </cell>
          <cell r="E851">
            <v>0</v>
          </cell>
          <cell r="F851">
            <v>0</v>
          </cell>
          <cell r="G851">
            <v>0</v>
          </cell>
          <cell r="H851">
            <v>0</v>
          </cell>
          <cell r="I851">
            <v>1</v>
          </cell>
        </row>
        <row r="852">
          <cell r="D852" t="str">
            <v>CIM Motor BB RS-775 63</v>
          </cell>
          <cell r="E852">
            <v>0</v>
          </cell>
          <cell r="F852">
            <v>0</v>
          </cell>
          <cell r="G852">
            <v>0</v>
          </cell>
          <cell r="H852">
            <v>0</v>
          </cell>
          <cell r="I852">
            <v>1</v>
          </cell>
        </row>
        <row r="853">
          <cell r="D853" t="str">
            <v>CIM Motor BB RS-775 70</v>
          </cell>
          <cell r="E853">
            <v>0</v>
          </cell>
          <cell r="F853">
            <v>0</v>
          </cell>
          <cell r="G853">
            <v>0</v>
          </cell>
          <cell r="H853">
            <v>0</v>
          </cell>
          <cell r="I853">
            <v>1</v>
          </cell>
        </row>
        <row r="854">
          <cell r="D854" t="str">
            <v>CIM Motor BB RS-775 81</v>
          </cell>
          <cell r="E854">
            <v>0</v>
          </cell>
          <cell r="F854">
            <v>0</v>
          </cell>
          <cell r="G854">
            <v>0</v>
          </cell>
          <cell r="H854">
            <v>0</v>
          </cell>
          <cell r="I854">
            <v>1</v>
          </cell>
        </row>
        <row r="855">
          <cell r="D855" t="str">
            <v>CIM Motor BB RS-775 90</v>
          </cell>
          <cell r="E855">
            <v>0</v>
          </cell>
          <cell r="F855">
            <v>0</v>
          </cell>
          <cell r="G855">
            <v>0</v>
          </cell>
          <cell r="H855">
            <v>0</v>
          </cell>
          <cell r="I855">
            <v>1</v>
          </cell>
        </row>
        <row r="856">
          <cell r="D856" t="str">
            <v>CIM Motor BB RS-775 100</v>
          </cell>
          <cell r="E856">
            <v>0</v>
          </cell>
          <cell r="F856">
            <v>0</v>
          </cell>
          <cell r="G856">
            <v>0</v>
          </cell>
          <cell r="H856">
            <v>0</v>
          </cell>
          <cell r="I856">
            <v>1</v>
          </cell>
        </row>
        <row r="857">
          <cell r="D857" t="str">
            <v>CIM Motor BAG Motor -3</v>
          </cell>
          <cell r="E857">
            <v>1</v>
          </cell>
          <cell r="F857">
            <v>1</v>
          </cell>
          <cell r="G857">
            <v>0</v>
          </cell>
          <cell r="H857">
            <v>0</v>
          </cell>
          <cell r="I857">
            <v>1</v>
          </cell>
        </row>
        <row r="858">
          <cell r="D858" t="str">
            <v>CIM Motor BAG Motor -4</v>
          </cell>
          <cell r="E858">
            <v>1</v>
          </cell>
          <cell r="F858">
            <v>1</v>
          </cell>
          <cell r="G858">
            <v>0</v>
          </cell>
          <cell r="H858">
            <v>0</v>
          </cell>
          <cell r="I858">
            <v>1</v>
          </cell>
        </row>
        <row r="859">
          <cell r="D859" t="str">
            <v>CIM Motor BAG Motor -5</v>
          </cell>
          <cell r="E859">
            <v>1</v>
          </cell>
          <cell r="F859">
            <v>1</v>
          </cell>
          <cell r="G859">
            <v>0</v>
          </cell>
          <cell r="H859">
            <v>0</v>
          </cell>
          <cell r="I859">
            <v>1</v>
          </cell>
        </row>
        <row r="860">
          <cell r="D860" t="str">
            <v>CIM Motor BAG Motor -7</v>
          </cell>
          <cell r="E860">
            <v>1</v>
          </cell>
          <cell r="F860">
            <v>1</v>
          </cell>
          <cell r="G860">
            <v>0</v>
          </cell>
          <cell r="H860">
            <v>0</v>
          </cell>
          <cell r="I860">
            <v>1</v>
          </cell>
        </row>
        <row r="861">
          <cell r="D861" t="str">
            <v>CIM Motor BAG Motor -9</v>
          </cell>
          <cell r="E861">
            <v>1</v>
          </cell>
          <cell r="F861">
            <v>1</v>
          </cell>
          <cell r="G861">
            <v>0</v>
          </cell>
          <cell r="H861">
            <v>0</v>
          </cell>
          <cell r="I861">
            <v>1</v>
          </cell>
        </row>
        <row r="862">
          <cell r="D862" t="str">
            <v>CIM Motor BAG Motor -10</v>
          </cell>
          <cell r="E862">
            <v>1</v>
          </cell>
          <cell r="F862">
            <v>1</v>
          </cell>
          <cell r="G862">
            <v>0</v>
          </cell>
          <cell r="H862">
            <v>0</v>
          </cell>
          <cell r="I862">
            <v>1</v>
          </cell>
        </row>
        <row r="863">
          <cell r="D863" t="str">
            <v>CIM Motor BAG Motor 9</v>
          </cell>
          <cell r="E863">
            <v>7</v>
          </cell>
          <cell r="F863">
            <v>3</v>
          </cell>
          <cell r="G863">
            <v>0</v>
          </cell>
          <cell r="H863">
            <v>0</v>
          </cell>
          <cell r="I863">
            <v>7</v>
          </cell>
        </row>
        <row r="864">
          <cell r="D864" t="str">
            <v>CIM Motor BAG Motor 12</v>
          </cell>
          <cell r="E864">
            <v>5</v>
          </cell>
          <cell r="F864">
            <v>1</v>
          </cell>
          <cell r="G864">
            <v>0</v>
          </cell>
          <cell r="H864">
            <v>0</v>
          </cell>
          <cell r="I864">
            <v>5</v>
          </cell>
        </row>
        <row r="865">
          <cell r="D865" t="str">
            <v>CIM Motor BAG Motor 15</v>
          </cell>
          <cell r="E865">
            <v>4</v>
          </cell>
          <cell r="F865">
            <v>1</v>
          </cell>
          <cell r="G865">
            <v>0</v>
          </cell>
          <cell r="H865">
            <v>0</v>
          </cell>
          <cell r="I865">
            <v>4</v>
          </cell>
        </row>
        <row r="866">
          <cell r="D866" t="str">
            <v>CIM Motor BAG Motor 16</v>
          </cell>
          <cell r="E866">
            <v>4</v>
          </cell>
          <cell r="F866">
            <v>1</v>
          </cell>
          <cell r="G866">
            <v>0</v>
          </cell>
          <cell r="H866">
            <v>0</v>
          </cell>
          <cell r="I866">
            <v>4</v>
          </cell>
        </row>
        <row r="867">
          <cell r="D867" t="str">
            <v>CIM Motor BAG Motor 20</v>
          </cell>
          <cell r="E867">
            <v>3</v>
          </cell>
          <cell r="F867">
            <v>1</v>
          </cell>
          <cell r="G867">
            <v>0</v>
          </cell>
          <cell r="H867">
            <v>0</v>
          </cell>
          <cell r="I867">
            <v>3</v>
          </cell>
        </row>
        <row r="868">
          <cell r="D868" t="str">
            <v>CIM Motor BAG Motor 21</v>
          </cell>
          <cell r="E868">
            <v>3</v>
          </cell>
          <cell r="F868">
            <v>1</v>
          </cell>
          <cell r="G868">
            <v>0</v>
          </cell>
          <cell r="H868">
            <v>0</v>
          </cell>
          <cell r="I868">
            <v>3</v>
          </cell>
        </row>
        <row r="869">
          <cell r="D869" t="str">
            <v>CIM Motor BAG Motor 25</v>
          </cell>
          <cell r="E869">
            <v>1</v>
          </cell>
          <cell r="F869">
            <v>1</v>
          </cell>
          <cell r="G869">
            <v>0</v>
          </cell>
          <cell r="H869">
            <v>0</v>
          </cell>
          <cell r="I869">
            <v>1</v>
          </cell>
        </row>
        <row r="870">
          <cell r="D870" t="str">
            <v>CIM Motor BAG Motor 27</v>
          </cell>
          <cell r="E870">
            <v>1</v>
          </cell>
          <cell r="F870">
            <v>1</v>
          </cell>
          <cell r="G870">
            <v>0</v>
          </cell>
          <cell r="H870">
            <v>0</v>
          </cell>
          <cell r="I870">
            <v>1</v>
          </cell>
        </row>
        <row r="871">
          <cell r="D871" t="str">
            <v>CIM Motor BAG Motor 28</v>
          </cell>
          <cell r="E871">
            <v>1</v>
          </cell>
          <cell r="F871">
            <v>1</v>
          </cell>
          <cell r="G871">
            <v>0</v>
          </cell>
          <cell r="H871">
            <v>0</v>
          </cell>
          <cell r="I871">
            <v>1</v>
          </cell>
        </row>
        <row r="872">
          <cell r="D872" t="str">
            <v>CIM Motor BAG Motor 30</v>
          </cell>
          <cell r="E872">
            <v>1</v>
          </cell>
          <cell r="F872">
            <v>1</v>
          </cell>
          <cell r="G872">
            <v>0</v>
          </cell>
          <cell r="H872">
            <v>0</v>
          </cell>
          <cell r="I872">
            <v>1</v>
          </cell>
        </row>
        <row r="873">
          <cell r="D873" t="str">
            <v>CIM Motor BAG Motor 35</v>
          </cell>
          <cell r="E873">
            <v>1</v>
          </cell>
          <cell r="F873">
            <v>0</v>
          </cell>
          <cell r="G873">
            <v>0</v>
          </cell>
          <cell r="H873">
            <v>0</v>
          </cell>
          <cell r="I873">
            <v>1</v>
          </cell>
        </row>
        <row r="874">
          <cell r="D874" t="str">
            <v>CIM Motor BAG Motor 36</v>
          </cell>
          <cell r="E874">
            <v>1</v>
          </cell>
          <cell r="F874">
            <v>0</v>
          </cell>
          <cell r="G874">
            <v>0</v>
          </cell>
          <cell r="H874">
            <v>0</v>
          </cell>
          <cell r="I874">
            <v>1</v>
          </cell>
        </row>
        <row r="875">
          <cell r="D875" t="str">
            <v>CIM Motor BAG Motor 40</v>
          </cell>
          <cell r="E875">
            <v>1</v>
          </cell>
          <cell r="F875">
            <v>0</v>
          </cell>
          <cell r="G875">
            <v>0</v>
          </cell>
          <cell r="H875">
            <v>0</v>
          </cell>
          <cell r="I875">
            <v>1</v>
          </cell>
        </row>
        <row r="876">
          <cell r="D876" t="str">
            <v>CIM Motor BAG Motor 45</v>
          </cell>
          <cell r="E876">
            <v>1</v>
          </cell>
          <cell r="F876">
            <v>0</v>
          </cell>
          <cell r="G876">
            <v>0</v>
          </cell>
          <cell r="H876">
            <v>0</v>
          </cell>
          <cell r="I876">
            <v>1</v>
          </cell>
        </row>
        <row r="877">
          <cell r="D877" t="str">
            <v>CIM Motor BAG Motor 49</v>
          </cell>
          <cell r="E877">
            <v>1</v>
          </cell>
          <cell r="F877">
            <v>0</v>
          </cell>
          <cell r="G877">
            <v>0</v>
          </cell>
          <cell r="H877">
            <v>0</v>
          </cell>
          <cell r="I877">
            <v>1</v>
          </cell>
        </row>
        <row r="878">
          <cell r="D878" t="str">
            <v>CIM Motor BAG Motor 50</v>
          </cell>
          <cell r="E878">
            <v>1</v>
          </cell>
          <cell r="F878">
            <v>0</v>
          </cell>
          <cell r="G878">
            <v>0</v>
          </cell>
          <cell r="H878">
            <v>0</v>
          </cell>
          <cell r="I878">
            <v>1</v>
          </cell>
        </row>
        <row r="879">
          <cell r="D879" t="str">
            <v>CIM Motor BAG Motor 63</v>
          </cell>
          <cell r="E879">
            <v>1</v>
          </cell>
          <cell r="F879">
            <v>0</v>
          </cell>
          <cell r="G879">
            <v>0</v>
          </cell>
          <cell r="H879">
            <v>0</v>
          </cell>
          <cell r="I879">
            <v>1</v>
          </cell>
        </row>
        <row r="880">
          <cell r="D880" t="str">
            <v>CIM Motor BAG Motor 70</v>
          </cell>
          <cell r="E880">
            <v>0</v>
          </cell>
          <cell r="F880">
            <v>0</v>
          </cell>
          <cell r="G880">
            <v>0</v>
          </cell>
          <cell r="H880">
            <v>0</v>
          </cell>
          <cell r="I880">
            <v>0</v>
          </cell>
        </row>
        <row r="881">
          <cell r="D881" t="str">
            <v>CIM Motor BAG Motor 81</v>
          </cell>
          <cell r="E881">
            <v>0</v>
          </cell>
          <cell r="F881">
            <v>0</v>
          </cell>
          <cell r="G881">
            <v>0</v>
          </cell>
          <cell r="H881">
            <v>0</v>
          </cell>
          <cell r="I881">
            <v>0</v>
          </cell>
        </row>
        <row r="882">
          <cell r="D882" t="str">
            <v>CIM Motor BAG Motor 90</v>
          </cell>
          <cell r="E882">
            <v>0</v>
          </cell>
          <cell r="F882">
            <v>0</v>
          </cell>
          <cell r="G882">
            <v>0</v>
          </cell>
          <cell r="H882">
            <v>0</v>
          </cell>
          <cell r="I882">
            <v>0</v>
          </cell>
        </row>
        <row r="883">
          <cell r="D883" t="str">
            <v>CIM Motor BAG Motor 100</v>
          </cell>
          <cell r="E883">
            <v>0</v>
          </cell>
          <cell r="F883">
            <v>0</v>
          </cell>
          <cell r="G883">
            <v>0</v>
          </cell>
          <cell r="H883">
            <v>0</v>
          </cell>
          <cell r="I883">
            <v>0</v>
          </cell>
        </row>
        <row r="884">
          <cell r="D884" t="str">
            <v>CIM Motor 775pro -3</v>
          </cell>
          <cell r="E884">
            <v>1</v>
          </cell>
          <cell r="F884">
            <v>1</v>
          </cell>
          <cell r="G884">
            <v>0</v>
          </cell>
          <cell r="H884">
            <v>0</v>
          </cell>
          <cell r="I884">
            <v>1</v>
          </cell>
        </row>
        <row r="885">
          <cell r="D885" t="str">
            <v>CIM Motor 775pro -4</v>
          </cell>
          <cell r="E885">
            <v>1</v>
          </cell>
          <cell r="F885">
            <v>1</v>
          </cell>
          <cell r="G885">
            <v>0</v>
          </cell>
          <cell r="H885">
            <v>0</v>
          </cell>
          <cell r="I885">
            <v>1</v>
          </cell>
        </row>
        <row r="886">
          <cell r="D886" t="str">
            <v>CIM Motor 775pro -5</v>
          </cell>
          <cell r="E886">
            <v>1</v>
          </cell>
          <cell r="F886">
            <v>1</v>
          </cell>
          <cell r="G886">
            <v>0</v>
          </cell>
          <cell r="H886">
            <v>0</v>
          </cell>
          <cell r="I886">
            <v>1</v>
          </cell>
        </row>
        <row r="887">
          <cell r="D887" t="str">
            <v>CIM Motor 775pro -7</v>
          </cell>
          <cell r="E887">
            <v>1</v>
          </cell>
          <cell r="F887">
            <v>1</v>
          </cell>
          <cell r="G887">
            <v>0</v>
          </cell>
          <cell r="H887">
            <v>0</v>
          </cell>
          <cell r="I887">
            <v>1</v>
          </cell>
        </row>
        <row r="888">
          <cell r="D888" t="str">
            <v>CIM Motor 775pro -9</v>
          </cell>
          <cell r="E888">
            <v>1</v>
          </cell>
          <cell r="F888">
            <v>1</v>
          </cell>
          <cell r="G888">
            <v>0</v>
          </cell>
          <cell r="H888">
            <v>0</v>
          </cell>
          <cell r="I888">
            <v>1</v>
          </cell>
        </row>
        <row r="889">
          <cell r="D889" t="str">
            <v>CIM Motor 775pro -10</v>
          </cell>
          <cell r="E889">
            <v>1</v>
          </cell>
          <cell r="F889">
            <v>1</v>
          </cell>
          <cell r="G889">
            <v>0</v>
          </cell>
          <cell r="H889">
            <v>0</v>
          </cell>
          <cell r="I889">
            <v>1</v>
          </cell>
        </row>
        <row r="890">
          <cell r="D890" t="str">
            <v>CIM Motor 775pro 9</v>
          </cell>
          <cell r="E890">
            <v>4</v>
          </cell>
          <cell r="F890">
            <v>1</v>
          </cell>
          <cell r="G890">
            <v>0</v>
          </cell>
          <cell r="H890">
            <v>0</v>
          </cell>
          <cell r="I890">
            <v>4</v>
          </cell>
        </row>
        <row r="891">
          <cell r="D891" t="str">
            <v>CIM Motor 775pro 12</v>
          </cell>
          <cell r="E891">
            <v>3</v>
          </cell>
          <cell r="F891">
            <v>1</v>
          </cell>
          <cell r="G891">
            <v>0</v>
          </cell>
          <cell r="H891">
            <v>0</v>
          </cell>
          <cell r="I891">
            <v>3</v>
          </cell>
        </row>
        <row r="892">
          <cell r="D892" t="str">
            <v>CIM Motor 775pro 15</v>
          </cell>
          <cell r="E892">
            <v>1</v>
          </cell>
          <cell r="F892">
            <v>1</v>
          </cell>
          <cell r="G892">
            <v>0</v>
          </cell>
          <cell r="H892">
            <v>0</v>
          </cell>
          <cell r="I892">
            <v>1</v>
          </cell>
        </row>
        <row r="893">
          <cell r="D893" t="str">
            <v>CIM Motor 775pro 16</v>
          </cell>
          <cell r="E893">
            <v>1</v>
          </cell>
          <cell r="F893">
            <v>1</v>
          </cell>
          <cell r="G893">
            <v>0</v>
          </cell>
          <cell r="H893">
            <v>0</v>
          </cell>
          <cell r="I893">
            <v>1</v>
          </cell>
        </row>
        <row r="894">
          <cell r="D894" t="str">
            <v>CIM Motor 775pro 20</v>
          </cell>
          <cell r="E894">
            <v>1</v>
          </cell>
          <cell r="F894">
            <v>1</v>
          </cell>
          <cell r="G894">
            <v>0</v>
          </cell>
          <cell r="H894">
            <v>0</v>
          </cell>
          <cell r="I894">
            <v>1</v>
          </cell>
        </row>
        <row r="895">
          <cell r="D895" t="str">
            <v>CIM Motor 775pro 21</v>
          </cell>
          <cell r="E895">
            <v>1</v>
          </cell>
          <cell r="F895">
            <v>0</v>
          </cell>
          <cell r="G895">
            <v>0</v>
          </cell>
          <cell r="H895">
            <v>0</v>
          </cell>
          <cell r="I895">
            <v>1</v>
          </cell>
        </row>
        <row r="896">
          <cell r="D896" t="str">
            <v>CIM Motor 775pro 25</v>
          </cell>
          <cell r="E896">
            <v>1</v>
          </cell>
          <cell r="F896">
            <v>0</v>
          </cell>
          <cell r="G896">
            <v>0</v>
          </cell>
          <cell r="H896">
            <v>0</v>
          </cell>
          <cell r="I896">
            <v>1</v>
          </cell>
        </row>
        <row r="897">
          <cell r="D897" t="str">
            <v>CIM Motor 775pro 27</v>
          </cell>
          <cell r="E897">
            <v>1</v>
          </cell>
          <cell r="F897">
            <v>0</v>
          </cell>
          <cell r="G897">
            <v>0</v>
          </cell>
          <cell r="H897">
            <v>0</v>
          </cell>
          <cell r="I897">
            <v>1</v>
          </cell>
        </row>
        <row r="898">
          <cell r="D898" t="str">
            <v>CIM Motor 775pro 28</v>
          </cell>
          <cell r="E898">
            <v>1</v>
          </cell>
          <cell r="F898">
            <v>0</v>
          </cell>
          <cell r="G898">
            <v>0</v>
          </cell>
          <cell r="H898">
            <v>0</v>
          </cell>
          <cell r="I898">
            <v>1</v>
          </cell>
        </row>
        <row r="899">
          <cell r="D899" t="str">
            <v>CIM Motor 775pro 30</v>
          </cell>
          <cell r="E899">
            <v>1</v>
          </cell>
          <cell r="F899">
            <v>0</v>
          </cell>
          <cell r="G899">
            <v>0</v>
          </cell>
          <cell r="H899">
            <v>0</v>
          </cell>
          <cell r="I899">
            <v>1</v>
          </cell>
        </row>
        <row r="900">
          <cell r="D900" t="str">
            <v>CIM Motor 775pro 35</v>
          </cell>
          <cell r="E900">
            <v>1</v>
          </cell>
          <cell r="F900">
            <v>0</v>
          </cell>
          <cell r="G900">
            <v>0</v>
          </cell>
          <cell r="H900">
            <v>0</v>
          </cell>
          <cell r="I900">
            <v>1</v>
          </cell>
        </row>
        <row r="901">
          <cell r="D901" t="str">
            <v>CIM Motor 775pro 36</v>
          </cell>
          <cell r="E901">
            <v>1</v>
          </cell>
          <cell r="F901">
            <v>0</v>
          </cell>
          <cell r="G901">
            <v>0</v>
          </cell>
          <cell r="H901">
            <v>0</v>
          </cell>
          <cell r="I901">
            <v>1</v>
          </cell>
        </row>
        <row r="902">
          <cell r="D902" t="str">
            <v>CIM Motor 775pro 40</v>
          </cell>
          <cell r="E902">
            <v>1</v>
          </cell>
          <cell r="F902">
            <v>0</v>
          </cell>
          <cell r="G902">
            <v>0</v>
          </cell>
          <cell r="H902">
            <v>0</v>
          </cell>
          <cell r="I902">
            <v>1</v>
          </cell>
        </row>
        <row r="903">
          <cell r="D903" t="str">
            <v>CIM Motor 775pro 45</v>
          </cell>
          <cell r="E903">
            <v>0</v>
          </cell>
          <cell r="F903">
            <v>0</v>
          </cell>
          <cell r="G903">
            <v>0</v>
          </cell>
          <cell r="H903">
            <v>0</v>
          </cell>
          <cell r="I903">
            <v>0</v>
          </cell>
        </row>
        <row r="904">
          <cell r="D904" t="str">
            <v>CIM Motor 775pro 49</v>
          </cell>
          <cell r="E904">
            <v>0</v>
          </cell>
          <cell r="F904">
            <v>0</v>
          </cell>
          <cell r="G904">
            <v>0</v>
          </cell>
          <cell r="H904">
            <v>0</v>
          </cell>
          <cell r="I904">
            <v>0</v>
          </cell>
        </row>
        <row r="905">
          <cell r="D905" t="str">
            <v>CIM Motor 775pro 50</v>
          </cell>
          <cell r="E905">
            <v>0</v>
          </cell>
          <cell r="F905">
            <v>0</v>
          </cell>
          <cell r="G905">
            <v>0</v>
          </cell>
          <cell r="H905">
            <v>0</v>
          </cell>
          <cell r="I905">
            <v>0</v>
          </cell>
        </row>
        <row r="906">
          <cell r="D906" t="str">
            <v>CIM Motor 775pro 63</v>
          </cell>
          <cell r="E906">
            <v>0</v>
          </cell>
          <cell r="F906">
            <v>0</v>
          </cell>
          <cell r="G906">
            <v>0</v>
          </cell>
          <cell r="H906">
            <v>0</v>
          </cell>
          <cell r="I906">
            <v>0</v>
          </cell>
        </row>
        <row r="907">
          <cell r="D907" t="str">
            <v>CIM Motor 775pro 70</v>
          </cell>
          <cell r="E907">
            <v>0</v>
          </cell>
          <cell r="F907">
            <v>0</v>
          </cell>
          <cell r="G907">
            <v>0</v>
          </cell>
          <cell r="H907">
            <v>0</v>
          </cell>
          <cell r="I907">
            <v>0</v>
          </cell>
        </row>
        <row r="908">
          <cell r="D908" t="str">
            <v>CIM Motor 775pro 81</v>
          </cell>
          <cell r="E908">
            <v>0</v>
          </cell>
          <cell r="F908">
            <v>0</v>
          </cell>
          <cell r="G908">
            <v>0</v>
          </cell>
          <cell r="H908">
            <v>0</v>
          </cell>
          <cell r="I908">
            <v>0</v>
          </cell>
        </row>
        <row r="909">
          <cell r="D909" t="str">
            <v>CIM Motor 775pro 90</v>
          </cell>
          <cell r="E909">
            <v>0</v>
          </cell>
          <cell r="F909">
            <v>0</v>
          </cell>
          <cell r="G909">
            <v>0</v>
          </cell>
          <cell r="H909">
            <v>0</v>
          </cell>
          <cell r="I909">
            <v>0</v>
          </cell>
        </row>
        <row r="910">
          <cell r="D910" t="str">
            <v>CIM Motor 775pro 100</v>
          </cell>
          <cell r="E910">
            <v>0</v>
          </cell>
          <cell r="F910">
            <v>0</v>
          </cell>
          <cell r="G910">
            <v>0</v>
          </cell>
          <cell r="H910">
            <v>0</v>
          </cell>
          <cell r="I910">
            <v>0</v>
          </cell>
        </row>
        <row r="911">
          <cell r="D911" t="str">
            <v>CIM Motor Mini CIM -3</v>
          </cell>
          <cell r="E911">
            <v>1</v>
          </cell>
          <cell r="I911">
            <v>0</v>
          </cell>
        </row>
        <row r="912">
          <cell r="D912" t="str">
            <v>CIM Motor Mini CIM -4</v>
          </cell>
          <cell r="E912">
            <v>1</v>
          </cell>
          <cell r="I912">
            <v>0</v>
          </cell>
        </row>
        <row r="913">
          <cell r="D913" t="str">
            <v>CIM Motor Mini CIM -5</v>
          </cell>
          <cell r="E913">
            <v>1</v>
          </cell>
          <cell r="I913">
            <v>0</v>
          </cell>
        </row>
        <row r="914">
          <cell r="D914" t="str">
            <v>CIM Motor Mini CIM -7</v>
          </cell>
          <cell r="E914">
            <v>1</v>
          </cell>
          <cell r="I914">
            <v>0</v>
          </cell>
        </row>
        <row r="915">
          <cell r="D915" t="str">
            <v>CIM Motor Mini CIM -9</v>
          </cell>
          <cell r="E915">
            <v>1</v>
          </cell>
          <cell r="I915">
            <v>0</v>
          </cell>
        </row>
        <row r="916">
          <cell r="D916" t="str">
            <v>CIM Motor Mini CIM -10</v>
          </cell>
          <cell r="E916">
            <v>1</v>
          </cell>
          <cell r="I916">
            <v>0</v>
          </cell>
        </row>
        <row r="917">
          <cell r="D917" t="str">
            <v>CIM Motor Mini CIM 9</v>
          </cell>
          <cell r="E917">
            <v>1</v>
          </cell>
          <cell r="I917">
            <v>0</v>
          </cell>
        </row>
        <row r="918">
          <cell r="D918" t="str">
            <v>CIM Motor Mini CIM 12</v>
          </cell>
          <cell r="E918">
            <v>1</v>
          </cell>
          <cell r="I918">
            <v>0</v>
          </cell>
        </row>
        <row r="919">
          <cell r="D919" t="str">
            <v>CIM Motor Mini CIM 15</v>
          </cell>
          <cell r="E919">
            <v>1</v>
          </cell>
          <cell r="I919">
            <v>0</v>
          </cell>
        </row>
        <row r="920">
          <cell r="D920" t="str">
            <v>CIM Motor Mini CIM 16</v>
          </cell>
          <cell r="E920">
            <v>1</v>
          </cell>
          <cell r="I920">
            <v>0</v>
          </cell>
        </row>
        <row r="921">
          <cell r="D921" t="str">
            <v>CIM Motor Mini CIM 20</v>
          </cell>
          <cell r="E921">
            <v>1</v>
          </cell>
          <cell r="I921">
            <v>0</v>
          </cell>
        </row>
        <row r="922">
          <cell r="D922" t="str">
            <v>CIM Motor Mini CIM 21</v>
          </cell>
          <cell r="E922">
            <v>0</v>
          </cell>
          <cell r="I922">
            <v>0</v>
          </cell>
        </row>
        <row r="923">
          <cell r="D923" t="str">
            <v>CIM Motor Mini CIM 25</v>
          </cell>
          <cell r="E923">
            <v>0</v>
          </cell>
          <cell r="I923">
            <v>0</v>
          </cell>
        </row>
        <row r="924">
          <cell r="D924" t="str">
            <v>CIM Motor Mini CIM 27</v>
          </cell>
          <cell r="E924">
            <v>0</v>
          </cell>
          <cell r="I924">
            <v>0</v>
          </cell>
        </row>
        <row r="925">
          <cell r="D925" t="str">
            <v>CIM Motor Mini CIM 28</v>
          </cell>
          <cell r="E925">
            <v>0</v>
          </cell>
          <cell r="I925">
            <v>0</v>
          </cell>
        </row>
        <row r="926">
          <cell r="D926" t="str">
            <v>CIM Motor Mini CIM 30</v>
          </cell>
          <cell r="E926">
            <v>0</v>
          </cell>
          <cell r="I926">
            <v>0</v>
          </cell>
        </row>
        <row r="927">
          <cell r="D927" t="str">
            <v>CIM Motor Mini CIM 35</v>
          </cell>
          <cell r="E927">
            <v>0</v>
          </cell>
          <cell r="I927">
            <v>0</v>
          </cell>
        </row>
        <row r="928">
          <cell r="D928" t="str">
            <v>CIM Motor Mini CIM 36</v>
          </cell>
          <cell r="E928">
            <v>0</v>
          </cell>
          <cell r="I928">
            <v>0</v>
          </cell>
        </row>
        <row r="929">
          <cell r="D929" t="str">
            <v>CIM Motor Mini CIM 40</v>
          </cell>
          <cell r="E929">
            <v>0</v>
          </cell>
          <cell r="I929">
            <v>0</v>
          </cell>
        </row>
        <row r="930">
          <cell r="D930" t="str">
            <v>CIM Motor Mini CIM 45</v>
          </cell>
          <cell r="E930">
            <v>0</v>
          </cell>
          <cell r="I930">
            <v>0</v>
          </cell>
        </row>
        <row r="931">
          <cell r="D931" t="str">
            <v>CIM Motor Mini CIM 49</v>
          </cell>
          <cell r="E931">
            <v>0</v>
          </cell>
          <cell r="I931">
            <v>0</v>
          </cell>
        </row>
        <row r="932">
          <cell r="D932" t="str">
            <v>CIM Motor Mini CIM 50</v>
          </cell>
          <cell r="E932">
            <v>0</v>
          </cell>
          <cell r="I932">
            <v>0</v>
          </cell>
        </row>
        <row r="933">
          <cell r="D933" t="str">
            <v>CIM Motor Mini CIM 63</v>
          </cell>
          <cell r="E933">
            <v>0</v>
          </cell>
          <cell r="I933">
            <v>0</v>
          </cell>
        </row>
        <row r="934">
          <cell r="D934" t="str">
            <v>CIM Motor Mini CIM 70</v>
          </cell>
          <cell r="E934">
            <v>0</v>
          </cell>
          <cell r="I934">
            <v>0</v>
          </cell>
        </row>
        <row r="935">
          <cell r="D935" t="str">
            <v>CIM Motor Mini CIM 81</v>
          </cell>
          <cell r="E935">
            <v>0</v>
          </cell>
          <cell r="I935">
            <v>0</v>
          </cell>
        </row>
        <row r="936">
          <cell r="D936" t="str">
            <v>CIM Motor Mini CIM 90</v>
          </cell>
          <cell r="E936">
            <v>0</v>
          </cell>
          <cell r="I936">
            <v>0</v>
          </cell>
        </row>
        <row r="937">
          <cell r="D937" t="str">
            <v>CIM Motor Mini CIM 100</v>
          </cell>
          <cell r="E937">
            <v>0</v>
          </cell>
          <cell r="I937">
            <v>0</v>
          </cell>
        </row>
        <row r="938">
          <cell r="D938" t="str">
            <v>CIM Motor CIM -3</v>
          </cell>
          <cell r="E938">
            <v>1</v>
          </cell>
          <cell r="I938">
            <v>0</v>
          </cell>
        </row>
        <row r="939">
          <cell r="D939" t="str">
            <v>CIM Motor CIM -4</v>
          </cell>
          <cell r="E939">
            <v>1</v>
          </cell>
          <cell r="I939">
            <v>0</v>
          </cell>
        </row>
        <row r="940">
          <cell r="D940" t="str">
            <v>CIM Motor CIM -5</v>
          </cell>
          <cell r="E940">
            <v>1</v>
          </cell>
          <cell r="I940">
            <v>0</v>
          </cell>
        </row>
        <row r="941">
          <cell r="D941" t="str">
            <v>CIM Motor CIM -7</v>
          </cell>
          <cell r="E941">
            <v>1</v>
          </cell>
          <cell r="I941">
            <v>0</v>
          </cell>
        </row>
        <row r="942">
          <cell r="D942" t="str">
            <v>CIM Motor CIM -9</v>
          </cell>
          <cell r="E942">
            <v>1</v>
          </cell>
          <cell r="I942">
            <v>0</v>
          </cell>
        </row>
        <row r="943">
          <cell r="D943" t="str">
            <v>CIM Motor CIM -10</v>
          </cell>
          <cell r="E943">
            <v>1</v>
          </cell>
          <cell r="I943">
            <v>0</v>
          </cell>
        </row>
        <row r="944">
          <cell r="D944" t="str">
            <v>CIM Motor CIM 9</v>
          </cell>
          <cell r="E944">
            <v>1</v>
          </cell>
          <cell r="I944">
            <v>0</v>
          </cell>
        </row>
        <row r="945">
          <cell r="D945" t="str">
            <v>CIM Motor CIM 12</v>
          </cell>
          <cell r="E945">
            <v>0</v>
          </cell>
          <cell r="I945">
            <v>0</v>
          </cell>
        </row>
        <row r="946">
          <cell r="D946" t="str">
            <v>CIM Motor CIM 15</v>
          </cell>
          <cell r="E946">
            <v>0</v>
          </cell>
          <cell r="I946">
            <v>0</v>
          </cell>
        </row>
        <row r="947">
          <cell r="D947" t="str">
            <v>CIM Motor CIM 16</v>
          </cell>
          <cell r="E947">
            <v>0</v>
          </cell>
          <cell r="I947">
            <v>0</v>
          </cell>
        </row>
        <row r="948">
          <cell r="D948" t="str">
            <v>CIM Motor CIM 20</v>
          </cell>
          <cell r="E948">
            <v>0</v>
          </cell>
          <cell r="I948">
            <v>0</v>
          </cell>
        </row>
        <row r="949">
          <cell r="D949" t="str">
            <v>CIM Motor CIM 21</v>
          </cell>
          <cell r="E949">
            <v>0</v>
          </cell>
          <cell r="I949">
            <v>0</v>
          </cell>
        </row>
        <row r="950">
          <cell r="D950" t="str">
            <v>CIM Motor CIM 25</v>
          </cell>
          <cell r="E950">
            <v>0</v>
          </cell>
          <cell r="I950">
            <v>0</v>
          </cell>
        </row>
        <row r="951">
          <cell r="D951" t="str">
            <v>CIM Motor CIM 27</v>
          </cell>
          <cell r="E951">
            <v>0</v>
          </cell>
          <cell r="I951">
            <v>0</v>
          </cell>
        </row>
        <row r="952">
          <cell r="D952" t="str">
            <v>CIM Motor CIM 28</v>
          </cell>
          <cell r="E952">
            <v>0</v>
          </cell>
          <cell r="I952">
            <v>0</v>
          </cell>
        </row>
        <row r="953">
          <cell r="D953" t="str">
            <v>CIM Motor CIM 30</v>
          </cell>
          <cell r="E953">
            <v>0</v>
          </cell>
          <cell r="I953">
            <v>0</v>
          </cell>
        </row>
        <row r="954">
          <cell r="D954" t="str">
            <v>CIM Motor CIM 35</v>
          </cell>
          <cell r="E954">
            <v>0</v>
          </cell>
          <cell r="I954">
            <v>0</v>
          </cell>
        </row>
        <row r="955">
          <cell r="D955" t="str">
            <v>CIM Motor CIM 36</v>
          </cell>
          <cell r="E955">
            <v>0</v>
          </cell>
          <cell r="I955">
            <v>0</v>
          </cell>
        </row>
        <row r="956">
          <cell r="D956" t="str">
            <v>CIM Motor CIM 40</v>
          </cell>
          <cell r="E956">
            <v>0</v>
          </cell>
          <cell r="I956">
            <v>0</v>
          </cell>
        </row>
        <row r="957">
          <cell r="D957" t="str">
            <v>CIM Motor CIM 45</v>
          </cell>
          <cell r="E957">
            <v>0</v>
          </cell>
          <cell r="I957">
            <v>0</v>
          </cell>
        </row>
        <row r="958">
          <cell r="D958" t="str">
            <v>CIM Motor CIM 49</v>
          </cell>
          <cell r="E958">
            <v>0</v>
          </cell>
          <cell r="I958">
            <v>0</v>
          </cell>
        </row>
        <row r="959">
          <cell r="D959" t="str">
            <v>CIM Motor CIM 50</v>
          </cell>
          <cell r="E959">
            <v>0</v>
          </cell>
          <cell r="I959">
            <v>0</v>
          </cell>
        </row>
        <row r="960">
          <cell r="D960" t="str">
            <v>CIM Motor CIM 63</v>
          </cell>
          <cell r="E960">
            <v>0</v>
          </cell>
          <cell r="I960">
            <v>0</v>
          </cell>
        </row>
        <row r="961">
          <cell r="D961" t="str">
            <v>CIM Motor CIM 70</v>
          </cell>
          <cell r="E961">
            <v>0</v>
          </cell>
          <cell r="I961">
            <v>0</v>
          </cell>
        </row>
        <row r="962">
          <cell r="D962" t="str">
            <v>CIM Motor CIM 81</v>
          </cell>
          <cell r="E962">
            <v>0</v>
          </cell>
          <cell r="I962">
            <v>0</v>
          </cell>
        </row>
        <row r="963">
          <cell r="D963" t="str">
            <v>CIM Motor CIM 90</v>
          </cell>
          <cell r="E963">
            <v>0</v>
          </cell>
          <cell r="I963">
            <v>0</v>
          </cell>
        </row>
        <row r="964">
          <cell r="D964" t="str">
            <v>CIM Motor CIM 100</v>
          </cell>
          <cell r="E964">
            <v>0</v>
          </cell>
          <cell r="I964">
            <v>0</v>
          </cell>
        </row>
        <row r="965">
          <cell r="D965" t="str">
            <v>CIM Motor NEO -3</v>
          </cell>
          <cell r="E965">
            <v>1</v>
          </cell>
          <cell r="I965">
            <v>0</v>
          </cell>
        </row>
        <row r="966">
          <cell r="D966" t="str">
            <v>CIM Motor NEO -4</v>
          </cell>
          <cell r="E966">
            <v>1</v>
          </cell>
          <cell r="I966">
            <v>0</v>
          </cell>
        </row>
        <row r="967">
          <cell r="D967" t="str">
            <v>CIM Motor NEO -5</v>
          </cell>
          <cell r="E967">
            <v>1</v>
          </cell>
          <cell r="I967">
            <v>0</v>
          </cell>
        </row>
        <row r="968">
          <cell r="D968" t="str">
            <v>CIM Motor NEO -7</v>
          </cell>
          <cell r="E968">
            <v>1</v>
          </cell>
          <cell r="I968">
            <v>0</v>
          </cell>
        </row>
        <row r="969">
          <cell r="D969" t="str">
            <v>CIM Motor NEO -9</v>
          </cell>
          <cell r="E969">
            <v>1</v>
          </cell>
          <cell r="I969">
            <v>0</v>
          </cell>
        </row>
        <row r="970">
          <cell r="D970" t="str">
            <v>CIM Motor NEO -10</v>
          </cell>
          <cell r="E970">
            <v>1</v>
          </cell>
          <cell r="I970">
            <v>0</v>
          </cell>
        </row>
        <row r="971">
          <cell r="D971" t="str">
            <v>CIM Motor NEO 9</v>
          </cell>
          <cell r="E971">
            <v>0</v>
          </cell>
          <cell r="I971">
            <v>0</v>
          </cell>
        </row>
        <row r="972">
          <cell r="D972" t="str">
            <v>CIM Motor NEO 12</v>
          </cell>
          <cell r="E972">
            <v>0</v>
          </cell>
          <cell r="I972">
            <v>0</v>
          </cell>
        </row>
        <row r="973">
          <cell r="D973" t="str">
            <v>CIM Motor NEO 15</v>
          </cell>
          <cell r="E973">
            <v>0</v>
          </cell>
          <cell r="I973">
            <v>0</v>
          </cell>
        </row>
        <row r="974">
          <cell r="D974" t="str">
            <v>CIM Motor NEO 16</v>
          </cell>
          <cell r="E974">
            <v>0</v>
          </cell>
          <cell r="I974">
            <v>0</v>
          </cell>
        </row>
        <row r="975">
          <cell r="D975" t="str">
            <v>CIM Motor NEO 20</v>
          </cell>
          <cell r="E975">
            <v>0</v>
          </cell>
          <cell r="I975">
            <v>0</v>
          </cell>
        </row>
        <row r="976">
          <cell r="D976" t="str">
            <v>CIM Motor NEO 21</v>
          </cell>
          <cell r="E976">
            <v>0</v>
          </cell>
          <cell r="I976">
            <v>0</v>
          </cell>
        </row>
        <row r="977">
          <cell r="D977" t="str">
            <v>CIM Motor NEO 25</v>
          </cell>
          <cell r="E977">
            <v>0</v>
          </cell>
          <cell r="I977">
            <v>0</v>
          </cell>
        </row>
        <row r="978">
          <cell r="D978" t="str">
            <v>CIM Motor NEO 27</v>
          </cell>
          <cell r="E978">
            <v>0</v>
          </cell>
          <cell r="I978">
            <v>0</v>
          </cell>
        </row>
        <row r="979">
          <cell r="D979" t="str">
            <v>CIM Motor NEO 28</v>
          </cell>
          <cell r="E979">
            <v>0</v>
          </cell>
          <cell r="I979">
            <v>0</v>
          </cell>
        </row>
        <row r="980">
          <cell r="D980" t="str">
            <v>CIM Motor NEO 30</v>
          </cell>
          <cell r="E980">
            <v>0</v>
          </cell>
          <cell r="I980">
            <v>0</v>
          </cell>
        </row>
        <row r="981">
          <cell r="D981" t="str">
            <v>CIM Motor NEO 35</v>
          </cell>
          <cell r="E981">
            <v>0</v>
          </cell>
          <cell r="I981">
            <v>0</v>
          </cell>
        </row>
        <row r="982">
          <cell r="D982" t="str">
            <v>CIM Motor NEO 36</v>
          </cell>
          <cell r="E982">
            <v>0</v>
          </cell>
          <cell r="I982">
            <v>0</v>
          </cell>
        </row>
        <row r="983">
          <cell r="D983" t="str">
            <v>CIM Motor NEO 40</v>
          </cell>
          <cell r="E983">
            <v>0</v>
          </cell>
          <cell r="I983">
            <v>0</v>
          </cell>
        </row>
        <row r="984">
          <cell r="D984" t="str">
            <v>CIM Motor NEO 45</v>
          </cell>
          <cell r="E984">
            <v>0</v>
          </cell>
          <cell r="I984">
            <v>0</v>
          </cell>
        </row>
        <row r="985">
          <cell r="D985" t="str">
            <v>CIM Motor NEO 49</v>
          </cell>
          <cell r="E985">
            <v>0</v>
          </cell>
          <cell r="I985">
            <v>0</v>
          </cell>
        </row>
        <row r="986">
          <cell r="D986" t="str">
            <v>CIM Motor NEO 50</v>
          </cell>
          <cell r="E986">
            <v>0</v>
          </cell>
          <cell r="I986">
            <v>0</v>
          </cell>
        </row>
        <row r="987">
          <cell r="D987" t="str">
            <v>CIM Motor NEO 63</v>
          </cell>
          <cell r="E987">
            <v>0</v>
          </cell>
          <cell r="I987">
            <v>0</v>
          </cell>
        </row>
        <row r="988">
          <cell r="D988" t="str">
            <v>CIM Motor NEO 70</v>
          </cell>
          <cell r="E988">
            <v>0</v>
          </cell>
          <cell r="I988">
            <v>0</v>
          </cell>
        </row>
        <row r="989">
          <cell r="D989" t="str">
            <v>CIM Motor NEO 81</v>
          </cell>
          <cell r="E989">
            <v>0</v>
          </cell>
          <cell r="I989">
            <v>0</v>
          </cell>
        </row>
        <row r="990">
          <cell r="D990" t="str">
            <v>CIM Motor NEO 90</v>
          </cell>
          <cell r="E990">
            <v>0</v>
          </cell>
          <cell r="I990">
            <v>0</v>
          </cell>
        </row>
        <row r="991">
          <cell r="D991" t="str">
            <v>CIM Motor NEO 100</v>
          </cell>
          <cell r="E991">
            <v>0</v>
          </cell>
          <cell r="I991">
            <v>0</v>
          </cell>
        </row>
        <row r="992">
          <cell r="D992" t="str">
            <v>CIM Motor Falcon 500 -3</v>
          </cell>
          <cell r="E992">
            <v>1</v>
          </cell>
          <cell r="I992">
            <v>0</v>
          </cell>
        </row>
        <row r="993">
          <cell r="D993" t="str">
            <v>CIM Motor Falcon 500 -4</v>
          </cell>
          <cell r="E993">
            <v>1</v>
          </cell>
          <cell r="I993">
            <v>0</v>
          </cell>
        </row>
        <row r="994">
          <cell r="D994" t="str">
            <v>CIM Motor Falcon 500 -5</v>
          </cell>
          <cell r="E994">
            <v>1</v>
          </cell>
          <cell r="I994">
            <v>0</v>
          </cell>
        </row>
        <row r="995">
          <cell r="D995" t="str">
            <v>CIM Motor Falcon 500 -7</v>
          </cell>
          <cell r="E995">
            <v>1</v>
          </cell>
          <cell r="I995">
            <v>0</v>
          </cell>
        </row>
        <row r="996">
          <cell r="D996" t="str">
            <v>CIM Motor Falcon 500 -9</v>
          </cell>
          <cell r="E996">
            <v>1</v>
          </cell>
          <cell r="I996">
            <v>0</v>
          </cell>
        </row>
        <row r="997">
          <cell r="D997" t="str">
            <v>CIM Motor Falcon 500 -10</v>
          </cell>
          <cell r="E997">
            <v>1</v>
          </cell>
          <cell r="I997">
            <v>0</v>
          </cell>
        </row>
        <row r="998">
          <cell r="D998" t="str">
            <v>CIM Motor Falcon 500 9</v>
          </cell>
          <cell r="E998">
            <v>0</v>
          </cell>
          <cell r="I998">
            <v>0</v>
          </cell>
        </row>
        <row r="999">
          <cell r="D999" t="str">
            <v>CIM Motor Falcon 500 12</v>
          </cell>
          <cell r="E999">
            <v>0</v>
          </cell>
          <cell r="I999">
            <v>0</v>
          </cell>
        </row>
        <row r="1000">
          <cell r="D1000" t="str">
            <v>CIM Motor Falcon 500 15</v>
          </cell>
          <cell r="E1000">
            <v>0</v>
          </cell>
          <cell r="I1000">
            <v>0</v>
          </cell>
        </row>
        <row r="1001">
          <cell r="D1001" t="str">
            <v>CIM Motor Falcon 500 16</v>
          </cell>
          <cell r="E1001">
            <v>0</v>
          </cell>
          <cell r="I1001">
            <v>0</v>
          </cell>
        </row>
        <row r="1002">
          <cell r="D1002" t="str">
            <v>CIM Motor Falcon 500 20</v>
          </cell>
          <cell r="E1002">
            <v>0</v>
          </cell>
          <cell r="I1002">
            <v>0</v>
          </cell>
        </row>
        <row r="1003">
          <cell r="D1003" t="str">
            <v>CIM Motor Falcon 500 21</v>
          </cell>
          <cell r="E1003">
            <v>0</v>
          </cell>
          <cell r="I1003">
            <v>0</v>
          </cell>
        </row>
        <row r="1004">
          <cell r="D1004" t="str">
            <v>CIM Motor Falcon 500 25</v>
          </cell>
          <cell r="E1004">
            <v>0</v>
          </cell>
          <cell r="I1004">
            <v>0</v>
          </cell>
        </row>
        <row r="1005">
          <cell r="D1005" t="str">
            <v>CIM Motor Falcon 500 27</v>
          </cell>
          <cell r="E1005">
            <v>0</v>
          </cell>
          <cell r="I1005">
            <v>0</v>
          </cell>
        </row>
        <row r="1006">
          <cell r="D1006" t="str">
            <v>CIM Motor Falcon 500 28</v>
          </cell>
          <cell r="E1006">
            <v>0</v>
          </cell>
          <cell r="I1006">
            <v>0</v>
          </cell>
        </row>
        <row r="1007">
          <cell r="D1007" t="str">
            <v>CIM Motor Falcon 500 30</v>
          </cell>
          <cell r="E1007">
            <v>0</v>
          </cell>
          <cell r="I1007">
            <v>0</v>
          </cell>
        </row>
        <row r="1008">
          <cell r="D1008" t="str">
            <v>CIM Motor Falcon 500 35</v>
          </cell>
          <cell r="E1008">
            <v>0</v>
          </cell>
          <cell r="I1008">
            <v>0</v>
          </cell>
        </row>
        <row r="1009">
          <cell r="D1009" t="str">
            <v>CIM Motor Falcon 500 36</v>
          </cell>
          <cell r="E1009">
            <v>0</v>
          </cell>
          <cell r="I1009">
            <v>0</v>
          </cell>
        </row>
        <row r="1010">
          <cell r="D1010" t="str">
            <v>CIM Motor Falcon 500 40</v>
          </cell>
          <cell r="E1010">
            <v>0</v>
          </cell>
          <cell r="I1010">
            <v>0</v>
          </cell>
        </row>
        <row r="1011">
          <cell r="D1011" t="str">
            <v>CIM Motor Falcon 500 45</v>
          </cell>
          <cell r="E1011">
            <v>0</v>
          </cell>
          <cell r="I1011">
            <v>0</v>
          </cell>
        </row>
        <row r="1012">
          <cell r="D1012" t="str">
            <v>CIM Motor Falcon 500 49</v>
          </cell>
          <cell r="E1012">
            <v>0</v>
          </cell>
          <cell r="I1012">
            <v>0</v>
          </cell>
        </row>
        <row r="1013">
          <cell r="D1013" t="str">
            <v>CIM Motor Falcon 500 50</v>
          </cell>
          <cell r="E1013">
            <v>0</v>
          </cell>
          <cell r="I1013">
            <v>0</v>
          </cell>
        </row>
        <row r="1014">
          <cell r="D1014" t="str">
            <v>CIM Motor Falcon 500 63</v>
          </cell>
          <cell r="E1014">
            <v>0</v>
          </cell>
          <cell r="I1014">
            <v>0</v>
          </cell>
        </row>
        <row r="1015">
          <cell r="D1015" t="str">
            <v>CIM Motor Falcon 500 70</v>
          </cell>
          <cell r="E1015">
            <v>0</v>
          </cell>
          <cell r="I1015">
            <v>0</v>
          </cell>
        </row>
        <row r="1016">
          <cell r="D1016" t="str">
            <v>CIM Motor Falcon 500 81</v>
          </cell>
          <cell r="E1016">
            <v>0</v>
          </cell>
          <cell r="I1016">
            <v>0</v>
          </cell>
        </row>
        <row r="1017">
          <cell r="D1017" t="str">
            <v>CIM Motor Falcon 500 90</v>
          </cell>
          <cell r="E1017">
            <v>0</v>
          </cell>
          <cell r="I1017">
            <v>0</v>
          </cell>
        </row>
        <row r="1018">
          <cell r="D1018" t="str">
            <v>CIM Motor Falcon 500 100</v>
          </cell>
          <cell r="E1018">
            <v>0</v>
          </cell>
          <cell r="I1018">
            <v>0</v>
          </cell>
        </row>
        <row r="1019">
          <cell r="D1019" t="str">
            <v>Female AM 9015 -3</v>
          </cell>
          <cell r="E1019">
            <v>1</v>
          </cell>
          <cell r="I1019">
            <v>1</v>
          </cell>
        </row>
        <row r="1020">
          <cell r="D1020" t="str">
            <v>Female AM 9015 -4</v>
          </cell>
          <cell r="E1020">
            <v>1</v>
          </cell>
          <cell r="I1020">
            <v>1</v>
          </cell>
        </row>
        <row r="1021">
          <cell r="D1021" t="str">
            <v>Female AM 9015 -5</v>
          </cell>
          <cell r="E1021">
            <v>1</v>
          </cell>
          <cell r="I1021">
            <v>1</v>
          </cell>
        </row>
        <row r="1022">
          <cell r="D1022" t="str">
            <v>Female AM 9015 -7</v>
          </cell>
          <cell r="E1022">
            <v>1</v>
          </cell>
          <cell r="I1022">
            <v>1</v>
          </cell>
        </row>
        <row r="1023">
          <cell r="D1023" t="str">
            <v>Female AM 9015 -9</v>
          </cell>
          <cell r="E1023">
            <v>1</v>
          </cell>
          <cell r="I1023">
            <v>1</v>
          </cell>
        </row>
        <row r="1024">
          <cell r="D1024" t="str">
            <v>Female AM 9015 -10</v>
          </cell>
          <cell r="E1024">
            <v>1</v>
          </cell>
          <cell r="I1024">
            <v>1</v>
          </cell>
        </row>
        <row r="1025">
          <cell r="D1025" t="str">
            <v>Female AM 9015 9</v>
          </cell>
          <cell r="E1025">
            <v>10</v>
          </cell>
          <cell r="I1025">
            <v>10</v>
          </cell>
        </row>
        <row r="1026">
          <cell r="D1026" t="str">
            <v>Female AM 9015 12</v>
          </cell>
          <cell r="E1026">
            <v>10</v>
          </cell>
          <cell r="I1026">
            <v>7</v>
          </cell>
        </row>
        <row r="1027">
          <cell r="D1027" t="str">
            <v>Female AM 9015 15</v>
          </cell>
          <cell r="E1027">
            <v>10</v>
          </cell>
          <cell r="I1027">
            <v>5</v>
          </cell>
        </row>
        <row r="1028">
          <cell r="D1028" t="str">
            <v>Female AM 9015 16</v>
          </cell>
          <cell r="E1028">
            <v>10</v>
          </cell>
          <cell r="I1028">
            <v>5</v>
          </cell>
        </row>
        <row r="1029">
          <cell r="D1029" t="str">
            <v>Female AM 9015 20</v>
          </cell>
          <cell r="E1029">
            <v>10</v>
          </cell>
          <cell r="I1029">
            <v>4</v>
          </cell>
        </row>
        <row r="1030">
          <cell r="D1030" t="str">
            <v>Female AM 9015 21</v>
          </cell>
          <cell r="E1030">
            <v>10</v>
          </cell>
          <cell r="I1030">
            <v>4</v>
          </cell>
        </row>
        <row r="1031">
          <cell r="D1031" t="str">
            <v>Female AM 9015 25</v>
          </cell>
          <cell r="E1031">
            <v>7</v>
          </cell>
          <cell r="I1031">
            <v>3</v>
          </cell>
        </row>
        <row r="1032">
          <cell r="D1032" t="str">
            <v>Female AM 9015 27</v>
          </cell>
          <cell r="E1032">
            <v>7</v>
          </cell>
          <cell r="I1032">
            <v>3</v>
          </cell>
        </row>
        <row r="1033">
          <cell r="D1033" t="str">
            <v>Female AM 9015 28</v>
          </cell>
          <cell r="E1033">
            <v>7</v>
          </cell>
          <cell r="I1033">
            <v>3</v>
          </cell>
        </row>
        <row r="1034">
          <cell r="D1034" t="str">
            <v>Female AM 9015 30</v>
          </cell>
          <cell r="E1034">
            <v>7</v>
          </cell>
          <cell r="I1034">
            <v>3</v>
          </cell>
        </row>
        <row r="1035">
          <cell r="D1035" t="str">
            <v>Female AM 9015 35</v>
          </cell>
          <cell r="E1035">
            <v>5</v>
          </cell>
          <cell r="I1035">
            <v>1</v>
          </cell>
        </row>
        <row r="1036">
          <cell r="D1036" t="str">
            <v>Female AM 9015 36</v>
          </cell>
          <cell r="E1036">
            <v>5</v>
          </cell>
          <cell r="I1036">
            <v>1</v>
          </cell>
        </row>
        <row r="1037">
          <cell r="D1037" t="str">
            <v>Female AM 9015 40</v>
          </cell>
          <cell r="E1037">
            <v>5</v>
          </cell>
          <cell r="I1037">
            <v>1</v>
          </cell>
        </row>
        <row r="1038">
          <cell r="D1038" t="str">
            <v>Female AM 9015 45</v>
          </cell>
          <cell r="E1038">
            <v>5</v>
          </cell>
          <cell r="I1038">
            <v>1</v>
          </cell>
        </row>
        <row r="1039">
          <cell r="D1039" t="str">
            <v>Female AM 9015 49</v>
          </cell>
          <cell r="E1039">
            <v>5</v>
          </cell>
          <cell r="I1039">
            <v>1</v>
          </cell>
        </row>
        <row r="1040">
          <cell r="D1040" t="str">
            <v>Female AM 9015 50</v>
          </cell>
          <cell r="E1040">
            <v>5</v>
          </cell>
          <cell r="I1040">
            <v>1</v>
          </cell>
        </row>
        <row r="1041">
          <cell r="D1041" t="str">
            <v>Female AM 9015 63</v>
          </cell>
          <cell r="E1041">
            <v>5</v>
          </cell>
          <cell r="I1041">
            <v>1</v>
          </cell>
        </row>
        <row r="1042">
          <cell r="D1042" t="str">
            <v>Female AM 9015 70</v>
          </cell>
          <cell r="E1042">
            <v>4</v>
          </cell>
          <cell r="I1042">
            <v>1</v>
          </cell>
        </row>
        <row r="1043">
          <cell r="D1043" t="str">
            <v>Female AM 9015 81</v>
          </cell>
          <cell r="E1043">
            <v>4</v>
          </cell>
          <cell r="I1043">
            <v>1</v>
          </cell>
        </row>
        <row r="1044">
          <cell r="D1044" t="str">
            <v>Female AM 9015 90</v>
          </cell>
          <cell r="E1044">
            <v>3</v>
          </cell>
          <cell r="I1044">
            <v>1</v>
          </cell>
        </row>
        <row r="1045">
          <cell r="D1045" t="str">
            <v>Female AM 9015 100</v>
          </cell>
          <cell r="E1045">
            <v>3</v>
          </cell>
          <cell r="I1045">
            <v>0</v>
          </cell>
        </row>
        <row r="1046">
          <cell r="D1046" t="str">
            <v>Female BB RS-550 -3</v>
          </cell>
          <cell r="E1046">
            <v>1</v>
          </cell>
          <cell r="F1046">
            <v>1</v>
          </cell>
          <cell r="G1046">
            <v>1</v>
          </cell>
          <cell r="H1046">
            <v>1</v>
          </cell>
          <cell r="I1046">
            <v>1</v>
          </cell>
        </row>
        <row r="1047">
          <cell r="D1047" t="str">
            <v>Female BB RS-550 -4</v>
          </cell>
          <cell r="E1047">
            <v>1</v>
          </cell>
          <cell r="F1047">
            <v>1</v>
          </cell>
          <cell r="G1047">
            <v>1</v>
          </cell>
          <cell r="H1047">
            <v>1</v>
          </cell>
          <cell r="I1047">
            <v>1</v>
          </cell>
        </row>
        <row r="1048">
          <cell r="D1048" t="str">
            <v>Female BB RS-550 -5</v>
          </cell>
          <cell r="E1048">
            <v>1</v>
          </cell>
          <cell r="F1048">
            <v>1</v>
          </cell>
          <cell r="G1048">
            <v>1</v>
          </cell>
          <cell r="H1048">
            <v>1</v>
          </cell>
          <cell r="I1048">
            <v>1</v>
          </cell>
        </row>
        <row r="1049">
          <cell r="D1049" t="str">
            <v>Female BB RS-550 -7</v>
          </cell>
          <cell r="E1049">
            <v>1</v>
          </cell>
          <cell r="F1049">
            <v>1</v>
          </cell>
          <cell r="G1049">
            <v>1</v>
          </cell>
          <cell r="H1049">
            <v>0</v>
          </cell>
          <cell r="I1049">
            <v>1</v>
          </cell>
        </row>
        <row r="1050">
          <cell r="D1050" t="str">
            <v>Female BB RS-550 -9</v>
          </cell>
          <cell r="E1050">
            <v>1</v>
          </cell>
          <cell r="F1050">
            <v>1</v>
          </cell>
          <cell r="G1050">
            <v>0</v>
          </cell>
          <cell r="H1050">
            <v>0</v>
          </cell>
          <cell r="I1050">
            <v>1</v>
          </cell>
        </row>
        <row r="1051">
          <cell r="D1051" t="str">
            <v>Female BB RS-550 -10</v>
          </cell>
          <cell r="E1051">
            <v>1</v>
          </cell>
          <cell r="F1051">
            <v>1</v>
          </cell>
          <cell r="G1051">
            <v>0</v>
          </cell>
          <cell r="H1051">
            <v>0</v>
          </cell>
          <cell r="I1051">
            <v>1</v>
          </cell>
        </row>
        <row r="1052">
          <cell r="D1052" t="str">
            <v>Female BB RS-550 9</v>
          </cell>
          <cell r="E1052">
            <v>10</v>
          </cell>
          <cell r="F1052">
            <v>10</v>
          </cell>
          <cell r="G1052">
            <v>1</v>
          </cell>
          <cell r="H1052">
            <v>0</v>
          </cell>
          <cell r="I1052">
            <v>10</v>
          </cell>
        </row>
        <row r="1053">
          <cell r="D1053" t="str">
            <v>Female BB RS-550 12</v>
          </cell>
          <cell r="E1053">
            <v>10</v>
          </cell>
          <cell r="F1053">
            <v>7</v>
          </cell>
          <cell r="G1053">
            <v>0</v>
          </cell>
          <cell r="H1053">
            <v>0</v>
          </cell>
          <cell r="I1053">
            <v>7</v>
          </cell>
        </row>
        <row r="1054">
          <cell r="D1054" t="str">
            <v>Female BB RS-550 15</v>
          </cell>
          <cell r="E1054">
            <v>10</v>
          </cell>
          <cell r="F1054">
            <v>5</v>
          </cell>
          <cell r="G1054">
            <v>0</v>
          </cell>
          <cell r="H1054">
            <v>0</v>
          </cell>
          <cell r="I1054">
            <v>5</v>
          </cell>
        </row>
        <row r="1055">
          <cell r="D1055" t="str">
            <v>Female BB RS-550 16</v>
          </cell>
          <cell r="E1055">
            <v>10</v>
          </cell>
          <cell r="F1055">
            <v>5</v>
          </cell>
          <cell r="G1055">
            <v>0</v>
          </cell>
          <cell r="H1055">
            <v>0</v>
          </cell>
          <cell r="I1055">
            <v>5</v>
          </cell>
        </row>
        <row r="1056">
          <cell r="D1056" t="str">
            <v>Female BB RS-550 20</v>
          </cell>
          <cell r="E1056">
            <v>9</v>
          </cell>
          <cell r="F1056">
            <v>5</v>
          </cell>
          <cell r="G1056">
            <v>0</v>
          </cell>
          <cell r="H1056">
            <v>0</v>
          </cell>
          <cell r="I1056">
            <v>4</v>
          </cell>
        </row>
        <row r="1057">
          <cell r="D1057" t="str">
            <v>Female BB RS-550 21</v>
          </cell>
          <cell r="E1057">
            <v>9</v>
          </cell>
          <cell r="F1057">
            <v>5</v>
          </cell>
          <cell r="G1057">
            <v>0</v>
          </cell>
          <cell r="H1057">
            <v>0</v>
          </cell>
          <cell r="I1057">
            <v>4</v>
          </cell>
        </row>
        <row r="1058">
          <cell r="D1058" t="str">
            <v>Female BB RS-550 25</v>
          </cell>
          <cell r="E1058">
            <v>7</v>
          </cell>
          <cell r="F1058">
            <v>5</v>
          </cell>
          <cell r="G1058">
            <v>0</v>
          </cell>
          <cell r="H1058">
            <v>0</v>
          </cell>
          <cell r="I1058">
            <v>3</v>
          </cell>
        </row>
        <row r="1059">
          <cell r="D1059" t="str">
            <v>Female BB RS-550 27</v>
          </cell>
          <cell r="E1059">
            <v>7</v>
          </cell>
          <cell r="F1059">
            <v>5</v>
          </cell>
          <cell r="G1059">
            <v>0</v>
          </cell>
          <cell r="H1059">
            <v>0</v>
          </cell>
          <cell r="I1059">
            <v>3</v>
          </cell>
        </row>
        <row r="1060">
          <cell r="D1060" t="str">
            <v>Female BB RS-550 28</v>
          </cell>
          <cell r="E1060">
            <v>7</v>
          </cell>
          <cell r="F1060">
            <v>5</v>
          </cell>
          <cell r="G1060">
            <v>0</v>
          </cell>
          <cell r="H1060">
            <v>0</v>
          </cell>
          <cell r="I1060">
            <v>3</v>
          </cell>
        </row>
        <row r="1061">
          <cell r="D1061" t="str">
            <v>Female BB RS-550 30</v>
          </cell>
          <cell r="E1061">
            <v>5</v>
          </cell>
          <cell r="F1061">
            <v>5</v>
          </cell>
          <cell r="G1061">
            <v>0</v>
          </cell>
          <cell r="H1061">
            <v>0</v>
          </cell>
          <cell r="I1061">
            <v>3</v>
          </cell>
        </row>
        <row r="1062">
          <cell r="D1062" t="str">
            <v>Female BB RS-550 35</v>
          </cell>
          <cell r="E1062">
            <v>5</v>
          </cell>
          <cell r="F1062">
            <v>4</v>
          </cell>
          <cell r="G1062">
            <v>0</v>
          </cell>
          <cell r="H1062">
            <v>0</v>
          </cell>
          <cell r="I1062">
            <v>1</v>
          </cell>
        </row>
        <row r="1063">
          <cell r="D1063" t="str">
            <v>Female BB RS-550 36</v>
          </cell>
          <cell r="E1063">
            <v>5</v>
          </cell>
          <cell r="F1063">
            <v>4</v>
          </cell>
          <cell r="G1063">
            <v>0</v>
          </cell>
          <cell r="H1063">
            <v>0</v>
          </cell>
          <cell r="I1063">
            <v>1</v>
          </cell>
        </row>
        <row r="1064">
          <cell r="D1064" t="str">
            <v>Female BB RS-550 40</v>
          </cell>
          <cell r="E1064">
            <v>5</v>
          </cell>
          <cell r="F1064">
            <v>3</v>
          </cell>
          <cell r="G1064">
            <v>0</v>
          </cell>
          <cell r="H1064">
            <v>0</v>
          </cell>
          <cell r="I1064">
            <v>1</v>
          </cell>
        </row>
        <row r="1065">
          <cell r="D1065" t="str">
            <v>Female BB RS-550 45</v>
          </cell>
          <cell r="E1065">
            <v>5</v>
          </cell>
          <cell r="F1065">
            <v>3</v>
          </cell>
          <cell r="G1065">
            <v>0</v>
          </cell>
          <cell r="H1065">
            <v>0</v>
          </cell>
          <cell r="I1065">
            <v>1</v>
          </cell>
        </row>
        <row r="1066">
          <cell r="D1066" t="str">
            <v>Female BB RS-550 49</v>
          </cell>
          <cell r="E1066">
            <v>5</v>
          </cell>
          <cell r="F1066">
            <v>3</v>
          </cell>
          <cell r="G1066">
            <v>0</v>
          </cell>
          <cell r="H1066">
            <v>0</v>
          </cell>
          <cell r="I1066">
            <v>1</v>
          </cell>
        </row>
        <row r="1067">
          <cell r="D1067" t="str">
            <v>Female BB RS-550 50</v>
          </cell>
          <cell r="E1067">
            <v>5</v>
          </cell>
          <cell r="F1067">
            <v>3</v>
          </cell>
          <cell r="G1067">
            <v>0</v>
          </cell>
          <cell r="H1067">
            <v>0</v>
          </cell>
          <cell r="I1067">
            <v>1</v>
          </cell>
        </row>
        <row r="1068">
          <cell r="D1068" t="str">
            <v>Female BB RS-550 63</v>
          </cell>
          <cell r="E1068">
            <v>4</v>
          </cell>
          <cell r="F1068">
            <v>1</v>
          </cell>
          <cell r="G1068">
            <v>0</v>
          </cell>
          <cell r="H1068">
            <v>0</v>
          </cell>
          <cell r="I1068">
            <v>1</v>
          </cell>
        </row>
        <row r="1069">
          <cell r="D1069" t="str">
            <v>Female BB RS-550 70</v>
          </cell>
          <cell r="E1069">
            <v>4</v>
          </cell>
          <cell r="F1069">
            <v>1</v>
          </cell>
          <cell r="G1069">
            <v>0</v>
          </cell>
          <cell r="H1069">
            <v>0</v>
          </cell>
          <cell r="I1069">
            <v>1</v>
          </cell>
        </row>
        <row r="1070">
          <cell r="D1070" t="str">
            <v>Female BB RS-550 81</v>
          </cell>
          <cell r="E1070">
            <v>3</v>
          </cell>
          <cell r="F1070">
            <v>1</v>
          </cell>
          <cell r="G1070">
            <v>0</v>
          </cell>
          <cell r="H1070">
            <v>0</v>
          </cell>
          <cell r="I1070">
            <v>1</v>
          </cell>
        </row>
        <row r="1071">
          <cell r="D1071" t="str">
            <v>Female BB RS-550 90</v>
          </cell>
          <cell r="E1071">
            <v>3</v>
          </cell>
          <cell r="F1071">
            <v>1</v>
          </cell>
          <cell r="G1071">
            <v>0</v>
          </cell>
          <cell r="H1071">
            <v>0</v>
          </cell>
          <cell r="I1071">
            <v>1</v>
          </cell>
        </row>
        <row r="1072">
          <cell r="D1072" t="str">
            <v>Female BB RS-550 100</v>
          </cell>
          <cell r="E1072">
            <v>3</v>
          </cell>
          <cell r="F1072">
            <v>0</v>
          </cell>
          <cell r="G1072">
            <v>0</v>
          </cell>
          <cell r="H1072">
            <v>0</v>
          </cell>
          <cell r="I1072">
            <v>0</v>
          </cell>
        </row>
        <row r="1073">
          <cell r="D1073" t="str">
            <v>Female BB RS-775 -3</v>
          </cell>
          <cell r="E1073">
            <v>1</v>
          </cell>
          <cell r="F1073">
            <v>1</v>
          </cell>
          <cell r="G1073">
            <v>1</v>
          </cell>
          <cell r="H1073">
            <v>0</v>
          </cell>
          <cell r="I1073">
            <v>1</v>
          </cell>
        </row>
        <row r="1074">
          <cell r="D1074" t="str">
            <v>Female BB RS-775 -4</v>
          </cell>
          <cell r="E1074">
            <v>1</v>
          </cell>
          <cell r="F1074">
            <v>1</v>
          </cell>
          <cell r="G1074">
            <v>1</v>
          </cell>
          <cell r="H1074">
            <v>0</v>
          </cell>
          <cell r="I1074">
            <v>1</v>
          </cell>
        </row>
        <row r="1075">
          <cell r="D1075" t="str">
            <v>Female BB RS-775 -5</v>
          </cell>
          <cell r="E1075">
            <v>1</v>
          </cell>
          <cell r="F1075">
            <v>1</v>
          </cell>
          <cell r="G1075">
            <v>1</v>
          </cell>
          <cell r="H1075">
            <v>0</v>
          </cell>
          <cell r="I1075">
            <v>1</v>
          </cell>
        </row>
        <row r="1076">
          <cell r="D1076" t="str">
            <v>Female BB RS-775 -7</v>
          </cell>
          <cell r="E1076">
            <v>1</v>
          </cell>
          <cell r="F1076">
            <v>1</v>
          </cell>
          <cell r="G1076">
            <v>0</v>
          </cell>
          <cell r="H1076">
            <v>0</v>
          </cell>
          <cell r="I1076">
            <v>1</v>
          </cell>
        </row>
        <row r="1077">
          <cell r="D1077" t="str">
            <v>Female BB RS-775 -9</v>
          </cell>
          <cell r="E1077">
            <v>1</v>
          </cell>
          <cell r="F1077">
            <v>1</v>
          </cell>
          <cell r="G1077">
            <v>0</v>
          </cell>
          <cell r="H1077">
            <v>0</v>
          </cell>
          <cell r="I1077">
            <v>1</v>
          </cell>
        </row>
        <row r="1078">
          <cell r="D1078" t="str">
            <v>Female BB RS-775 -10</v>
          </cell>
          <cell r="E1078">
            <v>1</v>
          </cell>
          <cell r="F1078">
            <v>1</v>
          </cell>
          <cell r="G1078">
            <v>0</v>
          </cell>
          <cell r="H1078">
            <v>0</v>
          </cell>
          <cell r="I1078">
            <v>1</v>
          </cell>
        </row>
        <row r="1079">
          <cell r="D1079" t="str">
            <v>Female BB RS-775 9</v>
          </cell>
          <cell r="E1079">
            <v>10</v>
          </cell>
          <cell r="F1079">
            <v>5</v>
          </cell>
          <cell r="G1079">
            <v>0</v>
          </cell>
          <cell r="H1079">
            <v>0</v>
          </cell>
          <cell r="I1079">
            <v>10</v>
          </cell>
        </row>
        <row r="1080">
          <cell r="D1080" t="str">
            <v>Female BB RS-775 12</v>
          </cell>
          <cell r="E1080">
            <v>10</v>
          </cell>
          <cell r="F1080">
            <v>5</v>
          </cell>
          <cell r="G1080">
            <v>0</v>
          </cell>
          <cell r="H1080">
            <v>0</v>
          </cell>
          <cell r="I1080">
            <v>10</v>
          </cell>
        </row>
        <row r="1081">
          <cell r="D1081" t="str">
            <v>Female BB RS-775 15</v>
          </cell>
          <cell r="E1081">
            <v>10</v>
          </cell>
          <cell r="F1081">
            <v>5</v>
          </cell>
          <cell r="G1081">
            <v>0</v>
          </cell>
          <cell r="H1081">
            <v>0</v>
          </cell>
          <cell r="I1081">
            <v>7</v>
          </cell>
        </row>
        <row r="1082">
          <cell r="D1082" t="str">
            <v>Female BB RS-775 16</v>
          </cell>
          <cell r="E1082">
            <v>10</v>
          </cell>
          <cell r="F1082">
            <v>5</v>
          </cell>
          <cell r="G1082">
            <v>0</v>
          </cell>
          <cell r="H1082">
            <v>0</v>
          </cell>
          <cell r="I1082">
            <v>7</v>
          </cell>
        </row>
        <row r="1083">
          <cell r="D1083" t="str">
            <v>Female BB RS-775 20</v>
          </cell>
          <cell r="E1083">
            <v>10</v>
          </cell>
          <cell r="F1083">
            <v>4</v>
          </cell>
          <cell r="G1083">
            <v>0</v>
          </cell>
          <cell r="H1083">
            <v>0</v>
          </cell>
          <cell r="I1083">
            <v>5</v>
          </cell>
        </row>
        <row r="1084">
          <cell r="D1084" t="str">
            <v>Female BB RS-775 21</v>
          </cell>
          <cell r="E1084">
            <v>10</v>
          </cell>
          <cell r="F1084">
            <v>4</v>
          </cell>
          <cell r="G1084">
            <v>0</v>
          </cell>
          <cell r="H1084">
            <v>0</v>
          </cell>
          <cell r="I1084">
            <v>5</v>
          </cell>
        </row>
        <row r="1085">
          <cell r="D1085" t="str">
            <v>Female BB RS-775 25</v>
          </cell>
          <cell r="E1085">
            <v>7</v>
          </cell>
          <cell r="F1085">
            <v>3</v>
          </cell>
          <cell r="G1085">
            <v>0</v>
          </cell>
          <cell r="H1085">
            <v>0</v>
          </cell>
          <cell r="I1085">
            <v>5</v>
          </cell>
        </row>
        <row r="1086">
          <cell r="D1086" t="str">
            <v>Female BB RS-775 27</v>
          </cell>
          <cell r="E1086">
            <v>7</v>
          </cell>
          <cell r="F1086">
            <v>3</v>
          </cell>
          <cell r="G1086">
            <v>0</v>
          </cell>
          <cell r="H1086">
            <v>0</v>
          </cell>
          <cell r="I1086">
            <v>4</v>
          </cell>
        </row>
        <row r="1087">
          <cell r="D1087" t="str">
            <v>Female BB RS-775 28</v>
          </cell>
          <cell r="E1087">
            <v>7</v>
          </cell>
          <cell r="F1087">
            <v>3</v>
          </cell>
          <cell r="G1087">
            <v>0</v>
          </cell>
          <cell r="H1087">
            <v>0</v>
          </cell>
          <cell r="I1087">
            <v>4</v>
          </cell>
        </row>
        <row r="1088">
          <cell r="D1088" t="str">
            <v>Female BB RS-775 30</v>
          </cell>
          <cell r="E1088">
            <v>7</v>
          </cell>
          <cell r="F1088">
            <v>3</v>
          </cell>
          <cell r="G1088">
            <v>0</v>
          </cell>
          <cell r="H1088">
            <v>0</v>
          </cell>
          <cell r="I1088">
            <v>4</v>
          </cell>
        </row>
        <row r="1089">
          <cell r="D1089" t="str">
            <v>Female BB RS-775 35</v>
          </cell>
          <cell r="E1089">
            <v>5</v>
          </cell>
          <cell r="F1089">
            <v>1</v>
          </cell>
          <cell r="G1089">
            <v>0</v>
          </cell>
          <cell r="H1089">
            <v>0</v>
          </cell>
          <cell r="I1089">
            <v>3</v>
          </cell>
        </row>
        <row r="1090">
          <cell r="D1090" t="str">
            <v>Female BB RS-775 36</v>
          </cell>
          <cell r="E1090">
            <v>5</v>
          </cell>
          <cell r="F1090">
            <v>1</v>
          </cell>
          <cell r="G1090">
            <v>0</v>
          </cell>
          <cell r="H1090">
            <v>0</v>
          </cell>
          <cell r="I1090">
            <v>3</v>
          </cell>
        </row>
        <row r="1091">
          <cell r="D1091" t="str">
            <v>Female BB RS-775 40</v>
          </cell>
          <cell r="E1091">
            <v>5</v>
          </cell>
          <cell r="F1091">
            <v>1</v>
          </cell>
          <cell r="G1091">
            <v>0</v>
          </cell>
          <cell r="H1091">
            <v>0</v>
          </cell>
          <cell r="I1091">
            <v>3</v>
          </cell>
        </row>
        <row r="1092">
          <cell r="D1092" t="str">
            <v>Female BB RS-775 45</v>
          </cell>
          <cell r="E1092">
            <v>5</v>
          </cell>
          <cell r="F1092">
            <v>1</v>
          </cell>
          <cell r="G1092">
            <v>0</v>
          </cell>
          <cell r="H1092">
            <v>0</v>
          </cell>
          <cell r="I1092">
            <v>1</v>
          </cell>
        </row>
        <row r="1093">
          <cell r="D1093" t="str">
            <v>Female BB RS-775 49</v>
          </cell>
          <cell r="E1093">
            <v>5</v>
          </cell>
          <cell r="F1093">
            <v>1</v>
          </cell>
          <cell r="G1093">
            <v>0</v>
          </cell>
          <cell r="H1093">
            <v>0</v>
          </cell>
          <cell r="I1093">
            <v>1</v>
          </cell>
        </row>
        <row r="1094">
          <cell r="D1094" t="str">
            <v>Female BB RS-775 50</v>
          </cell>
          <cell r="E1094">
            <v>5</v>
          </cell>
          <cell r="F1094">
            <v>1</v>
          </cell>
          <cell r="G1094">
            <v>0</v>
          </cell>
          <cell r="H1094">
            <v>0</v>
          </cell>
          <cell r="I1094">
            <v>1</v>
          </cell>
        </row>
        <row r="1095">
          <cell r="D1095" t="str">
            <v>Female BB RS-775 63</v>
          </cell>
          <cell r="E1095">
            <v>5</v>
          </cell>
          <cell r="F1095">
            <v>0</v>
          </cell>
          <cell r="G1095">
            <v>0</v>
          </cell>
          <cell r="H1095">
            <v>0</v>
          </cell>
          <cell r="I1095">
            <v>1</v>
          </cell>
        </row>
        <row r="1096">
          <cell r="D1096" t="str">
            <v>Female BB RS-775 70</v>
          </cell>
          <cell r="E1096">
            <v>4</v>
          </cell>
          <cell r="F1096">
            <v>0</v>
          </cell>
          <cell r="G1096">
            <v>0</v>
          </cell>
          <cell r="H1096">
            <v>0</v>
          </cell>
          <cell r="I1096">
            <v>1</v>
          </cell>
        </row>
        <row r="1097">
          <cell r="D1097" t="str">
            <v>Female BB RS-775 81</v>
          </cell>
          <cell r="E1097">
            <v>4</v>
          </cell>
          <cell r="F1097">
            <v>0</v>
          </cell>
          <cell r="G1097">
            <v>0</v>
          </cell>
          <cell r="H1097">
            <v>0</v>
          </cell>
          <cell r="I1097">
            <v>1</v>
          </cell>
        </row>
        <row r="1098">
          <cell r="D1098" t="str">
            <v>Female BB RS-775 90</v>
          </cell>
          <cell r="E1098">
            <v>3</v>
          </cell>
          <cell r="F1098">
            <v>0</v>
          </cell>
          <cell r="G1098">
            <v>0</v>
          </cell>
          <cell r="H1098">
            <v>0</v>
          </cell>
          <cell r="I1098">
            <v>1</v>
          </cell>
        </row>
        <row r="1099">
          <cell r="D1099" t="str">
            <v>Female BB RS-775 100</v>
          </cell>
          <cell r="E1099">
            <v>3</v>
          </cell>
          <cell r="F1099">
            <v>0</v>
          </cell>
          <cell r="G1099">
            <v>0</v>
          </cell>
          <cell r="H1099">
            <v>0</v>
          </cell>
          <cell r="I1099">
            <v>1</v>
          </cell>
        </row>
        <row r="1100">
          <cell r="D1100" t="str">
            <v>Female BAG Motor -3</v>
          </cell>
          <cell r="E1100">
            <v>1</v>
          </cell>
          <cell r="F1100">
            <v>1</v>
          </cell>
          <cell r="G1100">
            <v>1</v>
          </cell>
          <cell r="H1100">
            <v>0</v>
          </cell>
          <cell r="I1100">
            <v>1</v>
          </cell>
        </row>
        <row r="1101">
          <cell r="D1101" t="str">
            <v>Female BAG Motor -4</v>
          </cell>
          <cell r="E1101">
            <v>1</v>
          </cell>
          <cell r="F1101">
            <v>1</v>
          </cell>
          <cell r="G1101">
            <v>1</v>
          </cell>
          <cell r="H1101">
            <v>0</v>
          </cell>
          <cell r="I1101">
            <v>1</v>
          </cell>
        </row>
        <row r="1102">
          <cell r="D1102" t="str">
            <v>Female BAG Motor -5</v>
          </cell>
          <cell r="E1102">
            <v>1</v>
          </cell>
          <cell r="F1102">
            <v>1</v>
          </cell>
          <cell r="G1102">
            <v>1</v>
          </cell>
          <cell r="H1102">
            <v>0</v>
          </cell>
          <cell r="I1102">
            <v>1</v>
          </cell>
        </row>
        <row r="1103">
          <cell r="D1103" t="str">
            <v>Female BAG Motor -7</v>
          </cell>
          <cell r="E1103">
            <v>1</v>
          </cell>
          <cell r="F1103">
            <v>1</v>
          </cell>
          <cell r="G1103">
            <v>1</v>
          </cell>
          <cell r="H1103">
            <v>0</v>
          </cell>
          <cell r="I1103">
            <v>1</v>
          </cell>
        </row>
        <row r="1104">
          <cell r="D1104" t="str">
            <v>Female BAG Motor -9</v>
          </cell>
          <cell r="E1104">
            <v>1</v>
          </cell>
          <cell r="F1104">
            <v>1</v>
          </cell>
          <cell r="G1104">
            <v>0</v>
          </cell>
          <cell r="H1104">
            <v>0</v>
          </cell>
          <cell r="I1104">
            <v>1</v>
          </cell>
        </row>
        <row r="1105">
          <cell r="D1105" t="str">
            <v>Female BAG Motor -10</v>
          </cell>
          <cell r="E1105">
            <v>1</v>
          </cell>
          <cell r="F1105">
            <v>1</v>
          </cell>
          <cell r="G1105">
            <v>0</v>
          </cell>
          <cell r="H1105">
            <v>0</v>
          </cell>
          <cell r="I1105">
            <v>1</v>
          </cell>
        </row>
        <row r="1106">
          <cell r="D1106" t="str">
            <v>Female BAG Motor 9</v>
          </cell>
          <cell r="E1106">
            <v>10</v>
          </cell>
          <cell r="F1106">
            <v>10</v>
          </cell>
          <cell r="G1106">
            <v>1</v>
          </cell>
          <cell r="H1106">
            <v>0</v>
          </cell>
          <cell r="I1106">
            <v>9</v>
          </cell>
        </row>
        <row r="1107">
          <cell r="D1107" t="str">
            <v>Female BAG Motor 12</v>
          </cell>
          <cell r="E1107">
            <v>10</v>
          </cell>
          <cell r="F1107">
            <v>9</v>
          </cell>
          <cell r="G1107">
            <v>1</v>
          </cell>
          <cell r="H1107">
            <v>0</v>
          </cell>
          <cell r="I1107">
            <v>5</v>
          </cell>
        </row>
        <row r="1108">
          <cell r="D1108" t="str">
            <v>Female BAG Motor 15</v>
          </cell>
          <cell r="E1108">
            <v>10</v>
          </cell>
          <cell r="F1108">
            <v>7</v>
          </cell>
          <cell r="G1108">
            <v>0</v>
          </cell>
          <cell r="H1108">
            <v>0</v>
          </cell>
          <cell r="I1108">
            <v>5</v>
          </cell>
        </row>
        <row r="1109">
          <cell r="D1109" t="str">
            <v>Female BAG Motor 16</v>
          </cell>
          <cell r="E1109">
            <v>10</v>
          </cell>
          <cell r="F1109">
            <v>5</v>
          </cell>
          <cell r="G1109">
            <v>0</v>
          </cell>
          <cell r="H1109">
            <v>0</v>
          </cell>
          <cell r="I1109">
            <v>5</v>
          </cell>
        </row>
        <row r="1110">
          <cell r="D1110" t="str">
            <v>Female BAG Motor 20</v>
          </cell>
          <cell r="E1110">
            <v>9</v>
          </cell>
          <cell r="F1110">
            <v>5</v>
          </cell>
          <cell r="G1110">
            <v>0</v>
          </cell>
          <cell r="H1110">
            <v>0</v>
          </cell>
          <cell r="I1110">
            <v>4</v>
          </cell>
        </row>
        <row r="1111">
          <cell r="D1111" t="str">
            <v>Female BAG Motor 21</v>
          </cell>
          <cell r="E1111">
            <v>9</v>
          </cell>
          <cell r="F1111">
            <v>5</v>
          </cell>
          <cell r="G1111">
            <v>0</v>
          </cell>
          <cell r="H1111">
            <v>0</v>
          </cell>
          <cell r="I1111">
            <v>3</v>
          </cell>
        </row>
        <row r="1112">
          <cell r="D1112" t="str">
            <v>Female BAG Motor 25</v>
          </cell>
          <cell r="E1112">
            <v>7</v>
          </cell>
          <cell r="F1112">
            <v>5</v>
          </cell>
          <cell r="G1112">
            <v>0</v>
          </cell>
          <cell r="H1112">
            <v>0</v>
          </cell>
          <cell r="I1112">
            <v>3</v>
          </cell>
        </row>
        <row r="1113">
          <cell r="D1113" t="str">
            <v>Female BAG Motor 27</v>
          </cell>
          <cell r="E1113">
            <v>7</v>
          </cell>
          <cell r="F1113">
            <v>5</v>
          </cell>
          <cell r="G1113">
            <v>0</v>
          </cell>
          <cell r="H1113">
            <v>0</v>
          </cell>
          <cell r="I1113">
            <v>3</v>
          </cell>
        </row>
        <row r="1114">
          <cell r="D1114" t="str">
            <v>Female BAG Motor 28</v>
          </cell>
          <cell r="E1114">
            <v>7</v>
          </cell>
          <cell r="F1114">
            <v>5</v>
          </cell>
          <cell r="G1114">
            <v>0</v>
          </cell>
          <cell r="H1114">
            <v>0</v>
          </cell>
          <cell r="I1114">
            <v>1</v>
          </cell>
        </row>
        <row r="1115">
          <cell r="D1115" t="str">
            <v>Female BAG Motor 30</v>
          </cell>
          <cell r="E1115">
            <v>5</v>
          </cell>
          <cell r="F1115">
            <v>5</v>
          </cell>
          <cell r="G1115">
            <v>0</v>
          </cell>
          <cell r="H1115">
            <v>0</v>
          </cell>
          <cell r="I1115">
            <v>1</v>
          </cell>
        </row>
        <row r="1116">
          <cell r="D1116" t="str">
            <v>Female BAG Motor 35</v>
          </cell>
          <cell r="E1116">
            <v>5</v>
          </cell>
          <cell r="F1116">
            <v>4</v>
          </cell>
          <cell r="G1116">
            <v>0</v>
          </cell>
          <cell r="H1116">
            <v>0</v>
          </cell>
          <cell r="I1116">
            <v>1</v>
          </cell>
        </row>
        <row r="1117">
          <cell r="D1117" t="str">
            <v>Female BAG Motor 36</v>
          </cell>
          <cell r="E1117">
            <v>5</v>
          </cell>
          <cell r="F1117">
            <v>4</v>
          </cell>
          <cell r="G1117">
            <v>0</v>
          </cell>
          <cell r="H1117">
            <v>0</v>
          </cell>
          <cell r="I1117">
            <v>1</v>
          </cell>
        </row>
        <row r="1118">
          <cell r="D1118" t="str">
            <v>Female BAG Motor 40</v>
          </cell>
          <cell r="E1118">
            <v>5</v>
          </cell>
          <cell r="F1118">
            <v>4</v>
          </cell>
          <cell r="G1118">
            <v>0</v>
          </cell>
          <cell r="H1118">
            <v>0</v>
          </cell>
          <cell r="I1118">
            <v>1</v>
          </cell>
        </row>
        <row r="1119">
          <cell r="D1119" t="str">
            <v>Female BAG Motor 45</v>
          </cell>
          <cell r="E1119">
            <v>5</v>
          </cell>
          <cell r="F1119">
            <v>3</v>
          </cell>
          <cell r="G1119">
            <v>0</v>
          </cell>
          <cell r="H1119">
            <v>0</v>
          </cell>
          <cell r="I1119">
            <v>1</v>
          </cell>
        </row>
        <row r="1120">
          <cell r="D1120" t="str">
            <v>Female BAG Motor 49</v>
          </cell>
          <cell r="E1120">
            <v>5</v>
          </cell>
          <cell r="F1120">
            <v>3</v>
          </cell>
          <cell r="G1120">
            <v>0</v>
          </cell>
          <cell r="H1120">
            <v>0</v>
          </cell>
          <cell r="I1120">
            <v>1</v>
          </cell>
        </row>
        <row r="1121">
          <cell r="D1121" t="str">
            <v>Female BAG Motor 50</v>
          </cell>
          <cell r="E1121">
            <v>5</v>
          </cell>
          <cell r="F1121">
            <v>3</v>
          </cell>
          <cell r="G1121">
            <v>0</v>
          </cell>
          <cell r="H1121">
            <v>0</v>
          </cell>
          <cell r="I1121">
            <v>1</v>
          </cell>
        </row>
        <row r="1122">
          <cell r="D1122" t="str">
            <v>Female BAG Motor 63</v>
          </cell>
          <cell r="E1122">
            <v>4</v>
          </cell>
          <cell r="F1122">
            <v>1</v>
          </cell>
          <cell r="G1122">
            <v>0</v>
          </cell>
          <cell r="H1122">
            <v>0</v>
          </cell>
          <cell r="I1122">
            <v>1</v>
          </cell>
        </row>
        <row r="1123">
          <cell r="D1123" t="str">
            <v>Female BAG Motor 70</v>
          </cell>
          <cell r="E1123">
            <v>4</v>
          </cell>
          <cell r="F1123">
            <v>1</v>
          </cell>
          <cell r="G1123">
            <v>0</v>
          </cell>
          <cell r="H1123">
            <v>0</v>
          </cell>
          <cell r="I1123">
            <v>1</v>
          </cell>
        </row>
        <row r="1124">
          <cell r="D1124" t="str">
            <v>Female BAG Motor 81</v>
          </cell>
          <cell r="E1124">
            <v>3</v>
          </cell>
          <cell r="F1124">
            <v>1</v>
          </cell>
          <cell r="G1124">
            <v>0</v>
          </cell>
          <cell r="H1124">
            <v>0</v>
          </cell>
          <cell r="I1124">
            <v>1</v>
          </cell>
        </row>
        <row r="1125">
          <cell r="D1125" t="str">
            <v>Female BAG Motor 90</v>
          </cell>
          <cell r="E1125">
            <v>3</v>
          </cell>
          <cell r="F1125">
            <v>1</v>
          </cell>
          <cell r="G1125">
            <v>0</v>
          </cell>
          <cell r="H1125">
            <v>0</v>
          </cell>
          <cell r="I1125">
            <v>0</v>
          </cell>
        </row>
        <row r="1126">
          <cell r="D1126" t="str">
            <v>Female BAG Motor 100</v>
          </cell>
          <cell r="E1126">
            <v>3</v>
          </cell>
          <cell r="F1126">
            <v>1</v>
          </cell>
          <cell r="G1126">
            <v>0</v>
          </cell>
          <cell r="H1126">
            <v>0</v>
          </cell>
          <cell r="I1126">
            <v>0</v>
          </cell>
        </row>
        <row r="1127">
          <cell r="D1127" t="str">
            <v>Female 775pro -3</v>
          </cell>
          <cell r="E1127">
            <v>1</v>
          </cell>
          <cell r="F1127">
            <v>1</v>
          </cell>
          <cell r="G1127">
            <v>1</v>
          </cell>
          <cell r="H1127">
            <v>0</v>
          </cell>
          <cell r="I1127">
            <v>1</v>
          </cell>
        </row>
        <row r="1128">
          <cell r="D1128" t="str">
            <v>Female 775pro -4</v>
          </cell>
          <cell r="E1128">
            <v>1</v>
          </cell>
          <cell r="F1128">
            <v>1</v>
          </cell>
          <cell r="G1128">
            <v>1</v>
          </cell>
          <cell r="H1128">
            <v>0</v>
          </cell>
          <cell r="I1128">
            <v>1</v>
          </cell>
        </row>
        <row r="1129">
          <cell r="D1129" t="str">
            <v>Female 775pro -5</v>
          </cell>
          <cell r="E1129">
            <v>1</v>
          </cell>
          <cell r="F1129">
            <v>1</v>
          </cell>
          <cell r="G1129">
            <v>1</v>
          </cell>
          <cell r="H1129">
            <v>0</v>
          </cell>
          <cell r="I1129">
            <v>1</v>
          </cell>
        </row>
        <row r="1130">
          <cell r="D1130" t="str">
            <v>Female 775pro -7</v>
          </cell>
          <cell r="E1130">
            <v>1</v>
          </cell>
          <cell r="F1130">
            <v>1</v>
          </cell>
          <cell r="G1130">
            <v>0</v>
          </cell>
          <cell r="H1130">
            <v>0</v>
          </cell>
          <cell r="I1130">
            <v>1</v>
          </cell>
        </row>
        <row r="1131">
          <cell r="D1131" t="str">
            <v>Female 775pro -9</v>
          </cell>
          <cell r="E1131">
            <v>1</v>
          </cell>
          <cell r="F1131">
            <v>1</v>
          </cell>
          <cell r="G1131">
            <v>0</v>
          </cell>
          <cell r="H1131">
            <v>0</v>
          </cell>
          <cell r="I1131">
            <v>1</v>
          </cell>
        </row>
        <row r="1132">
          <cell r="D1132" t="str">
            <v>Female 775pro -10</v>
          </cell>
          <cell r="E1132">
            <v>1</v>
          </cell>
          <cell r="F1132">
            <v>1</v>
          </cell>
          <cell r="G1132">
            <v>0</v>
          </cell>
          <cell r="H1132">
            <v>0</v>
          </cell>
          <cell r="I1132">
            <v>1</v>
          </cell>
        </row>
        <row r="1133">
          <cell r="D1133" t="str">
            <v>Female 775pro 9</v>
          </cell>
          <cell r="E1133">
            <v>10</v>
          </cell>
          <cell r="F1133">
            <v>7</v>
          </cell>
          <cell r="G1133">
            <v>0</v>
          </cell>
          <cell r="H1133">
            <v>0</v>
          </cell>
          <cell r="I1133">
            <v>5</v>
          </cell>
        </row>
        <row r="1134">
          <cell r="D1134" t="str">
            <v>Female 775pro 12</v>
          </cell>
          <cell r="E1134">
            <v>10</v>
          </cell>
          <cell r="F1134">
            <v>5</v>
          </cell>
          <cell r="G1134">
            <v>0</v>
          </cell>
          <cell r="H1134">
            <v>0</v>
          </cell>
          <cell r="I1134">
            <v>4</v>
          </cell>
        </row>
        <row r="1135">
          <cell r="D1135" t="str">
            <v>Female 775pro 15</v>
          </cell>
          <cell r="E1135">
            <v>9</v>
          </cell>
          <cell r="F1135">
            <v>5</v>
          </cell>
          <cell r="G1135">
            <v>0</v>
          </cell>
          <cell r="H1135">
            <v>0</v>
          </cell>
          <cell r="I1135">
            <v>3</v>
          </cell>
        </row>
        <row r="1136">
          <cell r="D1136" t="str">
            <v>Female 775pro 16</v>
          </cell>
          <cell r="E1136">
            <v>7</v>
          </cell>
          <cell r="F1136">
            <v>5</v>
          </cell>
          <cell r="G1136">
            <v>0</v>
          </cell>
          <cell r="H1136">
            <v>0</v>
          </cell>
          <cell r="I1136">
            <v>3</v>
          </cell>
        </row>
        <row r="1137">
          <cell r="D1137" t="str">
            <v>Female 775pro 20</v>
          </cell>
          <cell r="E1137">
            <v>5</v>
          </cell>
          <cell r="F1137">
            <v>5</v>
          </cell>
          <cell r="G1137">
            <v>0</v>
          </cell>
          <cell r="H1137">
            <v>0</v>
          </cell>
          <cell r="I1137">
            <v>1</v>
          </cell>
        </row>
        <row r="1138">
          <cell r="D1138" t="str">
            <v>Female 775pro 21</v>
          </cell>
          <cell r="E1138">
            <v>5</v>
          </cell>
          <cell r="F1138">
            <v>5</v>
          </cell>
          <cell r="G1138">
            <v>0</v>
          </cell>
          <cell r="H1138">
            <v>0</v>
          </cell>
          <cell r="I1138">
            <v>1</v>
          </cell>
        </row>
        <row r="1139">
          <cell r="D1139" t="str">
            <v>Female 775pro 25</v>
          </cell>
          <cell r="E1139">
            <v>5</v>
          </cell>
          <cell r="F1139">
            <v>4</v>
          </cell>
          <cell r="G1139">
            <v>0</v>
          </cell>
          <cell r="H1139">
            <v>0</v>
          </cell>
          <cell r="I1139">
            <v>1</v>
          </cell>
        </row>
        <row r="1140">
          <cell r="D1140" t="str">
            <v>Female 775pro 27</v>
          </cell>
          <cell r="E1140">
            <v>5</v>
          </cell>
          <cell r="F1140">
            <v>4</v>
          </cell>
          <cell r="G1140">
            <v>0</v>
          </cell>
          <cell r="H1140">
            <v>0</v>
          </cell>
          <cell r="I1140">
            <v>1</v>
          </cell>
        </row>
        <row r="1141">
          <cell r="D1141" t="str">
            <v>Female 775pro 28</v>
          </cell>
          <cell r="E1141">
            <v>5</v>
          </cell>
          <cell r="F1141">
            <v>3</v>
          </cell>
          <cell r="G1141">
            <v>0</v>
          </cell>
          <cell r="H1141">
            <v>0</v>
          </cell>
          <cell r="I1141">
            <v>1</v>
          </cell>
        </row>
        <row r="1142">
          <cell r="D1142" t="str">
            <v>Female 775pro 30</v>
          </cell>
          <cell r="E1142">
            <v>5</v>
          </cell>
          <cell r="F1142">
            <v>3</v>
          </cell>
          <cell r="G1142">
            <v>0</v>
          </cell>
          <cell r="H1142">
            <v>0</v>
          </cell>
          <cell r="I1142">
            <v>1</v>
          </cell>
        </row>
        <row r="1143">
          <cell r="D1143" t="str">
            <v>Female 775pro 35</v>
          </cell>
          <cell r="E1143">
            <v>5</v>
          </cell>
          <cell r="F1143">
            <v>3</v>
          </cell>
          <cell r="G1143">
            <v>0</v>
          </cell>
          <cell r="H1143">
            <v>0</v>
          </cell>
          <cell r="I1143">
            <v>1</v>
          </cell>
        </row>
        <row r="1144">
          <cell r="D1144" t="str">
            <v>Female 775pro 36</v>
          </cell>
          <cell r="E1144">
            <v>5</v>
          </cell>
          <cell r="F1144">
            <v>3</v>
          </cell>
          <cell r="G1144">
            <v>0</v>
          </cell>
          <cell r="H1144">
            <v>0</v>
          </cell>
          <cell r="I1144">
            <v>1</v>
          </cell>
        </row>
        <row r="1145">
          <cell r="D1145" t="str">
            <v>Female 775pro 40</v>
          </cell>
          <cell r="E1145">
            <v>5</v>
          </cell>
          <cell r="F1145">
            <v>1</v>
          </cell>
          <cell r="G1145">
            <v>0</v>
          </cell>
          <cell r="H1145">
            <v>0</v>
          </cell>
          <cell r="I1145">
            <v>1</v>
          </cell>
        </row>
        <row r="1146">
          <cell r="D1146" t="str">
            <v>Female 775pro 45</v>
          </cell>
          <cell r="E1146">
            <v>4</v>
          </cell>
          <cell r="F1146">
            <v>1</v>
          </cell>
          <cell r="G1146">
            <v>0</v>
          </cell>
          <cell r="H1146">
            <v>0</v>
          </cell>
          <cell r="I1146">
            <v>1</v>
          </cell>
        </row>
        <row r="1147">
          <cell r="D1147" t="str">
            <v>Female 775pro 49</v>
          </cell>
          <cell r="E1147">
            <v>4</v>
          </cell>
          <cell r="F1147">
            <v>1</v>
          </cell>
          <cell r="G1147">
            <v>0</v>
          </cell>
          <cell r="H1147">
            <v>0</v>
          </cell>
          <cell r="I1147">
            <v>1</v>
          </cell>
        </row>
        <row r="1148">
          <cell r="D1148" t="str">
            <v>Female 775pro 50</v>
          </cell>
          <cell r="E1148">
            <v>4</v>
          </cell>
          <cell r="F1148">
            <v>1</v>
          </cell>
          <cell r="G1148">
            <v>0</v>
          </cell>
          <cell r="H1148">
            <v>0</v>
          </cell>
          <cell r="I1148">
            <v>0</v>
          </cell>
        </row>
        <row r="1149">
          <cell r="D1149" t="str">
            <v>Female 775pro 63</v>
          </cell>
          <cell r="E1149">
            <v>3</v>
          </cell>
          <cell r="F1149">
            <v>1</v>
          </cell>
          <cell r="G1149">
            <v>0</v>
          </cell>
          <cell r="H1149">
            <v>0</v>
          </cell>
          <cell r="I1149">
            <v>0</v>
          </cell>
        </row>
        <row r="1150">
          <cell r="D1150" t="str">
            <v>Female 775pro 70</v>
          </cell>
          <cell r="E1150">
            <v>3</v>
          </cell>
          <cell r="F1150">
            <v>0</v>
          </cell>
          <cell r="G1150">
            <v>0</v>
          </cell>
          <cell r="H1150">
            <v>0</v>
          </cell>
          <cell r="I1150">
            <v>0</v>
          </cell>
        </row>
        <row r="1151">
          <cell r="D1151" t="str">
            <v>Female 775pro 81</v>
          </cell>
          <cell r="E1151">
            <v>1</v>
          </cell>
          <cell r="F1151">
            <v>0</v>
          </cell>
          <cell r="G1151">
            <v>0</v>
          </cell>
          <cell r="H1151">
            <v>0</v>
          </cell>
          <cell r="I1151">
            <v>0</v>
          </cell>
        </row>
        <row r="1152">
          <cell r="D1152" t="str">
            <v>Female 775pro 90</v>
          </cell>
          <cell r="E1152">
            <v>1</v>
          </cell>
          <cell r="F1152">
            <v>0</v>
          </cell>
          <cell r="G1152">
            <v>0</v>
          </cell>
          <cell r="H1152">
            <v>0</v>
          </cell>
          <cell r="I1152">
            <v>0</v>
          </cell>
        </row>
        <row r="1153">
          <cell r="D1153" t="str">
            <v>Female 775pro 100</v>
          </cell>
          <cell r="E1153">
            <v>1</v>
          </cell>
          <cell r="F1153">
            <v>0</v>
          </cell>
          <cell r="G1153">
            <v>0</v>
          </cell>
          <cell r="H1153">
            <v>0</v>
          </cell>
          <cell r="I1153">
            <v>0</v>
          </cell>
        </row>
        <row r="1154">
          <cell r="D1154" t="str">
            <v>Female Mini CIM -3</v>
          </cell>
          <cell r="E1154">
            <v>1</v>
          </cell>
          <cell r="I1154">
            <v>0</v>
          </cell>
        </row>
        <row r="1155">
          <cell r="D1155" t="str">
            <v>Female Mini CIM -4</v>
          </cell>
          <cell r="E1155">
            <v>1</v>
          </cell>
          <cell r="I1155">
            <v>0</v>
          </cell>
        </row>
        <row r="1156">
          <cell r="D1156" t="str">
            <v>Female Mini CIM -5</v>
          </cell>
          <cell r="E1156">
            <v>1</v>
          </cell>
          <cell r="I1156">
            <v>0</v>
          </cell>
        </row>
        <row r="1157">
          <cell r="D1157" t="str">
            <v>Female Mini CIM -7</v>
          </cell>
          <cell r="E1157">
            <v>1</v>
          </cell>
          <cell r="I1157">
            <v>0</v>
          </cell>
        </row>
        <row r="1158">
          <cell r="D1158" t="str">
            <v>Female Mini CIM -9</v>
          </cell>
          <cell r="E1158">
            <v>1</v>
          </cell>
          <cell r="I1158">
            <v>0</v>
          </cell>
        </row>
        <row r="1159">
          <cell r="D1159" t="str">
            <v>Female Mini CIM -10</v>
          </cell>
          <cell r="E1159">
            <v>1</v>
          </cell>
          <cell r="I1159">
            <v>0</v>
          </cell>
        </row>
        <row r="1160">
          <cell r="D1160" t="str">
            <v>Female Mini CIM 9</v>
          </cell>
          <cell r="E1160">
            <v>7</v>
          </cell>
          <cell r="I1160">
            <v>0</v>
          </cell>
        </row>
        <row r="1161">
          <cell r="D1161" t="str">
            <v>Female Mini CIM 12</v>
          </cell>
          <cell r="E1161">
            <v>5</v>
          </cell>
          <cell r="I1161">
            <v>0</v>
          </cell>
        </row>
        <row r="1162">
          <cell r="D1162" t="str">
            <v>Female Mini CIM 15</v>
          </cell>
          <cell r="E1162">
            <v>5</v>
          </cell>
          <cell r="I1162">
            <v>0</v>
          </cell>
        </row>
        <row r="1163">
          <cell r="D1163" t="str">
            <v>Female Mini CIM 16</v>
          </cell>
          <cell r="E1163">
            <v>5</v>
          </cell>
          <cell r="I1163">
            <v>0</v>
          </cell>
        </row>
        <row r="1164">
          <cell r="D1164" t="str">
            <v>Female Mini CIM 20</v>
          </cell>
          <cell r="E1164">
            <v>5</v>
          </cell>
          <cell r="I1164">
            <v>0</v>
          </cell>
        </row>
        <row r="1165">
          <cell r="D1165" t="str">
            <v>Female Mini CIM 21</v>
          </cell>
          <cell r="E1165">
            <v>5</v>
          </cell>
          <cell r="I1165">
            <v>0</v>
          </cell>
        </row>
        <row r="1166">
          <cell r="D1166" t="str">
            <v>Female Mini CIM 25</v>
          </cell>
          <cell r="E1166">
            <v>4</v>
          </cell>
          <cell r="I1166">
            <v>0</v>
          </cell>
        </row>
        <row r="1167">
          <cell r="D1167" t="str">
            <v>Female Mini CIM 27</v>
          </cell>
          <cell r="E1167">
            <v>4</v>
          </cell>
          <cell r="I1167">
            <v>0</v>
          </cell>
        </row>
        <row r="1168">
          <cell r="D1168" t="str">
            <v>Female Mini CIM 28</v>
          </cell>
          <cell r="E1168">
            <v>3</v>
          </cell>
          <cell r="I1168">
            <v>0</v>
          </cell>
        </row>
        <row r="1169">
          <cell r="D1169" t="str">
            <v>Female Mini CIM 30</v>
          </cell>
          <cell r="E1169">
            <v>3</v>
          </cell>
          <cell r="I1169">
            <v>0</v>
          </cell>
        </row>
        <row r="1170">
          <cell r="D1170" t="str">
            <v>Female Mini CIM 35</v>
          </cell>
          <cell r="E1170">
            <v>3</v>
          </cell>
          <cell r="I1170">
            <v>0</v>
          </cell>
        </row>
        <row r="1171">
          <cell r="D1171" t="str">
            <v>Female Mini CIM 36</v>
          </cell>
          <cell r="E1171">
            <v>3</v>
          </cell>
          <cell r="I1171">
            <v>0</v>
          </cell>
        </row>
        <row r="1172">
          <cell r="D1172" t="str">
            <v>Female Mini CIM 40</v>
          </cell>
          <cell r="E1172">
            <v>1</v>
          </cell>
          <cell r="I1172">
            <v>0</v>
          </cell>
        </row>
        <row r="1173">
          <cell r="D1173" t="str">
            <v>Female Mini CIM 45</v>
          </cell>
          <cell r="E1173">
            <v>1</v>
          </cell>
          <cell r="I1173">
            <v>0</v>
          </cell>
        </row>
        <row r="1174">
          <cell r="D1174" t="str">
            <v>Female Mini CIM 49</v>
          </cell>
          <cell r="E1174">
            <v>1</v>
          </cell>
          <cell r="I1174">
            <v>0</v>
          </cell>
        </row>
        <row r="1175">
          <cell r="D1175" t="str">
            <v>Female Mini CIM 50</v>
          </cell>
          <cell r="E1175">
            <v>1</v>
          </cell>
          <cell r="I1175">
            <v>0</v>
          </cell>
        </row>
        <row r="1176">
          <cell r="D1176" t="str">
            <v>Female Mini CIM 63</v>
          </cell>
          <cell r="E1176">
            <v>1</v>
          </cell>
          <cell r="I1176">
            <v>0</v>
          </cell>
        </row>
        <row r="1177">
          <cell r="D1177" t="str">
            <v>Female Mini CIM 70</v>
          </cell>
          <cell r="E1177">
            <v>0</v>
          </cell>
          <cell r="I1177">
            <v>0</v>
          </cell>
        </row>
        <row r="1178">
          <cell r="D1178" t="str">
            <v>Female Mini CIM 81</v>
          </cell>
          <cell r="E1178">
            <v>0</v>
          </cell>
          <cell r="I1178">
            <v>0</v>
          </cell>
        </row>
        <row r="1179">
          <cell r="D1179" t="str">
            <v>Female Mini CIM 90</v>
          </cell>
          <cell r="E1179">
            <v>0</v>
          </cell>
          <cell r="I1179">
            <v>0</v>
          </cell>
        </row>
        <row r="1180">
          <cell r="D1180" t="str">
            <v>Female Mini CIM 100</v>
          </cell>
          <cell r="E1180">
            <v>0</v>
          </cell>
          <cell r="I1180">
            <v>0</v>
          </cell>
        </row>
        <row r="1181">
          <cell r="D1181" t="str">
            <v>Female CIM -3</v>
          </cell>
          <cell r="E1181">
            <v>1</v>
          </cell>
          <cell r="I1181">
            <v>0</v>
          </cell>
        </row>
        <row r="1182">
          <cell r="D1182" t="str">
            <v>Female CIM -4</v>
          </cell>
          <cell r="E1182">
            <v>1</v>
          </cell>
          <cell r="I1182">
            <v>0</v>
          </cell>
        </row>
        <row r="1183">
          <cell r="D1183" t="str">
            <v>Female CIM -5</v>
          </cell>
          <cell r="E1183">
            <v>1</v>
          </cell>
          <cell r="I1183">
            <v>0</v>
          </cell>
        </row>
        <row r="1184">
          <cell r="D1184" t="str">
            <v>Female CIM -7</v>
          </cell>
          <cell r="E1184">
            <v>1</v>
          </cell>
          <cell r="I1184">
            <v>0</v>
          </cell>
        </row>
        <row r="1185">
          <cell r="D1185" t="str">
            <v>Female CIM -9</v>
          </cell>
          <cell r="E1185">
            <v>1</v>
          </cell>
          <cell r="I1185">
            <v>0</v>
          </cell>
        </row>
        <row r="1186">
          <cell r="D1186" t="str">
            <v>Female CIM -10</v>
          </cell>
          <cell r="E1186">
            <v>1</v>
          </cell>
          <cell r="I1186">
            <v>0</v>
          </cell>
        </row>
        <row r="1187">
          <cell r="D1187" t="str">
            <v>Female CIM 9</v>
          </cell>
          <cell r="E1187">
            <v>5</v>
          </cell>
          <cell r="I1187">
            <v>0</v>
          </cell>
        </row>
        <row r="1188">
          <cell r="D1188" t="str">
            <v>Female CIM 12</v>
          </cell>
          <cell r="E1188">
            <v>5</v>
          </cell>
          <cell r="I1188">
            <v>0</v>
          </cell>
        </row>
        <row r="1189">
          <cell r="D1189" t="str">
            <v>Female CIM 15</v>
          </cell>
          <cell r="E1189">
            <v>4</v>
          </cell>
          <cell r="I1189">
            <v>0</v>
          </cell>
        </row>
        <row r="1190">
          <cell r="D1190" t="str">
            <v>Female CIM 16</v>
          </cell>
          <cell r="E1190">
            <v>4</v>
          </cell>
          <cell r="I1190">
            <v>0</v>
          </cell>
        </row>
        <row r="1191">
          <cell r="D1191" t="str">
            <v>Female CIM 20</v>
          </cell>
          <cell r="E1191">
            <v>3</v>
          </cell>
          <cell r="I1191">
            <v>0</v>
          </cell>
        </row>
        <row r="1192">
          <cell r="D1192" t="str">
            <v>Female CIM 21</v>
          </cell>
          <cell r="E1192">
            <v>3</v>
          </cell>
          <cell r="I1192">
            <v>0</v>
          </cell>
        </row>
        <row r="1193">
          <cell r="D1193" t="str">
            <v>Female CIM 25</v>
          </cell>
          <cell r="E1193">
            <v>1</v>
          </cell>
          <cell r="I1193">
            <v>0</v>
          </cell>
        </row>
        <row r="1194">
          <cell r="D1194" t="str">
            <v>Female CIM 27</v>
          </cell>
          <cell r="E1194">
            <v>1</v>
          </cell>
          <cell r="I1194">
            <v>0</v>
          </cell>
        </row>
        <row r="1195">
          <cell r="D1195" t="str">
            <v>Female CIM 28</v>
          </cell>
          <cell r="E1195">
            <v>1</v>
          </cell>
          <cell r="I1195">
            <v>0</v>
          </cell>
        </row>
        <row r="1196">
          <cell r="D1196" t="str">
            <v>Female CIM 30</v>
          </cell>
          <cell r="E1196">
            <v>1</v>
          </cell>
          <cell r="I1196">
            <v>0</v>
          </cell>
        </row>
        <row r="1197">
          <cell r="D1197" t="str">
            <v>Female CIM 35</v>
          </cell>
          <cell r="E1197">
            <v>1</v>
          </cell>
          <cell r="I1197">
            <v>0</v>
          </cell>
        </row>
        <row r="1198">
          <cell r="D1198" t="str">
            <v>Female CIM 36</v>
          </cell>
          <cell r="E1198">
            <v>1</v>
          </cell>
          <cell r="I1198">
            <v>0</v>
          </cell>
        </row>
        <row r="1199">
          <cell r="D1199" t="str">
            <v>Female CIM 40</v>
          </cell>
          <cell r="E1199">
            <v>1</v>
          </cell>
          <cell r="I1199">
            <v>0</v>
          </cell>
        </row>
        <row r="1200">
          <cell r="D1200" t="str">
            <v>Female CIM 45</v>
          </cell>
          <cell r="E1200">
            <v>1</v>
          </cell>
          <cell r="I1200">
            <v>0</v>
          </cell>
        </row>
        <row r="1201">
          <cell r="D1201" t="str">
            <v>Female CIM 49</v>
          </cell>
          <cell r="E1201">
            <v>0</v>
          </cell>
          <cell r="I1201">
            <v>0</v>
          </cell>
        </row>
        <row r="1202">
          <cell r="D1202" t="str">
            <v>Female CIM 50</v>
          </cell>
          <cell r="E1202">
            <v>1</v>
          </cell>
          <cell r="I1202">
            <v>0</v>
          </cell>
        </row>
        <row r="1203">
          <cell r="D1203" t="str">
            <v>Female CIM 63</v>
          </cell>
          <cell r="E1203">
            <v>0</v>
          </cell>
          <cell r="I1203">
            <v>0</v>
          </cell>
        </row>
        <row r="1204">
          <cell r="D1204" t="str">
            <v>Female CIM 70</v>
          </cell>
          <cell r="E1204">
            <v>0</v>
          </cell>
          <cell r="I1204">
            <v>0</v>
          </cell>
        </row>
        <row r="1205">
          <cell r="D1205" t="str">
            <v>Female CIM 81</v>
          </cell>
          <cell r="E1205">
            <v>0</v>
          </cell>
          <cell r="I1205">
            <v>0</v>
          </cell>
        </row>
        <row r="1206">
          <cell r="D1206" t="str">
            <v>Female CIM 90</v>
          </cell>
          <cell r="E1206">
            <v>0</v>
          </cell>
          <cell r="I1206">
            <v>0</v>
          </cell>
        </row>
        <row r="1207">
          <cell r="D1207" t="str">
            <v>Female CIM 100</v>
          </cell>
          <cell r="E1207">
            <v>0</v>
          </cell>
          <cell r="I1207">
            <v>0</v>
          </cell>
        </row>
        <row r="1208">
          <cell r="D1208" t="str">
            <v>Female NEO -3</v>
          </cell>
          <cell r="E1208">
            <v>1</v>
          </cell>
          <cell r="I1208">
            <v>0</v>
          </cell>
        </row>
        <row r="1209">
          <cell r="D1209" t="str">
            <v>Female NEO -4</v>
          </cell>
          <cell r="E1209">
            <v>1</v>
          </cell>
          <cell r="I1209">
            <v>0</v>
          </cell>
        </row>
        <row r="1210">
          <cell r="D1210" t="str">
            <v>Female NEO -5</v>
          </cell>
          <cell r="E1210">
            <v>1</v>
          </cell>
          <cell r="I1210">
            <v>0</v>
          </cell>
        </row>
        <row r="1211">
          <cell r="D1211" t="str">
            <v>Female NEO -7</v>
          </cell>
          <cell r="E1211">
            <v>1</v>
          </cell>
          <cell r="I1211">
            <v>0</v>
          </cell>
        </row>
        <row r="1212">
          <cell r="D1212" t="str">
            <v>Female NEO -9</v>
          </cell>
          <cell r="E1212">
            <v>1</v>
          </cell>
          <cell r="I1212">
            <v>0</v>
          </cell>
        </row>
        <row r="1213">
          <cell r="D1213" t="str">
            <v>Female NEO -10</v>
          </cell>
          <cell r="E1213">
            <v>1</v>
          </cell>
          <cell r="I1213">
            <v>0</v>
          </cell>
        </row>
        <row r="1214">
          <cell r="D1214" t="str">
            <v>Female NEO 9</v>
          </cell>
          <cell r="E1214">
            <v>5</v>
          </cell>
          <cell r="I1214">
            <v>0</v>
          </cell>
        </row>
        <row r="1215">
          <cell r="D1215" t="str">
            <v>Female NEO 12</v>
          </cell>
          <cell r="E1215">
            <v>3</v>
          </cell>
          <cell r="I1215">
            <v>0</v>
          </cell>
        </row>
        <row r="1216">
          <cell r="D1216" t="str">
            <v>Female NEO 15</v>
          </cell>
          <cell r="E1216">
            <v>3</v>
          </cell>
          <cell r="I1216">
            <v>0</v>
          </cell>
        </row>
        <row r="1217">
          <cell r="D1217" t="str">
            <v>Female NEO 16</v>
          </cell>
          <cell r="E1217">
            <v>1</v>
          </cell>
          <cell r="I1217">
            <v>0</v>
          </cell>
        </row>
        <row r="1218">
          <cell r="D1218" t="str">
            <v>Female NEO 20</v>
          </cell>
          <cell r="E1218">
            <v>1</v>
          </cell>
          <cell r="I1218">
            <v>0</v>
          </cell>
        </row>
        <row r="1219">
          <cell r="D1219" t="str">
            <v>Female NEO 21</v>
          </cell>
          <cell r="E1219">
            <v>1</v>
          </cell>
          <cell r="I1219">
            <v>0</v>
          </cell>
        </row>
        <row r="1220">
          <cell r="D1220" t="str">
            <v>Female NEO 25</v>
          </cell>
          <cell r="E1220">
            <v>1</v>
          </cell>
          <cell r="I1220">
            <v>0</v>
          </cell>
        </row>
        <row r="1221">
          <cell r="D1221" t="str">
            <v>Female NEO 27</v>
          </cell>
          <cell r="E1221">
            <v>1</v>
          </cell>
          <cell r="I1221">
            <v>0</v>
          </cell>
        </row>
        <row r="1222">
          <cell r="D1222" t="str">
            <v>Female NEO 28</v>
          </cell>
          <cell r="E1222">
            <v>1</v>
          </cell>
          <cell r="I1222">
            <v>0</v>
          </cell>
        </row>
        <row r="1223">
          <cell r="D1223" t="str">
            <v>Female NEO 30</v>
          </cell>
          <cell r="E1223">
            <v>1</v>
          </cell>
          <cell r="I1223">
            <v>0</v>
          </cell>
        </row>
        <row r="1224">
          <cell r="D1224" t="str">
            <v>Female NEO 35</v>
          </cell>
          <cell r="E1224">
            <v>1</v>
          </cell>
          <cell r="I1224">
            <v>0</v>
          </cell>
        </row>
        <row r="1225">
          <cell r="D1225" t="str">
            <v>Female NEO 36</v>
          </cell>
          <cell r="E1225">
            <v>1</v>
          </cell>
          <cell r="I1225">
            <v>0</v>
          </cell>
        </row>
        <row r="1226">
          <cell r="D1226" t="str">
            <v>Female NEO 40</v>
          </cell>
          <cell r="E1226">
            <v>1</v>
          </cell>
          <cell r="I1226">
            <v>0</v>
          </cell>
        </row>
        <row r="1227">
          <cell r="D1227" t="str">
            <v>Female NEO 45</v>
          </cell>
          <cell r="E1227">
            <v>1</v>
          </cell>
          <cell r="I1227">
            <v>0</v>
          </cell>
        </row>
        <row r="1228">
          <cell r="D1228" t="str">
            <v>Female NEO 49</v>
          </cell>
          <cell r="E1228">
            <v>0</v>
          </cell>
          <cell r="I1228">
            <v>0</v>
          </cell>
        </row>
        <row r="1229">
          <cell r="D1229" t="str">
            <v>Female NEO 50</v>
          </cell>
          <cell r="E1229">
            <v>0</v>
          </cell>
          <cell r="I1229">
            <v>0</v>
          </cell>
        </row>
        <row r="1230">
          <cell r="D1230" t="str">
            <v>Female NEO 63</v>
          </cell>
          <cell r="E1230">
            <v>0</v>
          </cell>
          <cell r="I1230">
            <v>0</v>
          </cell>
        </row>
        <row r="1231">
          <cell r="D1231" t="str">
            <v>Female NEO 70</v>
          </cell>
          <cell r="E1231">
            <v>0</v>
          </cell>
          <cell r="I1231">
            <v>0</v>
          </cell>
        </row>
        <row r="1232">
          <cell r="D1232" t="str">
            <v>Female NEO 81</v>
          </cell>
          <cell r="E1232">
            <v>0</v>
          </cell>
          <cell r="I1232">
            <v>0</v>
          </cell>
        </row>
        <row r="1233">
          <cell r="D1233" t="str">
            <v>Female NEO 90</v>
          </cell>
          <cell r="E1233">
            <v>0</v>
          </cell>
          <cell r="I1233">
            <v>0</v>
          </cell>
        </row>
        <row r="1234">
          <cell r="D1234" t="str">
            <v>Female NEO 100</v>
          </cell>
          <cell r="E1234">
            <v>0</v>
          </cell>
          <cell r="I1234">
            <v>0</v>
          </cell>
        </row>
        <row r="1235">
          <cell r="D1235" t="str">
            <v>Female Falcon 500 -3</v>
          </cell>
          <cell r="E1235">
            <v>1</v>
          </cell>
          <cell r="I1235">
            <v>0</v>
          </cell>
        </row>
        <row r="1236">
          <cell r="D1236" t="str">
            <v>Female Falcon 500 -4</v>
          </cell>
          <cell r="E1236">
            <v>1</v>
          </cell>
          <cell r="I1236">
            <v>0</v>
          </cell>
        </row>
        <row r="1237">
          <cell r="D1237" t="str">
            <v>Female Falcon 500 -5</v>
          </cell>
          <cell r="E1237">
            <v>1</v>
          </cell>
          <cell r="I1237">
            <v>0</v>
          </cell>
        </row>
        <row r="1238">
          <cell r="D1238" t="str">
            <v>Female Falcon 500 -7</v>
          </cell>
          <cell r="E1238">
            <v>1</v>
          </cell>
          <cell r="I1238">
            <v>0</v>
          </cell>
        </row>
        <row r="1239">
          <cell r="D1239" t="str">
            <v>Female Falcon 500 -9</v>
          </cell>
          <cell r="E1239">
            <v>1</v>
          </cell>
          <cell r="I1239">
            <v>0</v>
          </cell>
        </row>
        <row r="1240">
          <cell r="D1240" t="str">
            <v>Female Falcon 500 -10</v>
          </cell>
          <cell r="E1240">
            <v>1</v>
          </cell>
          <cell r="I1240">
            <v>0</v>
          </cell>
        </row>
        <row r="1241">
          <cell r="D1241" t="str">
            <v>Female Falcon 500 9</v>
          </cell>
          <cell r="E1241">
            <v>3</v>
          </cell>
          <cell r="I1241">
            <v>0</v>
          </cell>
        </row>
        <row r="1242">
          <cell r="D1242" t="str">
            <v>Female Falcon 500 12</v>
          </cell>
          <cell r="E1242">
            <v>1</v>
          </cell>
          <cell r="I1242">
            <v>0</v>
          </cell>
        </row>
        <row r="1243">
          <cell r="D1243" t="str">
            <v>Female Falcon 500 15</v>
          </cell>
          <cell r="E1243">
            <v>1</v>
          </cell>
          <cell r="I1243">
            <v>0</v>
          </cell>
        </row>
        <row r="1244">
          <cell r="D1244" t="str">
            <v>Female Falcon 500 16</v>
          </cell>
          <cell r="E1244">
            <v>1</v>
          </cell>
          <cell r="I1244">
            <v>0</v>
          </cell>
        </row>
        <row r="1245">
          <cell r="D1245" t="str">
            <v>Female Falcon 500 20</v>
          </cell>
          <cell r="E1245">
            <v>1</v>
          </cell>
          <cell r="I1245">
            <v>0</v>
          </cell>
        </row>
        <row r="1246">
          <cell r="D1246" t="str">
            <v>Female Falcon 500 21</v>
          </cell>
          <cell r="E1246">
            <v>1</v>
          </cell>
          <cell r="I1246">
            <v>0</v>
          </cell>
        </row>
        <row r="1247">
          <cell r="D1247" t="str">
            <v>Female Falcon 500 25</v>
          </cell>
          <cell r="E1247">
            <v>1</v>
          </cell>
          <cell r="I1247">
            <v>0</v>
          </cell>
        </row>
        <row r="1248">
          <cell r="D1248" t="str">
            <v>Female Falcon 500 27</v>
          </cell>
          <cell r="E1248">
            <v>1</v>
          </cell>
          <cell r="I1248">
            <v>0</v>
          </cell>
        </row>
        <row r="1249">
          <cell r="D1249" t="str">
            <v>Female Falcon 500 28</v>
          </cell>
          <cell r="E1249">
            <v>1</v>
          </cell>
          <cell r="I1249">
            <v>0</v>
          </cell>
        </row>
        <row r="1250">
          <cell r="D1250" t="str">
            <v>Female Falcon 500 30</v>
          </cell>
          <cell r="E1250">
            <v>1</v>
          </cell>
          <cell r="I1250">
            <v>0</v>
          </cell>
        </row>
        <row r="1251">
          <cell r="D1251" t="str">
            <v>Female Falcon 500 35</v>
          </cell>
          <cell r="E1251">
            <v>0</v>
          </cell>
          <cell r="I1251">
            <v>0</v>
          </cell>
        </row>
        <row r="1252">
          <cell r="D1252" t="str">
            <v>Female Falcon 500 36</v>
          </cell>
          <cell r="E1252">
            <v>0</v>
          </cell>
          <cell r="I1252">
            <v>0</v>
          </cell>
        </row>
        <row r="1253">
          <cell r="D1253" t="str">
            <v>Female Falcon 500 40</v>
          </cell>
          <cell r="E1253">
            <v>0</v>
          </cell>
          <cell r="I1253">
            <v>0</v>
          </cell>
        </row>
        <row r="1254">
          <cell r="D1254" t="str">
            <v>Female Falcon 500 45</v>
          </cell>
          <cell r="E1254">
            <v>0</v>
          </cell>
          <cell r="I1254">
            <v>0</v>
          </cell>
        </row>
        <row r="1255">
          <cell r="D1255" t="str">
            <v>Female Falcon 500 49</v>
          </cell>
          <cell r="E1255">
            <v>0</v>
          </cell>
          <cell r="I1255">
            <v>0</v>
          </cell>
        </row>
        <row r="1256">
          <cell r="D1256" t="str">
            <v>Female Falcon 500 50</v>
          </cell>
          <cell r="E1256">
            <v>0</v>
          </cell>
          <cell r="I1256">
            <v>0</v>
          </cell>
        </row>
        <row r="1257">
          <cell r="D1257" t="str">
            <v>Female Falcon 500 63</v>
          </cell>
          <cell r="E1257">
            <v>0</v>
          </cell>
          <cell r="I1257">
            <v>0</v>
          </cell>
        </row>
        <row r="1258">
          <cell r="D1258" t="str">
            <v>Female Falcon 500 70</v>
          </cell>
          <cell r="E1258">
            <v>0</v>
          </cell>
          <cell r="I1258">
            <v>0</v>
          </cell>
        </row>
        <row r="1259">
          <cell r="D1259" t="str">
            <v>Female Falcon 500 81</v>
          </cell>
          <cell r="E1259">
            <v>0</v>
          </cell>
          <cell r="I1259">
            <v>0</v>
          </cell>
        </row>
        <row r="1260">
          <cell r="D1260" t="str">
            <v>Female Falcon 500 90</v>
          </cell>
          <cell r="E1260">
            <v>0</v>
          </cell>
          <cell r="I1260">
            <v>0</v>
          </cell>
        </row>
        <row r="1261">
          <cell r="D1261" t="str">
            <v>Female Falcon 500 100</v>
          </cell>
          <cell r="E1261">
            <v>0</v>
          </cell>
          <cell r="I1261">
            <v>0</v>
          </cell>
        </row>
      </sheetData>
      <sheetData sheetId="12" refreshError="1"/>
      <sheetData sheetId="13">
        <row r="5">
          <cell r="B5" t="str">
            <v>CIM</v>
          </cell>
          <cell r="C5">
            <v>5330</v>
          </cell>
          <cell r="D5">
            <v>2.41</v>
          </cell>
          <cell r="E5">
            <v>2.7</v>
          </cell>
          <cell r="F5">
            <v>131</v>
          </cell>
          <cell r="G5">
            <v>336.28916760964142</v>
          </cell>
          <cell r="J5" t="str">
            <v>#25 Chain</v>
          </cell>
          <cell r="K5">
            <v>6.35</v>
          </cell>
          <cell r="L5">
            <v>9</v>
          </cell>
          <cell r="M5">
            <v>5.9</v>
          </cell>
          <cell r="N5">
            <v>0.31</v>
          </cell>
          <cell r="Q5" t="str">
            <v>7075-T6 Al</v>
          </cell>
          <cell r="R5">
            <v>71700</v>
          </cell>
          <cell r="S5">
            <v>26900</v>
          </cell>
        </row>
        <row r="6">
          <cell r="B6" t="str">
            <v>Mini CIM</v>
          </cell>
          <cell r="C6">
            <v>5840</v>
          </cell>
          <cell r="D6">
            <v>1.41</v>
          </cell>
          <cell r="E6">
            <v>3</v>
          </cell>
          <cell r="F6">
            <v>89</v>
          </cell>
          <cell r="G6">
            <v>215.57608788933157</v>
          </cell>
          <cell r="J6" t="str">
            <v>#35 Chain</v>
          </cell>
          <cell r="K6">
            <v>9.5299999999999994</v>
          </cell>
          <cell r="L6">
            <v>11.76</v>
          </cell>
          <cell r="M6">
            <v>8.94</v>
          </cell>
          <cell r="N6">
            <v>0.41</v>
          </cell>
          <cell r="Q6" t="str">
            <v>6061-T6 Al</v>
          </cell>
          <cell r="R6">
            <v>68900</v>
          </cell>
          <cell r="S6">
            <v>26000</v>
          </cell>
        </row>
        <row r="7">
          <cell r="B7" t="str">
            <v>NEO</v>
          </cell>
          <cell r="C7">
            <v>5676</v>
          </cell>
          <cell r="D7">
            <v>2.6</v>
          </cell>
          <cell r="E7">
            <v>1.8</v>
          </cell>
          <cell r="F7">
            <v>105</v>
          </cell>
          <cell r="G7">
            <v>386.35306453847278</v>
          </cell>
          <cell r="J7" t="str">
            <v>5mm HTD</v>
          </cell>
          <cell r="K7">
            <v>5</v>
          </cell>
          <cell r="L7">
            <v>15</v>
          </cell>
          <cell r="M7">
            <v>3</v>
          </cell>
          <cell r="N7">
            <v>0</v>
          </cell>
          <cell r="Q7" t="str">
            <v>Steel</v>
          </cell>
          <cell r="R7">
            <v>206000</v>
          </cell>
          <cell r="S7">
            <v>70000</v>
          </cell>
        </row>
        <row r="8">
          <cell r="B8" t="str">
            <v>Falcon 500</v>
          </cell>
          <cell r="C8">
            <v>6380</v>
          </cell>
          <cell r="D8">
            <v>4.6900000000000004</v>
          </cell>
          <cell r="E8">
            <v>1.5</v>
          </cell>
          <cell r="F8">
            <v>257</v>
          </cell>
          <cell r="G8">
            <v>783.36136416037095</v>
          </cell>
          <cell r="J8" t="str">
            <v>3mm GT2</v>
          </cell>
          <cell r="K8">
            <v>3</v>
          </cell>
          <cell r="L8">
            <v>9</v>
          </cell>
          <cell r="M8">
            <v>3</v>
          </cell>
          <cell r="N8">
            <v>0</v>
          </cell>
          <cell r="Q8" t="str">
            <v>Stainless</v>
          </cell>
          <cell r="R8">
            <v>193000</v>
          </cell>
          <cell r="S8">
            <v>77000</v>
          </cell>
        </row>
        <row r="9">
          <cell r="B9" t="str">
            <v>775pro</v>
          </cell>
          <cell r="C9">
            <v>18730</v>
          </cell>
          <cell r="D9">
            <v>0.71</v>
          </cell>
          <cell r="E9">
            <v>0.7</v>
          </cell>
          <cell r="F9">
            <v>134</v>
          </cell>
          <cell r="G9">
            <v>348.14867987694288</v>
          </cell>
        </row>
        <row r="10">
          <cell r="B10" t="str">
            <v>Redline</v>
          </cell>
          <cell r="C10">
            <v>21020</v>
          </cell>
          <cell r="D10">
            <v>0.7</v>
          </cell>
          <cell r="E10">
            <v>3.8</v>
          </cell>
          <cell r="F10">
            <v>130</v>
          </cell>
          <cell r="G10">
            <v>385.21161920766843</v>
          </cell>
        </row>
        <row r="11">
          <cell r="B11" t="str">
            <v>NEO 550</v>
          </cell>
          <cell r="C11">
            <v>11000</v>
          </cell>
          <cell r="D11">
            <v>0.97</v>
          </cell>
          <cell r="E11">
            <v>1.4</v>
          </cell>
          <cell r="F11">
            <v>100</v>
          </cell>
          <cell r="G11">
            <v>279.33994678169245</v>
          </cell>
        </row>
        <row r="12">
          <cell r="B12" t="str">
            <v>BAG Motor</v>
          </cell>
          <cell r="C12">
            <v>13180</v>
          </cell>
          <cell r="D12">
            <v>0.43</v>
          </cell>
          <cell r="E12">
            <v>1.8</v>
          </cell>
          <cell r="F12">
            <v>53</v>
          </cell>
          <cell r="G12">
            <v>148.37218504128995</v>
          </cell>
        </row>
        <row r="13">
          <cell r="B13" t="str">
            <v>AM 775</v>
          </cell>
          <cell r="C13">
            <v>5800</v>
          </cell>
          <cell r="D13">
            <v>0.28000000000000003</v>
          </cell>
          <cell r="E13">
            <v>1.6</v>
          </cell>
          <cell r="F13">
            <v>18</v>
          </cell>
          <cell r="G13">
            <v>42.516220578581873</v>
          </cell>
        </row>
        <row r="14">
          <cell r="B14" t="str">
            <v>AM 9015</v>
          </cell>
          <cell r="C14">
            <v>14270</v>
          </cell>
          <cell r="D14">
            <v>0.36</v>
          </cell>
          <cell r="E14">
            <v>3.7</v>
          </cell>
          <cell r="F14">
            <v>71</v>
          </cell>
          <cell r="G14">
            <v>134.49158150017905</v>
          </cell>
        </row>
        <row r="15">
          <cell r="B15" t="str">
            <v>BB RS-775</v>
          </cell>
          <cell r="C15">
            <v>13050</v>
          </cell>
          <cell r="D15">
            <v>0.72</v>
          </cell>
          <cell r="E15">
            <v>2.7</v>
          </cell>
          <cell r="F15">
            <v>97</v>
          </cell>
          <cell r="G15">
            <v>245.98670477608078</v>
          </cell>
        </row>
        <row r="16">
          <cell r="B16" t="str">
            <v>BB RS-550</v>
          </cell>
          <cell r="C16">
            <v>19000</v>
          </cell>
          <cell r="D16">
            <v>0.38</v>
          </cell>
          <cell r="E16">
            <v>0.4</v>
          </cell>
          <cell r="F16">
            <v>84</v>
          </cell>
          <cell r="G16">
            <v>189.01915799098592</v>
          </cell>
        </row>
        <row r="17">
          <cell r="B17" t="str">
            <v>Johnson Motor</v>
          </cell>
          <cell r="C17">
            <v>410</v>
          </cell>
          <cell r="D17">
            <v>4.4000000000000004</v>
          </cell>
          <cell r="F17">
            <v>26</v>
          </cell>
          <cell r="G17">
            <v>47.228609558966561</v>
          </cell>
        </row>
        <row r="18">
          <cell r="B18" t="str">
            <v>Snowblower</v>
          </cell>
          <cell r="C18">
            <v>100</v>
          </cell>
          <cell r="D18">
            <v>7.91</v>
          </cell>
          <cell r="E18">
            <v>5</v>
          </cell>
          <cell r="F18">
            <v>24</v>
          </cell>
          <cell r="G18">
            <v>20.708331574912719</v>
          </cell>
        </row>
        <row r="19">
          <cell r="B19" t="str">
            <v>NeveRest</v>
          </cell>
          <cell r="C19">
            <v>6600</v>
          </cell>
          <cell r="D19">
            <v>6.1800000000000001E-2</v>
          </cell>
          <cell r="E19">
            <v>2</v>
          </cell>
          <cell r="F19">
            <v>11.5</v>
          </cell>
          <cell r="G19">
            <v>10.678273429551707</v>
          </cell>
        </row>
        <row r="20">
          <cell r="B20" t="str">
            <v>Throttle Motor</v>
          </cell>
          <cell r="C20">
            <v>5300</v>
          </cell>
          <cell r="D20">
            <v>0.13</v>
          </cell>
          <cell r="E20">
            <v>1</v>
          </cell>
          <cell r="F20">
            <v>7</v>
          </cell>
          <cell r="G20">
            <v>18.037977819361398</v>
          </cell>
        </row>
        <row r="21">
          <cell r="B21" t="str">
            <v>Bosch Motor</v>
          </cell>
          <cell r="C21">
            <v>24</v>
          </cell>
          <cell r="D21">
            <v>22</v>
          </cell>
          <cell r="E21">
            <v>3</v>
          </cell>
          <cell r="F21">
            <v>12</v>
          </cell>
          <cell r="G21">
            <v>13.82300767579509</v>
          </cell>
        </row>
        <row r="22">
          <cell r="B22" t="str">
            <v>Dynamo</v>
          </cell>
          <cell r="C22">
            <v>3084</v>
          </cell>
          <cell r="D22">
            <v>0.32</v>
          </cell>
          <cell r="E22">
            <v>0.28000000000000003</v>
          </cell>
          <cell r="F22">
            <v>6.5</v>
          </cell>
          <cell r="G22">
            <v>25.836457983122461</v>
          </cell>
        </row>
        <row r="23">
          <cell r="B23" t="str">
            <v>Window Motor</v>
          </cell>
          <cell r="C23">
            <v>90</v>
          </cell>
          <cell r="D23">
            <v>9.24</v>
          </cell>
          <cell r="E23">
            <v>1.5</v>
          </cell>
          <cell r="F23">
            <v>16.25</v>
          </cell>
          <cell r="G23">
            <v>21.771237089377266</v>
          </cell>
        </row>
        <row r="24">
          <cell r="B24" t="str">
            <v>CIM + Mini</v>
          </cell>
          <cell r="C24">
            <v>5508</v>
          </cell>
          <cell r="D24">
            <v>3.82</v>
          </cell>
          <cell r="E24">
            <v>8.16</v>
          </cell>
          <cell r="F24">
            <v>220</v>
          </cell>
          <cell r="G24">
            <v>550.84057269512709</v>
          </cell>
        </row>
        <row r="25">
          <cell r="B25" t="str">
            <v>CIM + 2 Mini</v>
          </cell>
          <cell r="C25">
            <v>5593</v>
          </cell>
          <cell r="D25">
            <v>5.23</v>
          </cell>
          <cell r="E25">
            <v>9.6199999999999992</v>
          </cell>
          <cell r="F25">
            <v>309</v>
          </cell>
          <cell r="G25">
            <v>765.79959942741618</v>
          </cell>
        </row>
        <row r="26">
          <cell r="B26" t="str">
            <v>2 CIM + Mini</v>
          </cell>
          <cell r="C26">
            <v>5437</v>
          </cell>
          <cell r="D26">
            <v>6.23</v>
          </cell>
          <cell r="E26">
            <v>9.15</v>
          </cell>
          <cell r="F26">
            <v>351</v>
          </cell>
          <cell r="G26">
            <v>886.78023812205663</v>
          </cell>
        </row>
        <row r="27">
          <cell r="G27" t="str">
            <v/>
          </cell>
        </row>
        <row r="28">
          <cell r="G28" t="str">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EZ121"/>
  <sheetViews>
    <sheetView tabSelected="1"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10.28515625" style="1" customWidth="1"/>
    <col min="5" max="5" width="9.140625" style="1" customWidth="1"/>
    <col min="6" max="6" width="21.140625" style="1" customWidth="1"/>
    <col min="7" max="7" width="10.28515625" style="1" customWidth="1"/>
    <col min="8" max="8" width="9.140625" style="1"/>
    <col min="9" max="9" width="9.140625" style="1" customWidth="1"/>
    <col min="10" max="10" width="1.5703125" style="1" customWidth="1"/>
    <col min="11" max="17" width="9.140625" style="1"/>
    <col min="18" max="18" width="9.140625" style="1" customWidth="1"/>
    <col min="19" max="19" width="9.140625" style="1"/>
    <col min="20" max="154" width="9.140625" style="3" customWidth="1"/>
    <col min="155" max="16384" width="9.140625" style="1"/>
  </cols>
  <sheetData>
    <row r="2" spans="2:156" ht="31.5" x14ac:dyDescent="0.25">
      <c r="C2" s="2" t="s">
        <v>0</v>
      </c>
    </row>
    <row r="3" spans="2:156" x14ac:dyDescent="0.25">
      <c r="I3" s="4" t="s">
        <v>1</v>
      </c>
      <c r="J3" s="5"/>
    </row>
    <row r="4" spans="2:156" x14ac:dyDescent="0.25">
      <c r="B4" s="6" t="b">
        <v>1</v>
      </c>
      <c r="C4" s="1" t="s">
        <v>2</v>
      </c>
      <c r="V4" s="7"/>
      <c r="W4" s="8"/>
      <c r="Y4" s="9"/>
      <c r="Z4" s="8"/>
    </row>
    <row r="5" spans="2:156" x14ac:dyDescent="0.25">
      <c r="V5" s="10"/>
      <c r="W5" s="8"/>
      <c r="Y5" s="9"/>
    </row>
    <row r="6" spans="2:156" ht="18.75" x14ac:dyDescent="0.25">
      <c r="C6" s="11" t="s">
        <v>3</v>
      </c>
      <c r="D6" s="11"/>
      <c r="F6" s="11" t="s">
        <v>1</v>
      </c>
      <c r="G6" s="11"/>
    </row>
    <row r="7" spans="2:156" x14ac:dyDescent="0.25">
      <c r="C7" s="12" t="str">
        <f>"Release Height (" &amp; IF($B$4, "m", "ft") &amp; ")"</f>
        <v>Release Height (m)</v>
      </c>
      <c r="D7" s="13">
        <v>0.2</v>
      </c>
      <c r="F7" s="12" t="str">
        <f>"Release Height (" &amp; IF($B$4, "m", "ft") &amp; ")"</f>
        <v>Release Height (m)</v>
      </c>
      <c r="G7" s="13">
        <v>0.29999999999999993</v>
      </c>
      <c r="T7" s="7"/>
      <c r="U7" s="7"/>
      <c r="V7" s="7"/>
      <c r="W7" s="7"/>
      <c r="X7" s="8"/>
      <c r="Y7" s="7"/>
      <c r="Z7" s="7"/>
      <c r="AA7" s="7"/>
      <c r="AB7" s="7"/>
      <c r="AC7" s="8"/>
      <c r="AD7" s="7"/>
      <c r="AE7" s="7"/>
      <c r="AF7" s="7"/>
      <c r="AG7" s="7"/>
      <c r="AH7" s="8"/>
      <c r="AI7" s="7"/>
      <c r="AJ7" s="7"/>
      <c r="AK7" s="7"/>
      <c r="AL7" s="7"/>
      <c r="AM7" s="8"/>
      <c r="AN7" s="7"/>
      <c r="AO7" s="7"/>
      <c r="AP7" s="7"/>
      <c r="AQ7" s="7"/>
      <c r="AR7" s="8"/>
      <c r="AS7" s="7"/>
      <c r="AT7" s="7"/>
      <c r="AU7" s="7"/>
      <c r="AV7" s="7"/>
      <c r="AW7" s="8"/>
      <c r="AX7" s="7"/>
      <c r="AY7" s="7"/>
      <c r="AZ7" s="7"/>
      <c r="BA7" s="7"/>
      <c r="BB7" s="8"/>
      <c r="BC7" s="7"/>
      <c r="BD7" s="7"/>
      <c r="BE7" s="7"/>
      <c r="BF7" s="7"/>
      <c r="BG7" s="8"/>
      <c r="BH7" s="7"/>
      <c r="BI7" s="7"/>
      <c r="BJ7" s="7"/>
      <c r="BK7" s="7"/>
      <c r="BL7" s="8"/>
      <c r="BM7" s="7"/>
      <c r="BN7" s="7"/>
      <c r="BO7" s="7"/>
      <c r="BP7" s="7"/>
      <c r="BQ7" s="8"/>
      <c r="BR7" s="7"/>
      <c r="BS7" s="7"/>
      <c r="BT7" s="7"/>
      <c r="BU7" s="7"/>
      <c r="BV7" s="8"/>
      <c r="BW7" s="7"/>
      <c r="BX7" s="7"/>
      <c r="BY7" s="7"/>
      <c r="BZ7" s="7"/>
      <c r="CA7" s="8"/>
      <c r="CB7" s="7"/>
      <c r="CC7" s="7"/>
      <c r="CD7" s="7"/>
      <c r="CE7" s="7"/>
      <c r="CF7" s="8"/>
      <c r="CG7" s="10"/>
      <c r="CH7" s="10"/>
      <c r="CI7" s="10"/>
      <c r="CJ7" s="10"/>
      <c r="CK7" s="14"/>
      <c r="CL7" s="7"/>
      <c r="CM7" s="7"/>
      <c r="CN7" s="7"/>
      <c r="CO7" s="7"/>
      <c r="CP7" s="8"/>
      <c r="CQ7" s="7"/>
      <c r="CR7" s="7"/>
      <c r="CS7" s="7"/>
      <c r="CT7" s="7"/>
      <c r="CU7" s="8"/>
      <c r="CV7" s="7"/>
      <c r="CW7" s="7"/>
      <c r="CX7" s="7"/>
      <c r="CY7" s="7"/>
      <c r="CZ7" s="8"/>
      <c r="DA7" s="7"/>
      <c r="DB7" s="7"/>
      <c r="DC7" s="7"/>
      <c r="DD7" s="7"/>
      <c r="DE7" s="8"/>
      <c r="DF7" s="7"/>
      <c r="DG7" s="7"/>
      <c r="DH7" s="7"/>
      <c r="DI7" s="7"/>
      <c r="DJ7" s="8"/>
      <c r="DK7" s="7"/>
      <c r="DL7" s="7"/>
      <c r="DM7" s="7"/>
      <c r="DN7" s="7"/>
      <c r="DO7" s="8"/>
      <c r="DP7" s="7"/>
      <c r="DQ7" s="7"/>
      <c r="DR7" s="7"/>
      <c r="DS7" s="7"/>
      <c r="DT7" s="8"/>
      <c r="DU7" s="7"/>
      <c r="DV7" s="7"/>
      <c r="DW7" s="7"/>
      <c r="DX7" s="7"/>
      <c r="DY7" s="8"/>
      <c r="DZ7" s="7"/>
      <c r="EA7" s="7"/>
      <c r="EB7" s="7"/>
      <c r="EC7" s="7"/>
      <c r="ED7" s="8"/>
      <c r="EE7" s="7"/>
      <c r="EF7" s="7"/>
      <c r="EG7" s="7"/>
      <c r="EH7" s="7"/>
      <c r="EI7" s="8"/>
      <c r="EJ7" s="7"/>
      <c r="EK7" s="7"/>
      <c r="EL7" s="7"/>
      <c r="EM7" s="7"/>
      <c r="EN7" s="8"/>
      <c r="EO7" s="7"/>
      <c r="EP7" s="7"/>
      <c r="EQ7" s="7"/>
      <c r="ER7" s="7"/>
      <c r="ES7" s="8"/>
      <c r="ET7" s="7"/>
      <c r="EU7" s="7"/>
      <c r="EV7" s="7"/>
      <c r="EW7" s="7"/>
      <c r="EX7" s="8"/>
    </row>
    <row r="8" spans="2:156" x14ac:dyDescent="0.25">
      <c r="C8" s="12" t="str">
        <f>"Distance to Target (" &amp; IF($B$4, "m", "ft") &amp; ")"</f>
        <v>Distance to Target (m)</v>
      </c>
      <c r="D8" s="13">
        <v>10</v>
      </c>
      <c r="F8" s="12" t="str">
        <f>"Distance to Target (" &amp; IF($B$4, "m", "ft") &amp; ")"</f>
        <v>Distance to Target (m)</v>
      </c>
      <c r="G8" s="13">
        <v>2</v>
      </c>
      <c r="I8" s="15"/>
      <c r="J8" s="15">
        <v>0</v>
      </c>
      <c r="L8" s="15"/>
      <c r="M8" s="15"/>
      <c r="O8" s="15"/>
      <c r="P8" s="15"/>
      <c r="U8" s="16"/>
      <c r="W8" s="17"/>
      <c r="AB8" s="17"/>
      <c r="AE8" s="16"/>
      <c r="AG8" s="17"/>
      <c r="AJ8" s="16"/>
      <c r="AL8" s="17"/>
      <c r="AQ8" s="17"/>
      <c r="AT8" s="16"/>
      <c r="AV8" s="17"/>
      <c r="AY8" s="16"/>
      <c r="BA8" s="17"/>
      <c r="BF8" s="17"/>
      <c r="BI8" s="16"/>
      <c r="BK8" s="17"/>
      <c r="BN8" s="16"/>
      <c r="BP8" s="17"/>
      <c r="BU8" s="17"/>
      <c r="BX8" s="16"/>
      <c r="BZ8" s="17"/>
      <c r="CC8" s="16"/>
      <c r="CE8" s="17"/>
      <c r="CG8" s="18"/>
      <c r="CH8" s="18"/>
      <c r="CI8" s="18"/>
      <c r="CJ8" s="17"/>
      <c r="CK8" s="18"/>
      <c r="CM8" s="16"/>
      <c r="CO8" s="17"/>
      <c r="CR8" s="16"/>
      <c r="CT8" s="17"/>
      <c r="CY8" s="17"/>
      <c r="DB8" s="16"/>
      <c r="DD8" s="17"/>
      <c r="DG8" s="16"/>
      <c r="DI8" s="17"/>
      <c r="DN8" s="17"/>
      <c r="DQ8" s="16"/>
      <c r="DS8" s="17"/>
      <c r="DV8" s="16"/>
      <c r="DX8" s="17"/>
      <c r="EC8" s="17"/>
      <c r="EF8" s="16"/>
      <c r="EH8" s="17"/>
      <c r="EK8" s="16"/>
      <c r="EM8" s="17"/>
      <c r="ER8" s="17"/>
      <c r="EU8" s="16"/>
      <c r="EW8" s="17"/>
      <c r="EZ8" s="15"/>
    </row>
    <row r="9" spans="2:156" x14ac:dyDescent="0.25">
      <c r="C9" s="12" t="str">
        <f>"     ^ Tolerance (" &amp; IF($B$4, "m", "ft") &amp; ")"</f>
        <v xml:space="preserve">     ^ Tolerance (m)</v>
      </c>
      <c r="D9" s="13">
        <v>0</v>
      </c>
      <c r="F9" s="12" t="str">
        <f>"     ^ Tolerance (" &amp; IF($B$4, "m", "ft") &amp; ")"</f>
        <v xml:space="preserve">     ^ Tolerance (m)</v>
      </c>
      <c r="G9" s="13">
        <v>0</v>
      </c>
      <c r="I9" s="15"/>
      <c r="J9" s="15">
        <v>0</v>
      </c>
      <c r="O9" s="15"/>
      <c r="P9" s="15"/>
      <c r="U9" s="16"/>
      <c r="W9" s="17"/>
      <c r="AB9" s="17"/>
      <c r="AE9" s="16"/>
      <c r="AG9" s="17"/>
      <c r="AJ9" s="16"/>
      <c r="AL9" s="17"/>
      <c r="AQ9" s="17"/>
      <c r="AT9" s="16"/>
      <c r="AV9" s="17"/>
      <c r="AY9" s="16"/>
      <c r="BA9" s="17"/>
      <c r="BF9" s="17"/>
      <c r="BI9" s="16"/>
      <c r="BK9" s="17"/>
      <c r="BN9" s="16"/>
      <c r="BP9" s="17"/>
      <c r="BU9" s="17"/>
      <c r="BX9" s="16"/>
      <c r="BZ9" s="17"/>
      <c r="CC9" s="16"/>
      <c r="CE9" s="17"/>
      <c r="CG9" s="18"/>
      <c r="CH9" s="18"/>
      <c r="CI9" s="18"/>
      <c r="CJ9" s="17"/>
      <c r="CK9" s="18"/>
      <c r="CM9" s="16"/>
      <c r="CO9" s="17"/>
      <c r="CR9" s="16"/>
      <c r="CT9" s="17"/>
      <c r="CY9" s="17"/>
      <c r="DB9" s="16"/>
      <c r="DD9" s="17"/>
      <c r="DG9" s="16"/>
      <c r="DI9" s="17"/>
      <c r="DN9" s="17"/>
      <c r="DQ9" s="16"/>
      <c r="DS9" s="17"/>
      <c r="DV9" s="16"/>
      <c r="DX9" s="17"/>
      <c r="EC9" s="17"/>
      <c r="EF9" s="16"/>
      <c r="EH9" s="17"/>
      <c r="EK9" s="16"/>
      <c r="EM9" s="17"/>
      <c r="ER9" s="17"/>
      <c r="EU9" s="16"/>
      <c r="EW9" s="17"/>
    </row>
    <row r="10" spans="2:156" x14ac:dyDescent="0.25">
      <c r="C10" s="12" t="str">
        <f>"Release Velocity (" &amp; IF($B$4, "m", "ft") &amp; "/s)"</f>
        <v>Release Velocity (m/s)</v>
      </c>
      <c r="D10" s="13">
        <v>20</v>
      </c>
      <c r="F10" s="12" t="str">
        <f>"Target Height (" &amp; IF($B$4, "m", "ft") &amp; ")"</f>
        <v>Target Height (m)</v>
      </c>
      <c r="G10" s="13">
        <v>2.5</v>
      </c>
      <c r="I10" s="19"/>
      <c r="J10" s="15">
        <v>0</v>
      </c>
      <c r="U10" s="16"/>
      <c r="W10" s="17"/>
      <c r="AB10" s="17"/>
      <c r="AE10" s="16"/>
      <c r="AG10" s="17"/>
      <c r="AJ10" s="16"/>
      <c r="AL10" s="17"/>
      <c r="AQ10" s="17"/>
      <c r="AT10" s="16"/>
      <c r="AV10" s="17"/>
      <c r="AY10" s="16"/>
      <c r="BA10" s="17"/>
      <c r="BF10" s="17"/>
      <c r="BI10" s="16"/>
      <c r="BK10" s="17"/>
      <c r="BN10" s="16"/>
      <c r="BP10" s="17"/>
      <c r="BU10" s="17"/>
      <c r="BX10" s="16"/>
      <c r="BZ10" s="17"/>
      <c r="CC10" s="16"/>
      <c r="CE10" s="17"/>
      <c r="CG10" s="18"/>
      <c r="CH10" s="18"/>
      <c r="CI10" s="18"/>
      <c r="CJ10" s="17"/>
      <c r="CK10" s="18"/>
      <c r="CM10" s="16"/>
      <c r="CO10" s="17"/>
      <c r="CR10" s="16"/>
      <c r="CT10" s="17"/>
      <c r="CY10" s="17"/>
      <c r="DB10" s="16"/>
      <c r="DD10" s="17"/>
      <c r="DG10" s="16"/>
      <c r="DI10" s="17"/>
      <c r="DN10" s="17"/>
      <c r="DQ10" s="16"/>
      <c r="DS10" s="17"/>
      <c r="DV10" s="16"/>
      <c r="DX10" s="17"/>
      <c r="EC10" s="17"/>
      <c r="EF10" s="16"/>
      <c r="EH10" s="17"/>
      <c r="EK10" s="16"/>
      <c r="EM10" s="17"/>
      <c r="ER10" s="17"/>
      <c r="EU10" s="16"/>
      <c r="EW10" s="17"/>
    </row>
    <row r="11" spans="2:156" x14ac:dyDescent="0.25">
      <c r="C11" s="12" t="s">
        <v>4</v>
      </c>
      <c r="D11" s="20">
        <v>0</v>
      </c>
      <c r="F11" s="12" t="str">
        <f>"     ^ Tolerance (" &amp; IF($B$4, "m", "ft") &amp; ")"</f>
        <v xml:space="preserve">     ^ Tolerance (m)</v>
      </c>
      <c r="G11" s="21">
        <v>0</v>
      </c>
      <c r="U11" s="16"/>
      <c r="W11" s="17"/>
      <c r="AB11" s="17"/>
      <c r="AE11" s="16"/>
      <c r="AG11" s="17"/>
      <c r="AJ11" s="16"/>
      <c r="AL11" s="17"/>
      <c r="AQ11" s="17"/>
      <c r="AT11" s="16"/>
      <c r="AV11" s="17"/>
      <c r="AY11" s="16"/>
      <c r="BA11" s="17"/>
      <c r="BF11" s="17"/>
      <c r="BI11" s="16"/>
      <c r="BK11" s="17"/>
      <c r="BN11" s="16"/>
      <c r="BP11" s="17"/>
      <c r="BU11" s="17"/>
      <c r="BX11" s="16"/>
      <c r="BZ11" s="17"/>
      <c r="CC11" s="16"/>
      <c r="CE11" s="17"/>
      <c r="CG11" s="18"/>
      <c r="CH11" s="18"/>
      <c r="CI11" s="18"/>
      <c r="CJ11" s="17"/>
      <c r="CK11" s="18"/>
      <c r="CM11" s="16"/>
      <c r="CO11" s="17"/>
      <c r="CR11" s="16"/>
      <c r="CT11" s="17"/>
      <c r="CY11" s="17"/>
      <c r="DB11" s="16"/>
      <c r="DD11" s="17"/>
      <c r="DG11" s="16"/>
      <c r="DI11" s="17"/>
      <c r="DN11" s="17"/>
      <c r="DQ11" s="16"/>
      <c r="DS11" s="17"/>
      <c r="DV11" s="16"/>
      <c r="DX11" s="17"/>
      <c r="EC11" s="17"/>
      <c r="EF11" s="16"/>
      <c r="EH11" s="17"/>
      <c r="EK11" s="16"/>
      <c r="EM11" s="17"/>
      <c r="ER11" s="17"/>
      <c r="EU11" s="16"/>
      <c r="EW11" s="17"/>
    </row>
    <row r="12" spans="2:156" x14ac:dyDescent="0.25">
      <c r="C12" s="12" t="s">
        <v>5</v>
      </c>
      <c r="D12" s="22">
        <v>80</v>
      </c>
      <c r="F12" s="12" t="s">
        <v>6</v>
      </c>
      <c r="G12" s="22">
        <v>-80</v>
      </c>
      <c r="U12" s="16"/>
      <c r="W12" s="17"/>
      <c r="AB12" s="17"/>
      <c r="AE12" s="16"/>
      <c r="AG12" s="17"/>
      <c r="AJ12" s="16"/>
      <c r="AL12" s="17"/>
      <c r="AQ12" s="17"/>
      <c r="AT12" s="16"/>
      <c r="AV12" s="17"/>
      <c r="AY12" s="16"/>
      <c r="BA12" s="17"/>
      <c r="BF12" s="17"/>
      <c r="BI12" s="16"/>
      <c r="BK12" s="17"/>
      <c r="BN12" s="16"/>
      <c r="BP12" s="17"/>
      <c r="BU12" s="17"/>
      <c r="BX12" s="16"/>
      <c r="BZ12" s="17"/>
      <c r="CC12" s="16"/>
      <c r="CE12" s="17"/>
      <c r="CG12" s="18"/>
      <c r="CH12" s="18"/>
      <c r="CI12" s="18"/>
      <c r="CJ12" s="17"/>
      <c r="CK12" s="18"/>
      <c r="CM12" s="16"/>
      <c r="CO12" s="17"/>
      <c r="CR12" s="16"/>
      <c r="CT12" s="17"/>
      <c r="CY12" s="17"/>
      <c r="DB12" s="16"/>
      <c r="DD12" s="17"/>
      <c r="DG12" s="16"/>
      <c r="DI12" s="17"/>
      <c r="DN12" s="17"/>
      <c r="DQ12" s="16"/>
      <c r="DS12" s="17"/>
      <c r="DV12" s="16"/>
      <c r="DX12" s="17"/>
      <c r="EC12" s="17"/>
      <c r="EF12" s="16"/>
      <c r="EH12" s="17"/>
      <c r="EK12" s="16"/>
      <c r="EM12" s="17"/>
      <c r="ER12" s="17"/>
      <c r="EU12" s="16"/>
      <c r="EW12" s="17"/>
    </row>
    <row r="13" spans="2:156" x14ac:dyDescent="0.25">
      <c r="C13" s="12" t="s">
        <v>7</v>
      </c>
      <c r="D13" s="23">
        <v>0</v>
      </c>
      <c r="F13" s="12" t="s">
        <v>7</v>
      </c>
      <c r="G13" s="23">
        <v>0</v>
      </c>
      <c r="U13" s="16"/>
      <c r="W13" s="17"/>
      <c r="AB13" s="17"/>
      <c r="AE13" s="16"/>
      <c r="AG13" s="17"/>
      <c r="AJ13" s="16"/>
      <c r="AL13" s="17"/>
      <c r="AQ13" s="17"/>
      <c r="AT13" s="16"/>
      <c r="AV13" s="17"/>
      <c r="AY13" s="16"/>
      <c r="BA13" s="17"/>
      <c r="BF13" s="17"/>
      <c r="BI13" s="16"/>
      <c r="BK13" s="17"/>
      <c r="BN13" s="16"/>
      <c r="BP13" s="17"/>
      <c r="BU13" s="17"/>
      <c r="BX13" s="16"/>
      <c r="BZ13" s="17"/>
      <c r="CC13" s="16"/>
      <c r="CE13" s="17"/>
      <c r="CG13" s="18"/>
      <c r="CH13" s="18"/>
      <c r="CI13" s="18"/>
      <c r="CJ13" s="17"/>
      <c r="CK13" s="18"/>
      <c r="CM13" s="16"/>
      <c r="CO13" s="17"/>
      <c r="CR13" s="16"/>
      <c r="CT13" s="17"/>
      <c r="CY13" s="17"/>
      <c r="DB13" s="16"/>
      <c r="DD13" s="17"/>
      <c r="DG13" s="16"/>
      <c r="DI13" s="17"/>
      <c r="DN13" s="17"/>
      <c r="DQ13" s="16"/>
      <c r="DS13" s="17"/>
      <c r="DV13" s="16"/>
      <c r="DX13" s="17"/>
      <c r="EC13" s="17"/>
      <c r="EF13" s="16"/>
      <c r="EH13" s="17"/>
      <c r="EK13" s="16"/>
      <c r="EM13" s="17"/>
      <c r="ER13" s="17"/>
      <c r="EU13" s="16"/>
      <c r="EW13" s="17"/>
    </row>
    <row r="14" spans="2:156" x14ac:dyDescent="0.25">
      <c r="D14" s="24"/>
      <c r="N14" s="24"/>
      <c r="U14" s="16"/>
      <c r="W14" s="17"/>
      <c r="AB14" s="17"/>
      <c r="AE14" s="16"/>
      <c r="AG14" s="17"/>
      <c r="AJ14" s="16"/>
      <c r="AL14" s="17"/>
      <c r="AQ14" s="17"/>
      <c r="AT14" s="16"/>
      <c r="AV14" s="17"/>
      <c r="AY14" s="16"/>
      <c r="BA14" s="17"/>
      <c r="BF14" s="17"/>
      <c r="BI14" s="16"/>
      <c r="BK14" s="17"/>
      <c r="BN14" s="16"/>
      <c r="BP14" s="17"/>
      <c r="BU14" s="17"/>
      <c r="BX14" s="16"/>
      <c r="BZ14" s="17"/>
      <c r="CC14" s="16"/>
      <c r="CE14" s="17"/>
      <c r="CG14" s="18"/>
      <c r="CH14" s="18"/>
      <c r="CI14" s="18"/>
      <c r="CJ14" s="17"/>
      <c r="CK14" s="18"/>
      <c r="CM14" s="16"/>
      <c r="CO14" s="17"/>
      <c r="CR14" s="16"/>
      <c r="CT14" s="17"/>
      <c r="CY14" s="17"/>
      <c r="DB14" s="16"/>
      <c r="DD14" s="17"/>
      <c r="DG14" s="16"/>
      <c r="DI14" s="17"/>
      <c r="DN14" s="17"/>
      <c r="DQ14" s="16"/>
      <c r="DS14" s="17"/>
      <c r="DV14" s="16"/>
      <c r="DX14" s="17"/>
      <c r="EC14" s="17"/>
      <c r="EF14" s="16"/>
      <c r="EH14" s="17"/>
      <c r="EK14" s="16"/>
      <c r="EM14" s="17"/>
      <c r="ER14" s="17"/>
      <c r="EU14" s="16"/>
      <c r="EW14" s="17"/>
    </row>
    <row r="15" spans="2:156" ht="14.45" customHeight="1" x14ac:dyDescent="0.25">
      <c r="C15" s="12" t="str">
        <f>"Obstacle Distance (" &amp; IF($B$4, "m", "ft") &amp; ")"</f>
        <v>Obstacle Distance (m)</v>
      </c>
      <c r="D15" s="13">
        <v>0</v>
      </c>
      <c r="F15" s="12" t="str">
        <f>"Obstacle Distance (" &amp; IF($B$4, "m", "ft") &amp; ")"</f>
        <v>Obstacle Distance (m)</v>
      </c>
      <c r="G15" s="13">
        <v>0.99999999999999967</v>
      </c>
      <c r="N15" s="24"/>
      <c r="U15" s="16"/>
      <c r="W15" s="17"/>
      <c r="AB15" s="17"/>
      <c r="AE15" s="16"/>
      <c r="AG15" s="17"/>
      <c r="AJ15" s="16"/>
      <c r="AL15" s="17"/>
      <c r="AQ15" s="17"/>
      <c r="AT15" s="16"/>
      <c r="AV15" s="17"/>
      <c r="AY15" s="16"/>
      <c r="BA15" s="17"/>
      <c r="BF15" s="17"/>
      <c r="BI15" s="16"/>
      <c r="BK15" s="17"/>
      <c r="BN15" s="16"/>
      <c r="BP15" s="17"/>
      <c r="BU15" s="17"/>
      <c r="BX15" s="16"/>
      <c r="BZ15" s="17"/>
      <c r="CC15" s="16"/>
      <c r="CE15" s="17"/>
      <c r="CG15" s="18"/>
      <c r="CH15" s="18"/>
      <c r="CI15" s="18"/>
      <c r="CJ15" s="17"/>
      <c r="CK15" s="18"/>
      <c r="CM15" s="16"/>
      <c r="CO15" s="17"/>
      <c r="CR15" s="16"/>
      <c r="CT15" s="17"/>
      <c r="CY15" s="17"/>
      <c r="DB15" s="16"/>
      <c r="DD15" s="17"/>
      <c r="DG15" s="16"/>
      <c r="DI15" s="17"/>
      <c r="DN15" s="17"/>
      <c r="DQ15" s="16"/>
      <c r="DS15" s="17"/>
      <c r="DV15" s="16"/>
      <c r="DX15" s="17"/>
      <c r="EC15" s="17"/>
      <c r="EF15" s="16"/>
      <c r="EH15" s="17"/>
      <c r="EK15" s="16"/>
      <c r="EM15" s="17"/>
      <c r="ER15" s="17"/>
      <c r="EU15" s="16"/>
      <c r="EW15" s="17"/>
    </row>
    <row r="16" spans="2:156" x14ac:dyDescent="0.25">
      <c r="C16" s="12" t="str">
        <f>"Obstacle Height (" &amp; IF($B$4, "m", "ft") &amp; ")"</f>
        <v>Obstacle Height (m)</v>
      </c>
      <c r="D16" s="13">
        <v>0</v>
      </c>
      <c r="F16" s="12" t="str">
        <f>"Obstacle Height (" &amp; IF($B$4, "m", "ft") &amp; ")"</f>
        <v>Obstacle Height (m)</v>
      </c>
      <c r="G16" s="13">
        <v>1.9999999999999993</v>
      </c>
      <c r="U16" s="16"/>
      <c r="W16" s="17"/>
      <c r="AB16" s="17"/>
      <c r="AE16" s="16"/>
      <c r="AG16" s="17"/>
      <c r="AJ16" s="16"/>
      <c r="AL16" s="17"/>
      <c r="AQ16" s="17"/>
      <c r="AT16" s="16"/>
      <c r="AV16" s="17"/>
      <c r="AY16" s="16"/>
      <c r="BA16" s="17"/>
      <c r="BF16" s="17"/>
      <c r="BI16" s="16"/>
      <c r="BK16" s="17"/>
      <c r="BN16" s="16"/>
      <c r="BP16" s="17"/>
      <c r="BU16" s="17"/>
      <c r="BX16" s="16"/>
      <c r="BZ16" s="17"/>
      <c r="CC16" s="16"/>
      <c r="CE16" s="17"/>
      <c r="CG16" s="18"/>
      <c r="CH16" s="18"/>
      <c r="CI16" s="18"/>
      <c r="CJ16" s="17"/>
      <c r="CK16" s="18"/>
      <c r="CM16" s="16"/>
      <c r="CO16" s="17"/>
      <c r="CR16" s="16"/>
      <c r="CT16" s="17"/>
      <c r="CY16" s="17"/>
      <c r="DB16" s="16"/>
      <c r="DD16" s="17"/>
      <c r="DG16" s="16"/>
      <c r="DI16" s="17"/>
      <c r="DN16" s="17"/>
      <c r="DQ16" s="16"/>
      <c r="DS16" s="17"/>
      <c r="DV16" s="16"/>
      <c r="DX16" s="17"/>
      <c r="EC16" s="17"/>
      <c r="EF16" s="16"/>
      <c r="EH16" s="17"/>
      <c r="EK16" s="16"/>
      <c r="EM16" s="17"/>
      <c r="ER16" s="17"/>
      <c r="EU16" s="16"/>
      <c r="EW16" s="17"/>
    </row>
    <row r="17" spans="3:154" s="25" customFormat="1" x14ac:dyDescent="0.25">
      <c r="H17" s="1"/>
      <c r="I17" s="1"/>
      <c r="J17" s="1"/>
      <c r="K17" s="1"/>
      <c r="L17" s="1"/>
      <c r="M17" s="1"/>
      <c r="N17" s="1"/>
      <c r="O17" s="1"/>
      <c r="P17" s="1"/>
      <c r="Q17" s="1"/>
      <c r="R17" s="1"/>
      <c r="S17" s="1"/>
      <c r="T17" s="3"/>
      <c r="U17" s="16"/>
      <c r="V17" s="3"/>
      <c r="W17" s="17"/>
      <c r="X17" s="3"/>
      <c r="Y17" s="3"/>
      <c r="Z17" s="3"/>
      <c r="AA17" s="3"/>
      <c r="AB17" s="17"/>
      <c r="AC17" s="3"/>
      <c r="AD17" s="3"/>
      <c r="AE17" s="16"/>
      <c r="AF17" s="3"/>
      <c r="AG17" s="17"/>
      <c r="AH17" s="3"/>
      <c r="AI17" s="3"/>
      <c r="AJ17" s="16"/>
      <c r="AK17" s="3"/>
      <c r="AL17" s="17"/>
      <c r="AM17" s="3"/>
      <c r="AN17" s="3"/>
      <c r="AO17" s="3"/>
      <c r="AP17" s="3"/>
      <c r="AQ17" s="17"/>
      <c r="AR17" s="3"/>
      <c r="AS17" s="3"/>
      <c r="AT17" s="16"/>
      <c r="AU17" s="3"/>
      <c r="AV17" s="17"/>
      <c r="AW17" s="3"/>
      <c r="AX17" s="3"/>
      <c r="AY17" s="16"/>
      <c r="AZ17" s="3"/>
      <c r="BA17" s="17"/>
      <c r="BB17" s="3"/>
      <c r="BC17" s="3"/>
      <c r="BD17" s="3"/>
      <c r="BE17" s="3"/>
      <c r="BF17" s="17"/>
      <c r="BG17" s="3"/>
      <c r="BH17" s="3"/>
      <c r="BI17" s="16"/>
      <c r="BJ17" s="3"/>
      <c r="BK17" s="17"/>
      <c r="BL17" s="3"/>
      <c r="BM17" s="3"/>
      <c r="BN17" s="16"/>
      <c r="BO17" s="3"/>
      <c r="BP17" s="17"/>
      <c r="BQ17" s="3"/>
      <c r="BR17" s="3"/>
      <c r="BS17" s="3"/>
      <c r="BT17" s="3"/>
      <c r="BU17" s="17"/>
      <c r="BV17" s="3"/>
      <c r="BW17" s="3"/>
      <c r="BX17" s="16"/>
      <c r="BY17" s="3"/>
      <c r="BZ17" s="17"/>
      <c r="CA17" s="3"/>
      <c r="CB17" s="3"/>
      <c r="CC17" s="16"/>
      <c r="CD17" s="3"/>
      <c r="CE17" s="17"/>
      <c r="CF17" s="3"/>
      <c r="CG17" s="18"/>
      <c r="CH17" s="18"/>
      <c r="CI17" s="18"/>
      <c r="CJ17" s="17"/>
      <c r="CK17" s="18"/>
      <c r="CL17" s="3"/>
      <c r="CM17" s="16"/>
      <c r="CN17" s="3"/>
      <c r="CO17" s="17"/>
      <c r="CP17" s="3"/>
      <c r="CQ17" s="3"/>
      <c r="CR17" s="16"/>
      <c r="CS17" s="3"/>
      <c r="CT17" s="17"/>
      <c r="CU17" s="3"/>
      <c r="CV17" s="3"/>
      <c r="CW17" s="3"/>
      <c r="CX17" s="3"/>
      <c r="CY17" s="17"/>
      <c r="CZ17" s="3"/>
      <c r="DA17" s="3"/>
      <c r="DB17" s="16"/>
      <c r="DC17" s="3"/>
      <c r="DD17" s="17"/>
      <c r="DE17" s="3"/>
      <c r="DF17" s="3"/>
      <c r="DG17" s="16"/>
      <c r="DH17" s="3"/>
      <c r="DI17" s="17"/>
      <c r="DJ17" s="3"/>
      <c r="DK17" s="3"/>
      <c r="DL17" s="3"/>
      <c r="DM17" s="3"/>
      <c r="DN17" s="17"/>
      <c r="DO17" s="3"/>
      <c r="DP17" s="3"/>
      <c r="DQ17" s="16"/>
      <c r="DR17" s="3"/>
      <c r="DS17" s="17"/>
      <c r="DT17" s="3"/>
      <c r="DU17" s="3"/>
      <c r="DV17" s="16"/>
      <c r="DW17" s="3"/>
      <c r="DX17" s="17"/>
      <c r="DY17" s="3"/>
      <c r="DZ17" s="3"/>
      <c r="EA17" s="3"/>
      <c r="EB17" s="3"/>
      <c r="EC17" s="17"/>
      <c r="ED17" s="3"/>
      <c r="EE17" s="3"/>
      <c r="EF17" s="16"/>
      <c r="EG17" s="3"/>
      <c r="EH17" s="17"/>
      <c r="EI17" s="3"/>
      <c r="EJ17" s="3"/>
      <c r="EK17" s="16"/>
      <c r="EL17" s="3"/>
      <c r="EM17" s="17"/>
      <c r="EN17" s="3"/>
      <c r="EO17" s="3"/>
      <c r="EP17" s="3"/>
      <c r="EQ17" s="3"/>
      <c r="ER17" s="17"/>
      <c r="ES17" s="3"/>
      <c r="ET17" s="3"/>
      <c r="EU17" s="16"/>
      <c r="EV17" s="3"/>
      <c r="EW17" s="17"/>
      <c r="EX17" s="3"/>
    </row>
    <row r="18" spans="3:154" s="25" customFormat="1" x14ac:dyDescent="0.25">
      <c r="C18" s="12" t="str">
        <f>"Final Height (" &amp; IF($B$4, "m", "ft") &amp; ")"</f>
        <v>Final Height (m)</v>
      </c>
      <c r="D18" s="26">
        <f>$D$8*TAN(RADIANS($D$12))-(IF($B$4, 9.807, 32.174)*$D$8^2)/(2*$D$10^2*COS(RADIANS($D$12))^2)+$D$7</f>
        <v>16.258589278414473</v>
      </c>
      <c r="E18" s="1"/>
      <c r="F18" s="12" t="str">
        <f>"Release Velocity (" &amp; IF($B$4, "m", "ft") &amp; "/s)"</f>
        <v>Release Velocity (m/s)</v>
      </c>
      <c r="G18" s="26">
        <f>SQRT((IF($B$4, 9.807, 32.174)*G8)/(ABS(TAN(RADIANS(G20))-TAN(RADIANS(G12)))))/COS(RADIANS(G20))</f>
        <v>9.5489346835634272</v>
      </c>
      <c r="H18" s="1"/>
      <c r="I18" s="1"/>
      <c r="J18" s="1"/>
      <c r="K18" s="1"/>
      <c r="L18" s="1"/>
      <c r="M18" s="1"/>
      <c r="N18" s="1"/>
      <c r="O18" s="1"/>
      <c r="P18" s="1"/>
      <c r="Q18" s="1"/>
      <c r="R18" s="1"/>
      <c r="S18" s="1"/>
      <c r="T18" s="3"/>
      <c r="U18" s="16"/>
      <c r="V18" s="3"/>
      <c r="W18" s="17"/>
      <c r="X18" s="3"/>
      <c r="Y18" s="3"/>
      <c r="Z18" s="3"/>
      <c r="AA18" s="3"/>
      <c r="AB18" s="17"/>
      <c r="AC18" s="3"/>
      <c r="AD18" s="3"/>
      <c r="AE18" s="16"/>
      <c r="AF18" s="3"/>
      <c r="AG18" s="17"/>
      <c r="AH18" s="3"/>
      <c r="AI18" s="3"/>
      <c r="AJ18" s="16"/>
      <c r="AK18" s="3"/>
      <c r="AL18" s="17"/>
      <c r="AM18" s="3"/>
      <c r="AN18" s="3"/>
      <c r="AO18" s="3"/>
      <c r="AP18" s="3"/>
      <c r="AQ18" s="17"/>
      <c r="AR18" s="3"/>
      <c r="AS18" s="3"/>
      <c r="AT18" s="16"/>
      <c r="AU18" s="3"/>
      <c r="AV18" s="17"/>
      <c r="AW18" s="3"/>
      <c r="AX18" s="3"/>
      <c r="AY18" s="16"/>
      <c r="AZ18" s="3"/>
      <c r="BA18" s="17"/>
      <c r="BB18" s="3"/>
      <c r="BC18" s="3"/>
      <c r="BD18" s="3"/>
      <c r="BE18" s="3"/>
      <c r="BF18" s="17"/>
      <c r="BG18" s="3"/>
      <c r="BH18" s="3"/>
      <c r="BI18" s="16"/>
      <c r="BJ18" s="3"/>
      <c r="BK18" s="17"/>
      <c r="BL18" s="3"/>
      <c r="BM18" s="3"/>
      <c r="BN18" s="16"/>
      <c r="BO18" s="3"/>
      <c r="BP18" s="17"/>
      <c r="BQ18" s="3"/>
      <c r="BR18" s="3"/>
      <c r="BS18" s="3"/>
      <c r="BT18" s="3"/>
      <c r="BU18" s="17"/>
      <c r="BV18" s="3"/>
      <c r="BW18" s="3"/>
      <c r="BX18" s="16"/>
      <c r="BY18" s="3"/>
      <c r="BZ18" s="17"/>
      <c r="CA18" s="3"/>
      <c r="CB18" s="3"/>
      <c r="CC18" s="16"/>
      <c r="CD18" s="3"/>
      <c r="CE18" s="17"/>
      <c r="CF18" s="3"/>
      <c r="CG18" s="18"/>
      <c r="CH18" s="18"/>
      <c r="CI18" s="18"/>
      <c r="CJ18" s="17"/>
      <c r="CK18" s="18"/>
      <c r="CL18" s="3"/>
      <c r="CM18" s="16"/>
      <c r="CN18" s="3"/>
      <c r="CO18" s="17"/>
      <c r="CP18" s="3"/>
      <c r="CQ18" s="3"/>
      <c r="CR18" s="16"/>
      <c r="CS18" s="3"/>
      <c r="CT18" s="17"/>
      <c r="CU18" s="3"/>
      <c r="CV18" s="3"/>
      <c r="CW18" s="3"/>
      <c r="CX18" s="3"/>
      <c r="CY18" s="17"/>
      <c r="CZ18" s="3"/>
      <c r="DA18" s="3"/>
      <c r="DB18" s="16"/>
      <c r="DC18" s="3"/>
      <c r="DD18" s="17"/>
      <c r="DE18" s="3"/>
      <c r="DF18" s="3"/>
      <c r="DG18" s="16"/>
      <c r="DH18" s="3"/>
      <c r="DI18" s="17"/>
      <c r="DJ18" s="3"/>
      <c r="DK18" s="3"/>
      <c r="DL18" s="3"/>
      <c r="DM18" s="3"/>
      <c r="DN18" s="17"/>
      <c r="DO18" s="3"/>
      <c r="DP18" s="3"/>
      <c r="DQ18" s="16"/>
      <c r="DR18" s="3"/>
      <c r="DS18" s="17"/>
      <c r="DT18" s="3"/>
      <c r="DU18" s="3"/>
      <c r="DV18" s="16"/>
      <c r="DW18" s="3"/>
      <c r="DX18" s="17"/>
      <c r="DY18" s="3"/>
      <c r="DZ18" s="3"/>
      <c r="EA18" s="3"/>
      <c r="EB18" s="3"/>
      <c r="EC18" s="17"/>
      <c r="ED18" s="3"/>
      <c r="EE18" s="3"/>
      <c r="EF18" s="16"/>
      <c r="EG18" s="3"/>
      <c r="EH18" s="17"/>
      <c r="EI18" s="3"/>
      <c r="EJ18" s="3"/>
      <c r="EK18" s="16"/>
      <c r="EL18" s="3"/>
      <c r="EM18" s="17"/>
      <c r="EN18" s="3"/>
      <c r="EO18" s="3"/>
      <c r="EP18" s="3"/>
      <c r="EQ18" s="3"/>
      <c r="ER18" s="17"/>
      <c r="ES18" s="3"/>
      <c r="ET18" s="3"/>
      <c r="EU18" s="16"/>
      <c r="EV18" s="3"/>
      <c r="EW18" s="17"/>
      <c r="EX18" s="3"/>
    </row>
    <row r="19" spans="3:154" s="25" customFormat="1" x14ac:dyDescent="0.25">
      <c r="C19" s="12" t="str">
        <f>"     ^ Range (" &amp; IF($B$4, "m", "ft") &amp; ")"</f>
        <v xml:space="preserve">     ^ Range (m)</v>
      </c>
      <c r="D19" s="27" t="str">
        <f>IF(MAX(T113:AT113)=MIN(T113:AT113), "----", TEXT(MAX(T113:AT113), "0.0") &amp; " – " &amp; TEXT(MIN(T113:AT113), "0.0"))</f>
        <v>----</v>
      </c>
      <c r="E19" s="1"/>
      <c r="F19" s="12" t="str">
        <f>"     ^ Range (" &amp; IF($B$4, "m", "ft") &amp; "/s)"</f>
        <v xml:space="preserve">     ^ Range (m/s)</v>
      </c>
      <c r="G19" s="28" t="str">
        <f>IF(MAX(T119:AT119)=MIN(T119:AT119), "----", TEXT(MAX(T119:AT119), "0.0") &amp; " – " &amp; TEXT(MIN(T119:AT119), "0.0"))</f>
        <v>----</v>
      </c>
      <c r="H19" s="1"/>
      <c r="I19" s="1"/>
      <c r="J19" s="1"/>
      <c r="K19" s="1"/>
      <c r="L19" s="1"/>
      <c r="M19" s="1"/>
      <c r="N19" s="1"/>
      <c r="O19" s="1"/>
      <c r="P19" s="1"/>
      <c r="Q19" s="1"/>
      <c r="R19" s="1"/>
      <c r="S19" s="1"/>
      <c r="T19" s="3"/>
      <c r="U19" s="16"/>
      <c r="V19" s="3"/>
      <c r="W19" s="17"/>
      <c r="X19" s="3"/>
      <c r="Y19" s="3"/>
      <c r="Z19" s="3"/>
      <c r="AA19" s="3"/>
      <c r="AB19" s="17"/>
      <c r="AC19" s="3"/>
      <c r="AD19" s="3"/>
      <c r="AE19" s="16"/>
      <c r="AF19" s="3"/>
      <c r="AG19" s="17"/>
      <c r="AH19" s="3"/>
      <c r="AI19" s="3"/>
      <c r="AJ19" s="16"/>
      <c r="AK19" s="3"/>
      <c r="AL19" s="17"/>
      <c r="AM19" s="3"/>
      <c r="AN19" s="3"/>
      <c r="AO19" s="3"/>
      <c r="AP19" s="3"/>
      <c r="AQ19" s="17"/>
      <c r="AR19" s="3"/>
      <c r="AS19" s="3"/>
      <c r="AT19" s="16"/>
      <c r="AU19" s="3"/>
      <c r="AV19" s="17"/>
      <c r="AW19" s="3"/>
      <c r="AX19" s="3"/>
      <c r="AY19" s="16"/>
      <c r="AZ19" s="3"/>
      <c r="BA19" s="17"/>
      <c r="BB19" s="3"/>
      <c r="BC19" s="3"/>
      <c r="BD19" s="3"/>
      <c r="BE19" s="3"/>
      <c r="BF19" s="17"/>
      <c r="BG19" s="3"/>
      <c r="BH19" s="3"/>
      <c r="BI19" s="16"/>
      <c r="BJ19" s="3"/>
      <c r="BK19" s="17"/>
      <c r="BL19" s="3"/>
      <c r="BM19" s="3"/>
      <c r="BN19" s="16"/>
      <c r="BO19" s="3"/>
      <c r="BP19" s="17"/>
      <c r="BQ19" s="3"/>
      <c r="BR19" s="3"/>
      <c r="BS19" s="3"/>
      <c r="BT19" s="3"/>
      <c r="BU19" s="17"/>
      <c r="BV19" s="3"/>
      <c r="BW19" s="3"/>
      <c r="BX19" s="16"/>
      <c r="BY19" s="3"/>
      <c r="BZ19" s="17"/>
      <c r="CA19" s="3"/>
      <c r="CB19" s="3"/>
      <c r="CC19" s="16"/>
      <c r="CD19" s="3"/>
      <c r="CE19" s="17"/>
      <c r="CF19" s="3"/>
      <c r="CG19" s="18"/>
      <c r="CH19" s="18"/>
      <c r="CI19" s="18"/>
      <c r="CJ19" s="17"/>
      <c r="CK19" s="18"/>
      <c r="CL19" s="3"/>
      <c r="CM19" s="16"/>
      <c r="CN19" s="3"/>
      <c r="CO19" s="17"/>
      <c r="CP19" s="3"/>
      <c r="CQ19" s="3"/>
      <c r="CR19" s="16"/>
      <c r="CS19" s="3"/>
      <c r="CT19" s="17"/>
      <c r="CU19" s="3"/>
      <c r="CV19" s="3"/>
      <c r="CW19" s="3"/>
      <c r="CX19" s="3"/>
      <c r="CY19" s="17"/>
      <c r="CZ19" s="3"/>
      <c r="DA19" s="3"/>
      <c r="DB19" s="16"/>
      <c r="DC19" s="3"/>
      <c r="DD19" s="17"/>
      <c r="DE19" s="3"/>
      <c r="DF19" s="3"/>
      <c r="DG19" s="16"/>
      <c r="DH19" s="3"/>
      <c r="DI19" s="17"/>
      <c r="DJ19" s="3"/>
      <c r="DK19" s="3"/>
      <c r="DL19" s="3"/>
      <c r="DM19" s="3"/>
      <c r="DN19" s="17"/>
      <c r="DO19" s="3"/>
      <c r="DP19" s="3"/>
      <c r="DQ19" s="16"/>
      <c r="DR19" s="3"/>
      <c r="DS19" s="17"/>
      <c r="DT19" s="3"/>
      <c r="DU19" s="3"/>
      <c r="DV19" s="16"/>
      <c r="DW19" s="3"/>
      <c r="DX19" s="17"/>
      <c r="DY19" s="3"/>
      <c r="DZ19" s="3"/>
      <c r="EA19" s="3"/>
      <c r="EB19" s="3"/>
      <c r="EC19" s="17"/>
      <c r="ED19" s="3"/>
      <c r="EE19" s="3"/>
      <c r="EF19" s="16"/>
      <c r="EG19" s="3"/>
      <c r="EH19" s="17"/>
      <c r="EI19" s="3"/>
      <c r="EJ19" s="3"/>
      <c r="EK19" s="16"/>
      <c r="EL19" s="3"/>
      <c r="EM19" s="17"/>
      <c r="EN19" s="3"/>
      <c r="EO19" s="3"/>
      <c r="EP19" s="3"/>
      <c r="EQ19" s="3"/>
      <c r="ER19" s="17"/>
      <c r="ES19" s="3"/>
      <c r="ET19" s="3"/>
      <c r="EU19" s="16"/>
      <c r="EV19" s="3"/>
      <c r="EW19" s="17"/>
      <c r="EX19" s="3"/>
    </row>
    <row r="20" spans="3:154" s="25" customFormat="1" x14ac:dyDescent="0.25">
      <c r="C20" s="12" t="s">
        <v>8</v>
      </c>
      <c r="D20" s="29">
        <f>DEGREES(ATAN(2*($D$18-$D$7)/$D$8-TAN(RADIANS($D$12))))</f>
        <v>-67.874514601509873</v>
      </c>
      <c r="E20" s="1"/>
      <c r="F20" s="12" t="s">
        <v>5</v>
      </c>
      <c r="G20" s="29">
        <f>DEGREES(ATAN(2*(G10-G7)/G8-TAN(RADIANS(G12))))</f>
        <v>82.759695716411017</v>
      </c>
      <c r="H20" s="1"/>
      <c r="I20" s="1"/>
      <c r="J20" s="1"/>
      <c r="K20" s="1"/>
      <c r="L20" s="1"/>
      <c r="M20" s="1"/>
      <c r="N20" s="1"/>
      <c r="O20" s="1"/>
      <c r="P20" s="1"/>
      <c r="Q20" s="1"/>
      <c r="R20" s="1"/>
      <c r="S20" s="1"/>
      <c r="T20" s="3"/>
      <c r="U20" s="16"/>
      <c r="V20" s="3"/>
      <c r="W20" s="17"/>
      <c r="X20" s="3"/>
      <c r="Y20" s="3"/>
      <c r="Z20" s="3"/>
      <c r="AA20" s="3"/>
      <c r="AB20" s="17"/>
      <c r="AC20" s="3"/>
      <c r="AD20" s="3"/>
      <c r="AE20" s="16"/>
      <c r="AF20" s="3"/>
      <c r="AG20" s="17"/>
      <c r="AH20" s="3"/>
      <c r="AI20" s="3"/>
      <c r="AJ20" s="16"/>
      <c r="AK20" s="3"/>
      <c r="AL20" s="17"/>
      <c r="AM20" s="3"/>
      <c r="AN20" s="3"/>
      <c r="AO20" s="3"/>
      <c r="AP20" s="3"/>
      <c r="AQ20" s="17"/>
      <c r="AR20" s="3"/>
      <c r="AS20" s="3"/>
      <c r="AT20" s="16"/>
      <c r="AU20" s="3"/>
      <c r="AV20" s="17"/>
      <c r="AW20" s="3"/>
      <c r="AX20" s="3"/>
      <c r="AY20" s="16"/>
      <c r="AZ20" s="3"/>
      <c r="BA20" s="17"/>
      <c r="BB20" s="3"/>
      <c r="BC20" s="3"/>
      <c r="BD20" s="3"/>
      <c r="BE20" s="3"/>
      <c r="BF20" s="17"/>
      <c r="BG20" s="3"/>
      <c r="BH20" s="3"/>
      <c r="BI20" s="16"/>
      <c r="BJ20" s="3"/>
      <c r="BK20" s="17"/>
      <c r="BL20" s="3"/>
      <c r="BM20" s="3"/>
      <c r="BN20" s="16"/>
      <c r="BO20" s="3"/>
      <c r="BP20" s="17"/>
      <c r="BQ20" s="3"/>
      <c r="BR20" s="3"/>
      <c r="BS20" s="3"/>
      <c r="BT20" s="3"/>
      <c r="BU20" s="17"/>
      <c r="BV20" s="3"/>
      <c r="BW20" s="3"/>
      <c r="BX20" s="16"/>
      <c r="BY20" s="3"/>
      <c r="BZ20" s="17"/>
      <c r="CA20" s="3"/>
      <c r="CB20" s="3"/>
      <c r="CC20" s="16"/>
      <c r="CD20" s="3"/>
      <c r="CE20" s="17"/>
      <c r="CF20" s="3"/>
      <c r="CG20" s="18"/>
      <c r="CH20" s="18"/>
      <c r="CI20" s="18"/>
      <c r="CJ20" s="17"/>
      <c r="CK20" s="18"/>
      <c r="CL20" s="3"/>
      <c r="CM20" s="16"/>
      <c r="CN20" s="3"/>
      <c r="CO20" s="17"/>
      <c r="CP20" s="3"/>
      <c r="CQ20" s="3"/>
      <c r="CR20" s="16"/>
      <c r="CS20" s="3"/>
      <c r="CT20" s="17"/>
      <c r="CU20" s="3"/>
      <c r="CV20" s="3"/>
      <c r="CW20" s="3"/>
      <c r="CX20" s="3"/>
      <c r="CY20" s="17"/>
      <c r="CZ20" s="3"/>
      <c r="DA20" s="3"/>
      <c r="DB20" s="16"/>
      <c r="DC20" s="3"/>
      <c r="DD20" s="17"/>
      <c r="DE20" s="3"/>
      <c r="DF20" s="3"/>
      <c r="DG20" s="16"/>
      <c r="DH20" s="3"/>
      <c r="DI20" s="17"/>
      <c r="DJ20" s="3"/>
      <c r="DK20" s="3"/>
      <c r="DL20" s="3"/>
      <c r="DM20" s="3"/>
      <c r="DN20" s="17"/>
      <c r="DO20" s="3"/>
      <c r="DP20" s="3"/>
      <c r="DQ20" s="16"/>
      <c r="DR20" s="3"/>
      <c r="DS20" s="17"/>
      <c r="DT20" s="3"/>
      <c r="DU20" s="3"/>
      <c r="DV20" s="16"/>
      <c r="DW20" s="3"/>
      <c r="DX20" s="17"/>
      <c r="DY20" s="3"/>
      <c r="DZ20" s="3"/>
      <c r="EA20" s="3"/>
      <c r="EB20" s="3"/>
      <c r="EC20" s="17"/>
      <c r="ED20" s="3"/>
      <c r="EE20" s="3"/>
      <c r="EF20" s="16"/>
      <c r="EG20" s="3"/>
      <c r="EH20" s="17"/>
      <c r="EI20" s="3"/>
      <c r="EJ20" s="3"/>
      <c r="EK20" s="16"/>
      <c r="EL20" s="3"/>
      <c r="EM20" s="17"/>
      <c r="EN20" s="3"/>
      <c r="EO20" s="3"/>
      <c r="EP20" s="3"/>
      <c r="EQ20" s="3"/>
      <c r="ER20" s="17"/>
      <c r="ES20" s="3"/>
      <c r="ET20" s="3"/>
      <c r="EU20" s="16"/>
      <c r="EV20" s="3"/>
      <c r="EW20" s="17"/>
      <c r="EX20" s="3"/>
    </row>
    <row r="21" spans="3:154" s="25" customFormat="1" x14ac:dyDescent="0.25">
      <c r="C21" s="12" t="s">
        <v>9</v>
      </c>
      <c r="D21" s="27" t="str">
        <f>IF(MAX(T114:AT114)=MIN(T114:AT114), "----", TEXT(MAX(T114:AT114), "0°") &amp; " – " &amp; TEXT(MIN(T114:AT114), "0°"))</f>
        <v>----</v>
      </c>
      <c r="E21" s="1"/>
      <c r="F21" s="12" t="s">
        <v>9</v>
      </c>
      <c r="G21" s="30" t="str">
        <f>IF(MAX(T120:AT120)=MIN(T120:AT120), "----", TEXT(MAX(T120:AT120), "0°") &amp; " – " &amp; TEXT(MIN(T120:AT120), "0°"))</f>
        <v>----</v>
      </c>
      <c r="H21" s="1"/>
      <c r="I21" s="1"/>
      <c r="J21" s="1"/>
      <c r="K21" s="1"/>
      <c r="L21" s="1"/>
      <c r="M21" s="1"/>
      <c r="N21" s="1"/>
      <c r="O21" s="1"/>
      <c r="P21" s="1"/>
      <c r="Q21" s="1"/>
      <c r="R21" s="1"/>
      <c r="S21" s="1"/>
      <c r="T21" s="3"/>
      <c r="U21" s="16"/>
      <c r="V21" s="3"/>
      <c r="W21" s="17"/>
      <c r="X21" s="3"/>
      <c r="Y21" s="3"/>
      <c r="Z21" s="3"/>
      <c r="AA21" s="3"/>
      <c r="AB21" s="17"/>
      <c r="AC21" s="3"/>
      <c r="AD21" s="3"/>
      <c r="AE21" s="16"/>
      <c r="AF21" s="3"/>
      <c r="AG21" s="17"/>
      <c r="AH21" s="3"/>
      <c r="AI21" s="3"/>
      <c r="AJ21" s="16"/>
      <c r="AK21" s="3"/>
      <c r="AL21" s="17"/>
      <c r="AM21" s="3"/>
      <c r="AN21" s="3"/>
      <c r="AO21" s="3"/>
      <c r="AP21" s="3"/>
      <c r="AQ21" s="17"/>
      <c r="AR21" s="3"/>
      <c r="AS21" s="3"/>
      <c r="AT21" s="16"/>
      <c r="AU21" s="3"/>
      <c r="AV21" s="17"/>
      <c r="AW21" s="3"/>
      <c r="AX21" s="3"/>
      <c r="AY21" s="16"/>
      <c r="AZ21" s="3"/>
      <c r="BA21" s="17"/>
      <c r="BB21" s="3"/>
      <c r="BC21" s="3"/>
      <c r="BD21" s="3"/>
      <c r="BE21" s="3"/>
      <c r="BF21" s="17"/>
      <c r="BG21" s="3"/>
      <c r="BH21" s="3"/>
      <c r="BI21" s="16"/>
      <c r="BJ21" s="3"/>
      <c r="BK21" s="17"/>
      <c r="BL21" s="3"/>
      <c r="BM21" s="3"/>
      <c r="BN21" s="16"/>
      <c r="BO21" s="3"/>
      <c r="BP21" s="17"/>
      <c r="BQ21" s="3"/>
      <c r="BR21" s="3"/>
      <c r="BS21" s="3"/>
      <c r="BT21" s="3"/>
      <c r="BU21" s="17"/>
      <c r="BV21" s="3"/>
      <c r="BW21" s="3"/>
      <c r="BX21" s="16"/>
      <c r="BY21" s="3"/>
      <c r="BZ21" s="17"/>
      <c r="CA21" s="3"/>
      <c r="CB21" s="3"/>
      <c r="CC21" s="16"/>
      <c r="CD21" s="3"/>
      <c r="CE21" s="17"/>
      <c r="CF21" s="3"/>
      <c r="CG21" s="18"/>
      <c r="CH21" s="18"/>
      <c r="CI21" s="18"/>
      <c r="CJ21" s="17"/>
      <c r="CK21" s="18"/>
      <c r="CL21" s="3"/>
      <c r="CM21" s="16"/>
      <c r="CN21" s="3"/>
      <c r="CO21" s="17"/>
      <c r="CP21" s="3"/>
      <c r="CQ21" s="3"/>
      <c r="CR21" s="16"/>
      <c r="CS21" s="3"/>
      <c r="CT21" s="17"/>
      <c r="CU21" s="3"/>
      <c r="CV21" s="3"/>
      <c r="CW21" s="3"/>
      <c r="CX21" s="3"/>
      <c r="CY21" s="17"/>
      <c r="CZ21" s="3"/>
      <c r="DA21" s="3"/>
      <c r="DB21" s="16"/>
      <c r="DC21" s="3"/>
      <c r="DD21" s="17"/>
      <c r="DE21" s="3"/>
      <c r="DF21" s="3"/>
      <c r="DG21" s="16"/>
      <c r="DH21" s="3"/>
      <c r="DI21" s="17"/>
      <c r="DJ21" s="3"/>
      <c r="DK21" s="3"/>
      <c r="DL21" s="3"/>
      <c r="DM21" s="3"/>
      <c r="DN21" s="17"/>
      <c r="DO21" s="3"/>
      <c r="DP21" s="3"/>
      <c r="DQ21" s="16"/>
      <c r="DR21" s="3"/>
      <c r="DS21" s="17"/>
      <c r="DT21" s="3"/>
      <c r="DU21" s="3"/>
      <c r="DV21" s="16"/>
      <c r="DW21" s="3"/>
      <c r="DX21" s="17"/>
      <c r="DY21" s="3"/>
      <c r="DZ21" s="3"/>
      <c r="EA21" s="3"/>
      <c r="EB21" s="3"/>
      <c r="EC21" s="17"/>
      <c r="ED21" s="3"/>
      <c r="EE21" s="3"/>
      <c r="EF21" s="16"/>
      <c r="EG21" s="3"/>
      <c r="EH21" s="17"/>
      <c r="EI21" s="3"/>
      <c r="EJ21" s="3"/>
      <c r="EK21" s="16"/>
      <c r="EL21" s="3"/>
      <c r="EM21" s="17"/>
      <c r="EN21" s="3"/>
      <c r="EO21" s="3"/>
      <c r="EP21" s="3"/>
      <c r="EQ21" s="3"/>
      <c r="ER21" s="17"/>
      <c r="ES21" s="3"/>
      <c r="ET21" s="3"/>
      <c r="EU21" s="16"/>
      <c r="EV21" s="3"/>
      <c r="EW21" s="17"/>
      <c r="EX21" s="3"/>
    </row>
    <row r="22" spans="3:154" s="25" customFormat="1" ht="15" customHeight="1" x14ac:dyDescent="0.25">
      <c r="H22" s="1"/>
      <c r="I22" s="1"/>
      <c r="J22" s="1"/>
      <c r="K22" s="1"/>
      <c r="L22" s="1"/>
      <c r="M22" s="1"/>
      <c r="N22" s="1"/>
      <c r="O22" s="1"/>
      <c r="P22" s="1"/>
      <c r="Q22" s="1"/>
      <c r="R22" s="1"/>
      <c r="S22" s="1"/>
      <c r="T22" s="3"/>
      <c r="U22" s="16"/>
      <c r="V22" s="3"/>
      <c r="W22" s="17"/>
      <c r="X22" s="3"/>
      <c r="Y22" s="3"/>
      <c r="Z22" s="3"/>
      <c r="AA22" s="3"/>
      <c r="AB22" s="17"/>
      <c r="AC22" s="3"/>
      <c r="AD22" s="3"/>
      <c r="AE22" s="16"/>
      <c r="AF22" s="3"/>
      <c r="AG22" s="17"/>
      <c r="AH22" s="3"/>
      <c r="AI22" s="3"/>
      <c r="AJ22" s="16"/>
      <c r="AK22" s="3"/>
      <c r="AL22" s="17"/>
      <c r="AM22" s="3"/>
      <c r="AN22" s="3"/>
      <c r="AO22" s="3"/>
      <c r="AP22" s="3"/>
      <c r="AQ22" s="17"/>
      <c r="AR22" s="3"/>
      <c r="AS22" s="3"/>
      <c r="AT22" s="16"/>
      <c r="AU22" s="3"/>
      <c r="AV22" s="17"/>
      <c r="AW22" s="3"/>
      <c r="AX22" s="3"/>
      <c r="AY22" s="16"/>
      <c r="AZ22" s="3"/>
      <c r="BA22" s="17"/>
      <c r="BB22" s="3"/>
      <c r="BC22" s="3"/>
      <c r="BD22" s="3"/>
      <c r="BE22" s="3"/>
      <c r="BF22" s="17"/>
      <c r="BG22" s="3"/>
      <c r="BH22" s="3"/>
      <c r="BI22" s="16"/>
      <c r="BJ22" s="3"/>
      <c r="BK22" s="17"/>
      <c r="BL22" s="3"/>
      <c r="BM22" s="3"/>
      <c r="BN22" s="16"/>
      <c r="BO22" s="3"/>
      <c r="BP22" s="17"/>
      <c r="BQ22" s="3"/>
      <c r="BR22" s="3"/>
      <c r="BS22" s="3"/>
      <c r="BT22" s="3"/>
      <c r="BU22" s="17"/>
      <c r="BV22" s="3"/>
      <c r="BW22" s="3"/>
      <c r="BX22" s="16"/>
      <c r="BY22" s="3"/>
      <c r="BZ22" s="17"/>
      <c r="CA22" s="3"/>
      <c r="CB22" s="3"/>
      <c r="CC22" s="16"/>
      <c r="CD22" s="3"/>
      <c r="CE22" s="17"/>
      <c r="CF22" s="3"/>
      <c r="CG22" s="18"/>
      <c r="CH22" s="18"/>
      <c r="CI22" s="18"/>
      <c r="CJ22" s="17"/>
      <c r="CK22" s="18"/>
      <c r="CL22" s="3"/>
      <c r="CM22" s="16"/>
      <c r="CN22" s="3"/>
      <c r="CO22" s="17"/>
      <c r="CP22" s="3"/>
      <c r="CQ22" s="3"/>
      <c r="CR22" s="16"/>
      <c r="CS22" s="3"/>
      <c r="CT22" s="17"/>
      <c r="CU22" s="3"/>
      <c r="CV22" s="3"/>
      <c r="CW22" s="3"/>
      <c r="CX22" s="3"/>
      <c r="CY22" s="17"/>
      <c r="CZ22" s="3"/>
      <c r="DA22" s="3"/>
      <c r="DB22" s="16"/>
      <c r="DC22" s="3"/>
      <c r="DD22" s="17"/>
      <c r="DE22" s="3"/>
      <c r="DF22" s="3"/>
      <c r="DG22" s="16"/>
      <c r="DH22" s="3"/>
      <c r="DI22" s="17"/>
      <c r="DJ22" s="3"/>
      <c r="DK22" s="3"/>
      <c r="DL22" s="3"/>
      <c r="DM22" s="3"/>
      <c r="DN22" s="17"/>
      <c r="DO22" s="3"/>
      <c r="DP22" s="3"/>
      <c r="DQ22" s="16"/>
      <c r="DR22" s="3"/>
      <c r="DS22" s="17"/>
      <c r="DT22" s="3"/>
      <c r="DU22" s="3"/>
      <c r="DV22" s="16"/>
      <c r="DW22" s="3"/>
      <c r="DX22" s="17"/>
      <c r="DY22" s="3"/>
      <c r="DZ22" s="3"/>
      <c r="EA22" s="3"/>
      <c r="EB22" s="3"/>
      <c r="EC22" s="17"/>
      <c r="ED22" s="3"/>
      <c r="EE22" s="3"/>
      <c r="EF22" s="16"/>
      <c r="EG22" s="3"/>
      <c r="EH22" s="17"/>
      <c r="EI22" s="3"/>
      <c r="EJ22" s="3"/>
      <c r="EK22" s="16"/>
      <c r="EL22" s="3"/>
      <c r="EM22" s="17"/>
      <c r="EN22" s="3"/>
      <c r="EO22" s="3"/>
      <c r="EP22" s="3"/>
      <c r="EQ22" s="3"/>
      <c r="ER22" s="17"/>
      <c r="ES22" s="3"/>
      <c r="ET22" s="3"/>
      <c r="EU22" s="16"/>
      <c r="EV22" s="3"/>
      <c r="EW22" s="17"/>
      <c r="EX22" s="3"/>
    </row>
    <row r="23" spans="3:154" s="25" customFormat="1" ht="15" customHeight="1" x14ac:dyDescent="0.25">
      <c r="C23" s="31" t="s">
        <v>10</v>
      </c>
      <c r="D23" s="32"/>
      <c r="E23" s="32"/>
      <c r="F23" s="32"/>
      <c r="G23" s="33"/>
      <c r="H23" s="1"/>
      <c r="I23" s="1"/>
      <c r="J23" s="1"/>
      <c r="K23" s="1"/>
      <c r="L23" s="1"/>
      <c r="M23" s="1"/>
      <c r="N23" s="1"/>
      <c r="O23" s="1"/>
      <c r="P23" s="1"/>
      <c r="Q23" s="1"/>
      <c r="R23" s="1"/>
      <c r="S23" s="1"/>
      <c r="T23" s="3"/>
      <c r="U23" s="16"/>
      <c r="V23" s="3"/>
      <c r="W23" s="17"/>
      <c r="X23" s="3"/>
      <c r="Y23" s="3"/>
      <c r="Z23" s="3"/>
      <c r="AA23" s="3"/>
      <c r="AB23" s="17"/>
      <c r="AC23" s="3"/>
      <c r="AD23" s="3"/>
      <c r="AE23" s="16"/>
      <c r="AF23" s="3"/>
      <c r="AG23" s="17"/>
      <c r="AH23" s="3"/>
      <c r="AI23" s="3"/>
      <c r="AJ23" s="16"/>
      <c r="AK23" s="3"/>
      <c r="AL23" s="17"/>
      <c r="AM23" s="3"/>
      <c r="AN23" s="3"/>
      <c r="AO23" s="3"/>
      <c r="AP23" s="3"/>
      <c r="AQ23" s="17"/>
      <c r="AR23" s="3"/>
      <c r="AS23" s="3"/>
      <c r="AT23" s="16"/>
      <c r="AU23" s="3"/>
      <c r="AV23" s="17"/>
      <c r="AW23" s="3"/>
      <c r="AX23" s="3"/>
      <c r="AY23" s="16"/>
      <c r="AZ23" s="3"/>
      <c r="BA23" s="17"/>
      <c r="BB23" s="3"/>
      <c r="BC23" s="3"/>
      <c r="BD23" s="3"/>
      <c r="BE23" s="3"/>
      <c r="BF23" s="17"/>
      <c r="BG23" s="3"/>
      <c r="BH23" s="3"/>
      <c r="BI23" s="16"/>
      <c r="BJ23" s="3"/>
      <c r="BK23" s="17"/>
      <c r="BL23" s="3"/>
      <c r="BM23" s="3"/>
      <c r="BN23" s="16"/>
      <c r="BO23" s="3"/>
      <c r="BP23" s="17"/>
      <c r="BQ23" s="3"/>
      <c r="BR23" s="3"/>
      <c r="BS23" s="3"/>
      <c r="BT23" s="3"/>
      <c r="BU23" s="17"/>
      <c r="BV23" s="3"/>
      <c r="BW23" s="3"/>
      <c r="BX23" s="16"/>
      <c r="BY23" s="3"/>
      <c r="BZ23" s="17"/>
      <c r="CA23" s="3"/>
      <c r="CB23" s="3"/>
      <c r="CC23" s="16"/>
      <c r="CD23" s="3"/>
      <c r="CE23" s="17"/>
      <c r="CF23" s="3"/>
      <c r="CG23" s="18"/>
      <c r="CH23" s="18"/>
      <c r="CI23" s="18"/>
      <c r="CJ23" s="17"/>
      <c r="CK23" s="18"/>
      <c r="CL23" s="3"/>
      <c r="CM23" s="16"/>
      <c r="CN23" s="3"/>
      <c r="CO23" s="17"/>
      <c r="CP23" s="3"/>
      <c r="CQ23" s="3"/>
      <c r="CR23" s="16"/>
      <c r="CS23" s="3"/>
      <c r="CT23" s="17"/>
      <c r="CU23" s="3"/>
      <c r="CV23" s="3"/>
      <c r="CW23" s="3"/>
      <c r="CX23" s="3"/>
      <c r="CY23" s="17"/>
      <c r="CZ23" s="3"/>
      <c r="DA23" s="3"/>
      <c r="DB23" s="16"/>
      <c r="DC23" s="3"/>
      <c r="DD23" s="17"/>
      <c r="DE23" s="3"/>
      <c r="DF23" s="3"/>
      <c r="DG23" s="16"/>
      <c r="DH23" s="3"/>
      <c r="DI23" s="17"/>
      <c r="DJ23" s="3"/>
      <c r="DK23" s="3"/>
      <c r="DL23" s="3"/>
      <c r="DM23" s="3"/>
      <c r="DN23" s="17"/>
      <c r="DO23" s="3"/>
      <c r="DP23" s="3"/>
      <c r="DQ23" s="16"/>
      <c r="DR23" s="3"/>
      <c r="DS23" s="17"/>
      <c r="DT23" s="3"/>
      <c r="DU23" s="3"/>
      <c r="DV23" s="16"/>
      <c r="DW23" s="3"/>
      <c r="DX23" s="17"/>
      <c r="DY23" s="3"/>
      <c r="DZ23" s="3"/>
      <c r="EA23" s="3"/>
      <c r="EB23" s="3"/>
      <c r="EC23" s="17"/>
      <c r="ED23" s="3"/>
      <c r="EE23" s="3"/>
      <c r="EF23" s="16"/>
      <c r="EG23" s="3"/>
      <c r="EH23" s="17"/>
      <c r="EI23" s="3"/>
      <c r="EJ23" s="3"/>
      <c r="EK23" s="16"/>
      <c r="EL23" s="3"/>
      <c r="EM23" s="17"/>
      <c r="EN23" s="3"/>
      <c r="EO23" s="3"/>
      <c r="EP23" s="3"/>
      <c r="EQ23" s="3"/>
      <c r="ER23" s="17"/>
      <c r="ES23" s="3"/>
      <c r="ET23" s="3"/>
      <c r="EU23" s="16"/>
      <c r="EV23" s="3"/>
      <c r="EW23" s="17"/>
      <c r="EX23" s="3"/>
    </row>
    <row r="24" spans="3:154" s="25" customFormat="1" ht="15" customHeight="1" x14ac:dyDescent="0.25">
      <c r="C24" s="34"/>
      <c r="D24" s="35"/>
      <c r="E24" s="35"/>
      <c r="F24" s="35"/>
      <c r="G24" s="36"/>
      <c r="H24" s="1"/>
      <c r="I24" s="1"/>
      <c r="J24" s="1"/>
      <c r="K24" s="1"/>
      <c r="L24" s="1"/>
      <c r="M24" s="1"/>
      <c r="N24" s="1"/>
      <c r="O24" s="1"/>
      <c r="P24" s="1"/>
      <c r="Q24" s="1"/>
      <c r="R24" s="1"/>
      <c r="S24" s="1"/>
      <c r="T24" s="3"/>
      <c r="U24" s="16"/>
      <c r="V24" s="3"/>
      <c r="W24" s="17"/>
      <c r="X24" s="3"/>
      <c r="Y24" s="3"/>
      <c r="Z24" s="3"/>
      <c r="AA24" s="3"/>
      <c r="AB24" s="17"/>
      <c r="AC24" s="3"/>
      <c r="AD24" s="3"/>
      <c r="AE24" s="16"/>
      <c r="AF24" s="3"/>
      <c r="AG24" s="17"/>
      <c r="AH24" s="3"/>
      <c r="AI24" s="3"/>
      <c r="AJ24" s="16"/>
      <c r="AK24" s="3"/>
      <c r="AL24" s="17"/>
      <c r="AM24" s="3"/>
      <c r="AN24" s="3"/>
      <c r="AO24" s="3"/>
      <c r="AP24" s="3"/>
      <c r="AQ24" s="17"/>
      <c r="AR24" s="3"/>
      <c r="AS24" s="3"/>
      <c r="AT24" s="16"/>
      <c r="AU24" s="3"/>
      <c r="AV24" s="17"/>
      <c r="AW24" s="3"/>
      <c r="AX24" s="3"/>
      <c r="AY24" s="16"/>
      <c r="AZ24" s="3"/>
      <c r="BA24" s="17"/>
      <c r="BB24" s="3"/>
      <c r="BC24" s="3"/>
      <c r="BD24" s="3"/>
      <c r="BE24" s="3"/>
      <c r="BF24" s="17"/>
      <c r="BG24" s="3"/>
      <c r="BH24" s="3"/>
      <c r="BI24" s="16"/>
      <c r="BJ24" s="3"/>
      <c r="BK24" s="17"/>
      <c r="BL24" s="3"/>
      <c r="BM24" s="3"/>
      <c r="BN24" s="16"/>
      <c r="BO24" s="3"/>
      <c r="BP24" s="17"/>
      <c r="BQ24" s="3"/>
      <c r="BR24" s="3"/>
      <c r="BS24" s="3"/>
      <c r="BT24" s="3"/>
      <c r="BU24" s="17"/>
      <c r="BV24" s="3"/>
      <c r="BW24" s="3"/>
      <c r="BX24" s="16"/>
      <c r="BY24" s="3"/>
      <c r="BZ24" s="17"/>
      <c r="CA24" s="3"/>
      <c r="CB24" s="3"/>
      <c r="CC24" s="16"/>
      <c r="CD24" s="3"/>
      <c r="CE24" s="17"/>
      <c r="CF24" s="3"/>
      <c r="CG24" s="18"/>
      <c r="CH24" s="18"/>
      <c r="CI24" s="18"/>
      <c r="CJ24" s="17"/>
      <c r="CK24" s="18"/>
      <c r="CL24" s="3"/>
      <c r="CM24" s="16"/>
      <c r="CN24" s="3"/>
      <c r="CO24" s="17"/>
      <c r="CP24" s="3"/>
      <c r="CQ24" s="3"/>
      <c r="CR24" s="16"/>
      <c r="CS24" s="3"/>
      <c r="CT24" s="17"/>
      <c r="CU24" s="3"/>
      <c r="CV24" s="3"/>
      <c r="CW24" s="3"/>
      <c r="CX24" s="3"/>
      <c r="CY24" s="17"/>
      <c r="CZ24" s="3"/>
      <c r="DA24" s="3"/>
      <c r="DB24" s="16"/>
      <c r="DC24" s="3"/>
      <c r="DD24" s="17"/>
      <c r="DE24" s="3"/>
      <c r="DF24" s="3"/>
      <c r="DG24" s="16"/>
      <c r="DH24" s="3"/>
      <c r="DI24" s="17"/>
      <c r="DJ24" s="3"/>
      <c r="DK24" s="3"/>
      <c r="DL24" s="3"/>
      <c r="DM24" s="3"/>
      <c r="DN24" s="17"/>
      <c r="DO24" s="3"/>
      <c r="DP24" s="3"/>
      <c r="DQ24" s="16"/>
      <c r="DR24" s="3"/>
      <c r="DS24" s="17"/>
      <c r="DT24" s="3"/>
      <c r="DU24" s="3"/>
      <c r="DV24" s="16"/>
      <c r="DW24" s="3"/>
      <c r="DX24" s="17"/>
      <c r="DY24" s="3"/>
      <c r="DZ24" s="3"/>
      <c r="EA24" s="3"/>
      <c r="EB24" s="3"/>
      <c r="EC24" s="17"/>
      <c r="ED24" s="3"/>
      <c r="EE24" s="3"/>
      <c r="EF24" s="16"/>
      <c r="EG24" s="3"/>
      <c r="EH24" s="17"/>
      <c r="EI24" s="3"/>
      <c r="EJ24" s="3"/>
      <c r="EK24" s="16"/>
      <c r="EL24" s="3"/>
      <c r="EM24" s="17"/>
      <c r="EN24" s="3"/>
      <c r="EO24" s="3"/>
      <c r="EP24" s="3"/>
      <c r="EQ24" s="3"/>
      <c r="ER24" s="17"/>
      <c r="ES24" s="3"/>
      <c r="ET24" s="3"/>
      <c r="EU24" s="16"/>
      <c r="EV24" s="3"/>
      <c r="EW24" s="17"/>
      <c r="EX24" s="3"/>
    </row>
    <row r="25" spans="3:154" s="25" customFormat="1" ht="14.45" customHeight="1" x14ac:dyDescent="0.25">
      <c r="C25" s="34"/>
      <c r="D25" s="35"/>
      <c r="E25" s="35"/>
      <c r="F25" s="35"/>
      <c r="G25" s="36"/>
      <c r="H25" s="1"/>
      <c r="I25" s="1"/>
      <c r="J25" s="1"/>
      <c r="K25" s="1"/>
      <c r="L25" s="1"/>
      <c r="M25" s="1"/>
      <c r="N25" s="1"/>
      <c r="O25" s="1"/>
      <c r="P25" s="1"/>
      <c r="Q25" s="1"/>
      <c r="R25" s="1"/>
      <c r="S25" s="1"/>
      <c r="T25" s="3"/>
      <c r="U25" s="16"/>
      <c r="V25" s="3"/>
      <c r="W25" s="17"/>
      <c r="X25" s="3"/>
      <c r="Y25" s="3"/>
      <c r="Z25" s="3"/>
      <c r="AA25" s="3"/>
      <c r="AB25" s="17"/>
      <c r="AC25" s="3"/>
      <c r="AD25" s="3"/>
      <c r="AE25" s="16"/>
      <c r="AF25" s="3"/>
      <c r="AG25" s="17"/>
      <c r="AH25" s="3"/>
      <c r="AI25" s="3"/>
      <c r="AJ25" s="16"/>
      <c r="AK25" s="3"/>
      <c r="AL25" s="17"/>
      <c r="AM25" s="3"/>
      <c r="AN25" s="3"/>
      <c r="AO25" s="3"/>
      <c r="AP25" s="3"/>
      <c r="AQ25" s="17"/>
      <c r="AR25" s="3"/>
      <c r="AS25" s="3"/>
      <c r="AT25" s="16"/>
      <c r="AU25" s="3"/>
      <c r="AV25" s="17"/>
      <c r="AW25" s="3"/>
      <c r="AX25" s="3"/>
      <c r="AY25" s="16"/>
      <c r="AZ25" s="3"/>
      <c r="BA25" s="17"/>
      <c r="BB25" s="3"/>
      <c r="BC25" s="3"/>
      <c r="BD25" s="3"/>
      <c r="BE25" s="3"/>
      <c r="BF25" s="17"/>
      <c r="BG25" s="3"/>
      <c r="BH25" s="3"/>
      <c r="BI25" s="16"/>
      <c r="BJ25" s="3"/>
      <c r="BK25" s="17"/>
      <c r="BL25" s="3"/>
      <c r="BM25" s="3"/>
      <c r="BN25" s="16"/>
      <c r="BO25" s="3"/>
      <c r="BP25" s="17"/>
      <c r="BQ25" s="3"/>
      <c r="BR25" s="3"/>
      <c r="BS25" s="3"/>
      <c r="BT25" s="3"/>
      <c r="BU25" s="17"/>
      <c r="BV25" s="3"/>
      <c r="BW25" s="3"/>
      <c r="BX25" s="16"/>
      <c r="BY25" s="3"/>
      <c r="BZ25" s="17"/>
      <c r="CA25" s="3"/>
      <c r="CB25" s="3"/>
      <c r="CC25" s="16"/>
      <c r="CD25" s="3"/>
      <c r="CE25" s="17"/>
      <c r="CF25" s="3"/>
      <c r="CG25" s="18"/>
      <c r="CH25" s="18"/>
      <c r="CI25" s="18"/>
      <c r="CJ25" s="17"/>
      <c r="CK25" s="18"/>
      <c r="CL25" s="3"/>
      <c r="CM25" s="16"/>
      <c r="CN25" s="3"/>
      <c r="CO25" s="17"/>
      <c r="CP25" s="3"/>
      <c r="CQ25" s="3"/>
      <c r="CR25" s="16"/>
      <c r="CS25" s="3"/>
      <c r="CT25" s="17"/>
      <c r="CU25" s="3"/>
      <c r="CV25" s="3"/>
      <c r="CW25" s="3"/>
      <c r="CX25" s="3"/>
      <c r="CY25" s="17"/>
      <c r="CZ25" s="3"/>
      <c r="DA25" s="3"/>
      <c r="DB25" s="16"/>
      <c r="DC25" s="3"/>
      <c r="DD25" s="17"/>
      <c r="DE25" s="3"/>
      <c r="DF25" s="3"/>
      <c r="DG25" s="16"/>
      <c r="DH25" s="3"/>
      <c r="DI25" s="17"/>
      <c r="DJ25" s="3"/>
      <c r="DK25" s="3"/>
      <c r="DL25" s="3"/>
      <c r="DM25" s="3"/>
      <c r="DN25" s="17"/>
      <c r="DO25" s="3"/>
      <c r="DP25" s="3"/>
      <c r="DQ25" s="16"/>
      <c r="DR25" s="3"/>
      <c r="DS25" s="17"/>
      <c r="DT25" s="3"/>
      <c r="DU25" s="3"/>
      <c r="DV25" s="16"/>
      <c r="DW25" s="3"/>
      <c r="DX25" s="17"/>
      <c r="DY25" s="3"/>
      <c r="DZ25" s="3"/>
      <c r="EA25" s="3"/>
      <c r="EB25" s="3"/>
      <c r="EC25" s="17"/>
      <c r="ED25" s="3"/>
      <c r="EE25" s="3"/>
      <c r="EF25" s="16"/>
      <c r="EG25" s="3"/>
      <c r="EH25" s="17"/>
      <c r="EI25" s="3"/>
      <c r="EJ25" s="3"/>
      <c r="EK25" s="16"/>
      <c r="EL25" s="3"/>
      <c r="EM25" s="17"/>
      <c r="EN25" s="3"/>
      <c r="EO25" s="3"/>
      <c r="EP25" s="3"/>
      <c r="EQ25" s="3"/>
      <c r="ER25" s="17"/>
      <c r="ES25" s="3"/>
      <c r="ET25" s="3"/>
      <c r="EU25" s="16"/>
      <c r="EV25" s="3"/>
      <c r="EW25" s="17"/>
      <c r="EX25" s="3"/>
    </row>
    <row r="26" spans="3:154" s="25" customFormat="1" ht="14.45" customHeight="1" x14ac:dyDescent="0.25">
      <c r="C26" s="37"/>
      <c r="D26" s="38"/>
      <c r="E26" s="38"/>
      <c r="F26" s="38"/>
      <c r="G26" s="39"/>
      <c r="H26" s="1"/>
      <c r="I26" s="1"/>
      <c r="J26" s="1"/>
      <c r="K26" s="1"/>
      <c r="L26" s="1"/>
      <c r="M26" s="1"/>
      <c r="N26" s="1"/>
      <c r="O26" s="1"/>
      <c r="P26" s="1"/>
      <c r="Q26" s="1"/>
      <c r="R26" s="1"/>
      <c r="S26" s="1"/>
      <c r="T26" s="3"/>
      <c r="U26" s="16"/>
      <c r="V26" s="3"/>
      <c r="W26" s="17"/>
      <c r="X26" s="3"/>
      <c r="Y26" s="3"/>
      <c r="Z26" s="3"/>
      <c r="AA26" s="3"/>
      <c r="AB26" s="17"/>
      <c r="AC26" s="3"/>
      <c r="AD26" s="3"/>
      <c r="AE26" s="16"/>
      <c r="AF26" s="3"/>
      <c r="AG26" s="17"/>
      <c r="AH26" s="3"/>
      <c r="AI26" s="3"/>
      <c r="AJ26" s="16"/>
      <c r="AK26" s="3"/>
      <c r="AL26" s="17"/>
      <c r="AM26" s="3"/>
      <c r="AN26" s="3"/>
      <c r="AO26" s="3"/>
      <c r="AP26" s="3"/>
      <c r="AQ26" s="17"/>
      <c r="AR26" s="3"/>
      <c r="AS26" s="3"/>
      <c r="AT26" s="16"/>
      <c r="AU26" s="3"/>
      <c r="AV26" s="17"/>
      <c r="AW26" s="3"/>
      <c r="AX26" s="3"/>
      <c r="AY26" s="16"/>
      <c r="AZ26" s="3"/>
      <c r="BA26" s="17"/>
      <c r="BB26" s="3"/>
      <c r="BC26" s="3"/>
      <c r="BD26" s="3"/>
      <c r="BE26" s="3"/>
      <c r="BF26" s="17"/>
      <c r="BG26" s="3"/>
      <c r="BH26" s="3"/>
      <c r="BI26" s="16"/>
      <c r="BJ26" s="3"/>
      <c r="BK26" s="17"/>
      <c r="BL26" s="3"/>
      <c r="BM26" s="3"/>
      <c r="BN26" s="16"/>
      <c r="BO26" s="3"/>
      <c r="BP26" s="17"/>
      <c r="BQ26" s="3"/>
      <c r="BR26" s="3"/>
      <c r="BS26" s="3"/>
      <c r="BT26" s="3"/>
      <c r="BU26" s="17"/>
      <c r="BV26" s="3"/>
      <c r="BW26" s="3"/>
      <c r="BX26" s="16"/>
      <c r="BY26" s="3"/>
      <c r="BZ26" s="17"/>
      <c r="CA26" s="3"/>
      <c r="CB26" s="3"/>
      <c r="CC26" s="16"/>
      <c r="CD26" s="3"/>
      <c r="CE26" s="17"/>
      <c r="CF26" s="3"/>
      <c r="CG26" s="18"/>
      <c r="CH26" s="18"/>
      <c r="CI26" s="18"/>
      <c r="CJ26" s="17"/>
      <c r="CK26" s="18"/>
      <c r="CL26" s="3"/>
      <c r="CM26" s="16"/>
      <c r="CN26" s="3"/>
      <c r="CO26" s="17"/>
      <c r="CP26" s="3"/>
      <c r="CQ26" s="3"/>
      <c r="CR26" s="16"/>
      <c r="CS26" s="3"/>
      <c r="CT26" s="17"/>
      <c r="CU26" s="3"/>
      <c r="CV26" s="3"/>
      <c r="CW26" s="3"/>
      <c r="CX26" s="3"/>
      <c r="CY26" s="17"/>
      <c r="CZ26" s="3"/>
      <c r="DA26" s="3"/>
      <c r="DB26" s="16"/>
      <c r="DC26" s="3"/>
      <c r="DD26" s="17"/>
      <c r="DE26" s="3"/>
      <c r="DF26" s="3"/>
      <c r="DG26" s="16"/>
      <c r="DH26" s="3"/>
      <c r="DI26" s="17"/>
      <c r="DJ26" s="3"/>
      <c r="DK26" s="3"/>
      <c r="DL26" s="3"/>
      <c r="DM26" s="3"/>
      <c r="DN26" s="17"/>
      <c r="DO26" s="3"/>
      <c r="DP26" s="3"/>
      <c r="DQ26" s="16"/>
      <c r="DR26" s="3"/>
      <c r="DS26" s="17"/>
      <c r="DT26" s="3"/>
      <c r="DU26" s="3"/>
      <c r="DV26" s="16"/>
      <c r="DW26" s="3"/>
      <c r="DX26" s="17"/>
      <c r="DY26" s="3"/>
      <c r="DZ26" s="3"/>
      <c r="EA26" s="3"/>
      <c r="EB26" s="3"/>
      <c r="EC26" s="17"/>
      <c r="ED26" s="3"/>
      <c r="EE26" s="3"/>
      <c r="EF26" s="16"/>
      <c r="EG26" s="3"/>
      <c r="EH26" s="17"/>
      <c r="EI26" s="3"/>
      <c r="EJ26" s="3"/>
      <c r="EK26" s="16"/>
      <c r="EL26" s="3"/>
      <c r="EM26" s="17"/>
      <c r="EN26" s="3"/>
      <c r="EO26" s="3"/>
      <c r="EP26" s="3"/>
      <c r="EQ26" s="3"/>
      <c r="ER26" s="17"/>
      <c r="ES26" s="3"/>
      <c r="ET26" s="3"/>
      <c r="EU26" s="16"/>
      <c r="EV26" s="3"/>
      <c r="EW26" s="17"/>
      <c r="EX26" s="3"/>
    </row>
    <row r="27" spans="3:154" s="25" customFormat="1" ht="15" customHeight="1" x14ac:dyDescent="0.25">
      <c r="H27" s="1"/>
      <c r="I27" s="1"/>
      <c r="J27" s="1"/>
      <c r="K27" s="1"/>
      <c r="L27" s="1"/>
      <c r="M27" s="1"/>
      <c r="N27" s="1"/>
      <c r="O27" s="1"/>
      <c r="P27" s="1"/>
      <c r="Q27" s="1"/>
      <c r="R27" s="1"/>
      <c r="S27" s="1"/>
      <c r="T27" s="3"/>
      <c r="U27" s="16"/>
      <c r="V27" s="3"/>
      <c r="W27" s="17"/>
      <c r="X27" s="3"/>
      <c r="Y27" s="3"/>
      <c r="Z27" s="3"/>
      <c r="AA27" s="3"/>
      <c r="AB27" s="17"/>
      <c r="AC27" s="3"/>
      <c r="AD27" s="3"/>
      <c r="AE27" s="16"/>
      <c r="AF27" s="3"/>
      <c r="AG27" s="17"/>
      <c r="AH27" s="3"/>
      <c r="AI27" s="3"/>
      <c r="AJ27" s="16"/>
      <c r="AK27" s="3"/>
      <c r="AL27" s="17"/>
      <c r="AM27" s="3"/>
      <c r="AN27" s="3"/>
      <c r="AO27" s="3"/>
      <c r="AP27" s="3"/>
      <c r="AQ27" s="17"/>
      <c r="AR27" s="3"/>
      <c r="AS27" s="3"/>
      <c r="AT27" s="16"/>
      <c r="AU27" s="3"/>
      <c r="AV27" s="17"/>
      <c r="AW27" s="3"/>
      <c r="AX27" s="3"/>
      <c r="AY27" s="16"/>
      <c r="AZ27" s="3"/>
      <c r="BA27" s="17"/>
      <c r="BB27" s="3"/>
      <c r="BC27" s="3"/>
      <c r="BD27" s="3"/>
      <c r="BE27" s="3"/>
      <c r="BF27" s="17"/>
      <c r="BG27" s="3"/>
      <c r="BH27" s="3"/>
      <c r="BI27" s="16"/>
      <c r="BJ27" s="3"/>
      <c r="BK27" s="17"/>
      <c r="BL27" s="3"/>
      <c r="BM27" s="3"/>
      <c r="BN27" s="16"/>
      <c r="BO27" s="3"/>
      <c r="BP27" s="17"/>
      <c r="BQ27" s="3"/>
      <c r="BR27" s="3"/>
      <c r="BS27" s="3"/>
      <c r="BT27" s="3"/>
      <c r="BU27" s="17"/>
      <c r="BV27" s="3"/>
      <c r="BW27" s="3"/>
      <c r="BX27" s="16"/>
      <c r="BY27" s="3"/>
      <c r="BZ27" s="17"/>
      <c r="CA27" s="3"/>
      <c r="CB27" s="3"/>
      <c r="CC27" s="16"/>
      <c r="CD27" s="3"/>
      <c r="CE27" s="17"/>
      <c r="CF27" s="3"/>
      <c r="CG27" s="18"/>
      <c r="CH27" s="18"/>
      <c r="CI27" s="18"/>
      <c r="CJ27" s="17"/>
      <c r="CK27" s="18"/>
      <c r="CL27" s="3"/>
      <c r="CM27" s="16"/>
      <c r="CN27" s="3"/>
      <c r="CO27" s="17"/>
      <c r="CP27" s="3"/>
      <c r="CQ27" s="3"/>
      <c r="CR27" s="16"/>
      <c r="CS27" s="3"/>
      <c r="CT27" s="17"/>
      <c r="CU27" s="3"/>
      <c r="CV27" s="3"/>
      <c r="CW27" s="3"/>
      <c r="CX27" s="3"/>
      <c r="CY27" s="17"/>
      <c r="CZ27" s="3"/>
      <c r="DA27" s="3"/>
      <c r="DB27" s="16"/>
      <c r="DC27" s="3"/>
      <c r="DD27" s="17"/>
      <c r="DE27" s="3"/>
      <c r="DF27" s="3"/>
      <c r="DG27" s="16"/>
      <c r="DH27" s="3"/>
      <c r="DI27" s="17"/>
      <c r="DJ27" s="3"/>
      <c r="DK27" s="3"/>
      <c r="DL27" s="3"/>
      <c r="DM27" s="3"/>
      <c r="DN27" s="17"/>
      <c r="DO27" s="3"/>
      <c r="DP27" s="3"/>
      <c r="DQ27" s="16"/>
      <c r="DR27" s="3"/>
      <c r="DS27" s="17"/>
      <c r="DT27" s="3"/>
      <c r="DU27" s="3"/>
      <c r="DV27" s="16"/>
      <c r="DW27" s="3"/>
      <c r="DX27" s="17"/>
      <c r="DY27" s="3"/>
      <c r="DZ27" s="3"/>
      <c r="EA27" s="3"/>
      <c r="EB27" s="3"/>
      <c r="EC27" s="17"/>
      <c r="ED27" s="3"/>
      <c r="EE27" s="3"/>
      <c r="EF27" s="16"/>
      <c r="EG27" s="3"/>
      <c r="EH27" s="17"/>
      <c r="EI27" s="3"/>
      <c r="EJ27" s="3"/>
      <c r="EK27" s="16"/>
      <c r="EL27" s="3"/>
      <c r="EM27" s="17"/>
      <c r="EN27" s="3"/>
      <c r="EO27" s="3"/>
      <c r="EP27" s="3"/>
      <c r="EQ27" s="3"/>
      <c r="ER27" s="17"/>
      <c r="ES27" s="3"/>
      <c r="ET27" s="3"/>
      <c r="EU27" s="16"/>
      <c r="EV27" s="3"/>
      <c r="EW27" s="17"/>
      <c r="EX27" s="3"/>
    </row>
    <row r="28" spans="3:154" s="25" customFormat="1" ht="15" customHeight="1" x14ac:dyDescent="0.25">
      <c r="C28" s="31" t="s">
        <v>11</v>
      </c>
      <c r="D28" s="32"/>
      <c r="E28" s="32"/>
      <c r="F28" s="32"/>
      <c r="G28" s="33"/>
      <c r="H28" s="1"/>
      <c r="I28" s="1"/>
      <c r="J28" s="1"/>
      <c r="K28" s="1"/>
      <c r="L28" s="1"/>
      <c r="M28" s="1"/>
      <c r="N28" s="1"/>
      <c r="O28" s="1"/>
      <c r="P28" s="1"/>
      <c r="Q28" s="1"/>
      <c r="R28" s="1"/>
      <c r="S28" s="1"/>
      <c r="T28" s="3"/>
      <c r="U28" s="16"/>
      <c r="V28" s="3"/>
      <c r="W28" s="17"/>
      <c r="X28" s="3"/>
      <c r="Y28" s="3"/>
      <c r="Z28" s="3"/>
      <c r="AA28" s="3"/>
      <c r="AB28" s="17"/>
      <c r="AC28" s="3"/>
      <c r="AD28" s="3"/>
      <c r="AE28" s="16"/>
      <c r="AF28" s="3"/>
      <c r="AG28" s="17"/>
      <c r="AH28" s="3"/>
      <c r="AI28" s="3"/>
      <c r="AJ28" s="16"/>
      <c r="AK28" s="3"/>
      <c r="AL28" s="17"/>
      <c r="AM28" s="3"/>
      <c r="AN28" s="3"/>
      <c r="AO28" s="3"/>
      <c r="AP28" s="3"/>
      <c r="AQ28" s="17"/>
      <c r="AR28" s="3"/>
      <c r="AS28" s="3"/>
      <c r="AT28" s="16"/>
      <c r="AU28" s="3"/>
      <c r="AV28" s="17"/>
      <c r="AW28" s="3"/>
      <c r="AX28" s="3"/>
      <c r="AY28" s="16"/>
      <c r="AZ28" s="3"/>
      <c r="BA28" s="17"/>
      <c r="BB28" s="3"/>
      <c r="BC28" s="3"/>
      <c r="BD28" s="3"/>
      <c r="BE28" s="3"/>
      <c r="BF28" s="17"/>
      <c r="BG28" s="3"/>
      <c r="BH28" s="3"/>
      <c r="BI28" s="16"/>
      <c r="BJ28" s="3"/>
      <c r="BK28" s="17"/>
      <c r="BL28" s="3"/>
      <c r="BM28" s="3"/>
      <c r="BN28" s="16"/>
      <c r="BO28" s="3"/>
      <c r="BP28" s="17"/>
      <c r="BQ28" s="3"/>
      <c r="BR28" s="3"/>
      <c r="BS28" s="3"/>
      <c r="BT28" s="3"/>
      <c r="BU28" s="17"/>
      <c r="BV28" s="3"/>
      <c r="BW28" s="3"/>
      <c r="BX28" s="16"/>
      <c r="BY28" s="3"/>
      <c r="BZ28" s="17"/>
      <c r="CA28" s="3"/>
      <c r="CB28" s="3"/>
      <c r="CC28" s="16"/>
      <c r="CD28" s="3"/>
      <c r="CE28" s="17"/>
      <c r="CF28" s="3"/>
      <c r="CG28" s="18"/>
      <c r="CH28" s="18"/>
      <c r="CI28" s="18"/>
      <c r="CJ28" s="17"/>
      <c r="CK28" s="18"/>
      <c r="CL28" s="3"/>
      <c r="CM28" s="16"/>
      <c r="CN28" s="3"/>
      <c r="CO28" s="17"/>
      <c r="CP28" s="3"/>
      <c r="CQ28" s="3"/>
      <c r="CR28" s="16"/>
      <c r="CS28" s="3"/>
      <c r="CT28" s="17"/>
      <c r="CU28" s="3"/>
      <c r="CV28" s="3"/>
      <c r="CW28" s="3"/>
      <c r="CX28" s="3"/>
      <c r="CY28" s="17"/>
      <c r="CZ28" s="3"/>
      <c r="DA28" s="3"/>
      <c r="DB28" s="16"/>
      <c r="DC28" s="3"/>
      <c r="DD28" s="17"/>
      <c r="DE28" s="3"/>
      <c r="DF28" s="3"/>
      <c r="DG28" s="16"/>
      <c r="DH28" s="3"/>
      <c r="DI28" s="17"/>
      <c r="DJ28" s="3"/>
      <c r="DK28" s="3"/>
      <c r="DL28" s="3"/>
      <c r="DM28" s="3"/>
      <c r="DN28" s="17"/>
      <c r="DO28" s="3"/>
      <c r="DP28" s="3"/>
      <c r="DQ28" s="16"/>
      <c r="DR28" s="3"/>
      <c r="DS28" s="17"/>
      <c r="DT28" s="3"/>
      <c r="DU28" s="3"/>
      <c r="DV28" s="16"/>
      <c r="DW28" s="3"/>
      <c r="DX28" s="17"/>
      <c r="DY28" s="3"/>
      <c r="DZ28" s="3"/>
      <c r="EA28" s="3"/>
      <c r="EB28" s="3"/>
      <c r="EC28" s="17"/>
      <c r="ED28" s="3"/>
      <c r="EE28" s="3"/>
      <c r="EF28" s="16"/>
      <c r="EG28" s="3"/>
      <c r="EH28" s="17"/>
      <c r="EI28" s="3"/>
      <c r="EJ28" s="3"/>
      <c r="EK28" s="16"/>
      <c r="EL28" s="3"/>
      <c r="EM28" s="17"/>
      <c r="EN28" s="3"/>
      <c r="EO28" s="3"/>
      <c r="EP28" s="3"/>
      <c r="EQ28" s="3"/>
      <c r="ER28" s="17"/>
      <c r="ES28" s="3"/>
      <c r="ET28" s="3"/>
      <c r="EU28" s="16"/>
      <c r="EV28" s="3"/>
      <c r="EW28" s="17"/>
      <c r="EX28" s="3"/>
    </row>
    <row r="29" spans="3:154" s="25" customFormat="1" ht="15" customHeight="1" x14ac:dyDescent="0.25">
      <c r="C29" s="34"/>
      <c r="D29" s="35"/>
      <c r="E29" s="35"/>
      <c r="F29" s="35"/>
      <c r="G29" s="36"/>
      <c r="H29" s="1"/>
      <c r="I29" s="1"/>
      <c r="J29" s="1"/>
      <c r="K29" s="1"/>
      <c r="L29" s="1"/>
      <c r="M29" s="1"/>
      <c r="N29" s="1"/>
      <c r="O29" s="1"/>
      <c r="P29" s="1"/>
      <c r="Q29" s="1"/>
      <c r="R29" s="1"/>
      <c r="S29" s="1"/>
      <c r="T29" s="3"/>
      <c r="U29" s="16"/>
      <c r="V29" s="3"/>
      <c r="W29" s="17"/>
      <c r="X29" s="3"/>
      <c r="Y29" s="3"/>
      <c r="Z29" s="3"/>
      <c r="AA29" s="3"/>
      <c r="AB29" s="17"/>
      <c r="AC29" s="3"/>
      <c r="AD29" s="3"/>
      <c r="AE29" s="16"/>
      <c r="AF29" s="3"/>
      <c r="AG29" s="17"/>
      <c r="AH29" s="3"/>
      <c r="AI29" s="3"/>
      <c r="AJ29" s="16"/>
      <c r="AK29" s="3"/>
      <c r="AL29" s="17"/>
      <c r="AM29" s="3"/>
      <c r="AN29" s="3"/>
      <c r="AO29" s="3"/>
      <c r="AP29" s="3"/>
      <c r="AQ29" s="17"/>
      <c r="AR29" s="3"/>
      <c r="AS29" s="3"/>
      <c r="AT29" s="16"/>
      <c r="AU29" s="3"/>
      <c r="AV29" s="17"/>
      <c r="AW29" s="3"/>
      <c r="AX29" s="3"/>
      <c r="AY29" s="16"/>
      <c r="AZ29" s="3"/>
      <c r="BA29" s="17"/>
      <c r="BB29" s="3"/>
      <c r="BC29" s="3"/>
      <c r="BD29" s="3"/>
      <c r="BE29" s="3"/>
      <c r="BF29" s="17"/>
      <c r="BG29" s="3"/>
      <c r="BH29" s="3"/>
      <c r="BI29" s="16"/>
      <c r="BJ29" s="3"/>
      <c r="BK29" s="17"/>
      <c r="BL29" s="3"/>
      <c r="BM29" s="3"/>
      <c r="BN29" s="16"/>
      <c r="BO29" s="3"/>
      <c r="BP29" s="17"/>
      <c r="BQ29" s="3"/>
      <c r="BR29" s="3"/>
      <c r="BS29" s="3"/>
      <c r="BT29" s="3"/>
      <c r="BU29" s="17"/>
      <c r="BV29" s="3"/>
      <c r="BW29" s="3"/>
      <c r="BX29" s="16"/>
      <c r="BY29" s="3"/>
      <c r="BZ29" s="17"/>
      <c r="CA29" s="3"/>
      <c r="CB29" s="3"/>
      <c r="CC29" s="16"/>
      <c r="CD29" s="3"/>
      <c r="CE29" s="17"/>
      <c r="CF29" s="3"/>
      <c r="CG29" s="18"/>
      <c r="CH29" s="18"/>
      <c r="CI29" s="18"/>
      <c r="CJ29" s="17"/>
      <c r="CK29" s="18"/>
      <c r="CL29" s="3"/>
      <c r="CM29" s="16"/>
      <c r="CN29" s="3"/>
      <c r="CO29" s="17"/>
      <c r="CP29" s="3"/>
      <c r="CQ29" s="3"/>
      <c r="CR29" s="16"/>
      <c r="CS29" s="3"/>
      <c r="CT29" s="17"/>
      <c r="CU29" s="3"/>
      <c r="CV29" s="3"/>
      <c r="CW29" s="3"/>
      <c r="CX29" s="3"/>
      <c r="CY29" s="17"/>
      <c r="CZ29" s="3"/>
      <c r="DA29" s="3"/>
      <c r="DB29" s="16"/>
      <c r="DC29" s="3"/>
      <c r="DD29" s="17"/>
      <c r="DE29" s="3"/>
      <c r="DF29" s="3"/>
      <c r="DG29" s="16"/>
      <c r="DH29" s="3"/>
      <c r="DI29" s="17"/>
      <c r="DJ29" s="3"/>
      <c r="DK29" s="3"/>
      <c r="DL29" s="3"/>
      <c r="DM29" s="3"/>
      <c r="DN29" s="17"/>
      <c r="DO29" s="3"/>
      <c r="DP29" s="3"/>
      <c r="DQ29" s="16"/>
      <c r="DR29" s="3"/>
      <c r="DS29" s="17"/>
      <c r="DT29" s="3"/>
      <c r="DU29" s="3"/>
      <c r="DV29" s="16"/>
      <c r="DW29" s="3"/>
      <c r="DX29" s="17"/>
      <c r="DY29" s="3"/>
      <c r="DZ29" s="3"/>
      <c r="EA29" s="3"/>
      <c r="EB29" s="3"/>
      <c r="EC29" s="17"/>
      <c r="ED29" s="3"/>
      <c r="EE29" s="3"/>
      <c r="EF29" s="16"/>
      <c r="EG29" s="3"/>
      <c r="EH29" s="17"/>
      <c r="EI29" s="3"/>
      <c r="EJ29" s="3"/>
      <c r="EK29" s="16"/>
      <c r="EL29" s="3"/>
      <c r="EM29" s="17"/>
      <c r="EN29" s="3"/>
      <c r="EO29" s="3"/>
      <c r="EP29" s="3"/>
      <c r="EQ29" s="3"/>
      <c r="ER29" s="17"/>
      <c r="ES29" s="3"/>
      <c r="ET29" s="3"/>
      <c r="EU29" s="16"/>
      <c r="EV29" s="3"/>
      <c r="EW29" s="17"/>
      <c r="EX29" s="3"/>
    </row>
    <row r="30" spans="3:154" s="25" customFormat="1" ht="14.45" customHeight="1" x14ac:dyDescent="0.25">
      <c r="C30" s="37"/>
      <c r="D30" s="38"/>
      <c r="E30" s="38"/>
      <c r="F30" s="38"/>
      <c r="G30" s="39"/>
      <c r="H30" s="1"/>
      <c r="I30" s="1"/>
      <c r="J30" s="1"/>
      <c r="K30" s="1"/>
      <c r="L30" s="1"/>
      <c r="M30" s="1"/>
      <c r="N30" s="1"/>
      <c r="O30" s="1"/>
      <c r="P30" s="1"/>
      <c r="Q30" s="1"/>
      <c r="R30" s="1"/>
      <c r="S30" s="1"/>
      <c r="T30" s="3"/>
      <c r="U30" s="16"/>
      <c r="V30" s="3"/>
      <c r="W30" s="17"/>
      <c r="X30" s="3"/>
      <c r="Y30" s="3"/>
      <c r="Z30" s="3"/>
      <c r="AA30" s="3"/>
      <c r="AB30" s="17"/>
      <c r="AC30" s="3"/>
      <c r="AD30" s="3"/>
      <c r="AE30" s="16"/>
      <c r="AF30" s="3"/>
      <c r="AG30" s="17"/>
      <c r="AH30" s="3"/>
      <c r="AI30" s="3"/>
      <c r="AJ30" s="16"/>
      <c r="AK30" s="3"/>
      <c r="AL30" s="17"/>
      <c r="AM30" s="3"/>
      <c r="AN30" s="3"/>
      <c r="AO30" s="3"/>
      <c r="AP30" s="3"/>
      <c r="AQ30" s="17"/>
      <c r="AR30" s="3"/>
      <c r="AS30" s="3"/>
      <c r="AT30" s="16"/>
      <c r="AU30" s="3"/>
      <c r="AV30" s="17"/>
      <c r="AW30" s="3"/>
      <c r="AX30" s="3"/>
      <c r="AY30" s="16"/>
      <c r="AZ30" s="3"/>
      <c r="BA30" s="17"/>
      <c r="BB30" s="3"/>
      <c r="BC30" s="3"/>
      <c r="BD30" s="3"/>
      <c r="BE30" s="3"/>
      <c r="BF30" s="17"/>
      <c r="BG30" s="3"/>
      <c r="BH30" s="3"/>
      <c r="BI30" s="16"/>
      <c r="BJ30" s="3"/>
      <c r="BK30" s="17"/>
      <c r="BL30" s="3"/>
      <c r="BM30" s="3"/>
      <c r="BN30" s="16"/>
      <c r="BO30" s="3"/>
      <c r="BP30" s="17"/>
      <c r="BQ30" s="3"/>
      <c r="BR30" s="3"/>
      <c r="BS30" s="3"/>
      <c r="BT30" s="3"/>
      <c r="BU30" s="17"/>
      <c r="BV30" s="3"/>
      <c r="BW30" s="3"/>
      <c r="BX30" s="16"/>
      <c r="BY30" s="3"/>
      <c r="BZ30" s="17"/>
      <c r="CA30" s="3"/>
      <c r="CB30" s="3"/>
      <c r="CC30" s="16"/>
      <c r="CD30" s="3"/>
      <c r="CE30" s="17"/>
      <c r="CF30" s="3"/>
      <c r="CG30" s="18"/>
      <c r="CH30" s="18"/>
      <c r="CI30" s="18"/>
      <c r="CJ30" s="17"/>
      <c r="CK30" s="18"/>
      <c r="CL30" s="3"/>
      <c r="CM30" s="16"/>
      <c r="CN30" s="3"/>
      <c r="CO30" s="17"/>
      <c r="CP30" s="3"/>
      <c r="CQ30" s="3"/>
      <c r="CR30" s="16"/>
      <c r="CS30" s="3"/>
      <c r="CT30" s="17"/>
      <c r="CU30" s="3"/>
      <c r="CV30" s="3"/>
      <c r="CW30" s="3"/>
      <c r="CX30" s="3"/>
      <c r="CY30" s="17"/>
      <c r="CZ30" s="3"/>
      <c r="DA30" s="3"/>
      <c r="DB30" s="16"/>
      <c r="DC30" s="3"/>
      <c r="DD30" s="17"/>
      <c r="DE30" s="3"/>
      <c r="DF30" s="3"/>
      <c r="DG30" s="16"/>
      <c r="DH30" s="3"/>
      <c r="DI30" s="17"/>
      <c r="DJ30" s="3"/>
      <c r="DK30" s="3"/>
      <c r="DL30" s="3"/>
      <c r="DM30" s="3"/>
      <c r="DN30" s="17"/>
      <c r="DO30" s="3"/>
      <c r="DP30" s="3"/>
      <c r="DQ30" s="16"/>
      <c r="DR30" s="3"/>
      <c r="DS30" s="17"/>
      <c r="DT30" s="3"/>
      <c r="DU30" s="3"/>
      <c r="DV30" s="16"/>
      <c r="DW30" s="3"/>
      <c r="DX30" s="17"/>
      <c r="DY30" s="3"/>
      <c r="DZ30" s="3"/>
      <c r="EA30" s="3"/>
      <c r="EB30" s="3"/>
      <c r="EC30" s="17"/>
      <c r="ED30" s="3"/>
      <c r="EE30" s="3"/>
      <c r="EF30" s="16"/>
      <c r="EG30" s="3"/>
      <c r="EH30" s="17"/>
      <c r="EI30" s="3"/>
      <c r="EJ30" s="3"/>
      <c r="EK30" s="16"/>
      <c r="EL30" s="3"/>
      <c r="EM30" s="17"/>
      <c r="EN30" s="3"/>
      <c r="EO30" s="3"/>
      <c r="EP30" s="3"/>
      <c r="EQ30" s="3"/>
      <c r="ER30" s="17"/>
      <c r="ES30" s="3"/>
      <c r="ET30" s="3"/>
      <c r="EU30" s="16"/>
      <c r="EV30" s="3"/>
      <c r="EW30" s="17"/>
      <c r="EX30" s="3"/>
    </row>
    <row r="31" spans="3:154" s="25" customFormat="1" ht="14.45" customHeight="1" x14ac:dyDescent="0.25">
      <c r="C31" s="1"/>
      <c r="D31" s="1"/>
      <c r="E31" s="1"/>
      <c r="F31" s="1"/>
      <c r="G31" s="1"/>
      <c r="H31" s="1"/>
      <c r="I31" s="1"/>
      <c r="J31" s="1"/>
      <c r="K31" s="1"/>
      <c r="L31" s="1"/>
      <c r="M31" s="1"/>
      <c r="N31" s="1"/>
      <c r="O31" s="1"/>
      <c r="P31" s="1"/>
      <c r="Q31" s="1"/>
      <c r="R31" s="1"/>
      <c r="S31" s="1"/>
      <c r="T31" s="3"/>
      <c r="U31" s="16"/>
      <c r="V31" s="3"/>
      <c r="W31" s="17"/>
      <c r="X31" s="3"/>
      <c r="Y31" s="3"/>
      <c r="Z31" s="3"/>
      <c r="AA31" s="3"/>
      <c r="AB31" s="17"/>
      <c r="AC31" s="3"/>
      <c r="AD31" s="3"/>
      <c r="AE31" s="16"/>
      <c r="AF31" s="3"/>
      <c r="AG31" s="17"/>
      <c r="AH31" s="3"/>
      <c r="AI31" s="3"/>
      <c r="AJ31" s="16"/>
      <c r="AK31" s="3"/>
      <c r="AL31" s="17"/>
      <c r="AM31" s="3"/>
      <c r="AN31" s="3"/>
      <c r="AO31" s="3"/>
      <c r="AP31" s="3"/>
      <c r="AQ31" s="17"/>
      <c r="AR31" s="3"/>
      <c r="AS31" s="3"/>
      <c r="AT31" s="16"/>
      <c r="AU31" s="3"/>
      <c r="AV31" s="17"/>
      <c r="AW31" s="3"/>
      <c r="AX31" s="3"/>
      <c r="AY31" s="16"/>
      <c r="AZ31" s="3"/>
      <c r="BA31" s="17"/>
      <c r="BB31" s="3"/>
      <c r="BC31" s="3"/>
      <c r="BD31" s="3"/>
      <c r="BE31" s="3"/>
      <c r="BF31" s="17"/>
      <c r="BG31" s="3"/>
      <c r="BH31" s="3"/>
      <c r="BI31" s="16"/>
      <c r="BJ31" s="3"/>
      <c r="BK31" s="17"/>
      <c r="BL31" s="3"/>
      <c r="BM31" s="3"/>
      <c r="BN31" s="16"/>
      <c r="BO31" s="3"/>
      <c r="BP31" s="17"/>
      <c r="BQ31" s="3"/>
      <c r="BR31" s="3"/>
      <c r="BS31" s="3"/>
      <c r="BT31" s="3"/>
      <c r="BU31" s="17"/>
      <c r="BV31" s="3"/>
      <c r="BW31" s="3"/>
      <c r="BX31" s="16"/>
      <c r="BY31" s="3"/>
      <c r="BZ31" s="17"/>
      <c r="CA31" s="3"/>
      <c r="CB31" s="3"/>
      <c r="CC31" s="16"/>
      <c r="CD31" s="3"/>
      <c r="CE31" s="17"/>
      <c r="CF31" s="3"/>
      <c r="CG31" s="18"/>
      <c r="CH31" s="18"/>
      <c r="CI31" s="18"/>
      <c r="CJ31" s="17"/>
      <c r="CK31" s="18"/>
      <c r="CL31" s="3"/>
      <c r="CM31" s="16"/>
      <c r="CN31" s="3"/>
      <c r="CO31" s="17"/>
      <c r="CP31" s="3"/>
      <c r="CQ31" s="3"/>
      <c r="CR31" s="16"/>
      <c r="CS31" s="3"/>
      <c r="CT31" s="17"/>
      <c r="CU31" s="3"/>
      <c r="CV31" s="3"/>
      <c r="CW31" s="3"/>
      <c r="CX31" s="3"/>
      <c r="CY31" s="17"/>
      <c r="CZ31" s="3"/>
      <c r="DA31" s="3"/>
      <c r="DB31" s="16"/>
      <c r="DC31" s="3"/>
      <c r="DD31" s="17"/>
      <c r="DE31" s="3"/>
      <c r="DF31" s="3"/>
      <c r="DG31" s="16"/>
      <c r="DH31" s="3"/>
      <c r="DI31" s="17"/>
      <c r="DJ31" s="3"/>
      <c r="DK31" s="3"/>
      <c r="DL31" s="3"/>
      <c r="DM31" s="3"/>
      <c r="DN31" s="17"/>
      <c r="DO31" s="3"/>
      <c r="DP31" s="3"/>
      <c r="DQ31" s="16"/>
      <c r="DR31" s="3"/>
      <c r="DS31" s="17"/>
      <c r="DT31" s="3"/>
      <c r="DU31" s="3"/>
      <c r="DV31" s="16"/>
      <c r="DW31" s="3"/>
      <c r="DX31" s="17"/>
      <c r="DY31" s="3"/>
      <c r="DZ31" s="3"/>
      <c r="EA31" s="3"/>
      <c r="EB31" s="3"/>
      <c r="EC31" s="17"/>
      <c r="ED31" s="3"/>
      <c r="EE31" s="3"/>
      <c r="EF31" s="16"/>
      <c r="EG31" s="3"/>
      <c r="EH31" s="17"/>
      <c r="EI31" s="3"/>
      <c r="EJ31" s="3"/>
      <c r="EK31" s="16"/>
      <c r="EL31" s="3"/>
      <c r="EM31" s="17"/>
      <c r="EN31" s="3"/>
      <c r="EO31" s="3"/>
      <c r="EP31" s="3"/>
      <c r="EQ31" s="3"/>
      <c r="ER31" s="17"/>
      <c r="ES31" s="3"/>
      <c r="ET31" s="3"/>
      <c r="EU31" s="16"/>
      <c r="EV31" s="3"/>
      <c r="EW31" s="17"/>
      <c r="EX31" s="3"/>
    </row>
    <row r="32" spans="3:154" s="25" customFormat="1" ht="14.45" customHeight="1" x14ac:dyDescent="0.25">
      <c r="C32" s="31" t="s">
        <v>12</v>
      </c>
      <c r="D32" s="32"/>
      <c r="E32" s="32"/>
      <c r="F32" s="32"/>
      <c r="G32" s="33"/>
      <c r="H32" s="1"/>
      <c r="I32" s="1"/>
      <c r="J32" s="1"/>
      <c r="K32" s="1"/>
      <c r="L32" s="1"/>
      <c r="M32" s="1"/>
      <c r="N32" s="1"/>
      <c r="O32" s="1"/>
      <c r="P32" s="1"/>
      <c r="Q32" s="1"/>
      <c r="R32" s="1"/>
      <c r="S32" s="1"/>
      <c r="T32" s="3"/>
      <c r="U32" s="16"/>
      <c r="V32" s="3"/>
      <c r="W32" s="17"/>
      <c r="X32" s="3"/>
      <c r="Y32" s="3"/>
      <c r="Z32" s="3"/>
      <c r="AA32" s="3"/>
      <c r="AB32" s="17"/>
      <c r="AC32" s="3"/>
      <c r="AD32" s="3"/>
      <c r="AE32" s="16"/>
      <c r="AF32" s="3"/>
      <c r="AG32" s="17"/>
      <c r="AH32" s="3"/>
      <c r="AI32" s="3"/>
      <c r="AJ32" s="16"/>
      <c r="AK32" s="3"/>
      <c r="AL32" s="17"/>
      <c r="AM32" s="3"/>
      <c r="AN32" s="3"/>
      <c r="AO32" s="3"/>
      <c r="AP32" s="3"/>
      <c r="AQ32" s="17"/>
      <c r="AR32" s="3"/>
      <c r="AS32" s="3"/>
      <c r="AT32" s="16"/>
      <c r="AU32" s="3"/>
      <c r="AV32" s="17"/>
      <c r="AW32" s="3"/>
      <c r="AX32" s="3"/>
      <c r="AY32" s="16"/>
      <c r="AZ32" s="3"/>
      <c r="BA32" s="17"/>
      <c r="BB32" s="3"/>
      <c r="BC32" s="3"/>
      <c r="BD32" s="3"/>
      <c r="BE32" s="3"/>
      <c r="BF32" s="17"/>
      <c r="BG32" s="3"/>
      <c r="BH32" s="3"/>
      <c r="BI32" s="16"/>
      <c r="BJ32" s="3"/>
      <c r="BK32" s="17"/>
      <c r="BL32" s="3"/>
      <c r="BM32" s="3"/>
      <c r="BN32" s="16"/>
      <c r="BO32" s="3"/>
      <c r="BP32" s="17"/>
      <c r="BQ32" s="3"/>
      <c r="BR32" s="3"/>
      <c r="BS32" s="3"/>
      <c r="BT32" s="3"/>
      <c r="BU32" s="17"/>
      <c r="BV32" s="3"/>
      <c r="BW32" s="3"/>
      <c r="BX32" s="16"/>
      <c r="BY32" s="3"/>
      <c r="BZ32" s="17"/>
      <c r="CA32" s="3"/>
      <c r="CB32" s="3"/>
      <c r="CC32" s="16"/>
      <c r="CD32" s="3"/>
      <c r="CE32" s="17"/>
      <c r="CF32" s="3"/>
      <c r="CG32" s="18"/>
      <c r="CH32" s="18"/>
      <c r="CI32" s="18"/>
      <c r="CJ32" s="17"/>
      <c r="CK32" s="18"/>
      <c r="CL32" s="3"/>
      <c r="CM32" s="16"/>
      <c r="CN32" s="3"/>
      <c r="CO32" s="17"/>
      <c r="CP32" s="3"/>
      <c r="CQ32" s="3"/>
      <c r="CR32" s="16"/>
      <c r="CS32" s="3"/>
      <c r="CT32" s="17"/>
      <c r="CU32" s="3"/>
      <c r="CV32" s="3"/>
      <c r="CW32" s="3"/>
      <c r="CX32" s="3"/>
      <c r="CY32" s="17"/>
      <c r="CZ32" s="3"/>
      <c r="DA32" s="3"/>
      <c r="DB32" s="16"/>
      <c r="DC32" s="3"/>
      <c r="DD32" s="17"/>
      <c r="DE32" s="3"/>
      <c r="DF32" s="3"/>
      <c r="DG32" s="16"/>
      <c r="DH32" s="3"/>
      <c r="DI32" s="17"/>
      <c r="DJ32" s="3"/>
      <c r="DK32" s="3"/>
      <c r="DL32" s="3"/>
      <c r="DM32" s="3"/>
      <c r="DN32" s="17"/>
      <c r="DO32" s="3"/>
      <c r="DP32" s="3"/>
      <c r="DQ32" s="16"/>
      <c r="DR32" s="3"/>
      <c r="DS32" s="17"/>
      <c r="DT32" s="3"/>
      <c r="DU32" s="3"/>
      <c r="DV32" s="16"/>
      <c r="DW32" s="3"/>
      <c r="DX32" s="17"/>
      <c r="DY32" s="3"/>
      <c r="DZ32" s="3"/>
      <c r="EA32" s="3"/>
      <c r="EB32" s="3"/>
      <c r="EC32" s="17"/>
      <c r="ED32" s="3"/>
      <c r="EE32" s="3"/>
      <c r="EF32" s="16"/>
      <c r="EG32" s="3"/>
      <c r="EH32" s="17"/>
      <c r="EI32" s="3"/>
      <c r="EJ32" s="3"/>
      <c r="EK32" s="16"/>
      <c r="EL32" s="3"/>
      <c r="EM32" s="17"/>
      <c r="EN32" s="3"/>
      <c r="EO32" s="3"/>
      <c r="EP32" s="3"/>
      <c r="EQ32" s="3"/>
      <c r="ER32" s="17"/>
      <c r="ES32" s="3"/>
      <c r="ET32" s="3"/>
      <c r="EU32" s="16"/>
      <c r="EV32" s="3"/>
      <c r="EW32" s="17"/>
      <c r="EX32" s="3"/>
    </row>
    <row r="33" spans="3:154" s="25" customFormat="1" ht="15" customHeight="1" x14ac:dyDescent="0.25">
      <c r="C33" s="34"/>
      <c r="D33" s="35"/>
      <c r="E33" s="35"/>
      <c r="F33" s="35"/>
      <c r="G33" s="36"/>
      <c r="T33" s="3"/>
      <c r="U33" s="16"/>
      <c r="V33" s="3"/>
      <c r="W33" s="17"/>
      <c r="X33" s="3"/>
      <c r="Y33" s="3"/>
      <c r="Z33" s="3"/>
      <c r="AA33" s="3"/>
      <c r="AB33" s="17"/>
      <c r="AC33" s="3"/>
      <c r="AD33" s="3"/>
      <c r="AE33" s="16"/>
      <c r="AF33" s="3"/>
      <c r="AG33" s="17"/>
      <c r="AH33" s="3"/>
      <c r="AI33" s="3"/>
      <c r="AJ33" s="16"/>
      <c r="AK33" s="3"/>
      <c r="AL33" s="17"/>
      <c r="AM33" s="3"/>
      <c r="AN33" s="3"/>
      <c r="AO33" s="3"/>
      <c r="AP33" s="3"/>
      <c r="AQ33" s="17"/>
      <c r="AR33" s="3"/>
      <c r="AS33" s="3"/>
      <c r="AT33" s="16"/>
      <c r="AU33" s="3"/>
      <c r="AV33" s="17"/>
      <c r="AW33" s="3"/>
      <c r="AX33" s="3"/>
      <c r="AY33" s="16"/>
      <c r="AZ33" s="3"/>
      <c r="BA33" s="17"/>
      <c r="BB33" s="3"/>
      <c r="BC33" s="3"/>
      <c r="BD33" s="3"/>
      <c r="BE33" s="3"/>
      <c r="BF33" s="17"/>
      <c r="BG33" s="3"/>
      <c r="BH33" s="3"/>
      <c r="BI33" s="16"/>
      <c r="BJ33" s="3"/>
      <c r="BK33" s="17"/>
      <c r="BL33" s="3"/>
      <c r="BM33" s="3"/>
      <c r="BN33" s="16"/>
      <c r="BO33" s="3"/>
      <c r="BP33" s="17"/>
      <c r="BQ33" s="3"/>
      <c r="BR33" s="3"/>
      <c r="BS33" s="3"/>
      <c r="BT33" s="3"/>
      <c r="BU33" s="17"/>
      <c r="BV33" s="3"/>
      <c r="BW33" s="3"/>
      <c r="BX33" s="16"/>
      <c r="BY33" s="3"/>
      <c r="BZ33" s="17"/>
      <c r="CA33" s="3"/>
      <c r="CB33" s="3"/>
      <c r="CC33" s="16"/>
      <c r="CD33" s="3"/>
      <c r="CE33" s="17"/>
      <c r="CF33" s="3"/>
      <c r="CG33" s="18"/>
      <c r="CH33" s="18"/>
      <c r="CI33" s="18"/>
      <c r="CJ33" s="17"/>
      <c r="CK33" s="18"/>
      <c r="CL33" s="3"/>
      <c r="CM33" s="16"/>
      <c r="CN33" s="3"/>
      <c r="CO33" s="17"/>
      <c r="CP33" s="3"/>
      <c r="CQ33" s="3"/>
      <c r="CR33" s="16"/>
      <c r="CS33" s="3"/>
      <c r="CT33" s="17"/>
      <c r="CU33" s="3"/>
      <c r="CV33" s="3"/>
      <c r="CW33" s="3"/>
      <c r="CX33" s="3"/>
      <c r="CY33" s="17"/>
      <c r="CZ33" s="3"/>
      <c r="DA33" s="3"/>
      <c r="DB33" s="16"/>
      <c r="DC33" s="3"/>
      <c r="DD33" s="17"/>
      <c r="DE33" s="3"/>
      <c r="DF33" s="3"/>
      <c r="DG33" s="16"/>
      <c r="DH33" s="3"/>
      <c r="DI33" s="17"/>
      <c r="DJ33" s="3"/>
      <c r="DK33" s="3"/>
      <c r="DL33" s="3"/>
      <c r="DM33" s="3"/>
      <c r="DN33" s="17"/>
      <c r="DO33" s="3"/>
      <c r="DP33" s="3"/>
      <c r="DQ33" s="16"/>
      <c r="DR33" s="3"/>
      <c r="DS33" s="17"/>
      <c r="DT33" s="3"/>
      <c r="DU33" s="3"/>
      <c r="DV33" s="16"/>
      <c r="DW33" s="3"/>
      <c r="DX33" s="17"/>
      <c r="DY33" s="3"/>
      <c r="DZ33" s="3"/>
      <c r="EA33" s="3"/>
      <c r="EB33" s="3"/>
      <c r="EC33" s="17"/>
      <c r="ED33" s="3"/>
      <c r="EE33" s="3"/>
      <c r="EF33" s="16"/>
      <c r="EG33" s="3"/>
      <c r="EH33" s="17"/>
      <c r="EI33" s="3"/>
      <c r="EJ33" s="3"/>
      <c r="EK33" s="16"/>
      <c r="EL33" s="3"/>
      <c r="EM33" s="17"/>
      <c r="EN33" s="3"/>
      <c r="EO33" s="3"/>
      <c r="EP33" s="3"/>
      <c r="EQ33" s="3"/>
      <c r="ER33" s="17"/>
      <c r="ES33" s="3"/>
      <c r="ET33" s="3"/>
      <c r="EU33" s="16"/>
      <c r="EV33" s="3"/>
      <c r="EW33" s="17"/>
      <c r="EX33" s="3"/>
    </row>
    <row r="34" spans="3:154" s="25" customFormat="1" ht="15" customHeight="1" x14ac:dyDescent="0.25">
      <c r="C34" s="34"/>
      <c r="D34" s="35"/>
      <c r="E34" s="35"/>
      <c r="F34" s="35"/>
      <c r="G34" s="36"/>
      <c r="T34" s="3"/>
      <c r="U34" s="16"/>
      <c r="V34" s="3"/>
      <c r="W34" s="17"/>
      <c r="X34" s="3"/>
      <c r="Y34" s="3"/>
      <c r="Z34" s="3"/>
      <c r="AA34" s="3"/>
      <c r="AB34" s="17"/>
      <c r="AC34" s="3"/>
      <c r="AD34" s="3"/>
      <c r="AE34" s="16"/>
      <c r="AF34" s="3"/>
      <c r="AG34" s="17"/>
      <c r="AH34" s="3"/>
      <c r="AI34" s="3"/>
      <c r="AJ34" s="16"/>
      <c r="AK34" s="3"/>
      <c r="AL34" s="17"/>
      <c r="AM34" s="3"/>
      <c r="AN34" s="3"/>
      <c r="AO34" s="3"/>
      <c r="AP34" s="3"/>
      <c r="AQ34" s="17"/>
      <c r="AR34" s="3"/>
      <c r="AS34" s="3"/>
      <c r="AT34" s="16"/>
      <c r="AU34" s="3"/>
      <c r="AV34" s="17"/>
      <c r="AW34" s="3"/>
      <c r="AX34" s="3"/>
      <c r="AY34" s="16"/>
      <c r="AZ34" s="3"/>
      <c r="BA34" s="17"/>
      <c r="BB34" s="3"/>
      <c r="BC34" s="3"/>
      <c r="BD34" s="3"/>
      <c r="BE34" s="3"/>
      <c r="BF34" s="17"/>
      <c r="BG34" s="3"/>
      <c r="BH34" s="3"/>
      <c r="BI34" s="16"/>
      <c r="BJ34" s="3"/>
      <c r="BK34" s="17"/>
      <c r="BL34" s="3"/>
      <c r="BM34" s="3"/>
      <c r="BN34" s="16"/>
      <c r="BO34" s="3"/>
      <c r="BP34" s="17"/>
      <c r="BQ34" s="3"/>
      <c r="BR34" s="3"/>
      <c r="BS34" s="3"/>
      <c r="BT34" s="3"/>
      <c r="BU34" s="17"/>
      <c r="BV34" s="3"/>
      <c r="BW34" s="3"/>
      <c r="BX34" s="16"/>
      <c r="BY34" s="3"/>
      <c r="BZ34" s="17"/>
      <c r="CA34" s="3"/>
      <c r="CB34" s="3"/>
      <c r="CC34" s="16"/>
      <c r="CD34" s="3"/>
      <c r="CE34" s="17"/>
      <c r="CF34" s="3"/>
      <c r="CG34" s="18"/>
      <c r="CH34" s="18"/>
      <c r="CI34" s="18"/>
      <c r="CJ34" s="17"/>
      <c r="CK34" s="18"/>
      <c r="CL34" s="3"/>
      <c r="CM34" s="16"/>
      <c r="CN34" s="3"/>
      <c r="CO34" s="17"/>
      <c r="CP34" s="3"/>
      <c r="CQ34" s="3"/>
      <c r="CR34" s="16"/>
      <c r="CS34" s="3"/>
      <c r="CT34" s="17"/>
      <c r="CU34" s="3"/>
      <c r="CV34" s="3"/>
      <c r="CW34" s="3"/>
      <c r="CX34" s="3"/>
      <c r="CY34" s="17"/>
      <c r="CZ34" s="3"/>
      <c r="DA34" s="3"/>
      <c r="DB34" s="16"/>
      <c r="DC34" s="3"/>
      <c r="DD34" s="17"/>
      <c r="DE34" s="3"/>
      <c r="DF34" s="3"/>
      <c r="DG34" s="16"/>
      <c r="DH34" s="3"/>
      <c r="DI34" s="17"/>
      <c r="DJ34" s="3"/>
      <c r="DK34" s="3"/>
      <c r="DL34" s="3"/>
      <c r="DM34" s="3"/>
      <c r="DN34" s="17"/>
      <c r="DO34" s="3"/>
      <c r="DP34" s="3"/>
      <c r="DQ34" s="16"/>
      <c r="DR34" s="3"/>
      <c r="DS34" s="17"/>
      <c r="DT34" s="3"/>
      <c r="DU34" s="3"/>
      <c r="DV34" s="16"/>
      <c r="DW34" s="3"/>
      <c r="DX34" s="17"/>
      <c r="DY34" s="3"/>
      <c r="DZ34" s="3"/>
      <c r="EA34" s="3"/>
      <c r="EB34" s="3"/>
      <c r="EC34" s="17"/>
      <c r="ED34" s="3"/>
      <c r="EE34" s="3"/>
      <c r="EF34" s="16"/>
      <c r="EG34" s="3"/>
      <c r="EH34" s="17"/>
      <c r="EI34" s="3"/>
      <c r="EJ34" s="3"/>
      <c r="EK34" s="16"/>
      <c r="EL34" s="3"/>
      <c r="EM34" s="17"/>
      <c r="EN34" s="3"/>
      <c r="EO34" s="3"/>
      <c r="EP34" s="3"/>
      <c r="EQ34" s="3"/>
      <c r="ER34" s="17"/>
      <c r="ES34" s="3"/>
      <c r="ET34" s="3"/>
      <c r="EU34" s="16"/>
      <c r="EV34" s="3"/>
      <c r="EW34" s="17"/>
      <c r="EX34" s="3"/>
    </row>
    <row r="35" spans="3:154" s="25" customFormat="1" x14ac:dyDescent="0.25">
      <c r="C35" s="37"/>
      <c r="D35" s="38"/>
      <c r="E35" s="38"/>
      <c r="F35" s="38"/>
      <c r="G35" s="39"/>
      <c r="T35" s="3"/>
      <c r="U35" s="16"/>
      <c r="V35" s="3"/>
      <c r="W35" s="17"/>
      <c r="X35" s="3"/>
      <c r="Y35" s="3"/>
      <c r="Z35" s="3"/>
      <c r="AA35" s="3"/>
      <c r="AB35" s="17"/>
      <c r="AC35" s="3"/>
      <c r="AD35" s="3"/>
      <c r="AE35" s="16"/>
      <c r="AF35" s="3"/>
      <c r="AG35" s="17"/>
      <c r="AH35" s="3"/>
      <c r="AI35" s="3"/>
      <c r="AJ35" s="16"/>
      <c r="AK35" s="3"/>
      <c r="AL35" s="17"/>
      <c r="AM35" s="3"/>
      <c r="AN35" s="3"/>
      <c r="AO35" s="3"/>
      <c r="AP35" s="3"/>
      <c r="AQ35" s="17"/>
      <c r="AR35" s="3"/>
      <c r="AS35" s="3"/>
      <c r="AT35" s="16"/>
      <c r="AU35" s="3"/>
      <c r="AV35" s="17"/>
      <c r="AW35" s="3"/>
      <c r="AX35" s="3"/>
      <c r="AY35" s="16"/>
      <c r="AZ35" s="3"/>
      <c r="BA35" s="17"/>
      <c r="BB35" s="3"/>
      <c r="BC35" s="3"/>
      <c r="BD35" s="3"/>
      <c r="BE35" s="3"/>
      <c r="BF35" s="17"/>
      <c r="BG35" s="3"/>
      <c r="BH35" s="3"/>
      <c r="BI35" s="16"/>
      <c r="BJ35" s="3"/>
      <c r="BK35" s="17"/>
      <c r="BL35" s="3"/>
      <c r="BM35" s="3"/>
      <c r="BN35" s="16"/>
      <c r="BO35" s="3"/>
      <c r="BP35" s="17"/>
      <c r="BQ35" s="3"/>
      <c r="BR35" s="3"/>
      <c r="BS35" s="3"/>
      <c r="BT35" s="3"/>
      <c r="BU35" s="17"/>
      <c r="BV35" s="3"/>
      <c r="BW35" s="3"/>
      <c r="BX35" s="16"/>
      <c r="BY35" s="3"/>
      <c r="BZ35" s="17"/>
      <c r="CA35" s="3"/>
      <c r="CB35" s="3"/>
      <c r="CC35" s="16"/>
      <c r="CD35" s="3"/>
      <c r="CE35" s="17"/>
      <c r="CF35" s="3"/>
      <c r="CG35" s="18"/>
      <c r="CH35" s="18"/>
      <c r="CI35" s="18"/>
      <c r="CJ35" s="17"/>
      <c r="CK35" s="18"/>
      <c r="CL35" s="3"/>
      <c r="CM35" s="16"/>
      <c r="CN35" s="3"/>
      <c r="CO35" s="17"/>
      <c r="CP35" s="3"/>
      <c r="CQ35" s="3"/>
      <c r="CR35" s="16"/>
      <c r="CS35" s="3"/>
      <c r="CT35" s="17"/>
      <c r="CU35" s="3"/>
      <c r="CV35" s="3"/>
      <c r="CW35" s="3"/>
      <c r="CX35" s="3"/>
      <c r="CY35" s="17"/>
      <c r="CZ35" s="3"/>
      <c r="DA35" s="3"/>
      <c r="DB35" s="16"/>
      <c r="DC35" s="3"/>
      <c r="DD35" s="17"/>
      <c r="DE35" s="3"/>
      <c r="DF35" s="3"/>
      <c r="DG35" s="16"/>
      <c r="DH35" s="3"/>
      <c r="DI35" s="17"/>
      <c r="DJ35" s="3"/>
      <c r="DK35" s="3"/>
      <c r="DL35" s="3"/>
      <c r="DM35" s="3"/>
      <c r="DN35" s="17"/>
      <c r="DO35" s="3"/>
      <c r="DP35" s="3"/>
      <c r="DQ35" s="16"/>
      <c r="DR35" s="3"/>
      <c r="DS35" s="17"/>
      <c r="DT35" s="3"/>
      <c r="DU35" s="3"/>
      <c r="DV35" s="16"/>
      <c r="DW35" s="3"/>
      <c r="DX35" s="17"/>
      <c r="DY35" s="3"/>
      <c r="DZ35" s="3"/>
      <c r="EA35" s="3"/>
      <c r="EB35" s="3"/>
      <c r="EC35" s="17"/>
      <c r="ED35" s="3"/>
      <c r="EE35" s="3"/>
      <c r="EF35" s="16"/>
      <c r="EG35" s="3"/>
      <c r="EH35" s="17"/>
      <c r="EI35" s="3"/>
      <c r="EJ35" s="3"/>
      <c r="EK35" s="16"/>
      <c r="EL35" s="3"/>
      <c r="EM35" s="17"/>
      <c r="EN35" s="3"/>
      <c r="EO35" s="3"/>
      <c r="EP35" s="3"/>
      <c r="EQ35" s="3"/>
      <c r="ER35" s="17"/>
      <c r="ES35" s="3"/>
      <c r="ET35" s="3"/>
      <c r="EU35" s="16"/>
      <c r="EV35" s="3"/>
      <c r="EW35" s="17"/>
      <c r="EX35" s="3"/>
    </row>
    <row r="36" spans="3:154" s="25" customFormat="1" x14ac:dyDescent="0.25">
      <c r="T36" s="3"/>
      <c r="U36" s="16"/>
      <c r="V36" s="3"/>
      <c r="W36" s="17"/>
      <c r="X36" s="3"/>
      <c r="Y36" s="3"/>
      <c r="Z36" s="3"/>
      <c r="AA36" s="3"/>
      <c r="AB36" s="17"/>
      <c r="AC36" s="3"/>
      <c r="AD36" s="3"/>
      <c r="AE36" s="16"/>
      <c r="AF36" s="3"/>
      <c r="AG36" s="17"/>
      <c r="AH36" s="3"/>
      <c r="AI36" s="3"/>
      <c r="AJ36" s="16"/>
      <c r="AK36" s="3"/>
      <c r="AL36" s="17"/>
      <c r="AM36" s="3"/>
      <c r="AN36" s="3"/>
      <c r="AO36" s="3"/>
      <c r="AP36" s="3"/>
      <c r="AQ36" s="17"/>
      <c r="AR36" s="3"/>
      <c r="AS36" s="3"/>
      <c r="AT36" s="16"/>
      <c r="AU36" s="3"/>
      <c r="AV36" s="17"/>
      <c r="AW36" s="3"/>
      <c r="AX36" s="3"/>
      <c r="AY36" s="16"/>
      <c r="AZ36" s="3"/>
      <c r="BA36" s="17"/>
      <c r="BB36" s="3"/>
      <c r="BC36" s="3"/>
      <c r="BD36" s="3"/>
      <c r="BE36" s="3"/>
      <c r="BF36" s="17"/>
      <c r="BG36" s="3"/>
      <c r="BH36" s="3"/>
      <c r="BI36" s="16"/>
      <c r="BJ36" s="3"/>
      <c r="BK36" s="17"/>
      <c r="BL36" s="3"/>
      <c r="BM36" s="3"/>
      <c r="BN36" s="16"/>
      <c r="BO36" s="3"/>
      <c r="BP36" s="17"/>
      <c r="BQ36" s="3"/>
      <c r="BR36" s="3"/>
      <c r="BS36" s="3"/>
      <c r="BT36" s="3"/>
      <c r="BU36" s="17"/>
      <c r="BV36" s="3"/>
      <c r="BW36" s="3"/>
      <c r="BX36" s="16"/>
      <c r="BY36" s="3"/>
      <c r="BZ36" s="17"/>
      <c r="CA36" s="3"/>
      <c r="CB36" s="3"/>
      <c r="CC36" s="16"/>
      <c r="CD36" s="3"/>
      <c r="CE36" s="17"/>
      <c r="CF36" s="3"/>
      <c r="CG36" s="18"/>
      <c r="CH36" s="18"/>
      <c r="CI36" s="18"/>
      <c r="CJ36" s="17"/>
      <c r="CK36" s="18"/>
      <c r="CL36" s="3"/>
      <c r="CM36" s="16"/>
      <c r="CN36" s="3"/>
      <c r="CO36" s="17"/>
      <c r="CP36" s="3"/>
      <c r="CQ36" s="3"/>
      <c r="CR36" s="16"/>
      <c r="CS36" s="3"/>
      <c r="CT36" s="17"/>
      <c r="CU36" s="3"/>
      <c r="CV36" s="3"/>
      <c r="CW36" s="3"/>
      <c r="CX36" s="3"/>
      <c r="CY36" s="17"/>
      <c r="CZ36" s="3"/>
      <c r="DA36" s="3"/>
      <c r="DB36" s="16"/>
      <c r="DC36" s="3"/>
      <c r="DD36" s="17"/>
      <c r="DE36" s="3"/>
      <c r="DF36" s="3"/>
      <c r="DG36" s="16"/>
      <c r="DH36" s="3"/>
      <c r="DI36" s="17"/>
      <c r="DJ36" s="3"/>
      <c r="DK36" s="3"/>
      <c r="DL36" s="3"/>
      <c r="DM36" s="3"/>
      <c r="DN36" s="17"/>
      <c r="DO36" s="3"/>
      <c r="DP36" s="3"/>
      <c r="DQ36" s="16"/>
      <c r="DR36" s="3"/>
      <c r="DS36" s="17"/>
      <c r="DT36" s="3"/>
      <c r="DU36" s="3"/>
      <c r="DV36" s="16"/>
      <c r="DW36" s="3"/>
      <c r="DX36" s="17"/>
      <c r="DY36" s="3"/>
      <c r="DZ36" s="3"/>
      <c r="EA36" s="3"/>
      <c r="EB36" s="3"/>
      <c r="EC36" s="17"/>
      <c r="ED36" s="3"/>
      <c r="EE36" s="3"/>
      <c r="EF36" s="16"/>
      <c r="EG36" s="3"/>
      <c r="EH36" s="17"/>
      <c r="EI36" s="3"/>
      <c r="EJ36" s="3"/>
      <c r="EK36" s="16"/>
      <c r="EL36" s="3"/>
      <c r="EM36" s="17"/>
      <c r="EN36" s="3"/>
      <c r="EO36" s="3"/>
      <c r="EP36" s="3"/>
      <c r="EQ36" s="3"/>
      <c r="ER36" s="17"/>
      <c r="ES36" s="3"/>
      <c r="ET36" s="3"/>
      <c r="EU36" s="16"/>
      <c r="EV36" s="3"/>
      <c r="EW36" s="17"/>
      <c r="EX36" s="3"/>
    </row>
    <row r="37" spans="3:154" s="25" customFormat="1" x14ac:dyDescent="0.25">
      <c r="T37" s="3"/>
      <c r="U37" s="16"/>
      <c r="V37" s="3"/>
      <c r="W37" s="17"/>
      <c r="X37" s="3"/>
      <c r="Y37" s="3"/>
      <c r="Z37" s="3"/>
      <c r="AA37" s="3"/>
      <c r="AB37" s="17"/>
      <c r="AC37" s="3"/>
      <c r="AD37" s="3"/>
      <c r="AE37" s="16"/>
      <c r="AF37" s="3"/>
      <c r="AG37" s="17"/>
      <c r="AH37" s="3"/>
      <c r="AI37" s="3"/>
      <c r="AJ37" s="16"/>
      <c r="AK37" s="3"/>
      <c r="AL37" s="17"/>
      <c r="AM37" s="3"/>
      <c r="AN37" s="3"/>
      <c r="AO37" s="3"/>
      <c r="AP37" s="3"/>
      <c r="AQ37" s="17"/>
      <c r="AR37" s="3"/>
      <c r="AS37" s="3"/>
      <c r="AT37" s="16"/>
      <c r="AU37" s="3"/>
      <c r="AV37" s="17"/>
      <c r="AW37" s="3"/>
      <c r="AX37" s="3"/>
      <c r="AY37" s="16"/>
      <c r="AZ37" s="3"/>
      <c r="BA37" s="17"/>
      <c r="BB37" s="3"/>
      <c r="BC37" s="3"/>
      <c r="BD37" s="3"/>
      <c r="BE37" s="3"/>
      <c r="BF37" s="17"/>
      <c r="BG37" s="3"/>
      <c r="BH37" s="3"/>
      <c r="BI37" s="16"/>
      <c r="BJ37" s="3"/>
      <c r="BK37" s="17"/>
      <c r="BL37" s="3"/>
      <c r="BM37" s="3"/>
      <c r="BN37" s="16"/>
      <c r="BO37" s="3"/>
      <c r="BP37" s="17"/>
      <c r="BQ37" s="3"/>
      <c r="BR37" s="3"/>
      <c r="BS37" s="3"/>
      <c r="BT37" s="3"/>
      <c r="BU37" s="17"/>
      <c r="BV37" s="3"/>
      <c r="BW37" s="3"/>
      <c r="BX37" s="16"/>
      <c r="BY37" s="3"/>
      <c r="BZ37" s="17"/>
      <c r="CA37" s="3"/>
      <c r="CB37" s="3"/>
      <c r="CC37" s="16"/>
      <c r="CD37" s="3"/>
      <c r="CE37" s="17"/>
      <c r="CF37" s="3"/>
      <c r="CG37" s="18"/>
      <c r="CH37" s="18"/>
      <c r="CI37" s="18"/>
      <c r="CJ37" s="17"/>
      <c r="CK37" s="18"/>
      <c r="CL37" s="3"/>
      <c r="CM37" s="16"/>
      <c r="CN37" s="3"/>
      <c r="CO37" s="17"/>
      <c r="CP37" s="3"/>
      <c r="CQ37" s="3"/>
      <c r="CR37" s="16"/>
      <c r="CS37" s="3"/>
      <c r="CT37" s="17"/>
      <c r="CU37" s="3"/>
      <c r="CV37" s="3"/>
      <c r="CW37" s="3"/>
      <c r="CX37" s="3"/>
      <c r="CY37" s="17"/>
      <c r="CZ37" s="3"/>
      <c r="DA37" s="3"/>
      <c r="DB37" s="16"/>
      <c r="DC37" s="3"/>
      <c r="DD37" s="17"/>
      <c r="DE37" s="3"/>
      <c r="DF37" s="3"/>
      <c r="DG37" s="16"/>
      <c r="DH37" s="3"/>
      <c r="DI37" s="17"/>
      <c r="DJ37" s="3"/>
      <c r="DK37" s="3"/>
      <c r="DL37" s="3"/>
      <c r="DM37" s="3"/>
      <c r="DN37" s="17"/>
      <c r="DO37" s="3"/>
      <c r="DP37" s="3"/>
      <c r="DQ37" s="16"/>
      <c r="DR37" s="3"/>
      <c r="DS37" s="17"/>
      <c r="DT37" s="3"/>
      <c r="DU37" s="3"/>
      <c r="DV37" s="16"/>
      <c r="DW37" s="3"/>
      <c r="DX37" s="17"/>
      <c r="DY37" s="3"/>
      <c r="DZ37" s="3"/>
      <c r="EA37" s="3"/>
      <c r="EB37" s="3"/>
      <c r="EC37" s="17"/>
      <c r="ED37" s="3"/>
      <c r="EE37" s="3"/>
      <c r="EF37" s="16"/>
      <c r="EG37" s="3"/>
      <c r="EH37" s="17"/>
      <c r="EI37" s="3"/>
      <c r="EJ37" s="3"/>
      <c r="EK37" s="16"/>
      <c r="EL37" s="3"/>
      <c r="EM37" s="17"/>
      <c r="EN37" s="3"/>
      <c r="EO37" s="3"/>
      <c r="EP37" s="3"/>
      <c r="EQ37" s="3"/>
      <c r="ER37" s="17"/>
      <c r="ES37" s="3"/>
      <c r="ET37" s="3"/>
      <c r="EU37" s="16"/>
      <c r="EV37" s="3"/>
      <c r="EW37" s="17"/>
      <c r="EX37" s="3"/>
    </row>
    <row r="38" spans="3:154" s="25" customFormat="1" x14ac:dyDescent="0.25">
      <c r="T38" s="3"/>
      <c r="U38" s="16"/>
      <c r="V38" s="3"/>
      <c r="W38" s="17"/>
      <c r="X38" s="3"/>
      <c r="Y38" s="3"/>
      <c r="Z38" s="3"/>
      <c r="AA38" s="3"/>
      <c r="AB38" s="17"/>
      <c r="AC38" s="3"/>
      <c r="AD38" s="3"/>
      <c r="AE38" s="16"/>
      <c r="AF38" s="3"/>
      <c r="AG38" s="17"/>
      <c r="AH38" s="3"/>
      <c r="AI38" s="3"/>
      <c r="AJ38" s="16"/>
      <c r="AK38" s="3"/>
      <c r="AL38" s="17"/>
      <c r="AM38" s="3"/>
      <c r="AN38" s="3"/>
      <c r="AO38" s="3"/>
      <c r="AP38" s="3"/>
      <c r="AQ38" s="17"/>
      <c r="AR38" s="3"/>
      <c r="AS38" s="3"/>
      <c r="AT38" s="16"/>
      <c r="AU38" s="3"/>
      <c r="AV38" s="17"/>
      <c r="AW38" s="3"/>
      <c r="AX38" s="3"/>
      <c r="AY38" s="16"/>
      <c r="AZ38" s="3"/>
      <c r="BA38" s="17"/>
      <c r="BB38" s="3"/>
      <c r="BC38" s="3"/>
      <c r="BD38" s="3"/>
      <c r="BE38" s="3"/>
      <c r="BF38" s="17"/>
      <c r="BG38" s="3"/>
      <c r="BH38" s="3"/>
      <c r="BI38" s="16"/>
      <c r="BJ38" s="3"/>
      <c r="BK38" s="17"/>
      <c r="BL38" s="3"/>
      <c r="BM38" s="3"/>
      <c r="BN38" s="16"/>
      <c r="BO38" s="3"/>
      <c r="BP38" s="17"/>
      <c r="BQ38" s="3"/>
      <c r="BR38" s="3"/>
      <c r="BS38" s="3"/>
      <c r="BT38" s="3"/>
      <c r="BU38" s="17"/>
      <c r="BV38" s="3"/>
      <c r="BW38" s="3"/>
      <c r="BX38" s="16"/>
      <c r="BY38" s="3"/>
      <c r="BZ38" s="17"/>
      <c r="CA38" s="3"/>
      <c r="CB38" s="3"/>
      <c r="CC38" s="16"/>
      <c r="CD38" s="3"/>
      <c r="CE38" s="17"/>
      <c r="CF38" s="3"/>
      <c r="CG38" s="18"/>
      <c r="CH38" s="18"/>
      <c r="CI38" s="18"/>
      <c r="CJ38" s="17"/>
      <c r="CK38" s="18"/>
      <c r="CL38" s="3"/>
      <c r="CM38" s="16"/>
      <c r="CN38" s="3"/>
      <c r="CO38" s="17"/>
      <c r="CP38" s="3"/>
      <c r="CQ38" s="3"/>
      <c r="CR38" s="16"/>
      <c r="CS38" s="3"/>
      <c r="CT38" s="17"/>
      <c r="CU38" s="3"/>
      <c r="CV38" s="3"/>
      <c r="CW38" s="3"/>
      <c r="CX38" s="3"/>
      <c r="CY38" s="17"/>
      <c r="CZ38" s="3"/>
      <c r="DA38" s="3"/>
      <c r="DB38" s="16"/>
      <c r="DC38" s="3"/>
      <c r="DD38" s="17"/>
      <c r="DE38" s="3"/>
      <c r="DF38" s="3"/>
      <c r="DG38" s="16"/>
      <c r="DH38" s="3"/>
      <c r="DI38" s="17"/>
      <c r="DJ38" s="3"/>
      <c r="DK38" s="3"/>
      <c r="DL38" s="3"/>
      <c r="DM38" s="3"/>
      <c r="DN38" s="17"/>
      <c r="DO38" s="3"/>
      <c r="DP38" s="3"/>
      <c r="DQ38" s="16"/>
      <c r="DR38" s="3"/>
      <c r="DS38" s="17"/>
      <c r="DT38" s="3"/>
      <c r="DU38" s="3"/>
      <c r="DV38" s="16"/>
      <c r="DW38" s="3"/>
      <c r="DX38" s="17"/>
      <c r="DY38" s="3"/>
      <c r="DZ38" s="3"/>
      <c r="EA38" s="3"/>
      <c r="EB38" s="3"/>
      <c r="EC38" s="17"/>
      <c r="ED38" s="3"/>
      <c r="EE38" s="3"/>
      <c r="EF38" s="16"/>
      <c r="EG38" s="3"/>
      <c r="EH38" s="17"/>
      <c r="EI38" s="3"/>
      <c r="EJ38" s="3"/>
      <c r="EK38" s="16"/>
      <c r="EL38" s="3"/>
      <c r="EM38" s="17"/>
      <c r="EN38" s="3"/>
      <c r="EO38" s="3"/>
      <c r="EP38" s="3"/>
      <c r="EQ38" s="3"/>
      <c r="ER38" s="17"/>
      <c r="ES38" s="3"/>
      <c r="ET38" s="3"/>
      <c r="EU38" s="16"/>
      <c r="EV38" s="3"/>
      <c r="EW38" s="17"/>
      <c r="EX38" s="3"/>
    </row>
    <row r="39" spans="3:154" s="25" customFormat="1" x14ac:dyDescent="0.25">
      <c r="T39" s="3"/>
      <c r="U39" s="16"/>
      <c r="V39" s="3"/>
      <c r="W39" s="17"/>
      <c r="X39" s="3"/>
      <c r="Y39" s="3"/>
      <c r="Z39" s="3"/>
      <c r="AA39" s="3"/>
      <c r="AB39" s="17"/>
      <c r="AC39" s="3"/>
      <c r="AD39" s="3"/>
      <c r="AE39" s="16"/>
      <c r="AF39" s="3"/>
      <c r="AG39" s="17"/>
      <c r="AH39" s="3"/>
      <c r="AI39" s="3"/>
      <c r="AJ39" s="16"/>
      <c r="AK39" s="3"/>
      <c r="AL39" s="17"/>
      <c r="AM39" s="3"/>
      <c r="AN39" s="3"/>
      <c r="AO39" s="3"/>
      <c r="AP39" s="3"/>
      <c r="AQ39" s="17"/>
      <c r="AR39" s="3"/>
      <c r="AS39" s="3"/>
      <c r="AT39" s="16"/>
      <c r="AU39" s="3"/>
      <c r="AV39" s="17"/>
      <c r="AW39" s="3"/>
      <c r="AX39" s="3"/>
      <c r="AY39" s="16"/>
      <c r="AZ39" s="3"/>
      <c r="BA39" s="17"/>
      <c r="BB39" s="3"/>
      <c r="BC39" s="3"/>
      <c r="BD39" s="3"/>
      <c r="BE39" s="3"/>
      <c r="BF39" s="17"/>
      <c r="BG39" s="3"/>
      <c r="BH39" s="3"/>
      <c r="BI39" s="16"/>
      <c r="BJ39" s="3"/>
      <c r="BK39" s="17"/>
      <c r="BL39" s="3"/>
      <c r="BM39" s="3"/>
      <c r="BN39" s="16"/>
      <c r="BO39" s="3"/>
      <c r="BP39" s="17"/>
      <c r="BQ39" s="3"/>
      <c r="BR39" s="3"/>
      <c r="BS39" s="3"/>
      <c r="BT39" s="3"/>
      <c r="BU39" s="17"/>
      <c r="BV39" s="3"/>
      <c r="BW39" s="3"/>
      <c r="BX39" s="16"/>
      <c r="BY39" s="3"/>
      <c r="BZ39" s="17"/>
      <c r="CA39" s="3"/>
      <c r="CB39" s="3"/>
      <c r="CC39" s="16"/>
      <c r="CD39" s="3"/>
      <c r="CE39" s="17"/>
      <c r="CF39" s="3"/>
      <c r="CG39" s="18"/>
      <c r="CH39" s="18"/>
      <c r="CI39" s="18"/>
      <c r="CJ39" s="17"/>
      <c r="CK39" s="18"/>
      <c r="CL39" s="3"/>
      <c r="CM39" s="16"/>
      <c r="CN39" s="3"/>
      <c r="CO39" s="17"/>
      <c r="CP39" s="3"/>
      <c r="CQ39" s="3"/>
      <c r="CR39" s="16"/>
      <c r="CS39" s="3"/>
      <c r="CT39" s="17"/>
      <c r="CU39" s="3"/>
      <c r="CV39" s="3"/>
      <c r="CW39" s="3"/>
      <c r="CX39" s="3"/>
      <c r="CY39" s="17"/>
      <c r="CZ39" s="3"/>
      <c r="DA39" s="3"/>
      <c r="DB39" s="16"/>
      <c r="DC39" s="3"/>
      <c r="DD39" s="17"/>
      <c r="DE39" s="3"/>
      <c r="DF39" s="3"/>
      <c r="DG39" s="16"/>
      <c r="DH39" s="3"/>
      <c r="DI39" s="17"/>
      <c r="DJ39" s="3"/>
      <c r="DK39" s="3"/>
      <c r="DL39" s="3"/>
      <c r="DM39" s="3"/>
      <c r="DN39" s="17"/>
      <c r="DO39" s="3"/>
      <c r="DP39" s="3"/>
      <c r="DQ39" s="16"/>
      <c r="DR39" s="3"/>
      <c r="DS39" s="17"/>
      <c r="DT39" s="3"/>
      <c r="DU39" s="3"/>
      <c r="DV39" s="16"/>
      <c r="DW39" s="3"/>
      <c r="DX39" s="17"/>
      <c r="DY39" s="3"/>
      <c r="DZ39" s="3"/>
      <c r="EA39" s="3"/>
      <c r="EB39" s="3"/>
      <c r="EC39" s="17"/>
      <c r="ED39" s="3"/>
      <c r="EE39" s="3"/>
      <c r="EF39" s="16"/>
      <c r="EG39" s="3"/>
      <c r="EH39" s="17"/>
      <c r="EI39" s="3"/>
      <c r="EJ39" s="3"/>
      <c r="EK39" s="16"/>
      <c r="EL39" s="3"/>
      <c r="EM39" s="17"/>
      <c r="EN39" s="3"/>
      <c r="EO39" s="3"/>
      <c r="EP39" s="3"/>
      <c r="EQ39" s="3"/>
      <c r="ER39" s="17"/>
      <c r="ES39" s="3"/>
      <c r="ET39" s="3"/>
      <c r="EU39" s="16"/>
      <c r="EV39" s="3"/>
      <c r="EW39" s="17"/>
      <c r="EX39" s="3"/>
    </row>
    <row r="40" spans="3:154" s="25" customFormat="1" x14ac:dyDescent="0.25">
      <c r="T40" s="3"/>
      <c r="U40" s="16"/>
      <c r="V40" s="3"/>
      <c r="W40" s="17"/>
      <c r="X40" s="3"/>
      <c r="Y40" s="3"/>
      <c r="Z40" s="3"/>
      <c r="AA40" s="3"/>
      <c r="AB40" s="17"/>
      <c r="AC40" s="3"/>
      <c r="AD40" s="3"/>
      <c r="AE40" s="16"/>
      <c r="AF40" s="3"/>
      <c r="AG40" s="17"/>
      <c r="AH40" s="3"/>
      <c r="AI40" s="3"/>
      <c r="AJ40" s="16"/>
      <c r="AK40" s="3"/>
      <c r="AL40" s="17"/>
      <c r="AM40" s="3"/>
      <c r="AN40" s="3"/>
      <c r="AO40" s="3"/>
      <c r="AP40" s="3"/>
      <c r="AQ40" s="17"/>
      <c r="AR40" s="3"/>
      <c r="AS40" s="3"/>
      <c r="AT40" s="16"/>
      <c r="AU40" s="3"/>
      <c r="AV40" s="17"/>
      <c r="AW40" s="3"/>
      <c r="AX40" s="3"/>
      <c r="AY40" s="16"/>
      <c r="AZ40" s="3"/>
      <c r="BA40" s="17"/>
      <c r="BB40" s="3"/>
      <c r="BC40" s="3"/>
      <c r="BD40" s="3"/>
      <c r="BE40" s="3"/>
      <c r="BF40" s="17"/>
      <c r="BG40" s="3"/>
      <c r="BH40" s="3"/>
      <c r="BI40" s="16"/>
      <c r="BJ40" s="3"/>
      <c r="BK40" s="17"/>
      <c r="BL40" s="3"/>
      <c r="BM40" s="3"/>
      <c r="BN40" s="16"/>
      <c r="BO40" s="3"/>
      <c r="BP40" s="17"/>
      <c r="BQ40" s="3"/>
      <c r="BR40" s="3"/>
      <c r="BS40" s="3"/>
      <c r="BT40" s="3"/>
      <c r="BU40" s="17"/>
      <c r="BV40" s="3"/>
      <c r="BW40" s="3"/>
      <c r="BX40" s="16"/>
      <c r="BY40" s="3"/>
      <c r="BZ40" s="17"/>
      <c r="CA40" s="3"/>
      <c r="CB40" s="3"/>
      <c r="CC40" s="16"/>
      <c r="CD40" s="3"/>
      <c r="CE40" s="17"/>
      <c r="CF40" s="3"/>
      <c r="CG40" s="18"/>
      <c r="CH40" s="18"/>
      <c r="CI40" s="18"/>
      <c r="CJ40" s="17"/>
      <c r="CK40" s="18"/>
      <c r="CL40" s="3"/>
      <c r="CM40" s="16"/>
      <c r="CN40" s="3"/>
      <c r="CO40" s="17"/>
      <c r="CP40" s="3"/>
      <c r="CQ40" s="3"/>
      <c r="CR40" s="16"/>
      <c r="CS40" s="3"/>
      <c r="CT40" s="17"/>
      <c r="CU40" s="3"/>
      <c r="CV40" s="3"/>
      <c r="CW40" s="3"/>
      <c r="CX40" s="3"/>
      <c r="CY40" s="17"/>
      <c r="CZ40" s="3"/>
      <c r="DA40" s="3"/>
      <c r="DB40" s="16"/>
      <c r="DC40" s="3"/>
      <c r="DD40" s="17"/>
      <c r="DE40" s="3"/>
      <c r="DF40" s="3"/>
      <c r="DG40" s="16"/>
      <c r="DH40" s="3"/>
      <c r="DI40" s="17"/>
      <c r="DJ40" s="3"/>
      <c r="DK40" s="3"/>
      <c r="DL40" s="3"/>
      <c r="DM40" s="3"/>
      <c r="DN40" s="17"/>
      <c r="DO40" s="3"/>
      <c r="DP40" s="3"/>
      <c r="DQ40" s="16"/>
      <c r="DR40" s="3"/>
      <c r="DS40" s="17"/>
      <c r="DT40" s="3"/>
      <c r="DU40" s="3"/>
      <c r="DV40" s="16"/>
      <c r="DW40" s="3"/>
      <c r="DX40" s="17"/>
      <c r="DY40" s="3"/>
      <c r="DZ40" s="3"/>
      <c r="EA40" s="3"/>
      <c r="EB40" s="3"/>
      <c r="EC40" s="17"/>
      <c r="ED40" s="3"/>
      <c r="EE40" s="3"/>
      <c r="EF40" s="16"/>
      <c r="EG40" s="3"/>
      <c r="EH40" s="17"/>
      <c r="EI40" s="3"/>
      <c r="EJ40" s="3"/>
      <c r="EK40" s="16"/>
      <c r="EL40" s="3"/>
      <c r="EM40" s="17"/>
      <c r="EN40" s="3"/>
      <c r="EO40" s="3"/>
      <c r="EP40" s="3"/>
      <c r="EQ40" s="3"/>
      <c r="ER40" s="17"/>
      <c r="ES40" s="3"/>
      <c r="ET40" s="3"/>
      <c r="EU40" s="16"/>
      <c r="EV40" s="3"/>
      <c r="EW40" s="17"/>
      <c r="EX40" s="3"/>
    </row>
    <row r="41" spans="3:154" s="25" customFormat="1" x14ac:dyDescent="0.25">
      <c r="T41" s="3"/>
      <c r="U41" s="16"/>
      <c r="V41" s="3"/>
      <c r="W41" s="17"/>
      <c r="X41" s="3"/>
      <c r="Y41" s="3"/>
      <c r="Z41" s="3"/>
      <c r="AA41" s="3"/>
      <c r="AB41" s="17"/>
      <c r="AC41" s="3"/>
      <c r="AD41" s="3"/>
      <c r="AE41" s="16"/>
      <c r="AF41" s="3"/>
      <c r="AG41" s="17"/>
      <c r="AH41" s="3"/>
      <c r="AI41" s="3"/>
      <c r="AJ41" s="16"/>
      <c r="AK41" s="3"/>
      <c r="AL41" s="17"/>
      <c r="AM41" s="3"/>
      <c r="AN41" s="3"/>
      <c r="AO41" s="3"/>
      <c r="AP41" s="3"/>
      <c r="AQ41" s="17"/>
      <c r="AR41" s="3"/>
      <c r="AS41" s="3"/>
      <c r="AT41" s="16"/>
      <c r="AU41" s="3"/>
      <c r="AV41" s="17"/>
      <c r="AW41" s="3"/>
      <c r="AX41" s="3"/>
      <c r="AY41" s="16"/>
      <c r="AZ41" s="3"/>
      <c r="BA41" s="17"/>
      <c r="BB41" s="3"/>
      <c r="BC41" s="3"/>
      <c r="BD41" s="3"/>
      <c r="BE41" s="3"/>
      <c r="BF41" s="17"/>
      <c r="BG41" s="3"/>
      <c r="BH41" s="3"/>
      <c r="BI41" s="16"/>
      <c r="BJ41" s="3"/>
      <c r="BK41" s="17"/>
      <c r="BL41" s="3"/>
      <c r="BM41" s="3"/>
      <c r="BN41" s="16"/>
      <c r="BO41" s="3"/>
      <c r="BP41" s="17"/>
      <c r="BQ41" s="3"/>
      <c r="BR41" s="3"/>
      <c r="BS41" s="3"/>
      <c r="BT41" s="3"/>
      <c r="BU41" s="17"/>
      <c r="BV41" s="3"/>
      <c r="BW41" s="3"/>
      <c r="BX41" s="16"/>
      <c r="BY41" s="3"/>
      <c r="BZ41" s="17"/>
      <c r="CA41" s="3"/>
      <c r="CB41" s="3"/>
      <c r="CC41" s="16"/>
      <c r="CD41" s="3"/>
      <c r="CE41" s="17"/>
      <c r="CF41" s="3"/>
      <c r="CG41" s="18"/>
      <c r="CH41" s="18"/>
      <c r="CI41" s="18"/>
      <c r="CJ41" s="17"/>
      <c r="CK41" s="18"/>
      <c r="CL41" s="3"/>
      <c r="CM41" s="16"/>
      <c r="CN41" s="3"/>
      <c r="CO41" s="17"/>
      <c r="CP41" s="3"/>
      <c r="CQ41" s="3"/>
      <c r="CR41" s="16"/>
      <c r="CS41" s="3"/>
      <c r="CT41" s="17"/>
      <c r="CU41" s="3"/>
      <c r="CV41" s="3"/>
      <c r="CW41" s="3"/>
      <c r="CX41" s="3"/>
      <c r="CY41" s="17"/>
      <c r="CZ41" s="3"/>
      <c r="DA41" s="3"/>
      <c r="DB41" s="16"/>
      <c r="DC41" s="3"/>
      <c r="DD41" s="17"/>
      <c r="DE41" s="3"/>
      <c r="DF41" s="3"/>
      <c r="DG41" s="16"/>
      <c r="DH41" s="3"/>
      <c r="DI41" s="17"/>
      <c r="DJ41" s="3"/>
      <c r="DK41" s="3"/>
      <c r="DL41" s="3"/>
      <c r="DM41" s="3"/>
      <c r="DN41" s="17"/>
      <c r="DO41" s="3"/>
      <c r="DP41" s="3"/>
      <c r="DQ41" s="16"/>
      <c r="DR41" s="3"/>
      <c r="DS41" s="17"/>
      <c r="DT41" s="3"/>
      <c r="DU41" s="3"/>
      <c r="DV41" s="16"/>
      <c r="DW41" s="3"/>
      <c r="DX41" s="17"/>
      <c r="DY41" s="3"/>
      <c r="DZ41" s="3"/>
      <c r="EA41" s="3"/>
      <c r="EB41" s="3"/>
      <c r="EC41" s="17"/>
      <c r="ED41" s="3"/>
      <c r="EE41" s="3"/>
      <c r="EF41" s="16"/>
      <c r="EG41" s="3"/>
      <c r="EH41" s="17"/>
      <c r="EI41" s="3"/>
      <c r="EJ41" s="3"/>
      <c r="EK41" s="16"/>
      <c r="EL41" s="3"/>
      <c r="EM41" s="17"/>
      <c r="EN41" s="3"/>
      <c r="EO41" s="3"/>
      <c r="EP41" s="3"/>
      <c r="EQ41" s="3"/>
      <c r="ER41" s="17"/>
      <c r="ES41" s="3"/>
      <c r="ET41" s="3"/>
      <c r="EU41" s="16"/>
      <c r="EV41" s="3"/>
      <c r="EW41" s="17"/>
      <c r="EX41" s="3"/>
    </row>
    <row r="42" spans="3:154" s="25" customFormat="1" x14ac:dyDescent="0.25">
      <c r="T42" s="3"/>
      <c r="U42" s="16"/>
      <c r="V42" s="3"/>
      <c r="W42" s="17"/>
      <c r="X42" s="3"/>
      <c r="Y42" s="3"/>
      <c r="Z42" s="3"/>
      <c r="AA42" s="3"/>
      <c r="AB42" s="17"/>
      <c r="AC42" s="3"/>
      <c r="AD42" s="3"/>
      <c r="AE42" s="16"/>
      <c r="AF42" s="3"/>
      <c r="AG42" s="17"/>
      <c r="AH42" s="3"/>
      <c r="AI42" s="3"/>
      <c r="AJ42" s="16"/>
      <c r="AK42" s="3"/>
      <c r="AL42" s="17"/>
      <c r="AM42" s="3"/>
      <c r="AN42" s="3"/>
      <c r="AO42" s="3"/>
      <c r="AP42" s="3"/>
      <c r="AQ42" s="17"/>
      <c r="AR42" s="3"/>
      <c r="AS42" s="3"/>
      <c r="AT42" s="16"/>
      <c r="AU42" s="3"/>
      <c r="AV42" s="17"/>
      <c r="AW42" s="3"/>
      <c r="AX42" s="3"/>
      <c r="AY42" s="16"/>
      <c r="AZ42" s="3"/>
      <c r="BA42" s="17"/>
      <c r="BB42" s="3"/>
      <c r="BC42" s="3"/>
      <c r="BD42" s="3"/>
      <c r="BE42" s="3"/>
      <c r="BF42" s="17"/>
      <c r="BG42" s="3"/>
      <c r="BH42" s="3"/>
      <c r="BI42" s="16"/>
      <c r="BJ42" s="3"/>
      <c r="BK42" s="17"/>
      <c r="BL42" s="3"/>
      <c r="BM42" s="3"/>
      <c r="BN42" s="16"/>
      <c r="BO42" s="3"/>
      <c r="BP42" s="17"/>
      <c r="BQ42" s="3"/>
      <c r="BR42" s="3"/>
      <c r="BS42" s="3"/>
      <c r="BT42" s="3"/>
      <c r="BU42" s="17"/>
      <c r="BV42" s="3"/>
      <c r="BW42" s="3"/>
      <c r="BX42" s="16"/>
      <c r="BY42" s="3"/>
      <c r="BZ42" s="17"/>
      <c r="CA42" s="3"/>
      <c r="CB42" s="3"/>
      <c r="CC42" s="16"/>
      <c r="CD42" s="3"/>
      <c r="CE42" s="17"/>
      <c r="CF42" s="3"/>
      <c r="CG42" s="18"/>
      <c r="CH42" s="18"/>
      <c r="CI42" s="18"/>
      <c r="CJ42" s="17"/>
      <c r="CK42" s="18"/>
      <c r="CL42" s="3"/>
      <c r="CM42" s="16"/>
      <c r="CN42" s="3"/>
      <c r="CO42" s="17"/>
      <c r="CP42" s="3"/>
      <c r="CQ42" s="3"/>
      <c r="CR42" s="16"/>
      <c r="CS42" s="3"/>
      <c r="CT42" s="17"/>
      <c r="CU42" s="3"/>
      <c r="CV42" s="3"/>
      <c r="CW42" s="3"/>
      <c r="CX42" s="3"/>
      <c r="CY42" s="17"/>
      <c r="CZ42" s="3"/>
      <c r="DA42" s="3"/>
      <c r="DB42" s="16"/>
      <c r="DC42" s="3"/>
      <c r="DD42" s="17"/>
      <c r="DE42" s="3"/>
      <c r="DF42" s="3"/>
      <c r="DG42" s="16"/>
      <c r="DH42" s="3"/>
      <c r="DI42" s="17"/>
      <c r="DJ42" s="3"/>
      <c r="DK42" s="3"/>
      <c r="DL42" s="3"/>
      <c r="DM42" s="3"/>
      <c r="DN42" s="17"/>
      <c r="DO42" s="3"/>
      <c r="DP42" s="3"/>
      <c r="DQ42" s="16"/>
      <c r="DR42" s="3"/>
      <c r="DS42" s="17"/>
      <c r="DT42" s="3"/>
      <c r="DU42" s="3"/>
      <c r="DV42" s="16"/>
      <c r="DW42" s="3"/>
      <c r="DX42" s="17"/>
      <c r="DY42" s="3"/>
      <c r="DZ42" s="3"/>
      <c r="EA42" s="3"/>
      <c r="EB42" s="3"/>
      <c r="EC42" s="17"/>
      <c r="ED42" s="3"/>
      <c r="EE42" s="3"/>
      <c r="EF42" s="16"/>
      <c r="EG42" s="3"/>
      <c r="EH42" s="17"/>
      <c r="EI42" s="3"/>
      <c r="EJ42" s="3"/>
      <c r="EK42" s="16"/>
      <c r="EL42" s="3"/>
      <c r="EM42" s="17"/>
      <c r="EN42" s="3"/>
      <c r="EO42" s="3"/>
      <c r="EP42" s="3"/>
      <c r="EQ42" s="3"/>
      <c r="ER42" s="17"/>
      <c r="ES42" s="3"/>
      <c r="ET42" s="3"/>
      <c r="EU42" s="16"/>
      <c r="EV42" s="3"/>
      <c r="EW42" s="17"/>
      <c r="EX42" s="3"/>
    </row>
    <row r="43" spans="3:154" s="25" customFormat="1" x14ac:dyDescent="0.25">
      <c r="T43" s="3"/>
      <c r="U43" s="16"/>
      <c r="V43" s="3"/>
      <c r="W43" s="17"/>
      <c r="X43" s="3"/>
      <c r="Y43" s="3"/>
      <c r="Z43" s="3"/>
      <c r="AA43" s="3"/>
      <c r="AB43" s="17"/>
      <c r="AC43" s="3"/>
      <c r="AD43" s="3"/>
      <c r="AE43" s="16"/>
      <c r="AF43" s="3"/>
      <c r="AG43" s="17"/>
      <c r="AH43" s="3"/>
      <c r="AI43" s="3"/>
      <c r="AJ43" s="16"/>
      <c r="AK43" s="3"/>
      <c r="AL43" s="17"/>
      <c r="AM43" s="3"/>
      <c r="AN43" s="3"/>
      <c r="AO43" s="3"/>
      <c r="AP43" s="3"/>
      <c r="AQ43" s="17"/>
      <c r="AR43" s="3"/>
      <c r="AS43" s="3"/>
      <c r="AT43" s="16"/>
      <c r="AU43" s="3"/>
      <c r="AV43" s="17"/>
      <c r="AW43" s="3"/>
      <c r="AX43" s="3"/>
      <c r="AY43" s="16"/>
      <c r="AZ43" s="3"/>
      <c r="BA43" s="17"/>
      <c r="BB43" s="3"/>
      <c r="BC43" s="3"/>
      <c r="BD43" s="3"/>
      <c r="BE43" s="3"/>
      <c r="BF43" s="17"/>
      <c r="BG43" s="3"/>
      <c r="BH43" s="3"/>
      <c r="BI43" s="16"/>
      <c r="BJ43" s="3"/>
      <c r="BK43" s="17"/>
      <c r="BL43" s="3"/>
      <c r="BM43" s="3"/>
      <c r="BN43" s="16"/>
      <c r="BO43" s="3"/>
      <c r="BP43" s="17"/>
      <c r="BQ43" s="3"/>
      <c r="BR43" s="3"/>
      <c r="BS43" s="3"/>
      <c r="BT43" s="3"/>
      <c r="BU43" s="17"/>
      <c r="BV43" s="3"/>
      <c r="BW43" s="3"/>
      <c r="BX43" s="16"/>
      <c r="BY43" s="3"/>
      <c r="BZ43" s="17"/>
      <c r="CA43" s="3"/>
      <c r="CB43" s="3"/>
      <c r="CC43" s="16"/>
      <c r="CD43" s="3"/>
      <c r="CE43" s="17"/>
      <c r="CF43" s="3"/>
      <c r="CG43" s="18"/>
      <c r="CH43" s="18"/>
      <c r="CI43" s="18"/>
      <c r="CJ43" s="17"/>
      <c r="CK43" s="18"/>
      <c r="CL43" s="3"/>
      <c r="CM43" s="16"/>
      <c r="CN43" s="3"/>
      <c r="CO43" s="17"/>
      <c r="CP43" s="3"/>
      <c r="CQ43" s="3"/>
      <c r="CR43" s="16"/>
      <c r="CS43" s="3"/>
      <c r="CT43" s="17"/>
      <c r="CU43" s="3"/>
      <c r="CV43" s="3"/>
      <c r="CW43" s="3"/>
      <c r="CX43" s="3"/>
      <c r="CY43" s="17"/>
      <c r="CZ43" s="3"/>
      <c r="DA43" s="3"/>
      <c r="DB43" s="16"/>
      <c r="DC43" s="3"/>
      <c r="DD43" s="17"/>
      <c r="DE43" s="3"/>
      <c r="DF43" s="3"/>
      <c r="DG43" s="16"/>
      <c r="DH43" s="3"/>
      <c r="DI43" s="17"/>
      <c r="DJ43" s="3"/>
      <c r="DK43" s="3"/>
      <c r="DL43" s="3"/>
      <c r="DM43" s="3"/>
      <c r="DN43" s="17"/>
      <c r="DO43" s="3"/>
      <c r="DP43" s="3"/>
      <c r="DQ43" s="16"/>
      <c r="DR43" s="3"/>
      <c r="DS43" s="17"/>
      <c r="DT43" s="3"/>
      <c r="DU43" s="3"/>
      <c r="DV43" s="16"/>
      <c r="DW43" s="3"/>
      <c r="DX43" s="17"/>
      <c r="DY43" s="3"/>
      <c r="DZ43" s="3"/>
      <c r="EA43" s="3"/>
      <c r="EB43" s="3"/>
      <c r="EC43" s="17"/>
      <c r="ED43" s="3"/>
      <c r="EE43" s="3"/>
      <c r="EF43" s="16"/>
      <c r="EG43" s="3"/>
      <c r="EH43" s="17"/>
      <c r="EI43" s="3"/>
      <c r="EJ43" s="3"/>
      <c r="EK43" s="16"/>
      <c r="EL43" s="3"/>
      <c r="EM43" s="17"/>
      <c r="EN43" s="3"/>
      <c r="EO43" s="3"/>
      <c r="EP43" s="3"/>
      <c r="EQ43" s="3"/>
      <c r="ER43" s="17"/>
      <c r="ES43" s="3"/>
      <c r="ET43" s="3"/>
      <c r="EU43" s="16"/>
      <c r="EV43" s="3"/>
      <c r="EW43" s="17"/>
      <c r="EX43" s="3"/>
    </row>
    <row r="44" spans="3:154" s="25" customFormat="1" x14ac:dyDescent="0.25">
      <c r="T44" s="3"/>
      <c r="U44" s="16"/>
      <c r="V44" s="3"/>
      <c r="W44" s="17"/>
      <c r="X44" s="3"/>
      <c r="Y44" s="3"/>
      <c r="Z44" s="3"/>
      <c r="AA44" s="3"/>
      <c r="AB44" s="17"/>
      <c r="AC44" s="3"/>
      <c r="AD44" s="3"/>
      <c r="AE44" s="16"/>
      <c r="AF44" s="3"/>
      <c r="AG44" s="17"/>
      <c r="AH44" s="3"/>
      <c r="AI44" s="3"/>
      <c r="AJ44" s="16"/>
      <c r="AK44" s="3"/>
      <c r="AL44" s="17"/>
      <c r="AM44" s="3"/>
      <c r="AN44" s="3"/>
      <c r="AO44" s="3"/>
      <c r="AP44" s="3"/>
      <c r="AQ44" s="17"/>
      <c r="AR44" s="3"/>
      <c r="AS44" s="3"/>
      <c r="AT44" s="16"/>
      <c r="AU44" s="3"/>
      <c r="AV44" s="17"/>
      <c r="AW44" s="3"/>
      <c r="AX44" s="3"/>
      <c r="AY44" s="16"/>
      <c r="AZ44" s="3"/>
      <c r="BA44" s="17"/>
      <c r="BB44" s="3"/>
      <c r="BC44" s="3"/>
      <c r="BD44" s="3"/>
      <c r="BE44" s="3"/>
      <c r="BF44" s="17"/>
      <c r="BG44" s="3"/>
      <c r="BH44" s="3"/>
      <c r="BI44" s="16"/>
      <c r="BJ44" s="3"/>
      <c r="BK44" s="17"/>
      <c r="BL44" s="3"/>
      <c r="BM44" s="3"/>
      <c r="BN44" s="16"/>
      <c r="BO44" s="3"/>
      <c r="BP44" s="17"/>
      <c r="BQ44" s="3"/>
      <c r="BR44" s="3"/>
      <c r="BS44" s="3"/>
      <c r="BT44" s="3"/>
      <c r="BU44" s="17"/>
      <c r="BV44" s="3"/>
      <c r="BW44" s="3"/>
      <c r="BX44" s="16"/>
      <c r="BY44" s="3"/>
      <c r="BZ44" s="17"/>
      <c r="CA44" s="3"/>
      <c r="CB44" s="3"/>
      <c r="CC44" s="16"/>
      <c r="CD44" s="3"/>
      <c r="CE44" s="17"/>
      <c r="CF44" s="3"/>
      <c r="CG44" s="18"/>
      <c r="CH44" s="18"/>
      <c r="CI44" s="18"/>
      <c r="CJ44" s="17"/>
      <c r="CK44" s="18"/>
      <c r="CL44" s="3"/>
      <c r="CM44" s="16"/>
      <c r="CN44" s="3"/>
      <c r="CO44" s="17"/>
      <c r="CP44" s="3"/>
      <c r="CQ44" s="3"/>
      <c r="CR44" s="16"/>
      <c r="CS44" s="3"/>
      <c r="CT44" s="17"/>
      <c r="CU44" s="3"/>
      <c r="CV44" s="3"/>
      <c r="CW44" s="3"/>
      <c r="CX44" s="3"/>
      <c r="CY44" s="17"/>
      <c r="CZ44" s="3"/>
      <c r="DA44" s="3"/>
      <c r="DB44" s="16"/>
      <c r="DC44" s="3"/>
      <c r="DD44" s="17"/>
      <c r="DE44" s="3"/>
      <c r="DF44" s="3"/>
      <c r="DG44" s="16"/>
      <c r="DH44" s="3"/>
      <c r="DI44" s="17"/>
      <c r="DJ44" s="3"/>
      <c r="DK44" s="3"/>
      <c r="DL44" s="3"/>
      <c r="DM44" s="3"/>
      <c r="DN44" s="17"/>
      <c r="DO44" s="3"/>
      <c r="DP44" s="3"/>
      <c r="DQ44" s="16"/>
      <c r="DR44" s="3"/>
      <c r="DS44" s="17"/>
      <c r="DT44" s="3"/>
      <c r="DU44" s="3"/>
      <c r="DV44" s="16"/>
      <c r="DW44" s="3"/>
      <c r="DX44" s="17"/>
      <c r="DY44" s="3"/>
      <c r="DZ44" s="3"/>
      <c r="EA44" s="3"/>
      <c r="EB44" s="3"/>
      <c r="EC44" s="17"/>
      <c r="ED44" s="3"/>
      <c r="EE44" s="3"/>
      <c r="EF44" s="16"/>
      <c r="EG44" s="3"/>
      <c r="EH44" s="17"/>
      <c r="EI44" s="3"/>
      <c r="EJ44" s="3"/>
      <c r="EK44" s="16"/>
      <c r="EL44" s="3"/>
      <c r="EM44" s="17"/>
      <c r="EN44" s="3"/>
      <c r="EO44" s="3"/>
      <c r="EP44" s="3"/>
      <c r="EQ44" s="3"/>
      <c r="ER44" s="17"/>
      <c r="ES44" s="3"/>
      <c r="ET44" s="3"/>
      <c r="EU44" s="16"/>
      <c r="EV44" s="3"/>
      <c r="EW44" s="17"/>
      <c r="EX44" s="3"/>
    </row>
    <row r="45" spans="3:154" s="25" customFormat="1" x14ac:dyDescent="0.25">
      <c r="T45" s="3"/>
      <c r="U45" s="16"/>
      <c r="V45" s="3"/>
      <c r="W45" s="17"/>
      <c r="X45" s="3"/>
      <c r="Y45" s="3"/>
      <c r="Z45" s="3"/>
      <c r="AA45" s="3"/>
      <c r="AB45" s="17"/>
      <c r="AC45" s="3"/>
      <c r="AD45" s="3"/>
      <c r="AE45" s="16"/>
      <c r="AF45" s="3"/>
      <c r="AG45" s="17"/>
      <c r="AH45" s="3"/>
      <c r="AI45" s="3"/>
      <c r="AJ45" s="16"/>
      <c r="AK45" s="3"/>
      <c r="AL45" s="17"/>
      <c r="AM45" s="3"/>
      <c r="AN45" s="3"/>
      <c r="AO45" s="3"/>
      <c r="AP45" s="3"/>
      <c r="AQ45" s="17"/>
      <c r="AR45" s="3"/>
      <c r="AS45" s="3"/>
      <c r="AT45" s="16"/>
      <c r="AU45" s="3"/>
      <c r="AV45" s="17"/>
      <c r="AW45" s="3"/>
      <c r="AX45" s="3"/>
      <c r="AY45" s="16"/>
      <c r="AZ45" s="3"/>
      <c r="BA45" s="17"/>
      <c r="BB45" s="3"/>
      <c r="BC45" s="3"/>
      <c r="BD45" s="3"/>
      <c r="BE45" s="3"/>
      <c r="BF45" s="17"/>
      <c r="BG45" s="3"/>
      <c r="BH45" s="3"/>
      <c r="BI45" s="16"/>
      <c r="BJ45" s="3"/>
      <c r="BK45" s="17"/>
      <c r="BL45" s="3"/>
      <c r="BM45" s="3"/>
      <c r="BN45" s="16"/>
      <c r="BO45" s="3"/>
      <c r="BP45" s="17"/>
      <c r="BQ45" s="3"/>
      <c r="BR45" s="3"/>
      <c r="BS45" s="3"/>
      <c r="BT45" s="3"/>
      <c r="BU45" s="17"/>
      <c r="BV45" s="3"/>
      <c r="BW45" s="3"/>
      <c r="BX45" s="16"/>
      <c r="BY45" s="3"/>
      <c r="BZ45" s="17"/>
      <c r="CA45" s="3"/>
      <c r="CB45" s="3"/>
      <c r="CC45" s="16"/>
      <c r="CD45" s="3"/>
      <c r="CE45" s="17"/>
      <c r="CF45" s="3"/>
      <c r="CG45" s="18"/>
      <c r="CH45" s="18"/>
      <c r="CI45" s="18"/>
      <c r="CJ45" s="17"/>
      <c r="CK45" s="18"/>
      <c r="CL45" s="3"/>
      <c r="CM45" s="16"/>
      <c r="CN45" s="3"/>
      <c r="CO45" s="17"/>
      <c r="CP45" s="3"/>
      <c r="CQ45" s="3"/>
      <c r="CR45" s="16"/>
      <c r="CS45" s="3"/>
      <c r="CT45" s="17"/>
      <c r="CU45" s="3"/>
      <c r="CV45" s="3"/>
      <c r="CW45" s="3"/>
      <c r="CX45" s="3"/>
      <c r="CY45" s="17"/>
      <c r="CZ45" s="3"/>
      <c r="DA45" s="3"/>
      <c r="DB45" s="16"/>
      <c r="DC45" s="3"/>
      <c r="DD45" s="17"/>
      <c r="DE45" s="3"/>
      <c r="DF45" s="3"/>
      <c r="DG45" s="16"/>
      <c r="DH45" s="3"/>
      <c r="DI45" s="17"/>
      <c r="DJ45" s="3"/>
      <c r="DK45" s="3"/>
      <c r="DL45" s="3"/>
      <c r="DM45" s="3"/>
      <c r="DN45" s="17"/>
      <c r="DO45" s="3"/>
      <c r="DP45" s="3"/>
      <c r="DQ45" s="16"/>
      <c r="DR45" s="3"/>
      <c r="DS45" s="17"/>
      <c r="DT45" s="3"/>
      <c r="DU45" s="3"/>
      <c r="DV45" s="16"/>
      <c r="DW45" s="3"/>
      <c r="DX45" s="17"/>
      <c r="DY45" s="3"/>
      <c r="DZ45" s="3"/>
      <c r="EA45" s="3"/>
      <c r="EB45" s="3"/>
      <c r="EC45" s="17"/>
      <c r="ED45" s="3"/>
      <c r="EE45" s="3"/>
      <c r="EF45" s="16"/>
      <c r="EG45" s="3"/>
      <c r="EH45" s="17"/>
      <c r="EI45" s="3"/>
      <c r="EJ45" s="3"/>
      <c r="EK45" s="16"/>
      <c r="EL45" s="3"/>
      <c r="EM45" s="17"/>
      <c r="EN45" s="3"/>
      <c r="EO45" s="3"/>
      <c r="EP45" s="3"/>
      <c r="EQ45" s="3"/>
      <c r="ER45" s="17"/>
      <c r="ES45" s="3"/>
      <c r="ET45" s="3"/>
      <c r="EU45" s="16"/>
      <c r="EV45" s="3"/>
      <c r="EW45" s="17"/>
      <c r="EX45" s="3"/>
    </row>
    <row r="46" spans="3:154" s="25" customFormat="1" x14ac:dyDescent="0.25">
      <c r="T46" s="3"/>
      <c r="U46" s="16"/>
      <c r="V46" s="3"/>
      <c r="W46" s="17"/>
      <c r="X46" s="3"/>
      <c r="Y46" s="3"/>
      <c r="Z46" s="3"/>
      <c r="AA46" s="3"/>
      <c r="AB46" s="17"/>
      <c r="AC46" s="3"/>
      <c r="AD46" s="3"/>
      <c r="AE46" s="16"/>
      <c r="AF46" s="3"/>
      <c r="AG46" s="17"/>
      <c r="AH46" s="3"/>
      <c r="AI46" s="3"/>
      <c r="AJ46" s="16"/>
      <c r="AK46" s="3"/>
      <c r="AL46" s="17"/>
      <c r="AM46" s="3"/>
      <c r="AN46" s="3"/>
      <c r="AO46" s="3"/>
      <c r="AP46" s="3"/>
      <c r="AQ46" s="17"/>
      <c r="AR46" s="3"/>
      <c r="AS46" s="3"/>
      <c r="AT46" s="16"/>
      <c r="AU46" s="3"/>
      <c r="AV46" s="17"/>
      <c r="AW46" s="3"/>
      <c r="AX46" s="3"/>
      <c r="AY46" s="16"/>
      <c r="AZ46" s="3"/>
      <c r="BA46" s="17"/>
      <c r="BB46" s="3"/>
      <c r="BC46" s="3"/>
      <c r="BD46" s="3"/>
      <c r="BE46" s="3"/>
      <c r="BF46" s="17"/>
      <c r="BG46" s="3"/>
      <c r="BH46" s="3"/>
      <c r="BI46" s="16"/>
      <c r="BJ46" s="3"/>
      <c r="BK46" s="17"/>
      <c r="BL46" s="3"/>
      <c r="BM46" s="3"/>
      <c r="BN46" s="16"/>
      <c r="BO46" s="3"/>
      <c r="BP46" s="17"/>
      <c r="BQ46" s="3"/>
      <c r="BR46" s="3"/>
      <c r="BS46" s="3"/>
      <c r="BT46" s="3"/>
      <c r="BU46" s="17"/>
      <c r="BV46" s="3"/>
      <c r="BW46" s="3"/>
      <c r="BX46" s="16"/>
      <c r="BY46" s="3"/>
      <c r="BZ46" s="17"/>
      <c r="CA46" s="3"/>
      <c r="CB46" s="3"/>
      <c r="CC46" s="16"/>
      <c r="CD46" s="3"/>
      <c r="CE46" s="17"/>
      <c r="CF46" s="3"/>
      <c r="CG46" s="18"/>
      <c r="CH46" s="18"/>
      <c r="CI46" s="18"/>
      <c r="CJ46" s="17"/>
      <c r="CK46" s="18"/>
      <c r="CL46" s="3"/>
      <c r="CM46" s="16"/>
      <c r="CN46" s="3"/>
      <c r="CO46" s="17"/>
      <c r="CP46" s="3"/>
      <c r="CQ46" s="3"/>
      <c r="CR46" s="16"/>
      <c r="CS46" s="3"/>
      <c r="CT46" s="17"/>
      <c r="CU46" s="3"/>
      <c r="CV46" s="3"/>
      <c r="CW46" s="3"/>
      <c r="CX46" s="3"/>
      <c r="CY46" s="17"/>
      <c r="CZ46" s="3"/>
      <c r="DA46" s="3"/>
      <c r="DB46" s="16"/>
      <c r="DC46" s="3"/>
      <c r="DD46" s="17"/>
      <c r="DE46" s="3"/>
      <c r="DF46" s="3"/>
      <c r="DG46" s="16"/>
      <c r="DH46" s="3"/>
      <c r="DI46" s="17"/>
      <c r="DJ46" s="3"/>
      <c r="DK46" s="3"/>
      <c r="DL46" s="3"/>
      <c r="DM46" s="3"/>
      <c r="DN46" s="17"/>
      <c r="DO46" s="3"/>
      <c r="DP46" s="3"/>
      <c r="DQ46" s="16"/>
      <c r="DR46" s="3"/>
      <c r="DS46" s="17"/>
      <c r="DT46" s="3"/>
      <c r="DU46" s="3"/>
      <c r="DV46" s="16"/>
      <c r="DW46" s="3"/>
      <c r="DX46" s="17"/>
      <c r="DY46" s="3"/>
      <c r="DZ46" s="3"/>
      <c r="EA46" s="3"/>
      <c r="EB46" s="3"/>
      <c r="EC46" s="17"/>
      <c r="ED46" s="3"/>
      <c r="EE46" s="3"/>
      <c r="EF46" s="16"/>
      <c r="EG46" s="3"/>
      <c r="EH46" s="17"/>
      <c r="EI46" s="3"/>
      <c r="EJ46" s="3"/>
      <c r="EK46" s="16"/>
      <c r="EL46" s="3"/>
      <c r="EM46" s="17"/>
      <c r="EN46" s="3"/>
      <c r="EO46" s="3"/>
      <c r="EP46" s="3"/>
      <c r="EQ46" s="3"/>
      <c r="ER46" s="17"/>
      <c r="ES46" s="3"/>
      <c r="ET46" s="3"/>
      <c r="EU46" s="16"/>
      <c r="EV46" s="3"/>
      <c r="EW46" s="17"/>
      <c r="EX46" s="3"/>
    </row>
    <row r="47" spans="3:154" s="25" customFormat="1" x14ac:dyDescent="0.25">
      <c r="T47" s="3"/>
      <c r="U47" s="16"/>
      <c r="V47" s="3"/>
      <c r="W47" s="17"/>
      <c r="X47" s="3"/>
      <c r="Y47" s="3"/>
      <c r="Z47" s="3"/>
      <c r="AA47" s="3"/>
      <c r="AB47" s="17"/>
      <c r="AC47" s="3"/>
      <c r="AD47" s="3"/>
      <c r="AE47" s="16"/>
      <c r="AF47" s="3"/>
      <c r="AG47" s="17"/>
      <c r="AH47" s="3"/>
      <c r="AI47" s="3"/>
      <c r="AJ47" s="16"/>
      <c r="AK47" s="3"/>
      <c r="AL47" s="17"/>
      <c r="AM47" s="3"/>
      <c r="AN47" s="3"/>
      <c r="AO47" s="3"/>
      <c r="AP47" s="3"/>
      <c r="AQ47" s="17"/>
      <c r="AR47" s="3"/>
      <c r="AS47" s="3"/>
      <c r="AT47" s="16"/>
      <c r="AU47" s="3"/>
      <c r="AV47" s="17"/>
      <c r="AW47" s="3"/>
      <c r="AX47" s="3"/>
      <c r="AY47" s="16"/>
      <c r="AZ47" s="3"/>
      <c r="BA47" s="17"/>
      <c r="BB47" s="3"/>
      <c r="BC47" s="3"/>
      <c r="BD47" s="3"/>
      <c r="BE47" s="3"/>
      <c r="BF47" s="17"/>
      <c r="BG47" s="3"/>
      <c r="BH47" s="3"/>
      <c r="BI47" s="16"/>
      <c r="BJ47" s="3"/>
      <c r="BK47" s="17"/>
      <c r="BL47" s="3"/>
      <c r="BM47" s="3"/>
      <c r="BN47" s="16"/>
      <c r="BO47" s="3"/>
      <c r="BP47" s="17"/>
      <c r="BQ47" s="3"/>
      <c r="BR47" s="3"/>
      <c r="BS47" s="3"/>
      <c r="BT47" s="3"/>
      <c r="BU47" s="17"/>
      <c r="BV47" s="3"/>
      <c r="BW47" s="3"/>
      <c r="BX47" s="16"/>
      <c r="BY47" s="3"/>
      <c r="BZ47" s="17"/>
      <c r="CA47" s="3"/>
      <c r="CB47" s="3"/>
      <c r="CC47" s="16"/>
      <c r="CD47" s="3"/>
      <c r="CE47" s="17"/>
      <c r="CF47" s="3"/>
      <c r="CG47" s="18"/>
      <c r="CH47" s="18"/>
      <c r="CI47" s="18"/>
      <c r="CJ47" s="17"/>
      <c r="CK47" s="18"/>
      <c r="CL47" s="3"/>
      <c r="CM47" s="16"/>
      <c r="CN47" s="3"/>
      <c r="CO47" s="17"/>
      <c r="CP47" s="3"/>
      <c r="CQ47" s="3"/>
      <c r="CR47" s="16"/>
      <c r="CS47" s="3"/>
      <c r="CT47" s="17"/>
      <c r="CU47" s="3"/>
      <c r="CV47" s="3"/>
      <c r="CW47" s="3"/>
      <c r="CX47" s="3"/>
      <c r="CY47" s="17"/>
      <c r="CZ47" s="3"/>
      <c r="DA47" s="3"/>
      <c r="DB47" s="16"/>
      <c r="DC47" s="3"/>
      <c r="DD47" s="17"/>
      <c r="DE47" s="3"/>
      <c r="DF47" s="3"/>
      <c r="DG47" s="16"/>
      <c r="DH47" s="3"/>
      <c r="DI47" s="17"/>
      <c r="DJ47" s="3"/>
      <c r="DK47" s="3"/>
      <c r="DL47" s="3"/>
      <c r="DM47" s="3"/>
      <c r="DN47" s="17"/>
      <c r="DO47" s="3"/>
      <c r="DP47" s="3"/>
      <c r="DQ47" s="16"/>
      <c r="DR47" s="3"/>
      <c r="DS47" s="17"/>
      <c r="DT47" s="3"/>
      <c r="DU47" s="3"/>
      <c r="DV47" s="16"/>
      <c r="DW47" s="3"/>
      <c r="DX47" s="17"/>
      <c r="DY47" s="3"/>
      <c r="DZ47" s="3"/>
      <c r="EA47" s="3"/>
      <c r="EB47" s="3"/>
      <c r="EC47" s="17"/>
      <c r="ED47" s="3"/>
      <c r="EE47" s="3"/>
      <c r="EF47" s="16"/>
      <c r="EG47" s="3"/>
      <c r="EH47" s="17"/>
      <c r="EI47" s="3"/>
      <c r="EJ47" s="3"/>
      <c r="EK47" s="16"/>
      <c r="EL47" s="3"/>
      <c r="EM47" s="17"/>
      <c r="EN47" s="3"/>
      <c r="EO47" s="3"/>
      <c r="EP47" s="3"/>
      <c r="EQ47" s="3"/>
      <c r="ER47" s="17"/>
      <c r="ES47" s="3"/>
      <c r="ET47" s="3"/>
      <c r="EU47" s="16"/>
      <c r="EV47" s="3"/>
      <c r="EW47" s="17"/>
      <c r="EX47" s="3"/>
    </row>
    <row r="48" spans="3:154" s="25" customFormat="1" x14ac:dyDescent="0.25">
      <c r="T48" s="3"/>
      <c r="U48" s="16"/>
      <c r="V48" s="3"/>
      <c r="W48" s="17"/>
      <c r="X48" s="3"/>
      <c r="Y48" s="3"/>
      <c r="Z48" s="3"/>
      <c r="AA48" s="3"/>
      <c r="AB48" s="17"/>
      <c r="AC48" s="3"/>
      <c r="AD48" s="3"/>
      <c r="AE48" s="16"/>
      <c r="AF48" s="3"/>
      <c r="AG48" s="17"/>
      <c r="AH48" s="3"/>
      <c r="AI48" s="3"/>
      <c r="AJ48" s="16"/>
      <c r="AK48" s="3"/>
      <c r="AL48" s="17"/>
      <c r="AM48" s="3"/>
      <c r="AN48" s="3"/>
      <c r="AO48" s="3"/>
      <c r="AP48" s="3"/>
      <c r="AQ48" s="17"/>
      <c r="AR48" s="3"/>
      <c r="AS48" s="3"/>
      <c r="AT48" s="16"/>
      <c r="AU48" s="3"/>
      <c r="AV48" s="17"/>
      <c r="AW48" s="3"/>
      <c r="AX48" s="3"/>
      <c r="AY48" s="16"/>
      <c r="AZ48" s="3"/>
      <c r="BA48" s="17"/>
      <c r="BB48" s="3"/>
      <c r="BC48" s="3"/>
      <c r="BD48" s="3"/>
      <c r="BE48" s="3"/>
      <c r="BF48" s="17"/>
      <c r="BG48" s="3"/>
      <c r="BH48" s="3"/>
      <c r="BI48" s="16"/>
      <c r="BJ48" s="3"/>
      <c r="BK48" s="17"/>
      <c r="BL48" s="3"/>
      <c r="BM48" s="3"/>
      <c r="BN48" s="16"/>
      <c r="BO48" s="3"/>
      <c r="BP48" s="17"/>
      <c r="BQ48" s="3"/>
      <c r="BR48" s="3"/>
      <c r="BS48" s="3"/>
      <c r="BT48" s="3"/>
      <c r="BU48" s="17"/>
      <c r="BV48" s="3"/>
      <c r="BW48" s="3"/>
      <c r="BX48" s="16"/>
      <c r="BY48" s="3"/>
      <c r="BZ48" s="17"/>
      <c r="CA48" s="3"/>
      <c r="CB48" s="3"/>
      <c r="CC48" s="16"/>
      <c r="CD48" s="3"/>
      <c r="CE48" s="17"/>
      <c r="CF48" s="3"/>
      <c r="CG48" s="18"/>
      <c r="CH48" s="18"/>
      <c r="CI48" s="18"/>
      <c r="CJ48" s="17"/>
      <c r="CK48" s="18"/>
      <c r="CL48" s="3"/>
      <c r="CM48" s="16"/>
      <c r="CN48" s="3"/>
      <c r="CO48" s="17"/>
      <c r="CP48" s="3"/>
      <c r="CQ48" s="3"/>
      <c r="CR48" s="16"/>
      <c r="CS48" s="3"/>
      <c r="CT48" s="17"/>
      <c r="CU48" s="3"/>
      <c r="CV48" s="3"/>
      <c r="CW48" s="3"/>
      <c r="CX48" s="3"/>
      <c r="CY48" s="17"/>
      <c r="CZ48" s="3"/>
      <c r="DA48" s="3"/>
      <c r="DB48" s="16"/>
      <c r="DC48" s="3"/>
      <c r="DD48" s="17"/>
      <c r="DE48" s="3"/>
      <c r="DF48" s="3"/>
      <c r="DG48" s="16"/>
      <c r="DH48" s="3"/>
      <c r="DI48" s="17"/>
      <c r="DJ48" s="3"/>
      <c r="DK48" s="3"/>
      <c r="DL48" s="3"/>
      <c r="DM48" s="3"/>
      <c r="DN48" s="17"/>
      <c r="DO48" s="3"/>
      <c r="DP48" s="3"/>
      <c r="DQ48" s="16"/>
      <c r="DR48" s="3"/>
      <c r="DS48" s="17"/>
      <c r="DT48" s="3"/>
      <c r="DU48" s="3"/>
      <c r="DV48" s="16"/>
      <c r="DW48" s="3"/>
      <c r="DX48" s="17"/>
      <c r="DY48" s="3"/>
      <c r="DZ48" s="3"/>
      <c r="EA48" s="3"/>
      <c r="EB48" s="3"/>
      <c r="EC48" s="17"/>
      <c r="ED48" s="3"/>
      <c r="EE48" s="3"/>
      <c r="EF48" s="16"/>
      <c r="EG48" s="3"/>
      <c r="EH48" s="17"/>
      <c r="EI48" s="3"/>
      <c r="EJ48" s="3"/>
      <c r="EK48" s="16"/>
      <c r="EL48" s="3"/>
      <c r="EM48" s="17"/>
      <c r="EN48" s="3"/>
      <c r="EO48" s="3"/>
      <c r="EP48" s="3"/>
      <c r="EQ48" s="3"/>
      <c r="ER48" s="17"/>
      <c r="ES48" s="3"/>
      <c r="ET48" s="3"/>
      <c r="EU48" s="16"/>
      <c r="EV48" s="3"/>
      <c r="EW48" s="17"/>
      <c r="EX48" s="3"/>
    </row>
    <row r="49" spans="20:154" s="25" customFormat="1" x14ac:dyDescent="0.25">
      <c r="T49" s="3"/>
      <c r="U49" s="16"/>
      <c r="V49" s="3"/>
      <c r="W49" s="17"/>
      <c r="X49" s="3"/>
      <c r="Y49" s="3"/>
      <c r="Z49" s="3"/>
      <c r="AA49" s="3"/>
      <c r="AB49" s="17"/>
      <c r="AC49" s="3"/>
      <c r="AD49" s="3"/>
      <c r="AE49" s="16"/>
      <c r="AF49" s="3"/>
      <c r="AG49" s="17"/>
      <c r="AH49" s="3"/>
      <c r="AI49" s="3"/>
      <c r="AJ49" s="16"/>
      <c r="AK49" s="3"/>
      <c r="AL49" s="17"/>
      <c r="AM49" s="3"/>
      <c r="AN49" s="3"/>
      <c r="AO49" s="3"/>
      <c r="AP49" s="3"/>
      <c r="AQ49" s="17"/>
      <c r="AR49" s="3"/>
      <c r="AS49" s="3"/>
      <c r="AT49" s="16"/>
      <c r="AU49" s="3"/>
      <c r="AV49" s="17"/>
      <c r="AW49" s="3"/>
      <c r="AX49" s="3"/>
      <c r="AY49" s="16"/>
      <c r="AZ49" s="3"/>
      <c r="BA49" s="17"/>
      <c r="BB49" s="3"/>
      <c r="BC49" s="3"/>
      <c r="BD49" s="3"/>
      <c r="BE49" s="3"/>
      <c r="BF49" s="17"/>
      <c r="BG49" s="3"/>
      <c r="BH49" s="3"/>
      <c r="BI49" s="16"/>
      <c r="BJ49" s="3"/>
      <c r="BK49" s="17"/>
      <c r="BL49" s="3"/>
      <c r="BM49" s="3"/>
      <c r="BN49" s="16"/>
      <c r="BO49" s="3"/>
      <c r="BP49" s="17"/>
      <c r="BQ49" s="3"/>
      <c r="BR49" s="3"/>
      <c r="BS49" s="3"/>
      <c r="BT49" s="3"/>
      <c r="BU49" s="17"/>
      <c r="BV49" s="3"/>
      <c r="BW49" s="3"/>
      <c r="BX49" s="16"/>
      <c r="BY49" s="3"/>
      <c r="BZ49" s="17"/>
      <c r="CA49" s="3"/>
      <c r="CB49" s="3"/>
      <c r="CC49" s="16"/>
      <c r="CD49" s="3"/>
      <c r="CE49" s="17"/>
      <c r="CF49" s="3"/>
      <c r="CG49" s="18"/>
      <c r="CH49" s="18"/>
      <c r="CI49" s="18"/>
      <c r="CJ49" s="17"/>
      <c r="CK49" s="18"/>
      <c r="CL49" s="3"/>
      <c r="CM49" s="16"/>
      <c r="CN49" s="3"/>
      <c r="CO49" s="17"/>
      <c r="CP49" s="3"/>
      <c r="CQ49" s="3"/>
      <c r="CR49" s="16"/>
      <c r="CS49" s="3"/>
      <c r="CT49" s="17"/>
      <c r="CU49" s="3"/>
      <c r="CV49" s="3"/>
      <c r="CW49" s="3"/>
      <c r="CX49" s="3"/>
      <c r="CY49" s="17"/>
      <c r="CZ49" s="3"/>
      <c r="DA49" s="3"/>
      <c r="DB49" s="16"/>
      <c r="DC49" s="3"/>
      <c r="DD49" s="17"/>
      <c r="DE49" s="3"/>
      <c r="DF49" s="3"/>
      <c r="DG49" s="16"/>
      <c r="DH49" s="3"/>
      <c r="DI49" s="17"/>
      <c r="DJ49" s="3"/>
      <c r="DK49" s="3"/>
      <c r="DL49" s="3"/>
      <c r="DM49" s="3"/>
      <c r="DN49" s="17"/>
      <c r="DO49" s="3"/>
      <c r="DP49" s="3"/>
      <c r="DQ49" s="16"/>
      <c r="DR49" s="3"/>
      <c r="DS49" s="17"/>
      <c r="DT49" s="3"/>
      <c r="DU49" s="3"/>
      <c r="DV49" s="16"/>
      <c r="DW49" s="3"/>
      <c r="DX49" s="17"/>
      <c r="DY49" s="3"/>
      <c r="DZ49" s="3"/>
      <c r="EA49" s="3"/>
      <c r="EB49" s="3"/>
      <c r="EC49" s="17"/>
      <c r="ED49" s="3"/>
      <c r="EE49" s="3"/>
      <c r="EF49" s="16"/>
      <c r="EG49" s="3"/>
      <c r="EH49" s="17"/>
      <c r="EI49" s="3"/>
      <c r="EJ49" s="3"/>
      <c r="EK49" s="16"/>
      <c r="EL49" s="3"/>
      <c r="EM49" s="17"/>
      <c r="EN49" s="3"/>
      <c r="EO49" s="3"/>
      <c r="EP49" s="3"/>
      <c r="EQ49" s="3"/>
      <c r="ER49" s="17"/>
      <c r="ES49" s="3"/>
      <c r="ET49" s="3"/>
      <c r="EU49" s="16"/>
      <c r="EV49" s="3"/>
      <c r="EW49" s="17"/>
      <c r="EX49" s="3"/>
    </row>
    <row r="50" spans="20:154" s="25" customFormat="1" x14ac:dyDescent="0.25">
      <c r="T50" s="3"/>
      <c r="U50" s="16"/>
      <c r="V50" s="3"/>
      <c r="W50" s="17"/>
      <c r="X50" s="3"/>
      <c r="Y50" s="3"/>
      <c r="Z50" s="3"/>
      <c r="AA50" s="3"/>
      <c r="AB50" s="17"/>
      <c r="AC50" s="3"/>
      <c r="AD50" s="3"/>
      <c r="AE50" s="16"/>
      <c r="AF50" s="3"/>
      <c r="AG50" s="17"/>
      <c r="AH50" s="3"/>
      <c r="AI50" s="3"/>
      <c r="AJ50" s="16"/>
      <c r="AK50" s="3"/>
      <c r="AL50" s="17"/>
      <c r="AM50" s="3"/>
      <c r="AN50" s="3"/>
      <c r="AO50" s="3"/>
      <c r="AP50" s="3"/>
      <c r="AQ50" s="17"/>
      <c r="AR50" s="3"/>
      <c r="AS50" s="3"/>
      <c r="AT50" s="16"/>
      <c r="AU50" s="3"/>
      <c r="AV50" s="17"/>
      <c r="AW50" s="3"/>
      <c r="AX50" s="3"/>
      <c r="AY50" s="16"/>
      <c r="AZ50" s="3"/>
      <c r="BA50" s="17"/>
      <c r="BB50" s="3"/>
      <c r="BC50" s="3"/>
      <c r="BD50" s="3"/>
      <c r="BE50" s="3"/>
      <c r="BF50" s="17"/>
      <c r="BG50" s="3"/>
      <c r="BH50" s="3"/>
      <c r="BI50" s="16"/>
      <c r="BJ50" s="3"/>
      <c r="BK50" s="17"/>
      <c r="BL50" s="3"/>
      <c r="BM50" s="3"/>
      <c r="BN50" s="16"/>
      <c r="BO50" s="3"/>
      <c r="BP50" s="17"/>
      <c r="BQ50" s="3"/>
      <c r="BR50" s="3"/>
      <c r="BS50" s="3"/>
      <c r="BT50" s="3"/>
      <c r="BU50" s="17"/>
      <c r="BV50" s="3"/>
      <c r="BW50" s="3"/>
      <c r="BX50" s="16"/>
      <c r="BY50" s="3"/>
      <c r="BZ50" s="17"/>
      <c r="CA50" s="3"/>
      <c r="CB50" s="3"/>
      <c r="CC50" s="16"/>
      <c r="CD50" s="3"/>
      <c r="CE50" s="17"/>
      <c r="CF50" s="3"/>
      <c r="CG50" s="18"/>
      <c r="CH50" s="18"/>
      <c r="CI50" s="18"/>
      <c r="CJ50" s="17"/>
      <c r="CK50" s="18"/>
      <c r="CL50" s="3"/>
      <c r="CM50" s="16"/>
      <c r="CN50" s="3"/>
      <c r="CO50" s="17"/>
      <c r="CP50" s="3"/>
      <c r="CQ50" s="3"/>
      <c r="CR50" s="16"/>
      <c r="CS50" s="3"/>
      <c r="CT50" s="17"/>
      <c r="CU50" s="3"/>
      <c r="CV50" s="3"/>
      <c r="CW50" s="3"/>
      <c r="CX50" s="3"/>
      <c r="CY50" s="17"/>
      <c r="CZ50" s="3"/>
      <c r="DA50" s="3"/>
      <c r="DB50" s="16"/>
      <c r="DC50" s="3"/>
      <c r="DD50" s="17"/>
      <c r="DE50" s="3"/>
      <c r="DF50" s="3"/>
      <c r="DG50" s="16"/>
      <c r="DH50" s="3"/>
      <c r="DI50" s="17"/>
      <c r="DJ50" s="3"/>
      <c r="DK50" s="3"/>
      <c r="DL50" s="3"/>
      <c r="DM50" s="3"/>
      <c r="DN50" s="17"/>
      <c r="DO50" s="3"/>
      <c r="DP50" s="3"/>
      <c r="DQ50" s="16"/>
      <c r="DR50" s="3"/>
      <c r="DS50" s="17"/>
      <c r="DT50" s="3"/>
      <c r="DU50" s="3"/>
      <c r="DV50" s="16"/>
      <c r="DW50" s="3"/>
      <c r="DX50" s="17"/>
      <c r="DY50" s="3"/>
      <c r="DZ50" s="3"/>
      <c r="EA50" s="3"/>
      <c r="EB50" s="3"/>
      <c r="EC50" s="17"/>
      <c r="ED50" s="3"/>
      <c r="EE50" s="3"/>
      <c r="EF50" s="16"/>
      <c r="EG50" s="3"/>
      <c r="EH50" s="17"/>
      <c r="EI50" s="3"/>
      <c r="EJ50" s="3"/>
      <c r="EK50" s="16"/>
      <c r="EL50" s="3"/>
      <c r="EM50" s="17"/>
      <c r="EN50" s="3"/>
      <c r="EO50" s="3"/>
      <c r="EP50" s="3"/>
      <c r="EQ50" s="3"/>
      <c r="ER50" s="17"/>
      <c r="ES50" s="3"/>
      <c r="ET50" s="3"/>
      <c r="EU50" s="16"/>
      <c r="EV50" s="3"/>
      <c r="EW50" s="17"/>
      <c r="EX50" s="3"/>
    </row>
    <row r="51" spans="20:154" s="25" customFormat="1" x14ac:dyDescent="0.25">
      <c r="T51" s="3"/>
      <c r="U51" s="16"/>
      <c r="V51" s="3"/>
      <c r="W51" s="17"/>
      <c r="X51" s="3"/>
      <c r="Y51" s="3"/>
      <c r="Z51" s="3"/>
      <c r="AA51" s="3"/>
      <c r="AB51" s="17"/>
      <c r="AC51" s="3"/>
      <c r="AD51" s="3"/>
      <c r="AE51" s="16"/>
      <c r="AF51" s="3"/>
      <c r="AG51" s="17"/>
      <c r="AH51" s="3"/>
      <c r="AI51" s="3"/>
      <c r="AJ51" s="16"/>
      <c r="AK51" s="3"/>
      <c r="AL51" s="17"/>
      <c r="AM51" s="3"/>
      <c r="AN51" s="3"/>
      <c r="AO51" s="3"/>
      <c r="AP51" s="3"/>
      <c r="AQ51" s="17"/>
      <c r="AR51" s="3"/>
      <c r="AS51" s="3"/>
      <c r="AT51" s="16"/>
      <c r="AU51" s="3"/>
      <c r="AV51" s="17"/>
      <c r="AW51" s="3"/>
      <c r="AX51" s="3"/>
      <c r="AY51" s="16"/>
      <c r="AZ51" s="3"/>
      <c r="BA51" s="17"/>
      <c r="BB51" s="3"/>
      <c r="BC51" s="3"/>
      <c r="BD51" s="3"/>
      <c r="BE51" s="3"/>
      <c r="BF51" s="17"/>
      <c r="BG51" s="3"/>
      <c r="BH51" s="3"/>
      <c r="BI51" s="16"/>
      <c r="BJ51" s="3"/>
      <c r="BK51" s="17"/>
      <c r="BL51" s="3"/>
      <c r="BM51" s="3"/>
      <c r="BN51" s="16"/>
      <c r="BO51" s="3"/>
      <c r="BP51" s="17"/>
      <c r="BQ51" s="3"/>
      <c r="BR51" s="3"/>
      <c r="BS51" s="3"/>
      <c r="BT51" s="3"/>
      <c r="BU51" s="17"/>
      <c r="BV51" s="3"/>
      <c r="BW51" s="3"/>
      <c r="BX51" s="16"/>
      <c r="BY51" s="3"/>
      <c r="BZ51" s="17"/>
      <c r="CA51" s="3"/>
      <c r="CB51" s="3"/>
      <c r="CC51" s="16"/>
      <c r="CD51" s="3"/>
      <c r="CE51" s="17"/>
      <c r="CF51" s="3"/>
      <c r="CG51" s="18"/>
      <c r="CH51" s="18"/>
      <c r="CI51" s="18"/>
      <c r="CJ51" s="17"/>
      <c r="CK51" s="18"/>
      <c r="CL51" s="3"/>
      <c r="CM51" s="16"/>
      <c r="CN51" s="3"/>
      <c r="CO51" s="17"/>
      <c r="CP51" s="3"/>
      <c r="CQ51" s="3"/>
      <c r="CR51" s="16"/>
      <c r="CS51" s="3"/>
      <c r="CT51" s="17"/>
      <c r="CU51" s="3"/>
      <c r="CV51" s="3"/>
      <c r="CW51" s="3"/>
      <c r="CX51" s="3"/>
      <c r="CY51" s="17"/>
      <c r="CZ51" s="3"/>
      <c r="DA51" s="3"/>
      <c r="DB51" s="16"/>
      <c r="DC51" s="3"/>
      <c r="DD51" s="17"/>
      <c r="DE51" s="3"/>
      <c r="DF51" s="3"/>
      <c r="DG51" s="16"/>
      <c r="DH51" s="3"/>
      <c r="DI51" s="17"/>
      <c r="DJ51" s="3"/>
      <c r="DK51" s="3"/>
      <c r="DL51" s="3"/>
      <c r="DM51" s="3"/>
      <c r="DN51" s="17"/>
      <c r="DO51" s="3"/>
      <c r="DP51" s="3"/>
      <c r="DQ51" s="16"/>
      <c r="DR51" s="3"/>
      <c r="DS51" s="17"/>
      <c r="DT51" s="3"/>
      <c r="DU51" s="3"/>
      <c r="DV51" s="16"/>
      <c r="DW51" s="3"/>
      <c r="DX51" s="17"/>
      <c r="DY51" s="3"/>
      <c r="DZ51" s="3"/>
      <c r="EA51" s="3"/>
      <c r="EB51" s="3"/>
      <c r="EC51" s="17"/>
      <c r="ED51" s="3"/>
      <c r="EE51" s="3"/>
      <c r="EF51" s="16"/>
      <c r="EG51" s="3"/>
      <c r="EH51" s="17"/>
      <c r="EI51" s="3"/>
      <c r="EJ51" s="3"/>
      <c r="EK51" s="16"/>
      <c r="EL51" s="3"/>
      <c r="EM51" s="17"/>
      <c r="EN51" s="3"/>
      <c r="EO51" s="3"/>
      <c r="EP51" s="3"/>
      <c r="EQ51" s="3"/>
      <c r="ER51" s="17"/>
      <c r="ES51" s="3"/>
      <c r="ET51" s="3"/>
      <c r="EU51" s="16"/>
      <c r="EV51" s="3"/>
      <c r="EW51" s="17"/>
      <c r="EX51" s="3"/>
    </row>
    <row r="52" spans="20:154" s="25" customFormat="1" x14ac:dyDescent="0.25">
      <c r="T52" s="3"/>
      <c r="U52" s="16"/>
      <c r="V52" s="3"/>
      <c r="W52" s="17"/>
      <c r="X52" s="3"/>
      <c r="Y52" s="3"/>
      <c r="Z52" s="3"/>
      <c r="AA52" s="3"/>
      <c r="AB52" s="17"/>
      <c r="AC52" s="3"/>
      <c r="AD52" s="3"/>
      <c r="AE52" s="16"/>
      <c r="AF52" s="3"/>
      <c r="AG52" s="17"/>
      <c r="AH52" s="3"/>
      <c r="AI52" s="3"/>
      <c r="AJ52" s="16"/>
      <c r="AK52" s="3"/>
      <c r="AL52" s="17"/>
      <c r="AM52" s="3"/>
      <c r="AN52" s="3"/>
      <c r="AO52" s="3"/>
      <c r="AP52" s="3"/>
      <c r="AQ52" s="17"/>
      <c r="AR52" s="3"/>
      <c r="AS52" s="3"/>
      <c r="AT52" s="16"/>
      <c r="AU52" s="3"/>
      <c r="AV52" s="17"/>
      <c r="AW52" s="3"/>
      <c r="AX52" s="3"/>
      <c r="AY52" s="16"/>
      <c r="AZ52" s="3"/>
      <c r="BA52" s="17"/>
      <c r="BB52" s="3"/>
      <c r="BC52" s="3"/>
      <c r="BD52" s="3"/>
      <c r="BE52" s="3"/>
      <c r="BF52" s="17"/>
      <c r="BG52" s="3"/>
      <c r="BH52" s="3"/>
      <c r="BI52" s="16"/>
      <c r="BJ52" s="3"/>
      <c r="BK52" s="17"/>
      <c r="BL52" s="3"/>
      <c r="BM52" s="3"/>
      <c r="BN52" s="16"/>
      <c r="BO52" s="3"/>
      <c r="BP52" s="17"/>
      <c r="BQ52" s="3"/>
      <c r="BR52" s="3"/>
      <c r="BS52" s="3"/>
      <c r="BT52" s="3"/>
      <c r="BU52" s="17"/>
      <c r="BV52" s="3"/>
      <c r="BW52" s="3"/>
      <c r="BX52" s="16"/>
      <c r="BY52" s="3"/>
      <c r="BZ52" s="17"/>
      <c r="CA52" s="3"/>
      <c r="CB52" s="3"/>
      <c r="CC52" s="16"/>
      <c r="CD52" s="3"/>
      <c r="CE52" s="17"/>
      <c r="CF52" s="3"/>
      <c r="CG52" s="18"/>
      <c r="CH52" s="18"/>
      <c r="CI52" s="18"/>
      <c r="CJ52" s="17"/>
      <c r="CK52" s="18"/>
      <c r="CL52" s="3"/>
      <c r="CM52" s="16"/>
      <c r="CN52" s="3"/>
      <c r="CO52" s="17"/>
      <c r="CP52" s="3"/>
      <c r="CQ52" s="3"/>
      <c r="CR52" s="16"/>
      <c r="CS52" s="3"/>
      <c r="CT52" s="17"/>
      <c r="CU52" s="3"/>
      <c r="CV52" s="3"/>
      <c r="CW52" s="3"/>
      <c r="CX52" s="3"/>
      <c r="CY52" s="17"/>
      <c r="CZ52" s="3"/>
      <c r="DA52" s="3"/>
      <c r="DB52" s="16"/>
      <c r="DC52" s="3"/>
      <c r="DD52" s="17"/>
      <c r="DE52" s="3"/>
      <c r="DF52" s="3"/>
      <c r="DG52" s="16"/>
      <c r="DH52" s="3"/>
      <c r="DI52" s="17"/>
      <c r="DJ52" s="3"/>
      <c r="DK52" s="3"/>
      <c r="DL52" s="3"/>
      <c r="DM52" s="3"/>
      <c r="DN52" s="17"/>
      <c r="DO52" s="3"/>
      <c r="DP52" s="3"/>
      <c r="DQ52" s="16"/>
      <c r="DR52" s="3"/>
      <c r="DS52" s="17"/>
      <c r="DT52" s="3"/>
      <c r="DU52" s="3"/>
      <c r="DV52" s="16"/>
      <c r="DW52" s="3"/>
      <c r="DX52" s="17"/>
      <c r="DY52" s="3"/>
      <c r="DZ52" s="3"/>
      <c r="EA52" s="3"/>
      <c r="EB52" s="3"/>
      <c r="EC52" s="17"/>
      <c r="ED52" s="3"/>
      <c r="EE52" s="3"/>
      <c r="EF52" s="16"/>
      <c r="EG52" s="3"/>
      <c r="EH52" s="17"/>
      <c r="EI52" s="3"/>
      <c r="EJ52" s="3"/>
      <c r="EK52" s="16"/>
      <c r="EL52" s="3"/>
      <c r="EM52" s="17"/>
      <c r="EN52" s="3"/>
      <c r="EO52" s="3"/>
      <c r="EP52" s="3"/>
      <c r="EQ52" s="3"/>
      <c r="ER52" s="17"/>
      <c r="ES52" s="3"/>
      <c r="ET52" s="3"/>
      <c r="EU52" s="16"/>
      <c r="EV52" s="3"/>
      <c r="EW52" s="17"/>
      <c r="EX52" s="3"/>
    </row>
    <row r="53" spans="20:154" s="25" customFormat="1" x14ac:dyDescent="0.25">
      <c r="T53" s="3"/>
      <c r="U53" s="16"/>
      <c r="V53" s="3"/>
      <c r="W53" s="17"/>
      <c r="X53" s="3"/>
      <c r="Y53" s="3"/>
      <c r="Z53" s="3"/>
      <c r="AA53" s="3"/>
      <c r="AB53" s="17"/>
      <c r="AC53" s="3"/>
      <c r="AD53" s="3"/>
      <c r="AE53" s="16"/>
      <c r="AF53" s="3"/>
      <c r="AG53" s="17"/>
      <c r="AH53" s="3"/>
      <c r="AI53" s="3"/>
      <c r="AJ53" s="16"/>
      <c r="AK53" s="3"/>
      <c r="AL53" s="17"/>
      <c r="AM53" s="3"/>
      <c r="AN53" s="3"/>
      <c r="AO53" s="3"/>
      <c r="AP53" s="3"/>
      <c r="AQ53" s="17"/>
      <c r="AR53" s="3"/>
      <c r="AS53" s="3"/>
      <c r="AT53" s="16"/>
      <c r="AU53" s="3"/>
      <c r="AV53" s="17"/>
      <c r="AW53" s="3"/>
      <c r="AX53" s="3"/>
      <c r="AY53" s="16"/>
      <c r="AZ53" s="3"/>
      <c r="BA53" s="17"/>
      <c r="BB53" s="3"/>
      <c r="BC53" s="3"/>
      <c r="BD53" s="3"/>
      <c r="BE53" s="3"/>
      <c r="BF53" s="17"/>
      <c r="BG53" s="3"/>
      <c r="BH53" s="3"/>
      <c r="BI53" s="16"/>
      <c r="BJ53" s="3"/>
      <c r="BK53" s="17"/>
      <c r="BL53" s="3"/>
      <c r="BM53" s="3"/>
      <c r="BN53" s="16"/>
      <c r="BO53" s="3"/>
      <c r="BP53" s="17"/>
      <c r="BQ53" s="3"/>
      <c r="BR53" s="3"/>
      <c r="BS53" s="3"/>
      <c r="BT53" s="3"/>
      <c r="BU53" s="17"/>
      <c r="BV53" s="3"/>
      <c r="BW53" s="3"/>
      <c r="BX53" s="16"/>
      <c r="BY53" s="3"/>
      <c r="BZ53" s="17"/>
      <c r="CA53" s="3"/>
      <c r="CB53" s="3"/>
      <c r="CC53" s="16"/>
      <c r="CD53" s="3"/>
      <c r="CE53" s="17"/>
      <c r="CF53" s="3"/>
      <c r="CG53" s="18"/>
      <c r="CH53" s="18"/>
      <c r="CI53" s="18"/>
      <c r="CJ53" s="17"/>
      <c r="CK53" s="18"/>
      <c r="CL53" s="3"/>
      <c r="CM53" s="16"/>
      <c r="CN53" s="3"/>
      <c r="CO53" s="17"/>
      <c r="CP53" s="3"/>
      <c r="CQ53" s="3"/>
      <c r="CR53" s="16"/>
      <c r="CS53" s="3"/>
      <c r="CT53" s="17"/>
      <c r="CU53" s="3"/>
      <c r="CV53" s="3"/>
      <c r="CW53" s="3"/>
      <c r="CX53" s="3"/>
      <c r="CY53" s="17"/>
      <c r="CZ53" s="3"/>
      <c r="DA53" s="3"/>
      <c r="DB53" s="16"/>
      <c r="DC53" s="3"/>
      <c r="DD53" s="17"/>
      <c r="DE53" s="3"/>
      <c r="DF53" s="3"/>
      <c r="DG53" s="16"/>
      <c r="DH53" s="3"/>
      <c r="DI53" s="17"/>
      <c r="DJ53" s="3"/>
      <c r="DK53" s="3"/>
      <c r="DL53" s="3"/>
      <c r="DM53" s="3"/>
      <c r="DN53" s="17"/>
      <c r="DO53" s="3"/>
      <c r="DP53" s="3"/>
      <c r="DQ53" s="16"/>
      <c r="DR53" s="3"/>
      <c r="DS53" s="17"/>
      <c r="DT53" s="3"/>
      <c r="DU53" s="3"/>
      <c r="DV53" s="16"/>
      <c r="DW53" s="3"/>
      <c r="DX53" s="17"/>
      <c r="DY53" s="3"/>
      <c r="DZ53" s="3"/>
      <c r="EA53" s="3"/>
      <c r="EB53" s="3"/>
      <c r="EC53" s="17"/>
      <c r="ED53" s="3"/>
      <c r="EE53" s="3"/>
      <c r="EF53" s="16"/>
      <c r="EG53" s="3"/>
      <c r="EH53" s="17"/>
      <c r="EI53" s="3"/>
      <c r="EJ53" s="3"/>
      <c r="EK53" s="16"/>
      <c r="EL53" s="3"/>
      <c r="EM53" s="17"/>
      <c r="EN53" s="3"/>
      <c r="EO53" s="3"/>
      <c r="EP53" s="3"/>
      <c r="EQ53" s="3"/>
      <c r="ER53" s="17"/>
      <c r="ES53" s="3"/>
      <c r="ET53" s="3"/>
      <c r="EU53" s="16"/>
      <c r="EV53" s="3"/>
      <c r="EW53" s="17"/>
      <c r="EX53" s="3"/>
    </row>
    <row r="54" spans="20:154" s="25" customFormat="1" x14ac:dyDescent="0.25">
      <c r="T54" s="3"/>
      <c r="U54" s="16"/>
      <c r="V54" s="3"/>
      <c r="W54" s="17"/>
      <c r="X54" s="3"/>
      <c r="Y54" s="3"/>
      <c r="Z54" s="3"/>
      <c r="AA54" s="3"/>
      <c r="AB54" s="17"/>
      <c r="AC54" s="3"/>
      <c r="AD54" s="3"/>
      <c r="AE54" s="16"/>
      <c r="AF54" s="3"/>
      <c r="AG54" s="17"/>
      <c r="AH54" s="3"/>
      <c r="AI54" s="3"/>
      <c r="AJ54" s="16"/>
      <c r="AK54" s="3"/>
      <c r="AL54" s="17"/>
      <c r="AM54" s="3"/>
      <c r="AN54" s="3"/>
      <c r="AO54" s="3"/>
      <c r="AP54" s="3"/>
      <c r="AQ54" s="17"/>
      <c r="AR54" s="3"/>
      <c r="AS54" s="3"/>
      <c r="AT54" s="16"/>
      <c r="AU54" s="3"/>
      <c r="AV54" s="17"/>
      <c r="AW54" s="3"/>
      <c r="AX54" s="3"/>
      <c r="AY54" s="16"/>
      <c r="AZ54" s="3"/>
      <c r="BA54" s="17"/>
      <c r="BB54" s="3"/>
      <c r="BC54" s="3"/>
      <c r="BD54" s="3"/>
      <c r="BE54" s="3"/>
      <c r="BF54" s="17"/>
      <c r="BG54" s="3"/>
      <c r="BH54" s="3"/>
      <c r="BI54" s="16"/>
      <c r="BJ54" s="3"/>
      <c r="BK54" s="17"/>
      <c r="BL54" s="3"/>
      <c r="BM54" s="3"/>
      <c r="BN54" s="16"/>
      <c r="BO54" s="3"/>
      <c r="BP54" s="17"/>
      <c r="BQ54" s="3"/>
      <c r="BR54" s="3"/>
      <c r="BS54" s="3"/>
      <c r="BT54" s="3"/>
      <c r="BU54" s="17"/>
      <c r="BV54" s="3"/>
      <c r="BW54" s="3"/>
      <c r="BX54" s="16"/>
      <c r="BY54" s="3"/>
      <c r="BZ54" s="17"/>
      <c r="CA54" s="3"/>
      <c r="CB54" s="3"/>
      <c r="CC54" s="16"/>
      <c r="CD54" s="3"/>
      <c r="CE54" s="17"/>
      <c r="CF54" s="3"/>
      <c r="CG54" s="18"/>
      <c r="CH54" s="18"/>
      <c r="CI54" s="18"/>
      <c r="CJ54" s="17"/>
      <c r="CK54" s="18"/>
      <c r="CL54" s="3"/>
      <c r="CM54" s="16"/>
      <c r="CN54" s="3"/>
      <c r="CO54" s="17"/>
      <c r="CP54" s="3"/>
      <c r="CQ54" s="3"/>
      <c r="CR54" s="16"/>
      <c r="CS54" s="3"/>
      <c r="CT54" s="17"/>
      <c r="CU54" s="3"/>
      <c r="CV54" s="3"/>
      <c r="CW54" s="3"/>
      <c r="CX54" s="3"/>
      <c r="CY54" s="17"/>
      <c r="CZ54" s="3"/>
      <c r="DA54" s="3"/>
      <c r="DB54" s="16"/>
      <c r="DC54" s="3"/>
      <c r="DD54" s="17"/>
      <c r="DE54" s="3"/>
      <c r="DF54" s="3"/>
      <c r="DG54" s="16"/>
      <c r="DH54" s="3"/>
      <c r="DI54" s="17"/>
      <c r="DJ54" s="3"/>
      <c r="DK54" s="3"/>
      <c r="DL54" s="3"/>
      <c r="DM54" s="3"/>
      <c r="DN54" s="17"/>
      <c r="DO54" s="3"/>
      <c r="DP54" s="3"/>
      <c r="DQ54" s="16"/>
      <c r="DR54" s="3"/>
      <c r="DS54" s="17"/>
      <c r="DT54" s="3"/>
      <c r="DU54" s="3"/>
      <c r="DV54" s="16"/>
      <c r="DW54" s="3"/>
      <c r="DX54" s="17"/>
      <c r="DY54" s="3"/>
      <c r="DZ54" s="3"/>
      <c r="EA54" s="3"/>
      <c r="EB54" s="3"/>
      <c r="EC54" s="17"/>
      <c r="ED54" s="3"/>
      <c r="EE54" s="3"/>
      <c r="EF54" s="16"/>
      <c r="EG54" s="3"/>
      <c r="EH54" s="17"/>
      <c r="EI54" s="3"/>
      <c r="EJ54" s="3"/>
      <c r="EK54" s="16"/>
      <c r="EL54" s="3"/>
      <c r="EM54" s="17"/>
      <c r="EN54" s="3"/>
      <c r="EO54" s="3"/>
      <c r="EP54" s="3"/>
      <c r="EQ54" s="3"/>
      <c r="ER54" s="17"/>
      <c r="ES54" s="3"/>
      <c r="ET54" s="3"/>
      <c r="EU54" s="16"/>
      <c r="EV54" s="3"/>
      <c r="EW54" s="17"/>
      <c r="EX54" s="3"/>
    </row>
    <row r="55" spans="20:154" s="25" customFormat="1" x14ac:dyDescent="0.25">
      <c r="T55" s="3"/>
      <c r="U55" s="16"/>
      <c r="V55" s="3"/>
      <c r="W55" s="17"/>
      <c r="X55" s="3"/>
      <c r="Y55" s="3"/>
      <c r="Z55" s="3"/>
      <c r="AA55" s="3"/>
      <c r="AB55" s="17"/>
      <c r="AC55" s="3"/>
      <c r="AD55" s="3"/>
      <c r="AE55" s="16"/>
      <c r="AF55" s="3"/>
      <c r="AG55" s="17"/>
      <c r="AH55" s="3"/>
      <c r="AI55" s="3"/>
      <c r="AJ55" s="16"/>
      <c r="AK55" s="3"/>
      <c r="AL55" s="17"/>
      <c r="AM55" s="3"/>
      <c r="AN55" s="3"/>
      <c r="AO55" s="3"/>
      <c r="AP55" s="3"/>
      <c r="AQ55" s="17"/>
      <c r="AR55" s="3"/>
      <c r="AS55" s="3"/>
      <c r="AT55" s="16"/>
      <c r="AU55" s="3"/>
      <c r="AV55" s="17"/>
      <c r="AW55" s="3"/>
      <c r="AX55" s="3"/>
      <c r="AY55" s="16"/>
      <c r="AZ55" s="3"/>
      <c r="BA55" s="17"/>
      <c r="BB55" s="3"/>
      <c r="BC55" s="3"/>
      <c r="BD55" s="3"/>
      <c r="BE55" s="3"/>
      <c r="BF55" s="17"/>
      <c r="BG55" s="3"/>
      <c r="BH55" s="3"/>
      <c r="BI55" s="16"/>
      <c r="BJ55" s="3"/>
      <c r="BK55" s="17"/>
      <c r="BL55" s="3"/>
      <c r="BM55" s="3"/>
      <c r="BN55" s="16"/>
      <c r="BO55" s="3"/>
      <c r="BP55" s="17"/>
      <c r="BQ55" s="3"/>
      <c r="BR55" s="3"/>
      <c r="BS55" s="3"/>
      <c r="BT55" s="3"/>
      <c r="BU55" s="17"/>
      <c r="BV55" s="3"/>
      <c r="BW55" s="3"/>
      <c r="BX55" s="16"/>
      <c r="BY55" s="3"/>
      <c r="BZ55" s="17"/>
      <c r="CA55" s="3"/>
      <c r="CB55" s="3"/>
      <c r="CC55" s="16"/>
      <c r="CD55" s="3"/>
      <c r="CE55" s="17"/>
      <c r="CF55" s="3"/>
      <c r="CG55" s="18"/>
      <c r="CH55" s="18"/>
      <c r="CI55" s="18"/>
      <c r="CJ55" s="17"/>
      <c r="CK55" s="18"/>
      <c r="CL55" s="3"/>
      <c r="CM55" s="16"/>
      <c r="CN55" s="3"/>
      <c r="CO55" s="17"/>
      <c r="CP55" s="3"/>
      <c r="CQ55" s="3"/>
      <c r="CR55" s="16"/>
      <c r="CS55" s="3"/>
      <c r="CT55" s="17"/>
      <c r="CU55" s="3"/>
      <c r="CV55" s="3"/>
      <c r="CW55" s="3"/>
      <c r="CX55" s="3"/>
      <c r="CY55" s="17"/>
      <c r="CZ55" s="3"/>
      <c r="DA55" s="3"/>
      <c r="DB55" s="16"/>
      <c r="DC55" s="3"/>
      <c r="DD55" s="17"/>
      <c r="DE55" s="3"/>
      <c r="DF55" s="3"/>
      <c r="DG55" s="16"/>
      <c r="DH55" s="3"/>
      <c r="DI55" s="17"/>
      <c r="DJ55" s="3"/>
      <c r="DK55" s="3"/>
      <c r="DL55" s="3"/>
      <c r="DM55" s="3"/>
      <c r="DN55" s="17"/>
      <c r="DO55" s="3"/>
      <c r="DP55" s="3"/>
      <c r="DQ55" s="16"/>
      <c r="DR55" s="3"/>
      <c r="DS55" s="17"/>
      <c r="DT55" s="3"/>
      <c r="DU55" s="3"/>
      <c r="DV55" s="16"/>
      <c r="DW55" s="3"/>
      <c r="DX55" s="17"/>
      <c r="DY55" s="3"/>
      <c r="DZ55" s="3"/>
      <c r="EA55" s="3"/>
      <c r="EB55" s="3"/>
      <c r="EC55" s="17"/>
      <c r="ED55" s="3"/>
      <c r="EE55" s="3"/>
      <c r="EF55" s="16"/>
      <c r="EG55" s="3"/>
      <c r="EH55" s="17"/>
      <c r="EI55" s="3"/>
      <c r="EJ55" s="3"/>
      <c r="EK55" s="16"/>
      <c r="EL55" s="3"/>
      <c r="EM55" s="17"/>
      <c r="EN55" s="3"/>
      <c r="EO55" s="3"/>
      <c r="EP55" s="3"/>
      <c r="EQ55" s="3"/>
      <c r="ER55" s="17"/>
      <c r="ES55" s="3"/>
      <c r="ET55" s="3"/>
      <c r="EU55" s="16"/>
      <c r="EV55" s="3"/>
      <c r="EW55" s="17"/>
      <c r="EX55" s="3"/>
    </row>
    <row r="56" spans="20:154" s="25" customFormat="1" x14ac:dyDescent="0.25">
      <c r="T56" s="3"/>
      <c r="U56" s="16"/>
      <c r="V56" s="3"/>
      <c r="W56" s="17"/>
      <c r="X56" s="3"/>
      <c r="Y56" s="3"/>
      <c r="Z56" s="3"/>
      <c r="AA56" s="3"/>
      <c r="AB56" s="17"/>
      <c r="AC56" s="3"/>
      <c r="AD56" s="3"/>
      <c r="AE56" s="16"/>
      <c r="AF56" s="3"/>
      <c r="AG56" s="17"/>
      <c r="AH56" s="3"/>
      <c r="AI56" s="3"/>
      <c r="AJ56" s="16"/>
      <c r="AK56" s="3"/>
      <c r="AL56" s="17"/>
      <c r="AM56" s="3"/>
      <c r="AN56" s="3"/>
      <c r="AO56" s="3"/>
      <c r="AP56" s="3"/>
      <c r="AQ56" s="17"/>
      <c r="AR56" s="3"/>
      <c r="AS56" s="3"/>
      <c r="AT56" s="16"/>
      <c r="AU56" s="3"/>
      <c r="AV56" s="17"/>
      <c r="AW56" s="3"/>
      <c r="AX56" s="3"/>
      <c r="AY56" s="16"/>
      <c r="AZ56" s="3"/>
      <c r="BA56" s="17"/>
      <c r="BB56" s="3"/>
      <c r="BC56" s="3"/>
      <c r="BD56" s="3"/>
      <c r="BE56" s="3"/>
      <c r="BF56" s="17"/>
      <c r="BG56" s="3"/>
      <c r="BH56" s="3"/>
      <c r="BI56" s="16"/>
      <c r="BJ56" s="3"/>
      <c r="BK56" s="17"/>
      <c r="BL56" s="3"/>
      <c r="BM56" s="3"/>
      <c r="BN56" s="16"/>
      <c r="BO56" s="3"/>
      <c r="BP56" s="17"/>
      <c r="BQ56" s="3"/>
      <c r="BR56" s="3"/>
      <c r="BS56" s="3"/>
      <c r="BT56" s="3"/>
      <c r="BU56" s="17"/>
      <c r="BV56" s="3"/>
      <c r="BW56" s="3"/>
      <c r="BX56" s="16"/>
      <c r="BY56" s="3"/>
      <c r="BZ56" s="17"/>
      <c r="CA56" s="3"/>
      <c r="CB56" s="3"/>
      <c r="CC56" s="16"/>
      <c r="CD56" s="3"/>
      <c r="CE56" s="17"/>
      <c r="CF56" s="3"/>
      <c r="CG56" s="18"/>
      <c r="CH56" s="18"/>
      <c r="CI56" s="18"/>
      <c r="CJ56" s="17"/>
      <c r="CK56" s="18"/>
      <c r="CL56" s="3"/>
      <c r="CM56" s="16"/>
      <c r="CN56" s="3"/>
      <c r="CO56" s="17"/>
      <c r="CP56" s="3"/>
      <c r="CQ56" s="3"/>
      <c r="CR56" s="16"/>
      <c r="CS56" s="3"/>
      <c r="CT56" s="17"/>
      <c r="CU56" s="3"/>
      <c r="CV56" s="3"/>
      <c r="CW56" s="3"/>
      <c r="CX56" s="3"/>
      <c r="CY56" s="17"/>
      <c r="CZ56" s="3"/>
      <c r="DA56" s="3"/>
      <c r="DB56" s="16"/>
      <c r="DC56" s="3"/>
      <c r="DD56" s="17"/>
      <c r="DE56" s="3"/>
      <c r="DF56" s="3"/>
      <c r="DG56" s="16"/>
      <c r="DH56" s="3"/>
      <c r="DI56" s="17"/>
      <c r="DJ56" s="3"/>
      <c r="DK56" s="3"/>
      <c r="DL56" s="3"/>
      <c r="DM56" s="3"/>
      <c r="DN56" s="17"/>
      <c r="DO56" s="3"/>
      <c r="DP56" s="3"/>
      <c r="DQ56" s="16"/>
      <c r="DR56" s="3"/>
      <c r="DS56" s="17"/>
      <c r="DT56" s="3"/>
      <c r="DU56" s="3"/>
      <c r="DV56" s="16"/>
      <c r="DW56" s="3"/>
      <c r="DX56" s="17"/>
      <c r="DY56" s="3"/>
      <c r="DZ56" s="3"/>
      <c r="EA56" s="3"/>
      <c r="EB56" s="3"/>
      <c r="EC56" s="17"/>
      <c r="ED56" s="3"/>
      <c r="EE56" s="3"/>
      <c r="EF56" s="16"/>
      <c r="EG56" s="3"/>
      <c r="EH56" s="17"/>
      <c r="EI56" s="3"/>
      <c r="EJ56" s="3"/>
      <c r="EK56" s="16"/>
      <c r="EL56" s="3"/>
      <c r="EM56" s="17"/>
      <c r="EN56" s="3"/>
      <c r="EO56" s="3"/>
      <c r="EP56" s="3"/>
      <c r="EQ56" s="3"/>
      <c r="ER56" s="17"/>
      <c r="ES56" s="3"/>
      <c r="ET56" s="3"/>
      <c r="EU56" s="16"/>
      <c r="EV56" s="3"/>
      <c r="EW56" s="17"/>
      <c r="EX56" s="3"/>
    </row>
    <row r="57" spans="20:154" s="25" customFormat="1" x14ac:dyDescent="0.25">
      <c r="T57" s="3"/>
      <c r="U57" s="16"/>
      <c r="V57" s="3"/>
      <c r="W57" s="17"/>
      <c r="X57" s="3"/>
      <c r="Y57" s="3"/>
      <c r="Z57" s="3"/>
      <c r="AA57" s="3"/>
      <c r="AB57" s="17"/>
      <c r="AC57" s="3"/>
      <c r="AD57" s="3"/>
      <c r="AE57" s="16"/>
      <c r="AF57" s="3"/>
      <c r="AG57" s="17"/>
      <c r="AH57" s="3"/>
      <c r="AI57" s="3"/>
      <c r="AJ57" s="16"/>
      <c r="AK57" s="3"/>
      <c r="AL57" s="17"/>
      <c r="AM57" s="3"/>
      <c r="AN57" s="3"/>
      <c r="AO57" s="3"/>
      <c r="AP57" s="3"/>
      <c r="AQ57" s="17"/>
      <c r="AR57" s="3"/>
      <c r="AS57" s="3"/>
      <c r="AT57" s="16"/>
      <c r="AU57" s="3"/>
      <c r="AV57" s="17"/>
      <c r="AW57" s="3"/>
      <c r="AX57" s="3"/>
      <c r="AY57" s="16"/>
      <c r="AZ57" s="3"/>
      <c r="BA57" s="17"/>
      <c r="BB57" s="3"/>
      <c r="BC57" s="3"/>
      <c r="BD57" s="3"/>
      <c r="BE57" s="3"/>
      <c r="BF57" s="17"/>
      <c r="BG57" s="3"/>
      <c r="BH57" s="3"/>
      <c r="BI57" s="16"/>
      <c r="BJ57" s="3"/>
      <c r="BK57" s="17"/>
      <c r="BL57" s="3"/>
      <c r="BM57" s="3"/>
      <c r="BN57" s="16"/>
      <c r="BO57" s="3"/>
      <c r="BP57" s="17"/>
      <c r="BQ57" s="3"/>
      <c r="BR57" s="3"/>
      <c r="BS57" s="3"/>
      <c r="BT57" s="3"/>
      <c r="BU57" s="17"/>
      <c r="BV57" s="3"/>
      <c r="BW57" s="3"/>
      <c r="BX57" s="16"/>
      <c r="BY57" s="3"/>
      <c r="BZ57" s="17"/>
      <c r="CA57" s="3"/>
      <c r="CB57" s="3"/>
      <c r="CC57" s="16"/>
      <c r="CD57" s="3"/>
      <c r="CE57" s="17"/>
      <c r="CF57" s="3"/>
      <c r="CG57" s="18"/>
      <c r="CH57" s="18"/>
      <c r="CI57" s="18"/>
      <c r="CJ57" s="17"/>
      <c r="CK57" s="18"/>
      <c r="CL57" s="3"/>
      <c r="CM57" s="16"/>
      <c r="CN57" s="3"/>
      <c r="CO57" s="17"/>
      <c r="CP57" s="3"/>
      <c r="CQ57" s="3"/>
      <c r="CR57" s="16"/>
      <c r="CS57" s="3"/>
      <c r="CT57" s="17"/>
      <c r="CU57" s="3"/>
      <c r="CV57" s="3"/>
      <c r="CW57" s="3"/>
      <c r="CX57" s="3"/>
      <c r="CY57" s="17"/>
      <c r="CZ57" s="3"/>
      <c r="DA57" s="3"/>
      <c r="DB57" s="16"/>
      <c r="DC57" s="3"/>
      <c r="DD57" s="17"/>
      <c r="DE57" s="3"/>
      <c r="DF57" s="3"/>
      <c r="DG57" s="16"/>
      <c r="DH57" s="3"/>
      <c r="DI57" s="17"/>
      <c r="DJ57" s="3"/>
      <c r="DK57" s="3"/>
      <c r="DL57" s="3"/>
      <c r="DM57" s="3"/>
      <c r="DN57" s="17"/>
      <c r="DO57" s="3"/>
      <c r="DP57" s="3"/>
      <c r="DQ57" s="16"/>
      <c r="DR57" s="3"/>
      <c r="DS57" s="17"/>
      <c r="DT57" s="3"/>
      <c r="DU57" s="3"/>
      <c r="DV57" s="16"/>
      <c r="DW57" s="3"/>
      <c r="DX57" s="17"/>
      <c r="DY57" s="3"/>
      <c r="DZ57" s="3"/>
      <c r="EA57" s="3"/>
      <c r="EB57" s="3"/>
      <c r="EC57" s="17"/>
      <c r="ED57" s="3"/>
      <c r="EE57" s="3"/>
      <c r="EF57" s="16"/>
      <c r="EG57" s="3"/>
      <c r="EH57" s="17"/>
      <c r="EI57" s="3"/>
      <c r="EJ57" s="3"/>
      <c r="EK57" s="16"/>
      <c r="EL57" s="3"/>
      <c r="EM57" s="17"/>
      <c r="EN57" s="3"/>
      <c r="EO57" s="3"/>
      <c r="EP57" s="3"/>
      <c r="EQ57" s="3"/>
      <c r="ER57" s="17"/>
      <c r="ES57" s="3"/>
      <c r="ET57" s="3"/>
      <c r="EU57" s="16"/>
      <c r="EV57" s="3"/>
      <c r="EW57" s="17"/>
      <c r="EX57" s="3"/>
    </row>
    <row r="58" spans="20:154" s="25" customFormat="1" x14ac:dyDescent="0.25">
      <c r="T58" s="3"/>
      <c r="U58" s="16"/>
      <c r="V58" s="3"/>
      <c r="W58" s="17"/>
      <c r="X58" s="3"/>
      <c r="Y58" s="3"/>
      <c r="Z58" s="3"/>
      <c r="AA58" s="3"/>
      <c r="AB58" s="17"/>
      <c r="AC58" s="3"/>
      <c r="AD58" s="3"/>
      <c r="AE58" s="16"/>
      <c r="AF58" s="3"/>
      <c r="AG58" s="17"/>
      <c r="AH58" s="3"/>
      <c r="AI58" s="3"/>
      <c r="AJ58" s="16"/>
      <c r="AK58" s="3"/>
      <c r="AL58" s="17"/>
      <c r="AM58" s="3"/>
      <c r="AN58" s="3"/>
      <c r="AO58" s="3"/>
      <c r="AP58" s="3"/>
      <c r="AQ58" s="17"/>
      <c r="AR58" s="3"/>
      <c r="AS58" s="3"/>
      <c r="AT58" s="16"/>
      <c r="AU58" s="3"/>
      <c r="AV58" s="17"/>
      <c r="AW58" s="3"/>
      <c r="AX58" s="3"/>
      <c r="AY58" s="16"/>
      <c r="AZ58" s="3"/>
      <c r="BA58" s="17"/>
      <c r="BB58" s="3"/>
      <c r="BC58" s="3"/>
      <c r="BD58" s="3"/>
      <c r="BE58" s="3"/>
      <c r="BF58" s="17"/>
      <c r="BG58" s="3"/>
      <c r="BH58" s="3"/>
      <c r="BI58" s="16"/>
      <c r="BJ58" s="3"/>
      <c r="BK58" s="17"/>
      <c r="BL58" s="3"/>
      <c r="BM58" s="3"/>
      <c r="BN58" s="16"/>
      <c r="BO58" s="3"/>
      <c r="BP58" s="17"/>
      <c r="BQ58" s="3"/>
      <c r="BR58" s="3"/>
      <c r="BS58" s="3"/>
      <c r="BT58" s="3"/>
      <c r="BU58" s="17"/>
      <c r="BV58" s="3"/>
      <c r="BW58" s="3"/>
      <c r="BX58" s="16"/>
      <c r="BY58" s="3"/>
      <c r="BZ58" s="17"/>
      <c r="CA58" s="3"/>
      <c r="CB58" s="3"/>
      <c r="CC58" s="16"/>
      <c r="CD58" s="3"/>
      <c r="CE58" s="17"/>
      <c r="CF58" s="3"/>
      <c r="CG58" s="18"/>
      <c r="CH58" s="18"/>
      <c r="CI58" s="18"/>
      <c r="CJ58" s="17"/>
      <c r="CK58" s="18"/>
      <c r="CL58" s="3"/>
      <c r="CM58" s="16"/>
      <c r="CN58" s="3"/>
      <c r="CO58" s="17"/>
      <c r="CP58" s="3"/>
      <c r="CQ58" s="3"/>
      <c r="CR58" s="16"/>
      <c r="CS58" s="3"/>
      <c r="CT58" s="17"/>
      <c r="CU58" s="3"/>
      <c r="CV58" s="3"/>
      <c r="CW58" s="3"/>
      <c r="CX58" s="3"/>
      <c r="CY58" s="17"/>
      <c r="CZ58" s="3"/>
      <c r="DA58" s="3"/>
      <c r="DB58" s="16"/>
      <c r="DC58" s="3"/>
      <c r="DD58" s="17"/>
      <c r="DE58" s="3"/>
      <c r="DF58" s="3"/>
      <c r="DG58" s="16"/>
      <c r="DH58" s="3"/>
      <c r="DI58" s="17"/>
      <c r="DJ58" s="3"/>
      <c r="DK58" s="3"/>
      <c r="DL58" s="3"/>
      <c r="DM58" s="3"/>
      <c r="DN58" s="17"/>
      <c r="DO58" s="3"/>
      <c r="DP58" s="3"/>
      <c r="DQ58" s="16"/>
      <c r="DR58" s="3"/>
      <c r="DS58" s="17"/>
      <c r="DT58" s="3"/>
      <c r="DU58" s="3"/>
      <c r="DV58" s="16"/>
      <c r="DW58" s="3"/>
      <c r="DX58" s="17"/>
      <c r="DY58" s="3"/>
      <c r="DZ58" s="3"/>
      <c r="EA58" s="3"/>
      <c r="EB58" s="3"/>
      <c r="EC58" s="17"/>
      <c r="ED58" s="3"/>
      <c r="EE58" s="3"/>
      <c r="EF58" s="16"/>
      <c r="EG58" s="3"/>
      <c r="EH58" s="17"/>
      <c r="EI58" s="3"/>
      <c r="EJ58" s="3"/>
      <c r="EK58" s="16"/>
      <c r="EL58" s="3"/>
      <c r="EM58" s="17"/>
      <c r="EN58" s="3"/>
      <c r="EO58" s="3"/>
      <c r="EP58" s="3"/>
      <c r="EQ58" s="3"/>
      <c r="ER58" s="17"/>
      <c r="ES58" s="3"/>
      <c r="ET58" s="3"/>
      <c r="EU58" s="16"/>
      <c r="EV58" s="3"/>
      <c r="EW58" s="17"/>
      <c r="EX58" s="3"/>
    </row>
    <row r="59" spans="20:154" s="25" customFormat="1" x14ac:dyDescent="0.25">
      <c r="T59" s="3"/>
      <c r="U59" s="16"/>
      <c r="V59" s="3"/>
      <c r="W59" s="17"/>
      <c r="X59" s="3"/>
      <c r="Y59" s="3"/>
      <c r="Z59" s="3"/>
      <c r="AA59" s="3"/>
      <c r="AB59" s="17"/>
      <c r="AC59" s="3"/>
      <c r="AD59" s="3"/>
      <c r="AE59" s="16"/>
      <c r="AF59" s="3"/>
      <c r="AG59" s="17"/>
      <c r="AH59" s="3"/>
      <c r="AI59" s="3"/>
      <c r="AJ59" s="16"/>
      <c r="AK59" s="3"/>
      <c r="AL59" s="17"/>
      <c r="AM59" s="3"/>
      <c r="AN59" s="3"/>
      <c r="AO59" s="3"/>
      <c r="AP59" s="3"/>
      <c r="AQ59" s="17"/>
      <c r="AR59" s="3"/>
      <c r="AS59" s="3"/>
      <c r="AT59" s="16"/>
      <c r="AU59" s="3"/>
      <c r="AV59" s="17"/>
      <c r="AW59" s="3"/>
      <c r="AX59" s="3"/>
      <c r="AY59" s="16"/>
      <c r="AZ59" s="3"/>
      <c r="BA59" s="17"/>
      <c r="BB59" s="3"/>
      <c r="BC59" s="3"/>
      <c r="BD59" s="3"/>
      <c r="BE59" s="3"/>
      <c r="BF59" s="17"/>
      <c r="BG59" s="3"/>
      <c r="BH59" s="3"/>
      <c r="BI59" s="16"/>
      <c r="BJ59" s="3"/>
      <c r="BK59" s="17"/>
      <c r="BL59" s="3"/>
      <c r="BM59" s="3"/>
      <c r="BN59" s="16"/>
      <c r="BO59" s="3"/>
      <c r="BP59" s="17"/>
      <c r="BQ59" s="3"/>
      <c r="BR59" s="3"/>
      <c r="BS59" s="3"/>
      <c r="BT59" s="3"/>
      <c r="BU59" s="17"/>
      <c r="BV59" s="3"/>
      <c r="BW59" s="3"/>
      <c r="BX59" s="16"/>
      <c r="BY59" s="3"/>
      <c r="BZ59" s="17"/>
      <c r="CA59" s="3"/>
      <c r="CB59" s="3"/>
      <c r="CC59" s="16"/>
      <c r="CD59" s="3"/>
      <c r="CE59" s="17"/>
      <c r="CF59" s="3"/>
      <c r="CG59" s="18"/>
      <c r="CH59" s="18"/>
      <c r="CI59" s="18"/>
      <c r="CJ59" s="17"/>
      <c r="CK59" s="18"/>
      <c r="CL59" s="3"/>
      <c r="CM59" s="16"/>
      <c r="CN59" s="3"/>
      <c r="CO59" s="17"/>
      <c r="CP59" s="3"/>
      <c r="CQ59" s="3"/>
      <c r="CR59" s="16"/>
      <c r="CS59" s="3"/>
      <c r="CT59" s="17"/>
      <c r="CU59" s="3"/>
      <c r="CV59" s="3"/>
      <c r="CW59" s="3"/>
      <c r="CX59" s="3"/>
      <c r="CY59" s="17"/>
      <c r="CZ59" s="3"/>
      <c r="DA59" s="3"/>
      <c r="DB59" s="16"/>
      <c r="DC59" s="3"/>
      <c r="DD59" s="17"/>
      <c r="DE59" s="3"/>
      <c r="DF59" s="3"/>
      <c r="DG59" s="16"/>
      <c r="DH59" s="3"/>
      <c r="DI59" s="17"/>
      <c r="DJ59" s="3"/>
      <c r="DK59" s="3"/>
      <c r="DL59" s="3"/>
      <c r="DM59" s="3"/>
      <c r="DN59" s="17"/>
      <c r="DO59" s="3"/>
      <c r="DP59" s="3"/>
      <c r="DQ59" s="16"/>
      <c r="DR59" s="3"/>
      <c r="DS59" s="17"/>
      <c r="DT59" s="3"/>
      <c r="DU59" s="3"/>
      <c r="DV59" s="16"/>
      <c r="DW59" s="3"/>
      <c r="DX59" s="17"/>
      <c r="DY59" s="3"/>
      <c r="DZ59" s="3"/>
      <c r="EA59" s="3"/>
      <c r="EB59" s="3"/>
      <c r="EC59" s="17"/>
      <c r="ED59" s="3"/>
      <c r="EE59" s="3"/>
      <c r="EF59" s="16"/>
      <c r="EG59" s="3"/>
      <c r="EH59" s="17"/>
      <c r="EI59" s="3"/>
      <c r="EJ59" s="3"/>
      <c r="EK59" s="16"/>
      <c r="EL59" s="3"/>
      <c r="EM59" s="17"/>
      <c r="EN59" s="3"/>
      <c r="EO59" s="3"/>
      <c r="EP59" s="3"/>
      <c r="EQ59" s="3"/>
      <c r="ER59" s="17"/>
      <c r="ES59" s="3"/>
      <c r="ET59" s="3"/>
      <c r="EU59" s="16"/>
      <c r="EV59" s="3"/>
      <c r="EW59" s="17"/>
      <c r="EX59" s="3"/>
    </row>
    <row r="60" spans="20:154" s="25" customFormat="1" x14ac:dyDescent="0.25">
      <c r="T60" s="3"/>
      <c r="U60" s="16"/>
      <c r="V60" s="3"/>
      <c r="W60" s="17"/>
      <c r="X60" s="3"/>
      <c r="Y60" s="3"/>
      <c r="Z60" s="3"/>
      <c r="AA60" s="3"/>
      <c r="AB60" s="17"/>
      <c r="AC60" s="3"/>
      <c r="AD60" s="3"/>
      <c r="AE60" s="16"/>
      <c r="AF60" s="3"/>
      <c r="AG60" s="17"/>
      <c r="AH60" s="3"/>
      <c r="AI60" s="3"/>
      <c r="AJ60" s="16"/>
      <c r="AK60" s="3"/>
      <c r="AL60" s="17"/>
      <c r="AM60" s="3"/>
      <c r="AN60" s="3"/>
      <c r="AO60" s="3"/>
      <c r="AP60" s="3"/>
      <c r="AQ60" s="17"/>
      <c r="AR60" s="3"/>
      <c r="AS60" s="3"/>
      <c r="AT60" s="16"/>
      <c r="AU60" s="3"/>
      <c r="AV60" s="17"/>
      <c r="AW60" s="3"/>
      <c r="AX60" s="3"/>
      <c r="AY60" s="16"/>
      <c r="AZ60" s="3"/>
      <c r="BA60" s="17"/>
      <c r="BB60" s="3"/>
      <c r="BC60" s="3"/>
      <c r="BD60" s="3"/>
      <c r="BE60" s="3"/>
      <c r="BF60" s="17"/>
      <c r="BG60" s="3"/>
      <c r="BH60" s="3"/>
      <c r="BI60" s="16"/>
      <c r="BJ60" s="3"/>
      <c r="BK60" s="17"/>
      <c r="BL60" s="3"/>
      <c r="BM60" s="3"/>
      <c r="BN60" s="16"/>
      <c r="BO60" s="3"/>
      <c r="BP60" s="17"/>
      <c r="BQ60" s="3"/>
      <c r="BR60" s="3"/>
      <c r="BS60" s="3"/>
      <c r="BT60" s="3"/>
      <c r="BU60" s="17"/>
      <c r="BV60" s="3"/>
      <c r="BW60" s="3"/>
      <c r="BX60" s="16"/>
      <c r="BY60" s="3"/>
      <c r="BZ60" s="17"/>
      <c r="CA60" s="3"/>
      <c r="CB60" s="3"/>
      <c r="CC60" s="16"/>
      <c r="CD60" s="3"/>
      <c r="CE60" s="17"/>
      <c r="CF60" s="3"/>
      <c r="CG60" s="18"/>
      <c r="CH60" s="18"/>
      <c r="CI60" s="18"/>
      <c r="CJ60" s="17"/>
      <c r="CK60" s="18"/>
      <c r="CL60" s="3"/>
      <c r="CM60" s="16"/>
      <c r="CN60" s="3"/>
      <c r="CO60" s="17"/>
      <c r="CP60" s="3"/>
      <c r="CQ60" s="3"/>
      <c r="CR60" s="16"/>
      <c r="CS60" s="3"/>
      <c r="CT60" s="17"/>
      <c r="CU60" s="3"/>
      <c r="CV60" s="3"/>
      <c r="CW60" s="3"/>
      <c r="CX60" s="3"/>
      <c r="CY60" s="17"/>
      <c r="CZ60" s="3"/>
      <c r="DA60" s="3"/>
      <c r="DB60" s="16"/>
      <c r="DC60" s="3"/>
      <c r="DD60" s="17"/>
      <c r="DE60" s="3"/>
      <c r="DF60" s="3"/>
      <c r="DG60" s="16"/>
      <c r="DH60" s="3"/>
      <c r="DI60" s="17"/>
      <c r="DJ60" s="3"/>
      <c r="DK60" s="3"/>
      <c r="DL60" s="3"/>
      <c r="DM60" s="3"/>
      <c r="DN60" s="17"/>
      <c r="DO60" s="3"/>
      <c r="DP60" s="3"/>
      <c r="DQ60" s="16"/>
      <c r="DR60" s="3"/>
      <c r="DS60" s="17"/>
      <c r="DT60" s="3"/>
      <c r="DU60" s="3"/>
      <c r="DV60" s="16"/>
      <c r="DW60" s="3"/>
      <c r="DX60" s="17"/>
      <c r="DY60" s="3"/>
      <c r="DZ60" s="3"/>
      <c r="EA60" s="3"/>
      <c r="EB60" s="3"/>
      <c r="EC60" s="17"/>
      <c r="ED60" s="3"/>
      <c r="EE60" s="3"/>
      <c r="EF60" s="16"/>
      <c r="EG60" s="3"/>
      <c r="EH60" s="17"/>
      <c r="EI60" s="3"/>
      <c r="EJ60" s="3"/>
      <c r="EK60" s="16"/>
      <c r="EL60" s="3"/>
      <c r="EM60" s="17"/>
      <c r="EN60" s="3"/>
      <c r="EO60" s="3"/>
      <c r="EP60" s="3"/>
      <c r="EQ60" s="3"/>
      <c r="ER60" s="17"/>
      <c r="ES60" s="3"/>
      <c r="ET60" s="3"/>
      <c r="EU60" s="16"/>
      <c r="EV60" s="3"/>
      <c r="EW60" s="17"/>
      <c r="EX60" s="3"/>
    </row>
    <row r="61" spans="20:154" s="25" customFormat="1" x14ac:dyDescent="0.25">
      <c r="T61" s="3"/>
      <c r="U61" s="16"/>
      <c r="V61" s="3"/>
      <c r="W61" s="17"/>
      <c r="X61" s="3"/>
      <c r="Y61" s="3"/>
      <c r="Z61" s="3"/>
      <c r="AA61" s="3"/>
      <c r="AB61" s="17"/>
      <c r="AC61" s="3"/>
      <c r="AD61" s="3"/>
      <c r="AE61" s="16"/>
      <c r="AF61" s="3"/>
      <c r="AG61" s="17"/>
      <c r="AH61" s="3"/>
      <c r="AI61" s="3"/>
      <c r="AJ61" s="16"/>
      <c r="AK61" s="3"/>
      <c r="AL61" s="17"/>
      <c r="AM61" s="3"/>
      <c r="AN61" s="3"/>
      <c r="AO61" s="3"/>
      <c r="AP61" s="3"/>
      <c r="AQ61" s="17"/>
      <c r="AR61" s="3"/>
      <c r="AS61" s="3"/>
      <c r="AT61" s="16"/>
      <c r="AU61" s="3"/>
      <c r="AV61" s="17"/>
      <c r="AW61" s="3"/>
      <c r="AX61" s="3"/>
      <c r="AY61" s="16"/>
      <c r="AZ61" s="3"/>
      <c r="BA61" s="17"/>
      <c r="BB61" s="3"/>
      <c r="BC61" s="3"/>
      <c r="BD61" s="3"/>
      <c r="BE61" s="3"/>
      <c r="BF61" s="17"/>
      <c r="BG61" s="3"/>
      <c r="BH61" s="3"/>
      <c r="BI61" s="16"/>
      <c r="BJ61" s="3"/>
      <c r="BK61" s="17"/>
      <c r="BL61" s="3"/>
      <c r="BM61" s="3"/>
      <c r="BN61" s="16"/>
      <c r="BO61" s="3"/>
      <c r="BP61" s="17"/>
      <c r="BQ61" s="3"/>
      <c r="BR61" s="3"/>
      <c r="BS61" s="3"/>
      <c r="BT61" s="3"/>
      <c r="BU61" s="17"/>
      <c r="BV61" s="3"/>
      <c r="BW61" s="3"/>
      <c r="BX61" s="16"/>
      <c r="BY61" s="3"/>
      <c r="BZ61" s="17"/>
      <c r="CA61" s="3"/>
      <c r="CB61" s="3"/>
      <c r="CC61" s="16"/>
      <c r="CD61" s="3"/>
      <c r="CE61" s="17"/>
      <c r="CF61" s="3"/>
      <c r="CG61" s="18"/>
      <c r="CH61" s="18"/>
      <c r="CI61" s="18"/>
      <c r="CJ61" s="17"/>
      <c r="CK61" s="18"/>
      <c r="CL61" s="3"/>
      <c r="CM61" s="16"/>
      <c r="CN61" s="3"/>
      <c r="CO61" s="17"/>
      <c r="CP61" s="3"/>
      <c r="CQ61" s="3"/>
      <c r="CR61" s="16"/>
      <c r="CS61" s="3"/>
      <c r="CT61" s="17"/>
      <c r="CU61" s="3"/>
      <c r="CV61" s="3"/>
      <c r="CW61" s="3"/>
      <c r="CX61" s="3"/>
      <c r="CY61" s="17"/>
      <c r="CZ61" s="3"/>
      <c r="DA61" s="3"/>
      <c r="DB61" s="16"/>
      <c r="DC61" s="3"/>
      <c r="DD61" s="17"/>
      <c r="DE61" s="3"/>
      <c r="DF61" s="3"/>
      <c r="DG61" s="16"/>
      <c r="DH61" s="3"/>
      <c r="DI61" s="17"/>
      <c r="DJ61" s="3"/>
      <c r="DK61" s="3"/>
      <c r="DL61" s="3"/>
      <c r="DM61" s="3"/>
      <c r="DN61" s="17"/>
      <c r="DO61" s="3"/>
      <c r="DP61" s="3"/>
      <c r="DQ61" s="16"/>
      <c r="DR61" s="3"/>
      <c r="DS61" s="17"/>
      <c r="DT61" s="3"/>
      <c r="DU61" s="3"/>
      <c r="DV61" s="16"/>
      <c r="DW61" s="3"/>
      <c r="DX61" s="17"/>
      <c r="DY61" s="3"/>
      <c r="DZ61" s="3"/>
      <c r="EA61" s="3"/>
      <c r="EB61" s="3"/>
      <c r="EC61" s="17"/>
      <c r="ED61" s="3"/>
      <c r="EE61" s="3"/>
      <c r="EF61" s="16"/>
      <c r="EG61" s="3"/>
      <c r="EH61" s="17"/>
      <c r="EI61" s="3"/>
      <c r="EJ61" s="3"/>
      <c r="EK61" s="16"/>
      <c r="EL61" s="3"/>
      <c r="EM61" s="17"/>
      <c r="EN61" s="3"/>
      <c r="EO61" s="3"/>
      <c r="EP61" s="3"/>
      <c r="EQ61" s="3"/>
      <c r="ER61" s="17"/>
      <c r="ES61" s="3"/>
      <c r="ET61" s="3"/>
      <c r="EU61" s="16"/>
      <c r="EV61" s="3"/>
      <c r="EW61" s="17"/>
      <c r="EX61" s="3"/>
    </row>
    <row r="62" spans="20:154" s="25" customFormat="1" x14ac:dyDescent="0.25">
      <c r="T62" s="3"/>
      <c r="U62" s="16"/>
      <c r="V62" s="3"/>
      <c r="W62" s="17"/>
      <c r="X62" s="3"/>
      <c r="Y62" s="3"/>
      <c r="Z62" s="3"/>
      <c r="AA62" s="3"/>
      <c r="AB62" s="17"/>
      <c r="AC62" s="3"/>
      <c r="AD62" s="3"/>
      <c r="AE62" s="16"/>
      <c r="AF62" s="3"/>
      <c r="AG62" s="17"/>
      <c r="AH62" s="3"/>
      <c r="AI62" s="3"/>
      <c r="AJ62" s="16"/>
      <c r="AK62" s="3"/>
      <c r="AL62" s="17"/>
      <c r="AM62" s="3"/>
      <c r="AN62" s="3"/>
      <c r="AO62" s="3"/>
      <c r="AP62" s="3"/>
      <c r="AQ62" s="17"/>
      <c r="AR62" s="3"/>
      <c r="AS62" s="3"/>
      <c r="AT62" s="16"/>
      <c r="AU62" s="3"/>
      <c r="AV62" s="17"/>
      <c r="AW62" s="3"/>
      <c r="AX62" s="3"/>
      <c r="AY62" s="16"/>
      <c r="AZ62" s="3"/>
      <c r="BA62" s="17"/>
      <c r="BB62" s="3"/>
      <c r="BC62" s="3"/>
      <c r="BD62" s="3"/>
      <c r="BE62" s="3"/>
      <c r="BF62" s="17"/>
      <c r="BG62" s="3"/>
      <c r="BH62" s="3"/>
      <c r="BI62" s="16"/>
      <c r="BJ62" s="3"/>
      <c r="BK62" s="17"/>
      <c r="BL62" s="3"/>
      <c r="BM62" s="3"/>
      <c r="BN62" s="16"/>
      <c r="BO62" s="3"/>
      <c r="BP62" s="17"/>
      <c r="BQ62" s="3"/>
      <c r="BR62" s="3"/>
      <c r="BS62" s="3"/>
      <c r="BT62" s="3"/>
      <c r="BU62" s="17"/>
      <c r="BV62" s="3"/>
      <c r="BW62" s="3"/>
      <c r="BX62" s="16"/>
      <c r="BY62" s="3"/>
      <c r="BZ62" s="17"/>
      <c r="CA62" s="3"/>
      <c r="CB62" s="3"/>
      <c r="CC62" s="16"/>
      <c r="CD62" s="3"/>
      <c r="CE62" s="17"/>
      <c r="CF62" s="3"/>
      <c r="CG62" s="18"/>
      <c r="CH62" s="18"/>
      <c r="CI62" s="18"/>
      <c r="CJ62" s="17"/>
      <c r="CK62" s="18"/>
      <c r="CL62" s="3"/>
      <c r="CM62" s="16"/>
      <c r="CN62" s="3"/>
      <c r="CO62" s="17"/>
      <c r="CP62" s="3"/>
      <c r="CQ62" s="3"/>
      <c r="CR62" s="16"/>
      <c r="CS62" s="3"/>
      <c r="CT62" s="17"/>
      <c r="CU62" s="3"/>
      <c r="CV62" s="3"/>
      <c r="CW62" s="3"/>
      <c r="CX62" s="3"/>
      <c r="CY62" s="17"/>
      <c r="CZ62" s="3"/>
      <c r="DA62" s="3"/>
      <c r="DB62" s="16"/>
      <c r="DC62" s="3"/>
      <c r="DD62" s="17"/>
      <c r="DE62" s="3"/>
      <c r="DF62" s="3"/>
      <c r="DG62" s="16"/>
      <c r="DH62" s="3"/>
      <c r="DI62" s="17"/>
      <c r="DJ62" s="3"/>
      <c r="DK62" s="3"/>
      <c r="DL62" s="3"/>
      <c r="DM62" s="3"/>
      <c r="DN62" s="17"/>
      <c r="DO62" s="3"/>
      <c r="DP62" s="3"/>
      <c r="DQ62" s="16"/>
      <c r="DR62" s="3"/>
      <c r="DS62" s="17"/>
      <c r="DT62" s="3"/>
      <c r="DU62" s="3"/>
      <c r="DV62" s="16"/>
      <c r="DW62" s="3"/>
      <c r="DX62" s="17"/>
      <c r="DY62" s="3"/>
      <c r="DZ62" s="3"/>
      <c r="EA62" s="3"/>
      <c r="EB62" s="3"/>
      <c r="EC62" s="17"/>
      <c r="ED62" s="3"/>
      <c r="EE62" s="3"/>
      <c r="EF62" s="16"/>
      <c r="EG62" s="3"/>
      <c r="EH62" s="17"/>
      <c r="EI62" s="3"/>
      <c r="EJ62" s="3"/>
      <c r="EK62" s="16"/>
      <c r="EL62" s="3"/>
      <c r="EM62" s="17"/>
      <c r="EN62" s="3"/>
      <c r="EO62" s="3"/>
      <c r="EP62" s="3"/>
      <c r="EQ62" s="3"/>
      <c r="ER62" s="17"/>
      <c r="ES62" s="3"/>
      <c r="ET62" s="3"/>
      <c r="EU62" s="16"/>
      <c r="EV62" s="3"/>
      <c r="EW62" s="17"/>
      <c r="EX62" s="3"/>
    </row>
    <row r="63" spans="20:154" s="25" customFormat="1" x14ac:dyDescent="0.25">
      <c r="T63" s="3"/>
      <c r="U63" s="16"/>
      <c r="V63" s="3"/>
      <c r="W63" s="17"/>
      <c r="X63" s="3"/>
      <c r="Y63" s="3"/>
      <c r="Z63" s="3"/>
      <c r="AA63" s="3"/>
      <c r="AB63" s="17"/>
      <c r="AC63" s="3"/>
      <c r="AD63" s="3"/>
      <c r="AE63" s="16"/>
      <c r="AF63" s="3"/>
      <c r="AG63" s="17"/>
      <c r="AH63" s="3"/>
      <c r="AI63" s="3"/>
      <c r="AJ63" s="16"/>
      <c r="AK63" s="3"/>
      <c r="AL63" s="17"/>
      <c r="AM63" s="3"/>
      <c r="AN63" s="3"/>
      <c r="AO63" s="3"/>
      <c r="AP63" s="3"/>
      <c r="AQ63" s="17"/>
      <c r="AR63" s="3"/>
      <c r="AS63" s="3"/>
      <c r="AT63" s="16"/>
      <c r="AU63" s="3"/>
      <c r="AV63" s="17"/>
      <c r="AW63" s="3"/>
      <c r="AX63" s="3"/>
      <c r="AY63" s="16"/>
      <c r="AZ63" s="3"/>
      <c r="BA63" s="17"/>
      <c r="BB63" s="3"/>
      <c r="BC63" s="3"/>
      <c r="BD63" s="3"/>
      <c r="BE63" s="3"/>
      <c r="BF63" s="17"/>
      <c r="BG63" s="3"/>
      <c r="BH63" s="3"/>
      <c r="BI63" s="16"/>
      <c r="BJ63" s="3"/>
      <c r="BK63" s="17"/>
      <c r="BL63" s="3"/>
      <c r="BM63" s="3"/>
      <c r="BN63" s="16"/>
      <c r="BO63" s="3"/>
      <c r="BP63" s="17"/>
      <c r="BQ63" s="3"/>
      <c r="BR63" s="3"/>
      <c r="BS63" s="3"/>
      <c r="BT63" s="3"/>
      <c r="BU63" s="17"/>
      <c r="BV63" s="3"/>
      <c r="BW63" s="3"/>
      <c r="BX63" s="16"/>
      <c r="BY63" s="3"/>
      <c r="BZ63" s="17"/>
      <c r="CA63" s="3"/>
      <c r="CB63" s="3"/>
      <c r="CC63" s="16"/>
      <c r="CD63" s="3"/>
      <c r="CE63" s="17"/>
      <c r="CF63" s="3"/>
      <c r="CG63" s="18"/>
      <c r="CH63" s="18"/>
      <c r="CI63" s="18"/>
      <c r="CJ63" s="17"/>
      <c r="CK63" s="18"/>
      <c r="CL63" s="3"/>
      <c r="CM63" s="16"/>
      <c r="CN63" s="3"/>
      <c r="CO63" s="17"/>
      <c r="CP63" s="3"/>
      <c r="CQ63" s="3"/>
      <c r="CR63" s="16"/>
      <c r="CS63" s="3"/>
      <c r="CT63" s="17"/>
      <c r="CU63" s="3"/>
      <c r="CV63" s="3"/>
      <c r="CW63" s="3"/>
      <c r="CX63" s="3"/>
      <c r="CY63" s="17"/>
      <c r="CZ63" s="3"/>
      <c r="DA63" s="3"/>
      <c r="DB63" s="16"/>
      <c r="DC63" s="3"/>
      <c r="DD63" s="17"/>
      <c r="DE63" s="3"/>
      <c r="DF63" s="3"/>
      <c r="DG63" s="16"/>
      <c r="DH63" s="3"/>
      <c r="DI63" s="17"/>
      <c r="DJ63" s="3"/>
      <c r="DK63" s="3"/>
      <c r="DL63" s="3"/>
      <c r="DM63" s="3"/>
      <c r="DN63" s="17"/>
      <c r="DO63" s="3"/>
      <c r="DP63" s="3"/>
      <c r="DQ63" s="16"/>
      <c r="DR63" s="3"/>
      <c r="DS63" s="17"/>
      <c r="DT63" s="3"/>
      <c r="DU63" s="3"/>
      <c r="DV63" s="16"/>
      <c r="DW63" s="3"/>
      <c r="DX63" s="17"/>
      <c r="DY63" s="3"/>
      <c r="DZ63" s="3"/>
      <c r="EA63" s="3"/>
      <c r="EB63" s="3"/>
      <c r="EC63" s="17"/>
      <c r="ED63" s="3"/>
      <c r="EE63" s="3"/>
      <c r="EF63" s="16"/>
      <c r="EG63" s="3"/>
      <c r="EH63" s="17"/>
      <c r="EI63" s="3"/>
      <c r="EJ63" s="3"/>
      <c r="EK63" s="16"/>
      <c r="EL63" s="3"/>
      <c r="EM63" s="17"/>
      <c r="EN63" s="3"/>
      <c r="EO63" s="3"/>
      <c r="EP63" s="3"/>
      <c r="EQ63" s="3"/>
      <c r="ER63" s="17"/>
      <c r="ES63" s="3"/>
      <c r="ET63" s="3"/>
      <c r="EU63" s="16"/>
      <c r="EV63" s="3"/>
      <c r="EW63" s="17"/>
      <c r="EX63" s="3"/>
    </row>
    <row r="64" spans="20:154" s="25" customFormat="1" x14ac:dyDescent="0.25">
      <c r="T64" s="3"/>
      <c r="U64" s="16"/>
      <c r="V64" s="3"/>
      <c r="W64" s="17"/>
      <c r="X64" s="3"/>
      <c r="Y64" s="3"/>
      <c r="Z64" s="3"/>
      <c r="AA64" s="3"/>
      <c r="AB64" s="17"/>
      <c r="AC64" s="3"/>
      <c r="AD64" s="3"/>
      <c r="AE64" s="16"/>
      <c r="AF64" s="3"/>
      <c r="AG64" s="17"/>
      <c r="AH64" s="3"/>
      <c r="AI64" s="3"/>
      <c r="AJ64" s="16"/>
      <c r="AK64" s="3"/>
      <c r="AL64" s="17"/>
      <c r="AM64" s="3"/>
      <c r="AN64" s="3"/>
      <c r="AO64" s="3"/>
      <c r="AP64" s="3"/>
      <c r="AQ64" s="17"/>
      <c r="AR64" s="3"/>
      <c r="AS64" s="3"/>
      <c r="AT64" s="16"/>
      <c r="AU64" s="3"/>
      <c r="AV64" s="17"/>
      <c r="AW64" s="3"/>
      <c r="AX64" s="3"/>
      <c r="AY64" s="16"/>
      <c r="AZ64" s="3"/>
      <c r="BA64" s="17"/>
      <c r="BB64" s="3"/>
      <c r="BC64" s="3"/>
      <c r="BD64" s="3"/>
      <c r="BE64" s="3"/>
      <c r="BF64" s="17"/>
      <c r="BG64" s="3"/>
      <c r="BH64" s="3"/>
      <c r="BI64" s="16"/>
      <c r="BJ64" s="3"/>
      <c r="BK64" s="17"/>
      <c r="BL64" s="3"/>
      <c r="BM64" s="3"/>
      <c r="BN64" s="16"/>
      <c r="BO64" s="3"/>
      <c r="BP64" s="17"/>
      <c r="BQ64" s="3"/>
      <c r="BR64" s="3"/>
      <c r="BS64" s="3"/>
      <c r="BT64" s="3"/>
      <c r="BU64" s="17"/>
      <c r="BV64" s="3"/>
      <c r="BW64" s="3"/>
      <c r="BX64" s="16"/>
      <c r="BY64" s="3"/>
      <c r="BZ64" s="17"/>
      <c r="CA64" s="3"/>
      <c r="CB64" s="3"/>
      <c r="CC64" s="16"/>
      <c r="CD64" s="3"/>
      <c r="CE64" s="17"/>
      <c r="CF64" s="3"/>
      <c r="CG64" s="18"/>
      <c r="CH64" s="18"/>
      <c r="CI64" s="18"/>
      <c r="CJ64" s="17"/>
      <c r="CK64" s="18"/>
      <c r="CL64" s="3"/>
      <c r="CM64" s="16"/>
      <c r="CN64" s="3"/>
      <c r="CO64" s="17"/>
      <c r="CP64" s="3"/>
      <c r="CQ64" s="3"/>
      <c r="CR64" s="16"/>
      <c r="CS64" s="3"/>
      <c r="CT64" s="17"/>
      <c r="CU64" s="3"/>
      <c r="CV64" s="3"/>
      <c r="CW64" s="3"/>
      <c r="CX64" s="3"/>
      <c r="CY64" s="17"/>
      <c r="CZ64" s="3"/>
      <c r="DA64" s="3"/>
      <c r="DB64" s="16"/>
      <c r="DC64" s="3"/>
      <c r="DD64" s="17"/>
      <c r="DE64" s="3"/>
      <c r="DF64" s="3"/>
      <c r="DG64" s="16"/>
      <c r="DH64" s="3"/>
      <c r="DI64" s="17"/>
      <c r="DJ64" s="3"/>
      <c r="DK64" s="3"/>
      <c r="DL64" s="3"/>
      <c r="DM64" s="3"/>
      <c r="DN64" s="17"/>
      <c r="DO64" s="3"/>
      <c r="DP64" s="3"/>
      <c r="DQ64" s="16"/>
      <c r="DR64" s="3"/>
      <c r="DS64" s="17"/>
      <c r="DT64" s="3"/>
      <c r="DU64" s="3"/>
      <c r="DV64" s="16"/>
      <c r="DW64" s="3"/>
      <c r="DX64" s="17"/>
      <c r="DY64" s="3"/>
      <c r="DZ64" s="3"/>
      <c r="EA64" s="3"/>
      <c r="EB64" s="3"/>
      <c r="EC64" s="17"/>
      <c r="ED64" s="3"/>
      <c r="EE64" s="3"/>
      <c r="EF64" s="16"/>
      <c r="EG64" s="3"/>
      <c r="EH64" s="17"/>
      <c r="EI64" s="3"/>
      <c r="EJ64" s="3"/>
      <c r="EK64" s="16"/>
      <c r="EL64" s="3"/>
      <c r="EM64" s="17"/>
      <c r="EN64" s="3"/>
      <c r="EO64" s="3"/>
      <c r="EP64" s="3"/>
      <c r="EQ64" s="3"/>
      <c r="ER64" s="17"/>
      <c r="ES64" s="3"/>
      <c r="ET64" s="3"/>
      <c r="EU64" s="16"/>
      <c r="EV64" s="3"/>
      <c r="EW64" s="17"/>
      <c r="EX64" s="3"/>
    </row>
    <row r="65" spans="20:154" s="25" customFormat="1" x14ac:dyDescent="0.25">
      <c r="T65" s="3"/>
      <c r="U65" s="16"/>
      <c r="V65" s="3"/>
      <c r="W65" s="17"/>
      <c r="X65" s="3"/>
      <c r="Y65" s="3"/>
      <c r="Z65" s="3"/>
      <c r="AA65" s="3"/>
      <c r="AB65" s="17"/>
      <c r="AC65" s="3"/>
      <c r="AD65" s="3"/>
      <c r="AE65" s="16"/>
      <c r="AF65" s="3"/>
      <c r="AG65" s="17"/>
      <c r="AH65" s="3"/>
      <c r="AI65" s="3"/>
      <c r="AJ65" s="16"/>
      <c r="AK65" s="3"/>
      <c r="AL65" s="17"/>
      <c r="AM65" s="3"/>
      <c r="AN65" s="3"/>
      <c r="AO65" s="3"/>
      <c r="AP65" s="3"/>
      <c r="AQ65" s="17"/>
      <c r="AR65" s="3"/>
      <c r="AS65" s="3"/>
      <c r="AT65" s="16"/>
      <c r="AU65" s="3"/>
      <c r="AV65" s="17"/>
      <c r="AW65" s="3"/>
      <c r="AX65" s="3"/>
      <c r="AY65" s="16"/>
      <c r="AZ65" s="3"/>
      <c r="BA65" s="17"/>
      <c r="BB65" s="3"/>
      <c r="BC65" s="3"/>
      <c r="BD65" s="3"/>
      <c r="BE65" s="3"/>
      <c r="BF65" s="17"/>
      <c r="BG65" s="3"/>
      <c r="BH65" s="3"/>
      <c r="BI65" s="16"/>
      <c r="BJ65" s="3"/>
      <c r="BK65" s="17"/>
      <c r="BL65" s="3"/>
      <c r="BM65" s="3"/>
      <c r="BN65" s="16"/>
      <c r="BO65" s="3"/>
      <c r="BP65" s="17"/>
      <c r="BQ65" s="3"/>
      <c r="BR65" s="3"/>
      <c r="BS65" s="3"/>
      <c r="BT65" s="3"/>
      <c r="BU65" s="17"/>
      <c r="BV65" s="3"/>
      <c r="BW65" s="3"/>
      <c r="BX65" s="16"/>
      <c r="BY65" s="3"/>
      <c r="BZ65" s="17"/>
      <c r="CA65" s="3"/>
      <c r="CB65" s="3"/>
      <c r="CC65" s="16"/>
      <c r="CD65" s="3"/>
      <c r="CE65" s="17"/>
      <c r="CF65" s="3"/>
      <c r="CG65" s="18"/>
      <c r="CH65" s="18"/>
      <c r="CI65" s="18"/>
      <c r="CJ65" s="17"/>
      <c r="CK65" s="18"/>
      <c r="CL65" s="3"/>
      <c r="CM65" s="16"/>
      <c r="CN65" s="3"/>
      <c r="CO65" s="17"/>
      <c r="CP65" s="3"/>
      <c r="CQ65" s="3"/>
      <c r="CR65" s="16"/>
      <c r="CS65" s="3"/>
      <c r="CT65" s="17"/>
      <c r="CU65" s="3"/>
      <c r="CV65" s="3"/>
      <c r="CW65" s="3"/>
      <c r="CX65" s="3"/>
      <c r="CY65" s="17"/>
      <c r="CZ65" s="3"/>
      <c r="DA65" s="3"/>
      <c r="DB65" s="16"/>
      <c r="DC65" s="3"/>
      <c r="DD65" s="17"/>
      <c r="DE65" s="3"/>
      <c r="DF65" s="3"/>
      <c r="DG65" s="16"/>
      <c r="DH65" s="3"/>
      <c r="DI65" s="17"/>
      <c r="DJ65" s="3"/>
      <c r="DK65" s="3"/>
      <c r="DL65" s="3"/>
      <c r="DM65" s="3"/>
      <c r="DN65" s="17"/>
      <c r="DO65" s="3"/>
      <c r="DP65" s="3"/>
      <c r="DQ65" s="16"/>
      <c r="DR65" s="3"/>
      <c r="DS65" s="17"/>
      <c r="DT65" s="3"/>
      <c r="DU65" s="3"/>
      <c r="DV65" s="16"/>
      <c r="DW65" s="3"/>
      <c r="DX65" s="17"/>
      <c r="DY65" s="3"/>
      <c r="DZ65" s="3"/>
      <c r="EA65" s="3"/>
      <c r="EB65" s="3"/>
      <c r="EC65" s="17"/>
      <c r="ED65" s="3"/>
      <c r="EE65" s="3"/>
      <c r="EF65" s="16"/>
      <c r="EG65" s="3"/>
      <c r="EH65" s="17"/>
      <c r="EI65" s="3"/>
      <c r="EJ65" s="3"/>
      <c r="EK65" s="16"/>
      <c r="EL65" s="3"/>
      <c r="EM65" s="17"/>
      <c r="EN65" s="3"/>
      <c r="EO65" s="3"/>
      <c r="EP65" s="3"/>
      <c r="EQ65" s="3"/>
      <c r="ER65" s="17"/>
      <c r="ES65" s="3"/>
      <c r="ET65" s="3"/>
      <c r="EU65" s="16"/>
      <c r="EV65" s="3"/>
      <c r="EW65" s="17"/>
      <c r="EX65" s="3"/>
    </row>
    <row r="66" spans="20:154" s="25" customFormat="1" x14ac:dyDescent="0.25">
      <c r="T66" s="3"/>
      <c r="U66" s="16"/>
      <c r="V66" s="3"/>
      <c r="W66" s="17"/>
      <c r="X66" s="3"/>
      <c r="Y66" s="3"/>
      <c r="Z66" s="3"/>
      <c r="AA66" s="3"/>
      <c r="AB66" s="17"/>
      <c r="AC66" s="3"/>
      <c r="AD66" s="3"/>
      <c r="AE66" s="16"/>
      <c r="AF66" s="3"/>
      <c r="AG66" s="17"/>
      <c r="AH66" s="3"/>
      <c r="AI66" s="3"/>
      <c r="AJ66" s="16"/>
      <c r="AK66" s="3"/>
      <c r="AL66" s="17"/>
      <c r="AM66" s="3"/>
      <c r="AN66" s="3"/>
      <c r="AO66" s="3"/>
      <c r="AP66" s="3"/>
      <c r="AQ66" s="17"/>
      <c r="AR66" s="3"/>
      <c r="AS66" s="3"/>
      <c r="AT66" s="16"/>
      <c r="AU66" s="3"/>
      <c r="AV66" s="17"/>
      <c r="AW66" s="3"/>
      <c r="AX66" s="3"/>
      <c r="AY66" s="16"/>
      <c r="AZ66" s="3"/>
      <c r="BA66" s="17"/>
      <c r="BB66" s="3"/>
      <c r="BC66" s="3"/>
      <c r="BD66" s="3"/>
      <c r="BE66" s="3"/>
      <c r="BF66" s="17"/>
      <c r="BG66" s="3"/>
      <c r="BH66" s="3"/>
      <c r="BI66" s="16"/>
      <c r="BJ66" s="3"/>
      <c r="BK66" s="17"/>
      <c r="BL66" s="3"/>
      <c r="BM66" s="3"/>
      <c r="BN66" s="16"/>
      <c r="BO66" s="3"/>
      <c r="BP66" s="17"/>
      <c r="BQ66" s="3"/>
      <c r="BR66" s="3"/>
      <c r="BS66" s="3"/>
      <c r="BT66" s="3"/>
      <c r="BU66" s="17"/>
      <c r="BV66" s="3"/>
      <c r="BW66" s="3"/>
      <c r="BX66" s="16"/>
      <c r="BY66" s="3"/>
      <c r="BZ66" s="17"/>
      <c r="CA66" s="3"/>
      <c r="CB66" s="3"/>
      <c r="CC66" s="16"/>
      <c r="CD66" s="3"/>
      <c r="CE66" s="17"/>
      <c r="CF66" s="3"/>
      <c r="CG66" s="18"/>
      <c r="CH66" s="18"/>
      <c r="CI66" s="18"/>
      <c r="CJ66" s="17"/>
      <c r="CK66" s="18"/>
      <c r="CL66" s="3"/>
      <c r="CM66" s="16"/>
      <c r="CN66" s="3"/>
      <c r="CO66" s="17"/>
      <c r="CP66" s="3"/>
      <c r="CQ66" s="3"/>
      <c r="CR66" s="16"/>
      <c r="CS66" s="3"/>
      <c r="CT66" s="17"/>
      <c r="CU66" s="3"/>
      <c r="CV66" s="3"/>
      <c r="CW66" s="3"/>
      <c r="CX66" s="3"/>
      <c r="CY66" s="17"/>
      <c r="CZ66" s="3"/>
      <c r="DA66" s="3"/>
      <c r="DB66" s="16"/>
      <c r="DC66" s="3"/>
      <c r="DD66" s="17"/>
      <c r="DE66" s="3"/>
      <c r="DF66" s="3"/>
      <c r="DG66" s="16"/>
      <c r="DH66" s="3"/>
      <c r="DI66" s="17"/>
      <c r="DJ66" s="3"/>
      <c r="DK66" s="3"/>
      <c r="DL66" s="3"/>
      <c r="DM66" s="3"/>
      <c r="DN66" s="17"/>
      <c r="DO66" s="3"/>
      <c r="DP66" s="3"/>
      <c r="DQ66" s="16"/>
      <c r="DR66" s="3"/>
      <c r="DS66" s="17"/>
      <c r="DT66" s="3"/>
      <c r="DU66" s="3"/>
      <c r="DV66" s="16"/>
      <c r="DW66" s="3"/>
      <c r="DX66" s="17"/>
      <c r="DY66" s="3"/>
      <c r="DZ66" s="3"/>
      <c r="EA66" s="3"/>
      <c r="EB66" s="3"/>
      <c r="EC66" s="17"/>
      <c r="ED66" s="3"/>
      <c r="EE66" s="3"/>
      <c r="EF66" s="16"/>
      <c r="EG66" s="3"/>
      <c r="EH66" s="17"/>
      <c r="EI66" s="3"/>
      <c r="EJ66" s="3"/>
      <c r="EK66" s="16"/>
      <c r="EL66" s="3"/>
      <c r="EM66" s="17"/>
      <c r="EN66" s="3"/>
      <c r="EO66" s="3"/>
      <c r="EP66" s="3"/>
      <c r="EQ66" s="3"/>
      <c r="ER66" s="17"/>
      <c r="ES66" s="3"/>
      <c r="ET66" s="3"/>
      <c r="EU66" s="16"/>
      <c r="EV66" s="3"/>
      <c r="EW66" s="17"/>
      <c r="EX66" s="3"/>
    </row>
    <row r="67" spans="20:154" s="25" customFormat="1" x14ac:dyDescent="0.25">
      <c r="T67" s="3"/>
      <c r="U67" s="16"/>
      <c r="V67" s="3"/>
      <c r="W67" s="17"/>
      <c r="X67" s="3"/>
      <c r="Y67" s="3"/>
      <c r="Z67" s="3"/>
      <c r="AA67" s="3"/>
      <c r="AB67" s="17"/>
      <c r="AC67" s="3"/>
      <c r="AD67" s="3"/>
      <c r="AE67" s="16"/>
      <c r="AF67" s="3"/>
      <c r="AG67" s="17"/>
      <c r="AH67" s="3"/>
      <c r="AI67" s="3"/>
      <c r="AJ67" s="16"/>
      <c r="AK67" s="3"/>
      <c r="AL67" s="17"/>
      <c r="AM67" s="3"/>
      <c r="AN67" s="3"/>
      <c r="AO67" s="3"/>
      <c r="AP67" s="3"/>
      <c r="AQ67" s="17"/>
      <c r="AR67" s="3"/>
      <c r="AS67" s="3"/>
      <c r="AT67" s="16"/>
      <c r="AU67" s="3"/>
      <c r="AV67" s="17"/>
      <c r="AW67" s="3"/>
      <c r="AX67" s="3"/>
      <c r="AY67" s="16"/>
      <c r="AZ67" s="3"/>
      <c r="BA67" s="17"/>
      <c r="BB67" s="3"/>
      <c r="BC67" s="3"/>
      <c r="BD67" s="3"/>
      <c r="BE67" s="3"/>
      <c r="BF67" s="17"/>
      <c r="BG67" s="3"/>
      <c r="BH67" s="3"/>
      <c r="BI67" s="16"/>
      <c r="BJ67" s="3"/>
      <c r="BK67" s="17"/>
      <c r="BL67" s="3"/>
      <c r="BM67" s="3"/>
      <c r="BN67" s="16"/>
      <c r="BO67" s="3"/>
      <c r="BP67" s="17"/>
      <c r="BQ67" s="3"/>
      <c r="BR67" s="3"/>
      <c r="BS67" s="3"/>
      <c r="BT67" s="3"/>
      <c r="BU67" s="17"/>
      <c r="BV67" s="3"/>
      <c r="BW67" s="3"/>
      <c r="BX67" s="16"/>
      <c r="BY67" s="3"/>
      <c r="BZ67" s="17"/>
      <c r="CA67" s="3"/>
      <c r="CB67" s="3"/>
      <c r="CC67" s="16"/>
      <c r="CD67" s="3"/>
      <c r="CE67" s="17"/>
      <c r="CF67" s="3"/>
      <c r="CG67" s="18"/>
      <c r="CH67" s="18"/>
      <c r="CI67" s="18"/>
      <c r="CJ67" s="17"/>
      <c r="CK67" s="18"/>
      <c r="CL67" s="3"/>
      <c r="CM67" s="16"/>
      <c r="CN67" s="3"/>
      <c r="CO67" s="17"/>
      <c r="CP67" s="3"/>
      <c r="CQ67" s="3"/>
      <c r="CR67" s="16"/>
      <c r="CS67" s="3"/>
      <c r="CT67" s="17"/>
      <c r="CU67" s="3"/>
      <c r="CV67" s="3"/>
      <c r="CW67" s="3"/>
      <c r="CX67" s="3"/>
      <c r="CY67" s="17"/>
      <c r="CZ67" s="3"/>
      <c r="DA67" s="3"/>
      <c r="DB67" s="16"/>
      <c r="DC67" s="3"/>
      <c r="DD67" s="17"/>
      <c r="DE67" s="3"/>
      <c r="DF67" s="3"/>
      <c r="DG67" s="16"/>
      <c r="DH67" s="3"/>
      <c r="DI67" s="17"/>
      <c r="DJ67" s="3"/>
      <c r="DK67" s="3"/>
      <c r="DL67" s="3"/>
      <c r="DM67" s="3"/>
      <c r="DN67" s="17"/>
      <c r="DO67" s="3"/>
      <c r="DP67" s="3"/>
      <c r="DQ67" s="16"/>
      <c r="DR67" s="3"/>
      <c r="DS67" s="17"/>
      <c r="DT67" s="3"/>
      <c r="DU67" s="3"/>
      <c r="DV67" s="16"/>
      <c r="DW67" s="3"/>
      <c r="DX67" s="17"/>
      <c r="DY67" s="3"/>
      <c r="DZ67" s="3"/>
      <c r="EA67" s="3"/>
      <c r="EB67" s="3"/>
      <c r="EC67" s="17"/>
      <c r="ED67" s="3"/>
      <c r="EE67" s="3"/>
      <c r="EF67" s="16"/>
      <c r="EG67" s="3"/>
      <c r="EH67" s="17"/>
      <c r="EI67" s="3"/>
      <c r="EJ67" s="3"/>
      <c r="EK67" s="16"/>
      <c r="EL67" s="3"/>
      <c r="EM67" s="17"/>
      <c r="EN67" s="3"/>
      <c r="EO67" s="3"/>
      <c r="EP67" s="3"/>
      <c r="EQ67" s="3"/>
      <c r="ER67" s="17"/>
      <c r="ES67" s="3"/>
      <c r="ET67" s="3"/>
      <c r="EU67" s="16"/>
      <c r="EV67" s="3"/>
      <c r="EW67" s="17"/>
      <c r="EX67" s="3"/>
    </row>
    <row r="68" spans="20:154" s="25" customFormat="1" x14ac:dyDescent="0.25">
      <c r="T68" s="3"/>
      <c r="U68" s="16"/>
      <c r="V68" s="3"/>
      <c r="W68" s="17"/>
      <c r="X68" s="3"/>
      <c r="Y68" s="3"/>
      <c r="Z68" s="3"/>
      <c r="AA68" s="3"/>
      <c r="AB68" s="17"/>
      <c r="AC68" s="3"/>
      <c r="AD68" s="3"/>
      <c r="AE68" s="16"/>
      <c r="AF68" s="3"/>
      <c r="AG68" s="17"/>
      <c r="AH68" s="3"/>
      <c r="AI68" s="3"/>
      <c r="AJ68" s="16"/>
      <c r="AK68" s="3"/>
      <c r="AL68" s="17"/>
      <c r="AM68" s="3"/>
      <c r="AN68" s="3"/>
      <c r="AO68" s="3"/>
      <c r="AP68" s="3"/>
      <c r="AQ68" s="17"/>
      <c r="AR68" s="3"/>
      <c r="AS68" s="3"/>
      <c r="AT68" s="16"/>
      <c r="AU68" s="3"/>
      <c r="AV68" s="17"/>
      <c r="AW68" s="3"/>
      <c r="AX68" s="3"/>
      <c r="AY68" s="16"/>
      <c r="AZ68" s="3"/>
      <c r="BA68" s="17"/>
      <c r="BB68" s="3"/>
      <c r="BC68" s="3"/>
      <c r="BD68" s="3"/>
      <c r="BE68" s="3"/>
      <c r="BF68" s="17"/>
      <c r="BG68" s="3"/>
      <c r="BH68" s="3"/>
      <c r="BI68" s="16"/>
      <c r="BJ68" s="3"/>
      <c r="BK68" s="17"/>
      <c r="BL68" s="3"/>
      <c r="BM68" s="3"/>
      <c r="BN68" s="16"/>
      <c r="BO68" s="3"/>
      <c r="BP68" s="17"/>
      <c r="BQ68" s="3"/>
      <c r="BR68" s="3"/>
      <c r="BS68" s="3"/>
      <c r="BT68" s="3"/>
      <c r="BU68" s="17"/>
      <c r="BV68" s="3"/>
      <c r="BW68" s="3"/>
      <c r="BX68" s="16"/>
      <c r="BY68" s="3"/>
      <c r="BZ68" s="17"/>
      <c r="CA68" s="3"/>
      <c r="CB68" s="3"/>
      <c r="CC68" s="16"/>
      <c r="CD68" s="3"/>
      <c r="CE68" s="17"/>
      <c r="CF68" s="3"/>
      <c r="CG68" s="18"/>
      <c r="CH68" s="18"/>
      <c r="CI68" s="18"/>
      <c r="CJ68" s="17"/>
      <c r="CK68" s="18"/>
      <c r="CL68" s="3"/>
      <c r="CM68" s="16"/>
      <c r="CN68" s="3"/>
      <c r="CO68" s="17"/>
      <c r="CP68" s="3"/>
      <c r="CQ68" s="3"/>
      <c r="CR68" s="16"/>
      <c r="CS68" s="3"/>
      <c r="CT68" s="17"/>
      <c r="CU68" s="3"/>
      <c r="CV68" s="3"/>
      <c r="CW68" s="3"/>
      <c r="CX68" s="3"/>
      <c r="CY68" s="17"/>
      <c r="CZ68" s="3"/>
      <c r="DA68" s="3"/>
      <c r="DB68" s="16"/>
      <c r="DC68" s="3"/>
      <c r="DD68" s="17"/>
      <c r="DE68" s="3"/>
      <c r="DF68" s="3"/>
      <c r="DG68" s="16"/>
      <c r="DH68" s="3"/>
      <c r="DI68" s="17"/>
      <c r="DJ68" s="3"/>
      <c r="DK68" s="3"/>
      <c r="DL68" s="3"/>
      <c r="DM68" s="3"/>
      <c r="DN68" s="17"/>
      <c r="DO68" s="3"/>
      <c r="DP68" s="3"/>
      <c r="DQ68" s="16"/>
      <c r="DR68" s="3"/>
      <c r="DS68" s="17"/>
      <c r="DT68" s="3"/>
      <c r="DU68" s="3"/>
      <c r="DV68" s="16"/>
      <c r="DW68" s="3"/>
      <c r="DX68" s="17"/>
      <c r="DY68" s="3"/>
      <c r="DZ68" s="3"/>
      <c r="EA68" s="3"/>
      <c r="EB68" s="3"/>
      <c r="EC68" s="17"/>
      <c r="ED68" s="3"/>
      <c r="EE68" s="3"/>
      <c r="EF68" s="16"/>
      <c r="EG68" s="3"/>
      <c r="EH68" s="17"/>
      <c r="EI68" s="3"/>
      <c r="EJ68" s="3"/>
      <c r="EK68" s="16"/>
      <c r="EL68" s="3"/>
      <c r="EM68" s="17"/>
      <c r="EN68" s="3"/>
      <c r="EO68" s="3"/>
      <c r="EP68" s="3"/>
      <c r="EQ68" s="3"/>
      <c r="ER68" s="17"/>
      <c r="ES68" s="3"/>
      <c r="ET68" s="3"/>
      <c r="EU68" s="16"/>
      <c r="EV68" s="3"/>
      <c r="EW68" s="17"/>
      <c r="EX68" s="3"/>
    </row>
    <row r="69" spans="20:154" s="25" customFormat="1" x14ac:dyDescent="0.25">
      <c r="T69" s="3"/>
      <c r="U69" s="16"/>
      <c r="V69" s="3"/>
      <c r="W69" s="17"/>
      <c r="X69" s="3"/>
      <c r="Y69" s="3"/>
      <c r="Z69" s="3"/>
      <c r="AA69" s="3"/>
      <c r="AB69" s="17"/>
      <c r="AC69" s="3"/>
      <c r="AD69" s="3"/>
      <c r="AE69" s="16"/>
      <c r="AF69" s="3"/>
      <c r="AG69" s="17"/>
      <c r="AH69" s="3"/>
      <c r="AI69" s="3"/>
      <c r="AJ69" s="16"/>
      <c r="AK69" s="3"/>
      <c r="AL69" s="17"/>
      <c r="AM69" s="3"/>
      <c r="AN69" s="3"/>
      <c r="AO69" s="3"/>
      <c r="AP69" s="3"/>
      <c r="AQ69" s="17"/>
      <c r="AR69" s="3"/>
      <c r="AS69" s="3"/>
      <c r="AT69" s="16"/>
      <c r="AU69" s="3"/>
      <c r="AV69" s="17"/>
      <c r="AW69" s="3"/>
      <c r="AX69" s="3"/>
      <c r="AY69" s="16"/>
      <c r="AZ69" s="3"/>
      <c r="BA69" s="17"/>
      <c r="BB69" s="3"/>
      <c r="BC69" s="3"/>
      <c r="BD69" s="3"/>
      <c r="BE69" s="3"/>
      <c r="BF69" s="17"/>
      <c r="BG69" s="3"/>
      <c r="BH69" s="3"/>
      <c r="BI69" s="16"/>
      <c r="BJ69" s="3"/>
      <c r="BK69" s="17"/>
      <c r="BL69" s="3"/>
      <c r="BM69" s="3"/>
      <c r="BN69" s="16"/>
      <c r="BO69" s="3"/>
      <c r="BP69" s="17"/>
      <c r="BQ69" s="3"/>
      <c r="BR69" s="3"/>
      <c r="BS69" s="3"/>
      <c r="BT69" s="3"/>
      <c r="BU69" s="17"/>
      <c r="BV69" s="3"/>
      <c r="BW69" s="3"/>
      <c r="BX69" s="16"/>
      <c r="BY69" s="3"/>
      <c r="BZ69" s="17"/>
      <c r="CA69" s="3"/>
      <c r="CB69" s="3"/>
      <c r="CC69" s="16"/>
      <c r="CD69" s="3"/>
      <c r="CE69" s="17"/>
      <c r="CF69" s="3"/>
      <c r="CG69" s="18"/>
      <c r="CH69" s="18"/>
      <c r="CI69" s="18"/>
      <c r="CJ69" s="17"/>
      <c r="CK69" s="18"/>
      <c r="CL69" s="3"/>
      <c r="CM69" s="16"/>
      <c r="CN69" s="3"/>
      <c r="CO69" s="17"/>
      <c r="CP69" s="3"/>
      <c r="CQ69" s="3"/>
      <c r="CR69" s="16"/>
      <c r="CS69" s="3"/>
      <c r="CT69" s="17"/>
      <c r="CU69" s="3"/>
      <c r="CV69" s="3"/>
      <c r="CW69" s="3"/>
      <c r="CX69" s="3"/>
      <c r="CY69" s="17"/>
      <c r="CZ69" s="3"/>
      <c r="DA69" s="3"/>
      <c r="DB69" s="16"/>
      <c r="DC69" s="3"/>
      <c r="DD69" s="17"/>
      <c r="DE69" s="3"/>
      <c r="DF69" s="3"/>
      <c r="DG69" s="16"/>
      <c r="DH69" s="3"/>
      <c r="DI69" s="17"/>
      <c r="DJ69" s="3"/>
      <c r="DK69" s="3"/>
      <c r="DL69" s="3"/>
      <c r="DM69" s="3"/>
      <c r="DN69" s="17"/>
      <c r="DO69" s="3"/>
      <c r="DP69" s="3"/>
      <c r="DQ69" s="16"/>
      <c r="DR69" s="3"/>
      <c r="DS69" s="17"/>
      <c r="DT69" s="3"/>
      <c r="DU69" s="3"/>
      <c r="DV69" s="16"/>
      <c r="DW69" s="3"/>
      <c r="DX69" s="17"/>
      <c r="DY69" s="3"/>
      <c r="DZ69" s="3"/>
      <c r="EA69" s="3"/>
      <c r="EB69" s="3"/>
      <c r="EC69" s="17"/>
      <c r="ED69" s="3"/>
      <c r="EE69" s="3"/>
      <c r="EF69" s="16"/>
      <c r="EG69" s="3"/>
      <c r="EH69" s="17"/>
      <c r="EI69" s="3"/>
      <c r="EJ69" s="3"/>
      <c r="EK69" s="16"/>
      <c r="EL69" s="3"/>
      <c r="EM69" s="17"/>
      <c r="EN69" s="3"/>
      <c r="EO69" s="3"/>
      <c r="EP69" s="3"/>
      <c r="EQ69" s="3"/>
      <c r="ER69" s="17"/>
      <c r="ES69" s="3"/>
      <c r="ET69" s="3"/>
      <c r="EU69" s="16"/>
      <c r="EV69" s="3"/>
      <c r="EW69" s="17"/>
      <c r="EX69" s="3"/>
    </row>
    <row r="70" spans="20:154" s="25" customFormat="1" x14ac:dyDescent="0.25">
      <c r="T70" s="3"/>
      <c r="U70" s="16"/>
      <c r="V70" s="3"/>
      <c r="W70" s="17"/>
      <c r="X70" s="3"/>
      <c r="Y70" s="3"/>
      <c r="Z70" s="3"/>
      <c r="AA70" s="3"/>
      <c r="AB70" s="17"/>
      <c r="AC70" s="3"/>
      <c r="AD70" s="3"/>
      <c r="AE70" s="16"/>
      <c r="AF70" s="3"/>
      <c r="AG70" s="17"/>
      <c r="AH70" s="3"/>
      <c r="AI70" s="3"/>
      <c r="AJ70" s="16"/>
      <c r="AK70" s="3"/>
      <c r="AL70" s="17"/>
      <c r="AM70" s="3"/>
      <c r="AN70" s="3"/>
      <c r="AO70" s="3"/>
      <c r="AP70" s="3"/>
      <c r="AQ70" s="17"/>
      <c r="AR70" s="3"/>
      <c r="AS70" s="3"/>
      <c r="AT70" s="16"/>
      <c r="AU70" s="3"/>
      <c r="AV70" s="17"/>
      <c r="AW70" s="3"/>
      <c r="AX70" s="3"/>
      <c r="AY70" s="16"/>
      <c r="AZ70" s="3"/>
      <c r="BA70" s="17"/>
      <c r="BB70" s="3"/>
      <c r="BC70" s="3"/>
      <c r="BD70" s="3"/>
      <c r="BE70" s="3"/>
      <c r="BF70" s="17"/>
      <c r="BG70" s="3"/>
      <c r="BH70" s="3"/>
      <c r="BI70" s="16"/>
      <c r="BJ70" s="3"/>
      <c r="BK70" s="17"/>
      <c r="BL70" s="3"/>
      <c r="BM70" s="3"/>
      <c r="BN70" s="16"/>
      <c r="BO70" s="3"/>
      <c r="BP70" s="17"/>
      <c r="BQ70" s="3"/>
      <c r="BR70" s="3"/>
      <c r="BS70" s="3"/>
      <c r="BT70" s="3"/>
      <c r="BU70" s="17"/>
      <c r="BV70" s="3"/>
      <c r="BW70" s="3"/>
      <c r="BX70" s="16"/>
      <c r="BY70" s="3"/>
      <c r="BZ70" s="17"/>
      <c r="CA70" s="3"/>
      <c r="CB70" s="3"/>
      <c r="CC70" s="16"/>
      <c r="CD70" s="3"/>
      <c r="CE70" s="17"/>
      <c r="CF70" s="3"/>
      <c r="CG70" s="18"/>
      <c r="CH70" s="18"/>
      <c r="CI70" s="18"/>
      <c r="CJ70" s="17"/>
      <c r="CK70" s="18"/>
      <c r="CL70" s="3"/>
      <c r="CM70" s="16"/>
      <c r="CN70" s="3"/>
      <c r="CO70" s="17"/>
      <c r="CP70" s="3"/>
      <c r="CQ70" s="3"/>
      <c r="CR70" s="16"/>
      <c r="CS70" s="3"/>
      <c r="CT70" s="17"/>
      <c r="CU70" s="3"/>
      <c r="CV70" s="3"/>
      <c r="CW70" s="3"/>
      <c r="CX70" s="3"/>
      <c r="CY70" s="17"/>
      <c r="CZ70" s="3"/>
      <c r="DA70" s="3"/>
      <c r="DB70" s="16"/>
      <c r="DC70" s="3"/>
      <c r="DD70" s="17"/>
      <c r="DE70" s="3"/>
      <c r="DF70" s="3"/>
      <c r="DG70" s="16"/>
      <c r="DH70" s="3"/>
      <c r="DI70" s="17"/>
      <c r="DJ70" s="3"/>
      <c r="DK70" s="3"/>
      <c r="DL70" s="3"/>
      <c r="DM70" s="3"/>
      <c r="DN70" s="17"/>
      <c r="DO70" s="3"/>
      <c r="DP70" s="3"/>
      <c r="DQ70" s="16"/>
      <c r="DR70" s="3"/>
      <c r="DS70" s="17"/>
      <c r="DT70" s="3"/>
      <c r="DU70" s="3"/>
      <c r="DV70" s="16"/>
      <c r="DW70" s="3"/>
      <c r="DX70" s="17"/>
      <c r="DY70" s="3"/>
      <c r="DZ70" s="3"/>
      <c r="EA70" s="3"/>
      <c r="EB70" s="3"/>
      <c r="EC70" s="17"/>
      <c r="ED70" s="3"/>
      <c r="EE70" s="3"/>
      <c r="EF70" s="16"/>
      <c r="EG70" s="3"/>
      <c r="EH70" s="17"/>
      <c r="EI70" s="3"/>
      <c r="EJ70" s="3"/>
      <c r="EK70" s="16"/>
      <c r="EL70" s="3"/>
      <c r="EM70" s="17"/>
      <c r="EN70" s="3"/>
      <c r="EO70" s="3"/>
      <c r="EP70" s="3"/>
      <c r="EQ70" s="3"/>
      <c r="ER70" s="17"/>
      <c r="ES70" s="3"/>
      <c r="ET70" s="3"/>
      <c r="EU70" s="16"/>
      <c r="EV70" s="3"/>
      <c r="EW70" s="17"/>
      <c r="EX70" s="3"/>
    </row>
    <row r="71" spans="20:154" s="25" customFormat="1" x14ac:dyDescent="0.25">
      <c r="T71" s="3"/>
      <c r="U71" s="16"/>
      <c r="V71" s="3"/>
      <c r="W71" s="17"/>
      <c r="X71" s="3"/>
      <c r="Y71" s="3"/>
      <c r="Z71" s="3"/>
      <c r="AA71" s="3"/>
      <c r="AB71" s="17"/>
      <c r="AC71" s="3"/>
      <c r="AD71" s="3"/>
      <c r="AE71" s="16"/>
      <c r="AF71" s="3"/>
      <c r="AG71" s="17"/>
      <c r="AH71" s="3"/>
      <c r="AI71" s="3"/>
      <c r="AJ71" s="16"/>
      <c r="AK71" s="3"/>
      <c r="AL71" s="17"/>
      <c r="AM71" s="3"/>
      <c r="AN71" s="3"/>
      <c r="AO71" s="3"/>
      <c r="AP71" s="3"/>
      <c r="AQ71" s="17"/>
      <c r="AR71" s="3"/>
      <c r="AS71" s="3"/>
      <c r="AT71" s="16"/>
      <c r="AU71" s="3"/>
      <c r="AV71" s="17"/>
      <c r="AW71" s="3"/>
      <c r="AX71" s="3"/>
      <c r="AY71" s="16"/>
      <c r="AZ71" s="3"/>
      <c r="BA71" s="17"/>
      <c r="BB71" s="3"/>
      <c r="BC71" s="3"/>
      <c r="BD71" s="3"/>
      <c r="BE71" s="3"/>
      <c r="BF71" s="17"/>
      <c r="BG71" s="3"/>
      <c r="BH71" s="3"/>
      <c r="BI71" s="16"/>
      <c r="BJ71" s="3"/>
      <c r="BK71" s="17"/>
      <c r="BL71" s="3"/>
      <c r="BM71" s="3"/>
      <c r="BN71" s="16"/>
      <c r="BO71" s="3"/>
      <c r="BP71" s="17"/>
      <c r="BQ71" s="3"/>
      <c r="BR71" s="3"/>
      <c r="BS71" s="3"/>
      <c r="BT71" s="3"/>
      <c r="BU71" s="17"/>
      <c r="BV71" s="3"/>
      <c r="BW71" s="3"/>
      <c r="BX71" s="16"/>
      <c r="BY71" s="3"/>
      <c r="BZ71" s="17"/>
      <c r="CA71" s="3"/>
      <c r="CB71" s="3"/>
      <c r="CC71" s="16"/>
      <c r="CD71" s="3"/>
      <c r="CE71" s="17"/>
      <c r="CF71" s="3"/>
      <c r="CG71" s="18"/>
      <c r="CH71" s="18"/>
      <c r="CI71" s="18"/>
      <c r="CJ71" s="17"/>
      <c r="CK71" s="18"/>
      <c r="CL71" s="3"/>
      <c r="CM71" s="16"/>
      <c r="CN71" s="3"/>
      <c r="CO71" s="17"/>
      <c r="CP71" s="3"/>
      <c r="CQ71" s="3"/>
      <c r="CR71" s="16"/>
      <c r="CS71" s="3"/>
      <c r="CT71" s="17"/>
      <c r="CU71" s="3"/>
      <c r="CV71" s="3"/>
      <c r="CW71" s="3"/>
      <c r="CX71" s="3"/>
      <c r="CY71" s="17"/>
      <c r="CZ71" s="3"/>
      <c r="DA71" s="3"/>
      <c r="DB71" s="16"/>
      <c r="DC71" s="3"/>
      <c r="DD71" s="17"/>
      <c r="DE71" s="3"/>
      <c r="DF71" s="3"/>
      <c r="DG71" s="16"/>
      <c r="DH71" s="3"/>
      <c r="DI71" s="17"/>
      <c r="DJ71" s="3"/>
      <c r="DK71" s="3"/>
      <c r="DL71" s="3"/>
      <c r="DM71" s="3"/>
      <c r="DN71" s="17"/>
      <c r="DO71" s="3"/>
      <c r="DP71" s="3"/>
      <c r="DQ71" s="16"/>
      <c r="DR71" s="3"/>
      <c r="DS71" s="17"/>
      <c r="DT71" s="3"/>
      <c r="DU71" s="3"/>
      <c r="DV71" s="16"/>
      <c r="DW71" s="3"/>
      <c r="DX71" s="17"/>
      <c r="DY71" s="3"/>
      <c r="DZ71" s="3"/>
      <c r="EA71" s="3"/>
      <c r="EB71" s="3"/>
      <c r="EC71" s="17"/>
      <c r="ED71" s="3"/>
      <c r="EE71" s="3"/>
      <c r="EF71" s="16"/>
      <c r="EG71" s="3"/>
      <c r="EH71" s="17"/>
      <c r="EI71" s="3"/>
      <c r="EJ71" s="3"/>
      <c r="EK71" s="16"/>
      <c r="EL71" s="3"/>
      <c r="EM71" s="17"/>
      <c r="EN71" s="3"/>
      <c r="EO71" s="3"/>
      <c r="EP71" s="3"/>
      <c r="EQ71" s="3"/>
      <c r="ER71" s="17"/>
      <c r="ES71" s="3"/>
      <c r="ET71" s="3"/>
      <c r="EU71" s="16"/>
      <c r="EV71" s="3"/>
      <c r="EW71" s="17"/>
      <c r="EX71" s="3"/>
    </row>
    <row r="72" spans="20:154" s="25" customFormat="1" x14ac:dyDescent="0.25">
      <c r="T72" s="3"/>
      <c r="U72" s="16"/>
      <c r="V72" s="3"/>
      <c r="W72" s="17"/>
      <c r="X72" s="3"/>
      <c r="Y72" s="3"/>
      <c r="Z72" s="3"/>
      <c r="AA72" s="3"/>
      <c r="AB72" s="17"/>
      <c r="AC72" s="3"/>
      <c r="AD72" s="3"/>
      <c r="AE72" s="16"/>
      <c r="AF72" s="3"/>
      <c r="AG72" s="17"/>
      <c r="AH72" s="3"/>
      <c r="AI72" s="3"/>
      <c r="AJ72" s="16"/>
      <c r="AK72" s="3"/>
      <c r="AL72" s="17"/>
      <c r="AM72" s="3"/>
      <c r="AN72" s="3"/>
      <c r="AO72" s="3"/>
      <c r="AP72" s="3"/>
      <c r="AQ72" s="17"/>
      <c r="AR72" s="3"/>
      <c r="AS72" s="3"/>
      <c r="AT72" s="16"/>
      <c r="AU72" s="3"/>
      <c r="AV72" s="17"/>
      <c r="AW72" s="3"/>
      <c r="AX72" s="3"/>
      <c r="AY72" s="16"/>
      <c r="AZ72" s="3"/>
      <c r="BA72" s="17"/>
      <c r="BB72" s="3"/>
      <c r="BC72" s="3"/>
      <c r="BD72" s="3"/>
      <c r="BE72" s="3"/>
      <c r="BF72" s="17"/>
      <c r="BG72" s="3"/>
      <c r="BH72" s="3"/>
      <c r="BI72" s="16"/>
      <c r="BJ72" s="3"/>
      <c r="BK72" s="17"/>
      <c r="BL72" s="3"/>
      <c r="BM72" s="3"/>
      <c r="BN72" s="16"/>
      <c r="BO72" s="3"/>
      <c r="BP72" s="17"/>
      <c r="BQ72" s="3"/>
      <c r="BR72" s="3"/>
      <c r="BS72" s="3"/>
      <c r="BT72" s="3"/>
      <c r="BU72" s="17"/>
      <c r="BV72" s="3"/>
      <c r="BW72" s="3"/>
      <c r="BX72" s="16"/>
      <c r="BY72" s="3"/>
      <c r="BZ72" s="17"/>
      <c r="CA72" s="3"/>
      <c r="CB72" s="3"/>
      <c r="CC72" s="16"/>
      <c r="CD72" s="3"/>
      <c r="CE72" s="17"/>
      <c r="CF72" s="3"/>
      <c r="CG72" s="18"/>
      <c r="CH72" s="18"/>
      <c r="CI72" s="18"/>
      <c r="CJ72" s="17"/>
      <c r="CK72" s="18"/>
      <c r="CL72" s="3"/>
      <c r="CM72" s="16"/>
      <c r="CN72" s="3"/>
      <c r="CO72" s="17"/>
      <c r="CP72" s="3"/>
      <c r="CQ72" s="3"/>
      <c r="CR72" s="16"/>
      <c r="CS72" s="3"/>
      <c r="CT72" s="17"/>
      <c r="CU72" s="3"/>
      <c r="CV72" s="3"/>
      <c r="CW72" s="3"/>
      <c r="CX72" s="3"/>
      <c r="CY72" s="17"/>
      <c r="CZ72" s="3"/>
      <c r="DA72" s="3"/>
      <c r="DB72" s="16"/>
      <c r="DC72" s="3"/>
      <c r="DD72" s="17"/>
      <c r="DE72" s="3"/>
      <c r="DF72" s="3"/>
      <c r="DG72" s="16"/>
      <c r="DH72" s="3"/>
      <c r="DI72" s="17"/>
      <c r="DJ72" s="3"/>
      <c r="DK72" s="3"/>
      <c r="DL72" s="3"/>
      <c r="DM72" s="3"/>
      <c r="DN72" s="17"/>
      <c r="DO72" s="3"/>
      <c r="DP72" s="3"/>
      <c r="DQ72" s="16"/>
      <c r="DR72" s="3"/>
      <c r="DS72" s="17"/>
      <c r="DT72" s="3"/>
      <c r="DU72" s="3"/>
      <c r="DV72" s="16"/>
      <c r="DW72" s="3"/>
      <c r="DX72" s="17"/>
      <c r="DY72" s="3"/>
      <c r="DZ72" s="3"/>
      <c r="EA72" s="3"/>
      <c r="EB72" s="3"/>
      <c r="EC72" s="17"/>
      <c r="ED72" s="3"/>
      <c r="EE72" s="3"/>
      <c r="EF72" s="16"/>
      <c r="EG72" s="3"/>
      <c r="EH72" s="17"/>
      <c r="EI72" s="3"/>
      <c r="EJ72" s="3"/>
      <c r="EK72" s="16"/>
      <c r="EL72" s="3"/>
      <c r="EM72" s="17"/>
      <c r="EN72" s="3"/>
      <c r="EO72" s="3"/>
      <c r="EP72" s="3"/>
      <c r="EQ72" s="3"/>
      <c r="ER72" s="17"/>
      <c r="ES72" s="3"/>
      <c r="ET72" s="3"/>
      <c r="EU72" s="16"/>
      <c r="EV72" s="3"/>
      <c r="EW72" s="17"/>
      <c r="EX72" s="3"/>
    </row>
    <row r="73" spans="20:154" s="25" customFormat="1" x14ac:dyDescent="0.25">
      <c r="T73" s="3"/>
      <c r="U73" s="16"/>
      <c r="V73" s="3"/>
      <c r="W73" s="17"/>
      <c r="X73" s="3"/>
      <c r="Y73" s="3"/>
      <c r="Z73" s="3"/>
      <c r="AA73" s="3"/>
      <c r="AB73" s="17"/>
      <c r="AC73" s="3"/>
      <c r="AD73" s="3"/>
      <c r="AE73" s="16"/>
      <c r="AF73" s="3"/>
      <c r="AG73" s="17"/>
      <c r="AH73" s="3"/>
      <c r="AI73" s="3"/>
      <c r="AJ73" s="16"/>
      <c r="AK73" s="3"/>
      <c r="AL73" s="17"/>
      <c r="AM73" s="3"/>
      <c r="AN73" s="3"/>
      <c r="AO73" s="3"/>
      <c r="AP73" s="3"/>
      <c r="AQ73" s="17"/>
      <c r="AR73" s="3"/>
      <c r="AS73" s="3"/>
      <c r="AT73" s="16"/>
      <c r="AU73" s="3"/>
      <c r="AV73" s="17"/>
      <c r="AW73" s="3"/>
      <c r="AX73" s="3"/>
      <c r="AY73" s="16"/>
      <c r="AZ73" s="3"/>
      <c r="BA73" s="17"/>
      <c r="BB73" s="3"/>
      <c r="BC73" s="3"/>
      <c r="BD73" s="3"/>
      <c r="BE73" s="3"/>
      <c r="BF73" s="17"/>
      <c r="BG73" s="3"/>
      <c r="BH73" s="3"/>
      <c r="BI73" s="16"/>
      <c r="BJ73" s="3"/>
      <c r="BK73" s="17"/>
      <c r="BL73" s="3"/>
      <c r="BM73" s="3"/>
      <c r="BN73" s="16"/>
      <c r="BO73" s="3"/>
      <c r="BP73" s="17"/>
      <c r="BQ73" s="3"/>
      <c r="BR73" s="3"/>
      <c r="BS73" s="3"/>
      <c r="BT73" s="3"/>
      <c r="BU73" s="17"/>
      <c r="BV73" s="3"/>
      <c r="BW73" s="3"/>
      <c r="BX73" s="16"/>
      <c r="BY73" s="3"/>
      <c r="BZ73" s="17"/>
      <c r="CA73" s="3"/>
      <c r="CB73" s="3"/>
      <c r="CC73" s="16"/>
      <c r="CD73" s="3"/>
      <c r="CE73" s="17"/>
      <c r="CF73" s="3"/>
      <c r="CG73" s="18"/>
      <c r="CH73" s="18"/>
      <c r="CI73" s="18"/>
      <c r="CJ73" s="17"/>
      <c r="CK73" s="18"/>
      <c r="CL73" s="3"/>
      <c r="CM73" s="16"/>
      <c r="CN73" s="3"/>
      <c r="CO73" s="17"/>
      <c r="CP73" s="3"/>
      <c r="CQ73" s="3"/>
      <c r="CR73" s="16"/>
      <c r="CS73" s="3"/>
      <c r="CT73" s="17"/>
      <c r="CU73" s="3"/>
      <c r="CV73" s="3"/>
      <c r="CW73" s="3"/>
      <c r="CX73" s="3"/>
      <c r="CY73" s="17"/>
      <c r="CZ73" s="3"/>
      <c r="DA73" s="3"/>
      <c r="DB73" s="16"/>
      <c r="DC73" s="3"/>
      <c r="DD73" s="17"/>
      <c r="DE73" s="3"/>
      <c r="DF73" s="3"/>
      <c r="DG73" s="16"/>
      <c r="DH73" s="3"/>
      <c r="DI73" s="17"/>
      <c r="DJ73" s="3"/>
      <c r="DK73" s="3"/>
      <c r="DL73" s="3"/>
      <c r="DM73" s="3"/>
      <c r="DN73" s="17"/>
      <c r="DO73" s="3"/>
      <c r="DP73" s="3"/>
      <c r="DQ73" s="16"/>
      <c r="DR73" s="3"/>
      <c r="DS73" s="17"/>
      <c r="DT73" s="3"/>
      <c r="DU73" s="3"/>
      <c r="DV73" s="16"/>
      <c r="DW73" s="3"/>
      <c r="DX73" s="17"/>
      <c r="DY73" s="3"/>
      <c r="DZ73" s="3"/>
      <c r="EA73" s="3"/>
      <c r="EB73" s="3"/>
      <c r="EC73" s="17"/>
      <c r="ED73" s="3"/>
      <c r="EE73" s="3"/>
      <c r="EF73" s="16"/>
      <c r="EG73" s="3"/>
      <c r="EH73" s="17"/>
      <c r="EI73" s="3"/>
      <c r="EJ73" s="3"/>
      <c r="EK73" s="16"/>
      <c r="EL73" s="3"/>
      <c r="EM73" s="17"/>
      <c r="EN73" s="3"/>
      <c r="EO73" s="3"/>
      <c r="EP73" s="3"/>
      <c r="EQ73" s="3"/>
      <c r="ER73" s="17"/>
      <c r="ES73" s="3"/>
      <c r="ET73" s="3"/>
      <c r="EU73" s="16"/>
      <c r="EV73" s="3"/>
      <c r="EW73" s="17"/>
      <c r="EX73" s="3"/>
    </row>
    <row r="74" spans="20:154" s="25" customFormat="1" x14ac:dyDescent="0.25">
      <c r="T74" s="3"/>
      <c r="U74" s="16"/>
      <c r="V74" s="3"/>
      <c r="W74" s="17"/>
      <c r="X74" s="3"/>
      <c r="Y74" s="3"/>
      <c r="Z74" s="3"/>
      <c r="AA74" s="3"/>
      <c r="AB74" s="17"/>
      <c r="AC74" s="3"/>
      <c r="AD74" s="3"/>
      <c r="AE74" s="16"/>
      <c r="AF74" s="3"/>
      <c r="AG74" s="17"/>
      <c r="AH74" s="3"/>
      <c r="AI74" s="3"/>
      <c r="AJ74" s="16"/>
      <c r="AK74" s="3"/>
      <c r="AL74" s="17"/>
      <c r="AM74" s="3"/>
      <c r="AN74" s="3"/>
      <c r="AO74" s="3"/>
      <c r="AP74" s="3"/>
      <c r="AQ74" s="17"/>
      <c r="AR74" s="3"/>
      <c r="AS74" s="3"/>
      <c r="AT74" s="16"/>
      <c r="AU74" s="3"/>
      <c r="AV74" s="17"/>
      <c r="AW74" s="3"/>
      <c r="AX74" s="3"/>
      <c r="AY74" s="16"/>
      <c r="AZ74" s="3"/>
      <c r="BA74" s="17"/>
      <c r="BB74" s="3"/>
      <c r="BC74" s="3"/>
      <c r="BD74" s="3"/>
      <c r="BE74" s="3"/>
      <c r="BF74" s="17"/>
      <c r="BG74" s="3"/>
      <c r="BH74" s="3"/>
      <c r="BI74" s="16"/>
      <c r="BJ74" s="3"/>
      <c r="BK74" s="17"/>
      <c r="BL74" s="3"/>
      <c r="BM74" s="3"/>
      <c r="BN74" s="16"/>
      <c r="BO74" s="3"/>
      <c r="BP74" s="17"/>
      <c r="BQ74" s="3"/>
      <c r="BR74" s="3"/>
      <c r="BS74" s="3"/>
      <c r="BT74" s="3"/>
      <c r="BU74" s="17"/>
      <c r="BV74" s="3"/>
      <c r="BW74" s="3"/>
      <c r="BX74" s="16"/>
      <c r="BY74" s="3"/>
      <c r="BZ74" s="17"/>
      <c r="CA74" s="3"/>
      <c r="CB74" s="3"/>
      <c r="CC74" s="16"/>
      <c r="CD74" s="3"/>
      <c r="CE74" s="17"/>
      <c r="CF74" s="3"/>
      <c r="CG74" s="18"/>
      <c r="CH74" s="18"/>
      <c r="CI74" s="18"/>
      <c r="CJ74" s="17"/>
      <c r="CK74" s="18"/>
      <c r="CL74" s="3"/>
      <c r="CM74" s="16"/>
      <c r="CN74" s="3"/>
      <c r="CO74" s="17"/>
      <c r="CP74" s="3"/>
      <c r="CQ74" s="3"/>
      <c r="CR74" s="16"/>
      <c r="CS74" s="3"/>
      <c r="CT74" s="17"/>
      <c r="CU74" s="3"/>
      <c r="CV74" s="3"/>
      <c r="CW74" s="3"/>
      <c r="CX74" s="3"/>
      <c r="CY74" s="17"/>
      <c r="CZ74" s="3"/>
      <c r="DA74" s="3"/>
      <c r="DB74" s="16"/>
      <c r="DC74" s="3"/>
      <c r="DD74" s="17"/>
      <c r="DE74" s="3"/>
      <c r="DF74" s="3"/>
      <c r="DG74" s="16"/>
      <c r="DH74" s="3"/>
      <c r="DI74" s="17"/>
      <c r="DJ74" s="3"/>
      <c r="DK74" s="3"/>
      <c r="DL74" s="3"/>
      <c r="DM74" s="3"/>
      <c r="DN74" s="17"/>
      <c r="DO74" s="3"/>
      <c r="DP74" s="3"/>
      <c r="DQ74" s="16"/>
      <c r="DR74" s="3"/>
      <c r="DS74" s="17"/>
      <c r="DT74" s="3"/>
      <c r="DU74" s="3"/>
      <c r="DV74" s="16"/>
      <c r="DW74" s="3"/>
      <c r="DX74" s="17"/>
      <c r="DY74" s="3"/>
      <c r="DZ74" s="3"/>
      <c r="EA74" s="3"/>
      <c r="EB74" s="3"/>
      <c r="EC74" s="17"/>
      <c r="ED74" s="3"/>
      <c r="EE74" s="3"/>
      <c r="EF74" s="16"/>
      <c r="EG74" s="3"/>
      <c r="EH74" s="17"/>
      <c r="EI74" s="3"/>
      <c r="EJ74" s="3"/>
      <c r="EK74" s="16"/>
      <c r="EL74" s="3"/>
      <c r="EM74" s="17"/>
      <c r="EN74" s="3"/>
      <c r="EO74" s="3"/>
      <c r="EP74" s="3"/>
      <c r="EQ74" s="3"/>
      <c r="ER74" s="17"/>
      <c r="ES74" s="3"/>
      <c r="ET74" s="3"/>
      <c r="EU74" s="16"/>
      <c r="EV74" s="3"/>
      <c r="EW74" s="17"/>
      <c r="EX74" s="3"/>
    </row>
    <row r="75" spans="20:154" s="25" customFormat="1" x14ac:dyDescent="0.25">
      <c r="T75" s="3"/>
      <c r="U75" s="16"/>
      <c r="V75" s="3"/>
      <c r="W75" s="17"/>
      <c r="X75" s="3"/>
      <c r="Y75" s="3"/>
      <c r="Z75" s="3"/>
      <c r="AA75" s="3"/>
      <c r="AB75" s="17"/>
      <c r="AC75" s="3"/>
      <c r="AD75" s="3"/>
      <c r="AE75" s="16"/>
      <c r="AF75" s="3"/>
      <c r="AG75" s="17"/>
      <c r="AH75" s="3"/>
      <c r="AI75" s="3"/>
      <c r="AJ75" s="16"/>
      <c r="AK75" s="3"/>
      <c r="AL75" s="17"/>
      <c r="AM75" s="3"/>
      <c r="AN75" s="3"/>
      <c r="AO75" s="3"/>
      <c r="AP75" s="3"/>
      <c r="AQ75" s="17"/>
      <c r="AR75" s="3"/>
      <c r="AS75" s="3"/>
      <c r="AT75" s="16"/>
      <c r="AU75" s="3"/>
      <c r="AV75" s="17"/>
      <c r="AW75" s="3"/>
      <c r="AX75" s="3"/>
      <c r="AY75" s="16"/>
      <c r="AZ75" s="3"/>
      <c r="BA75" s="17"/>
      <c r="BB75" s="3"/>
      <c r="BC75" s="3"/>
      <c r="BD75" s="3"/>
      <c r="BE75" s="3"/>
      <c r="BF75" s="17"/>
      <c r="BG75" s="3"/>
      <c r="BH75" s="3"/>
      <c r="BI75" s="16"/>
      <c r="BJ75" s="3"/>
      <c r="BK75" s="17"/>
      <c r="BL75" s="3"/>
      <c r="BM75" s="3"/>
      <c r="BN75" s="16"/>
      <c r="BO75" s="3"/>
      <c r="BP75" s="17"/>
      <c r="BQ75" s="3"/>
      <c r="BR75" s="3"/>
      <c r="BS75" s="3"/>
      <c r="BT75" s="3"/>
      <c r="BU75" s="17"/>
      <c r="BV75" s="3"/>
      <c r="BW75" s="3"/>
      <c r="BX75" s="16"/>
      <c r="BY75" s="3"/>
      <c r="BZ75" s="17"/>
      <c r="CA75" s="3"/>
      <c r="CB75" s="3"/>
      <c r="CC75" s="16"/>
      <c r="CD75" s="3"/>
      <c r="CE75" s="17"/>
      <c r="CF75" s="3"/>
      <c r="CG75" s="18"/>
      <c r="CH75" s="18"/>
      <c r="CI75" s="18"/>
      <c r="CJ75" s="17"/>
      <c r="CK75" s="18"/>
      <c r="CL75" s="3"/>
      <c r="CM75" s="16"/>
      <c r="CN75" s="3"/>
      <c r="CO75" s="17"/>
      <c r="CP75" s="3"/>
      <c r="CQ75" s="3"/>
      <c r="CR75" s="16"/>
      <c r="CS75" s="3"/>
      <c r="CT75" s="17"/>
      <c r="CU75" s="3"/>
      <c r="CV75" s="3"/>
      <c r="CW75" s="3"/>
      <c r="CX75" s="3"/>
      <c r="CY75" s="17"/>
      <c r="CZ75" s="3"/>
      <c r="DA75" s="3"/>
      <c r="DB75" s="16"/>
      <c r="DC75" s="3"/>
      <c r="DD75" s="17"/>
      <c r="DE75" s="3"/>
      <c r="DF75" s="3"/>
      <c r="DG75" s="16"/>
      <c r="DH75" s="3"/>
      <c r="DI75" s="17"/>
      <c r="DJ75" s="3"/>
      <c r="DK75" s="3"/>
      <c r="DL75" s="3"/>
      <c r="DM75" s="3"/>
      <c r="DN75" s="17"/>
      <c r="DO75" s="3"/>
      <c r="DP75" s="3"/>
      <c r="DQ75" s="16"/>
      <c r="DR75" s="3"/>
      <c r="DS75" s="17"/>
      <c r="DT75" s="3"/>
      <c r="DU75" s="3"/>
      <c r="DV75" s="16"/>
      <c r="DW75" s="3"/>
      <c r="DX75" s="17"/>
      <c r="DY75" s="3"/>
      <c r="DZ75" s="3"/>
      <c r="EA75" s="3"/>
      <c r="EB75" s="3"/>
      <c r="EC75" s="17"/>
      <c r="ED75" s="3"/>
      <c r="EE75" s="3"/>
      <c r="EF75" s="16"/>
      <c r="EG75" s="3"/>
      <c r="EH75" s="17"/>
      <c r="EI75" s="3"/>
      <c r="EJ75" s="3"/>
      <c r="EK75" s="16"/>
      <c r="EL75" s="3"/>
      <c r="EM75" s="17"/>
      <c r="EN75" s="3"/>
      <c r="EO75" s="3"/>
      <c r="EP75" s="3"/>
      <c r="EQ75" s="3"/>
      <c r="ER75" s="17"/>
      <c r="ES75" s="3"/>
      <c r="ET75" s="3"/>
      <c r="EU75" s="16"/>
      <c r="EV75" s="3"/>
      <c r="EW75" s="17"/>
      <c r="EX75" s="3"/>
    </row>
    <row r="76" spans="20:154" s="25" customFormat="1" x14ac:dyDescent="0.25">
      <c r="T76" s="3"/>
      <c r="U76" s="16"/>
      <c r="V76" s="3"/>
      <c r="W76" s="17"/>
      <c r="X76" s="3"/>
      <c r="Y76" s="3"/>
      <c r="Z76" s="3"/>
      <c r="AA76" s="3"/>
      <c r="AB76" s="17"/>
      <c r="AC76" s="3"/>
      <c r="AD76" s="3"/>
      <c r="AE76" s="16"/>
      <c r="AF76" s="3"/>
      <c r="AG76" s="17"/>
      <c r="AH76" s="3"/>
      <c r="AI76" s="3"/>
      <c r="AJ76" s="16"/>
      <c r="AK76" s="3"/>
      <c r="AL76" s="17"/>
      <c r="AM76" s="3"/>
      <c r="AN76" s="3"/>
      <c r="AO76" s="3"/>
      <c r="AP76" s="3"/>
      <c r="AQ76" s="17"/>
      <c r="AR76" s="3"/>
      <c r="AS76" s="3"/>
      <c r="AT76" s="16"/>
      <c r="AU76" s="3"/>
      <c r="AV76" s="17"/>
      <c r="AW76" s="3"/>
      <c r="AX76" s="3"/>
      <c r="AY76" s="16"/>
      <c r="AZ76" s="3"/>
      <c r="BA76" s="17"/>
      <c r="BB76" s="3"/>
      <c r="BC76" s="3"/>
      <c r="BD76" s="3"/>
      <c r="BE76" s="3"/>
      <c r="BF76" s="17"/>
      <c r="BG76" s="3"/>
      <c r="BH76" s="3"/>
      <c r="BI76" s="16"/>
      <c r="BJ76" s="3"/>
      <c r="BK76" s="17"/>
      <c r="BL76" s="3"/>
      <c r="BM76" s="3"/>
      <c r="BN76" s="16"/>
      <c r="BO76" s="3"/>
      <c r="BP76" s="17"/>
      <c r="BQ76" s="3"/>
      <c r="BR76" s="3"/>
      <c r="BS76" s="3"/>
      <c r="BT76" s="3"/>
      <c r="BU76" s="17"/>
      <c r="BV76" s="3"/>
      <c r="BW76" s="3"/>
      <c r="BX76" s="16"/>
      <c r="BY76" s="3"/>
      <c r="BZ76" s="17"/>
      <c r="CA76" s="3"/>
      <c r="CB76" s="3"/>
      <c r="CC76" s="16"/>
      <c r="CD76" s="3"/>
      <c r="CE76" s="17"/>
      <c r="CF76" s="3"/>
      <c r="CG76" s="18"/>
      <c r="CH76" s="18"/>
      <c r="CI76" s="18"/>
      <c r="CJ76" s="17"/>
      <c r="CK76" s="18"/>
      <c r="CL76" s="3"/>
      <c r="CM76" s="16"/>
      <c r="CN76" s="3"/>
      <c r="CO76" s="17"/>
      <c r="CP76" s="3"/>
      <c r="CQ76" s="3"/>
      <c r="CR76" s="16"/>
      <c r="CS76" s="3"/>
      <c r="CT76" s="17"/>
      <c r="CU76" s="3"/>
      <c r="CV76" s="3"/>
      <c r="CW76" s="3"/>
      <c r="CX76" s="3"/>
      <c r="CY76" s="17"/>
      <c r="CZ76" s="3"/>
      <c r="DA76" s="3"/>
      <c r="DB76" s="16"/>
      <c r="DC76" s="3"/>
      <c r="DD76" s="17"/>
      <c r="DE76" s="3"/>
      <c r="DF76" s="3"/>
      <c r="DG76" s="16"/>
      <c r="DH76" s="3"/>
      <c r="DI76" s="17"/>
      <c r="DJ76" s="3"/>
      <c r="DK76" s="3"/>
      <c r="DL76" s="3"/>
      <c r="DM76" s="3"/>
      <c r="DN76" s="17"/>
      <c r="DO76" s="3"/>
      <c r="DP76" s="3"/>
      <c r="DQ76" s="16"/>
      <c r="DR76" s="3"/>
      <c r="DS76" s="17"/>
      <c r="DT76" s="3"/>
      <c r="DU76" s="3"/>
      <c r="DV76" s="16"/>
      <c r="DW76" s="3"/>
      <c r="DX76" s="17"/>
      <c r="DY76" s="3"/>
      <c r="DZ76" s="3"/>
      <c r="EA76" s="3"/>
      <c r="EB76" s="3"/>
      <c r="EC76" s="17"/>
      <c r="ED76" s="3"/>
      <c r="EE76" s="3"/>
      <c r="EF76" s="16"/>
      <c r="EG76" s="3"/>
      <c r="EH76" s="17"/>
      <c r="EI76" s="3"/>
      <c r="EJ76" s="3"/>
      <c r="EK76" s="16"/>
      <c r="EL76" s="3"/>
      <c r="EM76" s="17"/>
      <c r="EN76" s="3"/>
      <c r="EO76" s="3"/>
      <c r="EP76" s="3"/>
      <c r="EQ76" s="3"/>
      <c r="ER76" s="17"/>
      <c r="ES76" s="3"/>
      <c r="ET76" s="3"/>
      <c r="EU76" s="16"/>
      <c r="EV76" s="3"/>
      <c r="EW76" s="17"/>
      <c r="EX76" s="3"/>
    </row>
    <row r="77" spans="20:154" s="25" customFormat="1" x14ac:dyDescent="0.25">
      <c r="T77" s="3"/>
      <c r="U77" s="16"/>
      <c r="V77" s="3"/>
      <c r="W77" s="17"/>
      <c r="X77" s="3"/>
      <c r="Y77" s="3"/>
      <c r="Z77" s="3"/>
      <c r="AA77" s="3"/>
      <c r="AB77" s="17"/>
      <c r="AC77" s="3"/>
      <c r="AD77" s="3"/>
      <c r="AE77" s="16"/>
      <c r="AF77" s="3"/>
      <c r="AG77" s="17"/>
      <c r="AH77" s="3"/>
      <c r="AI77" s="3"/>
      <c r="AJ77" s="16"/>
      <c r="AK77" s="3"/>
      <c r="AL77" s="17"/>
      <c r="AM77" s="3"/>
      <c r="AN77" s="3"/>
      <c r="AO77" s="3"/>
      <c r="AP77" s="3"/>
      <c r="AQ77" s="17"/>
      <c r="AR77" s="3"/>
      <c r="AS77" s="3"/>
      <c r="AT77" s="16"/>
      <c r="AU77" s="3"/>
      <c r="AV77" s="17"/>
      <c r="AW77" s="3"/>
      <c r="AX77" s="3"/>
      <c r="AY77" s="16"/>
      <c r="AZ77" s="3"/>
      <c r="BA77" s="17"/>
      <c r="BB77" s="3"/>
      <c r="BC77" s="3"/>
      <c r="BD77" s="3"/>
      <c r="BE77" s="3"/>
      <c r="BF77" s="17"/>
      <c r="BG77" s="3"/>
      <c r="BH77" s="3"/>
      <c r="BI77" s="16"/>
      <c r="BJ77" s="3"/>
      <c r="BK77" s="17"/>
      <c r="BL77" s="3"/>
      <c r="BM77" s="3"/>
      <c r="BN77" s="16"/>
      <c r="BO77" s="3"/>
      <c r="BP77" s="17"/>
      <c r="BQ77" s="3"/>
      <c r="BR77" s="3"/>
      <c r="BS77" s="3"/>
      <c r="BT77" s="3"/>
      <c r="BU77" s="17"/>
      <c r="BV77" s="3"/>
      <c r="BW77" s="3"/>
      <c r="BX77" s="16"/>
      <c r="BY77" s="3"/>
      <c r="BZ77" s="17"/>
      <c r="CA77" s="3"/>
      <c r="CB77" s="3"/>
      <c r="CC77" s="16"/>
      <c r="CD77" s="3"/>
      <c r="CE77" s="17"/>
      <c r="CF77" s="3"/>
      <c r="CG77" s="18"/>
      <c r="CH77" s="18"/>
      <c r="CI77" s="18"/>
      <c r="CJ77" s="17"/>
      <c r="CK77" s="18"/>
      <c r="CL77" s="3"/>
      <c r="CM77" s="16"/>
      <c r="CN77" s="3"/>
      <c r="CO77" s="17"/>
      <c r="CP77" s="3"/>
      <c r="CQ77" s="3"/>
      <c r="CR77" s="16"/>
      <c r="CS77" s="3"/>
      <c r="CT77" s="17"/>
      <c r="CU77" s="3"/>
      <c r="CV77" s="3"/>
      <c r="CW77" s="3"/>
      <c r="CX77" s="3"/>
      <c r="CY77" s="17"/>
      <c r="CZ77" s="3"/>
      <c r="DA77" s="3"/>
      <c r="DB77" s="16"/>
      <c r="DC77" s="3"/>
      <c r="DD77" s="17"/>
      <c r="DE77" s="3"/>
      <c r="DF77" s="3"/>
      <c r="DG77" s="16"/>
      <c r="DH77" s="3"/>
      <c r="DI77" s="17"/>
      <c r="DJ77" s="3"/>
      <c r="DK77" s="3"/>
      <c r="DL77" s="3"/>
      <c r="DM77" s="3"/>
      <c r="DN77" s="17"/>
      <c r="DO77" s="3"/>
      <c r="DP77" s="3"/>
      <c r="DQ77" s="16"/>
      <c r="DR77" s="3"/>
      <c r="DS77" s="17"/>
      <c r="DT77" s="3"/>
      <c r="DU77" s="3"/>
      <c r="DV77" s="16"/>
      <c r="DW77" s="3"/>
      <c r="DX77" s="17"/>
      <c r="DY77" s="3"/>
      <c r="DZ77" s="3"/>
      <c r="EA77" s="3"/>
      <c r="EB77" s="3"/>
      <c r="EC77" s="17"/>
      <c r="ED77" s="3"/>
      <c r="EE77" s="3"/>
      <c r="EF77" s="16"/>
      <c r="EG77" s="3"/>
      <c r="EH77" s="17"/>
      <c r="EI77" s="3"/>
      <c r="EJ77" s="3"/>
      <c r="EK77" s="16"/>
      <c r="EL77" s="3"/>
      <c r="EM77" s="17"/>
      <c r="EN77" s="3"/>
      <c r="EO77" s="3"/>
      <c r="EP77" s="3"/>
      <c r="EQ77" s="3"/>
      <c r="ER77" s="17"/>
      <c r="ES77" s="3"/>
      <c r="ET77" s="3"/>
      <c r="EU77" s="16"/>
      <c r="EV77" s="3"/>
      <c r="EW77" s="17"/>
      <c r="EX77" s="3"/>
    </row>
    <row r="78" spans="20:154" s="25" customFormat="1" x14ac:dyDescent="0.25">
      <c r="T78" s="3"/>
      <c r="U78" s="16"/>
      <c r="V78" s="3"/>
      <c r="W78" s="17"/>
      <c r="X78" s="3"/>
      <c r="Y78" s="3"/>
      <c r="Z78" s="3"/>
      <c r="AA78" s="3"/>
      <c r="AB78" s="17"/>
      <c r="AC78" s="3"/>
      <c r="AD78" s="3"/>
      <c r="AE78" s="16"/>
      <c r="AF78" s="3"/>
      <c r="AG78" s="17"/>
      <c r="AH78" s="3"/>
      <c r="AI78" s="3"/>
      <c r="AJ78" s="16"/>
      <c r="AK78" s="3"/>
      <c r="AL78" s="17"/>
      <c r="AM78" s="3"/>
      <c r="AN78" s="3"/>
      <c r="AO78" s="3"/>
      <c r="AP78" s="3"/>
      <c r="AQ78" s="17"/>
      <c r="AR78" s="3"/>
      <c r="AS78" s="3"/>
      <c r="AT78" s="16"/>
      <c r="AU78" s="3"/>
      <c r="AV78" s="17"/>
      <c r="AW78" s="3"/>
      <c r="AX78" s="3"/>
      <c r="AY78" s="16"/>
      <c r="AZ78" s="3"/>
      <c r="BA78" s="17"/>
      <c r="BB78" s="3"/>
      <c r="BC78" s="3"/>
      <c r="BD78" s="3"/>
      <c r="BE78" s="3"/>
      <c r="BF78" s="17"/>
      <c r="BG78" s="3"/>
      <c r="BH78" s="3"/>
      <c r="BI78" s="16"/>
      <c r="BJ78" s="3"/>
      <c r="BK78" s="17"/>
      <c r="BL78" s="3"/>
      <c r="BM78" s="3"/>
      <c r="BN78" s="16"/>
      <c r="BO78" s="3"/>
      <c r="BP78" s="17"/>
      <c r="BQ78" s="3"/>
      <c r="BR78" s="3"/>
      <c r="BS78" s="3"/>
      <c r="BT78" s="3"/>
      <c r="BU78" s="17"/>
      <c r="BV78" s="3"/>
      <c r="BW78" s="3"/>
      <c r="BX78" s="16"/>
      <c r="BY78" s="3"/>
      <c r="BZ78" s="17"/>
      <c r="CA78" s="3"/>
      <c r="CB78" s="3"/>
      <c r="CC78" s="16"/>
      <c r="CD78" s="3"/>
      <c r="CE78" s="17"/>
      <c r="CF78" s="3"/>
      <c r="CG78" s="18"/>
      <c r="CH78" s="18"/>
      <c r="CI78" s="18"/>
      <c r="CJ78" s="17"/>
      <c r="CK78" s="18"/>
      <c r="CL78" s="3"/>
      <c r="CM78" s="16"/>
      <c r="CN78" s="3"/>
      <c r="CO78" s="17"/>
      <c r="CP78" s="3"/>
      <c r="CQ78" s="3"/>
      <c r="CR78" s="16"/>
      <c r="CS78" s="3"/>
      <c r="CT78" s="17"/>
      <c r="CU78" s="3"/>
      <c r="CV78" s="3"/>
      <c r="CW78" s="3"/>
      <c r="CX78" s="3"/>
      <c r="CY78" s="17"/>
      <c r="CZ78" s="3"/>
      <c r="DA78" s="3"/>
      <c r="DB78" s="16"/>
      <c r="DC78" s="3"/>
      <c r="DD78" s="17"/>
      <c r="DE78" s="3"/>
      <c r="DF78" s="3"/>
      <c r="DG78" s="16"/>
      <c r="DH78" s="3"/>
      <c r="DI78" s="17"/>
      <c r="DJ78" s="3"/>
      <c r="DK78" s="3"/>
      <c r="DL78" s="3"/>
      <c r="DM78" s="3"/>
      <c r="DN78" s="17"/>
      <c r="DO78" s="3"/>
      <c r="DP78" s="3"/>
      <c r="DQ78" s="16"/>
      <c r="DR78" s="3"/>
      <c r="DS78" s="17"/>
      <c r="DT78" s="3"/>
      <c r="DU78" s="3"/>
      <c r="DV78" s="16"/>
      <c r="DW78" s="3"/>
      <c r="DX78" s="17"/>
      <c r="DY78" s="3"/>
      <c r="DZ78" s="3"/>
      <c r="EA78" s="3"/>
      <c r="EB78" s="3"/>
      <c r="EC78" s="17"/>
      <c r="ED78" s="3"/>
      <c r="EE78" s="3"/>
      <c r="EF78" s="16"/>
      <c r="EG78" s="3"/>
      <c r="EH78" s="17"/>
      <c r="EI78" s="3"/>
      <c r="EJ78" s="3"/>
      <c r="EK78" s="16"/>
      <c r="EL78" s="3"/>
      <c r="EM78" s="17"/>
      <c r="EN78" s="3"/>
      <c r="EO78" s="3"/>
      <c r="EP78" s="3"/>
      <c r="EQ78" s="3"/>
      <c r="ER78" s="17"/>
      <c r="ES78" s="3"/>
      <c r="ET78" s="3"/>
      <c r="EU78" s="16"/>
      <c r="EV78" s="3"/>
      <c r="EW78" s="17"/>
      <c r="EX78" s="3"/>
    </row>
    <row r="79" spans="20:154" s="25" customFormat="1" x14ac:dyDescent="0.25">
      <c r="T79" s="3"/>
      <c r="U79" s="16"/>
      <c r="V79" s="3"/>
      <c r="W79" s="17"/>
      <c r="X79" s="3"/>
      <c r="Y79" s="3"/>
      <c r="Z79" s="3"/>
      <c r="AA79" s="3"/>
      <c r="AB79" s="17"/>
      <c r="AC79" s="3"/>
      <c r="AD79" s="3"/>
      <c r="AE79" s="16"/>
      <c r="AF79" s="3"/>
      <c r="AG79" s="17"/>
      <c r="AH79" s="3"/>
      <c r="AI79" s="3"/>
      <c r="AJ79" s="16"/>
      <c r="AK79" s="3"/>
      <c r="AL79" s="17"/>
      <c r="AM79" s="3"/>
      <c r="AN79" s="3"/>
      <c r="AO79" s="3"/>
      <c r="AP79" s="3"/>
      <c r="AQ79" s="17"/>
      <c r="AR79" s="3"/>
      <c r="AS79" s="3"/>
      <c r="AT79" s="16"/>
      <c r="AU79" s="3"/>
      <c r="AV79" s="17"/>
      <c r="AW79" s="3"/>
      <c r="AX79" s="3"/>
      <c r="AY79" s="16"/>
      <c r="AZ79" s="3"/>
      <c r="BA79" s="17"/>
      <c r="BB79" s="3"/>
      <c r="BC79" s="3"/>
      <c r="BD79" s="3"/>
      <c r="BE79" s="3"/>
      <c r="BF79" s="17"/>
      <c r="BG79" s="3"/>
      <c r="BH79" s="3"/>
      <c r="BI79" s="16"/>
      <c r="BJ79" s="3"/>
      <c r="BK79" s="17"/>
      <c r="BL79" s="3"/>
      <c r="BM79" s="3"/>
      <c r="BN79" s="16"/>
      <c r="BO79" s="3"/>
      <c r="BP79" s="17"/>
      <c r="BQ79" s="3"/>
      <c r="BR79" s="3"/>
      <c r="BS79" s="3"/>
      <c r="BT79" s="3"/>
      <c r="BU79" s="17"/>
      <c r="BV79" s="3"/>
      <c r="BW79" s="3"/>
      <c r="BX79" s="16"/>
      <c r="BY79" s="3"/>
      <c r="BZ79" s="17"/>
      <c r="CA79" s="3"/>
      <c r="CB79" s="3"/>
      <c r="CC79" s="16"/>
      <c r="CD79" s="3"/>
      <c r="CE79" s="17"/>
      <c r="CF79" s="3"/>
      <c r="CG79" s="18"/>
      <c r="CH79" s="18"/>
      <c r="CI79" s="18"/>
      <c r="CJ79" s="17"/>
      <c r="CK79" s="18"/>
      <c r="CL79" s="3"/>
      <c r="CM79" s="16"/>
      <c r="CN79" s="3"/>
      <c r="CO79" s="17"/>
      <c r="CP79" s="3"/>
      <c r="CQ79" s="3"/>
      <c r="CR79" s="16"/>
      <c r="CS79" s="3"/>
      <c r="CT79" s="17"/>
      <c r="CU79" s="3"/>
      <c r="CV79" s="3"/>
      <c r="CW79" s="3"/>
      <c r="CX79" s="3"/>
      <c r="CY79" s="17"/>
      <c r="CZ79" s="3"/>
      <c r="DA79" s="3"/>
      <c r="DB79" s="16"/>
      <c r="DC79" s="3"/>
      <c r="DD79" s="17"/>
      <c r="DE79" s="3"/>
      <c r="DF79" s="3"/>
      <c r="DG79" s="16"/>
      <c r="DH79" s="3"/>
      <c r="DI79" s="17"/>
      <c r="DJ79" s="3"/>
      <c r="DK79" s="3"/>
      <c r="DL79" s="3"/>
      <c r="DM79" s="3"/>
      <c r="DN79" s="17"/>
      <c r="DO79" s="3"/>
      <c r="DP79" s="3"/>
      <c r="DQ79" s="16"/>
      <c r="DR79" s="3"/>
      <c r="DS79" s="17"/>
      <c r="DT79" s="3"/>
      <c r="DU79" s="3"/>
      <c r="DV79" s="16"/>
      <c r="DW79" s="3"/>
      <c r="DX79" s="17"/>
      <c r="DY79" s="3"/>
      <c r="DZ79" s="3"/>
      <c r="EA79" s="3"/>
      <c r="EB79" s="3"/>
      <c r="EC79" s="17"/>
      <c r="ED79" s="3"/>
      <c r="EE79" s="3"/>
      <c r="EF79" s="16"/>
      <c r="EG79" s="3"/>
      <c r="EH79" s="17"/>
      <c r="EI79" s="3"/>
      <c r="EJ79" s="3"/>
      <c r="EK79" s="16"/>
      <c r="EL79" s="3"/>
      <c r="EM79" s="17"/>
      <c r="EN79" s="3"/>
      <c r="EO79" s="3"/>
      <c r="EP79" s="3"/>
      <c r="EQ79" s="3"/>
      <c r="ER79" s="17"/>
      <c r="ES79" s="3"/>
      <c r="ET79" s="3"/>
      <c r="EU79" s="16"/>
      <c r="EV79" s="3"/>
      <c r="EW79" s="17"/>
      <c r="EX79" s="3"/>
    </row>
    <row r="80" spans="20:154" s="25" customFormat="1" x14ac:dyDescent="0.25">
      <c r="T80" s="3"/>
      <c r="U80" s="16"/>
      <c r="V80" s="3"/>
      <c r="W80" s="17"/>
      <c r="X80" s="3"/>
      <c r="Y80" s="3"/>
      <c r="Z80" s="3"/>
      <c r="AA80" s="3"/>
      <c r="AB80" s="17"/>
      <c r="AC80" s="3"/>
      <c r="AD80" s="3"/>
      <c r="AE80" s="16"/>
      <c r="AF80" s="3"/>
      <c r="AG80" s="17"/>
      <c r="AH80" s="3"/>
      <c r="AI80" s="3"/>
      <c r="AJ80" s="16"/>
      <c r="AK80" s="3"/>
      <c r="AL80" s="17"/>
      <c r="AM80" s="3"/>
      <c r="AN80" s="3"/>
      <c r="AO80" s="3"/>
      <c r="AP80" s="3"/>
      <c r="AQ80" s="17"/>
      <c r="AR80" s="3"/>
      <c r="AS80" s="3"/>
      <c r="AT80" s="16"/>
      <c r="AU80" s="3"/>
      <c r="AV80" s="17"/>
      <c r="AW80" s="3"/>
      <c r="AX80" s="3"/>
      <c r="AY80" s="16"/>
      <c r="AZ80" s="3"/>
      <c r="BA80" s="17"/>
      <c r="BB80" s="3"/>
      <c r="BC80" s="3"/>
      <c r="BD80" s="3"/>
      <c r="BE80" s="3"/>
      <c r="BF80" s="17"/>
      <c r="BG80" s="3"/>
      <c r="BH80" s="3"/>
      <c r="BI80" s="16"/>
      <c r="BJ80" s="3"/>
      <c r="BK80" s="17"/>
      <c r="BL80" s="3"/>
      <c r="BM80" s="3"/>
      <c r="BN80" s="16"/>
      <c r="BO80" s="3"/>
      <c r="BP80" s="17"/>
      <c r="BQ80" s="3"/>
      <c r="BR80" s="3"/>
      <c r="BS80" s="3"/>
      <c r="BT80" s="3"/>
      <c r="BU80" s="17"/>
      <c r="BV80" s="3"/>
      <c r="BW80" s="3"/>
      <c r="BX80" s="16"/>
      <c r="BY80" s="3"/>
      <c r="BZ80" s="17"/>
      <c r="CA80" s="3"/>
      <c r="CB80" s="3"/>
      <c r="CC80" s="16"/>
      <c r="CD80" s="3"/>
      <c r="CE80" s="17"/>
      <c r="CF80" s="3"/>
      <c r="CG80" s="18"/>
      <c r="CH80" s="18"/>
      <c r="CI80" s="18"/>
      <c r="CJ80" s="17"/>
      <c r="CK80" s="18"/>
      <c r="CL80" s="3"/>
      <c r="CM80" s="16"/>
      <c r="CN80" s="3"/>
      <c r="CO80" s="17"/>
      <c r="CP80" s="3"/>
      <c r="CQ80" s="3"/>
      <c r="CR80" s="16"/>
      <c r="CS80" s="3"/>
      <c r="CT80" s="17"/>
      <c r="CU80" s="3"/>
      <c r="CV80" s="3"/>
      <c r="CW80" s="3"/>
      <c r="CX80" s="3"/>
      <c r="CY80" s="17"/>
      <c r="CZ80" s="3"/>
      <c r="DA80" s="3"/>
      <c r="DB80" s="16"/>
      <c r="DC80" s="3"/>
      <c r="DD80" s="17"/>
      <c r="DE80" s="3"/>
      <c r="DF80" s="3"/>
      <c r="DG80" s="16"/>
      <c r="DH80" s="3"/>
      <c r="DI80" s="17"/>
      <c r="DJ80" s="3"/>
      <c r="DK80" s="3"/>
      <c r="DL80" s="3"/>
      <c r="DM80" s="3"/>
      <c r="DN80" s="17"/>
      <c r="DO80" s="3"/>
      <c r="DP80" s="3"/>
      <c r="DQ80" s="16"/>
      <c r="DR80" s="3"/>
      <c r="DS80" s="17"/>
      <c r="DT80" s="3"/>
      <c r="DU80" s="3"/>
      <c r="DV80" s="16"/>
      <c r="DW80" s="3"/>
      <c r="DX80" s="17"/>
      <c r="DY80" s="3"/>
      <c r="DZ80" s="3"/>
      <c r="EA80" s="3"/>
      <c r="EB80" s="3"/>
      <c r="EC80" s="17"/>
      <c r="ED80" s="3"/>
      <c r="EE80" s="3"/>
      <c r="EF80" s="16"/>
      <c r="EG80" s="3"/>
      <c r="EH80" s="17"/>
      <c r="EI80" s="3"/>
      <c r="EJ80" s="3"/>
      <c r="EK80" s="16"/>
      <c r="EL80" s="3"/>
      <c r="EM80" s="17"/>
      <c r="EN80" s="3"/>
      <c r="EO80" s="3"/>
      <c r="EP80" s="3"/>
      <c r="EQ80" s="3"/>
      <c r="ER80" s="17"/>
      <c r="ES80" s="3"/>
      <c r="ET80" s="3"/>
      <c r="EU80" s="16"/>
      <c r="EV80" s="3"/>
      <c r="EW80" s="17"/>
      <c r="EX80" s="3"/>
    </row>
    <row r="81" spans="20:154" s="25" customFormat="1" x14ac:dyDescent="0.25">
      <c r="T81" s="3"/>
      <c r="U81" s="16"/>
      <c r="V81" s="3"/>
      <c r="W81" s="17"/>
      <c r="X81" s="3"/>
      <c r="Y81" s="3"/>
      <c r="Z81" s="3"/>
      <c r="AA81" s="3"/>
      <c r="AB81" s="17"/>
      <c r="AC81" s="3"/>
      <c r="AD81" s="3"/>
      <c r="AE81" s="16"/>
      <c r="AF81" s="3"/>
      <c r="AG81" s="17"/>
      <c r="AH81" s="3"/>
      <c r="AI81" s="3"/>
      <c r="AJ81" s="16"/>
      <c r="AK81" s="3"/>
      <c r="AL81" s="17"/>
      <c r="AM81" s="3"/>
      <c r="AN81" s="3"/>
      <c r="AO81" s="3"/>
      <c r="AP81" s="3"/>
      <c r="AQ81" s="17"/>
      <c r="AR81" s="3"/>
      <c r="AS81" s="3"/>
      <c r="AT81" s="16"/>
      <c r="AU81" s="3"/>
      <c r="AV81" s="17"/>
      <c r="AW81" s="3"/>
      <c r="AX81" s="3"/>
      <c r="AY81" s="16"/>
      <c r="AZ81" s="3"/>
      <c r="BA81" s="17"/>
      <c r="BB81" s="3"/>
      <c r="BC81" s="3"/>
      <c r="BD81" s="3"/>
      <c r="BE81" s="3"/>
      <c r="BF81" s="17"/>
      <c r="BG81" s="3"/>
      <c r="BH81" s="3"/>
      <c r="BI81" s="16"/>
      <c r="BJ81" s="3"/>
      <c r="BK81" s="17"/>
      <c r="BL81" s="3"/>
      <c r="BM81" s="3"/>
      <c r="BN81" s="16"/>
      <c r="BO81" s="3"/>
      <c r="BP81" s="17"/>
      <c r="BQ81" s="3"/>
      <c r="BR81" s="3"/>
      <c r="BS81" s="3"/>
      <c r="BT81" s="3"/>
      <c r="BU81" s="17"/>
      <c r="BV81" s="3"/>
      <c r="BW81" s="3"/>
      <c r="BX81" s="16"/>
      <c r="BY81" s="3"/>
      <c r="BZ81" s="17"/>
      <c r="CA81" s="3"/>
      <c r="CB81" s="3"/>
      <c r="CC81" s="16"/>
      <c r="CD81" s="3"/>
      <c r="CE81" s="17"/>
      <c r="CF81" s="3"/>
      <c r="CG81" s="18"/>
      <c r="CH81" s="18"/>
      <c r="CI81" s="18"/>
      <c r="CJ81" s="17"/>
      <c r="CK81" s="18"/>
      <c r="CL81" s="3"/>
      <c r="CM81" s="16"/>
      <c r="CN81" s="3"/>
      <c r="CO81" s="17"/>
      <c r="CP81" s="3"/>
      <c r="CQ81" s="3"/>
      <c r="CR81" s="16"/>
      <c r="CS81" s="3"/>
      <c r="CT81" s="17"/>
      <c r="CU81" s="3"/>
      <c r="CV81" s="3"/>
      <c r="CW81" s="3"/>
      <c r="CX81" s="3"/>
      <c r="CY81" s="17"/>
      <c r="CZ81" s="3"/>
      <c r="DA81" s="3"/>
      <c r="DB81" s="16"/>
      <c r="DC81" s="3"/>
      <c r="DD81" s="17"/>
      <c r="DE81" s="3"/>
      <c r="DF81" s="3"/>
      <c r="DG81" s="16"/>
      <c r="DH81" s="3"/>
      <c r="DI81" s="17"/>
      <c r="DJ81" s="3"/>
      <c r="DK81" s="3"/>
      <c r="DL81" s="3"/>
      <c r="DM81" s="3"/>
      <c r="DN81" s="17"/>
      <c r="DO81" s="3"/>
      <c r="DP81" s="3"/>
      <c r="DQ81" s="16"/>
      <c r="DR81" s="3"/>
      <c r="DS81" s="17"/>
      <c r="DT81" s="3"/>
      <c r="DU81" s="3"/>
      <c r="DV81" s="16"/>
      <c r="DW81" s="3"/>
      <c r="DX81" s="17"/>
      <c r="DY81" s="3"/>
      <c r="DZ81" s="3"/>
      <c r="EA81" s="3"/>
      <c r="EB81" s="3"/>
      <c r="EC81" s="17"/>
      <c r="ED81" s="3"/>
      <c r="EE81" s="3"/>
      <c r="EF81" s="16"/>
      <c r="EG81" s="3"/>
      <c r="EH81" s="17"/>
      <c r="EI81" s="3"/>
      <c r="EJ81" s="3"/>
      <c r="EK81" s="16"/>
      <c r="EL81" s="3"/>
      <c r="EM81" s="17"/>
      <c r="EN81" s="3"/>
      <c r="EO81" s="3"/>
      <c r="EP81" s="3"/>
      <c r="EQ81" s="3"/>
      <c r="ER81" s="17"/>
      <c r="ES81" s="3"/>
      <c r="ET81" s="3"/>
      <c r="EU81" s="16"/>
      <c r="EV81" s="3"/>
      <c r="EW81" s="17"/>
      <c r="EX81" s="3"/>
    </row>
    <row r="82" spans="20:154" s="25" customFormat="1" x14ac:dyDescent="0.25">
      <c r="T82" s="3"/>
      <c r="U82" s="16"/>
      <c r="V82" s="3"/>
      <c r="W82" s="17"/>
      <c r="X82" s="3"/>
      <c r="Y82" s="3"/>
      <c r="Z82" s="3"/>
      <c r="AA82" s="3"/>
      <c r="AB82" s="17"/>
      <c r="AC82" s="3"/>
      <c r="AD82" s="3"/>
      <c r="AE82" s="16"/>
      <c r="AF82" s="3"/>
      <c r="AG82" s="17"/>
      <c r="AH82" s="3"/>
      <c r="AI82" s="3"/>
      <c r="AJ82" s="16"/>
      <c r="AK82" s="3"/>
      <c r="AL82" s="17"/>
      <c r="AM82" s="3"/>
      <c r="AN82" s="3"/>
      <c r="AO82" s="3"/>
      <c r="AP82" s="3"/>
      <c r="AQ82" s="17"/>
      <c r="AR82" s="3"/>
      <c r="AS82" s="3"/>
      <c r="AT82" s="16"/>
      <c r="AU82" s="3"/>
      <c r="AV82" s="17"/>
      <c r="AW82" s="3"/>
      <c r="AX82" s="3"/>
      <c r="AY82" s="16"/>
      <c r="AZ82" s="3"/>
      <c r="BA82" s="17"/>
      <c r="BB82" s="3"/>
      <c r="BC82" s="3"/>
      <c r="BD82" s="3"/>
      <c r="BE82" s="3"/>
      <c r="BF82" s="17"/>
      <c r="BG82" s="3"/>
      <c r="BH82" s="3"/>
      <c r="BI82" s="16"/>
      <c r="BJ82" s="3"/>
      <c r="BK82" s="17"/>
      <c r="BL82" s="3"/>
      <c r="BM82" s="3"/>
      <c r="BN82" s="16"/>
      <c r="BO82" s="3"/>
      <c r="BP82" s="17"/>
      <c r="BQ82" s="3"/>
      <c r="BR82" s="3"/>
      <c r="BS82" s="3"/>
      <c r="BT82" s="3"/>
      <c r="BU82" s="17"/>
      <c r="BV82" s="3"/>
      <c r="BW82" s="3"/>
      <c r="BX82" s="16"/>
      <c r="BY82" s="3"/>
      <c r="BZ82" s="17"/>
      <c r="CA82" s="3"/>
      <c r="CB82" s="3"/>
      <c r="CC82" s="16"/>
      <c r="CD82" s="3"/>
      <c r="CE82" s="17"/>
      <c r="CF82" s="3"/>
      <c r="CG82" s="18"/>
      <c r="CH82" s="18"/>
      <c r="CI82" s="18"/>
      <c r="CJ82" s="17"/>
      <c r="CK82" s="18"/>
      <c r="CL82" s="3"/>
      <c r="CM82" s="16"/>
      <c r="CN82" s="3"/>
      <c r="CO82" s="17"/>
      <c r="CP82" s="3"/>
      <c r="CQ82" s="3"/>
      <c r="CR82" s="16"/>
      <c r="CS82" s="3"/>
      <c r="CT82" s="17"/>
      <c r="CU82" s="3"/>
      <c r="CV82" s="3"/>
      <c r="CW82" s="3"/>
      <c r="CX82" s="3"/>
      <c r="CY82" s="17"/>
      <c r="CZ82" s="3"/>
      <c r="DA82" s="3"/>
      <c r="DB82" s="16"/>
      <c r="DC82" s="3"/>
      <c r="DD82" s="17"/>
      <c r="DE82" s="3"/>
      <c r="DF82" s="3"/>
      <c r="DG82" s="16"/>
      <c r="DH82" s="3"/>
      <c r="DI82" s="17"/>
      <c r="DJ82" s="3"/>
      <c r="DK82" s="3"/>
      <c r="DL82" s="3"/>
      <c r="DM82" s="3"/>
      <c r="DN82" s="17"/>
      <c r="DO82" s="3"/>
      <c r="DP82" s="3"/>
      <c r="DQ82" s="16"/>
      <c r="DR82" s="3"/>
      <c r="DS82" s="17"/>
      <c r="DT82" s="3"/>
      <c r="DU82" s="3"/>
      <c r="DV82" s="16"/>
      <c r="DW82" s="3"/>
      <c r="DX82" s="17"/>
      <c r="DY82" s="3"/>
      <c r="DZ82" s="3"/>
      <c r="EA82" s="3"/>
      <c r="EB82" s="3"/>
      <c r="EC82" s="17"/>
      <c r="ED82" s="3"/>
      <c r="EE82" s="3"/>
      <c r="EF82" s="16"/>
      <c r="EG82" s="3"/>
      <c r="EH82" s="17"/>
      <c r="EI82" s="3"/>
      <c r="EJ82" s="3"/>
      <c r="EK82" s="16"/>
      <c r="EL82" s="3"/>
      <c r="EM82" s="17"/>
      <c r="EN82" s="3"/>
      <c r="EO82" s="3"/>
      <c r="EP82" s="3"/>
      <c r="EQ82" s="3"/>
      <c r="ER82" s="17"/>
      <c r="ES82" s="3"/>
      <c r="ET82" s="3"/>
      <c r="EU82" s="16"/>
      <c r="EV82" s="3"/>
      <c r="EW82" s="17"/>
      <c r="EX82" s="3"/>
    </row>
    <row r="83" spans="20:154" s="25" customFormat="1" x14ac:dyDescent="0.25">
      <c r="T83" s="3"/>
      <c r="U83" s="16"/>
      <c r="V83" s="3"/>
      <c r="W83" s="17"/>
      <c r="X83" s="3"/>
      <c r="Y83" s="3"/>
      <c r="Z83" s="3"/>
      <c r="AA83" s="3"/>
      <c r="AB83" s="17"/>
      <c r="AC83" s="3"/>
      <c r="AD83" s="3"/>
      <c r="AE83" s="16"/>
      <c r="AF83" s="3"/>
      <c r="AG83" s="17"/>
      <c r="AH83" s="3"/>
      <c r="AI83" s="3"/>
      <c r="AJ83" s="16"/>
      <c r="AK83" s="3"/>
      <c r="AL83" s="17"/>
      <c r="AM83" s="3"/>
      <c r="AN83" s="3"/>
      <c r="AO83" s="3"/>
      <c r="AP83" s="3"/>
      <c r="AQ83" s="17"/>
      <c r="AR83" s="3"/>
      <c r="AS83" s="3"/>
      <c r="AT83" s="16"/>
      <c r="AU83" s="3"/>
      <c r="AV83" s="17"/>
      <c r="AW83" s="3"/>
      <c r="AX83" s="3"/>
      <c r="AY83" s="16"/>
      <c r="AZ83" s="3"/>
      <c r="BA83" s="17"/>
      <c r="BB83" s="3"/>
      <c r="BC83" s="3"/>
      <c r="BD83" s="3"/>
      <c r="BE83" s="3"/>
      <c r="BF83" s="17"/>
      <c r="BG83" s="3"/>
      <c r="BH83" s="3"/>
      <c r="BI83" s="16"/>
      <c r="BJ83" s="3"/>
      <c r="BK83" s="17"/>
      <c r="BL83" s="3"/>
      <c r="BM83" s="3"/>
      <c r="BN83" s="16"/>
      <c r="BO83" s="3"/>
      <c r="BP83" s="17"/>
      <c r="BQ83" s="3"/>
      <c r="BR83" s="3"/>
      <c r="BS83" s="3"/>
      <c r="BT83" s="3"/>
      <c r="BU83" s="17"/>
      <c r="BV83" s="3"/>
      <c r="BW83" s="3"/>
      <c r="BX83" s="16"/>
      <c r="BY83" s="3"/>
      <c r="BZ83" s="17"/>
      <c r="CA83" s="3"/>
      <c r="CB83" s="3"/>
      <c r="CC83" s="16"/>
      <c r="CD83" s="3"/>
      <c r="CE83" s="17"/>
      <c r="CF83" s="3"/>
      <c r="CG83" s="18"/>
      <c r="CH83" s="18"/>
      <c r="CI83" s="18"/>
      <c r="CJ83" s="17"/>
      <c r="CK83" s="18"/>
      <c r="CL83" s="3"/>
      <c r="CM83" s="16"/>
      <c r="CN83" s="3"/>
      <c r="CO83" s="17"/>
      <c r="CP83" s="3"/>
      <c r="CQ83" s="3"/>
      <c r="CR83" s="16"/>
      <c r="CS83" s="3"/>
      <c r="CT83" s="17"/>
      <c r="CU83" s="3"/>
      <c r="CV83" s="3"/>
      <c r="CW83" s="3"/>
      <c r="CX83" s="3"/>
      <c r="CY83" s="17"/>
      <c r="CZ83" s="3"/>
      <c r="DA83" s="3"/>
      <c r="DB83" s="16"/>
      <c r="DC83" s="3"/>
      <c r="DD83" s="17"/>
      <c r="DE83" s="3"/>
      <c r="DF83" s="3"/>
      <c r="DG83" s="16"/>
      <c r="DH83" s="3"/>
      <c r="DI83" s="17"/>
      <c r="DJ83" s="3"/>
      <c r="DK83" s="3"/>
      <c r="DL83" s="3"/>
      <c r="DM83" s="3"/>
      <c r="DN83" s="17"/>
      <c r="DO83" s="3"/>
      <c r="DP83" s="3"/>
      <c r="DQ83" s="16"/>
      <c r="DR83" s="3"/>
      <c r="DS83" s="17"/>
      <c r="DT83" s="3"/>
      <c r="DU83" s="3"/>
      <c r="DV83" s="16"/>
      <c r="DW83" s="3"/>
      <c r="DX83" s="17"/>
      <c r="DY83" s="3"/>
      <c r="DZ83" s="3"/>
      <c r="EA83" s="3"/>
      <c r="EB83" s="3"/>
      <c r="EC83" s="17"/>
      <c r="ED83" s="3"/>
      <c r="EE83" s="3"/>
      <c r="EF83" s="16"/>
      <c r="EG83" s="3"/>
      <c r="EH83" s="17"/>
      <c r="EI83" s="3"/>
      <c r="EJ83" s="3"/>
      <c r="EK83" s="16"/>
      <c r="EL83" s="3"/>
      <c r="EM83" s="17"/>
      <c r="EN83" s="3"/>
      <c r="EO83" s="3"/>
      <c r="EP83" s="3"/>
      <c r="EQ83" s="3"/>
      <c r="ER83" s="17"/>
      <c r="ES83" s="3"/>
      <c r="ET83" s="3"/>
      <c r="EU83" s="16"/>
      <c r="EV83" s="3"/>
      <c r="EW83" s="17"/>
      <c r="EX83" s="3"/>
    </row>
    <row r="84" spans="20:154" s="25" customFormat="1" x14ac:dyDescent="0.25">
      <c r="T84" s="3"/>
      <c r="U84" s="16"/>
      <c r="V84" s="3"/>
      <c r="W84" s="17"/>
      <c r="X84" s="3"/>
      <c r="Y84" s="3"/>
      <c r="Z84" s="3"/>
      <c r="AA84" s="3"/>
      <c r="AB84" s="17"/>
      <c r="AC84" s="3"/>
      <c r="AD84" s="3"/>
      <c r="AE84" s="16"/>
      <c r="AF84" s="3"/>
      <c r="AG84" s="17"/>
      <c r="AH84" s="3"/>
      <c r="AI84" s="3"/>
      <c r="AJ84" s="16"/>
      <c r="AK84" s="3"/>
      <c r="AL84" s="17"/>
      <c r="AM84" s="3"/>
      <c r="AN84" s="3"/>
      <c r="AO84" s="3"/>
      <c r="AP84" s="3"/>
      <c r="AQ84" s="17"/>
      <c r="AR84" s="3"/>
      <c r="AS84" s="3"/>
      <c r="AT84" s="16"/>
      <c r="AU84" s="3"/>
      <c r="AV84" s="17"/>
      <c r="AW84" s="3"/>
      <c r="AX84" s="3"/>
      <c r="AY84" s="16"/>
      <c r="AZ84" s="3"/>
      <c r="BA84" s="17"/>
      <c r="BB84" s="3"/>
      <c r="BC84" s="3"/>
      <c r="BD84" s="3"/>
      <c r="BE84" s="3"/>
      <c r="BF84" s="17"/>
      <c r="BG84" s="3"/>
      <c r="BH84" s="3"/>
      <c r="BI84" s="16"/>
      <c r="BJ84" s="3"/>
      <c r="BK84" s="17"/>
      <c r="BL84" s="3"/>
      <c r="BM84" s="3"/>
      <c r="BN84" s="16"/>
      <c r="BO84" s="3"/>
      <c r="BP84" s="17"/>
      <c r="BQ84" s="3"/>
      <c r="BR84" s="3"/>
      <c r="BS84" s="3"/>
      <c r="BT84" s="3"/>
      <c r="BU84" s="17"/>
      <c r="BV84" s="3"/>
      <c r="BW84" s="3"/>
      <c r="BX84" s="16"/>
      <c r="BY84" s="3"/>
      <c r="BZ84" s="17"/>
      <c r="CA84" s="3"/>
      <c r="CB84" s="3"/>
      <c r="CC84" s="16"/>
      <c r="CD84" s="3"/>
      <c r="CE84" s="17"/>
      <c r="CF84" s="3"/>
      <c r="CG84" s="18"/>
      <c r="CH84" s="18"/>
      <c r="CI84" s="18"/>
      <c r="CJ84" s="17"/>
      <c r="CK84" s="18"/>
      <c r="CL84" s="3"/>
      <c r="CM84" s="16"/>
      <c r="CN84" s="3"/>
      <c r="CO84" s="17"/>
      <c r="CP84" s="3"/>
      <c r="CQ84" s="3"/>
      <c r="CR84" s="16"/>
      <c r="CS84" s="3"/>
      <c r="CT84" s="17"/>
      <c r="CU84" s="3"/>
      <c r="CV84" s="3"/>
      <c r="CW84" s="3"/>
      <c r="CX84" s="3"/>
      <c r="CY84" s="17"/>
      <c r="CZ84" s="3"/>
      <c r="DA84" s="3"/>
      <c r="DB84" s="16"/>
      <c r="DC84" s="3"/>
      <c r="DD84" s="17"/>
      <c r="DE84" s="3"/>
      <c r="DF84" s="3"/>
      <c r="DG84" s="16"/>
      <c r="DH84" s="3"/>
      <c r="DI84" s="17"/>
      <c r="DJ84" s="3"/>
      <c r="DK84" s="3"/>
      <c r="DL84" s="3"/>
      <c r="DM84" s="3"/>
      <c r="DN84" s="17"/>
      <c r="DO84" s="3"/>
      <c r="DP84" s="3"/>
      <c r="DQ84" s="16"/>
      <c r="DR84" s="3"/>
      <c r="DS84" s="17"/>
      <c r="DT84" s="3"/>
      <c r="DU84" s="3"/>
      <c r="DV84" s="16"/>
      <c r="DW84" s="3"/>
      <c r="DX84" s="17"/>
      <c r="DY84" s="3"/>
      <c r="DZ84" s="3"/>
      <c r="EA84" s="3"/>
      <c r="EB84" s="3"/>
      <c r="EC84" s="17"/>
      <c r="ED84" s="3"/>
      <c r="EE84" s="3"/>
      <c r="EF84" s="16"/>
      <c r="EG84" s="3"/>
      <c r="EH84" s="17"/>
      <c r="EI84" s="3"/>
      <c r="EJ84" s="3"/>
      <c r="EK84" s="16"/>
      <c r="EL84" s="3"/>
      <c r="EM84" s="17"/>
      <c r="EN84" s="3"/>
      <c r="EO84" s="3"/>
      <c r="EP84" s="3"/>
      <c r="EQ84" s="3"/>
      <c r="ER84" s="17"/>
      <c r="ES84" s="3"/>
      <c r="ET84" s="3"/>
      <c r="EU84" s="16"/>
      <c r="EV84" s="3"/>
      <c r="EW84" s="17"/>
      <c r="EX84" s="3"/>
    </row>
    <row r="85" spans="20:154" s="25" customFormat="1" x14ac:dyDescent="0.25">
      <c r="T85" s="3"/>
      <c r="U85" s="16"/>
      <c r="V85" s="3"/>
      <c r="W85" s="17"/>
      <c r="X85" s="3"/>
      <c r="Y85" s="3"/>
      <c r="Z85" s="3"/>
      <c r="AA85" s="3"/>
      <c r="AB85" s="17"/>
      <c r="AC85" s="3"/>
      <c r="AD85" s="3"/>
      <c r="AE85" s="16"/>
      <c r="AF85" s="3"/>
      <c r="AG85" s="17"/>
      <c r="AH85" s="3"/>
      <c r="AI85" s="3"/>
      <c r="AJ85" s="16"/>
      <c r="AK85" s="3"/>
      <c r="AL85" s="17"/>
      <c r="AM85" s="3"/>
      <c r="AN85" s="3"/>
      <c r="AO85" s="3"/>
      <c r="AP85" s="3"/>
      <c r="AQ85" s="17"/>
      <c r="AR85" s="3"/>
      <c r="AS85" s="3"/>
      <c r="AT85" s="16"/>
      <c r="AU85" s="3"/>
      <c r="AV85" s="17"/>
      <c r="AW85" s="3"/>
      <c r="AX85" s="3"/>
      <c r="AY85" s="16"/>
      <c r="AZ85" s="3"/>
      <c r="BA85" s="17"/>
      <c r="BB85" s="3"/>
      <c r="BC85" s="3"/>
      <c r="BD85" s="3"/>
      <c r="BE85" s="3"/>
      <c r="BF85" s="17"/>
      <c r="BG85" s="3"/>
      <c r="BH85" s="3"/>
      <c r="BI85" s="16"/>
      <c r="BJ85" s="3"/>
      <c r="BK85" s="17"/>
      <c r="BL85" s="3"/>
      <c r="BM85" s="3"/>
      <c r="BN85" s="16"/>
      <c r="BO85" s="3"/>
      <c r="BP85" s="17"/>
      <c r="BQ85" s="3"/>
      <c r="BR85" s="3"/>
      <c r="BS85" s="3"/>
      <c r="BT85" s="3"/>
      <c r="BU85" s="17"/>
      <c r="BV85" s="3"/>
      <c r="BW85" s="3"/>
      <c r="BX85" s="16"/>
      <c r="BY85" s="3"/>
      <c r="BZ85" s="17"/>
      <c r="CA85" s="3"/>
      <c r="CB85" s="3"/>
      <c r="CC85" s="16"/>
      <c r="CD85" s="3"/>
      <c r="CE85" s="17"/>
      <c r="CF85" s="3"/>
      <c r="CG85" s="18"/>
      <c r="CH85" s="18"/>
      <c r="CI85" s="18"/>
      <c r="CJ85" s="17"/>
      <c r="CK85" s="18"/>
      <c r="CL85" s="3"/>
      <c r="CM85" s="16"/>
      <c r="CN85" s="3"/>
      <c r="CO85" s="17"/>
      <c r="CP85" s="3"/>
      <c r="CQ85" s="3"/>
      <c r="CR85" s="16"/>
      <c r="CS85" s="3"/>
      <c r="CT85" s="17"/>
      <c r="CU85" s="3"/>
      <c r="CV85" s="3"/>
      <c r="CW85" s="3"/>
      <c r="CX85" s="3"/>
      <c r="CY85" s="17"/>
      <c r="CZ85" s="3"/>
      <c r="DA85" s="3"/>
      <c r="DB85" s="16"/>
      <c r="DC85" s="3"/>
      <c r="DD85" s="17"/>
      <c r="DE85" s="3"/>
      <c r="DF85" s="3"/>
      <c r="DG85" s="16"/>
      <c r="DH85" s="3"/>
      <c r="DI85" s="17"/>
      <c r="DJ85" s="3"/>
      <c r="DK85" s="3"/>
      <c r="DL85" s="3"/>
      <c r="DM85" s="3"/>
      <c r="DN85" s="17"/>
      <c r="DO85" s="3"/>
      <c r="DP85" s="3"/>
      <c r="DQ85" s="16"/>
      <c r="DR85" s="3"/>
      <c r="DS85" s="17"/>
      <c r="DT85" s="3"/>
      <c r="DU85" s="3"/>
      <c r="DV85" s="16"/>
      <c r="DW85" s="3"/>
      <c r="DX85" s="17"/>
      <c r="DY85" s="3"/>
      <c r="DZ85" s="3"/>
      <c r="EA85" s="3"/>
      <c r="EB85" s="3"/>
      <c r="EC85" s="17"/>
      <c r="ED85" s="3"/>
      <c r="EE85" s="3"/>
      <c r="EF85" s="16"/>
      <c r="EG85" s="3"/>
      <c r="EH85" s="17"/>
      <c r="EI85" s="3"/>
      <c r="EJ85" s="3"/>
      <c r="EK85" s="16"/>
      <c r="EL85" s="3"/>
      <c r="EM85" s="17"/>
      <c r="EN85" s="3"/>
      <c r="EO85" s="3"/>
      <c r="EP85" s="3"/>
      <c r="EQ85" s="3"/>
      <c r="ER85" s="17"/>
      <c r="ES85" s="3"/>
      <c r="ET85" s="3"/>
      <c r="EU85" s="16"/>
      <c r="EV85" s="3"/>
      <c r="EW85" s="17"/>
      <c r="EX85" s="3"/>
    </row>
    <row r="86" spans="20:154" s="25" customFormat="1" x14ac:dyDescent="0.25">
      <c r="T86" s="3"/>
      <c r="U86" s="16"/>
      <c r="V86" s="3"/>
      <c r="W86" s="17"/>
      <c r="X86" s="3"/>
      <c r="Y86" s="3"/>
      <c r="Z86" s="3"/>
      <c r="AA86" s="3"/>
      <c r="AB86" s="17"/>
      <c r="AC86" s="3"/>
      <c r="AD86" s="3"/>
      <c r="AE86" s="16"/>
      <c r="AF86" s="3"/>
      <c r="AG86" s="17"/>
      <c r="AH86" s="3"/>
      <c r="AI86" s="3"/>
      <c r="AJ86" s="16"/>
      <c r="AK86" s="3"/>
      <c r="AL86" s="17"/>
      <c r="AM86" s="3"/>
      <c r="AN86" s="3"/>
      <c r="AO86" s="3"/>
      <c r="AP86" s="3"/>
      <c r="AQ86" s="17"/>
      <c r="AR86" s="3"/>
      <c r="AS86" s="3"/>
      <c r="AT86" s="16"/>
      <c r="AU86" s="3"/>
      <c r="AV86" s="17"/>
      <c r="AW86" s="3"/>
      <c r="AX86" s="3"/>
      <c r="AY86" s="16"/>
      <c r="AZ86" s="3"/>
      <c r="BA86" s="17"/>
      <c r="BB86" s="3"/>
      <c r="BC86" s="3"/>
      <c r="BD86" s="3"/>
      <c r="BE86" s="3"/>
      <c r="BF86" s="17"/>
      <c r="BG86" s="3"/>
      <c r="BH86" s="3"/>
      <c r="BI86" s="16"/>
      <c r="BJ86" s="3"/>
      <c r="BK86" s="17"/>
      <c r="BL86" s="3"/>
      <c r="BM86" s="3"/>
      <c r="BN86" s="16"/>
      <c r="BO86" s="3"/>
      <c r="BP86" s="17"/>
      <c r="BQ86" s="3"/>
      <c r="BR86" s="3"/>
      <c r="BS86" s="3"/>
      <c r="BT86" s="3"/>
      <c r="BU86" s="17"/>
      <c r="BV86" s="3"/>
      <c r="BW86" s="3"/>
      <c r="BX86" s="16"/>
      <c r="BY86" s="3"/>
      <c r="BZ86" s="17"/>
      <c r="CA86" s="3"/>
      <c r="CB86" s="3"/>
      <c r="CC86" s="16"/>
      <c r="CD86" s="3"/>
      <c r="CE86" s="17"/>
      <c r="CF86" s="3"/>
      <c r="CG86" s="18"/>
      <c r="CH86" s="18"/>
      <c r="CI86" s="18"/>
      <c r="CJ86" s="17"/>
      <c r="CK86" s="18"/>
      <c r="CL86" s="3"/>
      <c r="CM86" s="16"/>
      <c r="CN86" s="3"/>
      <c r="CO86" s="17"/>
      <c r="CP86" s="3"/>
      <c r="CQ86" s="3"/>
      <c r="CR86" s="16"/>
      <c r="CS86" s="3"/>
      <c r="CT86" s="17"/>
      <c r="CU86" s="3"/>
      <c r="CV86" s="3"/>
      <c r="CW86" s="3"/>
      <c r="CX86" s="3"/>
      <c r="CY86" s="17"/>
      <c r="CZ86" s="3"/>
      <c r="DA86" s="3"/>
      <c r="DB86" s="16"/>
      <c r="DC86" s="3"/>
      <c r="DD86" s="17"/>
      <c r="DE86" s="3"/>
      <c r="DF86" s="3"/>
      <c r="DG86" s="16"/>
      <c r="DH86" s="3"/>
      <c r="DI86" s="17"/>
      <c r="DJ86" s="3"/>
      <c r="DK86" s="3"/>
      <c r="DL86" s="3"/>
      <c r="DM86" s="3"/>
      <c r="DN86" s="17"/>
      <c r="DO86" s="3"/>
      <c r="DP86" s="3"/>
      <c r="DQ86" s="16"/>
      <c r="DR86" s="3"/>
      <c r="DS86" s="17"/>
      <c r="DT86" s="3"/>
      <c r="DU86" s="3"/>
      <c r="DV86" s="16"/>
      <c r="DW86" s="3"/>
      <c r="DX86" s="17"/>
      <c r="DY86" s="3"/>
      <c r="DZ86" s="3"/>
      <c r="EA86" s="3"/>
      <c r="EB86" s="3"/>
      <c r="EC86" s="17"/>
      <c r="ED86" s="3"/>
      <c r="EE86" s="3"/>
      <c r="EF86" s="16"/>
      <c r="EG86" s="3"/>
      <c r="EH86" s="17"/>
      <c r="EI86" s="3"/>
      <c r="EJ86" s="3"/>
      <c r="EK86" s="16"/>
      <c r="EL86" s="3"/>
      <c r="EM86" s="17"/>
      <c r="EN86" s="3"/>
      <c r="EO86" s="3"/>
      <c r="EP86" s="3"/>
      <c r="EQ86" s="3"/>
      <c r="ER86" s="17"/>
      <c r="ES86" s="3"/>
      <c r="ET86" s="3"/>
      <c r="EU86" s="16"/>
      <c r="EV86" s="3"/>
      <c r="EW86" s="17"/>
      <c r="EX86" s="3"/>
    </row>
    <row r="87" spans="20:154" s="25" customFormat="1" x14ac:dyDescent="0.25">
      <c r="T87" s="3"/>
      <c r="U87" s="16"/>
      <c r="V87" s="3"/>
      <c r="W87" s="17"/>
      <c r="X87" s="3"/>
      <c r="Y87" s="3"/>
      <c r="Z87" s="3"/>
      <c r="AA87" s="3"/>
      <c r="AB87" s="17"/>
      <c r="AC87" s="3"/>
      <c r="AD87" s="3"/>
      <c r="AE87" s="16"/>
      <c r="AF87" s="3"/>
      <c r="AG87" s="17"/>
      <c r="AH87" s="3"/>
      <c r="AI87" s="3"/>
      <c r="AJ87" s="16"/>
      <c r="AK87" s="3"/>
      <c r="AL87" s="17"/>
      <c r="AM87" s="3"/>
      <c r="AN87" s="3"/>
      <c r="AO87" s="3"/>
      <c r="AP87" s="3"/>
      <c r="AQ87" s="17"/>
      <c r="AR87" s="3"/>
      <c r="AS87" s="3"/>
      <c r="AT87" s="16"/>
      <c r="AU87" s="3"/>
      <c r="AV87" s="17"/>
      <c r="AW87" s="3"/>
      <c r="AX87" s="3"/>
      <c r="AY87" s="16"/>
      <c r="AZ87" s="3"/>
      <c r="BA87" s="17"/>
      <c r="BB87" s="3"/>
      <c r="BC87" s="3"/>
      <c r="BD87" s="3"/>
      <c r="BE87" s="3"/>
      <c r="BF87" s="17"/>
      <c r="BG87" s="3"/>
      <c r="BH87" s="3"/>
      <c r="BI87" s="16"/>
      <c r="BJ87" s="3"/>
      <c r="BK87" s="17"/>
      <c r="BL87" s="3"/>
      <c r="BM87" s="3"/>
      <c r="BN87" s="16"/>
      <c r="BO87" s="3"/>
      <c r="BP87" s="17"/>
      <c r="BQ87" s="3"/>
      <c r="BR87" s="3"/>
      <c r="BS87" s="3"/>
      <c r="BT87" s="3"/>
      <c r="BU87" s="17"/>
      <c r="BV87" s="3"/>
      <c r="BW87" s="3"/>
      <c r="BX87" s="16"/>
      <c r="BY87" s="3"/>
      <c r="BZ87" s="17"/>
      <c r="CA87" s="3"/>
      <c r="CB87" s="3"/>
      <c r="CC87" s="16"/>
      <c r="CD87" s="3"/>
      <c r="CE87" s="17"/>
      <c r="CF87" s="3"/>
      <c r="CG87" s="18"/>
      <c r="CH87" s="18"/>
      <c r="CI87" s="18"/>
      <c r="CJ87" s="17"/>
      <c r="CK87" s="18"/>
      <c r="CL87" s="3"/>
      <c r="CM87" s="16"/>
      <c r="CN87" s="3"/>
      <c r="CO87" s="17"/>
      <c r="CP87" s="3"/>
      <c r="CQ87" s="3"/>
      <c r="CR87" s="16"/>
      <c r="CS87" s="3"/>
      <c r="CT87" s="17"/>
      <c r="CU87" s="3"/>
      <c r="CV87" s="3"/>
      <c r="CW87" s="3"/>
      <c r="CX87" s="3"/>
      <c r="CY87" s="17"/>
      <c r="CZ87" s="3"/>
      <c r="DA87" s="3"/>
      <c r="DB87" s="16"/>
      <c r="DC87" s="3"/>
      <c r="DD87" s="17"/>
      <c r="DE87" s="3"/>
      <c r="DF87" s="3"/>
      <c r="DG87" s="16"/>
      <c r="DH87" s="3"/>
      <c r="DI87" s="17"/>
      <c r="DJ87" s="3"/>
      <c r="DK87" s="3"/>
      <c r="DL87" s="3"/>
      <c r="DM87" s="3"/>
      <c r="DN87" s="17"/>
      <c r="DO87" s="3"/>
      <c r="DP87" s="3"/>
      <c r="DQ87" s="16"/>
      <c r="DR87" s="3"/>
      <c r="DS87" s="17"/>
      <c r="DT87" s="3"/>
      <c r="DU87" s="3"/>
      <c r="DV87" s="16"/>
      <c r="DW87" s="3"/>
      <c r="DX87" s="17"/>
      <c r="DY87" s="3"/>
      <c r="DZ87" s="3"/>
      <c r="EA87" s="3"/>
      <c r="EB87" s="3"/>
      <c r="EC87" s="17"/>
      <c r="ED87" s="3"/>
      <c r="EE87" s="3"/>
      <c r="EF87" s="16"/>
      <c r="EG87" s="3"/>
      <c r="EH87" s="17"/>
      <c r="EI87" s="3"/>
      <c r="EJ87" s="3"/>
      <c r="EK87" s="16"/>
      <c r="EL87" s="3"/>
      <c r="EM87" s="17"/>
      <c r="EN87" s="3"/>
      <c r="EO87" s="3"/>
      <c r="EP87" s="3"/>
      <c r="EQ87" s="3"/>
      <c r="ER87" s="17"/>
      <c r="ES87" s="3"/>
      <c r="ET87" s="3"/>
      <c r="EU87" s="16"/>
      <c r="EV87" s="3"/>
      <c r="EW87" s="17"/>
      <c r="EX87" s="3"/>
    </row>
    <row r="88" spans="20:154" s="25" customFormat="1" x14ac:dyDescent="0.25">
      <c r="T88" s="3"/>
      <c r="U88" s="16"/>
      <c r="V88" s="3"/>
      <c r="W88" s="17"/>
      <c r="X88" s="3"/>
      <c r="Y88" s="3"/>
      <c r="Z88" s="3"/>
      <c r="AA88" s="3"/>
      <c r="AB88" s="17"/>
      <c r="AC88" s="3"/>
      <c r="AD88" s="3"/>
      <c r="AE88" s="16"/>
      <c r="AF88" s="3"/>
      <c r="AG88" s="17"/>
      <c r="AH88" s="3"/>
      <c r="AI88" s="3"/>
      <c r="AJ88" s="16"/>
      <c r="AK88" s="3"/>
      <c r="AL88" s="17"/>
      <c r="AM88" s="3"/>
      <c r="AN88" s="3"/>
      <c r="AO88" s="3"/>
      <c r="AP88" s="3"/>
      <c r="AQ88" s="17"/>
      <c r="AR88" s="3"/>
      <c r="AS88" s="3"/>
      <c r="AT88" s="16"/>
      <c r="AU88" s="3"/>
      <c r="AV88" s="17"/>
      <c r="AW88" s="3"/>
      <c r="AX88" s="3"/>
      <c r="AY88" s="16"/>
      <c r="AZ88" s="3"/>
      <c r="BA88" s="17"/>
      <c r="BB88" s="3"/>
      <c r="BC88" s="3"/>
      <c r="BD88" s="3"/>
      <c r="BE88" s="3"/>
      <c r="BF88" s="17"/>
      <c r="BG88" s="3"/>
      <c r="BH88" s="3"/>
      <c r="BI88" s="16"/>
      <c r="BJ88" s="3"/>
      <c r="BK88" s="17"/>
      <c r="BL88" s="3"/>
      <c r="BM88" s="3"/>
      <c r="BN88" s="16"/>
      <c r="BO88" s="3"/>
      <c r="BP88" s="17"/>
      <c r="BQ88" s="3"/>
      <c r="BR88" s="3"/>
      <c r="BS88" s="3"/>
      <c r="BT88" s="3"/>
      <c r="BU88" s="17"/>
      <c r="BV88" s="3"/>
      <c r="BW88" s="3"/>
      <c r="BX88" s="16"/>
      <c r="BY88" s="3"/>
      <c r="BZ88" s="17"/>
      <c r="CA88" s="3"/>
      <c r="CB88" s="3"/>
      <c r="CC88" s="16"/>
      <c r="CD88" s="3"/>
      <c r="CE88" s="17"/>
      <c r="CF88" s="3"/>
      <c r="CG88" s="18"/>
      <c r="CH88" s="18"/>
      <c r="CI88" s="18"/>
      <c r="CJ88" s="17"/>
      <c r="CK88" s="18"/>
      <c r="CL88" s="3"/>
      <c r="CM88" s="16"/>
      <c r="CN88" s="3"/>
      <c r="CO88" s="17"/>
      <c r="CP88" s="3"/>
      <c r="CQ88" s="3"/>
      <c r="CR88" s="16"/>
      <c r="CS88" s="3"/>
      <c r="CT88" s="17"/>
      <c r="CU88" s="3"/>
      <c r="CV88" s="3"/>
      <c r="CW88" s="3"/>
      <c r="CX88" s="3"/>
      <c r="CY88" s="17"/>
      <c r="CZ88" s="3"/>
      <c r="DA88" s="3"/>
      <c r="DB88" s="16"/>
      <c r="DC88" s="3"/>
      <c r="DD88" s="17"/>
      <c r="DE88" s="3"/>
      <c r="DF88" s="3"/>
      <c r="DG88" s="16"/>
      <c r="DH88" s="3"/>
      <c r="DI88" s="17"/>
      <c r="DJ88" s="3"/>
      <c r="DK88" s="3"/>
      <c r="DL88" s="3"/>
      <c r="DM88" s="3"/>
      <c r="DN88" s="17"/>
      <c r="DO88" s="3"/>
      <c r="DP88" s="3"/>
      <c r="DQ88" s="16"/>
      <c r="DR88" s="3"/>
      <c r="DS88" s="17"/>
      <c r="DT88" s="3"/>
      <c r="DU88" s="3"/>
      <c r="DV88" s="16"/>
      <c r="DW88" s="3"/>
      <c r="DX88" s="17"/>
      <c r="DY88" s="3"/>
      <c r="DZ88" s="3"/>
      <c r="EA88" s="3"/>
      <c r="EB88" s="3"/>
      <c r="EC88" s="17"/>
      <c r="ED88" s="3"/>
      <c r="EE88" s="3"/>
      <c r="EF88" s="16"/>
      <c r="EG88" s="3"/>
      <c r="EH88" s="17"/>
      <c r="EI88" s="3"/>
      <c r="EJ88" s="3"/>
      <c r="EK88" s="16"/>
      <c r="EL88" s="3"/>
      <c r="EM88" s="17"/>
      <c r="EN88" s="3"/>
      <c r="EO88" s="3"/>
      <c r="EP88" s="3"/>
      <c r="EQ88" s="3"/>
      <c r="ER88" s="17"/>
      <c r="ES88" s="3"/>
      <c r="ET88" s="3"/>
      <c r="EU88" s="16"/>
      <c r="EV88" s="3"/>
      <c r="EW88" s="17"/>
      <c r="EX88" s="3"/>
    </row>
    <row r="89" spans="20:154" s="25" customFormat="1" x14ac:dyDescent="0.25">
      <c r="T89" s="3"/>
      <c r="U89" s="16"/>
      <c r="V89" s="3"/>
      <c r="W89" s="17"/>
      <c r="X89" s="3"/>
      <c r="Y89" s="3"/>
      <c r="Z89" s="3"/>
      <c r="AA89" s="3"/>
      <c r="AB89" s="17"/>
      <c r="AC89" s="3"/>
      <c r="AD89" s="3"/>
      <c r="AE89" s="16"/>
      <c r="AF89" s="3"/>
      <c r="AG89" s="17"/>
      <c r="AH89" s="3"/>
      <c r="AI89" s="3"/>
      <c r="AJ89" s="16"/>
      <c r="AK89" s="3"/>
      <c r="AL89" s="17"/>
      <c r="AM89" s="3"/>
      <c r="AN89" s="3"/>
      <c r="AO89" s="3"/>
      <c r="AP89" s="3"/>
      <c r="AQ89" s="17"/>
      <c r="AR89" s="3"/>
      <c r="AS89" s="3"/>
      <c r="AT89" s="16"/>
      <c r="AU89" s="3"/>
      <c r="AV89" s="17"/>
      <c r="AW89" s="3"/>
      <c r="AX89" s="3"/>
      <c r="AY89" s="16"/>
      <c r="AZ89" s="3"/>
      <c r="BA89" s="17"/>
      <c r="BB89" s="3"/>
      <c r="BC89" s="3"/>
      <c r="BD89" s="3"/>
      <c r="BE89" s="3"/>
      <c r="BF89" s="17"/>
      <c r="BG89" s="3"/>
      <c r="BH89" s="3"/>
      <c r="BI89" s="16"/>
      <c r="BJ89" s="3"/>
      <c r="BK89" s="17"/>
      <c r="BL89" s="3"/>
      <c r="BM89" s="3"/>
      <c r="BN89" s="16"/>
      <c r="BO89" s="3"/>
      <c r="BP89" s="17"/>
      <c r="BQ89" s="3"/>
      <c r="BR89" s="3"/>
      <c r="BS89" s="3"/>
      <c r="BT89" s="3"/>
      <c r="BU89" s="17"/>
      <c r="BV89" s="3"/>
      <c r="BW89" s="3"/>
      <c r="BX89" s="16"/>
      <c r="BY89" s="3"/>
      <c r="BZ89" s="17"/>
      <c r="CA89" s="3"/>
      <c r="CB89" s="3"/>
      <c r="CC89" s="16"/>
      <c r="CD89" s="3"/>
      <c r="CE89" s="17"/>
      <c r="CF89" s="3"/>
      <c r="CG89" s="18"/>
      <c r="CH89" s="18"/>
      <c r="CI89" s="18"/>
      <c r="CJ89" s="17"/>
      <c r="CK89" s="18"/>
      <c r="CL89" s="3"/>
      <c r="CM89" s="16"/>
      <c r="CN89" s="3"/>
      <c r="CO89" s="17"/>
      <c r="CP89" s="3"/>
      <c r="CQ89" s="3"/>
      <c r="CR89" s="16"/>
      <c r="CS89" s="3"/>
      <c r="CT89" s="17"/>
      <c r="CU89" s="3"/>
      <c r="CV89" s="3"/>
      <c r="CW89" s="3"/>
      <c r="CX89" s="3"/>
      <c r="CY89" s="17"/>
      <c r="CZ89" s="3"/>
      <c r="DA89" s="3"/>
      <c r="DB89" s="16"/>
      <c r="DC89" s="3"/>
      <c r="DD89" s="17"/>
      <c r="DE89" s="3"/>
      <c r="DF89" s="3"/>
      <c r="DG89" s="16"/>
      <c r="DH89" s="3"/>
      <c r="DI89" s="17"/>
      <c r="DJ89" s="3"/>
      <c r="DK89" s="3"/>
      <c r="DL89" s="3"/>
      <c r="DM89" s="3"/>
      <c r="DN89" s="17"/>
      <c r="DO89" s="3"/>
      <c r="DP89" s="3"/>
      <c r="DQ89" s="16"/>
      <c r="DR89" s="3"/>
      <c r="DS89" s="17"/>
      <c r="DT89" s="3"/>
      <c r="DU89" s="3"/>
      <c r="DV89" s="16"/>
      <c r="DW89" s="3"/>
      <c r="DX89" s="17"/>
      <c r="DY89" s="3"/>
      <c r="DZ89" s="3"/>
      <c r="EA89" s="3"/>
      <c r="EB89" s="3"/>
      <c r="EC89" s="17"/>
      <c r="ED89" s="3"/>
      <c r="EE89" s="3"/>
      <c r="EF89" s="16"/>
      <c r="EG89" s="3"/>
      <c r="EH89" s="17"/>
      <c r="EI89" s="3"/>
      <c r="EJ89" s="3"/>
      <c r="EK89" s="16"/>
      <c r="EL89" s="3"/>
      <c r="EM89" s="17"/>
      <c r="EN89" s="3"/>
      <c r="EO89" s="3"/>
      <c r="EP89" s="3"/>
      <c r="EQ89" s="3"/>
      <c r="ER89" s="17"/>
      <c r="ES89" s="3"/>
      <c r="ET89" s="3"/>
      <c r="EU89" s="16"/>
      <c r="EV89" s="3"/>
      <c r="EW89" s="17"/>
      <c r="EX89" s="3"/>
    </row>
    <row r="90" spans="20:154" s="25" customFormat="1" x14ac:dyDescent="0.25">
      <c r="T90" s="3"/>
      <c r="U90" s="16"/>
      <c r="V90" s="3"/>
      <c r="W90" s="17"/>
      <c r="X90" s="3"/>
      <c r="Y90" s="3"/>
      <c r="Z90" s="3"/>
      <c r="AA90" s="3"/>
      <c r="AB90" s="17"/>
      <c r="AC90" s="3"/>
      <c r="AD90" s="3"/>
      <c r="AE90" s="16"/>
      <c r="AF90" s="3"/>
      <c r="AG90" s="17"/>
      <c r="AH90" s="3"/>
      <c r="AI90" s="3"/>
      <c r="AJ90" s="16"/>
      <c r="AK90" s="3"/>
      <c r="AL90" s="17"/>
      <c r="AM90" s="3"/>
      <c r="AN90" s="3"/>
      <c r="AO90" s="3"/>
      <c r="AP90" s="3"/>
      <c r="AQ90" s="17"/>
      <c r="AR90" s="3"/>
      <c r="AS90" s="3"/>
      <c r="AT90" s="16"/>
      <c r="AU90" s="3"/>
      <c r="AV90" s="17"/>
      <c r="AW90" s="3"/>
      <c r="AX90" s="3"/>
      <c r="AY90" s="16"/>
      <c r="AZ90" s="3"/>
      <c r="BA90" s="17"/>
      <c r="BB90" s="3"/>
      <c r="BC90" s="3"/>
      <c r="BD90" s="3"/>
      <c r="BE90" s="3"/>
      <c r="BF90" s="17"/>
      <c r="BG90" s="3"/>
      <c r="BH90" s="3"/>
      <c r="BI90" s="16"/>
      <c r="BJ90" s="3"/>
      <c r="BK90" s="17"/>
      <c r="BL90" s="3"/>
      <c r="BM90" s="3"/>
      <c r="BN90" s="16"/>
      <c r="BO90" s="3"/>
      <c r="BP90" s="17"/>
      <c r="BQ90" s="3"/>
      <c r="BR90" s="3"/>
      <c r="BS90" s="3"/>
      <c r="BT90" s="3"/>
      <c r="BU90" s="17"/>
      <c r="BV90" s="3"/>
      <c r="BW90" s="3"/>
      <c r="BX90" s="16"/>
      <c r="BY90" s="3"/>
      <c r="BZ90" s="17"/>
      <c r="CA90" s="3"/>
      <c r="CB90" s="3"/>
      <c r="CC90" s="16"/>
      <c r="CD90" s="3"/>
      <c r="CE90" s="17"/>
      <c r="CF90" s="3"/>
      <c r="CG90" s="18"/>
      <c r="CH90" s="18"/>
      <c r="CI90" s="18"/>
      <c r="CJ90" s="17"/>
      <c r="CK90" s="18"/>
      <c r="CL90" s="3"/>
      <c r="CM90" s="16"/>
      <c r="CN90" s="3"/>
      <c r="CO90" s="17"/>
      <c r="CP90" s="3"/>
      <c r="CQ90" s="3"/>
      <c r="CR90" s="16"/>
      <c r="CS90" s="3"/>
      <c r="CT90" s="17"/>
      <c r="CU90" s="3"/>
      <c r="CV90" s="3"/>
      <c r="CW90" s="3"/>
      <c r="CX90" s="3"/>
      <c r="CY90" s="17"/>
      <c r="CZ90" s="3"/>
      <c r="DA90" s="3"/>
      <c r="DB90" s="16"/>
      <c r="DC90" s="3"/>
      <c r="DD90" s="17"/>
      <c r="DE90" s="3"/>
      <c r="DF90" s="3"/>
      <c r="DG90" s="16"/>
      <c r="DH90" s="3"/>
      <c r="DI90" s="17"/>
      <c r="DJ90" s="3"/>
      <c r="DK90" s="3"/>
      <c r="DL90" s="3"/>
      <c r="DM90" s="3"/>
      <c r="DN90" s="17"/>
      <c r="DO90" s="3"/>
      <c r="DP90" s="3"/>
      <c r="DQ90" s="16"/>
      <c r="DR90" s="3"/>
      <c r="DS90" s="17"/>
      <c r="DT90" s="3"/>
      <c r="DU90" s="3"/>
      <c r="DV90" s="16"/>
      <c r="DW90" s="3"/>
      <c r="DX90" s="17"/>
      <c r="DY90" s="3"/>
      <c r="DZ90" s="3"/>
      <c r="EA90" s="3"/>
      <c r="EB90" s="3"/>
      <c r="EC90" s="17"/>
      <c r="ED90" s="3"/>
      <c r="EE90" s="3"/>
      <c r="EF90" s="16"/>
      <c r="EG90" s="3"/>
      <c r="EH90" s="17"/>
      <c r="EI90" s="3"/>
      <c r="EJ90" s="3"/>
      <c r="EK90" s="16"/>
      <c r="EL90" s="3"/>
      <c r="EM90" s="17"/>
      <c r="EN90" s="3"/>
      <c r="EO90" s="3"/>
      <c r="EP90" s="3"/>
      <c r="EQ90" s="3"/>
      <c r="ER90" s="17"/>
      <c r="ES90" s="3"/>
      <c r="ET90" s="3"/>
      <c r="EU90" s="16"/>
      <c r="EV90" s="3"/>
      <c r="EW90" s="17"/>
      <c r="EX90" s="3"/>
    </row>
    <row r="91" spans="20:154" s="25" customFormat="1" x14ac:dyDescent="0.25">
      <c r="T91" s="3"/>
      <c r="U91" s="16"/>
      <c r="V91" s="3"/>
      <c r="W91" s="17"/>
      <c r="X91" s="3"/>
      <c r="Y91" s="3"/>
      <c r="Z91" s="3"/>
      <c r="AA91" s="3"/>
      <c r="AB91" s="17"/>
      <c r="AC91" s="3"/>
      <c r="AD91" s="3"/>
      <c r="AE91" s="16"/>
      <c r="AF91" s="3"/>
      <c r="AG91" s="17"/>
      <c r="AH91" s="3"/>
      <c r="AI91" s="3"/>
      <c r="AJ91" s="16"/>
      <c r="AK91" s="3"/>
      <c r="AL91" s="17"/>
      <c r="AM91" s="3"/>
      <c r="AN91" s="3"/>
      <c r="AO91" s="3"/>
      <c r="AP91" s="3"/>
      <c r="AQ91" s="17"/>
      <c r="AR91" s="3"/>
      <c r="AS91" s="3"/>
      <c r="AT91" s="16"/>
      <c r="AU91" s="3"/>
      <c r="AV91" s="17"/>
      <c r="AW91" s="3"/>
      <c r="AX91" s="3"/>
      <c r="AY91" s="16"/>
      <c r="AZ91" s="3"/>
      <c r="BA91" s="17"/>
      <c r="BB91" s="3"/>
      <c r="BC91" s="3"/>
      <c r="BD91" s="3"/>
      <c r="BE91" s="3"/>
      <c r="BF91" s="17"/>
      <c r="BG91" s="3"/>
      <c r="BH91" s="3"/>
      <c r="BI91" s="16"/>
      <c r="BJ91" s="3"/>
      <c r="BK91" s="17"/>
      <c r="BL91" s="3"/>
      <c r="BM91" s="3"/>
      <c r="BN91" s="16"/>
      <c r="BO91" s="3"/>
      <c r="BP91" s="17"/>
      <c r="BQ91" s="3"/>
      <c r="BR91" s="3"/>
      <c r="BS91" s="3"/>
      <c r="BT91" s="3"/>
      <c r="BU91" s="17"/>
      <c r="BV91" s="3"/>
      <c r="BW91" s="3"/>
      <c r="BX91" s="16"/>
      <c r="BY91" s="3"/>
      <c r="BZ91" s="17"/>
      <c r="CA91" s="3"/>
      <c r="CB91" s="3"/>
      <c r="CC91" s="16"/>
      <c r="CD91" s="3"/>
      <c r="CE91" s="17"/>
      <c r="CF91" s="3"/>
      <c r="CG91" s="18"/>
      <c r="CH91" s="18"/>
      <c r="CI91" s="18"/>
      <c r="CJ91" s="17"/>
      <c r="CK91" s="18"/>
      <c r="CL91" s="3"/>
      <c r="CM91" s="16"/>
      <c r="CN91" s="3"/>
      <c r="CO91" s="17"/>
      <c r="CP91" s="3"/>
      <c r="CQ91" s="3"/>
      <c r="CR91" s="16"/>
      <c r="CS91" s="3"/>
      <c r="CT91" s="17"/>
      <c r="CU91" s="3"/>
      <c r="CV91" s="3"/>
      <c r="CW91" s="3"/>
      <c r="CX91" s="3"/>
      <c r="CY91" s="17"/>
      <c r="CZ91" s="3"/>
      <c r="DA91" s="3"/>
      <c r="DB91" s="16"/>
      <c r="DC91" s="3"/>
      <c r="DD91" s="17"/>
      <c r="DE91" s="3"/>
      <c r="DF91" s="3"/>
      <c r="DG91" s="16"/>
      <c r="DH91" s="3"/>
      <c r="DI91" s="17"/>
      <c r="DJ91" s="3"/>
      <c r="DK91" s="3"/>
      <c r="DL91" s="3"/>
      <c r="DM91" s="3"/>
      <c r="DN91" s="17"/>
      <c r="DO91" s="3"/>
      <c r="DP91" s="3"/>
      <c r="DQ91" s="16"/>
      <c r="DR91" s="3"/>
      <c r="DS91" s="17"/>
      <c r="DT91" s="3"/>
      <c r="DU91" s="3"/>
      <c r="DV91" s="16"/>
      <c r="DW91" s="3"/>
      <c r="DX91" s="17"/>
      <c r="DY91" s="3"/>
      <c r="DZ91" s="3"/>
      <c r="EA91" s="3"/>
      <c r="EB91" s="3"/>
      <c r="EC91" s="17"/>
      <c r="ED91" s="3"/>
      <c r="EE91" s="3"/>
      <c r="EF91" s="16"/>
      <c r="EG91" s="3"/>
      <c r="EH91" s="17"/>
      <c r="EI91" s="3"/>
      <c r="EJ91" s="3"/>
      <c r="EK91" s="16"/>
      <c r="EL91" s="3"/>
      <c r="EM91" s="17"/>
      <c r="EN91" s="3"/>
      <c r="EO91" s="3"/>
      <c r="EP91" s="3"/>
      <c r="EQ91" s="3"/>
      <c r="ER91" s="17"/>
      <c r="ES91" s="3"/>
      <c r="ET91" s="3"/>
      <c r="EU91" s="16"/>
      <c r="EV91" s="3"/>
      <c r="EW91" s="17"/>
      <c r="EX91" s="3"/>
    </row>
    <row r="92" spans="20:154" s="25" customFormat="1" x14ac:dyDescent="0.25">
      <c r="T92" s="3"/>
      <c r="U92" s="16"/>
      <c r="V92" s="3"/>
      <c r="W92" s="17"/>
      <c r="X92" s="3"/>
      <c r="Y92" s="3"/>
      <c r="Z92" s="3"/>
      <c r="AA92" s="3"/>
      <c r="AB92" s="17"/>
      <c r="AC92" s="3"/>
      <c r="AD92" s="3"/>
      <c r="AE92" s="16"/>
      <c r="AF92" s="3"/>
      <c r="AG92" s="17"/>
      <c r="AH92" s="3"/>
      <c r="AI92" s="3"/>
      <c r="AJ92" s="16"/>
      <c r="AK92" s="3"/>
      <c r="AL92" s="17"/>
      <c r="AM92" s="3"/>
      <c r="AN92" s="3"/>
      <c r="AO92" s="3"/>
      <c r="AP92" s="3"/>
      <c r="AQ92" s="17"/>
      <c r="AR92" s="3"/>
      <c r="AS92" s="3"/>
      <c r="AT92" s="16"/>
      <c r="AU92" s="3"/>
      <c r="AV92" s="17"/>
      <c r="AW92" s="3"/>
      <c r="AX92" s="3"/>
      <c r="AY92" s="16"/>
      <c r="AZ92" s="3"/>
      <c r="BA92" s="17"/>
      <c r="BB92" s="3"/>
      <c r="BC92" s="3"/>
      <c r="BD92" s="3"/>
      <c r="BE92" s="3"/>
      <c r="BF92" s="17"/>
      <c r="BG92" s="3"/>
      <c r="BH92" s="3"/>
      <c r="BI92" s="16"/>
      <c r="BJ92" s="3"/>
      <c r="BK92" s="17"/>
      <c r="BL92" s="3"/>
      <c r="BM92" s="3"/>
      <c r="BN92" s="16"/>
      <c r="BO92" s="3"/>
      <c r="BP92" s="17"/>
      <c r="BQ92" s="3"/>
      <c r="BR92" s="3"/>
      <c r="BS92" s="3"/>
      <c r="BT92" s="3"/>
      <c r="BU92" s="17"/>
      <c r="BV92" s="3"/>
      <c r="BW92" s="3"/>
      <c r="BX92" s="16"/>
      <c r="BY92" s="3"/>
      <c r="BZ92" s="17"/>
      <c r="CA92" s="3"/>
      <c r="CB92" s="3"/>
      <c r="CC92" s="16"/>
      <c r="CD92" s="3"/>
      <c r="CE92" s="17"/>
      <c r="CF92" s="3"/>
      <c r="CG92" s="18"/>
      <c r="CH92" s="18"/>
      <c r="CI92" s="18"/>
      <c r="CJ92" s="17"/>
      <c r="CK92" s="18"/>
      <c r="CL92" s="3"/>
      <c r="CM92" s="16"/>
      <c r="CN92" s="3"/>
      <c r="CO92" s="17"/>
      <c r="CP92" s="3"/>
      <c r="CQ92" s="3"/>
      <c r="CR92" s="16"/>
      <c r="CS92" s="3"/>
      <c r="CT92" s="17"/>
      <c r="CU92" s="3"/>
      <c r="CV92" s="3"/>
      <c r="CW92" s="3"/>
      <c r="CX92" s="3"/>
      <c r="CY92" s="17"/>
      <c r="CZ92" s="3"/>
      <c r="DA92" s="3"/>
      <c r="DB92" s="16"/>
      <c r="DC92" s="3"/>
      <c r="DD92" s="17"/>
      <c r="DE92" s="3"/>
      <c r="DF92" s="3"/>
      <c r="DG92" s="16"/>
      <c r="DH92" s="3"/>
      <c r="DI92" s="17"/>
      <c r="DJ92" s="3"/>
      <c r="DK92" s="3"/>
      <c r="DL92" s="3"/>
      <c r="DM92" s="3"/>
      <c r="DN92" s="17"/>
      <c r="DO92" s="3"/>
      <c r="DP92" s="3"/>
      <c r="DQ92" s="16"/>
      <c r="DR92" s="3"/>
      <c r="DS92" s="17"/>
      <c r="DT92" s="3"/>
      <c r="DU92" s="3"/>
      <c r="DV92" s="16"/>
      <c r="DW92" s="3"/>
      <c r="DX92" s="17"/>
      <c r="DY92" s="3"/>
      <c r="DZ92" s="3"/>
      <c r="EA92" s="3"/>
      <c r="EB92" s="3"/>
      <c r="EC92" s="17"/>
      <c r="ED92" s="3"/>
      <c r="EE92" s="3"/>
      <c r="EF92" s="16"/>
      <c r="EG92" s="3"/>
      <c r="EH92" s="17"/>
      <c r="EI92" s="3"/>
      <c r="EJ92" s="3"/>
      <c r="EK92" s="16"/>
      <c r="EL92" s="3"/>
      <c r="EM92" s="17"/>
      <c r="EN92" s="3"/>
      <c r="EO92" s="3"/>
      <c r="EP92" s="3"/>
      <c r="EQ92" s="3"/>
      <c r="ER92" s="17"/>
      <c r="ES92" s="3"/>
      <c r="ET92" s="3"/>
      <c r="EU92" s="16"/>
      <c r="EV92" s="3"/>
      <c r="EW92" s="17"/>
      <c r="EX92" s="3"/>
    </row>
    <row r="93" spans="20:154" s="25" customFormat="1" x14ac:dyDescent="0.25">
      <c r="T93" s="3"/>
      <c r="U93" s="16"/>
      <c r="V93" s="3"/>
      <c r="W93" s="17"/>
      <c r="X93" s="3"/>
      <c r="Y93" s="3"/>
      <c r="Z93" s="3"/>
      <c r="AA93" s="3"/>
      <c r="AB93" s="17"/>
      <c r="AC93" s="3"/>
      <c r="AD93" s="3"/>
      <c r="AE93" s="16"/>
      <c r="AF93" s="3"/>
      <c r="AG93" s="17"/>
      <c r="AH93" s="3"/>
      <c r="AI93" s="3"/>
      <c r="AJ93" s="16"/>
      <c r="AK93" s="3"/>
      <c r="AL93" s="17"/>
      <c r="AM93" s="3"/>
      <c r="AN93" s="3"/>
      <c r="AO93" s="3"/>
      <c r="AP93" s="3"/>
      <c r="AQ93" s="17"/>
      <c r="AR93" s="3"/>
      <c r="AS93" s="3"/>
      <c r="AT93" s="16"/>
      <c r="AU93" s="3"/>
      <c r="AV93" s="17"/>
      <c r="AW93" s="3"/>
      <c r="AX93" s="3"/>
      <c r="AY93" s="16"/>
      <c r="AZ93" s="3"/>
      <c r="BA93" s="17"/>
      <c r="BB93" s="3"/>
      <c r="BC93" s="3"/>
      <c r="BD93" s="3"/>
      <c r="BE93" s="3"/>
      <c r="BF93" s="17"/>
      <c r="BG93" s="3"/>
      <c r="BH93" s="3"/>
      <c r="BI93" s="16"/>
      <c r="BJ93" s="3"/>
      <c r="BK93" s="17"/>
      <c r="BL93" s="3"/>
      <c r="BM93" s="3"/>
      <c r="BN93" s="16"/>
      <c r="BO93" s="3"/>
      <c r="BP93" s="17"/>
      <c r="BQ93" s="3"/>
      <c r="BR93" s="3"/>
      <c r="BS93" s="3"/>
      <c r="BT93" s="3"/>
      <c r="BU93" s="17"/>
      <c r="BV93" s="3"/>
      <c r="BW93" s="3"/>
      <c r="BX93" s="16"/>
      <c r="BY93" s="3"/>
      <c r="BZ93" s="17"/>
      <c r="CA93" s="3"/>
      <c r="CB93" s="3"/>
      <c r="CC93" s="16"/>
      <c r="CD93" s="3"/>
      <c r="CE93" s="17"/>
      <c r="CF93" s="3"/>
      <c r="CG93" s="18"/>
      <c r="CH93" s="18"/>
      <c r="CI93" s="18"/>
      <c r="CJ93" s="17"/>
      <c r="CK93" s="18"/>
      <c r="CL93" s="3"/>
      <c r="CM93" s="16"/>
      <c r="CN93" s="3"/>
      <c r="CO93" s="17"/>
      <c r="CP93" s="3"/>
      <c r="CQ93" s="3"/>
      <c r="CR93" s="16"/>
      <c r="CS93" s="3"/>
      <c r="CT93" s="17"/>
      <c r="CU93" s="3"/>
      <c r="CV93" s="3"/>
      <c r="CW93" s="3"/>
      <c r="CX93" s="3"/>
      <c r="CY93" s="17"/>
      <c r="CZ93" s="3"/>
      <c r="DA93" s="3"/>
      <c r="DB93" s="16"/>
      <c r="DC93" s="3"/>
      <c r="DD93" s="17"/>
      <c r="DE93" s="3"/>
      <c r="DF93" s="3"/>
      <c r="DG93" s="16"/>
      <c r="DH93" s="3"/>
      <c r="DI93" s="17"/>
      <c r="DJ93" s="3"/>
      <c r="DK93" s="3"/>
      <c r="DL93" s="3"/>
      <c r="DM93" s="3"/>
      <c r="DN93" s="17"/>
      <c r="DO93" s="3"/>
      <c r="DP93" s="3"/>
      <c r="DQ93" s="16"/>
      <c r="DR93" s="3"/>
      <c r="DS93" s="17"/>
      <c r="DT93" s="3"/>
      <c r="DU93" s="3"/>
      <c r="DV93" s="16"/>
      <c r="DW93" s="3"/>
      <c r="DX93" s="17"/>
      <c r="DY93" s="3"/>
      <c r="DZ93" s="3"/>
      <c r="EA93" s="3"/>
      <c r="EB93" s="3"/>
      <c r="EC93" s="17"/>
      <c r="ED93" s="3"/>
      <c r="EE93" s="3"/>
      <c r="EF93" s="16"/>
      <c r="EG93" s="3"/>
      <c r="EH93" s="17"/>
      <c r="EI93" s="3"/>
      <c r="EJ93" s="3"/>
      <c r="EK93" s="16"/>
      <c r="EL93" s="3"/>
      <c r="EM93" s="17"/>
      <c r="EN93" s="3"/>
      <c r="EO93" s="3"/>
      <c r="EP93" s="3"/>
      <c r="EQ93" s="3"/>
      <c r="ER93" s="17"/>
      <c r="ES93" s="3"/>
      <c r="ET93" s="3"/>
      <c r="EU93" s="16"/>
      <c r="EV93" s="3"/>
      <c r="EW93" s="17"/>
      <c r="EX93" s="3"/>
    </row>
    <row r="94" spans="20:154" s="25" customFormat="1" x14ac:dyDescent="0.25">
      <c r="T94" s="3"/>
      <c r="U94" s="16"/>
      <c r="V94" s="3"/>
      <c r="W94" s="17"/>
      <c r="X94" s="3"/>
      <c r="Y94" s="3"/>
      <c r="Z94" s="3"/>
      <c r="AA94" s="3"/>
      <c r="AB94" s="17"/>
      <c r="AC94" s="3"/>
      <c r="AD94" s="3"/>
      <c r="AE94" s="16"/>
      <c r="AF94" s="3"/>
      <c r="AG94" s="17"/>
      <c r="AH94" s="3"/>
      <c r="AI94" s="3"/>
      <c r="AJ94" s="16"/>
      <c r="AK94" s="3"/>
      <c r="AL94" s="17"/>
      <c r="AM94" s="3"/>
      <c r="AN94" s="3"/>
      <c r="AO94" s="3"/>
      <c r="AP94" s="3"/>
      <c r="AQ94" s="17"/>
      <c r="AR94" s="3"/>
      <c r="AS94" s="3"/>
      <c r="AT94" s="16"/>
      <c r="AU94" s="3"/>
      <c r="AV94" s="17"/>
      <c r="AW94" s="3"/>
      <c r="AX94" s="3"/>
      <c r="AY94" s="16"/>
      <c r="AZ94" s="3"/>
      <c r="BA94" s="17"/>
      <c r="BB94" s="3"/>
      <c r="BC94" s="3"/>
      <c r="BD94" s="3"/>
      <c r="BE94" s="3"/>
      <c r="BF94" s="17"/>
      <c r="BG94" s="3"/>
      <c r="BH94" s="3"/>
      <c r="BI94" s="16"/>
      <c r="BJ94" s="3"/>
      <c r="BK94" s="17"/>
      <c r="BL94" s="3"/>
      <c r="BM94" s="3"/>
      <c r="BN94" s="16"/>
      <c r="BO94" s="3"/>
      <c r="BP94" s="17"/>
      <c r="BQ94" s="3"/>
      <c r="BR94" s="3"/>
      <c r="BS94" s="3"/>
      <c r="BT94" s="3"/>
      <c r="BU94" s="17"/>
      <c r="BV94" s="3"/>
      <c r="BW94" s="3"/>
      <c r="BX94" s="16"/>
      <c r="BY94" s="3"/>
      <c r="BZ94" s="17"/>
      <c r="CA94" s="3"/>
      <c r="CB94" s="3"/>
      <c r="CC94" s="16"/>
      <c r="CD94" s="3"/>
      <c r="CE94" s="17"/>
      <c r="CF94" s="3"/>
      <c r="CG94" s="18"/>
      <c r="CH94" s="18"/>
      <c r="CI94" s="18"/>
      <c r="CJ94" s="17"/>
      <c r="CK94" s="18"/>
      <c r="CL94" s="3"/>
      <c r="CM94" s="16"/>
      <c r="CN94" s="3"/>
      <c r="CO94" s="17"/>
      <c r="CP94" s="3"/>
      <c r="CQ94" s="3"/>
      <c r="CR94" s="16"/>
      <c r="CS94" s="3"/>
      <c r="CT94" s="17"/>
      <c r="CU94" s="3"/>
      <c r="CV94" s="3"/>
      <c r="CW94" s="3"/>
      <c r="CX94" s="3"/>
      <c r="CY94" s="17"/>
      <c r="CZ94" s="3"/>
      <c r="DA94" s="3"/>
      <c r="DB94" s="16"/>
      <c r="DC94" s="3"/>
      <c r="DD94" s="17"/>
      <c r="DE94" s="3"/>
      <c r="DF94" s="3"/>
      <c r="DG94" s="16"/>
      <c r="DH94" s="3"/>
      <c r="DI94" s="17"/>
      <c r="DJ94" s="3"/>
      <c r="DK94" s="3"/>
      <c r="DL94" s="3"/>
      <c r="DM94" s="3"/>
      <c r="DN94" s="17"/>
      <c r="DO94" s="3"/>
      <c r="DP94" s="3"/>
      <c r="DQ94" s="16"/>
      <c r="DR94" s="3"/>
      <c r="DS94" s="17"/>
      <c r="DT94" s="3"/>
      <c r="DU94" s="3"/>
      <c r="DV94" s="16"/>
      <c r="DW94" s="3"/>
      <c r="DX94" s="17"/>
      <c r="DY94" s="3"/>
      <c r="DZ94" s="3"/>
      <c r="EA94" s="3"/>
      <c r="EB94" s="3"/>
      <c r="EC94" s="17"/>
      <c r="ED94" s="3"/>
      <c r="EE94" s="3"/>
      <c r="EF94" s="16"/>
      <c r="EG94" s="3"/>
      <c r="EH94" s="17"/>
      <c r="EI94" s="3"/>
      <c r="EJ94" s="3"/>
      <c r="EK94" s="16"/>
      <c r="EL94" s="3"/>
      <c r="EM94" s="17"/>
      <c r="EN94" s="3"/>
      <c r="EO94" s="3"/>
      <c r="EP94" s="3"/>
      <c r="EQ94" s="3"/>
      <c r="ER94" s="17"/>
      <c r="ES94" s="3"/>
      <c r="ET94" s="3"/>
      <c r="EU94" s="16"/>
      <c r="EV94" s="3"/>
      <c r="EW94" s="17"/>
      <c r="EX94" s="3"/>
    </row>
    <row r="95" spans="20:154" s="25" customFormat="1" x14ac:dyDescent="0.25">
      <c r="T95" s="3"/>
      <c r="U95" s="16"/>
      <c r="V95" s="3"/>
      <c r="W95" s="17"/>
      <c r="X95" s="3"/>
      <c r="Y95" s="3"/>
      <c r="Z95" s="3"/>
      <c r="AA95" s="3"/>
      <c r="AB95" s="17"/>
      <c r="AC95" s="3"/>
      <c r="AD95" s="3"/>
      <c r="AE95" s="16"/>
      <c r="AF95" s="3"/>
      <c r="AG95" s="17"/>
      <c r="AH95" s="3"/>
      <c r="AI95" s="3"/>
      <c r="AJ95" s="16"/>
      <c r="AK95" s="3"/>
      <c r="AL95" s="17"/>
      <c r="AM95" s="3"/>
      <c r="AN95" s="3"/>
      <c r="AO95" s="3"/>
      <c r="AP95" s="3"/>
      <c r="AQ95" s="17"/>
      <c r="AR95" s="3"/>
      <c r="AS95" s="3"/>
      <c r="AT95" s="16"/>
      <c r="AU95" s="3"/>
      <c r="AV95" s="17"/>
      <c r="AW95" s="3"/>
      <c r="AX95" s="3"/>
      <c r="AY95" s="16"/>
      <c r="AZ95" s="3"/>
      <c r="BA95" s="17"/>
      <c r="BB95" s="3"/>
      <c r="BC95" s="3"/>
      <c r="BD95" s="3"/>
      <c r="BE95" s="3"/>
      <c r="BF95" s="17"/>
      <c r="BG95" s="3"/>
      <c r="BH95" s="3"/>
      <c r="BI95" s="16"/>
      <c r="BJ95" s="3"/>
      <c r="BK95" s="17"/>
      <c r="BL95" s="3"/>
      <c r="BM95" s="3"/>
      <c r="BN95" s="16"/>
      <c r="BO95" s="3"/>
      <c r="BP95" s="17"/>
      <c r="BQ95" s="3"/>
      <c r="BR95" s="3"/>
      <c r="BS95" s="3"/>
      <c r="BT95" s="3"/>
      <c r="BU95" s="17"/>
      <c r="BV95" s="3"/>
      <c r="BW95" s="3"/>
      <c r="BX95" s="16"/>
      <c r="BY95" s="3"/>
      <c r="BZ95" s="17"/>
      <c r="CA95" s="3"/>
      <c r="CB95" s="3"/>
      <c r="CC95" s="16"/>
      <c r="CD95" s="3"/>
      <c r="CE95" s="17"/>
      <c r="CF95" s="3"/>
      <c r="CG95" s="18"/>
      <c r="CH95" s="18"/>
      <c r="CI95" s="18"/>
      <c r="CJ95" s="17"/>
      <c r="CK95" s="18"/>
      <c r="CL95" s="3"/>
      <c r="CM95" s="16"/>
      <c r="CN95" s="3"/>
      <c r="CO95" s="17"/>
      <c r="CP95" s="3"/>
      <c r="CQ95" s="3"/>
      <c r="CR95" s="16"/>
      <c r="CS95" s="3"/>
      <c r="CT95" s="17"/>
      <c r="CU95" s="3"/>
      <c r="CV95" s="3"/>
      <c r="CW95" s="3"/>
      <c r="CX95" s="3"/>
      <c r="CY95" s="17"/>
      <c r="CZ95" s="3"/>
      <c r="DA95" s="3"/>
      <c r="DB95" s="16"/>
      <c r="DC95" s="3"/>
      <c r="DD95" s="17"/>
      <c r="DE95" s="3"/>
      <c r="DF95" s="3"/>
      <c r="DG95" s="16"/>
      <c r="DH95" s="3"/>
      <c r="DI95" s="17"/>
      <c r="DJ95" s="3"/>
      <c r="DK95" s="3"/>
      <c r="DL95" s="3"/>
      <c r="DM95" s="3"/>
      <c r="DN95" s="17"/>
      <c r="DO95" s="3"/>
      <c r="DP95" s="3"/>
      <c r="DQ95" s="16"/>
      <c r="DR95" s="3"/>
      <c r="DS95" s="17"/>
      <c r="DT95" s="3"/>
      <c r="DU95" s="3"/>
      <c r="DV95" s="16"/>
      <c r="DW95" s="3"/>
      <c r="DX95" s="17"/>
      <c r="DY95" s="3"/>
      <c r="DZ95" s="3"/>
      <c r="EA95" s="3"/>
      <c r="EB95" s="3"/>
      <c r="EC95" s="17"/>
      <c r="ED95" s="3"/>
      <c r="EE95" s="3"/>
      <c r="EF95" s="16"/>
      <c r="EG95" s="3"/>
      <c r="EH95" s="17"/>
      <c r="EI95" s="3"/>
      <c r="EJ95" s="3"/>
      <c r="EK95" s="16"/>
      <c r="EL95" s="3"/>
      <c r="EM95" s="17"/>
      <c r="EN95" s="3"/>
      <c r="EO95" s="3"/>
      <c r="EP95" s="3"/>
      <c r="EQ95" s="3"/>
      <c r="ER95" s="17"/>
      <c r="ES95" s="3"/>
      <c r="ET95" s="3"/>
      <c r="EU95" s="16"/>
      <c r="EV95" s="3"/>
      <c r="EW95" s="17"/>
      <c r="EX95" s="3"/>
    </row>
    <row r="96" spans="20:154" s="25" customFormat="1" x14ac:dyDescent="0.25">
      <c r="T96" s="3"/>
      <c r="U96" s="16"/>
      <c r="V96" s="3"/>
      <c r="W96" s="17"/>
      <c r="X96" s="3"/>
      <c r="Y96" s="3"/>
      <c r="Z96" s="3"/>
      <c r="AA96" s="3"/>
      <c r="AB96" s="17"/>
      <c r="AC96" s="3"/>
      <c r="AD96" s="3"/>
      <c r="AE96" s="16"/>
      <c r="AF96" s="3"/>
      <c r="AG96" s="17"/>
      <c r="AH96" s="3"/>
      <c r="AI96" s="3"/>
      <c r="AJ96" s="16"/>
      <c r="AK96" s="3"/>
      <c r="AL96" s="17"/>
      <c r="AM96" s="3"/>
      <c r="AN96" s="3"/>
      <c r="AO96" s="3"/>
      <c r="AP96" s="3"/>
      <c r="AQ96" s="17"/>
      <c r="AR96" s="3"/>
      <c r="AS96" s="3"/>
      <c r="AT96" s="16"/>
      <c r="AU96" s="3"/>
      <c r="AV96" s="17"/>
      <c r="AW96" s="3"/>
      <c r="AX96" s="3"/>
      <c r="AY96" s="16"/>
      <c r="AZ96" s="3"/>
      <c r="BA96" s="17"/>
      <c r="BB96" s="3"/>
      <c r="BC96" s="3"/>
      <c r="BD96" s="3"/>
      <c r="BE96" s="3"/>
      <c r="BF96" s="17"/>
      <c r="BG96" s="3"/>
      <c r="BH96" s="3"/>
      <c r="BI96" s="16"/>
      <c r="BJ96" s="3"/>
      <c r="BK96" s="17"/>
      <c r="BL96" s="3"/>
      <c r="BM96" s="3"/>
      <c r="BN96" s="16"/>
      <c r="BO96" s="3"/>
      <c r="BP96" s="17"/>
      <c r="BQ96" s="3"/>
      <c r="BR96" s="3"/>
      <c r="BS96" s="3"/>
      <c r="BT96" s="3"/>
      <c r="BU96" s="17"/>
      <c r="BV96" s="3"/>
      <c r="BW96" s="3"/>
      <c r="BX96" s="16"/>
      <c r="BY96" s="3"/>
      <c r="BZ96" s="17"/>
      <c r="CA96" s="3"/>
      <c r="CB96" s="3"/>
      <c r="CC96" s="16"/>
      <c r="CD96" s="3"/>
      <c r="CE96" s="17"/>
      <c r="CF96" s="3"/>
      <c r="CG96" s="18"/>
      <c r="CH96" s="18"/>
      <c r="CI96" s="18"/>
      <c r="CJ96" s="17"/>
      <c r="CK96" s="18"/>
      <c r="CL96" s="3"/>
      <c r="CM96" s="16"/>
      <c r="CN96" s="3"/>
      <c r="CO96" s="17"/>
      <c r="CP96" s="3"/>
      <c r="CQ96" s="3"/>
      <c r="CR96" s="16"/>
      <c r="CS96" s="3"/>
      <c r="CT96" s="17"/>
      <c r="CU96" s="3"/>
      <c r="CV96" s="3"/>
      <c r="CW96" s="3"/>
      <c r="CX96" s="3"/>
      <c r="CY96" s="17"/>
      <c r="CZ96" s="3"/>
      <c r="DA96" s="3"/>
      <c r="DB96" s="16"/>
      <c r="DC96" s="3"/>
      <c r="DD96" s="17"/>
      <c r="DE96" s="3"/>
      <c r="DF96" s="3"/>
      <c r="DG96" s="16"/>
      <c r="DH96" s="3"/>
      <c r="DI96" s="17"/>
      <c r="DJ96" s="3"/>
      <c r="DK96" s="3"/>
      <c r="DL96" s="3"/>
      <c r="DM96" s="3"/>
      <c r="DN96" s="17"/>
      <c r="DO96" s="3"/>
      <c r="DP96" s="3"/>
      <c r="DQ96" s="16"/>
      <c r="DR96" s="3"/>
      <c r="DS96" s="17"/>
      <c r="DT96" s="3"/>
      <c r="DU96" s="3"/>
      <c r="DV96" s="16"/>
      <c r="DW96" s="3"/>
      <c r="DX96" s="17"/>
      <c r="DY96" s="3"/>
      <c r="DZ96" s="3"/>
      <c r="EA96" s="3"/>
      <c r="EB96" s="3"/>
      <c r="EC96" s="17"/>
      <c r="ED96" s="3"/>
      <c r="EE96" s="3"/>
      <c r="EF96" s="16"/>
      <c r="EG96" s="3"/>
      <c r="EH96" s="17"/>
      <c r="EI96" s="3"/>
      <c r="EJ96" s="3"/>
      <c r="EK96" s="16"/>
      <c r="EL96" s="3"/>
      <c r="EM96" s="17"/>
      <c r="EN96" s="3"/>
      <c r="EO96" s="3"/>
      <c r="EP96" s="3"/>
      <c r="EQ96" s="3"/>
      <c r="ER96" s="17"/>
      <c r="ES96" s="3"/>
      <c r="ET96" s="3"/>
      <c r="EU96" s="16"/>
      <c r="EV96" s="3"/>
      <c r="EW96" s="17"/>
      <c r="EX96" s="3"/>
    </row>
    <row r="97" spans="20:154" s="25" customFormat="1" x14ac:dyDescent="0.25">
      <c r="T97" s="3"/>
      <c r="U97" s="16"/>
      <c r="V97" s="3"/>
      <c r="W97" s="17"/>
      <c r="X97" s="3"/>
      <c r="Y97" s="3"/>
      <c r="Z97" s="3"/>
      <c r="AA97" s="3"/>
      <c r="AB97" s="17"/>
      <c r="AC97" s="3"/>
      <c r="AD97" s="3"/>
      <c r="AE97" s="16"/>
      <c r="AF97" s="3"/>
      <c r="AG97" s="17"/>
      <c r="AH97" s="3"/>
      <c r="AI97" s="3"/>
      <c r="AJ97" s="16"/>
      <c r="AK97" s="3"/>
      <c r="AL97" s="17"/>
      <c r="AM97" s="3"/>
      <c r="AN97" s="3"/>
      <c r="AO97" s="3"/>
      <c r="AP97" s="3"/>
      <c r="AQ97" s="17"/>
      <c r="AR97" s="3"/>
      <c r="AS97" s="3"/>
      <c r="AT97" s="16"/>
      <c r="AU97" s="3"/>
      <c r="AV97" s="17"/>
      <c r="AW97" s="3"/>
      <c r="AX97" s="3"/>
      <c r="AY97" s="16"/>
      <c r="AZ97" s="3"/>
      <c r="BA97" s="17"/>
      <c r="BB97" s="3"/>
      <c r="BC97" s="3"/>
      <c r="BD97" s="3"/>
      <c r="BE97" s="3"/>
      <c r="BF97" s="17"/>
      <c r="BG97" s="3"/>
      <c r="BH97" s="3"/>
      <c r="BI97" s="16"/>
      <c r="BJ97" s="3"/>
      <c r="BK97" s="17"/>
      <c r="BL97" s="3"/>
      <c r="BM97" s="3"/>
      <c r="BN97" s="16"/>
      <c r="BO97" s="3"/>
      <c r="BP97" s="17"/>
      <c r="BQ97" s="3"/>
      <c r="BR97" s="3"/>
      <c r="BS97" s="3"/>
      <c r="BT97" s="3"/>
      <c r="BU97" s="17"/>
      <c r="BV97" s="3"/>
      <c r="BW97" s="3"/>
      <c r="BX97" s="16"/>
      <c r="BY97" s="3"/>
      <c r="BZ97" s="17"/>
      <c r="CA97" s="3"/>
      <c r="CB97" s="3"/>
      <c r="CC97" s="16"/>
      <c r="CD97" s="3"/>
      <c r="CE97" s="17"/>
      <c r="CF97" s="3"/>
      <c r="CG97" s="18"/>
      <c r="CH97" s="18"/>
      <c r="CI97" s="18"/>
      <c r="CJ97" s="17"/>
      <c r="CK97" s="18"/>
      <c r="CL97" s="3"/>
      <c r="CM97" s="16"/>
      <c r="CN97" s="3"/>
      <c r="CO97" s="17"/>
      <c r="CP97" s="3"/>
      <c r="CQ97" s="3"/>
      <c r="CR97" s="16"/>
      <c r="CS97" s="3"/>
      <c r="CT97" s="17"/>
      <c r="CU97" s="3"/>
      <c r="CV97" s="3"/>
      <c r="CW97" s="3"/>
      <c r="CX97" s="3"/>
      <c r="CY97" s="17"/>
      <c r="CZ97" s="3"/>
      <c r="DA97" s="3"/>
      <c r="DB97" s="16"/>
      <c r="DC97" s="3"/>
      <c r="DD97" s="17"/>
      <c r="DE97" s="3"/>
      <c r="DF97" s="3"/>
      <c r="DG97" s="16"/>
      <c r="DH97" s="3"/>
      <c r="DI97" s="17"/>
      <c r="DJ97" s="3"/>
      <c r="DK97" s="3"/>
      <c r="DL97" s="3"/>
      <c r="DM97" s="3"/>
      <c r="DN97" s="17"/>
      <c r="DO97" s="3"/>
      <c r="DP97" s="3"/>
      <c r="DQ97" s="16"/>
      <c r="DR97" s="3"/>
      <c r="DS97" s="17"/>
      <c r="DT97" s="3"/>
      <c r="DU97" s="3"/>
      <c r="DV97" s="16"/>
      <c r="DW97" s="3"/>
      <c r="DX97" s="17"/>
      <c r="DY97" s="3"/>
      <c r="DZ97" s="3"/>
      <c r="EA97" s="3"/>
      <c r="EB97" s="3"/>
      <c r="EC97" s="17"/>
      <c r="ED97" s="3"/>
      <c r="EE97" s="3"/>
      <c r="EF97" s="16"/>
      <c r="EG97" s="3"/>
      <c r="EH97" s="17"/>
      <c r="EI97" s="3"/>
      <c r="EJ97" s="3"/>
      <c r="EK97" s="16"/>
      <c r="EL97" s="3"/>
      <c r="EM97" s="17"/>
      <c r="EN97" s="3"/>
      <c r="EO97" s="3"/>
      <c r="EP97" s="3"/>
      <c r="EQ97" s="3"/>
      <c r="ER97" s="17"/>
      <c r="ES97" s="3"/>
      <c r="ET97" s="3"/>
      <c r="EU97" s="16"/>
      <c r="EV97" s="3"/>
      <c r="EW97" s="17"/>
      <c r="EX97" s="3"/>
    </row>
    <row r="98" spans="20:154" s="25" customFormat="1" x14ac:dyDescent="0.25">
      <c r="T98" s="3"/>
      <c r="U98" s="16"/>
      <c r="V98" s="3"/>
      <c r="W98" s="17"/>
      <c r="X98" s="3"/>
      <c r="Y98" s="3"/>
      <c r="Z98" s="3"/>
      <c r="AA98" s="3"/>
      <c r="AB98" s="17"/>
      <c r="AC98" s="3"/>
      <c r="AD98" s="3"/>
      <c r="AE98" s="16"/>
      <c r="AF98" s="3"/>
      <c r="AG98" s="17"/>
      <c r="AH98" s="3"/>
      <c r="AI98" s="3"/>
      <c r="AJ98" s="16"/>
      <c r="AK98" s="3"/>
      <c r="AL98" s="17"/>
      <c r="AM98" s="3"/>
      <c r="AN98" s="3"/>
      <c r="AO98" s="3"/>
      <c r="AP98" s="3"/>
      <c r="AQ98" s="17"/>
      <c r="AR98" s="3"/>
      <c r="AS98" s="3"/>
      <c r="AT98" s="16"/>
      <c r="AU98" s="3"/>
      <c r="AV98" s="17"/>
      <c r="AW98" s="3"/>
      <c r="AX98" s="3"/>
      <c r="AY98" s="16"/>
      <c r="AZ98" s="3"/>
      <c r="BA98" s="17"/>
      <c r="BB98" s="3"/>
      <c r="BC98" s="3"/>
      <c r="BD98" s="3"/>
      <c r="BE98" s="3"/>
      <c r="BF98" s="17"/>
      <c r="BG98" s="3"/>
      <c r="BH98" s="3"/>
      <c r="BI98" s="16"/>
      <c r="BJ98" s="3"/>
      <c r="BK98" s="17"/>
      <c r="BL98" s="3"/>
      <c r="BM98" s="3"/>
      <c r="BN98" s="16"/>
      <c r="BO98" s="3"/>
      <c r="BP98" s="17"/>
      <c r="BQ98" s="3"/>
      <c r="BR98" s="3"/>
      <c r="BS98" s="3"/>
      <c r="BT98" s="3"/>
      <c r="BU98" s="17"/>
      <c r="BV98" s="3"/>
      <c r="BW98" s="3"/>
      <c r="BX98" s="16"/>
      <c r="BY98" s="3"/>
      <c r="BZ98" s="17"/>
      <c r="CA98" s="3"/>
      <c r="CB98" s="3"/>
      <c r="CC98" s="16"/>
      <c r="CD98" s="3"/>
      <c r="CE98" s="17"/>
      <c r="CF98" s="3"/>
      <c r="CG98" s="18"/>
      <c r="CH98" s="18"/>
      <c r="CI98" s="18"/>
      <c r="CJ98" s="17"/>
      <c r="CK98" s="18"/>
      <c r="CL98" s="3"/>
      <c r="CM98" s="16"/>
      <c r="CN98" s="3"/>
      <c r="CO98" s="17"/>
      <c r="CP98" s="3"/>
      <c r="CQ98" s="3"/>
      <c r="CR98" s="16"/>
      <c r="CS98" s="3"/>
      <c r="CT98" s="17"/>
      <c r="CU98" s="3"/>
      <c r="CV98" s="3"/>
      <c r="CW98" s="3"/>
      <c r="CX98" s="3"/>
      <c r="CY98" s="17"/>
      <c r="CZ98" s="3"/>
      <c r="DA98" s="3"/>
      <c r="DB98" s="16"/>
      <c r="DC98" s="3"/>
      <c r="DD98" s="17"/>
      <c r="DE98" s="3"/>
      <c r="DF98" s="3"/>
      <c r="DG98" s="16"/>
      <c r="DH98" s="3"/>
      <c r="DI98" s="17"/>
      <c r="DJ98" s="3"/>
      <c r="DK98" s="3"/>
      <c r="DL98" s="3"/>
      <c r="DM98" s="3"/>
      <c r="DN98" s="17"/>
      <c r="DO98" s="3"/>
      <c r="DP98" s="3"/>
      <c r="DQ98" s="16"/>
      <c r="DR98" s="3"/>
      <c r="DS98" s="17"/>
      <c r="DT98" s="3"/>
      <c r="DU98" s="3"/>
      <c r="DV98" s="16"/>
      <c r="DW98" s="3"/>
      <c r="DX98" s="17"/>
      <c r="DY98" s="3"/>
      <c r="DZ98" s="3"/>
      <c r="EA98" s="3"/>
      <c r="EB98" s="3"/>
      <c r="EC98" s="17"/>
      <c r="ED98" s="3"/>
      <c r="EE98" s="3"/>
      <c r="EF98" s="16"/>
      <c r="EG98" s="3"/>
      <c r="EH98" s="17"/>
      <c r="EI98" s="3"/>
      <c r="EJ98" s="3"/>
      <c r="EK98" s="16"/>
      <c r="EL98" s="3"/>
      <c r="EM98" s="17"/>
      <c r="EN98" s="3"/>
      <c r="EO98" s="3"/>
      <c r="EP98" s="3"/>
      <c r="EQ98" s="3"/>
      <c r="ER98" s="17"/>
      <c r="ES98" s="3"/>
      <c r="ET98" s="3"/>
      <c r="EU98" s="16"/>
      <c r="EV98" s="3"/>
      <c r="EW98" s="17"/>
      <c r="EX98" s="3"/>
    </row>
    <row r="99" spans="20:154" s="25" customFormat="1" x14ac:dyDescent="0.25">
      <c r="T99" s="3"/>
      <c r="U99" s="16"/>
      <c r="V99" s="3"/>
      <c r="W99" s="17"/>
      <c r="X99" s="3"/>
      <c r="Y99" s="3"/>
      <c r="Z99" s="3"/>
      <c r="AA99" s="3"/>
      <c r="AB99" s="17"/>
      <c r="AC99" s="3"/>
      <c r="AD99" s="3"/>
      <c r="AE99" s="16"/>
      <c r="AF99" s="3"/>
      <c r="AG99" s="17"/>
      <c r="AH99" s="3"/>
      <c r="AI99" s="3"/>
      <c r="AJ99" s="16"/>
      <c r="AK99" s="3"/>
      <c r="AL99" s="17"/>
      <c r="AM99" s="3"/>
      <c r="AN99" s="3"/>
      <c r="AO99" s="3"/>
      <c r="AP99" s="3"/>
      <c r="AQ99" s="17"/>
      <c r="AR99" s="3"/>
      <c r="AS99" s="3"/>
      <c r="AT99" s="16"/>
      <c r="AU99" s="3"/>
      <c r="AV99" s="17"/>
      <c r="AW99" s="3"/>
      <c r="AX99" s="3"/>
      <c r="AY99" s="16"/>
      <c r="AZ99" s="3"/>
      <c r="BA99" s="17"/>
      <c r="BB99" s="3"/>
      <c r="BC99" s="3"/>
      <c r="BD99" s="3"/>
      <c r="BE99" s="3"/>
      <c r="BF99" s="17"/>
      <c r="BG99" s="3"/>
      <c r="BH99" s="3"/>
      <c r="BI99" s="16"/>
      <c r="BJ99" s="3"/>
      <c r="BK99" s="17"/>
      <c r="BL99" s="3"/>
      <c r="BM99" s="3"/>
      <c r="BN99" s="16"/>
      <c r="BO99" s="3"/>
      <c r="BP99" s="17"/>
      <c r="BQ99" s="3"/>
      <c r="BR99" s="3"/>
      <c r="BS99" s="3"/>
      <c r="BT99" s="3"/>
      <c r="BU99" s="17"/>
      <c r="BV99" s="3"/>
      <c r="BW99" s="3"/>
      <c r="BX99" s="16"/>
      <c r="BY99" s="3"/>
      <c r="BZ99" s="17"/>
      <c r="CA99" s="3"/>
      <c r="CB99" s="3"/>
      <c r="CC99" s="16"/>
      <c r="CD99" s="3"/>
      <c r="CE99" s="17"/>
      <c r="CF99" s="3"/>
      <c r="CG99" s="18"/>
      <c r="CH99" s="18"/>
      <c r="CI99" s="18"/>
      <c r="CJ99" s="17"/>
      <c r="CK99" s="18"/>
      <c r="CL99" s="3"/>
      <c r="CM99" s="16"/>
      <c r="CN99" s="3"/>
      <c r="CO99" s="17"/>
      <c r="CP99" s="3"/>
      <c r="CQ99" s="3"/>
      <c r="CR99" s="16"/>
      <c r="CS99" s="3"/>
      <c r="CT99" s="17"/>
      <c r="CU99" s="3"/>
      <c r="CV99" s="3"/>
      <c r="CW99" s="3"/>
      <c r="CX99" s="3"/>
      <c r="CY99" s="17"/>
      <c r="CZ99" s="3"/>
      <c r="DA99" s="3"/>
      <c r="DB99" s="16"/>
      <c r="DC99" s="3"/>
      <c r="DD99" s="17"/>
      <c r="DE99" s="3"/>
      <c r="DF99" s="3"/>
      <c r="DG99" s="16"/>
      <c r="DH99" s="3"/>
      <c r="DI99" s="17"/>
      <c r="DJ99" s="3"/>
      <c r="DK99" s="3"/>
      <c r="DL99" s="3"/>
      <c r="DM99" s="3"/>
      <c r="DN99" s="17"/>
      <c r="DO99" s="3"/>
      <c r="DP99" s="3"/>
      <c r="DQ99" s="16"/>
      <c r="DR99" s="3"/>
      <c r="DS99" s="17"/>
      <c r="DT99" s="3"/>
      <c r="DU99" s="3"/>
      <c r="DV99" s="16"/>
      <c r="DW99" s="3"/>
      <c r="DX99" s="17"/>
      <c r="DY99" s="3"/>
      <c r="DZ99" s="3"/>
      <c r="EA99" s="3"/>
      <c r="EB99" s="3"/>
      <c r="EC99" s="17"/>
      <c r="ED99" s="3"/>
      <c r="EE99" s="3"/>
      <c r="EF99" s="16"/>
      <c r="EG99" s="3"/>
      <c r="EH99" s="17"/>
      <c r="EI99" s="3"/>
      <c r="EJ99" s="3"/>
      <c r="EK99" s="16"/>
      <c r="EL99" s="3"/>
      <c r="EM99" s="17"/>
      <c r="EN99" s="3"/>
      <c r="EO99" s="3"/>
      <c r="EP99" s="3"/>
      <c r="EQ99" s="3"/>
      <c r="ER99" s="17"/>
      <c r="ES99" s="3"/>
      <c r="ET99" s="3"/>
      <c r="EU99" s="16"/>
      <c r="EV99" s="3"/>
      <c r="EW99" s="17"/>
      <c r="EX99" s="3"/>
    </row>
    <row r="100" spans="20:154" s="25" customFormat="1" x14ac:dyDescent="0.25">
      <c r="T100" s="3"/>
      <c r="U100" s="16"/>
      <c r="V100" s="3"/>
      <c r="W100" s="17"/>
      <c r="X100" s="3"/>
      <c r="Y100" s="3"/>
      <c r="Z100" s="3"/>
      <c r="AA100" s="3"/>
      <c r="AB100" s="17"/>
      <c r="AC100" s="3"/>
      <c r="AD100" s="3"/>
      <c r="AE100" s="16"/>
      <c r="AF100" s="3"/>
      <c r="AG100" s="17"/>
      <c r="AH100" s="3"/>
      <c r="AI100" s="3"/>
      <c r="AJ100" s="16"/>
      <c r="AK100" s="3"/>
      <c r="AL100" s="17"/>
      <c r="AM100" s="3"/>
      <c r="AN100" s="3"/>
      <c r="AO100" s="3"/>
      <c r="AP100" s="3"/>
      <c r="AQ100" s="17"/>
      <c r="AR100" s="3"/>
      <c r="AS100" s="3"/>
      <c r="AT100" s="16"/>
      <c r="AU100" s="3"/>
      <c r="AV100" s="17"/>
      <c r="AW100" s="3"/>
      <c r="AX100" s="3"/>
      <c r="AY100" s="16"/>
      <c r="AZ100" s="3"/>
      <c r="BA100" s="17"/>
      <c r="BB100" s="3"/>
      <c r="BC100" s="3"/>
      <c r="BD100" s="3"/>
      <c r="BE100" s="3"/>
      <c r="BF100" s="17"/>
      <c r="BG100" s="3"/>
      <c r="BH100" s="3"/>
      <c r="BI100" s="16"/>
      <c r="BJ100" s="3"/>
      <c r="BK100" s="17"/>
      <c r="BL100" s="3"/>
      <c r="BM100" s="3"/>
      <c r="BN100" s="16"/>
      <c r="BO100" s="3"/>
      <c r="BP100" s="17"/>
      <c r="BQ100" s="3"/>
      <c r="BR100" s="3"/>
      <c r="BS100" s="3"/>
      <c r="BT100" s="3"/>
      <c r="BU100" s="17"/>
      <c r="BV100" s="3"/>
      <c r="BW100" s="3"/>
      <c r="BX100" s="16"/>
      <c r="BY100" s="3"/>
      <c r="BZ100" s="17"/>
      <c r="CA100" s="3"/>
      <c r="CB100" s="3"/>
      <c r="CC100" s="16"/>
      <c r="CD100" s="3"/>
      <c r="CE100" s="17"/>
      <c r="CF100" s="3"/>
      <c r="CG100" s="18"/>
      <c r="CH100" s="18"/>
      <c r="CI100" s="18"/>
      <c r="CJ100" s="17"/>
      <c r="CK100" s="18"/>
      <c r="CL100" s="3"/>
      <c r="CM100" s="16"/>
      <c r="CN100" s="3"/>
      <c r="CO100" s="17"/>
      <c r="CP100" s="3"/>
      <c r="CQ100" s="3"/>
      <c r="CR100" s="16"/>
      <c r="CS100" s="3"/>
      <c r="CT100" s="17"/>
      <c r="CU100" s="3"/>
      <c r="CV100" s="3"/>
      <c r="CW100" s="3"/>
      <c r="CX100" s="3"/>
      <c r="CY100" s="17"/>
      <c r="CZ100" s="3"/>
      <c r="DA100" s="3"/>
      <c r="DB100" s="16"/>
      <c r="DC100" s="3"/>
      <c r="DD100" s="17"/>
      <c r="DE100" s="3"/>
      <c r="DF100" s="3"/>
      <c r="DG100" s="16"/>
      <c r="DH100" s="3"/>
      <c r="DI100" s="17"/>
      <c r="DJ100" s="3"/>
      <c r="DK100" s="3"/>
      <c r="DL100" s="3"/>
      <c r="DM100" s="3"/>
      <c r="DN100" s="17"/>
      <c r="DO100" s="3"/>
      <c r="DP100" s="3"/>
      <c r="DQ100" s="16"/>
      <c r="DR100" s="3"/>
      <c r="DS100" s="17"/>
      <c r="DT100" s="3"/>
      <c r="DU100" s="3"/>
      <c r="DV100" s="16"/>
      <c r="DW100" s="3"/>
      <c r="DX100" s="17"/>
      <c r="DY100" s="3"/>
      <c r="DZ100" s="3"/>
      <c r="EA100" s="3"/>
      <c r="EB100" s="3"/>
      <c r="EC100" s="17"/>
      <c r="ED100" s="3"/>
      <c r="EE100" s="3"/>
      <c r="EF100" s="16"/>
      <c r="EG100" s="3"/>
      <c r="EH100" s="17"/>
      <c r="EI100" s="3"/>
      <c r="EJ100" s="3"/>
      <c r="EK100" s="16"/>
      <c r="EL100" s="3"/>
      <c r="EM100" s="17"/>
      <c r="EN100" s="3"/>
      <c r="EO100" s="3"/>
      <c r="EP100" s="3"/>
      <c r="EQ100" s="3"/>
      <c r="ER100" s="17"/>
      <c r="ES100" s="3"/>
      <c r="ET100" s="3"/>
      <c r="EU100" s="16"/>
      <c r="EV100" s="3"/>
      <c r="EW100" s="17"/>
      <c r="EX100" s="3"/>
    </row>
    <row r="101" spans="20:154" s="25" customFormat="1" x14ac:dyDescent="0.25">
      <c r="T101" s="3"/>
      <c r="U101" s="16"/>
      <c r="V101" s="3"/>
      <c r="W101" s="17"/>
      <c r="X101" s="3"/>
      <c r="Y101" s="3"/>
      <c r="Z101" s="3"/>
      <c r="AA101" s="3"/>
      <c r="AB101" s="17"/>
      <c r="AC101" s="3"/>
      <c r="AD101" s="3"/>
      <c r="AE101" s="16"/>
      <c r="AF101" s="3"/>
      <c r="AG101" s="17"/>
      <c r="AH101" s="3"/>
      <c r="AI101" s="3"/>
      <c r="AJ101" s="16"/>
      <c r="AK101" s="3"/>
      <c r="AL101" s="17"/>
      <c r="AM101" s="3"/>
      <c r="AN101" s="3"/>
      <c r="AO101" s="3"/>
      <c r="AP101" s="3"/>
      <c r="AQ101" s="17"/>
      <c r="AR101" s="3"/>
      <c r="AS101" s="3"/>
      <c r="AT101" s="16"/>
      <c r="AU101" s="3"/>
      <c r="AV101" s="17"/>
      <c r="AW101" s="3"/>
      <c r="AX101" s="3"/>
      <c r="AY101" s="16"/>
      <c r="AZ101" s="3"/>
      <c r="BA101" s="17"/>
      <c r="BB101" s="3"/>
      <c r="BC101" s="3"/>
      <c r="BD101" s="3"/>
      <c r="BE101" s="3"/>
      <c r="BF101" s="17"/>
      <c r="BG101" s="3"/>
      <c r="BH101" s="3"/>
      <c r="BI101" s="16"/>
      <c r="BJ101" s="3"/>
      <c r="BK101" s="17"/>
      <c r="BL101" s="3"/>
      <c r="BM101" s="3"/>
      <c r="BN101" s="16"/>
      <c r="BO101" s="3"/>
      <c r="BP101" s="17"/>
      <c r="BQ101" s="3"/>
      <c r="BR101" s="3"/>
      <c r="BS101" s="3"/>
      <c r="BT101" s="3"/>
      <c r="BU101" s="17"/>
      <c r="BV101" s="3"/>
      <c r="BW101" s="3"/>
      <c r="BX101" s="16"/>
      <c r="BY101" s="3"/>
      <c r="BZ101" s="17"/>
      <c r="CA101" s="3"/>
      <c r="CB101" s="3"/>
      <c r="CC101" s="16"/>
      <c r="CD101" s="3"/>
      <c r="CE101" s="17"/>
      <c r="CF101" s="3"/>
      <c r="CG101" s="18"/>
      <c r="CH101" s="18"/>
      <c r="CI101" s="18"/>
      <c r="CJ101" s="17"/>
      <c r="CK101" s="18"/>
      <c r="CL101" s="3"/>
      <c r="CM101" s="16"/>
      <c r="CN101" s="3"/>
      <c r="CO101" s="17"/>
      <c r="CP101" s="3"/>
      <c r="CQ101" s="3"/>
      <c r="CR101" s="16"/>
      <c r="CS101" s="3"/>
      <c r="CT101" s="17"/>
      <c r="CU101" s="3"/>
      <c r="CV101" s="3"/>
      <c r="CW101" s="3"/>
      <c r="CX101" s="3"/>
      <c r="CY101" s="17"/>
      <c r="CZ101" s="3"/>
      <c r="DA101" s="3"/>
      <c r="DB101" s="16"/>
      <c r="DC101" s="3"/>
      <c r="DD101" s="17"/>
      <c r="DE101" s="3"/>
      <c r="DF101" s="3"/>
      <c r="DG101" s="16"/>
      <c r="DH101" s="3"/>
      <c r="DI101" s="17"/>
      <c r="DJ101" s="3"/>
      <c r="DK101" s="3"/>
      <c r="DL101" s="3"/>
      <c r="DM101" s="3"/>
      <c r="DN101" s="17"/>
      <c r="DO101" s="3"/>
      <c r="DP101" s="3"/>
      <c r="DQ101" s="16"/>
      <c r="DR101" s="3"/>
      <c r="DS101" s="17"/>
      <c r="DT101" s="3"/>
      <c r="DU101" s="3"/>
      <c r="DV101" s="16"/>
      <c r="DW101" s="3"/>
      <c r="DX101" s="17"/>
      <c r="DY101" s="3"/>
      <c r="DZ101" s="3"/>
      <c r="EA101" s="3"/>
      <c r="EB101" s="3"/>
      <c r="EC101" s="17"/>
      <c r="ED101" s="3"/>
      <c r="EE101" s="3"/>
      <c r="EF101" s="16"/>
      <c r="EG101" s="3"/>
      <c r="EH101" s="17"/>
      <c r="EI101" s="3"/>
      <c r="EJ101" s="3"/>
      <c r="EK101" s="16"/>
      <c r="EL101" s="3"/>
      <c r="EM101" s="17"/>
      <c r="EN101" s="3"/>
      <c r="EO101" s="3"/>
      <c r="EP101" s="3"/>
      <c r="EQ101" s="3"/>
      <c r="ER101" s="17"/>
      <c r="ES101" s="3"/>
      <c r="ET101" s="3"/>
      <c r="EU101" s="16"/>
      <c r="EV101" s="3"/>
      <c r="EW101" s="17"/>
      <c r="EX101" s="3"/>
    </row>
    <row r="102" spans="20:154" s="25" customFormat="1" x14ac:dyDescent="0.25">
      <c r="T102" s="3"/>
      <c r="U102" s="16"/>
      <c r="V102" s="3"/>
      <c r="W102" s="17"/>
      <c r="X102" s="3"/>
      <c r="Y102" s="3"/>
      <c r="Z102" s="3"/>
      <c r="AA102" s="3"/>
      <c r="AB102" s="17"/>
      <c r="AC102" s="3"/>
      <c r="AD102" s="3"/>
      <c r="AE102" s="16"/>
      <c r="AF102" s="3"/>
      <c r="AG102" s="17"/>
      <c r="AH102" s="3"/>
      <c r="AI102" s="3"/>
      <c r="AJ102" s="16"/>
      <c r="AK102" s="3"/>
      <c r="AL102" s="17"/>
      <c r="AM102" s="3"/>
      <c r="AN102" s="3"/>
      <c r="AO102" s="3"/>
      <c r="AP102" s="3"/>
      <c r="AQ102" s="17"/>
      <c r="AR102" s="3"/>
      <c r="AS102" s="3"/>
      <c r="AT102" s="16"/>
      <c r="AU102" s="3"/>
      <c r="AV102" s="17"/>
      <c r="AW102" s="3"/>
      <c r="AX102" s="3"/>
      <c r="AY102" s="16"/>
      <c r="AZ102" s="3"/>
      <c r="BA102" s="17"/>
      <c r="BB102" s="3"/>
      <c r="BC102" s="3"/>
      <c r="BD102" s="3"/>
      <c r="BE102" s="3"/>
      <c r="BF102" s="17"/>
      <c r="BG102" s="3"/>
      <c r="BH102" s="3"/>
      <c r="BI102" s="16"/>
      <c r="BJ102" s="3"/>
      <c r="BK102" s="17"/>
      <c r="BL102" s="3"/>
      <c r="BM102" s="3"/>
      <c r="BN102" s="16"/>
      <c r="BO102" s="3"/>
      <c r="BP102" s="17"/>
      <c r="BQ102" s="3"/>
      <c r="BR102" s="3"/>
      <c r="BS102" s="3"/>
      <c r="BT102" s="3"/>
      <c r="BU102" s="17"/>
      <c r="BV102" s="3"/>
      <c r="BW102" s="3"/>
      <c r="BX102" s="16"/>
      <c r="BY102" s="3"/>
      <c r="BZ102" s="17"/>
      <c r="CA102" s="3"/>
      <c r="CB102" s="3"/>
      <c r="CC102" s="16"/>
      <c r="CD102" s="3"/>
      <c r="CE102" s="17"/>
      <c r="CF102" s="3"/>
      <c r="CG102" s="18"/>
      <c r="CH102" s="18"/>
      <c r="CI102" s="18"/>
      <c r="CJ102" s="17"/>
      <c r="CK102" s="18"/>
      <c r="CL102" s="3"/>
      <c r="CM102" s="16"/>
      <c r="CN102" s="3"/>
      <c r="CO102" s="17"/>
      <c r="CP102" s="3"/>
      <c r="CQ102" s="3"/>
      <c r="CR102" s="16"/>
      <c r="CS102" s="3"/>
      <c r="CT102" s="17"/>
      <c r="CU102" s="3"/>
      <c r="CV102" s="3"/>
      <c r="CW102" s="3"/>
      <c r="CX102" s="3"/>
      <c r="CY102" s="17"/>
      <c r="CZ102" s="3"/>
      <c r="DA102" s="3"/>
      <c r="DB102" s="16"/>
      <c r="DC102" s="3"/>
      <c r="DD102" s="17"/>
      <c r="DE102" s="3"/>
      <c r="DF102" s="3"/>
      <c r="DG102" s="16"/>
      <c r="DH102" s="3"/>
      <c r="DI102" s="17"/>
      <c r="DJ102" s="3"/>
      <c r="DK102" s="3"/>
      <c r="DL102" s="3"/>
      <c r="DM102" s="3"/>
      <c r="DN102" s="17"/>
      <c r="DO102" s="3"/>
      <c r="DP102" s="3"/>
      <c r="DQ102" s="16"/>
      <c r="DR102" s="3"/>
      <c r="DS102" s="17"/>
      <c r="DT102" s="3"/>
      <c r="DU102" s="3"/>
      <c r="DV102" s="16"/>
      <c r="DW102" s="3"/>
      <c r="DX102" s="17"/>
      <c r="DY102" s="3"/>
      <c r="DZ102" s="3"/>
      <c r="EA102" s="3"/>
      <c r="EB102" s="3"/>
      <c r="EC102" s="17"/>
      <c r="ED102" s="3"/>
      <c r="EE102" s="3"/>
      <c r="EF102" s="16"/>
      <c r="EG102" s="3"/>
      <c r="EH102" s="17"/>
      <c r="EI102" s="3"/>
      <c r="EJ102" s="3"/>
      <c r="EK102" s="16"/>
      <c r="EL102" s="3"/>
      <c r="EM102" s="17"/>
      <c r="EN102" s="3"/>
      <c r="EO102" s="3"/>
      <c r="EP102" s="3"/>
      <c r="EQ102" s="3"/>
      <c r="ER102" s="17"/>
      <c r="ES102" s="3"/>
      <c r="ET102" s="3"/>
      <c r="EU102" s="16"/>
      <c r="EV102" s="3"/>
      <c r="EW102" s="17"/>
      <c r="EX102" s="3"/>
    </row>
    <row r="103" spans="20:154" s="25" customFormat="1" x14ac:dyDescent="0.25">
      <c r="T103" s="3"/>
      <c r="U103" s="16"/>
      <c r="V103" s="3"/>
      <c r="W103" s="17"/>
      <c r="X103" s="3"/>
      <c r="Y103" s="3"/>
      <c r="Z103" s="3"/>
      <c r="AA103" s="3"/>
      <c r="AB103" s="17"/>
      <c r="AC103" s="3"/>
      <c r="AD103" s="3"/>
      <c r="AE103" s="16"/>
      <c r="AF103" s="3"/>
      <c r="AG103" s="17"/>
      <c r="AH103" s="3"/>
      <c r="AI103" s="3"/>
      <c r="AJ103" s="16"/>
      <c r="AK103" s="3"/>
      <c r="AL103" s="17"/>
      <c r="AM103" s="3"/>
      <c r="AN103" s="3"/>
      <c r="AO103" s="3"/>
      <c r="AP103" s="3"/>
      <c r="AQ103" s="17"/>
      <c r="AR103" s="3"/>
      <c r="AS103" s="3"/>
      <c r="AT103" s="16"/>
      <c r="AU103" s="3"/>
      <c r="AV103" s="17"/>
      <c r="AW103" s="3"/>
      <c r="AX103" s="3"/>
      <c r="AY103" s="16"/>
      <c r="AZ103" s="3"/>
      <c r="BA103" s="17"/>
      <c r="BB103" s="3"/>
      <c r="BC103" s="3"/>
      <c r="BD103" s="3"/>
      <c r="BE103" s="3"/>
      <c r="BF103" s="17"/>
      <c r="BG103" s="3"/>
      <c r="BH103" s="3"/>
      <c r="BI103" s="16"/>
      <c r="BJ103" s="3"/>
      <c r="BK103" s="17"/>
      <c r="BL103" s="3"/>
      <c r="BM103" s="3"/>
      <c r="BN103" s="16"/>
      <c r="BO103" s="3"/>
      <c r="BP103" s="17"/>
      <c r="BQ103" s="3"/>
      <c r="BR103" s="3"/>
      <c r="BS103" s="3"/>
      <c r="BT103" s="3"/>
      <c r="BU103" s="17"/>
      <c r="BV103" s="3"/>
      <c r="BW103" s="3"/>
      <c r="BX103" s="16"/>
      <c r="BY103" s="3"/>
      <c r="BZ103" s="17"/>
      <c r="CA103" s="3"/>
      <c r="CB103" s="3"/>
      <c r="CC103" s="16"/>
      <c r="CD103" s="3"/>
      <c r="CE103" s="17"/>
      <c r="CF103" s="3"/>
      <c r="CG103" s="18"/>
      <c r="CH103" s="18"/>
      <c r="CI103" s="18"/>
      <c r="CJ103" s="17"/>
      <c r="CK103" s="18"/>
      <c r="CL103" s="3"/>
      <c r="CM103" s="16"/>
      <c r="CN103" s="3"/>
      <c r="CO103" s="17"/>
      <c r="CP103" s="3"/>
      <c r="CQ103" s="3"/>
      <c r="CR103" s="16"/>
      <c r="CS103" s="3"/>
      <c r="CT103" s="17"/>
      <c r="CU103" s="3"/>
      <c r="CV103" s="3"/>
      <c r="CW103" s="3"/>
      <c r="CX103" s="3"/>
      <c r="CY103" s="17"/>
      <c r="CZ103" s="3"/>
      <c r="DA103" s="3"/>
      <c r="DB103" s="16"/>
      <c r="DC103" s="3"/>
      <c r="DD103" s="17"/>
      <c r="DE103" s="3"/>
      <c r="DF103" s="3"/>
      <c r="DG103" s="16"/>
      <c r="DH103" s="3"/>
      <c r="DI103" s="17"/>
      <c r="DJ103" s="3"/>
      <c r="DK103" s="3"/>
      <c r="DL103" s="3"/>
      <c r="DM103" s="3"/>
      <c r="DN103" s="17"/>
      <c r="DO103" s="3"/>
      <c r="DP103" s="3"/>
      <c r="DQ103" s="16"/>
      <c r="DR103" s="3"/>
      <c r="DS103" s="17"/>
      <c r="DT103" s="3"/>
      <c r="DU103" s="3"/>
      <c r="DV103" s="16"/>
      <c r="DW103" s="3"/>
      <c r="DX103" s="17"/>
      <c r="DY103" s="3"/>
      <c r="DZ103" s="3"/>
      <c r="EA103" s="3"/>
      <c r="EB103" s="3"/>
      <c r="EC103" s="17"/>
      <c r="ED103" s="3"/>
      <c r="EE103" s="3"/>
      <c r="EF103" s="16"/>
      <c r="EG103" s="3"/>
      <c r="EH103" s="17"/>
      <c r="EI103" s="3"/>
      <c r="EJ103" s="3"/>
      <c r="EK103" s="16"/>
      <c r="EL103" s="3"/>
      <c r="EM103" s="17"/>
      <c r="EN103" s="3"/>
      <c r="EO103" s="3"/>
      <c r="EP103" s="3"/>
      <c r="EQ103" s="3"/>
      <c r="ER103" s="17"/>
      <c r="ES103" s="3"/>
      <c r="ET103" s="3"/>
      <c r="EU103" s="16"/>
      <c r="EV103" s="3"/>
      <c r="EW103" s="17"/>
      <c r="EX103" s="3"/>
    </row>
    <row r="104" spans="20:154" s="25" customFormat="1" x14ac:dyDescent="0.25">
      <c r="T104" s="3"/>
      <c r="U104" s="16"/>
      <c r="V104" s="3"/>
      <c r="W104" s="17"/>
      <c r="X104" s="3"/>
      <c r="Y104" s="3"/>
      <c r="Z104" s="3"/>
      <c r="AA104" s="3"/>
      <c r="AB104" s="17"/>
      <c r="AC104" s="3"/>
      <c r="AD104" s="3"/>
      <c r="AE104" s="16"/>
      <c r="AF104" s="3"/>
      <c r="AG104" s="17"/>
      <c r="AH104" s="3"/>
      <c r="AI104" s="3"/>
      <c r="AJ104" s="16"/>
      <c r="AK104" s="3"/>
      <c r="AL104" s="17"/>
      <c r="AM104" s="3"/>
      <c r="AN104" s="3"/>
      <c r="AO104" s="3"/>
      <c r="AP104" s="3"/>
      <c r="AQ104" s="17"/>
      <c r="AR104" s="3"/>
      <c r="AS104" s="3"/>
      <c r="AT104" s="16"/>
      <c r="AU104" s="3"/>
      <c r="AV104" s="17"/>
      <c r="AW104" s="3"/>
      <c r="AX104" s="3"/>
      <c r="AY104" s="16"/>
      <c r="AZ104" s="3"/>
      <c r="BA104" s="17"/>
      <c r="BB104" s="3"/>
      <c r="BC104" s="3"/>
      <c r="BD104" s="3"/>
      <c r="BE104" s="3"/>
      <c r="BF104" s="17"/>
      <c r="BG104" s="3"/>
      <c r="BH104" s="3"/>
      <c r="BI104" s="16"/>
      <c r="BJ104" s="3"/>
      <c r="BK104" s="17"/>
      <c r="BL104" s="3"/>
      <c r="BM104" s="3"/>
      <c r="BN104" s="16"/>
      <c r="BO104" s="3"/>
      <c r="BP104" s="17"/>
      <c r="BQ104" s="3"/>
      <c r="BR104" s="3"/>
      <c r="BS104" s="3"/>
      <c r="BT104" s="3"/>
      <c r="BU104" s="17"/>
      <c r="BV104" s="3"/>
      <c r="BW104" s="3"/>
      <c r="BX104" s="16"/>
      <c r="BY104" s="3"/>
      <c r="BZ104" s="17"/>
      <c r="CA104" s="3"/>
      <c r="CB104" s="3"/>
      <c r="CC104" s="16"/>
      <c r="CD104" s="3"/>
      <c r="CE104" s="17"/>
      <c r="CF104" s="3"/>
      <c r="CG104" s="18"/>
      <c r="CH104" s="18"/>
      <c r="CI104" s="18"/>
      <c r="CJ104" s="17"/>
      <c r="CK104" s="18"/>
      <c r="CL104" s="3"/>
      <c r="CM104" s="16"/>
      <c r="CN104" s="3"/>
      <c r="CO104" s="17"/>
      <c r="CP104" s="3"/>
      <c r="CQ104" s="3"/>
      <c r="CR104" s="16"/>
      <c r="CS104" s="3"/>
      <c r="CT104" s="17"/>
      <c r="CU104" s="3"/>
      <c r="CV104" s="3"/>
      <c r="CW104" s="3"/>
      <c r="CX104" s="3"/>
      <c r="CY104" s="17"/>
      <c r="CZ104" s="3"/>
      <c r="DA104" s="3"/>
      <c r="DB104" s="16"/>
      <c r="DC104" s="3"/>
      <c r="DD104" s="17"/>
      <c r="DE104" s="3"/>
      <c r="DF104" s="3"/>
      <c r="DG104" s="16"/>
      <c r="DH104" s="3"/>
      <c r="DI104" s="17"/>
      <c r="DJ104" s="3"/>
      <c r="DK104" s="3"/>
      <c r="DL104" s="3"/>
      <c r="DM104" s="3"/>
      <c r="DN104" s="17"/>
      <c r="DO104" s="3"/>
      <c r="DP104" s="3"/>
      <c r="DQ104" s="16"/>
      <c r="DR104" s="3"/>
      <c r="DS104" s="17"/>
      <c r="DT104" s="3"/>
      <c r="DU104" s="3"/>
      <c r="DV104" s="16"/>
      <c r="DW104" s="3"/>
      <c r="DX104" s="17"/>
      <c r="DY104" s="3"/>
      <c r="DZ104" s="3"/>
      <c r="EA104" s="3"/>
      <c r="EB104" s="3"/>
      <c r="EC104" s="17"/>
      <c r="ED104" s="3"/>
      <c r="EE104" s="3"/>
      <c r="EF104" s="16"/>
      <c r="EG104" s="3"/>
      <c r="EH104" s="17"/>
      <c r="EI104" s="3"/>
      <c r="EJ104" s="3"/>
      <c r="EK104" s="16"/>
      <c r="EL104" s="3"/>
      <c r="EM104" s="17"/>
      <c r="EN104" s="3"/>
      <c r="EO104" s="3"/>
      <c r="EP104" s="3"/>
      <c r="EQ104" s="3"/>
      <c r="ER104" s="17"/>
      <c r="ES104" s="3"/>
      <c r="ET104" s="3"/>
      <c r="EU104" s="16"/>
      <c r="EV104" s="3"/>
      <c r="EW104" s="17"/>
      <c r="EX104" s="3"/>
    </row>
    <row r="105" spans="20:154" s="25" customFormat="1" x14ac:dyDescent="0.25">
      <c r="T105" s="3"/>
      <c r="U105" s="16"/>
      <c r="V105" s="3"/>
      <c r="W105" s="17"/>
      <c r="X105" s="3"/>
      <c r="Y105" s="3"/>
      <c r="Z105" s="3"/>
      <c r="AA105" s="3"/>
      <c r="AB105" s="17"/>
      <c r="AC105" s="3"/>
      <c r="AD105" s="3"/>
      <c r="AE105" s="16"/>
      <c r="AF105" s="3"/>
      <c r="AG105" s="17"/>
      <c r="AH105" s="3"/>
      <c r="AI105" s="3"/>
      <c r="AJ105" s="16"/>
      <c r="AK105" s="3"/>
      <c r="AL105" s="17"/>
      <c r="AM105" s="3"/>
      <c r="AN105" s="3"/>
      <c r="AO105" s="3"/>
      <c r="AP105" s="3"/>
      <c r="AQ105" s="17"/>
      <c r="AR105" s="3"/>
      <c r="AS105" s="3"/>
      <c r="AT105" s="16"/>
      <c r="AU105" s="3"/>
      <c r="AV105" s="17"/>
      <c r="AW105" s="3"/>
      <c r="AX105" s="3"/>
      <c r="AY105" s="16"/>
      <c r="AZ105" s="3"/>
      <c r="BA105" s="17"/>
      <c r="BB105" s="3"/>
      <c r="BC105" s="3"/>
      <c r="BD105" s="3"/>
      <c r="BE105" s="3"/>
      <c r="BF105" s="17"/>
      <c r="BG105" s="3"/>
      <c r="BH105" s="3"/>
      <c r="BI105" s="16"/>
      <c r="BJ105" s="3"/>
      <c r="BK105" s="17"/>
      <c r="BL105" s="3"/>
      <c r="BM105" s="3"/>
      <c r="BN105" s="16"/>
      <c r="BO105" s="3"/>
      <c r="BP105" s="17"/>
      <c r="BQ105" s="3"/>
      <c r="BR105" s="3"/>
      <c r="BS105" s="3"/>
      <c r="BT105" s="3"/>
      <c r="BU105" s="17"/>
      <c r="BV105" s="3"/>
      <c r="BW105" s="3"/>
      <c r="BX105" s="16"/>
      <c r="BY105" s="3"/>
      <c r="BZ105" s="17"/>
      <c r="CA105" s="3"/>
      <c r="CB105" s="3"/>
      <c r="CC105" s="16"/>
      <c r="CD105" s="3"/>
      <c r="CE105" s="17"/>
      <c r="CF105" s="3"/>
      <c r="CG105" s="18"/>
      <c r="CH105" s="18"/>
      <c r="CI105" s="18"/>
      <c r="CJ105" s="17"/>
      <c r="CK105" s="18"/>
      <c r="CL105" s="3"/>
      <c r="CM105" s="16"/>
      <c r="CN105" s="3"/>
      <c r="CO105" s="17"/>
      <c r="CP105" s="3"/>
      <c r="CQ105" s="3"/>
      <c r="CR105" s="16"/>
      <c r="CS105" s="3"/>
      <c r="CT105" s="17"/>
      <c r="CU105" s="3"/>
      <c r="CV105" s="3"/>
      <c r="CW105" s="3"/>
      <c r="CX105" s="3"/>
      <c r="CY105" s="17"/>
      <c r="CZ105" s="3"/>
      <c r="DA105" s="3"/>
      <c r="DB105" s="16"/>
      <c r="DC105" s="3"/>
      <c r="DD105" s="17"/>
      <c r="DE105" s="3"/>
      <c r="DF105" s="3"/>
      <c r="DG105" s="16"/>
      <c r="DH105" s="3"/>
      <c r="DI105" s="17"/>
      <c r="DJ105" s="3"/>
      <c r="DK105" s="3"/>
      <c r="DL105" s="3"/>
      <c r="DM105" s="3"/>
      <c r="DN105" s="17"/>
      <c r="DO105" s="3"/>
      <c r="DP105" s="3"/>
      <c r="DQ105" s="16"/>
      <c r="DR105" s="3"/>
      <c r="DS105" s="17"/>
      <c r="DT105" s="3"/>
      <c r="DU105" s="3"/>
      <c r="DV105" s="16"/>
      <c r="DW105" s="3"/>
      <c r="DX105" s="17"/>
      <c r="DY105" s="3"/>
      <c r="DZ105" s="3"/>
      <c r="EA105" s="3"/>
      <c r="EB105" s="3"/>
      <c r="EC105" s="17"/>
      <c r="ED105" s="3"/>
      <c r="EE105" s="3"/>
      <c r="EF105" s="16"/>
      <c r="EG105" s="3"/>
      <c r="EH105" s="17"/>
      <c r="EI105" s="3"/>
      <c r="EJ105" s="3"/>
      <c r="EK105" s="16"/>
      <c r="EL105" s="3"/>
      <c r="EM105" s="17"/>
      <c r="EN105" s="3"/>
      <c r="EO105" s="3"/>
      <c r="EP105" s="3"/>
      <c r="EQ105" s="3"/>
      <c r="ER105" s="17"/>
      <c r="ES105" s="3"/>
      <c r="ET105" s="3"/>
      <c r="EU105" s="16"/>
      <c r="EV105" s="3"/>
      <c r="EW105" s="17"/>
      <c r="EX105" s="3"/>
    </row>
    <row r="106" spans="20:154" s="25" customFormat="1" x14ac:dyDescent="0.25">
      <c r="T106" s="3"/>
      <c r="U106" s="16"/>
      <c r="V106" s="3"/>
      <c r="W106" s="17"/>
      <c r="X106" s="3"/>
      <c r="Y106" s="3"/>
      <c r="Z106" s="3"/>
      <c r="AA106" s="3"/>
      <c r="AB106" s="17"/>
      <c r="AC106" s="3"/>
      <c r="AD106" s="3"/>
      <c r="AE106" s="16"/>
      <c r="AF106" s="3"/>
      <c r="AG106" s="17"/>
      <c r="AH106" s="3"/>
      <c r="AI106" s="3"/>
      <c r="AJ106" s="16"/>
      <c r="AK106" s="3"/>
      <c r="AL106" s="17"/>
      <c r="AM106" s="3"/>
      <c r="AN106" s="3"/>
      <c r="AO106" s="3"/>
      <c r="AP106" s="3"/>
      <c r="AQ106" s="17"/>
      <c r="AR106" s="3"/>
      <c r="AS106" s="3"/>
      <c r="AT106" s="16"/>
      <c r="AU106" s="3"/>
      <c r="AV106" s="17"/>
      <c r="AW106" s="3"/>
      <c r="AX106" s="3"/>
      <c r="AY106" s="16"/>
      <c r="AZ106" s="3"/>
      <c r="BA106" s="17"/>
      <c r="BB106" s="3"/>
      <c r="BC106" s="3"/>
      <c r="BD106" s="3"/>
      <c r="BE106" s="3"/>
      <c r="BF106" s="17"/>
      <c r="BG106" s="3"/>
      <c r="BH106" s="3"/>
      <c r="BI106" s="16"/>
      <c r="BJ106" s="3"/>
      <c r="BK106" s="17"/>
      <c r="BL106" s="3"/>
      <c r="BM106" s="3"/>
      <c r="BN106" s="16"/>
      <c r="BO106" s="3"/>
      <c r="BP106" s="17"/>
      <c r="BQ106" s="3"/>
      <c r="BR106" s="3"/>
      <c r="BS106" s="3"/>
      <c r="BT106" s="3"/>
      <c r="BU106" s="17"/>
      <c r="BV106" s="3"/>
      <c r="BW106" s="3"/>
      <c r="BX106" s="16"/>
      <c r="BY106" s="3"/>
      <c r="BZ106" s="17"/>
      <c r="CA106" s="3"/>
      <c r="CB106" s="3"/>
      <c r="CC106" s="16"/>
      <c r="CD106" s="3"/>
      <c r="CE106" s="17"/>
      <c r="CF106" s="3"/>
      <c r="CG106" s="18"/>
      <c r="CH106" s="18"/>
      <c r="CI106" s="18"/>
      <c r="CJ106" s="17"/>
      <c r="CK106" s="18"/>
      <c r="CL106" s="3"/>
      <c r="CM106" s="16"/>
      <c r="CN106" s="3"/>
      <c r="CO106" s="17"/>
      <c r="CP106" s="3"/>
      <c r="CQ106" s="3"/>
      <c r="CR106" s="16"/>
      <c r="CS106" s="3"/>
      <c r="CT106" s="17"/>
      <c r="CU106" s="3"/>
      <c r="CV106" s="3"/>
      <c r="CW106" s="3"/>
      <c r="CX106" s="3"/>
      <c r="CY106" s="17"/>
      <c r="CZ106" s="3"/>
      <c r="DA106" s="3"/>
      <c r="DB106" s="16"/>
      <c r="DC106" s="3"/>
      <c r="DD106" s="17"/>
      <c r="DE106" s="3"/>
      <c r="DF106" s="3"/>
      <c r="DG106" s="16"/>
      <c r="DH106" s="3"/>
      <c r="DI106" s="17"/>
      <c r="DJ106" s="3"/>
      <c r="DK106" s="3"/>
      <c r="DL106" s="3"/>
      <c r="DM106" s="3"/>
      <c r="DN106" s="17"/>
      <c r="DO106" s="3"/>
      <c r="DP106" s="3"/>
      <c r="DQ106" s="16"/>
      <c r="DR106" s="3"/>
      <c r="DS106" s="17"/>
      <c r="DT106" s="3"/>
      <c r="DU106" s="3"/>
      <c r="DV106" s="16"/>
      <c r="DW106" s="3"/>
      <c r="DX106" s="17"/>
      <c r="DY106" s="3"/>
      <c r="DZ106" s="3"/>
      <c r="EA106" s="3"/>
      <c r="EB106" s="3"/>
      <c r="EC106" s="17"/>
      <c r="ED106" s="3"/>
      <c r="EE106" s="3"/>
      <c r="EF106" s="16"/>
      <c r="EG106" s="3"/>
      <c r="EH106" s="17"/>
      <c r="EI106" s="3"/>
      <c r="EJ106" s="3"/>
      <c r="EK106" s="16"/>
      <c r="EL106" s="3"/>
      <c r="EM106" s="17"/>
      <c r="EN106" s="3"/>
      <c r="EO106" s="3"/>
      <c r="EP106" s="3"/>
      <c r="EQ106" s="3"/>
      <c r="ER106" s="17"/>
      <c r="ES106" s="3"/>
      <c r="ET106" s="3"/>
      <c r="EU106" s="16"/>
      <c r="EV106" s="3"/>
      <c r="EW106" s="17"/>
      <c r="EX106" s="3"/>
    </row>
    <row r="107" spans="20:154" s="25" customFormat="1" x14ac:dyDescent="0.25">
      <c r="T107" s="3"/>
      <c r="U107" s="16"/>
      <c r="V107" s="3"/>
      <c r="W107" s="17"/>
      <c r="X107" s="3"/>
      <c r="Y107" s="3"/>
      <c r="Z107" s="3"/>
      <c r="AA107" s="3"/>
      <c r="AB107" s="17"/>
      <c r="AC107" s="3"/>
      <c r="AD107" s="3"/>
      <c r="AE107" s="16"/>
      <c r="AF107" s="3"/>
      <c r="AG107" s="17"/>
      <c r="AH107" s="3"/>
      <c r="AI107" s="3"/>
      <c r="AJ107" s="16"/>
      <c r="AK107" s="3"/>
      <c r="AL107" s="17"/>
      <c r="AM107" s="3"/>
      <c r="AN107" s="3"/>
      <c r="AO107" s="3"/>
      <c r="AP107" s="3"/>
      <c r="AQ107" s="17"/>
      <c r="AR107" s="3"/>
      <c r="AS107" s="3"/>
      <c r="AT107" s="16"/>
      <c r="AU107" s="3"/>
      <c r="AV107" s="17"/>
      <c r="AW107" s="3"/>
      <c r="AX107" s="3"/>
      <c r="AY107" s="16"/>
      <c r="AZ107" s="3"/>
      <c r="BA107" s="17"/>
      <c r="BB107" s="3"/>
      <c r="BC107" s="3"/>
      <c r="BD107" s="3"/>
      <c r="BE107" s="3"/>
      <c r="BF107" s="17"/>
      <c r="BG107" s="3"/>
      <c r="BH107" s="3"/>
      <c r="BI107" s="16"/>
      <c r="BJ107" s="3"/>
      <c r="BK107" s="17"/>
      <c r="BL107" s="3"/>
      <c r="BM107" s="3"/>
      <c r="BN107" s="16"/>
      <c r="BO107" s="3"/>
      <c r="BP107" s="17"/>
      <c r="BQ107" s="3"/>
      <c r="BR107" s="3"/>
      <c r="BS107" s="3"/>
      <c r="BT107" s="3"/>
      <c r="BU107" s="17"/>
      <c r="BV107" s="3"/>
      <c r="BW107" s="3"/>
      <c r="BX107" s="16"/>
      <c r="BY107" s="3"/>
      <c r="BZ107" s="17"/>
      <c r="CA107" s="3"/>
      <c r="CB107" s="3"/>
      <c r="CC107" s="16"/>
      <c r="CD107" s="3"/>
      <c r="CE107" s="17"/>
      <c r="CF107" s="3"/>
      <c r="CG107" s="18"/>
      <c r="CH107" s="18"/>
      <c r="CI107" s="18"/>
      <c r="CJ107" s="17"/>
      <c r="CK107" s="18"/>
      <c r="CL107" s="3"/>
      <c r="CM107" s="16"/>
      <c r="CN107" s="3"/>
      <c r="CO107" s="17"/>
      <c r="CP107" s="3"/>
      <c r="CQ107" s="3"/>
      <c r="CR107" s="16"/>
      <c r="CS107" s="3"/>
      <c r="CT107" s="17"/>
      <c r="CU107" s="3"/>
      <c r="CV107" s="3"/>
      <c r="CW107" s="3"/>
      <c r="CX107" s="3"/>
      <c r="CY107" s="17"/>
      <c r="CZ107" s="3"/>
      <c r="DA107" s="3"/>
      <c r="DB107" s="16"/>
      <c r="DC107" s="3"/>
      <c r="DD107" s="17"/>
      <c r="DE107" s="3"/>
      <c r="DF107" s="3"/>
      <c r="DG107" s="16"/>
      <c r="DH107" s="3"/>
      <c r="DI107" s="17"/>
      <c r="DJ107" s="3"/>
      <c r="DK107" s="3"/>
      <c r="DL107" s="3"/>
      <c r="DM107" s="3"/>
      <c r="DN107" s="17"/>
      <c r="DO107" s="3"/>
      <c r="DP107" s="3"/>
      <c r="DQ107" s="16"/>
      <c r="DR107" s="3"/>
      <c r="DS107" s="17"/>
      <c r="DT107" s="3"/>
      <c r="DU107" s="3"/>
      <c r="DV107" s="16"/>
      <c r="DW107" s="3"/>
      <c r="DX107" s="17"/>
      <c r="DY107" s="3"/>
      <c r="DZ107" s="3"/>
      <c r="EA107" s="3"/>
      <c r="EB107" s="3"/>
      <c r="EC107" s="17"/>
      <c r="ED107" s="3"/>
      <c r="EE107" s="3"/>
      <c r="EF107" s="16"/>
      <c r="EG107" s="3"/>
      <c r="EH107" s="17"/>
      <c r="EI107" s="3"/>
      <c r="EJ107" s="3"/>
      <c r="EK107" s="16"/>
      <c r="EL107" s="3"/>
      <c r="EM107" s="17"/>
      <c r="EN107" s="3"/>
      <c r="EO107" s="3"/>
      <c r="EP107" s="3"/>
      <c r="EQ107" s="3"/>
      <c r="ER107" s="17"/>
      <c r="ES107" s="3"/>
      <c r="ET107" s="3"/>
      <c r="EU107" s="16"/>
      <c r="EV107" s="3"/>
      <c r="EW107" s="17"/>
      <c r="EX107" s="3"/>
    </row>
    <row r="108" spans="20:154" s="25" customFormat="1" x14ac:dyDescent="0.25">
      <c r="T108" s="3"/>
      <c r="U108" s="16"/>
      <c r="V108" s="3"/>
      <c r="W108" s="17"/>
      <c r="X108" s="3"/>
      <c r="Y108" s="3"/>
      <c r="Z108" s="3"/>
      <c r="AA108" s="3"/>
      <c r="AB108" s="17"/>
      <c r="AC108" s="3"/>
      <c r="AD108" s="3"/>
      <c r="AE108" s="16"/>
      <c r="AF108" s="3"/>
      <c r="AG108" s="17"/>
      <c r="AH108" s="3"/>
      <c r="AI108" s="3"/>
      <c r="AJ108" s="16"/>
      <c r="AK108" s="3"/>
      <c r="AL108" s="17"/>
      <c r="AM108" s="3"/>
      <c r="AN108" s="3"/>
      <c r="AO108" s="3"/>
      <c r="AP108" s="3"/>
      <c r="AQ108" s="17"/>
      <c r="AR108" s="3"/>
      <c r="AS108" s="3"/>
      <c r="AT108" s="16"/>
      <c r="AU108" s="3"/>
      <c r="AV108" s="17"/>
      <c r="AW108" s="3"/>
      <c r="AX108" s="3"/>
      <c r="AY108" s="16"/>
      <c r="AZ108" s="3"/>
      <c r="BA108" s="17"/>
      <c r="BB108" s="3"/>
      <c r="BC108" s="3"/>
      <c r="BD108" s="3"/>
      <c r="BE108" s="3"/>
      <c r="BF108" s="17"/>
      <c r="BG108" s="3"/>
      <c r="BH108" s="3"/>
      <c r="BI108" s="16"/>
      <c r="BJ108" s="3"/>
      <c r="BK108" s="17"/>
      <c r="BL108" s="3"/>
      <c r="BM108" s="3"/>
      <c r="BN108" s="16"/>
      <c r="BO108" s="3"/>
      <c r="BP108" s="17"/>
      <c r="BQ108" s="3"/>
      <c r="BR108" s="3"/>
      <c r="BS108" s="3"/>
      <c r="BT108" s="3"/>
      <c r="BU108" s="17"/>
      <c r="BV108" s="3"/>
      <c r="BW108" s="3"/>
      <c r="BX108" s="16"/>
      <c r="BY108" s="3"/>
      <c r="BZ108" s="17"/>
      <c r="CA108" s="3"/>
      <c r="CB108" s="3"/>
      <c r="CC108" s="16"/>
      <c r="CD108" s="3"/>
      <c r="CE108" s="17"/>
      <c r="CF108" s="3"/>
      <c r="CG108" s="18"/>
      <c r="CH108" s="18"/>
      <c r="CI108" s="18"/>
      <c r="CJ108" s="17"/>
      <c r="CK108" s="18"/>
      <c r="CL108" s="3"/>
      <c r="CM108" s="16"/>
      <c r="CN108" s="3"/>
      <c r="CO108" s="17"/>
      <c r="CP108" s="3"/>
      <c r="CQ108" s="3"/>
      <c r="CR108" s="16"/>
      <c r="CS108" s="3"/>
      <c r="CT108" s="17"/>
      <c r="CU108" s="3"/>
      <c r="CV108" s="3"/>
      <c r="CW108" s="3"/>
      <c r="CX108" s="3"/>
      <c r="CY108" s="17"/>
      <c r="CZ108" s="3"/>
      <c r="DA108" s="3"/>
      <c r="DB108" s="16"/>
      <c r="DC108" s="3"/>
      <c r="DD108" s="17"/>
      <c r="DE108" s="3"/>
      <c r="DF108" s="3"/>
      <c r="DG108" s="16"/>
      <c r="DH108" s="3"/>
      <c r="DI108" s="17"/>
      <c r="DJ108" s="3"/>
      <c r="DK108" s="3"/>
      <c r="DL108" s="3"/>
      <c r="DM108" s="3"/>
      <c r="DN108" s="17"/>
      <c r="DO108" s="3"/>
      <c r="DP108" s="3"/>
      <c r="DQ108" s="16"/>
      <c r="DR108" s="3"/>
      <c r="DS108" s="17"/>
      <c r="DT108" s="3"/>
      <c r="DU108" s="3"/>
      <c r="DV108" s="16"/>
      <c r="DW108" s="3"/>
      <c r="DX108" s="17"/>
      <c r="DY108" s="3"/>
      <c r="DZ108" s="3"/>
      <c r="EA108" s="3"/>
      <c r="EB108" s="3"/>
      <c r="EC108" s="17"/>
      <c r="ED108" s="3"/>
      <c r="EE108" s="3"/>
      <c r="EF108" s="16"/>
      <c r="EG108" s="3"/>
      <c r="EH108" s="17"/>
      <c r="EI108" s="3"/>
      <c r="EJ108" s="3"/>
      <c r="EK108" s="16"/>
      <c r="EL108" s="3"/>
      <c r="EM108" s="17"/>
      <c r="EN108" s="3"/>
      <c r="EO108" s="3"/>
      <c r="EP108" s="3"/>
      <c r="EQ108" s="3"/>
      <c r="ER108" s="17"/>
      <c r="ES108" s="3"/>
      <c r="ET108" s="3"/>
      <c r="EU108" s="16"/>
      <c r="EV108" s="3"/>
      <c r="EW108" s="17"/>
      <c r="EX108" s="3"/>
    </row>
    <row r="110" spans="20:154" x14ac:dyDescent="0.25">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20:154" s="25" customFormat="1" x14ac:dyDescent="0.25">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row>
    <row r="112" spans="20:154" s="25" customFormat="1" x14ac:dyDescent="0.25">
      <c r="T112" s="8"/>
      <c r="U112" s="8"/>
      <c r="V112" s="8"/>
      <c r="W112" s="8"/>
      <c r="X112" s="8"/>
      <c r="Y112" s="8"/>
      <c r="Z112" s="8"/>
      <c r="AA112" s="8"/>
      <c r="AB112" s="8"/>
      <c r="AC112" s="8"/>
      <c r="AD112" s="8"/>
      <c r="AE112" s="8"/>
      <c r="AF112" s="8"/>
      <c r="AG112" s="8"/>
      <c r="AH112" s="8"/>
      <c r="AI112" s="8"/>
      <c r="AJ112" s="8"/>
      <c r="AK112" s="8"/>
      <c r="AL112" s="8"/>
      <c r="AM112" s="8"/>
      <c r="AN112" s="8"/>
      <c r="AO112" s="8"/>
      <c r="AP112" s="8"/>
      <c r="AQ112" s="8"/>
      <c r="AR112" s="8"/>
      <c r="AS112" s="8"/>
      <c r="AT112" s="8"/>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row>
    <row r="113" spans="20:154" s="25" customFormat="1" x14ac:dyDescent="0.25">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row>
    <row r="114" spans="20:154" s="25" customFormat="1" x14ac:dyDescent="0.25">
      <c r="T114" s="8"/>
      <c r="U114" s="8"/>
      <c r="V114" s="8"/>
      <c r="W114" s="8"/>
      <c r="X114" s="8"/>
      <c r="Y114" s="8"/>
      <c r="Z114" s="8"/>
      <c r="AA114" s="8"/>
      <c r="AB114" s="8"/>
      <c r="AC114" s="8"/>
      <c r="AD114" s="8"/>
      <c r="AE114" s="8"/>
      <c r="AF114" s="8"/>
      <c r="AG114" s="8"/>
      <c r="AH114" s="8"/>
      <c r="AI114" s="8"/>
      <c r="AJ114" s="8"/>
      <c r="AK114" s="8"/>
      <c r="AL114" s="8"/>
      <c r="AM114" s="8"/>
      <c r="AN114" s="8"/>
      <c r="AO114" s="8"/>
      <c r="AP114" s="8"/>
      <c r="AQ114" s="8"/>
      <c r="AR114" s="8"/>
      <c r="AS114" s="8"/>
      <c r="AT114" s="8"/>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row>
    <row r="115" spans="20:154" s="25" customFormat="1" x14ac:dyDescent="0.25">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row>
    <row r="116" spans="20:154" x14ac:dyDescent="0.25">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20:154" s="25" customFormat="1" x14ac:dyDescent="0.25">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row>
    <row r="118" spans="20:154" s="25" customFormat="1" x14ac:dyDescent="0.25">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row>
    <row r="119" spans="20:154" s="25" customFormat="1" x14ac:dyDescent="0.25">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row>
    <row r="120" spans="20:154" s="25" customFormat="1" x14ac:dyDescent="0.25">
      <c r="T120" s="8"/>
      <c r="U120" s="8"/>
      <c r="V120" s="8"/>
      <c r="W120" s="8"/>
      <c r="X120" s="8"/>
      <c r="Y120" s="8"/>
      <c r="Z120" s="8"/>
      <c r="AA120" s="8"/>
      <c r="AB120" s="8"/>
      <c r="AC120" s="8"/>
      <c r="AD120" s="8"/>
      <c r="AE120" s="8"/>
      <c r="AF120" s="8"/>
      <c r="AG120" s="8"/>
      <c r="AH120" s="8"/>
      <c r="AI120" s="8"/>
      <c r="AJ120" s="8"/>
      <c r="AK120" s="8"/>
      <c r="AL120" s="8"/>
      <c r="AM120" s="8"/>
      <c r="AN120" s="8"/>
      <c r="AO120" s="8"/>
      <c r="AP120" s="8"/>
      <c r="AQ120" s="8"/>
      <c r="AR120" s="8"/>
      <c r="AS120" s="8"/>
      <c r="AT120" s="8"/>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row>
    <row r="121" spans="20:154" s="25" customFormat="1" x14ac:dyDescent="0.25">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row>
  </sheetData>
  <sheetProtection formatCells="0" formatColumns="0" formatRows="0"/>
  <mergeCells count="6">
    <mergeCell ref="I3:J3"/>
    <mergeCell ref="C6:D6"/>
    <mergeCell ref="F6:G6"/>
    <mergeCell ref="C23:G26"/>
    <mergeCell ref="C28:G30"/>
    <mergeCell ref="C32:G35"/>
  </mergeCells>
  <conditionalFormatting sqref="G8 D8 D10">
    <cfRule type="cellIs" dxfId="10" priority="11" operator="lessThanOrEqual">
      <formula>0</formula>
    </cfRule>
  </conditionalFormatting>
  <conditionalFormatting sqref="G7 G9:G11 G13 D7 D9 D11 D13 D15:D16 G15:G16">
    <cfRule type="cellIs" dxfId="9" priority="10" operator="lessThan">
      <formula>0</formula>
    </cfRule>
  </conditionalFormatting>
  <conditionalFormatting sqref="G12">
    <cfRule type="expression" dxfId="8" priority="9">
      <formula>OR($G$12+$G$13&gt;=90, $G$12-$G$13&lt;=-90)</formula>
    </cfRule>
  </conditionalFormatting>
  <conditionalFormatting sqref="D7:D13 G7:G13 D15:D16 G15:G16">
    <cfRule type="expression" dxfId="7" priority="7">
      <formula>ISTEXT(D7)</formula>
    </cfRule>
  </conditionalFormatting>
  <conditionalFormatting sqref="D7:D13 G7:G13 I3">
    <cfRule type="containsBlanks" dxfId="6" priority="6">
      <formula>LEN(TRIM(D3))=0</formula>
    </cfRule>
  </conditionalFormatting>
  <conditionalFormatting sqref="D12">
    <cfRule type="expression" dxfId="5" priority="8">
      <formula>OR($D$12+$D$13&gt;=90, $D$12-$D$13&lt;=-90)</formula>
    </cfRule>
  </conditionalFormatting>
  <conditionalFormatting sqref="D18:D19">
    <cfRule type="cellIs" dxfId="4" priority="5" operator="lessThanOrEqual">
      <formula>0</formula>
    </cfRule>
  </conditionalFormatting>
  <conditionalFormatting sqref="D21">
    <cfRule type="cellIs" dxfId="3" priority="4" operator="lessThanOrEqual">
      <formula>0</formula>
    </cfRule>
  </conditionalFormatting>
  <conditionalFormatting sqref="G9">
    <cfRule type="cellIs" dxfId="2" priority="3" operator="greaterThanOrEqual">
      <formula>$G$8</formula>
    </cfRule>
  </conditionalFormatting>
  <conditionalFormatting sqref="D9">
    <cfRule type="cellIs" dxfId="1" priority="2" operator="greaterThanOrEqual">
      <formula>$D$8</formula>
    </cfRule>
  </conditionalFormatting>
  <conditionalFormatting sqref="D11">
    <cfRule type="cellIs" dxfId="0" priority="1" operator="greaterThanOrEqual">
      <formula>1</formula>
    </cfRule>
  </conditionalFormatting>
  <dataValidations count="1">
    <dataValidation type="list" allowBlank="1" showInputMessage="1" showErrorMessage="1" sqref="I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1]!Projectile_Metric">
                <anchor moveWithCells="1">
                  <from>
                    <xdr:col>1</xdr:col>
                    <xdr:colOff>0</xdr:colOff>
                    <xdr:row>3</xdr:row>
                    <xdr:rowOff>0</xdr:rowOff>
                  </from>
                  <to>
                    <xdr:col>1</xdr:col>
                    <xdr:colOff>209550</xdr:colOff>
                    <xdr:row>3</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´ÖÓÎÉÇØÍÐÉ</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2020-04-06T22:59:51Z</dcterms:created>
  <dcterms:modified xsi:type="dcterms:W3CDTF">2020-04-06T23:55:40Z</dcterms:modified>
</cp:coreProperties>
</file>