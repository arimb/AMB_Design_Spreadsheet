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195" windowHeight="11310"/>
  </bookViews>
  <sheets>
    <sheet name="´ÖÓÎÉÇØÍÐÉ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G13" i="1" l="1"/>
  <c r="AP5" i="1"/>
  <c r="AP6" i="1" s="1"/>
  <c r="AP7" i="1" s="1"/>
  <c r="AL5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6" i="1"/>
  <c r="AJ5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5" i="1"/>
  <c r="AK6" i="1"/>
  <c r="AL6" i="1"/>
  <c r="AM6" i="1"/>
  <c r="AL7" i="1"/>
  <c r="AM7" i="1"/>
  <c r="AL8" i="1"/>
  <c r="AM8" i="1"/>
  <c r="AL9" i="1"/>
  <c r="AM9" i="1"/>
  <c r="AL10" i="1"/>
  <c r="AM10" i="1"/>
  <c r="AL11" i="1"/>
  <c r="AM11" i="1"/>
  <c r="AL12" i="1"/>
  <c r="AM12" i="1"/>
  <c r="AL13" i="1"/>
  <c r="AM13" i="1"/>
  <c r="AL14" i="1"/>
  <c r="AM14" i="1"/>
  <c r="AL15" i="1"/>
  <c r="AM15" i="1"/>
  <c r="AL16" i="1"/>
  <c r="AM16" i="1"/>
  <c r="AL17" i="1"/>
  <c r="AM17" i="1"/>
  <c r="AL18" i="1"/>
  <c r="AM18" i="1"/>
  <c r="AL19" i="1"/>
  <c r="AM19" i="1"/>
  <c r="AL20" i="1"/>
  <c r="AM20" i="1"/>
  <c r="AL21" i="1"/>
  <c r="AM21" i="1"/>
  <c r="AL22" i="1"/>
  <c r="AM22" i="1"/>
  <c r="AL23" i="1"/>
  <c r="AM23" i="1"/>
  <c r="AL24" i="1"/>
  <c r="AM24" i="1"/>
  <c r="AL25" i="1"/>
  <c r="AM25" i="1"/>
  <c r="AL26" i="1"/>
  <c r="AM26" i="1"/>
  <c r="AL27" i="1"/>
  <c r="AM27" i="1"/>
  <c r="AL28" i="1"/>
  <c r="AM28" i="1"/>
  <c r="AL29" i="1"/>
  <c r="AM29" i="1"/>
  <c r="AL30" i="1"/>
  <c r="AM30" i="1"/>
  <c r="AL31" i="1"/>
  <c r="AM31" i="1"/>
  <c r="AL32" i="1"/>
  <c r="AM32" i="1"/>
  <c r="AL33" i="1"/>
  <c r="AM33" i="1"/>
  <c r="AL34" i="1"/>
  <c r="AM34" i="1"/>
  <c r="AL35" i="1"/>
  <c r="AM35" i="1"/>
  <c r="AL36" i="1"/>
  <c r="AM36" i="1"/>
  <c r="AL37" i="1"/>
  <c r="AM37" i="1"/>
  <c r="AL38" i="1"/>
  <c r="AM38" i="1"/>
  <c r="AL39" i="1"/>
  <c r="AM39" i="1"/>
  <c r="AL40" i="1"/>
  <c r="AM40" i="1"/>
  <c r="AL41" i="1"/>
  <c r="AM41" i="1"/>
  <c r="AL42" i="1"/>
  <c r="AM42" i="1"/>
  <c r="AL43" i="1"/>
  <c r="AM43" i="1"/>
  <c r="AL44" i="1"/>
  <c r="AM44" i="1"/>
  <c r="AL45" i="1"/>
  <c r="AM45" i="1"/>
  <c r="AL46" i="1"/>
  <c r="AM46" i="1"/>
  <c r="AL47" i="1"/>
  <c r="AM47" i="1"/>
  <c r="AL48" i="1"/>
  <c r="AM48" i="1"/>
  <c r="AL49" i="1"/>
  <c r="AM49" i="1"/>
  <c r="AL50" i="1"/>
  <c r="AM50" i="1"/>
  <c r="AL51" i="1"/>
  <c r="AM51" i="1"/>
  <c r="AL52" i="1"/>
  <c r="AM52" i="1"/>
  <c r="AL53" i="1"/>
  <c r="AM53" i="1"/>
  <c r="AL54" i="1"/>
  <c r="AM54" i="1"/>
  <c r="AL55" i="1"/>
  <c r="AM55" i="1"/>
  <c r="AL56" i="1"/>
  <c r="AM56" i="1"/>
  <c r="AL57" i="1"/>
  <c r="AM57" i="1"/>
  <c r="AL58" i="1"/>
  <c r="AM58" i="1"/>
  <c r="AL59" i="1"/>
  <c r="AM59" i="1"/>
  <c r="AL60" i="1"/>
  <c r="AM60" i="1"/>
  <c r="AL61" i="1"/>
  <c r="AM61" i="1"/>
  <c r="AL62" i="1"/>
  <c r="AM62" i="1"/>
  <c r="AL63" i="1"/>
  <c r="AM63" i="1"/>
  <c r="AL64" i="1"/>
  <c r="AM64" i="1"/>
  <c r="AL65" i="1"/>
  <c r="AM65" i="1"/>
  <c r="AL66" i="1"/>
  <c r="AM66" i="1"/>
  <c r="AL67" i="1"/>
  <c r="AM67" i="1"/>
  <c r="AL68" i="1"/>
  <c r="AM68" i="1"/>
  <c r="AL69" i="1"/>
  <c r="AM69" i="1"/>
  <c r="AL70" i="1"/>
  <c r="AM70" i="1"/>
  <c r="AL71" i="1"/>
  <c r="AM71" i="1"/>
  <c r="AL72" i="1"/>
  <c r="AM72" i="1"/>
  <c r="AL73" i="1"/>
  <c r="AM73" i="1"/>
  <c r="AL74" i="1"/>
  <c r="AM74" i="1"/>
  <c r="AL75" i="1"/>
  <c r="AM75" i="1"/>
  <c r="AL76" i="1"/>
  <c r="AM76" i="1"/>
  <c r="AL77" i="1"/>
  <c r="AM77" i="1"/>
  <c r="AL78" i="1"/>
  <c r="AM78" i="1"/>
  <c r="AL79" i="1"/>
  <c r="AM79" i="1"/>
  <c r="AL80" i="1"/>
  <c r="AM80" i="1"/>
  <c r="AL81" i="1"/>
  <c r="AM81" i="1"/>
  <c r="AL82" i="1"/>
  <c r="AM82" i="1"/>
  <c r="AL83" i="1"/>
  <c r="AM83" i="1"/>
  <c r="AL84" i="1"/>
  <c r="AM84" i="1"/>
  <c r="AL85" i="1"/>
  <c r="AM85" i="1"/>
  <c r="AL86" i="1"/>
  <c r="AM86" i="1"/>
  <c r="AL87" i="1"/>
  <c r="AM87" i="1"/>
  <c r="AL88" i="1"/>
  <c r="AM88" i="1"/>
  <c r="AL89" i="1"/>
  <c r="AM89" i="1"/>
  <c r="AL90" i="1"/>
  <c r="AM90" i="1"/>
  <c r="AL91" i="1"/>
  <c r="AM91" i="1"/>
  <c r="AL92" i="1"/>
  <c r="AM92" i="1"/>
  <c r="AL93" i="1"/>
  <c r="AM93" i="1"/>
  <c r="AL94" i="1"/>
  <c r="AM94" i="1"/>
  <c r="AL95" i="1"/>
  <c r="AM95" i="1"/>
  <c r="AL96" i="1"/>
  <c r="AM96" i="1"/>
  <c r="AL97" i="1"/>
  <c r="AM97" i="1"/>
  <c r="AL98" i="1"/>
  <c r="AM98" i="1"/>
  <c r="AL99" i="1"/>
  <c r="AM99" i="1"/>
  <c r="AL100" i="1"/>
  <c r="AM100" i="1"/>
  <c r="AL101" i="1"/>
  <c r="AM101" i="1"/>
  <c r="AL102" i="1"/>
  <c r="AM102" i="1"/>
  <c r="AL103" i="1"/>
  <c r="AM103" i="1"/>
  <c r="AL104" i="1"/>
  <c r="AM104" i="1"/>
  <c r="AL105" i="1"/>
  <c r="AM105" i="1"/>
  <c r="AM5" i="1"/>
  <c r="V4" i="1"/>
  <c r="V5" i="1"/>
  <c r="V6" i="1"/>
  <c r="V7" i="1"/>
  <c r="V14" i="1"/>
  <c r="V8" i="1"/>
  <c r="AP8" i="1" l="1"/>
  <c r="F14" i="1"/>
  <c r="C19" i="1"/>
  <c r="V15" i="1"/>
  <c r="D35" i="1"/>
  <c r="V9" i="1"/>
  <c r="C33" i="1"/>
  <c r="C32" i="1"/>
  <c r="AI5" i="1"/>
  <c r="AP9" i="1" l="1"/>
  <c r="V10" i="1"/>
  <c r="AP10" i="1" l="1"/>
  <c r="V12" i="1"/>
  <c r="V11" i="1"/>
  <c r="C15" i="1"/>
  <c r="AA5" i="1"/>
  <c r="C14" i="1"/>
  <c r="AP11" i="1" l="1"/>
  <c r="AI6" i="1"/>
  <c r="F12" i="1"/>
  <c r="C17" i="1"/>
  <c r="F17" i="1"/>
  <c r="C22" i="1"/>
  <c r="F16" i="1"/>
  <c r="C21" i="1"/>
  <c r="F9" i="1"/>
  <c r="C9" i="1"/>
  <c r="F8" i="1"/>
  <c r="C8" i="1"/>
  <c r="F7" i="1"/>
  <c r="C7" i="1"/>
  <c r="AP12" i="1" l="1"/>
  <c r="G12" i="1"/>
  <c r="AR5" i="1" l="1"/>
  <c r="G27" i="1"/>
  <c r="G14" i="1"/>
  <c r="G25" i="1"/>
  <c r="AQ11" i="1"/>
  <c r="Y6" i="1"/>
  <c r="AQ6" i="1"/>
  <c r="AR6" i="1" s="1"/>
  <c r="AQ7" i="1"/>
  <c r="AQ5" i="1"/>
  <c r="AQ8" i="1"/>
  <c r="AQ9" i="1"/>
  <c r="AQ10" i="1"/>
  <c r="AP13" i="1"/>
  <c r="AQ12" i="1"/>
  <c r="Y7" i="1"/>
  <c r="AC5" i="1"/>
  <c r="AB5" i="1"/>
  <c r="AP14" i="1" l="1"/>
  <c r="AQ13" i="1"/>
  <c r="Y8" i="1"/>
  <c r="AD5" i="1"/>
  <c r="AE5" i="1" s="1"/>
  <c r="AF5" i="1" s="1"/>
  <c r="AP15" i="1" l="1"/>
  <c r="AQ14" i="1"/>
  <c r="Y9" i="1"/>
  <c r="AH5" i="1"/>
  <c r="AA6" i="1" s="1"/>
  <c r="AG5" i="1"/>
  <c r="Z6" i="1" s="1"/>
  <c r="AP16" i="1" l="1"/>
  <c r="AQ15" i="1"/>
  <c r="Y10" i="1"/>
  <c r="AI7" i="1"/>
  <c r="AC6" i="1"/>
  <c r="AP17" i="1" l="1"/>
  <c r="AQ16" i="1"/>
  <c r="Y11" i="1"/>
  <c r="AB6" i="1"/>
  <c r="AD6" i="1" s="1"/>
  <c r="AP18" i="1" l="1"/>
  <c r="AQ17" i="1"/>
  <c r="Y12" i="1"/>
  <c r="AE6" i="1"/>
  <c r="AF6" i="1" s="1"/>
  <c r="AH6" i="1" s="1"/>
  <c r="AA7" i="1" s="1"/>
  <c r="AP19" i="1" l="1"/>
  <c r="AQ18" i="1"/>
  <c r="Y13" i="1"/>
  <c r="AG6" i="1"/>
  <c r="Z7" i="1" s="1"/>
  <c r="AC7" i="1"/>
  <c r="AP20" i="1" l="1"/>
  <c r="AQ19" i="1"/>
  <c r="Y14" i="1"/>
  <c r="AB7" i="1"/>
  <c r="AD7" i="1" s="1"/>
  <c r="AI8" i="1"/>
  <c r="AP21" i="1" l="1"/>
  <c r="AQ20" i="1"/>
  <c r="Y15" i="1"/>
  <c r="AE7" i="1"/>
  <c r="AF7" i="1" s="1"/>
  <c r="AH7" i="1" s="1"/>
  <c r="AA8" i="1" s="1"/>
  <c r="AP22" i="1" l="1"/>
  <c r="AQ21" i="1"/>
  <c r="Y16" i="1"/>
  <c r="AG7" i="1"/>
  <c r="Z8" i="1" s="1"/>
  <c r="AC8" i="1"/>
  <c r="AP23" i="1" l="1"/>
  <c r="AQ22" i="1"/>
  <c r="Y17" i="1"/>
  <c r="AI9" i="1"/>
  <c r="AB8" i="1"/>
  <c r="AD8" i="1" s="1"/>
  <c r="AP24" i="1" l="1"/>
  <c r="AQ23" i="1"/>
  <c r="Y18" i="1"/>
  <c r="AE8" i="1"/>
  <c r="AF8" i="1" s="1"/>
  <c r="AH8" i="1" s="1"/>
  <c r="AA9" i="1" s="1"/>
  <c r="AP25" i="1" l="1"/>
  <c r="AQ24" i="1"/>
  <c r="Y19" i="1"/>
  <c r="AC9" i="1"/>
  <c r="AG8" i="1"/>
  <c r="Z9" i="1" s="1"/>
  <c r="AB9" i="1" s="1"/>
  <c r="AP26" i="1" l="1"/>
  <c r="AQ25" i="1"/>
  <c r="Y20" i="1"/>
  <c r="AD9" i="1"/>
  <c r="AE9" i="1" s="1"/>
  <c r="AF9" i="1" s="1"/>
  <c r="AH9" i="1" s="1"/>
  <c r="AA10" i="1" s="1"/>
  <c r="AI10" i="1"/>
  <c r="AP27" i="1" l="1"/>
  <c r="AQ26" i="1"/>
  <c r="Y21" i="1"/>
  <c r="AC10" i="1"/>
  <c r="AG9" i="1"/>
  <c r="Z10" i="1" s="1"/>
  <c r="AP28" i="1" l="1"/>
  <c r="AQ27" i="1"/>
  <c r="Y22" i="1"/>
  <c r="AB10" i="1"/>
  <c r="AD10" i="1" s="1"/>
  <c r="AE10" i="1" s="1"/>
  <c r="AF10" i="1" s="1"/>
  <c r="AH10" i="1" s="1"/>
  <c r="AA11" i="1" s="1"/>
  <c r="AI11" i="1"/>
  <c r="AP29" i="1" l="1"/>
  <c r="AQ28" i="1"/>
  <c r="Y23" i="1"/>
  <c r="AG10" i="1"/>
  <c r="Z11" i="1" s="1"/>
  <c r="AC11" i="1"/>
  <c r="AP30" i="1" l="1"/>
  <c r="AQ29" i="1"/>
  <c r="Y24" i="1"/>
  <c r="AI12" i="1"/>
  <c r="AB11" i="1"/>
  <c r="AD11" i="1" s="1"/>
  <c r="AE11" i="1" s="1"/>
  <c r="AF11" i="1" s="1"/>
  <c r="AH11" i="1" s="1"/>
  <c r="AA12" i="1" s="1"/>
  <c r="AP31" i="1" l="1"/>
  <c r="AQ30" i="1"/>
  <c r="Y25" i="1"/>
  <c r="AG11" i="1"/>
  <c r="Z12" i="1" s="1"/>
  <c r="AP32" i="1" l="1"/>
  <c r="AQ31" i="1"/>
  <c r="Y26" i="1"/>
  <c r="AI13" i="1"/>
  <c r="AC12" i="1"/>
  <c r="AB12" i="1"/>
  <c r="AP33" i="1" l="1"/>
  <c r="AQ32" i="1"/>
  <c r="Y27" i="1"/>
  <c r="AD12" i="1"/>
  <c r="AE12" i="1" s="1"/>
  <c r="AF12" i="1" s="1"/>
  <c r="AH12" i="1" s="1"/>
  <c r="AA13" i="1" s="1"/>
  <c r="AP34" i="1" l="1"/>
  <c r="AQ33" i="1"/>
  <c r="Y28" i="1"/>
  <c r="AG12" i="1"/>
  <c r="Z13" i="1" s="1"/>
  <c r="AP35" i="1" l="1"/>
  <c r="AQ34" i="1"/>
  <c r="Y29" i="1"/>
  <c r="AI14" i="1"/>
  <c r="AC13" i="1"/>
  <c r="AB13" i="1"/>
  <c r="AP36" i="1" l="1"/>
  <c r="AQ35" i="1"/>
  <c r="Y30" i="1"/>
  <c r="AD13" i="1"/>
  <c r="AE13" i="1" s="1"/>
  <c r="AF13" i="1" s="1"/>
  <c r="AH13" i="1" s="1"/>
  <c r="AA14" i="1" s="1"/>
  <c r="AP37" i="1" l="1"/>
  <c r="AQ36" i="1"/>
  <c r="Y31" i="1"/>
  <c r="AG13" i="1"/>
  <c r="Z14" i="1" s="1"/>
  <c r="AP38" i="1" l="1"/>
  <c r="AQ37" i="1"/>
  <c r="Y32" i="1"/>
  <c r="AI15" i="1"/>
  <c r="AC14" i="1"/>
  <c r="AB14" i="1"/>
  <c r="AP39" i="1" l="1"/>
  <c r="AQ38" i="1"/>
  <c r="Y33" i="1"/>
  <c r="AD14" i="1"/>
  <c r="AE14" i="1" s="1"/>
  <c r="AF14" i="1" s="1"/>
  <c r="AH14" i="1" s="1"/>
  <c r="AA15" i="1" s="1"/>
  <c r="AP40" i="1" l="1"/>
  <c r="AQ39" i="1"/>
  <c r="Y34" i="1"/>
  <c r="AG14" i="1"/>
  <c r="Z15" i="1" s="1"/>
  <c r="AP41" i="1" l="1"/>
  <c r="AQ40" i="1"/>
  <c r="Y35" i="1"/>
  <c r="AI16" i="1"/>
  <c r="AC15" i="1"/>
  <c r="AB15" i="1"/>
  <c r="AP42" i="1" l="1"/>
  <c r="AQ41" i="1"/>
  <c r="Y36" i="1"/>
  <c r="AD15" i="1"/>
  <c r="AP43" i="1" l="1"/>
  <c r="AQ42" i="1"/>
  <c r="Y37" i="1"/>
  <c r="AE15" i="1"/>
  <c r="AF15" i="1" s="1"/>
  <c r="AP44" i="1" l="1"/>
  <c r="AQ43" i="1"/>
  <c r="Y38" i="1"/>
  <c r="AG15" i="1"/>
  <c r="Z16" i="1" s="1"/>
  <c r="AH15" i="1"/>
  <c r="AP45" i="1" l="1"/>
  <c r="AQ44" i="1"/>
  <c r="Y39" i="1"/>
  <c r="AA16" i="1"/>
  <c r="AB16" i="1"/>
  <c r="AP46" i="1" l="1"/>
  <c r="AQ45" i="1"/>
  <c r="Y40" i="1"/>
  <c r="AI17" i="1"/>
  <c r="AC16" i="1"/>
  <c r="AD16" i="1" s="1"/>
  <c r="AP47" i="1" l="1"/>
  <c r="AQ46" i="1"/>
  <c r="Y41" i="1"/>
  <c r="AE16" i="1"/>
  <c r="AF16" i="1" s="1"/>
  <c r="AH16" i="1" s="1"/>
  <c r="AA17" i="1" s="1"/>
  <c r="AC17" i="1" s="1"/>
  <c r="AP48" i="1" l="1"/>
  <c r="AQ47" i="1"/>
  <c r="Y42" i="1"/>
  <c r="AG16" i="1"/>
  <c r="Z17" i="1" s="1"/>
  <c r="AP49" i="1" l="1"/>
  <c r="AQ48" i="1"/>
  <c r="Y43" i="1"/>
  <c r="AB17" i="1"/>
  <c r="AD17" i="1" s="1"/>
  <c r="AE17" i="1" s="1"/>
  <c r="AF17" i="1" s="1"/>
  <c r="AH17" i="1" s="1"/>
  <c r="AA18" i="1" s="1"/>
  <c r="AI18" i="1"/>
  <c r="AP50" i="1" l="1"/>
  <c r="AQ49" i="1"/>
  <c r="Y44" i="1"/>
  <c r="AG17" i="1"/>
  <c r="Z18" i="1" s="1"/>
  <c r="AI19" i="1" s="1"/>
  <c r="AC18" i="1"/>
  <c r="AP51" i="1" l="1"/>
  <c r="AQ50" i="1"/>
  <c r="Y45" i="1"/>
  <c r="AB18" i="1"/>
  <c r="AD18" i="1" s="1"/>
  <c r="AE18" i="1" s="1"/>
  <c r="AF18" i="1" s="1"/>
  <c r="AH18" i="1" s="1"/>
  <c r="AA19" i="1" s="1"/>
  <c r="AP52" i="1" l="1"/>
  <c r="AQ51" i="1"/>
  <c r="Y46" i="1"/>
  <c r="AG18" i="1"/>
  <c r="Z19" i="1" s="1"/>
  <c r="AP53" i="1" l="1"/>
  <c r="AQ52" i="1"/>
  <c r="Y47" i="1"/>
  <c r="AI20" i="1"/>
  <c r="AC19" i="1"/>
  <c r="AB19" i="1"/>
  <c r="AP54" i="1" l="1"/>
  <c r="AQ53" i="1"/>
  <c r="Y48" i="1"/>
  <c r="AD19" i="1"/>
  <c r="AE19" i="1" s="1"/>
  <c r="AF19" i="1" s="1"/>
  <c r="AH19" i="1" s="1"/>
  <c r="AA20" i="1" s="1"/>
  <c r="AP55" i="1" l="1"/>
  <c r="AQ54" i="1"/>
  <c r="Y49" i="1"/>
  <c r="AG19" i="1"/>
  <c r="Z20" i="1" s="1"/>
  <c r="AC20" i="1"/>
  <c r="AP56" i="1" l="1"/>
  <c r="AQ55" i="1"/>
  <c r="Y50" i="1"/>
  <c r="AI21" i="1"/>
  <c r="AB20" i="1"/>
  <c r="AP57" i="1" l="1"/>
  <c r="AQ56" i="1"/>
  <c r="Y51" i="1"/>
  <c r="AD20" i="1"/>
  <c r="AE20" i="1" s="1"/>
  <c r="AF20" i="1" s="1"/>
  <c r="AH20" i="1" s="1"/>
  <c r="AP58" i="1" l="1"/>
  <c r="AQ57" i="1"/>
  <c r="Y52" i="1"/>
  <c r="AA21" i="1"/>
  <c r="AG20" i="1"/>
  <c r="AP59" i="1" l="1"/>
  <c r="AQ58" i="1"/>
  <c r="Y53" i="1"/>
  <c r="AC21" i="1"/>
  <c r="Z21" i="1"/>
  <c r="AP60" i="1" l="1"/>
  <c r="AQ59" i="1"/>
  <c r="Y54" i="1"/>
  <c r="AI22" i="1"/>
  <c r="AB21" i="1"/>
  <c r="AP61" i="1" l="1"/>
  <c r="AQ60" i="1"/>
  <c r="Y55" i="1"/>
  <c r="AD21" i="1"/>
  <c r="AE21" i="1" s="1"/>
  <c r="AF21" i="1" s="1"/>
  <c r="AH21" i="1" s="1"/>
  <c r="AP62" i="1" l="1"/>
  <c r="AQ61" i="1"/>
  <c r="Y56" i="1"/>
  <c r="AA22" i="1"/>
  <c r="AG21" i="1"/>
  <c r="Z22" i="1" s="1"/>
  <c r="AP63" i="1" l="1"/>
  <c r="AQ62" i="1"/>
  <c r="Y57" i="1"/>
  <c r="AI23" i="1"/>
  <c r="AC22" i="1"/>
  <c r="AB22" i="1"/>
  <c r="AP64" i="1" l="1"/>
  <c r="AQ63" i="1"/>
  <c r="Y58" i="1"/>
  <c r="AD22" i="1"/>
  <c r="AE22" i="1" s="1"/>
  <c r="AF22" i="1" s="1"/>
  <c r="AH22" i="1" s="1"/>
  <c r="AP65" i="1" l="1"/>
  <c r="AQ64" i="1"/>
  <c r="Y59" i="1"/>
  <c r="AA23" i="1"/>
  <c r="AG22" i="1"/>
  <c r="Z23" i="1" s="1"/>
  <c r="AP66" i="1" l="1"/>
  <c r="AQ65" i="1"/>
  <c r="Y60" i="1"/>
  <c r="AC23" i="1"/>
  <c r="AI24" i="1"/>
  <c r="AB23" i="1"/>
  <c r="AP67" i="1" l="1"/>
  <c r="AQ66" i="1"/>
  <c r="Y61" i="1"/>
  <c r="AD23" i="1"/>
  <c r="AE23" i="1" s="1"/>
  <c r="AF23" i="1" s="1"/>
  <c r="AH23" i="1" s="1"/>
  <c r="AP68" i="1" l="1"/>
  <c r="AQ67" i="1"/>
  <c r="Y62" i="1"/>
  <c r="AA24" i="1"/>
  <c r="AG23" i="1"/>
  <c r="Z24" i="1" s="1"/>
  <c r="AP69" i="1" l="1"/>
  <c r="AQ68" i="1"/>
  <c r="Y63" i="1"/>
  <c r="AI25" i="1"/>
  <c r="AC24" i="1"/>
  <c r="AB24" i="1"/>
  <c r="AP70" i="1" l="1"/>
  <c r="AQ69" i="1"/>
  <c r="Y64" i="1"/>
  <c r="AD24" i="1"/>
  <c r="AE24" i="1" s="1"/>
  <c r="AF24" i="1" s="1"/>
  <c r="AH24" i="1" s="1"/>
  <c r="AP71" i="1" l="1"/>
  <c r="AQ70" i="1"/>
  <c r="Y65" i="1"/>
  <c r="AA25" i="1"/>
  <c r="AG24" i="1"/>
  <c r="Z25" i="1" s="1"/>
  <c r="AP72" i="1" l="1"/>
  <c r="AQ71" i="1"/>
  <c r="Y66" i="1"/>
  <c r="AI26" i="1"/>
  <c r="AC25" i="1"/>
  <c r="AB25" i="1"/>
  <c r="AP73" i="1" l="1"/>
  <c r="AQ72" i="1"/>
  <c r="Y67" i="1"/>
  <c r="AD25" i="1"/>
  <c r="AE25" i="1" s="1"/>
  <c r="AF25" i="1" s="1"/>
  <c r="AH25" i="1" s="1"/>
  <c r="AP74" i="1" l="1"/>
  <c r="AQ73" i="1"/>
  <c r="Y68" i="1"/>
  <c r="AA26" i="1"/>
  <c r="AG25" i="1"/>
  <c r="Z26" i="1" s="1"/>
  <c r="AP75" i="1" l="1"/>
  <c r="AQ74" i="1"/>
  <c r="Y69" i="1"/>
  <c r="AI27" i="1"/>
  <c r="AC26" i="1"/>
  <c r="AB26" i="1"/>
  <c r="AP76" i="1" l="1"/>
  <c r="AQ75" i="1"/>
  <c r="Y70" i="1"/>
  <c r="AD26" i="1"/>
  <c r="AE26" i="1" s="1"/>
  <c r="AF26" i="1" s="1"/>
  <c r="AH26" i="1" s="1"/>
  <c r="AP77" i="1" l="1"/>
  <c r="AQ76" i="1"/>
  <c r="Y71" i="1"/>
  <c r="AA27" i="1"/>
  <c r="AG26" i="1"/>
  <c r="Z27" i="1" s="1"/>
  <c r="AP78" i="1" l="1"/>
  <c r="AQ77" i="1"/>
  <c r="Y72" i="1"/>
  <c r="AI28" i="1"/>
  <c r="AC27" i="1"/>
  <c r="AB27" i="1"/>
  <c r="AP79" i="1" l="1"/>
  <c r="AQ78" i="1"/>
  <c r="Y73" i="1"/>
  <c r="AD27" i="1"/>
  <c r="AE27" i="1" s="1"/>
  <c r="AF27" i="1" s="1"/>
  <c r="AH27" i="1" s="1"/>
  <c r="AA28" i="1" s="1"/>
  <c r="AP80" i="1" l="1"/>
  <c r="AQ79" i="1"/>
  <c r="Y74" i="1"/>
  <c r="AC28" i="1"/>
  <c r="AG27" i="1"/>
  <c r="AP81" i="1" l="1"/>
  <c r="AQ80" i="1"/>
  <c r="Y75" i="1"/>
  <c r="Z28" i="1"/>
  <c r="AP82" i="1" l="1"/>
  <c r="AQ81" i="1"/>
  <c r="Y76" i="1"/>
  <c r="AI29" i="1"/>
  <c r="AB28" i="1"/>
  <c r="AP83" i="1" l="1"/>
  <c r="AQ82" i="1"/>
  <c r="Y77" i="1"/>
  <c r="AD28" i="1"/>
  <c r="AE28" i="1" s="1"/>
  <c r="AF28" i="1" s="1"/>
  <c r="AH28" i="1" s="1"/>
  <c r="AA29" i="1" s="1"/>
  <c r="AP84" i="1" l="1"/>
  <c r="AQ83" i="1"/>
  <c r="Y78" i="1"/>
  <c r="AC29" i="1"/>
  <c r="AG28" i="1"/>
  <c r="Z29" i="1" s="1"/>
  <c r="AP85" i="1" l="1"/>
  <c r="AQ84" i="1"/>
  <c r="Y79" i="1"/>
  <c r="AI30" i="1"/>
  <c r="AB29" i="1"/>
  <c r="AP86" i="1" l="1"/>
  <c r="AQ85" i="1"/>
  <c r="Y80" i="1"/>
  <c r="AD29" i="1"/>
  <c r="AE29" i="1" s="1"/>
  <c r="AF29" i="1" s="1"/>
  <c r="AH29" i="1" s="1"/>
  <c r="AA30" i="1" s="1"/>
  <c r="AP87" i="1" l="1"/>
  <c r="AQ86" i="1"/>
  <c r="Y81" i="1"/>
  <c r="AC30" i="1"/>
  <c r="AG29" i="1"/>
  <c r="Z30" i="1" s="1"/>
  <c r="AP88" i="1" l="1"/>
  <c r="AQ87" i="1"/>
  <c r="Y82" i="1"/>
  <c r="AI31" i="1"/>
  <c r="AB30" i="1"/>
  <c r="AP89" i="1" l="1"/>
  <c r="AQ88" i="1"/>
  <c r="Y83" i="1"/>
  <c r="AD30" i="1"/>
  <c r="AE30" i="1" s="1"/>
  <c r="AF30" i="1" s="1"/>
  <c r="AH30" i="1" s="1"/>
  <c r="AP90" i="1" l="1"/>
  <c r="AQ89" i="1"/>
  <c r="Y84" i="1"/>
  <c r="AA31" i="1"/>
  <c r="AG30" i="1"/>
  <c r="Z31" i="1" s="1"/>
  <c r="AP91" i="1" l="1"/>
  <c r="AQ90" i="1"/>
  <c r="Y85" i="1"/>
  <c r="AI32" i="1"/>
  <c r="AC31" i="1"/>
  <c r="AB31" i="1"/>
  <c r="AP92" i="1" l="1"/>
  <c r="AQ91" i="1"/>
  <c r="Y86" i="1"/>
  <c r="AD31" i="1"/>
  <c r="AE31" i="1" s="1"/>
  <c r="AF31" i="1" s="1"/>
  <c r="AH31" i="1" s="1"/>
  <c r="AA32" i="1" s="1"/>
  <c r="AP93" i="1" l="1"/>
  <c r="AQ92" i="1"/>
  <c r="Y87" i="1"/>
  <c r="AC32" i="1"/>
  <c r="AG31" i="1"/>
  <c r="AP94" i="1" l="1"/>
  <c r="AQ93" i="1"/>
  <c r="Y88" i="1"/>
  <c r="Z32" i="1"/>
  <c r="AP95" i="1" l="1"/>
  <c r="AQ94" i="1"/>
  <c r="Y89" i="1"/>
  <c r="AI33" i="1"/>
  <c r="AB32" i="1"/>
  <c r="AP96" i="1" l="1"/>
  <c r="AQ95" i="1"/>
  <c r="Y90" i="1"/>
  <c r="AD32" i="1"/>
  <c r="AE32" i="1" s="1"/>
  <c r="AF32" i="1" s="1"/>
  <c r="AH32" i="1" s="1"/>
  <c r="AP97" i="1" l="1"/>
  <c r="AQ96" i="1"/>
  <c r="Y91" i="1"/>
  <c r="AA33" i="1"/>
  <c r="AG32" i="1"/>
  <c r="Z33" i="1" s="1"/>
  <c r="AP98" i="1" l="1"/>
  <c r="AQ97" i="1"/>
  <c r="Y92" i="1"/>
  <c r="AI34" i="1"/>
  <c r="AC33" i="1"/>
  <c r="AB33" i="1"/>
  <c r="AP99" i="1" l="1"/>
  <c r="AQ98" i="1"/>
  <c r="Y93" i="1"/>
  <c r="AD33" i="1"/>
  <c r="AE33" i="1" s="1"/>
  <c r="AF33" i="1" s="1"/>
  <c r="AH33" i="1" s="1"/>
  <c r="AA34" i="1" s="1"/>
  <c r="AP100" i="1" l="1"/>
  <c r="AQ99" i="1"/>
  <c r="Y94" i="1"/>
  <c r="AC34" i="1"/>
  <c r="AG33" i="1"/>
  <c r="Z34" i="1" s="1"/>
  <c r="AP101" i="1" l="1"/>
  <c r="AQ100" i="1"/>
  <c r="Y95" i="1"/>
  <c r="AI35" i="1"/>
  <c r="AB34" i="1"/>
  <c r="AP102" i="1" l="1"/>
  <c r="AQ101" i="1"/>
  <c r="Y96" i="1"/>
  <c r="AD34" i="1"/>
  <c r="AE34" i="1" s="1"/>
  <c r="AF34" i="1" s="1"/>
  <c r="AH34" i="1" s="1"/>
  <c r="AA35" i="1" s="1"/>
  <c r="AP103" i="1" l="1"/>
  <c r="AQ102" i="1"/>
  <c r="Y97" i="1"/>
  <c r="AC35" i="1"/>
  <c r="AG34" i="1"/>
  <c r="Z35" i="1" s="1"/>
  <c r="AP104" i="1" l="1"/>
  <c r="AQ103" i="1"/>
  <c r="Y98" i="1"/>
  <c r="AB35" i="1"/>
  <c r="AI36" i="1"/>
  <c r="AP105" i="1" l="1"/>
  <c r="AQ105" i="1" s="1"/>
  <c r="AQ104" i="1"/>
  <c r="Y99" i="1"/>
  <c r="AD35" i="1"/>
  <c r="AE35" i="1" s="1"/>
  <c r="AF35" i="1" s="1"/>
  <c r="AH35" i="1" s="1"/>
  <c r="AA36" i="1" s="1"/>
  <c r="Y100" i="1" l="1"/>
  <c r="AG35" i="1"/>
  <c r="Z36" i="1" s="1"/>
  <c r="AC36" i="1"/>
  <c r="Y101" i="1" l="1"/>
  <c r="AI37" i="1"/>
  <c r="AB36" i="1"/>
  <c r="Y102" i="1" l="1"/>
  <c r="AD36" i="1"/>
  <c r="AE36" i="1" s="1"/>
  <c r="AF36" i="1" s="1"/>
  <c r="AH36" i="1" s="1"/>
  <c r="AA37" i="1" s="1"/>
  <c r="Y103" i="1" l="1"/>
  <c r="AG36" i="1"/>
  <c r="Z37" i="1" s="1"/>
  <c r="AC37" i="1"/>
  <c r="Y104" i="1" l="1"/>
  <c r="AI38" i="1"/>
  <c r="AB37" i="1"/>
  <c r="Y105" i="1" l="1"/>
  <c r="AD37" i="1"/>
  <c r="AE37" i="1" s="1"/>
  <c r="AF37" i="1" s="1"/>
  <c r="AH37" i="1" s="1"/>
  <c r="AA38" i="1" s="1"/>
  <c r="AG37" i="1" l="1"/>
  <c r="Z38" i="1" s="1"/>
  <c r="AC38" i="1"/>
  <c r="AI39" i="1" l="1"/>
  <c r="AB38" i="1"/>
  <c r="AD38" i="1" l="1"/>
  <c r="AE38" i="1" s="1"/>
  <c r="AF38" i="1" s="1"/>
  <c r="AH38" i="1" s="1"/>
  <c r="AA39" i="1" s="1"/>
  <c r="AG38" i="1" l="1"/>
  <c r="Z39" i="1" s="1"/>
  <c r="AC39" i="1"/>
  <c r="AI40" i="1" l="1"/>
  <c r="AB39" i="1"/>
  <c r="AD39" i="1" l="1"/>
  <c r="AE39" i="1" s="1"/>
  <c r="AF39" i="1" s="1"/>
  <c r="AH39" i="1" s="1"/>
  <c r="AA40" i="1" s="1"/>
  <c r="AG39" i="1" l="1"/>
  <c r="Z40" i="1" s="1"/>
  <c r="AC40" i="1"/>
  <c r="AI41" i="1" l="1"/>
  <c r="AB40" i="1"/>
  <c r="AD40" i="1" l="1"/>
  <c r="AE40" i="1" s="1"/>
  <c r="AF40" i="1" s="1"/>
  <c r="AH40" i="1" s="1"/>
  <c r="AA41" i="1" s="1"/>
  <c r="AC41" i="1" l="1"/>
  <c r="AG40" i="1"/>
  <c r="Z41" i="1" s="1"/>
  <c r="AB41" i="1" l="1"/>
  <c r="AI42" i="1"/>
  <c r="AD41" i="1" l="1"/>
  <c r="AE41" i="1" s="1"/>
  <c r="AF41" i="1" s="1"/>
  <c r="AH41" i="1" s="1"/>
  <c r="AA42" i="1" s="1"/>
  <c r="AC42" i="1" l="1"/>
  <c r="AG41" i="1"/>
  <c r="Z42" i="1" s="1"/>
  <c r="AB42" i="1" l="1"/>
  <c r="AI43" i="1"/>
  <c r="AD42" i="1" l="1"/>
  <c r="AE42" i="1" s="1"/>
  <c r="AF42" i="1" s="1"/>
  <c r="AH42" i="1" s="1"/>
  <c r="AA43" i="1" s="1"/>
  <c r="AG42" i="1" l="1"/>
  <c r="Z43" i="1" s="1"/>
  <c r="AC43" i="1"/>
  <c r="AI44" i="1" l="1"/>
  <c r="AB43" i="1"/>
  <c r="AD43" i="1" l="1"/>
  <c r="AE43" i="1" s="1"/>
  <c r="AF43" i="1" s="1"/>
  <c r="AH43" i="1" s="1"/>
  <c r="AA44" i="1" s="1"/>
  <c r="AG43" i="1" l="1"/>
  <c r="Z44" i="1" s="1"/>
  <c r="AC44" i="1"/>
  <c r="AI45" i="1" l="1"/>
  <c r="AB44" i="1"/>
  <c r="AD44" i="1" l="1"/>
  <c r="AE44" i="1" s="1"/>
  <c r="AF44" i="1" s="1"/>
  <c r="AH44" i="1" s="1"/>
  <c r="AA45" i="1" s="1"/>
  <c r="AG44" i="1" l="1"/>
  <c r="Z45" i="1" s="1"/>
  <c r="AC45" i="1"/>
  <c r="AI46" i="1" l="1"/>
  <c r="AB45" i="1"/>
  <c r="AD45" i="1" l="1"/>
  <c r="AE45" i="1" s="1"/>
  <c r="AF45" i="1" s="1"/>
  <c r="AH45" i="1" s="1"/>
  <c r="AA46" i="1" s="1"/>
  <c r="AG45" i="1" l="1"/>
  <c r="Z46" i="1" s="1"/>
  <c r="AC46" i="1"/>
  <c r="AB46" i="1" l="1"/>
  <c r="AD46" i="1" s="1"/>
  <c r="AE46" i="1" s="1"/>
  <c r="AF46" i="1" s="1"/>
  <c r="AH46" i="1" s="1"/>
  <c r="AA47" i="1" s="1"/>
  <c r="AC47" i="1" s="1"/>
  <c r="AI47" i="1"/>
  <c r="AG46" i="1" l="1"/>
  <c r="Z47" i="1" s="1"/>
  <c r="AI48" i="1" l="1"/>
  <c r="AB47" i="1"/>
  <c r="AD47" i="1" l="1"/>
  <c r="AE47" i="1" s="1"/>
  <c r="AF47" i="1" s="1"/>
  <c r="AH47" i="1" s="1"/>
  <c r="AA48" i="1" s="1"/>
  <c r="AG47" i="1" l="1"/>
  <c r="Z48" i="1" s="1"/>
  <c r="AC48" i="1"/>
  <c r="AB48" i="1" l="1"/>
  <c r="AD48" i="1" s="1"/>
  <c r="AE48" i="1" s="1"/>
  <c r="AF48" i="1" s="1"/>
  <c r="AH48" i="1" s="1"/>
  <c r="AA49" i="1" s="1"/>
  <c r="AI49" i="1"/>
  <c r="AG48" i="1" l="1"/>
  <c r="Z49" i="1" s="1"/>
  <c r="AB49" i="1" s="1"/>
  <c r="AC49" i="1"/>
  <c r="AI50" i="1" l="1"/>
  <c r="AD49" i="1"/>
  <c r="AE49" i="1" s="1"/>
  <c r="AF49" i="1" s="1"/>
  <c r="AH49" i="1" s="1"/>
  <c r="AA50" i="1" s="1"/>
  <c r="AG49" i="1" l="1"/>
  <c r="Z50" i="1" s="1"/>
  <c r="AB50" i="1" s="1"/>
  <c r="AC50" i="1"/>
  <c r="AI51" i="1" l="1"/>
  <c r="AD50" i="1"/>
  <c r="AE50" i="1" s="1"/>
  <c r="AF50" i="1" s="1"/>
  <c r="AH50" i="1" s="1"/>
  <c r="AA51" i="1" s="1"/>
  <c r="AG50" i="1" l="1"/>
  <c r="Z51" i="1" s="1"/>
  <c r="AB51" i="1" s="1"/>
  <c r="AC51" i="1"/>
  <c r="AD51" i="1" l="1"/>
  <c r="AE51" i="1" s="1"/>
  <c r="AF51" i="1" s="1"/>
  <c r="AH51" i="1" s="1"/>
  <c r="AA52" i="1" s="1"/>
  <c r="AI52" i="1"/>
  <c r="AG51" i="1" l="1"/>
  <c r="Z52" i="1" s="1"/>
  <c r="AB52" i="1" s="1"/>
  <c r="AC52" i="1"/>
  <c r="AD52" i="1" l="1"/>
  <c r="AE52" i="1" s="1"/>
  <c r="AF52" i="1" s="1"/>
  <c r="AH52" i="1" s="1"/>
  <c r="AA53" i="1" s="1"/>
  <c r="AC53" i="1" s="1"/>
  <c r="AI53" i="1"/>
  <c r="AG52" i="1" l="1"/>
  <c r="Z53" i="1" s="1"/>
  <c r="AB53" i="1" l="1"/>
  <c r="AD53" i="1" s="1"/>
  <c r="AE53" i="1" s="1"/>
  <c r="AF53" i="1" s="1"/>
  <c r="AH53" i="1" s="1"/>
  <c r="AA54" i="1" s="1"/>
  <c r="AI54" i="1"/>
  <c r="AG53" i="1" l="1"/>
  <c r="Z54" i="1" s="1"/>
  <c r="AB54" i="1" s="1"/>
  <c r="AC54" i="1"/>
  <c r="AI55" i="1" l="1"/>
  <c r="AD54" i="1"/>
  <c r="AE54" i="1" s="1"/>
  <c r="AF54" i="1" s="1"/>
  <c r="AH54" i="1" s="1"/>
  <c r="AA55" i="1" s="1"/>
  <c r="AG54" i="1" l="1"/>
  <c r="Z55" i="1" s="1"/>
  <c r="AB55" i="1" s="1"/>
  <c r="AC55" i="1"/>
  <c r="AI56" i="1" l="1"/>
  <c r="AD55" i="1"/>
  <c r="AE55" i="1" s="1"/>
  <c r="AF55" i="1" s="1"/>
  <c r="AH55" i="1" s="1"/>
  <c r="AA56" i="1" s="1"/>
  <c r="AG55" i="1" l="1"/>
  <c r="Z56" i="1" s="1"/>
  <c r="AB56" i="1" s="1"/>
  <c r="AC56" i="1"/>
  <c r="AI57" i="1" l="1"/>
  <c r="AD56" i="1"/>
  <c r="AE56" i="1" s="1"/>
  <c r="AF56" i="1" s="1"/>
  <c r="AH56" i="1" s="1"/>
  <c r="AA57" i="1" s="1"/>
  <c r="AG56" i="1" l="1"/>
  <c r="Z57" i="1" s="1"/>
  <c r="AB57" i="1" s="1"/>
  <c r="AC57" i="1"/>
  <c r="AI58" i="1" l="1"/>
  <c r="AD57" i="1"/>
  <c r="AE57" i="1" s="1"/>
  <c r="AF57" i="1" s="1"/>
  <c r="AH57" i="1" s="1"/>
  <c r="AA58" i="1" s="1"/>
  <c r="AC58" i="1" s="1"/>
  <c r="AG57" i="1" l="1"/>
  <c r="Z58" i="1" s="1"/>
  <c r="AB58" i="1" s="1"/>
  <c r="AD58" i="1" s="1"/>
  <c r="AE58" i="1" s="1"/>
  <c r="AF58" i="1" s="1"/>
  <c r="AH58" i="1" s="1"/>
  <c r="AA59" i="1" s="1"/>
  <c r="AI59" i="1" l="1"/>
  <c r="AG58" i="1"/>
  <c r="Z59" i="1" s="1"/>
  <c r="AI60" i="1" s="1"/>
  <c r="AC59" i="1"/>
  <c r="AB59" i="1" l="1"/>
  <c r="AD59" i="1" l="1"/>
  <c r="AE59" i="1" s="1"/>
  <c r="AF59" i="1" s="1"/>
  <c r="AH59" i="1" s="1"/>
  <c r="AA60" i="1" s="1"/>
  <c r="AG59" i="1" l="1"/>
  <c r="Z60" i="1" s="1"/>
  <c r="AC60" i="1"/>
  <c r="AI61" i="1" l="1"/>
  <c r="AB60" i="1"/>
  <c r="AD60" i="1" l="1"/>
  <c r="AE60" i="1" s="1"/>
  <c r="AF60" i="1" s="1"/>
  <c r="AH60" i="1" s="1"/>
  <c r="AA61" i="1" s="1"/>
  <c r="AG60" i="1" l="1"/>
  <c r="Z61" i="1" s="1"/>
  <c r="AC61" i="1"/>
  <c r="AB61" i="1" l="1"/>
  <c r="AD61" i="1" s="1"/>
  <c r="AE61" i="1" s="1"/>
  <c r="AF61" i="1" s="1"/>
  <c r="AH61" i="1" s="1"/>
  <c r="AA62" i="1" s="1"/>
  <c r="AI62" i="1"/>
  <c r="AG61" i="1" l="1"/>
  <c r="Z62" i="1" s="1"/>
  <c r="AB62" i="1" s="1"/>
  <c r="AC62" i="1"/>
  <c r="AD62" i="1" l="1"/>
  <c r="AE62" i="1" s="1"/>
  <c r="AF62" i="1" s="1"/>
  <c r="AH62" i="1" s="1"/>
  <c r="AA63" i="1" s="1"/>
  <c r="AI63" i="1"/>
  <c r="AG62" i="1" l="1"/>
  <c r="Z63" i="1" s="1"/>
  <c r="AB63" i="1" s="1"/>
  <c r="AC63" i="1"/>
  <c r="AD63" i="1" l="1"/>
  <c r="AE63" i="1" s="1"/>
  <c r="AF63" i="1" s="1"/>
  <c r="AH63" i="1" s="1"/>
  <c r="AA64" i="1" s="1"/>
  <c r="AI64" i="1"/>
  <c r="AG63" i="1" l="1"/>
  <c r="Z64" i="1" s="1"/>
  <c r="AI65" i="1" s="1"/>
  <c r="AC64" i="1"/>
  <c r="AB64" i="1" l="1"/>
  <c r="AD64" i="1" l="1"/>
  <c r="AE64" i="1" s="1"/>
  <c r="AF64" i="1" s="1"/>
  <c r="AH64" i="1" s="1"/>
  <c r="AA65" i="1" s="1"/>
  <c r="AG64" i="1" l="1"/>
  <c r="Z65" i="1" s="1"/>
  <c r="AC65" i="1"/>
  <c r="AB65" i="1" l="1"/>
  <c r="AD65" i="1" s="1"/>
  <c r="AE65" i="1" s="1"/>
  <c r="AF65" i="1" s="1"/>
  <c r="AH65" i="1" s="1"/>
  <c r="AA66" i="1" s="1"/>
  <c r="AC66" i="1" s="1"/>
  <c r="AI66" i="1"/>
  <c r="AG65" i="1" l="1"/>
  <c r="Z66" i="1" s="1"/>
  <c r="AI67" i="1" l="1"/>
  <c r="AB66" i="1"/>
  <c r="AD66" i="1" l="1"/>
  <c r="AE66" i="1" s="1"/>
  <c r="AF66" i="1" s="1"/>
  <c r="AH66" i="1" s="1"/>
  <c r="AA67" i="1" s="1"/>
  <c r="AG66" i="1" l="1"/>
  <c r="Z67" i="1" s="1"/>
  <c r="AC67" i="1"/>
  <c r="AB67" i="1" l="1"/>
  <c r="AD67" i="1" s="1"/>
  <c r="AE67" i="1" s="1"/>
  <c r="AF67" i="1" s="1"/>
  <c r="AH67" i="1" s="1"/>
  <c r="AA68" i="1" s="1"/>
  <c r="AI68" i="1"/>
  <c r="AG67" i="1" l="1"/>
  <c r="Z68" i="1" s="1"/>
  <c r="AB68" i="1" s="1"/>
  <c r="AC68" i="1"/>
  <c r="AI69" i="1" l="1"/>
  <c r="AD68" i="1"/>
  <c r="AE68" i="1" s="1"/>
  <c r="AF68" i="1" s="1"/>
  <c r="AH68" i="1" s="1"/>
  <c r="AA69" i="1" s="1"/>
  <c r="AG68" i="1" l="1"/>
  <c r="Z69" i="1" s="1"/>
  <c r="AB69" i="1" s="1"/>
  <c r="AC69" i="1"/>
  <c r="AD69" i="1" l="1"/>
  <c r="AE69" i="1" s="1"/>
  <c r="AF69" i="1" s="1"/>
  <c r="AH69" i="1" s="1"/>
  <c r="AA70" i="1" s="1"/>
  <c r="AC70" i="1" s="1"/>
  <c r="AI70" i="1"/>
  <c r="AG69" i="1" l="1"/>
  <c r="Z70" i="1" s="1"/>
  <c r="AI71" i="1" s="1"/>
  <c r="AB70" i="1" l="1"/>
  <c r="AD70" i="1" s="1"/>
  <c r="AE70" i="1" s="1"/>
  <c r="AF70" i="1" s="1"/>
  <c r="AH70" i="1" s="1"/>
  <c r="AA71" i="1" s="1"/>
  <c r="AG70" i="1" l="1"/>
  <c r="Z71" i="1" s="1"/>
  <c r="AC71" i="1"/>
  <c r="AB71" i="1" l="1"/>
  <c r="AD71" i="1" s="1"/>
  <c r="AE71" i="1" s="1"/>
  <c r="AF71" i="1" s="1"/>
  <c r="AH71" i="1" s="1"/>
  <c r="AA72" i="1" s="1"/>
  <c r="AI72" i="1"/>
  <c r="AG71" i="1" l="1"/>
  <c r="Z72" i="1" s="1"/>
  <c r="AB72" i="1" s="1"/>
  <c r="AC72" i="1"/>
  <c r="AI73" i="1" l="1"/>
  <c r="AD72" i="1"/>
  <c r="AE72" i="1" s="1"/>
  <c r="AF72" i="1" s="1"/>
  <c r="AH72" i="1" s="1"/>
  <c r="AA73" i="1" s="1"/>
  <c r="AG72" i="1" l="1"/>
  <c r="Z73" i="1" s="1"/>
  <c r="AB73" i="1" s="1"/>
  <c r="AC73" i="1"/>
  <c r="AI74" i="1" l="1"/>
  <c r="AD73" i="1"/>
  <c r="AE73" i="1" l="1"/>
  <c r="AF73" i="1" s="1"/>
  <c r="AH73" i="1" s="1"/>
  <c r="AA74" i="1" s="1"/>
  <c r="AC74" i="1" s="1"/>
  <c r="AG73" i="1" l="1"/>
  <c r="Z74" i="1" s="1"/>
  <c r="AB74" i="1" l="1"/>
  <c r="AD74" i="1" s="1"/>
  <c r="AE74" i="1" s="1"/>
  <c r="AF74" i="1" s="1"/>
  <c r="AH74" i="1" s="1"/>
  <c r="AA75" i="1" s="1"/>
  <c r="AI75" i="1"/>
  <c r="AC75" i="1" l="1"/>
  <c r="AG74" i="1"/>
  <c r="Z75" i="1" s="1"/>
  <c r="AB75" i="1" l="1"/>
  <c r="AD75" i="1" s="1"/>
  <c r="AE75" i="1" s="1"/>
  <c r="AF75" i="1" s="1"/>
  <c r="AH75" i="1" s="1"/>
  <c r="AA76" i="1" s="1"/>
  <c r="AC76" i="1" s="1"/>
  <c r="AI76" i="1"/>
  <c r="AG75" i="1" l="1"/>
  <c r="Z76" i="1" s="1"/>
  <c r="AB76" i="1" s="1"/>
  <c r="AD76" i="1" s="1"/>
  <c r="AE76" i="1" s="1"/>
  <c r="AF76" i="1" s="1"/>
  <c r="AI77" i="1" l="1"/>
  <c r="AH76" i="1"/>
  <c r="AA77" i="1" s="1"/>
  <c r="AG76" i="1"/>
  <c r="Z77" i="1" s="1"/>
  <c r="AB77" i="1" s="1"/>
  <c r="AC77" i="1" l="1"/>
  <c r="AD77" i="1" s="1"/>
  <c r="AE77" i="1" s="1"/>
  <c r="AF77" i="1" s="1"/>
  <c r="AH77" i="1" s="1"/>
  <c r="AA78" i="1" s="1"/>
  <c r="AI78" i="1"/>
  <c r="AG77" i="1" l="1"/>
  <c r="Z78" i="1" s="1"/>
  <c r="AB78" i="1" s="1"/>
  <c r="AC78" i="1"/>
  <c r="AI79" i="1" l="1"/>
  <c r="AD78" i="1"/>
  <c r="AE78" i="1" s="1"/>
  <c r="AF78" i="1" s="1"/>
  <c r="AH78" i="1" s="1"/>
  <c r="AA79" i="1" s="1"/>
  <c r="AG78" i="1" l="1"/>
  <c r="Z79" i="1" s="1"/>
  <c r="AB79" i="1" s="1"/>
  <c r="AC79" i="1"/>
  <c r="AI80" i="1" l="1"/>
  <c r="AD79" i="1"/>
  <c r="AE79" i="1" l="1"/>
  <c r="AF79" i="1" s="1"/>
  <c r="AH79" i="1" s="1"/>
  <c r="AA80" i="1" s="1"/>
  <c r="AC80" i="1" s="1"/>
  <c r="AG79" i="1" l="1"/>
  <c r="Z80" i="1" s="1"/>
  <c r="AB80" i="1" l="1"/>
  <c r="AD80" i="1" s="1"/>
  <c r="AE80" i="1" s="1"/>
  <c r="AF80" i="1" s="1"/>
  <c r="AH80" i="1" s="1"/>
  <c r="AA81" i="1" s="1"/>
  <c r="AI81" i="1"/>
  <c r="AC81" i="1" l="1"/>
  <c r="AG80" i="1"/>
  <c r="Z81" i="1" s="1"/>
  <c r="AB81" i="1" s="1"/>
  <c r="AD81" i="1" l="1"/>
  <c r="AE81" i="1" s="1"/>
  <c r="AF81" i="1" s="1"/>
  <c r="AH81" i="1" s="1"/>
  <c r="AA82" i="1" s="1"/>
  <c r="AC82" i="1" s="1"/>
  <c r="AI82" i="1"/>
  <c r="AG81" i="1" l="1"/>
  <c r="Z82" i="1" s="1"/>
  <c r="AB82" i="1" s="1"/>
  <c r="AD82" i="1" s="1"/>
  <c r="AE82" i="1" s="1"/>
  <c r="AF82" i="1" s="1"/>
  <c r="AH82" i="1" s="1"/>
  <c r="AA83" i="1" s="1"/>
  <c r="AC83" i="1" s="1"/>
  <c r="AI83" i="1" l="1"/>
  <c r="AG82" i="1"/>
  <c r="Z83" i="1" s="1"/>
  <c r="AB83" i="1" s="1"/>
  <c r="AD83" i="1" s="1"/>
  <c r="AE83" i="1" s="1"/>
  <c r="AF83" i="1" s="1"/>
  <c r="AH83" i="1" s="1"/>
  <c r="AA84" i="1" s="1"/>
  <c r="AC84" i="1" s="1"/>
  <c r="AI84" i="1" l="1"/>
  <c r="AG83" i="1"/>
  <c r="Z84" i="1" s="1"/>
  <c r="AB84" i="1" l="1"/>
  <c r="AD84" i="1" s="1"/>
  <c r="AE84" i="1" s="1"/>
  <c r="AF84" i="1" s="1"/>
  <c r="AH84" i="1" s="1"/>
  <c r="AA85" i="1" s="1"/>
  <c r="AI85" i="1"/>
  <c r="AG84" i="1" l="1"/>
  <c r="Z85" i="1" s="1"/>
  <c r="AB85" i="1" s="1"/>
  <c r="AC85" i="1"/>
  <c r="AI86" i="1" l="1"/>
  <c r="AD85" i="1"/>
  <c r="AE85" i="1" s="1"/>
  <c r="AF85" i="1" s="1"/>
  <c r="AH85" i="1" s="1"/>
  <c r="AA86" i="1" s="1"/>
  <c r="AG85" i="1" l="1"/>
  <c r="Z86" i="1" s="1"/>
  <c r="AB86" i="1" s="1"/>
  <c r="AC86" i="1"/>
  <c r="AI87" i="1" l="1"/>
  <c r="AD86" i="1"/>
  <c r="AE86" i="1" s="1"/>
  <c r="AF86" i="1" s="1"/>
  <c r="AH86" i="1" s="1"/>
  <c r="AA87" i="1" s="1"/>
  <c r="AG86" i="1" l="1"/>
  <c r="Z87" i="1" s="1"/>
  <c r="AB87" i="1" s="1"/>
  <c r="AC87" i="1"/>
  <c r="AD87" i="1" l="1"/>
  <c r="AE87" i="1" s="1"/>
  <c r="AF87" i="1" s="1"/>
  <c r="AH87" i="1" s="1"/>
  <c r="AA88" i="1" s="1"/>
  <c r="AI88" i="1"/>
  <c r="AG87" i="1" l="1"/>
  <c r="Z88" i="1" s="1"/>
  <c r="AB88" i="1" s="1"/>
  <c r="AC88" i="1"/>
  <c r="AD88" i="1" l="1"/>
  <c r="AE88" i="1" s="1"/>
  <c r="AF88" i="1" s="1"/>
  <c r="AH88" i="1" s="1"/>
  <c r="AA89" i="1" s="1"/>
  <c r="AI89" i="1"/>
  <c r="AG88" i="1" l="1"/>
  <c r="Z89" i="1" s="1"/>
  <c r="AB89" i="1" s="1"/>
  <c r="AC89" i="1"/>
  <c r="AI90" i="1" l="1"/>
  <c r="AD89" i="1"/>
  <c r="AE89" i="1" s="1"/>
  <c r="AF89" i="1" s="1"/>
  <c r="AH89" i="1" s="1"/>
  <c r="AA90" i="1" s="1"/>
  <c r="AG89" i="1" l="1"/>
  <c r="Z90" i="1" s="1"/>
  <c r="AB90" i="1" s="1"/>
  <c r="AC90" i="1"/>
  <c r="AD90" i="1" l="1"/>
  <c r="AE90" i="1" s="1"/>
  <c r="AF90" i="1" s="1"/>
  <c r="AH90" i="1" s="1"/>
  <c r="AA91" i="1" s="1"/>
  <c r="AC91" i="1" s="1"/>
  <c r="AI91" i="1"/>
  <c r="AG90" i="1" l="1"/>
  <c r="Z91" i="1" s="1"/>
  <c r="AI92" i="1" s="1"/>
  <c r="AB91" i="1" l="1"/>
  <c r="AD91" i="1" s="1"/>
  <c r="AE91" i="1" s="1"/>
  <c r="AF91" i="1" s="1"/>
  <c r="AH91" i="1" s="1"/>
  <c r="AA92" i="1" s="1"/>
  <c r="AG91" i="1" l="1"/>
  <c r="Z92" i="1" s="1"/>
  <c r="AB92" i="1" s="1"/>
  <c r="AC92" i="1"/>
  <c r="AI93" i="1" l="1"/>
  <c r="AD92" i="1"/>
  <c r="AE92" i="1" s="1"/>
  <c r="AF92" i="1" s="1"/>
  <c r="AH92" i="1" s="1"/>
  <c r="AA93" i="1" s="1"/>
  <c r="AG92" i="1" l="1"/>
  <c r="Z93" i="1" s="1"/>
  <c r="AB93" i="1" s="1"/>
  <c r="AC93" i="1"/>
  <c r="AI94" i="1" l="1"/>
  <c r="AD93" i="1"/>
  <c r="AE93" i="1" s="1"/>
  <c r="AF93" i="1" s="1"/>
  <c r="AH93" i="1" s="1"/>
  <c r="AA94" i="1" s="1"/>
  <c r="AG93" i="1" l="1"/>
  <c r="Z94" i="1" s="1"/>
  <c r="AI95" i="1" s="1"/>
  <c r="AC94" i="1"/>
  <c r="AB94" i="1" l="1"/>
  <c r="AD94" i="1" l="1"/>
  <c r="AE94" i="1" s="1"/>
  <c r="AF94" i="1" s="1"/>
  <c r="AH94" i="1" s="1"/>
  <c r="AA95" i="1" s="1"/>
  <c r="AG94" i="1" l="1"/>
  <c r="Z95" i="1" s="1"/>
  <c r="AB95" i="1" s="1"/>
  <c r="AC95" i="1"/>
  <c r="AI96" i="1" l="1"/>
  <c r="AD95" i="1"/>
  <c r="AE95" i="1" s="1"/>
  <c r="AF95" i="1" s="1"/>
  <c r="AH95" i="1" s="1"/>
  <c r="AA96" i="1" s="1"/>
  <c r="AG95" i="1" l="1"/>
  <c r="Z96" i="1" s="1"/>
  <c r="AB96" i="1" s="1"/>
  <c r="AC96" i="1"/>
  <c r="AD96" i="1" l="1"/>
  <c r="AE96" i="1" s="1"/>
  <c r="AF96" i="1" s="1"/>
  <c r="AH96" i="1" s="1"/>
  <c r="AA97" i="1" s="1"/>
  <c r="AI97" i="1"/>
  <c r="AG96" i="1" l="1"/>
  <c r="Z97" i="1" s="1"/>
  <c r="AB97" i="1" s="1"/>
  <c r="AC97" i="1"/>
  <c r="AI98" i="1" l="1"/>
  <c r="AD97" i="1"/>
  <c r="AE97" i="1" s="1"/>
  <c r="AF97" i="1" s="1"/>
  <c r="AH97" i="1" s="1"/>
  <c r="AA98" i="1" s="1"/>
  <c r="AC98" i="1" s="1"/>
  <c r="AG97" i="1" l="1"/>
  <c r="Z98" i="1" s="1"/>
  <c r="AI99" i="1" s="1"/>
  <c r="AB98" i="1" l="1"/>
  <c r="AD98" i="1" s="1"/>
  <c r="AE98" i="1" s="1"/>
  <c r="AF98" i="1" s="1"/>
  <c r="AH98" i="1" s="1"/>
  <c r="AA99" i="1" s="1"/>
  <c r="AG98" i="1" l="1"/>
  <c r="Z99" i="1" s="1"/>
  <c r="AI100" i="1" s="1"/>
  <c r="AC99" i="1"/>
  <c r="AB99" i="1" l="1"/>
  <c r="AD99" i="1" s="1"/>
  <c r="AE99" i="1" s="1"/>
  <c r="AF99" i="1" s="1"/>
  <c r="AH99" i="1" s="1"/>
  <c r="AA100" i="1" s="1"/>
  <c r="AG99" i="1" l="1"/>
  <c r="Z100" i="1" s="1"/>
  <c r="AI101" i="1" s="1"/>
  <c r="AC100" i="1"/>
  <c r="AB100" i="1" l="1"/>
  <c r="AD100" i="1" l="1"/>
  <c r="AE100" i="1" s="1"/>
  <c r="AF100" i="1" s="1"/>
  <c r="AH100" i="1" s="1"/>
  <c r="AA101" i="1" s="1"/>
  <c r="AG100" i="1" l="1"/>
  <c r="Z101" i="1" s="1"/>
  <c r="AI102" i="1" s="1"/>
  <c r="AC101" i="1"/>
  <c r="AB101" i="1" l="1"/>
  <c r="AD101" i="1" s="1"/>
  <c r="AE101" i="1" s="1"/>
  <c r="AF101" i="1" s="1"/>
  <c r="AH101" i="1" s="1"/>
  <c r="AA102" i="1" s="1"/>
  <c r="AG101" i="1" l="1"/>
  <c r="Z102" i="1" s="1"/>
  <c r="AI103" i="1" s="1"/>
  <c r="AC102" i="1"/>
  <c r="AB102" i="1" l="1"/>
  <c r="AD102" i="1" l="1"/>
  <c r="AE102" i="1" s="1"/>
  <c r="AF102" i="1" s="1"/>
  <c r="AH102" i="1" s="1"/>
  <c r="AA103" i="1" s="1"/>
  <c r="AG102" i="1" l="1"/>
  <c r="Z103" i="1" s="1"/>
  <c r="AB103" i="1" s="1"/>
  <c r="AC103" i="1"/>
  <c r="AI104" i="1" l="1"/>
  <c r="AD103" i="1"/>
  <c r="AE103" i="1" s="1"/>
  <c r="AF103" i="1" s="1"/>
  <c r="AH103" i="1" s="1"/>
  <c r="AA104" i="1" s="1"/>
  <c r="AG103" i="1" l="1"/>
  <c r="Z104" i="1" s="1"/>
  <c r="AI105" i="1" s="1"/>
  <c r="V22" i="1" s="1" a="1"/>
  <c r="V22" i="1" s="1"/>
  <c r="AC104" i="1"/>
  <c r="D18" i="1" l="1"/>
  <c r="D17" i="1"/>
  <c r="V19" i="1"/>
  <c r="AB104" i="1"/>
  <c r="AD104" i="1" l="1"/>
  <c r="AE104" i="1" s="1"/>
  <c r="AF104" i="1" s="1"/>
  <c r="AH104" i="1" s="1"/>
  <c r="AA105" i="1" s="1"/>
  <c r="AG104" i="1" l="1"/>
  <c r="Z105" i="1" s="1"/>
  <c r="AB105" i="1" s="1"/>
  <c r="AC105" i="1"/>
  <c r="AD105" i="1" l="1"/>
  <c r="AE105" i="1" l="1"/>
  <c r="AF105" i="1" s="1"/>
  <c r="AH105" i="1" s="1"/>
  <c r="D19" i="1"/>
  <c r="AG105" i="1" l="1"/>
</calcChain>
</file>

<file path=xl/sharedStrings.xml><?xml version="1.0" encoding="utf-8"?>
<sst xmlns="http://schemas.openxmlformats.org/spreadsheetml/2006/main" count="45" uniqueCount="40">
  <si>
    <t>Projectile Trajectory Calculator</t>
  </si>
  <si>
    <t>Reverse</t>
  </si>
  <si>
    <t>Metric?</t>
  </si>
  <si>
    <t>Forward</t>
  </si>
  <si>
    <t>Release Angle (°)</t>
  </si>
  <si>
    <t>Target Angle (°)</t>
  </si>
  <si>
    <t>Final Angle (°)</t>
  </si>
  <si>
    <t>Drag Coefficient</t>
  </si>
  <si>
    <t>Rotation Speed (rps)</t>
  </si>
  <si>
    <t>t</t>
  </si>
  <si>
    <t>x</t>
  </si>
  <si>
    <t>y</t>
  </si>
  <si>
    <t>x'</t>
  </si>
  <si>
    <t>y'</t>
  </si>
  <si>
    <t>x''</t>
  </si>
  <si>
    <t>y''</t>
  </si>
  <si>
    <t>Release Height</t>
  </si>
  <si>
    <t>Distance to Target</t>
  </si>
  <si>
    <t>Release Velocity</t>
  </si>
  <si>
    <t>Release Angle</t>
  </si>
  <si>
    <t>drag</t>
  </si>
  <si>
    <t>Timestep</t>
  </si>
  <si>
    <t>S</t>
  </si>
  <si>
    <t>CL</t>
  </si>
  <si>
    <t>v</t>
  </si>
  <si>
    <t>lift</t>
  </si>
  <si>
    <t>Mass</t>
  </si>
  <si>
    <t>Radius</t>
  </si>
  <si>
    <t>x_disp</t>
  </si>
  <si>
    <t>y_disp</t>
  </si>
  <si>
    <t>done</t>
  </si>
  <si>
    <t>The reverse calculation uses standard projectile motion only. It does not account for air resistance or the Magnus effect.</t>
  </si>
  <si>
    <t>The forward calculation includes a basic model for air resistance and Magnus effect. To disable these, set the Drag Coefficient and Rotation Speed to 0.</t>
  </si>
  <si>
    <t>Drag Coeff. Calculation</t>
  </si>
  <si>
    <t>Reynolds Number</t>
  </si>
  <si>
    <t>Use the calculator to find the reynolds number of the ball in air, then use the graph below to find the ball's drag coefficient.</t>
  </si>
  <si>
    <t>Obstacle Height</t>
  </si>
  <si>
    <t>Obstacle Distance</t>
  </si>
  <si>
    <t>x_grph</t>
  </si>
  <si>
    <t>y_grph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</si>
</sst>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0.00000"/>
    <numFmt numFmtId="167" formatCode="0\°"/>
    <numFmt numFmtId="168" formatCode="0.0E+00"/>
    <numFmt numFmtId="169" formatCode="0.0000"/>
  </numFmts>
  <fonts count="9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0" fontId="7" fillId="0" borderId="0"/>
  </cellStyleXfs>
  <cellXfs count="35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164" fontId="0" fillId="2" borderId="4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7" fontId="0" fillId="2" borderId="4" xfId="0" applyNumberFormat="1" applyFill="1" applyBorder="1" applyAlignment="1" applyProtection="1">
      <alignment vertical="center"/>
      <protection locked="0"/>
    </xf>
    <xf numFmtId="16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164" fontId="0" fillId="3" borderId="4" xfId="0" applyNumberFormat="1" applyFill="1" applyBorder="1" applyAlignment="1">
      <alignment vertical="center"/>
    </xf>
    <xf numFmtId="167" fontId="0" fillId="3" borderId="4" xfId="0" applyNumberFormat="1" applyFill="1" applyBorder="1" applyAlignment="1">
      <alignment vertical="center"/>
    </xf>
    <xf numFmtId="2" fontId="0" fillId="2" borderId="4" xfId="0" applyNumberForma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168" fontId="0" fillId="3" borderId="4" xfId="0" applyNumberFormat="1" applyFill="1" applyBorder="1" applyAlignment="1">
      <alignment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169" fontId="0" fillId="0" borderId="0" xfId="0" applyNumberFormat="1" applyAlignment="1">
      <alignment vertical="center"/>
    </xf>
  </cellXfs>
  <cellStyles count="5">
    <cellStyle name="Bad 2" xfId="1"/>
    <cellStyle name="Neutral 2" xfId="2"/>
    <cellStyle name="Normal" xfId="0" builtinId="0"/>
    <cellStyle name="Normal 2" xfId="3"/>
    <cellStyle name="Normal 3" xfId="4"/>
  </cellStyles>
  <dxfs count="2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9495421288771E-2"/>
          <c:y val="4.4533511467379203E-2"/>
          <c:w val="0.93400278246782276"/>
          <c:h val="0.9048144407800727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´ÖÓÎÉÇØÍÐÉ!$AL$5:$AL$105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´ÖÓÎÉÇØÍÐÉ!$AM$5:$AM$105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ser>
          <c:idx val="1"/>
          <c:order val="1"/>
          <c:dPt>
            <c:idx val="0"/>
            <c:marker>
              <c:symbol val="none"/>
            </c:marker>
            <c:bubble3D val="0"/>
          </c:dPt>
          <c:xVal>
            <c:numRef>
              <c:f>´ÖÓÎÉÇØÍÐÉ!$V$19</c:f>
              <c:numCache>
                <c:formatCode>General</c:formatCode>
                <c:ptCount val="1"/>
                <c:pt idx="0">
                  <c:v>3.0360306553838523</c:v>
                </c:pt>
              </c:numCache>
            </c:numRef>
          </c:xVal>
          <c:yVal>
            <c:numRef>
              <c:f>´ÖÓÎÉÇØÍÐÉ!$V$19</c:f>
              <c:numCache>
                <c:formatCode>General</c:formatCode>
                <c:ptCount val="1"/>
                <c:pt idx="0">
                  <c:v>3.0360306553838523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(´ÖÓÎÉÇØÍÐÉ!$V$14,´ÖÓÎÉÇØÍÐÉ!$V$14)</c:f>
              <c:numCache>
                <c:formatCode>General</c:formatCode>
                <c:ptCount val="2"/>
                <c:pt idx="0">
                  <c:v>0.99999999999999967</c:v>
                </c:pt>
                <c:pt idx="1">
                  <c:v>0.99999999999999967</c:v>
                </c:pt>
              </c:numCache>
            </c:numRef>
          </c:xVal>
          <c:yVal>
            <c:numRef>
              <c:f>´ÖÓÎÉÇØÍÐÉ!$V$15:$V$16</c:f>
              <c:numCache>
                <c:formatCode>General</c:formatCode>
                <c:ptCount val="2"/>
                <c:pt idx="0">
                  <c:v>1.9999999999999993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´ÖÓÎÉÇØÍÐÉ!$AP$5:$AP$105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´ÖÓÎÉÇØÍÐÉ!$AQ$5:$AQ$105</c:f>
              <c:numCache>
                <c:formatCode>General</c:formatCode>
                <c:ptCount val="101"/>
                <c:pt idx="0">
                  <c:v>1.2</c:v>
                </c:pt>
                <c:pt idx="1">
                  <c:v>1.2258700927908637</c:v>
                </c:pt>
                <c:pt idx="2">
                  <c:v>1.2514803711634548</c:v>
                </c:pt>
                <c:pt idx="3">
                  <c:v>1.2768308351177731</c:v>
                </c:pt>
                <c:pt idx="4">
                  <c:v>1.3019214846538187</c:v>
                </c:pt>
                <c:pt idx="5">
                  <c:v>1.3267523197715918</c:v>
                </c:pt>
                <c:pt idx="6">
                  <c:v>1.351323340471092</c:v>
                </c:pt>
                <c:pt idx="7">
                  <c:v>1.3756345467523197</c:v>
                </c:pt>
                <c:pt idx="8">
                  <c:v>1.3996859386152747</c:v>
                </c:pt>
                <c:pt idx="9">
                  <c:v>1.4234775160599571</c:v>
                </c:pt>
                <c:pt idx="10">
                  <c:v>1.4470092790863669</c:v>
                </c:pt>
                <c:pt idx="11">
                  <c:v>1.4702812276945039</c:v>
                </c:pt>
                <c:pt idx="12">
                  <c:v>1.4932933618843682</c:v>
                </c:pt>
                <c:pt idx="13">
                  <c:v>1.5160456816559598</c:v>
                </c:pt>
                <c:pt idx="14">
                  <c:v>1.5385381870092791</c:v>
                </c:pt>
                <c:pt idx="15">
                  <c:v>1.5607708779443252</c:v>
                </c:pt>
                <c:pt idx="16">
                  <c:v>1.5827437544610994</c:v>
                </c:pt>
                <c:pt idx="17">
                  <c:v>1.6044568165596003</c:v>
                </c:pt>
                <c:pt idx="18">
                  <c:v>1.6259100642398288</c:v>
                </c:pt>
                <c:pt idx="19">
                  <c:v>1.6471034975017844</c:v>
                </c:pt>
                <c:pt idx="20">
                  <c:v>1.6680371163454677</c:v>
                </c:pt>
                <c:pt idx="21">
                  <c:v>1.6887109207708779</c:v>
                </c:pt>
                <c:pt idx="22">
                  <c:v>1.709124910778016</c:v>
                </c:pt>
                <c:pt idx="23">
                  <c:v>1.7292790863668808</c:v>
                </c:pt>
                <c:pt idx="24">
                  <c:v>1.7491734475374734</c:v>
                </c:pt>
                <c:pt idx="25">
                  <c:v>1.768807994289793</c:v>
                </c:pt>
                <c:pt idx="26">
                  <c:v>1.7881827266238401</c:v>
                </c:pt>
                <c:pt idx="27">
                  <c:v>1.8072976445396147</c:v>
                </c:pt>
                <c:pt idx="28">
                  <c:v>1.8261527480371165</c:v>
                </c:pt>
                <c:pt idx="29">
                  <c:v>1.8447480371163456</c:v>
                </c:pt>
                <c:pt idx="30">
                  <c:v>1.8630835117773019</c:v>
                </c:pt>
                <c:pt idx="31">
                  <c:v>1.8811591720199858</c:v>
                </c:pt>
                <c:pt idx="32">
                  <c:v>1.8989750178443967</c:v>
                </c:pt>
                <c:pt idx="33">
                  <c:v>1.9165310492505354</c:v>
                </c:pt>
                <c:pt idx="34">
                  <c:v>1.9338272662384015</c:v>
                </c:pt>
                <c:pt idx="35">
                  <c:v>1.9508636688079943</c:v>
                </c:pt>
                <c:pt idx="36">
                  <c:v>1.9676402569593148</c:v>
                </c:pt>
                <c:pt idx="37">
                  <c:v>1.9841570306923628</c:v>
                </c:pt>
                <c:pt idx="38">
                  <c:v>2.000413990007138</c:v>
                </c:pt>
                <c:pt idx="39">
                  <c:v>2.0164111349036404</c:v>
                </c:pt>
                <c:pt idx="40">
                  <c:v>2.0321484653818702</c:v>
                </c:pt>
                <c:pt idx="41">
                  <c:v>2.0476259814418274</c:v>
                </c:pt>
                <c:pt idx="42">
                  <c:v>2.0628436830835124</c:v>
                </c:pt>
                <c:pt idx="43">
                  <c:v>2.0778015703069239</c:v>
                </c:pt>
                <c:pt idx="44">
                  <c:v>2.0924996431120628</c:v>
                </c:pt>
                <c:pt idx="45">
                  <c:v>2.1069379014989296</c:v>
                </c:pt>
                <c:pt idx="46">
                  <c:v>2.1211163454675237</c:v>
                </c:pt>
                <c:pt idx="47">
                  <c:v>2.1350349750178448</c:v>
                </c:pt>
                <c:pt idx="48">
                  <c:v>2.1486937901498928</c:v>
                </c:pt>
                <c:pt idx="49">
                  <c:v>2.1620927908636691</c:v>
                </c:pt>
                <c:pt idx="50">
                  <c:v>2.1752319771591724</c:v>
                </c:pt>
                <c:pt idx="51">
                  <c:v>2.188111349036403</c:v>
                </c:pt>
                <c:pt idx="52">
                  <c:v>2.2007309064953606</c:v>
                </c:pt>
                <c:pt idx="53">
                  <c:v>2.2130906495360461</c:v>
                </c:pt>
                <c:pt idx="54">
                  <c:v>2.2251905781584589</c:v>
                </c:pt>
                <c:pt idx="55">
                  <c:v>2.2370306923625987</c:v>
                </c:pt>
                <c:pt idx="56">
                  <c:v>2.2486109921484654</c:v>
                </c:pt>
                <c:pt idx="57">
                  <c:v>2.2599314775160604</c:v>
                </c:pt>
                <c:pt idx="58">
                  <c:v>2.2709921484653823</c:v>
                </c:pt>
                <c:pt idx="59">
                  <c:v>2.2817930049964312</c:v>
                </c:pt>
                <c:pt idx="60">
                  <c:v>2.292334047109208</c:v>
                </c:pt>
                <c:pt idx="61">
                  <c:v>2.3026152748037121</c:v>
                </c:pt>
                <c:pt idx="62">
                  <c:v>2.3126366880799436</c:v>
                </c:pt>
                <c:pt idx="63">
                  <c:v>2.3223982869379016</c:v>
                </c:pt>
                <c:pt idx="64">
                  <c:v>2.3319000713775875</c:v>
                </c:pt>
                <c:pt idx="65">
                  <c:v>2.3411420413990012</c:v>
                </c:pt>
                <c:pt idx="66">
                  <c:v>2.3501241970021418</c:v>
                </c:pt>
                <c:pt idx="67">
                  <c:v>2.3588465381870094</c:v>
                </c:pt>
                <c:pt idx="68">
                  <c:v>2.3673090649536048</c:v>
                </c:pt>
                <c:pt idx="69">
                  <c:v>2.3755117773019276</c:v>
                </c:pt>
                <c:pt idx="70">
                  <c:v>2.3834546752319774</c:v>
                </c:pt>
                <c:pt idx="71">
                  <c:v>2.3911377587437546</c:v>
                </c:pt>
                <c:pt idx="72">
                  <c:v>2.3985610278372591</c:v>
                </c:pt>
                <c:pt idx="73">
                  <c:v>2.4057244825124915</c:v>
                </c:pt>
                <c:pt idx="74">
                  <c:v>2.4126281227694508</c:v>
                </c:pt>
                <c:pt idx="75">
                  <c:v>2.4192719486081371</c:v>
                </c:pt>
                <c:pt idx="76">
                  <c:v>2.4256559600285512</c:v>
                </c:pt>
                <c:pt idx="77">
                  <c:v>2.4317801570306923</c:v>
                </c:pt>
                <c:pt idx="78">
                  <c:v>2.4376445396145616</c:v>
                </c:pt>
                <c:pt idx="79">
                  <c:v>2.443249107780157</c:v>
                </c:pt>
                <c:pt idx="80">
                  <c:v>2.4485938615274803</c:v>
                </c:pt>
                <c:pt idx="81">
                  <c:v>2.4536788008565309</c:v>
                </c:pt>
                <c:pt idx="82">
                  <c:v>2.4585039257673094</c:v>
                </c:pt>
                <c:pt idx="83">
                  <c:v>2.4630692362598143</c:v>
                </c:pt>
                <c:pt idx="84">
                  <c:v>2.4673747323340471</c:v>
                </c:pt>
                <c:pt idx="85">
                  <c:v>2.4714204139900069</c:v>
                </c:pt>
                <c:pt idx="86">
                  <c:v>2.4752062812276949</c:v>
                </c:pt>
                <c:pt idx="87">
                  <c:v>2.4787323340471095</c:v>
                </c:pt>
                <c:pt idx="88">
                  <c:v>2.4819985724482514</c:v>
                </c:pt>
                <c:pt idx="89">
                  <c:v>2.4850049964311203</c:v>
                </c:pt>
                <c:pt idx="90">
                  <c:v>2.4877516059957179</c:v>
                </c:pt>
                <c:pt idx="91">
                  <c:v>2.4902384011420415</c:v>
                </c:pt>
                <c:pt idx="92">
                  <c:v>2.4924653818700926</c:v>
                </c:pt>
                <c:pt idx="93">
                  <c:v>2.494432548179871</c:v>
                </c:pt>
                <c:pt idx="94">
                  <c:v>2.4961399000713778</c:v>
                </c:pt>
                <c:pt idx="95">
                  <c:v>2.497587437544611</c:v>
                </c:pt>
                <c:pt idx="96">
                  <c:v>2.4987751605995712</c:v>
                </c:pt>
                <c:pt idx="97">
                  <c:v>2.4997030692362592</c:v>
                </c:pt>
                <c:pt idx="98">
                  <c:v>2.5003711634546755</c:v>
                </c:pt>
                <c:pt idx="99">
                  <c:v>2.5007794432548178</c:v>
                </c:pt>
                <c:pt idx="100">
                  <c:v>2.5009279086366876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61952"/>
        <c:axId val="43263488"/>
      </c:scatterChart>
      <c:valAx>
        <c:axId val="432619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3488"/>
        <c:crosses val="autoZero"/>
        <c:crossBetween val="midCat"/>
      </c:valAx>
      <c:valAx>
        <c:axId val="43263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19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209550</xdr:colOff>
          <xdr:row>3</xdr:row>
          <xdr:rowOff>171450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3</xdr:row>
      <xdr:rowOff>19050</xdr:rowOff>
    </xdr:from>
    <xdr:to>
      <xdr:col>18</xdr:col>
      <xdr:colOff>160020</xdr:colOff>
      <xdr:row>35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7</xdr:col>
      <xdr:colOff>462878</xdr:colOff>
      <xdr:row>53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6724650"/>
          <a:ext cx="5263478" cy="32385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  <sheetName val="AMB Design Spreadsheet v4_6"/>
    </sheetNames>
    <definedNames>
      <definedName name="Projectile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/>
      <sheetData sheetId="13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Falcon 500</v>
          </cell>
          <cell r="C8">
            <v>6380</v>
          </cell>
          <cell r="D8">
            <v>4.6900000000000004</v>
          </cell>
          <cell r="E8">
            <v>1.5</v>
          </cell>
          <cell r="F8">
            <v>257</v>
          </cell>
          <cell r="G8">
            <v>783.36136416037095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  <cell r="J9"/>
          <cell r="K9"/>
          <cell r="L9"/>
          <cell r="M9"/>
          <cell r="N9"/>
          <cell r="Q9"/>
          <cell r="R9"/>
          <cell r="S9"/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  <cell r="J10"/>
          <cell r="K10"/>
          <cell r="L10"/>
          <cell r="M10"/>
          <cell r="N10"/>
          <cell r="Q10"/>
          <cell r="R10"/>
          <cell r="S10"/>
        </row>
        <row r="11">
          <cell r="B11" t="str">
            <v>NEO 550</v>
          </cell>
          <cell r="C11">
            <v>11000</v>
          </cell>
          <cell r="D11">
            <v>0.97</v>
          </cell>
          <cell r="E11">
            <v>1.4</v>
          </cell>
          <cell r="F11">
            <v>100</v>
          </cell>
          <cell r="G11">
            <v>279.33994678169245</v>
          </cell>
          <cell r="J11"/>
          <cell r="K11"/>
          <cell r="L11"/>
          <cell r="M11"/>
          <cell r="N11"/>
          <cell r="Q11"/>
          <cell r="R11"/>
          <cell r="S11"/>
        </row>
        <row r="12">
          <cell r="B12" t="str">
            <v>BAG Motor</v>
          </cell>
          <cell r="C12">
            <v>13180</v>
          </cell>
          <cell r="D12">
            <v>0.43</v>
          </cell>
          <cell r="E12">
            <v>1.8</v>
          </cell>
          <cell r="F12">
            <v>53</v>
          </cell>
          <cell r="G12">
            <v>148.37218504128995</v>
          </cell>
        </row>
        <row r="13">
          <cell r="B13" t="str">
            <v>AM 775</v>
          </cell>
          <cell r="C13">
            <v>5800</v>
          </cell>
          <cell r="D13">
            <v>0.28000000000000003</v>
          </cell>
          <cell r="E13">
            <v>1.6</v>
          </cell>
          <cell r="F13">
            <v>18</v>
          </cell>
          <cell r="G13">
            <v>42.516220578581873</v>
          </cell>
        </row>
        <row r="14">
          <cell r="B14" t="str">
            <v>AM 9015</v>
          </cell>
          <cell r="C14">
            <v>14270</v>
          </cell>
          <cell r="D14">
            <v>0.36</v>
          </cell>
          <cell r="E14">
            <v>3.7</v>
          </cell>
          <cell r="F14">
            <v>71</v>
          </cell>
          <cell r="G14">
            <v>134.49158150017905</v>
          </cell>
        </row>
        <row r="15">
          <cell r="B15" t="str">
            <v>BB RS-775</v>
          </cell>
          <cell r="C15">
            <v>13050</v>
          </cell>
          <cell r="D15">
            <v>0.72</v>
          </cell>
          <cell r="E15">
            <v>2.7</v>
          </cell>
          <cell r="F15">
            <v>97</v>
          </cell>
          <cell r="G15">
            <v>245.98670477608078</v>
          </cell>
        </row>
        <row r="16">
          <cell r="B16" t="str">
            <v>BB RS-550</v>
          </cell>
          <cell r="C16">
            <v>19000</v>
          </cell>
          <cell r="D16">
            <v>0.38</v>
          </cell>
          <cell r="E16">
            <v>0.4</v>
          </cell>
          <cell r="F16">
            <v>84</v>
          </cell>
          <cell r="G16">
            <v>189.01915799098592</v>
          </cell>
        </row>
        <row r="17">
          <cell r="B17" t="str">
            <v>Johnson Motor</v>
          </cell>
          <cell r="C17">
            <v>410</v>
          </cell>
          <cell r="D17">
            <v>4.4000000000000004</v>
          </cell>
          <cell r="E17"/>
          <cell r="F17">
            <v>26</v>
          </cell>
          <cell r="G17">
            <v>47.228609558966561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 t="str">
            <v>CIM + Mini</v>
          </cell>
          <cell r="C24">
            <v>5508</v>
          </cell>
          <cell r="D24">
            <v>3.82</v>
          </cell>
          <cell r="E24">
            <v>8.16</v>
          </cell>
          <cell r="F24">
            <v>220</v>
          </cell>
          <cell r="G24">
            <v>550.84057269512709</v>
          </cell>
        </row>
        <row r="25">
          <cell r="B25" t="str">
            <v>CIM + 2 Mini</v>
          </cell>
          <cell r="C25">
            <v>5593</v>
          </cell>
          <cell r="D25">
            <v>5.23</v>
          </cell>
          <cell r="E25">
            <v>9.6199999999999992</v>
          </cell>
          <cell r="F25">
            <v>309</v>
          </cell>
          <cell r="G25">
            <v>765.79959942741618</v>
          </cell>
        </row>
        <row r="26">
          <cell r="B26" t="str">
            <v>2 CIM + Mini</v>
          </cell>
          <cell r="C26">
            <v>5437</v>
          </cell>
          <cell r="D26">
            <v>6.23</v>
          </cell>
          <cell r="E26">
            <v>9.15</v>
          </cell>
          <cell r="F26">
            <v>351</v>
          </cell>
          <cell r="G26">
            <v>886.78023812205663</v>
          </cell>
        </row>
        <row r="27">
          <cell r="B27"/>
          <cell r="C27"/>
          <cell r="D27"/>
          <cell r="E27"/>
          <cell r="F27"/>
          <cell r="G27" t="str">
            <v/>
          </cell>
        </row>
        <row r="28">
          <cell r="B28"/>
          <cell r="C28"/>
          <cell r="D28"/>
          <cell r="E28"/>
          <cell r="F28"/>
          <cell r="G28" t="str">
            <v/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AR121"/>
  <sheetViews>
    <sheetView tabSelected="1" zoomScaleNormal="100" workbookViewId="0">
      <selection activeCell="G13" sqref="G13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1.140625" style="1" customWidth="1"/>
    <col min="4" max="4" width="10.28515625" style="1" customWidth="1"/>
    <col min="5" max="5" width="9.140625" style="1" customWidth="1"/>
    <col min="6" max="6" width="21.140625" style="1" customWidth="1"/>
    <col min="7" max="7" width="10.28515625" style="1" customWidth="1"/>
    <col min="8" max="8" width="9.140625" style="1"/>
    <col min="9" max="9" width="9.140625" style="1" customWidth="1"/>
    <col min="10" max="10" width="1.5703125" style="1" customWidth="1"/>
    <col min="11" max="17" width="9.140625" style="1"/>
    <col min="18" max="18" width="9.140625" style="1" customWidth="1"/>
    <col min="19" max="20" width="9.140625" style="1"/>
    <col min="21" max="21" width="17.28515625" style="1" customWidth="1"/>
    <col min="22" max="16384" width="9.140625" style="1"/>
  </cols>
  <sheetData>
    <row r="2" spans="2:44" ht="31.5" x14ac:dyDescent="0.25">
      <c r="C2" s="2" t="s">
        <v>0</v>
      </c>
    </row>
    <row r="3" spans="2:44" x14ac:dyDescent="0.25">
      <c r="I3" s="17" t="s">
        <v>1</v>
      </c>
      <c r="J3" s="18"/>
    </row>
    <row r="4" spans="2:44" x14ac:dyDescent="0.25">
      <c r="B4" s="3" t="b">
        <v>1</v>
      </c>
      <c r="C4" s="1" t="s">
        <v>2</v>
      </c>
      <c r="U4" s="1" t="s">
        <v>21</v>
      </c>
      <c r="V4" s="1">
        <f>V6/(V7*COS(V8))/100*1.5</f>
        <v>5.6116311881718043E-3</v>
      </c>
      <c r="Y4" s="1" t="s">
        <v>9</v>
      </c>
      <c r="Z4" s="1" t="s">
        <v>10</v>
      </c>
      <c r="AA4" s="1" t="s">
        <v>11</v>
      </c>
      <c r="AB4" s="1" t="s">
        <v>12</v>
      </c>
      <c r="AC4" s="1" t="s">
        <v>13</v>
      </c>
      <c r="AD4" s="1" t="s">
        <v>24</v>
      </c>
      <c r="AE4" s="1" t="s">
        <v>22</v>
      </c>
      <c r="AF4" s="1" t="s">
        <v>23</v>
      </c>
      <c r="AG4" s="1" t="s">
        <v>14</v>
      </c>
      <c r="AH4" s="1" t="s">
        <v>15</v>
      </c>
      <c r="AI4" s="1" t="s">
        <v>30</v>
      </c>
      <c r="AJ4" s="1" t="s">
        <v>28</v>
      </c>
      <c r="AK4" s="1" t="s">
        <v>29</v>
      </c>
      <c r="AL4" s="1" t="s">
        <v>38</v>
      </c>
      <c r="AM4" s="1" t="s">
        <v>39</v>
      </c>
      <c r="AP4" s="1" t="s">
        <v>10</v>
      </c>
      <c r="AQ4" s="1" t="s">
        <v>11</v>
      </c>
      <c r="AR4" s="1" t="s">
        <v>24</v>
      </c>
    </row>
    <row r="5" spans="2:44" x14ac:dyDescent="0.25">
      <c r="U5" s="1" t="s">
        <v>16</v>
      </c>
      <c r="V5" s="1">
        <f>D7/IF($B$4, 1, 3.281)</f>
        <v>1.2</v>
      </c>
      <c r="Y5" s="1">
        <v>0</v>
      </c>
      <c r="Z5" s="1">
        <v>0</v>
      </c>
      <c r="AA5" s="1">
        <f>V5</f>
        <v>1.2</v>
      </c>
      <c r="AB5" s="1">
        <f>V7*COS(V8)</f>
        <v>8.0190587176953105</v>
      </c>
      <c r="AC5" s="1">
        <f>V7*SIN(V8)</f>
        <v>4.0859144976559207</v>
      </c>
      <c r="AD5" s="1">
        <f>SQRT(AB5^2+AC5^2)</f>
        <v>9</v>
      </c>
      <c r="AE5" s="1">
        <f t="shared" ref="AE5:AE36" si="0">IFERROR($V$9*($D$13*2*PI())/AD5, 0)</f>
        <v>0.18640116411299434</v>
      </c>
      <c r="AF5" s="1">
        <f>IF(AE5&gt;0.1, 0.6*AE5+0.1, 1.6*AE5)</f>
        <v>0.21184069846779663</v>
      </c>
      <c r="AG5" s="1">
        <f t="shared" ref="AG5:AG33" si="1">-$V$11*AB5*AD5 - $V$12*AF5*AC5*AD5</f>
        <v>-5.5874388189844835</v>
      </c>
      <c r="AH5" s="1">
        <f t="shared" ref="AH5:AH33" si="2">$V$12*AF5*AD5*AB5 - $V$11*AC5*AD5 - 9.8</f>
        <v>-9.7116624239743707</v>
      </c>
      <c r="AI5" s="1" t="b">
        <f>FALSE</f>
        <v>0</v>
      </c>
      <c r="AJ5" s="1">
        <f>Z5*IF($B$4, 1, 3.281)</f>
        <v>0</v>
      </c>
      <c r="AK5" s="1">
        <f>AA5*IF($B$4, 1, 3.281)</f>
        <v>1.2</v>
      </c>
      <c r="AL5" s="1" t="e">
        <f>IF($I$3="Forward", AJ5, NA())</f>
        <v>#N/A</v>
      </c>
      <c r="AM5" s="1" t="e">
        <f>IF($I$3="Forward", AK5, NA())</f>
        <v>#N/A</v>
      </c>
      <c r="AP5" s="1">
        <f>IF($I$3="Forward", NA(), 0)</f>
        <v>0</v>
      </c>
      <c r="AQ5" s="1">
        <f>IF($I$3="Forward", NA(), $G$7 + AP5*TAN(RADIANS($G$13)) - (IF($B$4, 9.8, 32.2)*AP5^2)/(2*($G$12*COS(RADIANS($G$13)))^2))</f>
        <v>1.2</v>
      </c>
      <c r="AR5" s="34">
        <f>G12</f>
        <v>5.4101869724551186</v>
      </c>
    </row>
    <row r="6" spans="2:44" ht="18.75" customHeight="1" x14ac:dyDescent="0.25">
      <c r="C6" s="19" t="s">
        <v>3</v>
      </c>
      <c r="D6" s="19"/>
      <c r="F6" s="19" t="s">
        <v>1</v>
      </c>
      <c r="G6" s="19"/>
      <c r="U6" s="1" t="s">
        <v>17</v>
      </c>
      <c r="V6" s="1">
        <f>D8/IF($B$4, 1, 3.281)</f>
        <v>3</v>
      </c>
      <c r="Y6" s="1">
        <f>Y5+$V$4</f>
        <v>5.6116311881718043E-3</v>
      </c>
      <c r="Z6" s="1">
        <f>Z5+AB5*$V$4+0.5*AG5*$V$4^2</f>
        <v>4.4912024645478388E-2</v>
      </c>
      <c r="AA6" s="1">
        <f>AA5+AC5*$V$4+0.5*AH5*$V$4^2</f>
        <v>1.2227757331377529</v>
      </c>
      <c r="AB6" s="1">
        <f>(Z6-Z5)/$V$4</f>
        <v>8.0033813947260022</v>
      </c>
      <c r="AC6" s="1">
        <f>(AA6-AA5)/$V$4</f>
        <v>4.0586653637822154</v>
      </c>
      <c r="AD6" s="1">
        <f t="shared" ref="AD6:AD33" si="3">SQRT(AB6^2+AC6^2)</f>
        <v>8.9736769656931461</v>
      </c>
      <c r="AE6" s="1">
        <f t="shared" si="0"/>
        <v>0.18694794602374756</v>
      </c>
      <c r="AF6" s="1">
        <f t="shared" ref="AF6:AF69" si="4">IF(AE6&gt;0.1, 0.6*AE6+0.1, 1.6*AE6)</f>
        <v>0.21216876761424852</v>
      </c>
      <c r="AG6" s="1">
        <f t="shared" si="1"/>
        <v>-5.556445614929757</v>
      </c>
      <c r="AH6" s="1">
        <f t="shared" si="2"/>
        <v>-9.6979639788600096</v>
      </c>
      <c r="AI6" s="1" t="b">
        <f>OR(AA5&lt;0, Z5&gt;$V$6)</f>
        <v>0</v>
      </c>
      <c r="AJ6" s="1">
        <f>IF(AI6,NA(),Z6)*IF($B$4,1,3.281)</f>
        <v>4.4912024645478388E-2</v>
      </c>
      <c r="AK6" s="1">
        <f>IF(AI6, NA(), AA6)*IF($B$4, 1, 3.281)</f>
        <v>1.2227757331377529</v>
      </c>
      <c r="AL6" s="1" t="e">
        <f t="shared" ref="AL6:AL69" si="5">IF($I$3="Forward", AJ6, NA())</f>
        <v>#N/A</v>
      </c>
      <c r="AM6" s="1" t="e">
        <f t="shared" ref="AM6:AM69" si="6">IF($I$3="Forward", AK6, NA())</f>
        <v>#N/A</v>
      </c>
      <c r="AP6" s="1">
        <f>IF($I$3="Forward", NA(), AP5+$G$8/100)</f>
        <v>0.01</v>
      </c>
      <c r="AQ6" s="1">
        <f t="shared" ref="AQ6:AQ69" si="7">IF($I$3="Forward", NA(), $G$7 + AP6*TAN(RADIANS($G$13)) - (IF($B$4, 9.8, 32.2)*AP6^2)/(2*($G$12*COS(RADIANS($G$13)))^2))</f>
        <v>1.2258700927908637</v>
      </c>
      <c r="AR6" s="1">
        <f>(AQ6-AQ5)/(AP6-AP5)</f>
        <v>2.5870092790863719</v>
      </c>
    </row>
    <row r="7" spans="2:44" x14ac:dyDescent="0.25">
      <c r="C7" s="4" t="str">
        <f>"Release Height (" &amp; IF($B$4, "m", "ft") &amp; ")"</f>
        <v>Release Height (m)</v>
      </c>
      <c r="D7" s="5">
        <v>1.2</v>
      </c>
      <c r="F7" s="4" t="str">
        <f>"Release Height (" &amp; IF($B$4, "m", "ft") &amp; ")"</f>
        <v>Release Height (m)</v>
      </c>
      <c r="G7" s="5">
        <v>1.2</v>
      </c>
      <c r="U7" s="1" t="s">
        <v>18</v>
      </c>
      <c r="V7" s="1">
        <f>D9/IF($B$4, 1, 3.281)</f>
        <v>9</v>
      </c>
      <c r="Y7" s="1">
        <f t="shared" ref="Y7:Y70" si="8">Y6+$V$4</f>
        <v>1.1223262376343609E-2</v>
      </c>
      <c r="Z7" s="1">
        <f t="shared" ref="Z7:Z33" si="9">Z6+AB6*$V$4+0.5*AG6*$V$4^2</f>
        <v>8.9736561930702813E-2</v>
      </c>
      <c r="AA7" s="1">
        <f t="shared" ref="AA7:AA33" si="10">AA6+AC6*$V$4+0.5*AH6*$V$4^2</f>
        <v>1.2453987698707991</v>
      </c>
      <c r="AB7" s="1">
        <f t="shared" ref="AB7:AB33" si="11">(Z7-Z6)/$V$4</f>
        <v>7.9877910329719422</v>
      </c>
      <c r="AC7" s="1">
        <f t="shared" ref="AC7:AC33" si="12">(AA7-AA6)/$V$4</f>
        <v>4.0314546652194565</v>
      </c>
      <c r="AD7" s="1">
        <f t="shared" si="3"/>
        <v>8.947481897391393</v>
      </c>
      <c r="AE7" s="1">
        <f t="shared" si="0"/>
        <v>0.18749526361221816</v>
      </c>
      <c r="AF7" s="1">
        <f t="shared" si="4"/>
        <v>0.21249715816733089</v>
      </c>
      <c r="AG7" s="1">
        <f t="shared" si="1"/>
        <v>-5.5256533521093001</v>
      </c>
      <c r="AH7" s="1">
        <f t="shared" si="2"/>
        <v>-9.6843520532010601</v>
      </c>
      <c r="AI7" s="1" t="b">
        <f t="shared" ref="AI7:AI33" si="13">OR(AA6&lt;0, Z6&gt;$V$6)</f>
        <v>0</v>
      </c>
      <c r="AJ7" s="1">
        <f t="shared" ref="AJ7:AJ70" si="14">IF(AI7,NA(),Z7)*IF($B$4,1,3.281)</f>
        <v>8.9736561930702813E-2</v>
      </c>
      <c r="AK7" s="1">
        <f t="shared" ref="AK7:AK70" si="15">IF(AI7, NA(), AA7)*IF($B$4, 1, 3.281)</f>
        <v>1.2453987698707991</v>
      </c>
      <c r="AL7" s="1" t="e">
        <f t="shared" si="5"/>
        <v>#N/A</v>
      </c>
      <c r="AM7" s="1" t="e">
        <f t="shared" si="6"/>
        <v>#N/A</v>
      </c>
      <c r="AP7" s="1">
        <f t="shared" ref="AP7:AP70" si="16">IF($I$3="Forward", NA(), AP6+$G$8/100)</f>
        <v>0.02</v>
      </c>
      <c r="AQ7" s="1">
        <f t="shared" si="7"/>
        <v>1.2514803711634548</v>
      </c>
    </row>
    <row r="8" spans="2:44" x14ac:dyDescent="0.25">
      <c r="C8" s="4" t="str">
        <f>"Distance to Target (" &amp; IF($B$4, "m", "ft") &amp; ")"</f>
        <v>Distance to Target (m)</v>
      </c>
      <c r="D8" s="5">
        <v>3</v>
      </c>
      <c r="F8" s="4" t="str">
        <f>"Distance to Target (" &amp; IF($B$4, "m", "ft") &amp; ")"</f>
        <v>Distance to Target (m)</v>
      </c>
      <c r="G8" s="5">
        <v>1</v>
      </c>
      <c r="I8" s="6"/>
      <c r="J8" s="6">
        <v>0</v>
      </c>
      <c r="L8" s="6"/>
      <c r="M8" s="6"/>
      <c r="O8" s="6"/>
      <c r="P8" s="6"/>
      <c r="U8" s="1" t="s">
        <v>19</v>
      </c>
      <c r="V8" s="1">
        <f>RADIANS(D10)</f>
        <v>0.47123889803846897</v>
      </c>
      <c r="Y8" s="1">
        <f t="shared" si="8"/>
        <v>1.6834893564515414E-2</v>
      </c>
      <c r="Z8" s="1">
        <f t="shared" si="9"/>
        <v>0.13447409668608054</v>
      </c>
      <c r="AA8" s="1">
        <f t="shared" si="10"/>
        <v>1.2678693245216617</v>
      </c>
      <c r="AB8" s="1">
        <f t="shared" si="11"/>
        <v>7.9722870686290825</v>
      </c>
      <c r="AC8" s="1">
        <f t="shared" si="12"/>
        <v>4.0042821592099633</v>
      </c>
      <c r="AD8" s="1">
        <f t="shared" si="3"/>
        <v>8.9214145019272415</v>
      </c>
      <c r="AE8" s="1">
        <f t="shared" si="0"/>
        <v>0.18804310422462095</v>
      </c>
      <c r="AF8" s="1">
        <f t="shared" si="4"/>
        <v>0.21282586253477256</v>
      </c>
      <c r="AG8" s="1">
        <f t="shared" si="1"/>
        <v>-5.4950605064318747</v>
      </c>
      <c r="AH8" s="1">
        <f t="shared" si="2"/>
        <v>-9.6708260165390314</v>
      </c>
      <c r="AI8" s="1" t="b">
        <f t="shared" si="13"/>
        <v>0</v>
      </c>
      <c r="AJ8" s="1">
        <f t="shared" si="14"/>
        <v>0.13447409668608054</v>
      </c>
      <c r="AK8" s="1">
        <f t="shared" si="15"/>
        <v>1.2678693245216617</v>
      </c>
      <c r="AL8" s="1" t="e">
        <f t="shared" si="5"/>
        <v>#N/A</v>
      </c>
      <c r="AM8" s="1" t="e">
        <f t="shared" si="6"/>
        <v>#N/A</v>
      </c>
      <c r="AP8" s="1">
        <f t="shared" si="16"/>
        <v>0.03</v>
      </c>
      <c r="AQ8" s="1">
        <f t="shared" si="7"/>
        <v>1.2768308351177731</v>
      </c>
    </row>
    <row r="9" spans="2:44" x14ac:dyDescent="0.25">
      <c r="C9" s="4" t="str">
        <f>"Release Velocity (" &amp; IF($B$4, "m", "ft") &amp; "/s)"</f>
        <v>Release Velocity (m/s)</v>
      </c>
      <c r="D9" s="5">
        <v>9</v>
      </c>
      <c r="F9" s="4" t="str">
        <f>"Target Height (" &amp; IF($B$4, "m", "ft") &amp; ")"</f>
        <v>Target Height (m)</v>
      </c>
      <c r="G9" s="5">
        <v>2.5</v>
      </c>
      <c r="I9" s="6"/>
      <c r="J9" s="6">
        <v>0</v>
      </c>
      <c r="O9" s="6"/>
      <c r="P9" s="6"/>
      <c r="U9" s="1" t="s">
        <v>27</v>
      </c>
      <c r="V9" s="1">
        <f>$D$14/IF($B$4, 1000, 39.37)/2</f>
        <v>8.8999999999999982E-2</v>
      </c>
      <c r="Y9" s="1">
        <f t="shared" si="8"/>
        <v>2.2446524752687217E-2</v>
      </c>
      <c r="Z9" s="1">
        <f t="shared" si="9"/>
        <v>0.17912511060215558</v>
      </c>
      <c r="AA9" s="1">
        <f t="shared" si="10"/>
        <v>1.2901876100605241</v>
      </c>
      <c r="AB9" s="1">
        <f t="shared" si="11"/>
        <v>7.9568689421696925</v>
      </c>
      <c r="AC9" s="1">
        <f t="shared" si="12"/>
        <v>3.9771476047650589</v>
      </c>
      <c r="AD9" s="1">
        <f t="shared" si="3"/>
        <v>8.8954744917262882</v>
      </c>
      <c r="AE9" s="1">
        <f t="shared" si="0"/>
        <v>0.18859145496705099</v>
      </c>
      <c r="AF9" s="1">
        <f t="shared" si="4"/>
        <v>0.21315487298023059</v>
      </c>
      <c r="AG9" s="1">
        <f t="shared" si="1"/>
        <v>-5.4646655697471394</v>
      </c>
      <c r="AH9" s="1">
        <f t="shared" si="2"/>
        <v>-9.6573852419067219</v>
      </c>
      <c r="AI9" s="1" t="b">
        <f t="shared" si="13"/>
        <v>0</v>
      </c>
      <c r="AJ9" s="1">
        <f t="shared" si="14"/>
        <v>0.17912511060215558</v>
      </c>
      <c r="AK9" s="1">
        <f t="shared" si="15"/>
        <v>1.2901876100605241</v>
      </c>
      <c r="AL9" s="1" t="e">
        <f t="shared" si="5"/>
        <v>#N/A</v>
      </c>
      <c r="AM9" s="1" t="e">
        <f t="shared" si="6"/>
        <v>#N/A</v>
      </c>
      <c r="AP9" s="1">
        <f t="shared" si="16"/>
        <v>0.04</v>
      </c>
      <c r="AQ9" s="1">
        <f t="shared" si="7"/>
        <v>1.3019214846538187</v>
      </c>
    </row>
    <row r="10" spans="2:44" x14ac:dyDescent="0.25">
      <c r="C10" s="4" t="s">
        <v>4</v>
      </c>
      <c r="D10" s="8">
        <v>27</v>
      </c>
      <c r="F10" s="4" t="s">
        <v>5</v>
      </c>
      <c r="G10" s="8">
        <v>0</v>
      </c>
      <c r="I10" s="7"/>
      <c r="J10" s="6">
        <v>0</v>
      </c>
      <c r="U10" s="1" t="s">
        <v>26</v>
      </c>
      <c r="V10" s="1">
        <f>$D$15/IF($B$4, 1, 2.2)</f>
        <v>0.1</v>
      </c>
      <c r="Y10" s="1">
        <f t="shared" si="8"/>
        <v>2.805815594085902E-2</v>
      </c>
      <c r="Z10" s="1">
        <f t="shared" si="9"/>
        <v>0.22369008225335479</v>
      </c>
      <c r="AA10" s="1">
        <f t="shared" si="10"/>
        <v>1.3123538381151019</v>
      </c>
      <c r="AB10" s="1">
        <f t="shared" si="11"/>
        <v>7.9415360982976315</v>
      </c>
      <c r="AC10" s="1">
        <f t="shared" si="12"/>
        <v>3.9500507626552097</v>
      </c>
      <c r="AD10" s="1">
        <f t="shared" si="3"/>
        <v>8.8696615847571874</v>
      </c>
      <c r="AE10" s="1">
        <f t="shared" si="0"/>
        <v>0.18914030270331614</v>
      </c>
      <c r="AF10" s="1">
        <f t="shared" si="4"/>
        <v>0.21348418162198968</v>
      </c>
      <c r="AG10" s="1">
        <f t="shared" si="1"/>
        <v>-5.4344670496508982</v>
      </c>
      <c r="AH10" s="1">
        <f t="shared" si="2"/>
        <v>-9.6440291057737575</v>
      </c>
      <c r="AI10" s="1" t="b">
        <f t="shared" si="13"/>
        <v>0</v>
      </c>
      <c r="AJ10" s="1">
        <f t="shared" si="14"/>
        <v>0.22369008225335479</v>
      </c>
      <c r="AK10" s="1">
        <f t="shared" si="15"/>
        <v>1.3123538381151019</v>
      </c>
      <c r="AL10" s="1" t="e">
        <f t="shared" si="5"/>
        <v>#N/A</v>
      </c>
      <c r="AM10" s="1" t="e">
        <f t="shared" si="6"/>
        <v>#N/A</v>
      </c>
      <c r="AP10" s="1">
        <f t="shared" si="16"/>
        <v>0.05</v>
      </c>
      <c r="AQ10" s="1">
        <f t="shared" si="7"/>
        <v>1.3267523197715918</v>
      </c>
    </row>
    <row r="11" spans="2:44" x14ac:dyDescent="0.25">
      <c r="D11" s="6"/>
      <c r="G11" s="6"/>
      <c r="U11" s="1" t="s">
        <v>20</v>
      </c>
      <c r="V11" s="1">
        <f>0.5*1.225*(PI()*$V$9^2)*$D$12/$V$10</f>
        <v>6.0967160752257631E-2</v>
      </c>
      <c r="Y11" s="1">
        <f t="shared" si="8"/>
        <v>3.3669787129030827E-2</v>
      </c>
      <c r="Z11" s="1">
        <f t="shared" si="9"/>
        <v>0.26816948712148614</v>
      </c>
      <c r="AA11" s="1">
        <f t="shared" si="10"/>
        <v>1.3343682189804604</v>
      </c>
      <c r="AB11" s="1">
        <f t="shared" si="11"/>
        <v>7.9262879859041755</v>
      </c>
      <c r="AC11" s="1">
        <f t="shared" si="12"/>
        <v>3.922991395400409</v>
      </c>
      <c r="AD11" s="1">
        <f t="shared" si="3"/>
        <v>8.8439755044818238</v>
      </c>
      <c r="AE11" s="1">
        <f t="shared" si="0"/>
        <v>0.18968963405278469</v>
      </c>
      <c r="AF11" s="1">
        <f t="shared" si="4"/>
        <v>0.21381378043167082</v>
      </c>
      <c r="AG11" s="1">
        <f t="shared" si="1"/>
        <v>-5.4044634692929527</v>
      </c>
      <c r="AH11" s="1">
        <f t="shared" si="2"/>
        <v>-9.6307569879927506</v>
      </c>
      <c r="AI11" s="1" t="b">
        <f t="shared" si="13"/>
        <v>0</v>
      </c>
      <c r="AJ11" s="1">
        <f t="shared" si="14"/>
        <v>0.26816948712148614</v>
      </c>
      <c r="AK11" s="1">
        <f t="shared" si="15"/>
        <v>1.3343682189804604</v>
      </c>
      <c r="AL11" s="1" t="e">
        <f t="shared" si="5"/>
        <v>#N/A</v>
      </c>
      <c r="AM11" s="1" t="e">
        <f t="shared" si="6"/>
        <v>#N/A</v>
      </c>
      <c r="AP11" s="1">
        <f t="shared" si="16"/>
        <v>6.0000000000000005E-2</v>
      </c>
      <c r="AQ11" s="1">
        <f t="shared" si="7"/>
        <v>1.351323340471092</v>
      </c>
    </row>
    <row r="12" spans="2:44" x14ac:dyDescent="0.25">
      <c r="C12" s="4" t="s">
        <v>7</v>
      </c>
      <c r="D12" s="13">
        <v>0.4</v>
      </c>
      <c r="F12" s="4" t="str">
        <f>"Release Velocity (" &amp; IF($B$4, "m", "ft") &amp; "/s)"</f>
        <v>Release Velocity (m/s)</v>
      </c>
      <c r="G12" s="11">
        <f>SQRT((IF($B$4, 9.807, 32.174)*G8)/(ABS(TAN(RADIANS(G13))-TAN(RADIANS(G10)))))/COS(RADIANS(G13))</f>
        <v>5.4101869724551186</v>
      </c>
      <c r="U12" s="1" t="s">
        <v>25</v>
      </c>
      <c r="V12" s="1">
        <f>0.5*1.225*(PI()*$V$9^2)/$V$10</f>
        <v>0.15241790188064408</v>
      </c>
      <c r="Y12" s="1">
        <f t="shared" si="8"/>
        <v>3.9281418317202631E-2</v>
      </c>
      <c r="Z12" s="1">
        <f t="shared" si="9"/>
        <v>0.31256379761899195</v>
      </c>
      <c r="AA12" s="1">
        <f t="shared" si="10"/>
        <v>1.3562309616287791</v>
      </c>
      <c r="AB12" s="1">
        <f t="shared" si="11"/>
        <v>7.911124058024364</v>
      </c>
      <c r="AC12" s="1">
        <f t="shared" si="12"/>
        <v>3.8959692672606416</v>
      </c>
      <c r="AD12" s="1">
        <f t="shared" si="3"/>
        <v>8.8184159798056303</v>
      </c>
      <c r="AE12" s="1">
        <f t="shared" si="0"/>
        <v>0.19023943538825053</v>
      </c>
      <c r="AF12" s="1">
        <f t="shared" si="4"/>
        <v>0.21414366123295031</v>
      </c>
      <c r="AG12" s="1">
        <f t="shared" si="1"/>
        <v>-5.3746533671873875</v>
      </c>
      <c r="AH12" s="1">
        <f t="shared" si="2"/>
        <v>-9.6175682717459576</v>
      </c>
      <c r="AI12" s="1" t="b">
        <f t="shared" si="13"/>
        <v>0</v>
      </c>
      <c r="AJ12" s="1">
        <f t="shared" si="14"/>
        <v>0.31256379761899195</v>
      </c>
      <c r="AK12" s="1">
        <f t="shared" si="15"/>
        <v>1.3562309616287791</v>
      </c>
      <c r="AL12" s="1" t="e">
        <f t="shared" si="5"/>
        <v>#N/A</v>
      </c>
      <c r="AM12" s="1" t="e">
        <f t="shared" si="6"/>
        <v>#N/A</v>
      </c>
      <c r="AP12" s="1">
        <f t="shared" si="16"/>
        <v>7.0000000000000007E-2</v>
      </c>
      <c r="AQ12" s="1">
        <f t="shared" si="7"/>
        <v>1.3756345467523197</v>
      </c>
    </row>
    <row r="13" spans="2:44" x14ac:dyDescent="0.25">
      <c r="C13" s="4" t="s">
        <v>8</v>
      </c>
      <c r="D13" s="5">
        <v>3</v>
      </c>
      <c r="F13" s="4" t="s">
        <v>4</v>
      </c>
      <c r="G13" s="12">
        <f>DEGREES(ATAN(2*(G9-G7)/G8-TAN(RADIANS(G10))))</f>
        <v>68.962488974578193</v>
      </c>
      <c r="Y13" s="1">
        <f t="shared" si="8"/>
        <v>4.4893049505374434E-2</v>
      </c>
      <c r="Z13" s="1">
        <f t="shared" si="9"/>
        <v>0.35687348311196032</v>
      </c>
      <c r="AA13" s="1">
        <f t="shared" si="10"/>
        <v>1.3779422737190632</v>
      </c>
      <c r="AB13" s="1">
        <f t="shared" si="11"/>
        <v>7.8960437717938996</v>
      </c>
      <c r="AC13" s="1">
        <f t="shared" si="12"/>
        <v>3.8689841442265838</v>
      </c>
      <c r="AD13" s="1">
        <f t="shared" si="3"/>
        <v>8.7929827450281035</v>
      </c>
      <c r="AE13" s="1">
        <f t="shared" si="0"/>
        <v>0.19078969283381519</v>
      </c>
      <c r="AF13" s="1">
        <f t="shared" si="4"/>
        <v>0.21447381570028912</v>
      </c>
      <c r="AG13" s="1">
        <f t="shared" si="1"/>
        <v>-5.3450352970253654</v>
      </c>
      <c r="AH13" s="1">
        <f t="shared" si="2"/>
        <v>-9.6044623434925533</v>
      </c>
      <c r="AI13" s="1" t="b">
        <f t="shared" si="13"/>
        <v>0</v>
      </c>
      <c r="AJ13" s="1">
        <f t="shared" si="14"/>
        <v>0.35687348311196032</v>
      </c>
      <c r="AK13" s="1">
        <f t="shared" si="15"/>
        <v>1.3779422737190632</v>
      </c>
      <c r="AL13" s="1" t="e">
        <f t="shared" si="5"/>
        <v>#N/A</v>
      </c>
      <c r="AM13" s="1" t="e">
        <f t="shared" si="6"/>
        <v>#N/A</v>
      </c>
      <c r="AP13" s="1">
        <f t="shared" si="16"/>
        <v>0.08</v>
      </c>
      <c r="AQ13" s="1">
        <f t="shared" si="7"/>
        <v>1.3996859386152747</v>
      </c>
    </row>
    <row r="14" spans="2:44" x14ac:dyDescent="0.25">
      <c r="C14" s="4" t="str">
        <f>"Ball Diameter (" &amp; IF($B$4, "mm", "in") &amp; ")"</f>
        <v>Ball Diameter (mm)</v>
      </c>
      <c r="D14" s="14">
        <v>177.99999999999997</v>
      </c>
      <c r="F14" s="4" t="str">
        <f>"Avg. Velocity (" &amp; IF($B$4, "m", "ft") &amp; ")"</f>
        <v>Avg. Velocity (m)</v>
      </c>
      <c r="G14" s="11">
        <f>(2*(G8*IF($B$4,9.8,32.2))^2 + 3*G12^4*(1+COS(2*RADIANS(G13))) - 3*G8*IF($B$4,9.8,32.2)*G12^2*SIN(2*RADIANS(G13)))/(6*(G12*COS(RADIANS(G13)))^3)</f>
        <v>6.3215675377926281</v>
      </c>
      <c r="N14" s="9"/>
      <c r="U14" s="1" t="s">
        <v>37</v>
      </c>
      <c r="V14" s="1">
        <f>IF($I$3="Forward", D21, G16)</f>
        <v>0.99999999999999967</v>
      </c>
      <c r="Y14" s="1">
        <f t="shared" si="8"/>
        <v>5.0504680693546238E-2</v>
      </c>
      <c r="Z14" s="1">
        <f t="shared" si="9"/>
        <v>0.4010990099428976</v>
      </c>
      <c r="AA14" s="1">
        <f t="shared" si="10"/>
        <v>1.3995023616068043</v>
      </c>
      <c r="AB14" s="1">
        <f t="shared" si="11"/>
        <v>7.8810465884065657</v>
      </c>
      <c r="AC14" s="1">
        <f t="shared" si="12"/>
        <v>3.8420357940103869</v>
      </c>
      <c r="AD14" s="1">
        <f t="shared" si="3"/>
        <v>8.7676755397934176</v>
      </c>
      <c r="AE14" s="1">
        <f t="shared" si="0"/>
        <v>0.19134039226279087</v>
      </c>
      <c r="AF14" s="1">
        <f t="shared" si="4"/>
        <v>0.21480423535767451</v>
      </c>
      <c r="AG14" s="1">
        <f t="shared" si="1"/>
        <v>-5.3156078274902905</v>
      </c>
      <c r="AH14" s="1">
        <f t="shared" si="2"/>
        <v>-9.5914385929164077</v>
      </c>
      <c r="AI14" s="1" t="b">
        <f t="shared" si="13"/>
        <v>0</v>
      </c>
      <c r="AJ14" s="1">
        <f t="shared" si="14"/>
        <v>0.4010990099428976</v>
      </c>
      <c r="AK14" s="1">
        <f t="shared" si="15"/>
        <v>1.3995023616068043</v>
      </c>
      <c r="AL14" s="1" t="e">
        <f t="shared" si="5"/>
        <v>#N/A</v>
      </c>
      <c r="AM14" s="1" t="e">
        <f t="shared" si="6"/>
        <v>#N/A</v>
      </c>
      <c r="AP14" s="1">
        <f t="shared" si="16"/>
        <v>0.09</v>
      </c>
      <c r="AQ14" s="1">
        <f t="shared" si="7"/>
        <v>1.4234775160599571</v>
      </c>
    </row>
    <row r="15" spans="2:44" ht="14.45" customHeight="1" x14ac:dyDescent="0.25">
      <c r="C15" s="4" t="str">
        <f>"Ball Mass (" &amp; IF($B$4, "kg", "lbs") &amp; ")"</f>
        <v>Ball Mass (kg)</v>
      </c>
      <c r="D15" s="13">
        <v>0.1</v>
      </c>
      <c r="N15" s="9"/>
      <c r="U15" s="1" t="s">
        <v>36</v>
      </c>
      <c r="V15" s="15">
        <f>IF($I$3="Forward", D22, G17)</f>
        <v>1.9999999999999993</v>
      </c>
      <c r="Y15" s="1">
        <f t="shared" si="8"/>
        <v>5.6116311881718041E-2</v>
      </c>
      <c r="Z15" s="1">
        <f t="shared" si="9"/>
        <v>0.4452408414532647</v>
      </c>
      <c r="AA15" s="1">
        <f t="shared" si="10"/>
        <v>1.4209114303535899</v>
      </c>
      <c r="AB15" s="1">
        <f t="shared" si="11"/>
        <v>7.8661319730721528</v>
      </c>
      <c r="AC15" s="1">
        <f t="shared" si="12"/>
        <v>3.8151239860366521</v>
      </c>
      <c r="AD15" s="1">
        <f t="shared" si="3"/>
        <v>8.7424941090412069</v>
      </c>
      <c r="AE15" s="1">
        <f t="shared" si="0"/>
        <v>0.19189151929562276</v>
      </c>
      <c r="AF15" s="1">
        <f t="shared" si="4"/>
        <v>0.21513491157737366</v>
      </c>
      <c r="AG15" s="1">
        <f t="shared" si="1"/>
        <v>-5.2863695420753594</v>
      </c>
      <c r="AH15" s="1">
        <f t="shared" si="2"/>
        <v>-9.5784964128744186</v>
      </c>
      <c r="AI15" s="1" t="b">
        <f t="shared" si="13"/>
        <v>0</v>
      </c>
      <c r="AJ15" s="1">
        <f t="shared" si="14"/>
        <v>0.4452408414532647</v>
      </c>
      <c r="AK15" s="1">
        <f t="shared" si="15"/>
        <v>1.4209114303535899</v>
      </c>
      <c r="AL15" s="1" t="e">
        <f t="shared" si="5"/>
        <v>#N/A</v>
      </c>
      <c r="AM15" s="1" t="e">
        <f t="shared" si="6"/>
        <v>#N/A</v>
      </c>
      <c r="AP15" s="1">
        <f t="shared" si="16"/>
        <v>9.9999999999999992E-2</v>
      </c>
      <c r="AQ15" s="1">
        <f t="shared" si="7"/>
        <v>1.4470092790863669</v>
      </c>
    </row>
    <row r="16" spans="2:44" x14ac:dyDescent="0.25">
      <c r="C16" s="10"/>
      <c r="D16" s="10"/>
      <c r="F16" s="4" t="str">
        <f>"Obstacle Distance (" &amp; IF($B$4, "m", "ft") &amp; ")"</f>
        <v>Obstacle Distance (m)</v>
      </c>
      <c r="G16" s="5">
        <v>0.99999999999999967</v>
      </c>
      <c r="V16" s="15">
        <v>0</v>
      </c>
      <c r="Y16" s="1">
        <f t="shared" si="8"/>
        <v>6.1727943069889844E-2</v>
      </c>
      <c r="Z16" s="1">
        <f t="shared" si="9"/>
        <v>0.48929943800578024</v>
      </c>
      <c r="AA16" s="1">
        <f t="shared" si="10"/>
        <v>1.4421696837366631</v>
      </c>
      <c r="AB16" s="1">
        <f t="shared" si="11"/>
        <v>7.8512993949748955</v>
      </c>
      <c r="AC16" s="1">
        <f t="shared" si="12"/>
        <v>3.7882484914335306</v>
      </c>
      <c r="AD16" s="1">
        <f t="shared" si="3"/>
        <v>8.7174382029574247</v>
      </c>
      <c r="AE16" s="1">
        <f t="shared" si="0"/>
        <v>0.19244305929783515</v>
      </c>
      <c r="AF16" s="1">
        <f t="shared" si="4"/>
        <v>0.21546583557870108</v>
      </c>
      <c r="AG16" s="1">
        <f t="shared" si="1"/>
        <v>-5.2573190389034128</v>
      </c>
      <c r="AH16" s="1">
        <f t="shared" si="2"/>
        <v>-9.5656351993453939</v>
      </c>
      <c r="AI16" s="1" t="b">
        <f t="shared" si="13"/>
        <v>0</v>
      </c>
      <c r="AJ16" s="1">
        <f t="shared" si="14"/>
        <v>0.48929943800578024</v>
      </c>
      <c r="AK16" s="1">
        <f t="shared" si="15"/>
        <v>1.4421696837366631</v>
      </c>
      <c r="AL16" s="1" t="e">
        <f t="shared" si="5"/>
        <v>#N/A</v>
      </c>
      <c r="AM16" s="1" t="e">
        <f t="shared" si="6"/>
        <v>#N/A</v>
      </c>
      <c r="AP16" s="1">
        <f t="shared" si="16"/>
        <v>0.10999999999999999</v>
      </c>
      <c r="AQ16" s="1">
        <f t="shared" si="7"/>
        <v>1.4702812276945039</v>
      </c>
    </row>
    <row r="17" spans="3:43" s="10" customFormat="1" x14ac:dyDescent="0.25">
      <c r="C17" s="4" t="str">
        <f>"Final Height (" &amp; IF($B$4, "m", "ft") &amp; ")"</f>
        <v>Final Height (m)</v>
      </c>
      <c r="D17" s="11">
        <f>INDEX($AK$5:$AK$105, $V$22)</f>
        <v>2.4610825128056213</v>
      </c>
      <c r="E17" s="1"/>
      <c r="F17" s="4" t="str">
        <f>"Obstacle Height (" &amp; IF($B$4, "m", "ft") &amp; ")"</f>
        <v>Obstacle Height (m)</v>
      </c>
      <c r="G17" s="5">
        <v>1.9999999999999993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U17" s="1"/>
      <c r="Y17" s="1">
        <f t="shared" si="8"/>
        <v>6.7339574258061655E-2</v>
      </c>
      <c r="Z17" s="1">
        <f t="shared" si="9"/>
        <v>0.53327525700649347</v>
      </c>
      <c r="AA17" s="1">
        <f t="shared" si="10"/>
        <v>1.4632773242584325</v>
      </c>
      <c r="AB17" s="1">
        <f t="shared" si="11"/>
        <v>7.8365483272324568</v>
      </c>
      <c r="AC17" s="1">
        <f t="shared" si="12"/>
        <v>3.761409083023858</v>
      </c>
      <c r="AD17" s="1">
        <f t="shared" si="3"/>
        <v>8.6925075769253262</v>
      </c>
      <c r="AE17" s="1">
        <f t="shared" si="0"/>
        <v>0.19299499737800008</v>
      </c>
      <c r="AF17" s="1">
        <f t="shared" si="4"/>
        <v>0.21579699842680006</v>
      </c>
      <c r="AG17" s="1">
        <f t="shared" si="1"/>
        <v>-5.2284549305490753</v>
      </c>
      <c r="AH17" s="1">
        <f t="shared" si="2"/>
        <v>-9.5528543513793842</v>
      </c>
      <c r="AI17" s="1" t="b">
        <f t="shared" si="13"/>
        <v>0</v>
      </c>
      <c r="AJ17" s="1">
        <f t="shared" si="14"/>
        <v>0.53327525700649347</v>
      </c>
      <c r="AK17" s="1">
        <f t="shared" si="15"/>
        <v>1.4632773242584325</v>
      </c>
      <c r="AL17" s="1" t="e">
        <f t="shared" si="5"/>
        <v>#N/A</v>
      </c>
      <c r="AM17" s="1" t="e">
        <f t="shared" si="6"/>
        <v>#N/A</v>
      </c>
      <c r="AN17" s="1"/>
      <c r="AP17" s="1">
        <f t="shared" si="16"/>
        <v>0.11999999999999998</v>
      </c>
      <c r="AQ17" s="1">
        <f t="shared" si="7"/>
        <v>1.4932933618843682</v>
      </c>
    </row>
    <row r="18" spans="3:43" s="10" customFormat="1" ht="15" customHeight="1" x14ac:dyDescent="0.25">
      <c r="C18" s="4" t="s">
        <v>6</v>
      </c>
      <c r="D18" s="12">
        <f>DEGREES(ATAN(INDEX($AC$5:$AC$105, $V$22) / INDEX($AB$5:$AB$105, $V$22)))</f>
        <v>17.325074807124466</v>
      </c>
      <c r="E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Y18" s="1">
        <f t="shared" si="8"/>
        <v>7.2951205446233458E-2</v>
      </c>
      <c r="Z18" s="1">
        <f t="shared" si="9"/>
        <v>0.5771687529266295</v>
      </c>
      <c r="AA18" s="1">
        <f t="shared" si="10"/>
        <v>1.4842345531559349</v>
      </c>
      <c r="AB18" s="1">
        <f t="shared" si="11"/>
        <v>7.8218782468553414</v>
      </c>
      <c r="AC18" s="1">
        <f t="shared" si="12"/>
        <v>3.7346055353167267</v>
      </c>
      <c r="AD18" s="1">
        <f t="shared" si="3"/>
        <v>8.6677019914765836</v>
      </c>
      <c r="AE18" s="1">
        <f t="shared" si="0"/>
        <v>0.19354731838573055</v>
      </c>
      <c r="AF18" s="1">
        <f t="shared" si="4"/>
        <v>0.21612839103143833</v>
      </c>
      <c r="AG18" s="1">
        <f t="shared" si="1"/>
        <v>-5.199775843863212</v>
      </c>
      <c r="AH18" s="1">
        <f t="shared" si="2"/>
        <v>-9.5401532710477213</v>
      </c>
      <c r="AI18" s="1" t="b">
        <f t="shared" si="13"/>
        <v>0</v>
      </c>
      <c r="AJ18" s="1">
        <f t="shared" si="14"/>
        <v>0.5771687529266295</v>
      </c>
      <c r="AK18" s="1">
        <f t="shared" si="15"/>
        <v>1.4842345531559349</v>
      </c>
      <c r="AL18" s="1" t="e">
        <f t="shared" si="5"/>
        <v>#N/A</v>
      </c>
      <c r="AM18" s="1" t="e">
        <f t="shared" si="6"/>
        <v>#N/A</v>
      </c>
      <c r="AN18" s="1"/>
      <c r="AP18" s="1">
        <f t="shared" si="16"/>
        <v>0.12999999999999998</v>
      </c>
      <c r="AQ18" s="1">
        <f t="shared" si="7"/>
        <v>1.5160456816559598</v>
      </c>
    </row>
    <row r="19" spans="3:43" s="10" customFormat="1" x14ac:dyDescent="0.25">
      <c r="C19" s="4" t="str">
        <f>"Avg. Velocity (" &amp; IF($B$4, "m", "ft") &amp; ")"</f>
        <v>Avg. Velocity (m)</v>
      </c>
      <c r="D19" s="11">
        <f>AVERAGEIF(AI5:AI105, "=FALSE", AD5:AD105)</f>
        <v>8.1580626664873339</v>
      </c>
      <c r="F19" s="20" t="s">
        <v>31</v>
      </c>
      <c r="G19" s="2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V19" s="15">
        <f>_xlfn.AGGREGATE(4, 6, $AJ$5:$AJ$105,$AK$5:$AK$105)</f>
        <v>3.0360306553838523</v>
      </c>
      <c r="Y19" s="1">
        <f t="shared" si="8"/>
        <v>7.8562836634405261E-2</v>
      </c>
      <c r="Z19" s="1">
        <f t="shared" si="9"/>
        <v>0.62098037732420985</v>
      </c>
      <c r="AA19" s="1">
        <f t="shared" si="10"/>
        <v>1.5050415704102496</v>
      </c>
      <c r="AB19" s="1">
        <f t="shared" si="11"/>
        <v>7.8072886347068726</v>
      </c>
      <c r="AC19" s="1">
        <f t="shared" si="12"/>
        <v>3.7078376244988611</v>
      </c>
      <c r="AD19" s="1">
        <f t="shared" si="3"/>
        <v>8.6430212122424219</v>
      </c>
      <c r="AE19" s="1">
        <f t="shared" si="0"/>
        <v>0.19410000690970131</v>
      </c>
      <c r="AF19" s="1">
        <f t="shared" si="4"/>
        <v>0.21646000414582078</v>
      </c>
      <c r="AG19" s="1">
        <f t="shared" si="1"/>
        <v>-5.1712804197995075</v>
      </c>
      <c r="AH19" s="1">
        <f t="shared" si="2"/>
        <v>-9.5275313633933987</v>
      </c>
      <c r="AI19" s="1" t="b">
        <f t="shared" si="13"/>
        <v>0</v>
      </c>
      <c r="AJ19" s="1">
        <f t="shared" si="14"/>
        <v>0.62098037732420985</v>
      </c>
      <c r="AK19" s="1">
        <f t="shared" si="15"/>
        <v>1.5050415704102496</v>
      </c>
      <c r="AL19" s="1" t="e">
        <f t="shared" si="5"/>
        <v>#N/A</v>
      </c>
      <c r="AM19" s="1" t="e">
        <f t="shared" si="6"/>
        <v>#N/A</v>
      </c>
      <c r="AN19" s="1"/>
      <c r="AP19" s="1">
        <f t="shared" si="16"/>
        <v>0.13999999999999999</v>
      </c>
      <c r="AQ19" s="1">
        <f t="shared" si="7"/>
        <v>1.5385381870092791</v>
      </c>
    </row>
    <row r="20" spans="3:43" s="10" customFormat="1" x14ac:dyDescent="0.25">
      <c r="E20" s="1"/>
      <c r="F20" s="22"/>
      <c r="G20" s="23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5"/>
      <c r="Y20" s="1">
        <f t="shared" si="8"/>
        <v>8.4174467822577065E-2</v>
      </c>
      <c r="Z20" s="1">
        <f t="shared" si="9"/>
        <v>0.66471057886545093</v>
      </c>
      <c r="AA20" s="1">
        <f t="shared" si="10"/>
        <v>1.5256985747558658</v>
      </c>
      <c r="AB20" s="1">
        <f t="shared" si="11"/>
        <v>7.7927789754636034</v>
      </c>
      <c r="AC20" s="1">
        <f t="shared" si="12"/>
        <v>3.6811051284263065</v>
      </c>
      <c r="AD20" s="1">
        <f t="shared" si="3"/>
        <v>8.6184650099048401</v>
      </c>
      <c r="AE20" s="1">
        <f t="shared" si="0"/>
        <v>0.19465304727569721</v>
      </c>
      <c r="AF20" s="1">
        <f t="shared" si="4"/>
        <v>0.21679182836541833</v>
      </c>
      <c r="AG20" s="1">
        <f t="shared" si="1"/>
        <v>-5.1429673132432372</v>
      </c>
      <c r="AH20" s="1">
        <f t="shared" si="2"/>
        <v>-9.5149880363820589</v>
      </c>
      <c r="AI20" s="1" t="b">
        <f t="shared" si="13"/>
        <v>0</v>
      </c>
      <c r="AJ20" s="1">
        <f t="shared" si="14"/>
        <v>0.66471057886545093</v>
      </c>
      <c r="AK20" s="1">
        <f t="shared" si="15"/>
        <v>1.5256985747558658</v>
      </c>
      <c r="AL20" s="1" t="e">
        <f t="shared" si="5"/>
        <v>#N/A</v>
      </c>
      <c r="AM20" s="1" t="e">
        <f t="shared" si="6"/>
        <v>#N/A</v>
      </c>
      <c r="AN20" s="1"/>
      <c r="AP20" s="1">
        <f t="shared" si="16"/>
        <v>0.15</v>
      </c>
      <c r="AQ20" s="1">
        <f t="shared" si="7"/>
        <v>1.5607708779443252</v>
      </c>
    </row>
    <row r="21" spans="3:43" s="10" customFormat="1" x14ac:dyDescent="0.25">
      <c r="C21" s="4" t="str">
        <f>"Obstacle Distance (" &amp; IF($B$4, "m", "ft") &amp; ")"</f>
        <v>Obstacle Distance (m)</v>
      </c>
      <c r="D21" s="5">
        <v>1.5</v>
      </c>
      <c r="E21" s="1"/>
      <c r="F21" s="22"/>
      <c r="G21" s="23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Y21" s="1">
        <f t="shared" si="8"/>
        <v>8.9786099010748868E-2</v>
      </c>
      <c r="Z21" s="1">
        <f t="shared" si="9"/>
        <v>0.70835980334594306</v>
      </c>
      <c r="AA21" s="1">
        <f t="shared" si="10"/>
        <v>1.5462057636900048</v>
      </c>
      <c r="AB21" s="1">
        <f t="shared" si="11"/>
        <v>7.7783487575762225</v>
      </c>
      <c r="AC21" s="1">
        <f t="shared" si="12"/>
        <v>3.6544078266162794</v>
      </c>
      <c r="AD21" s="1">
        <f t="shared" si="3"/>
        <v>8.5940331601479105</v>
      </c>
      <c r="AE21" s="1">
        <f t="shared" si="0"/>
        <v>0.19520642354469062</v>
      </c>
      <c r="AF21" s="1">
        <f t="shared" si="4"/>
        <v>0.21712385412681437</v>
      </c>
      <c r="AG21" s="1">
        <f t="shared" si="1"/>
        <v>-5.1148351928422153</v>
      </c>
      <c r="AH21" s="1">
        <f t="shared" si="2"/>
        <v>-9.5025227008535307</v>
      </c>
      <c r="AI21" s="1" t="b">
        <f t="shared" si="13"/>
        <v>0</v>
      </c>
      <c r="AJ21" s="1">
        <f t="shared" si="14"/>
        <v>0.70835980334594306</v>
      </c>
      <c r="AK21" s="1">
        <f t="shared" si="15"/>
        <v>1.5462057636900048</v>
      </c>
      <c r="AL21" s="1" t="e">
        <f t="shared" si="5"/>
        <v>#N/A</v>
      </c>
      <c r="AM21" s="1" t="e">
        <f t="shared" si="6"/>
        <v>#N/A</v>
      </c>
      <c r="AN21" s="1"/>
      <c r="AP21" s="1">
        <f t="shared" si="16"/>
        <v>0.16</v>
      </c>
      <c r="AQ21" s="1">
        <f t="shared" si="7"/>
        <v>1.5827437544610994</v>
      </c>
    </row>
    <row r="22" spans="3:43" s="10" customFormat="1" ht="15" customHeight="1" x14ac:dyDescent="0.25">
      <c r="C22" s="4" t="str">
        <f>"Obstacle Height (" &amp; IF($B$4, "m", "ft") &amp; ")"</f>
        <v>Obstacle Height (m)</v>
      </c>
      <c r="D22" s="5">
        <v>1.4</v>
      </c>
      <c r="E22" s="1"/>
      <c r="F22" s="24"/>
      <c r="G22" s="2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V22" s="15">
        <f t="array" ref="V22">MAX(IF(NOT($AI$5:$AI$105),ROW($AI$5:$AI$105)-MIN(ROW($AI$5:$AI$105))+1))</f>
        <v>73</v>
      </c>
      <c r="Y22" s="1">
        <f t="shared" si="8"/>
        <v>9.5397730198920672E-2</v>
      </c>
      <c r="Z22" s="1">
        <f t="shared" si="9"/>
        <v>0.75192849371161308</v>
      </c>
      <c r="AA22" s="1">
        <f t="shared" si="10"/>
        <v>1.5665633334818962</v>
      </c>
      <c r="AB22" s="1">
        <f t="shared" si="11"/>
        <v>7.7639974732309733</v>
      </c>
      <c r="AC22" s="1">
        <f t="shared" si="12"/>
        <v>3.6277455002390551</v>
      </c>
      <c r="AD22" s="1">
        <f t="shared" si="3"/>
        <v>8.5697254436091264</v>
      </c>
      <c r="AE22" s="1">
        <f t="shared" si="0"/>
        <v>0.19576011951094971</v>
      </c>
      <c r="AF22" s="1">
        <f t="shared" si="4"/>
        <v>0.21745607170656983</v>
      </c>
      <c r="AG22" s="1">
        <f t="shared" si="1"/>
        <v>-5.0868827408398296</v>
      </c>
      <c r="AH22" s="1">
        <f t="shared" si="2"/>
        <v>-9.4901347704738086</v>
      </c>
      <c r="AI22" s="1" t="b">
        <f t="shared" si="13"/>
        <v>0</v>
      </c>
      <c r="AJ22" s="1">
        <f t="shared" si="14"/>
        <v>0.75192849371161308</v>
      </c>
      <c r="AK22" s="1">
        <f t="shared" si="15"/>
        <v>1.5665633334818962</v>
      </c>
      <c r="AL22" s="1" t="e">
        <f t="shared" si="5"/>
        <v>#N/A</v>
      </c>
      <c r="AM22" s="1" t="e">
        <f t="shared" si="6"/>
        <v>#N/A</v>
      </c>
      <c r="AN22" s="1"/>
      <c r="AP22" s="1">
        <f t="shared" si="16"/>
        <v>0.17</v>
      </c>
      <c r="AQ22" s="1">
        <f t="shared" si="7"/>
        <v>1.6044568165596003</v>
      </c>
    </row>
    <row r="23" spans="3:43" s="10" customFormat="1" ht="15" customHeight="1" x14ac:dyDescent="0.25">
      <c r="C23" s="15"/>
      <c r="D23" s="1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5"/>
      <c r="Y23" s="1">
        <f t="shared" si="8"/>
        <v>0.10100936138709248</v>
      </c>
      <c r="Z23" s="1">
        <f t="shared" si="9"/>
        <v>0.79541709007947237</v>
      </c>
      <c r="AA23" s="1">
        <f t="shared" si="10"/>
        <v>1.58677147918201</v>
      </c>
      <c r="AB23" s="1">
        <f t="shared" si="11"/>
        <v>7.7497246183114363</v>
      </c>
      <c r="AC23" s="1">
        <f t="shared" si="12"/>
        <v>3.6011179321100935</v>
      </c>
      <c r="AD23" s="1">
        <f t="shared" si="3"/>
        <v>8.5455416458307205</v>
      </c>
      <c r="AE23" s="1">
        <f t="shared" si="0"/>
        <v>0.19631411870018065</v>
      </c>
      <c r="AF23" s="1">
        <f t="shared" si="4"/>
        <v>0.21778847122010839</v>
      </c>
      <c r="AG23" s="1">
        <f t="shared" si="1"/>
        <v>-5.0591086529100808</v>
      </c>
      <c r="AH23" s="1">
        <f t="shared" si="2"/>
        <v>-9.4778236616876352</v>
      </c>
      <c r="AI23" s="1" t="b">
        <f t="shared" si="13"/>
        <v>0</v>
      </c>
      <c r="AJ23" s="1">
        <f t="shared" si="14"/>
        <v>0.79541709007947237</v>
      </c>
      <c r="AK23" s="1">
        <f t="shared" si="15"/>
        <v>1.58677147918201</v>
      </c>
      <c r="AL23" s="1" t="e">
        <f t="shared" si="5"/>
        <v>#N/A</v>
      </c>
      <c r="AM23" s="1" t="e">
        <f t="shared" si="6"/>
        <v>#N/A</v>
      </c>
      <c r="AN23" s="1"/>
      <c r="AP23" s="1">
        <f t="shared" si="16"/>
        <v>0.18000000000000002</v>
      </c>
      <c r="AQ23" s="1">
        <f t="shared" si="7"/>
        <v>1.6259100642398288</v>
      </c>
    </row>
    <row r="24" spans="3:43" s="10" customFormat="1" ht="15" customHeight="1" x14ac:dyDescent="0.25">
      <c r="C24" s="20" t="s">
        <v>32</v>
      </c>
      <c r="D24" s="2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5"/>
      <c r="Y24" s="1">
        <f t="shared" si="8"/>
        <v>0.10662099257526428</v>
      </c>
      <c r="Z24" s="1">
        <f t="shared" si="9"/>
        <v>0.83882602975815401</v>
      </c>
      <c r="AA24" s="1">
        <f t="shared" si="10"/>
        <v>1.6068303946312443</v>
      </c>
      <c r="AB24" s="1">
        <f t="shared" si="11"/>
        <v>7.7355296923609318</v>
      </c>
      <c r="AC24" s="1">
        <f t="shared" si="12"/>
        <v>3.5745249066821261</v>
      </c>
      <c r="AD24" s="1">
        <f t="shared" si="3"/>
        <v>8.5214815572110734</v>
      </c>
      <c r="AE24" s="1">
        <f t="shared" si="0"/>
        <v>0.19686840436770253</v>
      </c>
      <c r="AF24" s="1">
        <f t="shared" si="4"/>
        <v>0.21812104262062151</v>
      </c>
      <c r="AG24" s="1">
        <f t="shared" si="1"/>
        <v>-5.031511637994722</v>
      </c>
      <c r="AH24" s="1">
        <f t="shared" si="2"/>
        <v>-9.4655887936714507</v>
      </c>
      <c r="AI24" s="1" t="b">
        <f t="shared" si="13"/>
        <v>0</v>
      </c>
      <c r="AJ24" s="1">
        <f t="shared" si="14"/>
        <v>0.83882602975815401</v>
      </c>
      <c r="AK24" s="1">
        <f t="shared" si="15"/>
        <v>1.6068303946312443</v>
      </c>
      <c r="AL24" s="1" t="e">
        <f t="shared" si="5"/>
        <v>#N/A</v>
      </c>
      <c r="AM24" s="1" t="e">
        <f t="shared" si="6"/>
        <v>#N/A</v>
      </c>
      <c r="AN24" s="1"/>
      <c r="AP24" s="1">
        <f t="shared" si="16"/>
        <v>0.19000000000000003</v>
      </c>
      <c r="AQ24" s="1">
        <f t="shared" si="7"/>
        <v>1.6471034975017844</v>
      </c>
    </row>
    <row r="25" spans="3:43" s="10" customFormat="1" ht="14.45" customHeight="1" x14ac:dyDescent="0.25">
      <c r="C25" s="22"/>
      <c r="D25" s="23"/>
      <c r="G25" s="33">
        <f>((G12*COS(RADIANS(G13)))^2 * LOG((IF($B$4,9.8,32.2)*G8/COS(RADIANS(G13)) - G12^2*SIN(RADIANS(G13)) + SQRT(G12^4 - 2*IF($B$4,9.8,32.2)*G8*G12^2*TAN(RADIANS(G13)) + (IF($B$4,9.8,32.2)*G8/COS(RADIANS(G13)))^2))/((1-SIN(RADIANS(G13)))*G12^2)) + G12^2*SIN(RADIANS(G13)) + (IF($B$4,9.8,32.2)*G8/COS(RADIANS(G13))/G12^2 - SIN(RADIANS(G13)))*SQRT(G12^4 - 2*IF($B$4,9.8,32.2)*G8*G12^2*TAN(RADIANS(G13)) + (IF($B$4,9.8,32.2)*G8/COS(RADIANS(G13)))^2))/(2*IF($B$4,9.8,32.2))</f>
        <v>1.5340450546018407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V25" s="15"/>
      <c r="Y25" s="1">
        <f t="shared" si="8"/>
        <v>0.11223262376343608</v>
      </c>
      <c r="Z25" s="1">
        <f t="shared" si="9"/>
        <v>0.88215574726824064</v>
      </c>
      <c r="AA25" s="1">
        <f t="shared" si="10"/>
        <v>1.6267402724700712</v>
      </c>
      <c r="AB25" s="1">
        <f t="shared" si="11"/>
        <v>7.7214121985452291</v>
      </c>
      <c r="AC25" s="1">
        <f t="shared" si="12"/>
        <v>3.5479662100376368</v>
      </c>
      <c r="AD25" s="1">
        <f t="shared" si="3"/>
        <v>8.4975449729561241</v>
      </c>
      <c r="AE25" s="1">
        <f t="shared" si="0"/>
        <v>0.19742295949665828</v>
      </c>
      <c r="AF25" s="1">
        <f t="shared" si="4"/>
        <v>0.21845377569799496</v>
      </c>
      <c r="AG25" s="1">
        <f t="shared" si="1"/>
        <v>-5.0040904181423933</v>
      </c>
      <c r="AH25" s="1">
        <f t="shared" si="2"/>
        <v>-9.4534295882870456</v>
      </c>
      <c r="AI25" s="1" t="b">
        <f t="shared" si="13"/>
        <v>0</v>
      </c>
      <c r="AJ25" s="1">
        <f t="shared" si="14"/>
        <v>0.88215574726824064</v>
      </c>
      <c r="AK25" s="1">
        <f t="shared" si="15"/>
        <v>1.6267402724700712</v>
      </c>
      <c r="AL25" s="1" t="e">
        <f t="shared" si="5"/>
        <v>#N/A</v>
      </c>
      <c r="AM25" s="1" t="e">
        <f t="shared" si="6"/>
        <v>#N/A</v>
      </c>
      <c r="AN25" s="1"/>
      <c r="AP25" s="1">
        <f t="shared" si="16"/>
        <v>0.20000000000000004</v>
      </c>
      <c r="AQ25" s="1">
        <f t="shared" si="7"/>
        <v>1.6680371163454677</v>
      </c>
    </row>
    <row r="26" spans="3:43" s="10" customFormat="1" ht="14.45" customHeight="1" x14ac:dyDescent="0.25">
      <c r="C26" s="22"/>
      <c r="D26" s="23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V26" s="15"/>
      <c r="Y26" s="1">
        <f t="shared" si="8"/>
        <v>0.11784425495160789</v>
      </c>
      <c r="Z26" s="1">
        <f t="shared" si="9"/>
        <v>0.92540667436238599</v>
      </c>
      <c r="AA26" s="1">
        <f t="shared" si="10"/>
        <v>1.6465013041476393</v>
      </c>
      <c r="AB26" s="1">
        <f t="shared" si="11"/>
        <v>7.7073716436157911</v>
      </c>
      <c r="AC26" s="1">
        <f t="shared" si="12"/>
        <v>3.5214416298812266</v>
      </c>
      <c r="AD26" s="1">
        <f t="shared" si="3"/>
        <v>8.4737316930307234</v>
      </c>
      <c r="AE26" s="1">
        <f t="shared" si="0"/>
        <v>0.19797776679626414</v>
      </c>
      <c r="AF26" s="1">
        <f t="shared" si="4"/>
        <v>0.21878666007775849</v>
      </c>
      <c r="AG26" s="1">
        <f t="shared" si="1"/>
        <v>-4.9768437283496505</v>
      </c>
      <c r="AH26" s="1">
        <f t="shared" si="2"/>
        <v>-9.4413454700355555</v>
      </c>
      <c r="AI26" s="1" t="b">
        <f t="shared" si="13"/>
        <v>0</v>
      </c>
      <c r="AJ26" s="1">
        <f t="shared" si="14"/>
        <v>0.92540667436238599</v>
      </c>
      <c r="AK26" s="1">
        <f t="shared" si="15"/>
        <v>1.6465013041476393</v>
      </c>
      <c r="AL26" s="1" t="e">
        <f t="shared" si="5"/>
        <v>#N/A</v>
      </c>
      <c r="AM26" s="1" t="e">
        <f t="shared" si="6"/>
        <v>#N/A</v>
      </c>
      <c r="AN26" s="1"/>
      <c r="AP26" s="1">
        <f t="shared" si="16"/>
        <v>0.21000000000000005</v>
      </c>
      <c r="AQ26" s="1">
        <f t="shared" si="7"/>
        <v>1.6887109207708779</v>
      </c>
    </row>
    <row r="27" spans="3:43" s="10" customFormat="1" ht="15" customHeight="1" x14ac:dyDescent="0.25">
      <c r="C27" s="22"/>
      <c r="D27" s="23"/>
      <c r="G27" s="33">
        <f>(G12^2*COS(RADIANS(G13))^2*LOG((G8*IF($B$4,9.8,32.2)/COS(RADIANS(G13)) - G12^2*SIN(RADIANS(G13)) + SQRT(G12^4 + G8^2*IF($B$4,9.8,32.2)^2/COS(RADIANS(G13))^2 - 2*G8*IF($B$4,9.8,32.2)*G12^2*TAN(RADIANS(G13))))/(G12^2*(1 - SIN(RADIANS(G13))))) + G12^2*SIN(RADIANS(G13)) + ((G8*IF($B$4,9.8,32.2)/COS(RADIANS(G13)))/G12^2 - SIN(RADIANS(G13)))*SQRT(G12^4 + G8^2*IF($B$4,9.8,32.2)^2/COS(RADIANS(G13))^2 - 2*G8*IF($B$4,9.8,32.2)*G12^2*TAN(RADIANS(G13))))/(2*IF($B$4,9.8,32.2))</f>
        <v>1.5340450546018407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V27" s="15"/>
      <c r="Y27" s="1">
        <f t="shared" si="8"/>
        <v>0.12345588613977969</v>
      </c>
      <c r="Z27" s="1">
        <f t="shared" si="9"/>
        <v>0.96857924004523277</v>
      </c>
      <c r="AA27" s="1">
        <f t="shared" si="10"/>
        <v>1.6661136799308349</v>
      </c>
      <c r="AB27" s="1">
        <f t="shared" si="11"/>
        <v>7.6934075378734628</v>
      </c>
      <c r="AC27" s="1">
        <f t="shared" si="12"/>
        <v>3.4949509555322522</v>
      </c>
      <c r="AD27" s="1">
        <f t="shared" si="3"/>
        <v>8.4500415221100553</v>
      </c>
      <c r="AE27" s="1">
        <f t="shared" si="0"/>
        <v>0.19853280870009665</v>
      </c>
      <c r="AF27" s="1">
        <f t="shared" si="4"/>
        <v>0.21911968522005798</v>
      </c>
      <c r="AG27" s="1">
        <f t="shared" si="1"/>
        <v>-4.9497703164040141</v>
      </c>
      <c r="AH27" s="1">
        <f t="shared" si="2"/>
        <v>-9.4293358660120372</v>
      </c>
      <c r="AI27" s="1" t="b">
        <f t="shared" si="13"/>
        <v>0</v>
      </c>
      <c r="AJ27" s="1">
        <f t="shared" si="14"/>
        <v>0.96857924004523277</v>
      </c>
      <c r="AK27" s="1">
        <f t="shared" si="15"/>
        <v>1.6661136799308349</v>
      </c>
      <c r="AL27" s="1" t="e">
        <f t="shared" si="5"/>
        <v>#N/A</v>
      </c>
      <c r="AM27" s="1" t="e">
        <f t="shared" si="6"/>
        <v>#N/A</v>
      </c>
      <c r="AN27" s="1"/>
      <c r="AP27" s="1">
        <f t="shared" si="16"/>
        <v>0.22000000000000006</v>
      </c>
      <c r="AQ27" s="1">
        <f t="shared" si="7"/>
        <v>1.709124910778016</v>
      </c>
    </row>
    <row r="28" spans="3:43" s="10" customFormat="1" ht="15" customHeight="1" x14ac:dyDescent="0.25">
      <c r="C28" s="24"/>
      <c r="D28" s="2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V28" s="15"/>
      <c r="Y28" s="1">
        <f t="shared" si="8"/>
        <v>0.12906751732795149</v>
      </c>
      <c r="Z28" s="1">
        <f t="shared" si="9"/>
        <v>1.011673870593129</v>
      </c>
      <c r="AA28" s="1">
        <f t="shared" si="10"/>
        <v>1.6855775889133029</v>
      </c>
      <c r="AB28" s="1">
        <f t="shared" si="11"/>
        <v>7.6795193951325693</v>
      </c>
      <c r="AC28" s="1">
        <f t="shared" si="12"/>
        <v>3.4684939779175075</v>
      </c>
      <c r="AD28" s="1">
        <f t="shared" si="3"/>
        <v>8.42647426953096</v>
      </c>
      <c r="AE28" s="1">
        <f t="shared" si="0"/>
        <v>0.19908806736442208</v>
      </c>
      <c r="AF28" s="1">
        <f t="shared" si="4"/>
        <v>0.21945284041865326</v>
      </c>
      <c r="AG28" s="1">
        <f t="shared" si="1"/>
        <v>-4.9228689427288348</v>
      </c>
      <c r="AH28" s="1">
        <f t="shared" si="2"/>
        <v>-9.4174002058605133</v>
      </c>
      <c r="AI28" s="1" t="b">
        <f t="shared" si="13"/>
        <v>0</v>
      </c>
      <c r="AJ28" s="1">
        <f t="shared" si="14"/>
        <v>1.011673870593129</v>
      </c>
      <c r="AK28" s="1">
        <f t="shared" si="15"/>
        <v>1.6855775889133029</v>
      </c>
      <c r="AL28" s="1" t="e">
        <f t="shared" si="5"/>
        <v>#N/A</v>
      </c>
      <c r="AM28" s="1" t="e">
        <f t="shared" si="6"/>
        <v>#N/A</v>
      </c>
      <c r="AN28" s="1"/>
      <c r="AP28" s="1">
        <f t="shared" si="16"/>
        <v>0.23000000000000007</v>
      </c>
      <c r="AQ28" s="1">
        <f t="shared" si="7"/>
        <v>1.7292790863668808</v>
      </c>
    </row>
    <row r="29" spans="3:43" s="10" customFormat="1" ht="15" customHeight="1" x14ac:dyDescent="0.25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V29" s="15"/>
      <c r="Y29" s="1">
        <f t="shared" si="8"/>
        <v>0.13467914851612331</v>
      </c>
      <c r="Z29" s="1">
        <f t="shared" si="9"/>
        <v>1.0546909895736452</v>
      </c>
      <c r="AA29" s="1">
        <f t="shared" si="10"/>
        <v>1.7048932190244268</v>
      </c>
      <c r="AB29" s="1">
        <f t="shared" si="11"/>
        <v>7.6657067326854387</v>
      </c>
      <c r="AC29" s="1">
        <f t="shared" si="12"/>
        <v>3.4420704895641396</v>
      </c>
      <c r="AD29" s="1">
        <f t="shared" si="3"/>
        <v>8.403029749243256</v>
      </c>
      <c r="AE29" s="1">
        <f t="shared" si="0"/>
        <v>0.19964352466656782</v>
      </c>
      <c r="AF29" s="1">
        <f t="shared" si="4"/>
        <v>0.2197861147999407</v>
      </c>
      <c r="AG29" s="1">
        <f t="shared" si="1"/>
        <v>-4.8961383802300631</v>
      </c>
      <c r="AH29" s="1">
        <f t="shared" si="2"/>
        <v>-9.4055379217295716</v>
      </c>
      <c r="AI29" s="1" t="b">
        <f t="shared" si="13"/>
        <v>0</v>
      </c>
      <c r="AJ29" s="1">
        <f t="shared" si="14"/>
        <v>1.0546909895736452</v>
      </c>
      <c r="AK29" s="1">
        <f t="shared" si="15"/>
        <v>1.7048932190244268</v>
      </c>
      <c r="AL29" s="1" t="e">
        <f t="shared" si="5"/>
        <v>#N/A</v>
      </c>
      <c r="AM29" s="1" t="e">
        <f t="shared" si="6"/>
        <v>#N/A</v>
      </c>
      <c r="AN29" s="1"/>
      <c r="AP29" s="1">
        <f t="shared" si="16"/>
        <v>0.24000000000000007</v>
      </c>
      <c r="AQ29" s="1">
        <f t="shared" si="7"/>
        <v>1.7491734475374734</v>
      </c>
    </row>
    <row r="30" spans="3:43" s="10" customFormat="1" ht="14.45" customHeight="1" x14ac:dyDescent="0.25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V30" s="15"/>
      <c r="Y30" s="1">
        <f t="shared" si="8"/>
        <v>0.14029077970429513</v>
      </c>
      <c r="Z30" s="1">
        <f t="shared" si="9"/>
        <v>1.0976310178648954</v>
      </c>
      <c r="AA30" s="1">
        <f t="shared" si="10"/>
        <v>1.72406075703827</v>
      </c>
      <c r="AB30" s="1">
        <f t="shared" si="11"/>
        <v>7.6519690712674056</v>
      </c>
      <c r="AC30" s="1">
        <f t="shared" si="12"/>
        <v>3.415680284592566</v>
      </c>
      <c r="AD30" s="1">
        <f t="shared" si="3"/>
        <v>8.3797077797610164</v>
      </c>
      <c r="AE30" s="1">
        <f t="shared" si="0"/>
        <v>0.200199162203338</v>
      </c>
      <c r="AF30" s="1">
        <f t="shared" si="4"/>
        <v>0.22011949732200281</v>
      </c>
      <c r="AG30" s="1">
        <f t="shared" si="1"/>
        <v>-4.8695774141448487</v>
      </c>
      <c r="AH30" s="1">
        <f t="shared" si="2"/>
        <v>-9.3937484482283971</v>
      </c>
      <c r="AI30" s="1" t="b">
        <f t="shared" si="13"/>
        <v>0</v>
      </c>
      <c r="AJ30" s="1">
        <f t="shared" si="14"/>
        <v>1.0976310178648954</v>
      </c>
      <c r="AK30" s="1">
        <f t="shared" si="15"/>
        <v>1.72406075703827</v>
      </c>
      <c r="AL30" s="1" t="e">
        <f t="shared" si="5"/>
        <v>#N/A</v>
      </c>
      <c r="AM30" s="1" t="e">
        <f t="shared" si="6"/>
        <v>#N/A</v>
      </c>
      <c r="AN30" s="1"/>
      <c r="AP30" s="1">
        <f t="shared" si="16"/>
        <v>0.25000000000000006</v>
      </c>
      <c r="AQ30" s="1">
        <f t="shared" si="7"/>
        <v>1.768807994289793</v>
      </c>
    </row>
    <row r="31" spans="3:43" s="10" customFormat="1" ht="18.75" customHeight="1" x14ac:dyDescent="0.25">
      <c r="C31" s="26" t="s">
        <v>33</v>
      </c>
      <c r="D31" s="26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V31" s="15"/>
      <c r="Y31" s="1">
        <f t="shared" si="8"/>
        <v>0.14590241089246694</v>
      </c>
      <c r="Z31" s="1">
        <f t="shared" si="9"/>
        <v>1.1404943736746638</v>
      </c>
      <c r="AA31" s="1">
        <f t="shared" si="10"/>
        <v>1.7430803885824777</v>
      </c>
      <c r="AB31" s="1">
        <f t="shared" si="11"/>
        <v>7.6383059350222071</v>
      </c>
      <c r="AC31" s="1">
        <f t="shared" si="12"/>
        <v>3.3893231587095913</v>
      </c>
      <c r="AD31" s="1">
        <f t="shared" si="3"/>
        <v>8.3565081841137836</v>
      </c>
      <c r="AE31" s="1">
        <f t="shared" si="0"/>
        <v>0.20075496128947565</v>
      </c>
      <c r="AF31" s="1">
        <f t="shared" si="4"/>
        <v>0.22045297677368539</v>
      </c>
      <c r="AG31" s="1">
        <f t="shared" si="1"/>
        <v>-4.8431848418919454</v>
      </c>
      <c r="AH31" s="1">
        <f t="shared" si="2"/>
        <v>-9.3820312223833167</v>
      </c>
      <c r="AI31" s="1" t="b">
        <f t="shared" si="13"/>
        <v>0</v>
      </c>
      <c r="AJ31" s="1">
        <f t="shared" si="14"/>
        <v>1.1404943736746638</v>
      </c>
      <c r="AK31" s="1">
        <f t="shared" si="15"/>
        <v>1.7430803885824777</v>
      </c>
      <c r="AL31" s="1" t="e">
        <f t="shared" si="5"/>
        <v>#N/A</v>
      </c>
      <c r="AM31" s="1" t="e">
        <f t="shared" si="6"/>
        <v>#N/A</v>
      </c>
      <c r="AN31" s="1"/>
      <c r="AP31" s="1">
        <f t="shared" si="16"/>
        <v>0.26000000000000006</v>
      </c>
      <c r="AQ31" s="1">
        <f t="shared" si="7"/>
        <v>1.7881827266238401</v>
      </c>
    </row>
    <row r="32" spans="3:43" s="10" customFormat="1" ht="14.45" customHeight="1" x14ac:dyDescent="0.25">
      <c r="C32" s="4" t="str">
        <f>"Ball Diameter (" &amp; IF($B$4, "mm", "in") &amp; ")"</f>
        <v>Ball Diameter (mm)</v>
      </c>
      <c r="D32" s="14">
        <v>177.99999999999997</v>
      </c>
      <c r="F32" s="27" t="s">
        <v>35</v>
      </c>
      <c r="G32" s="28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Y32" s="1">
        <f t="shared" si="8"/>
        <v>0.15151404208063876</v>
      </c>
      <c r="Z32" s="1">
        <f t="shared" si="9"/>
        <v>1.1832814725593395</v>
      </c>
      <c r="AA32" s="1">
        <f t="shared" si="10"/>
        <v>1.7619522981471414</v>
      </c>
      <c r="AB32" s="1">
        <f t="shared" si="11"/>
        <v>7.6247168514677748</v>
      </c>
      <c r="AC32" s="1">
        <f t="shared" si="12"/>
        <v>3.3629989092016381</v>
      </c>
      <c r="AD32" s="1">
        <f t="shared" si="3"/>
        <v>8.3334307897976849</v>
      </c>
      <c r="AE32" s="1">
        <f t="shared" si="0"/>
        <v>0.20131090295617338</v>
      </c>
      <c r="AF32" s="1">
        <f t="shared" si="4"/>
        <v>0.22078654177370402</v>
      </c>
      <c r="AG32" s="1">
        <f t="shared" si="1"/>
        <v>-4.8169594729238545</v>
      </c>
      <c r="AH32" s="1">
        <f t="shared" si="2"/>
        <v>-9.3703856835948809</v>
      </c>
      <c r="AI32" s="1" t="b">
        <f t="shared" si="13"/>
        <v>0</v>
      </c>
      <c r="AJ32" s="1">
        <f t="shared" si="14"/>
        <v>1.1832814725593395</v>
      </c>
      <c r="AK32" s="1">
        <f t="shared" si="15"/>
        <v>1.7619522981471414</v>
      </c>
      <c r="AL32" s="1" t="e">
        <f t="shared" si="5"/>
        <v>#N/A</v>
      </c>
      <c r="AM32" s="1" t="e">
        <f t="shared" si="6"/>
        <v>#N/A</v>
      </c>
      <c r="AN32" s="1"/>
      <c r="AP32" s="1">
        <f t="shared" si="16"/>
        <v>0.27000000000000007</v>
      </c>
      <c r="AQ32" s="1">
        <f t="shared" si="7"/>
        <v>1.8072976445396147</v>
      </c>
    </row>
    <row r="33" spans="3:43" s="10" customFormat="1" ht="15" customHeight="1" x14ac:dyDescent="0.25">
      <c r="C33" s="4" t="str">
        <f>"Approx. Velocity (" &amp; IF($B$4, "m", "ft") &amp; "/s)"</f>
        <v>Approx. Velocity (m/s)</v>
      </c>
      <c r="D33" s="5">
        <v>8.1999999999999993</v>
      </c>
      <c r="F33" s="29"/>
      <c r="G33" s="30"/>
      <c r="Y33" s="1">
        <f t="shared" si="8"/>
        <v>0.15712567326881058</v>
      </c>
      <c r="Z33" s="1">
        <f t="shared" si="9"/>
        <v>1.2259927274426621</v>
      </c>
      <c r="AA33" s="1">
        <f t="shared" si="10"/>
        <v>1.7806766690936251</v>
      </c>
      <c r="AB33" s="1">
        <f t="shared" si="11"/>
        <v>7.6112013514625465</v>
      </c>
      <c r="AC33" s="1">
        <f t="shared" si="12"/>
        <v>3.3367073349280227</v>
      </c>
      <c r="AD33" s="1">
        <f t="shared" si="3"/>
        <v>8.3104754287265514</v>
      </c>
      <c r="AE33" s="1">
        <f t="shared" si="0"/>
        <v>0.20186696794963224</v>
      </c>
      <c r="AF33" s="1">
        <f t="shared" si="4"/>
        <v>0.22112018076977935</v>
      </c>
      <c r="AG33" s="1">
        <f t="shared" si="1"/>
        <v>-4.7909001285807884</v>
      </c>
      <c r="AH33" s="1">
        <f t="shared" si="2"/>
        <v>-9.3588112735953413</v>
      </c>
      <c r="AI33" s="1" t="b">
        <f t="shared" si="13"/>
        <v>0</v>
      </c>
      <c r="AJ33" s="1">
        <f t="shared" si="14"/>
        <v>1.2259927274426621</v>
      </c>
      <c r="AK33" s="1">
        <f t="shared" si="15"/>
        <v>1.7806766690936251</v>
      </c>
      <c r="AL33" s="1" t="e">
        <f t="shared" si="5"/>
        <v>#N/A</v>
      </c>
      <c r="AM33" s="1" t="e">
        <f t="shared" si="6"/>
        <v>#N/A</v>
      </c>
      <c r="AN33" s="1"/>
      <c r="AP33" s="1">
        <f t="shared" si="16"/>
        <v>0.28000000000000008</v>
      </c>
      <c r="AQ33" s="1">
        <f t="shared" si="7"/>
        <v>1.8261527480371165</v>
      </c>
    </row>
    <row r="34" spans="3:43" s="10" customFormat="1" ht="15" customHeight="1" x14ac:dyDescent="0.25">
      <c r="F34" s="29"/>
      <c r="G34" s="30"/>
      <c r="Y34" s="1">
        <f t="shared" si="8"/>
        <v>0.1627373044569824</v>
      </c>
      <c r="Z34" s="1">
        <f t="shared" ref="Z34:Z97" si="17">Z33+AB33*$V$4+0.5*AG33*$V$4^2</f>
        <v>1.2686285486342801</v>
      </c>
      <c r="AA34" s="1">
        <f t="shared" ref="AA34:AA97" si="18">AA33+AC33*$V$4+0.5*AH33*$V$4^2</f>
        <v>1.7992536836633557</v>
      </c>
      <c r="AB34" s="1">
        <f t="shared" ref="AB34:AB97" si="19">(Z34-Z33)/$V$4</f>
        <v>7.5977589691720651</v>
      </c>
      <c r="AC34" s="1">
        <f t="shared" ref="AC34:AC97" si="20">(AA34-AA33)/$V$4</f>
        <v>3.3104482363144658</v>
      </c>
      <c r="AD34" s="1">
        <f t="shared" ref="AD34:AD97" si="21">SQRT(AB34^2+AC34^2)</f>
        <v>8.2876419371828636</v>
      </c>
      <c r="AE34" s="1">
        <f t="shared" si="0"/>
        <v>0.20242313672967424</v>
      </c>
      <c r="AF34" s="1">
        <f t="shared" si="4"/>
        <v>0.22145388203780453</v>
      </c>
      <c r="AG34" s="1">
        <f t="shared" ref="AG34:AG97" si="22">-$V$11*AB34*AD34 - $V$12*AF34*AC34*AD34</f>
        <v>-4.7650056419462778</v>
      </c>
      <c r="AH34" s="1">
        <f t="shared" ref="AH34:AH97" si="23">$V$12*AF34*AD34*AB34 - $V$11*AC34*AD34 - 9.8</f>
        <v>-9.3473074364067248</v>
      </c>
      <c r="AI34" s="1" t="b">
        <f t="shared" ref="AI34:AI97" si="24">OR(AA33&lt;0, Z33&gt;$V$6)</f>
        <v>0</v>
      </c>
      <c r="AJ34" s="1">
        <f t="shared" si="14"/>
        <v>1.2686285486342801</v>
      </c>
      <c r="AK34" s="1">
        <f t="shared" si="15"/>
        <v>1.7992536836633557</v>
      </c>
      <c r="AL34" s="1" t="e">
        <f t="shared" si="5"/>
        <v>#N/A</v>
      </c>
      <c r="AM34" s="1" t="e">
        <f t="shared" si="6"/>
        <v>#N/A</v>
      </c>
      <c r="AN34" s="1"/>
      <c r="AP34" s="1">
        <f t="shared" si="16"/>
        <v>0.29000000000000009</v>
      </c>
      <c r="AQ34" s="1">
        <f t="shared" si="7"/>
        <v>1.8447480371163456</v>
      </c>
    </row>
    <row r="35" spans="3:43" s="10" customFormat="1" ht="15" customHeight="1" x14ac:dyDescent="0.25">
      <c r="C35" s="4" t="s">
        <v>34</v>
      </c>
      <c r="D35" s="16">
        <f>1.225*D33*(D32/IF($B$4, 1000, 39.37))/0.0000185</f>
        <v>96649.189189189172</v>
      </c>
      <c r="F35" s="31"/>
      <c r="G35" s="32"/>
      <c r="Y35" s="1">
        <f t="shared" si="8"/>
        <v>0.16834893564515421</v>
      </c>
      <c r="Z35" s="1">
        <f t="shared" si="17"/>
        <v>1.3111893438481239</v>
      </c>
      <c r="AA35" s="1">
        <f t="shared" si="18"/>
        <v>1.8176835229865769</v>
      </c>
      <c r="AB35" s="1">
        <f t="shared" si="19"/>
        <v>7.5843892420359795</v>
      </c>
      <c r="AC35" s="1">
        <f t="shared" si="20"/>
        <v>3.2842214153466802</v>
      </c>
      <c r="AD35" s="1">
        <f t="shared" si="21"/>
        <v>8.2649301557685799</v>
      </c>
      <c r="AE35" s="1">
        <f t="shared" si="0"/>
        <v>0.20297938946840904</v>
      </c>
      <c r="AF35" s="1">
        <f t="shared" si="4"/>
        <v>0.22178763368104543</v>
      </c>
      <c r="AG35" s="1">
        <f t="shared" si="22"/>
        <v>-4.7392748577044337</v>
      </c>
      <c r="AH35" s="1">
        <f t="shared" si="23"/>
        <v>-9.3358736182993667</v>
      </c>
      <c r="AI35" s="1" t="b">
        <f t="shared" si="24"/>
        <v>0</v>
      </c>
      <c r="AJ35" s="1">
        <f t="shared" si="14"/>
        <v>1.3111893438481239</v>
      </c>
      <c r="AK35" s="1">
        <f t="shared" si="15"/>
        <v>1.8176835229865769</v>
      </c>
      <c r="AL35" s="1" t="e">
        <f t="shared" si="5"/>
        <v>#N/A</v>
      </c>
      <c r="AM35" s="1" t="e">
        <f t="shared" si="6"/>
        <v>#N/A</v>
      </c>
      <c r="AN35" s="1"/>
      <c r="AP35" s="1">
        <f t="shared" si="16"/>
        <v>0.3000000000000001</v>
      </c>
      <c r="AQ35" s="1">
        <f t="shared" si="7"/>
        <v>1.8630835117773019</v>
      </c>
    </row>
    <row r="36" spans="3:43" s="10" customFormat="1" x14ac:dyDescent="0.25">
      <c r="Y36" s="1">
        <f t="shared" si="8"/>
        <v>0.17396056683332603</v>
      </c>
      <c r="Z36" s="1">
        <f t="shared" si="17"/>
        <v>1.3536755182205966</v>
      </c>
      <c r="AA36" s="1">
        <f t="shared" si="18"/>
        <v>1.8359663670910678</v>
      </c>
      <c r="AB36" s="1">
        <f t="shared" si="19"/>
        <v>7.5710917107355629</v>
      </c>
      <c r="AC36" s="1">
        <f t="shared" si="20"/>
        <v>3.2580266755640426</v>
      </c>
      <c r="AD36" s="1">
        <f t="shared" si="21"/>
        <v>8.2423399293559623</v>
      </c>
      <c r="AE36" s="1">
        <f t="shared" si="0"/>
        <v>0.20353570604895371</v>
      </c>
      <c r="AF36" s="1">
        <f t="shared" si="4"/>
        <v>0.22212142362937223</v>
      </c>
      <c r="AG36" s="1">
        <f t="shared" si="22"/>
        <v>-4.7137066319989875</v>
      </c>
      <c r="AH36" s="1">
        <f t="shared" si="23"/>
        <v>-9.3245092677509014</v>
      </c>
      <c r="AI36" s="1" t="b">
        <f t="shared" si="24"/>
        <v>0</v>
      </c>
      <c r="AJ36" s="1">
        <f t="shared" si="14"/>
        <v>1.3536755182205966</v>
      </c>
      <c r="AK36" s="1">
        <f t="shared" si="15"/>
        <v>1.8359663670910678</v>
      </c>
      <c r="AL36" s="1" t="e">
        <f t="shared" si="5"/>
        <v>#N/A</v>
      </c>
      <c r="AM36" s="1" t="e">
        <f t="shared" si="6"/>
        <v>#N/A</v>
      </c>
      <c r="AN36" s="1"/>
      <c r="AP36" s="1">
        <f t="shared" si="16"/>
        <v>0.31000000000000011</v>
      </c>
      <c r="AQ36" s="1">
        <f t="shared" si="7"/>
        <v>1.8811591720199858</v>
      </c>
    </row>
    <row r="37" spans="3:43" s="10" customFormat="1" x14ac:dyDescent="0.25">
      <c r="Y37" s="1">
        <f t="shared" si="8"/>
        <v>0.17957219802149785</v>
      </c>
      <c r="Z37" s="1">
        <f t="shared" si="17"/>
        <v>1.3960874743285843</v>
      </c>
      <c r="AA37" s="1">
        <f t="shared" si="18"/>
        <v>1.8541023949108266</v>
      </c>
      <c r="AB37" s="1">
        <f t="shared" si="19"/>
        <v>7.5578659191615376</v>
      </c>
      <c r="AC37" s="1">
        <f t="shared" si="20"/>
        <v>3.2318638220533789</v>
      </c>
      <c r="AD37" s="1">
        <f t="shared" si="21"/>
        <v>8.2198711070381716</v>
      </c>
      <c r="AE37" s="1">
        <f t="shared" ref="AE37:AE68" si="25">IFERROR($V$9*($D$13*2*PI())/AD37, 0)</f>
        <v>0.20409206606421287</v>
      </c>
      <c r="AF37" s="1">
        <f t="shared" si="4"/>
        <v>0.22245523963852773</v>
      </c>
      <c r="AG37" s="1">
        <f t="shared" si="22"/>
        <v>-4.6882998322938425</v>
      </c>
      <c r="AH37" s="1">
        <f t="shared" si="23"/>
        <v>-9.3132138354057545</v>
      </c>
      <c r="AI37" s="1" t="b">
        <f t="shared" si="24"/>
        <v>0</v>
      </c>
      <c r="AJ37" s="1">
        <f t="shared" si="14"/>
        <v>1.3960874743285843</v>
      </c>
      <c r="AK37" s="1">
        <f t="shared" si="15"/>
        <v>1.8541023949108266</v>
      </c>
      <c r="AL37" s="1" t="e">
        <f t="shared" si="5"/>
        <v>#N/A</v>
      </c>
      <c r="AM37" s="1" t="e">
        <f t="shared" si="6"/>
        <v>#N/A</v>
      </c>
      <c r="AN37" s="1"/>
      <c r="AP37" s="1">
        <f t="shared" si="16"/>
        <v>0.32000000000000012</v>
      </c>
      <c r="AQ37" s="1">
        <f t="shared" si="7"/>
        <v>1.8989750178443967</v>
      </c>
    </row>
    <row r="38" spans="3:43" s="10" customFormat="1" x14ac:dyDescent="0.25">
      <c r="Y38" s="1">
        <f t="shared" si="8"/>
        <v>0.18518382920966966</v>
      </c>
      <c r="Z38" s="1">
        <f t="shared" si="17"/>
        <v>1.438425612207288</v>
      </c>
      <c r="AA38" s="1">
        <f t="shared" si="18"/>
        <v>1.8720917842947209</v>
      </c>
      <c r="AB38" s="1">
        <f t="shared" si="19"/>
        <v>7.5447114143823457</v>
      </c>
      <c r="AC38" s="1">
        <f t="shared" si="20"/>
        <v>3.2057326614429518</v>
      </c>
      <c r="AD38" s="1">
        <f t="shared" si="21"/>
        <v>8.1975235420798498</v>
      </c>
      <c r="AE38" s="1">
        <f t="shared" si="25"/>
        <v>0.20464844881571528</v>
      </c>
      <c r="AF38" s="1">
        <f t="shared" si="4"/>
        <v>0.22278906928942915</v>
      </c>
      <c r="AG38" s="1">
        <f t="shared" si="22"/>
        <v>-4.6630533372353504</v>
      </c>
      <c r="AH38" s="1">
        <f t="shared" si="23"/>
        <v>-9.3019867740351465</v>
      </c>
      <c r="AI38" s="1" t="b">
        <f t="shared" si="24"/>
        <v>0</v>
      </c>
      <c r="AJ38" s="1">
        <f t="shared" si="14"/>
        <v>1.438425612207288</v>
      </c>
      <c r="AK38" s="1">
        <f t="shared" si="15"/>
        <v>1.8720917842947209</v>
      </c>
      <c r="AL38" s="1" t="e">
        <f t="shared" si="5"/>
        <v>#N/A</v>
      </c>
      <c r="AM38" s="1" t="e">
        <f t="shared" si="6"/>
        <v>#N/A</v>
      </c>
      <c r="AN38" s="1"/>
      <c r="AP38" s="1">
        <f t="shared" si="16"/>
        <v>0.33000000000000013</v>
      </c>
      <c r="AQ38" s="1">
        <f t="shared" si="7"/>
        <v>1.9165310492505354</v>
      </c>
    </row>
    <row r="39" spans="3:43" s="10" customFormat="1" x14ac:dyDescent="0.25">
      <c r="Y39" s="1">
        <f t="shared" si="8"/>
        <v>0.19079546039784148</v>
      </c>
      <c r="Z39" s="1">
        <f t="shared" si="17"/>
        <v>1.4806903293678799</v>
      </c>
      <c r="AA39" s="1">
        <f t="shared" si="18"/>
        <v>1.8899347120151029</v>
      </c>
      <c r="AB39" s="1">
        <f t="shared" si="19"/>
        <v>7.5316277466126866</v>
      </c>
      <c r="AC39" s="1">
        <f t="shared" si="20"/>
        <v>3.1796330018963661</v>
      </c>
      <c r="AD39" s="1">
        <f t="shared" si="21"/>
        <v>8.1752970918673409</v>
      </c>
      <c r="AE39" s="1">
        <f t="shared" si="25"/>
        <v>0.20520483331251779</v>
      </c>
      <c r="AF39" s="1">
        <f t="shared" si="4"/>
        <v>0.22312289998751067</v>
      </c>
      <c r="AG39" s="1">
        <f t="shared" si="22"/>
        <v>-4.637966036515941</v>
      </c>
      <c r="AH39" s="1">
        <f t="shared" si="23"/>
        <v>-9.2908275384975276</v>
      </c>
      <c r="AI39" s="1" t="b">
        <f t="shared" si="24"/>
        <v>0</v>
      </c>
      <c r="AJ39" s="1">
        <f t="shared" si="14"/>
        <v>1.4806903293678799</v>
      </c>
      <c r="AK39" s="1">
        <f t="shared" si="15"/>
        <v>1.8899347120151029</v>
      </c>
      <c r="AL39" s="1" t="e">
        <f t="shared" si="5"/>
        <v>#N/A</v>
      </c>
      <c r="AM39" s="1" t="e">
        <f t="shared" si="6"/>
        <v>#N/A</v>
      </c>
      <c r="AN39" s="1"/>
      <c r="AP39" s="1">
        <f t="shared" si="16"/>
        <v>0.34000000000000014</v>
      </c>
      <c r="AQ39" s="1">
        <f t="shared" si="7"/>
        <v>1.9338272662384015</v>
      </c>
    </row>
    <row r="40" spans="3:43" s="10" customFormat="1" x14ac:dyDescent="0.25">
      <c r="Y40" s="1">
        <f t="shared" si="8"/>
        <v>0.1964070915860133</v>
      </c>
      <c r="Z40" s="1">
        <f t="shared" si="17"/>
        <v>1.5228820208149847</v>
      </c>
      <c r="AA40" s="1">
        <f t="shared" si="18"/>
        <v>1.9076313537763936</v>
      </c>
      <c r="AB40" s="1">
        <f t="shared" si="19"/>
        <v>7.518614469182582</v>
      </c>
      <c r="AC40" s="1">
        <f t="shared" si="20"/>
        <v>3.1535646531068702</v>
      </c>
      <c r="AD40" s="1">
        <f t="shared" si="21"/>
        <v>8.1531916178590293</v>
      </c>
      <c r="AE40" s="1">
        <f t="shared" si="25"/>
        <v>0.20576119827016623</v>
      </c>
      <c r="AF40" s="1">
        <f t="shared" si="4"/>
        <v>0.22345671896209973</v>
      </c>
      <c r="AG40" s="1">
        <f t="shared" si="22"/>
        <v>-4.6130368307395759</v>
      </c>
      <c r="AH40" s="1">
        <f t="shared" si="23"/>
        <v>-9.2797355856996031</v>
      </c>
      <c r="AI40" s="1" t="b">
        <f t="shared" si="24"/>
        <v>0</v>
      </c>
      <c r="AJ40" s="1">
        <f t="shared" si="14"/>
        <v>1.5228820208149847</v>
      </c>
      <c r="AK40" s="1">
        <f t="shared" si="15"/>
        <v>1.9076313537763936</v>
      </c>
      <c r="AL40" s="1" t="e">
        <f t="shared" si="5"/>
        <v>#N/A</v>
      </c>
      <c r="AM40" s="1" t="e">
        <f t="shared" si="6"/>
        <v>#N/A</v>
      </c>
      <c r="AN40" s="1"/>
      <c r="AP40" s="1">
        <f t="shared" si="16"/>
        <v>0.35000000000000014</v>
      </c>
      <c r="AQ40" s="1">
        <f t="shared" si="7"/>
        <v>1.9508636688079943</v>
      </c>
    </row>
    <row r="41" spans="3:43" s="10" customFormat="1" x14ac:dyDescent="0.25">
      <c r="Y41" s="1">
        <f t="shared" si="8"/>
        <v>0.20201872277418512</v>
      </c>
      <c r="Z41" s="1">
        <f t="shared" si="17"/>
        <v>1.5650010790639903</v>
      </c>
      <c r="AA41" s="1">
        <f t="shared" si="18"/>
        <v>1.9251818842236337</v>
      </c>
      <c r="AB41" s="1">
        <f t="shared" si="19"/>
        <v>7.5056711385067825</v>
      </c>
      <c r="AC41" s="1">
        <f t="shared" si="20"/>
        <v>3.1275274262915023</v>
      </c>
      <c r="AD41" s="1">
        <f t="shared" si="21"/>
        <v>8.131206985535373</v>
      </c>
      <c r="AE41" s="1">
        <f t="shared" si="25"/>
        <v>0.20631752210972554</v>
      </c>
      <c r="AF41" s="1">
        <f t="shared" si="4"/>
        <v>0.22379051326583532</v>
      </c>
      <c r="AG41" s="1">
        <f t="shared" si="22"/>
        <v>-4.5882646312885775</v>
      </c>
      <c r="AH41" s="1">
        <f t="shared" si="23"/>
        <v>-9.2687103745577097</v>
      </c>
      <c r="AI41" s="1" t="b">
        <f t="shared" si="24"/>
        <v>0</v>
      </c>
      <c r="AJ41" s="1">
        <f t="shared" si="14"/>
        <v>1.5650010790639903</v>
      </c>
      <c r="AK41" s="1">
        <f t="shared" si="15"/>
        <v>1.9251818842236337</v>
      </c>
      <c r="AL41" s="1" t="e">
        <f t="shared" si="5"/>
        <v>#N/A</v>
      </c>
      <c r="AM41" s="1" t="e">
        <f t="shared" si="6"/>
        <v>#N/A</v>
      </c>
      <c r="AN41" s="1"/>
      <c r="AP41" s="1">
        <f t="shared" si="16"/>
        <v>0.36000000000000015</v>
      </c>
      <c r="AQ41" s="1">
        <f t="shared" si="7"/>
        <v>1.9676402569593148</v>
      </c>
    </row>
    <row r="42" spans="3:43" s="10" customFormat="1" x14ac:dyDescent="0.25">
      <c r="Y42" s="1">
        <f t="shared" si="8"/>
        <v>0.20763035396235693</v>
      </c>
      <c r="Z42" s="1">
        <f t="shared" si="17"/>
        <v>1.6070478941581885</v>
      </c>
      <c r="AA42" s="1">
        <f t="shared" si="18"/>
        <v>1.9425864769510031</v>
      </c>
      <c r="AB42" s="1">
        <f t="shared" si="19"/>
        <v>7.492797314054501</v>
      </c>
      <c r="AC42" s="1">
        <f t="shared" si="20"/>
        <v>3.101521134185508</v>
      </c>
      <c r="AD42" s="1">
        <f t="shared" si="21"/>
        <v>8.1093430643487832</v>
      </c>
      <c r="AE42" s="1">
        <f t="shared" si="25"/>
        <v>0.20687378295687739</v>
      </c>
      <c r="AF42" s="1">
        <f t="shared" si="4"/>
        <v>0.22412426977412642</v>
      </c>
      <c r="AG42" s="1">
        <f t="shared" si="22"/>
        <v>-4.5636483601919817</v>
      </c>
      <c r="AH42" s="1">
        <f t="shared" si="23"/>
        <v>-9.2577513659597912</v>
      </c>
      <c r="AI42" s="1" t="b">
        <f t="shared" si="24"/>
        <v>0</v>
      </c>
      <c r="AJ42" s="1">
        <f t="shared" si="14"/>
        <v>1.6070478941581885</v>
      </c>
      <c r="AK42" s="1">
        <f t="shared" si="15"/>
        <v>1.9425864769510031</v>
      </c>
      <c r="AL42" s="1" t="e">
        <f t="shared" si="5"/>
        <v>#N/A</v>
      </c>
      <c r="AM42" s="1" t="e">
        <f t="shared" si="6"/>
        <v>#N/A</v>
      </c>
      <c r="AN42" s="1"/>
      <c r="AP42" s="1">
        <f t="shared" si="16"/>
        <v>0.37000000000000016</v>
      </c>
      <c r="AQ42" s="1">
        <f t="shared" si="7"/>
        <v>1.9841570306923628</v>
      </c>
    </row>
    <row r="43" spans="3:43" s="10" customFormat="1" x14ac:dyDescent="0.25">
      <c r="Y43" s="1">
        <f t="shared" si="8"/>
        <v>0.21324198515052875</v>
      </c>
      <c r="Z43" s="1">
        <f t="shared" si="17"/>
        <v>1.6490228536857474</v>
      </c>
      <c r="AA43" s="1">
        <f t="shared" si="18"/>
        <v>1.959845304510309</v>
      </c>
      <c r="AB43" s="1">
        <f t="shared" si="19"/>
        <v>7.4799925583195375</v>
      </c>
      <c r="AC43" s="1">
        <f t="shared" si="20"/>
        <v>3.0755455910367244</v>
      </c>
      <c r="AD43" s="1">
        <f t="shared" si="21"/>
        <v>8.0875997276732914</v>
      </c>
      <c r="AE43" s="1">
        <f t="shared" si="25"/>
        <v>0.20742995864108846</v>
      </c>
      <c r="AF43" s="1">
        <f t="shared" si="4"/>
        <v>0.22445797518465307</v>
      </c>
      <c r="AG43" s="1">
        <f t="shared" si="22"/>
        <v>-4.5391869499953144</v>
      </c>
      <c r="AH43" s="1">
        <f t="shared" si="23"/>
        <v>-9.246858022727757</v>
      </c>
      <c r="AI43" s="1" t="b">
        <f t="shared" si="24"/>
        <v>0</v>
      </c>
      <c r="AJ43" s="1">
        <f t="shared" si="14"/>
        <v>1.6490228536857474</v>
      </c>
      <c r="AK43" s="1">
        <f t="shared" si="15"/>
        <v>1.959845304510309</v>
      </c>
      <c r="AL43" s="1" t="e">
        <f t="shared" si="5"/>
        <v>#N/A</v>
      </c>
      <c r="AM43" s="1" t="e">
        <f t="shared" si="6"/>
        <v>#N/A</v>
      </c>
      <c r="AN43" s="1"/>
      <c r="AP43" s="1">
        <f t="shared" si="16"/>
        <v>0.38000000000000017</v>
      </c>
      <c r="AQ43" s="1">
        <f t="shared" si="7"/>
        <v>2.000413990007138</v>
      </c>
    </row>
    <row r="44" spans="3:43" s="10" customFormat="1" ht="15" customHeight="1" x14ac:dyDescent="0.25">
      <c r="Y44" s="1">
        <f>Y43+$V$4</f>
        <v>0.21885361633870057</v>
      </c>
      <c r="Z44" s="1">
        <f>Z43+AB43*$V$4+0.5*AG43*$V$4^2</f>
        <v>1.6909263427965191</v>
      </c>
      <c r="AA44" s="1">
        <f>AA43+AC43*$V$4+0.5*AH43*$V$4^2</f>
        <v>1.9769585384194444</v>
      </c>
      <c r="AB44" s="1">
        <f>(Z44-Z43)/$V$4</f>
        <v>7.4672564367907599</v>
      </c>
      <c r="AC44" s="1">
        <f>(AA44-AA43)/$V$4</f>
        <v>3.0496006126002366</v>
      </c>
      <c r="AD44" s="1">
        <f t="shared" si="21"/>
        <v>8.0659768527540905</v>
      </c>
      <c r="AE44" s="1">
        <f t="shared" si="25"/>
        <v>0.20798602669484934</v>
      </c>
      <c r="AF44" s="1">
        <f t="shared" si="4"/>
        <v>0.22479161601690961</v>
      </c>
      <c r="AG44" s="1">
        <f t="shared" si="22"/>
        <v>-4.5148793436319039</v>
      </c>
      <c r="AH44" s="1">
        <f t="shared" si="23"/>
        <v>-9.2360298095804403</v>
      </c>
      <c r="AI44" s="1" t="b">
        <f>OR(AA43&lt;0, Z43&gt;$V$6)</f>
        <v>0</v>
      </c>
      <c r="AJ44" s="1">
        <f t="shared" si="14"/>
        <v>1.6909263427965191</v>
      </c>
      <c r="AK44" s="1">
        <f t="shared" si="15"/>
        <v>1.9769585384194444</v>
      </c>
      <c r="AL44" s="1" t="e">
        <f t="shared" si="5"/>
        <v>#N/A</v>
      </c>
      <c r="AM44" s="1" t="e">
        <f t="shared" si="6"/>
        <v>#N/A</v>
      </c>
      <c r="AN44" s="1"/>
      <c r="AP44" s="1">
        <f t="shared" si="16"/>
        <v>0.39000000000000018</v>
      </c>
      <c r="AQ44" s="1">
        <f t="shared" si="7"/>
        <v>2.0164111349036404</v>
      </c>
    </row>
    <row r="45" spans="3:43" s="10" customFormat="1" ht="15" customHeight="1" x14ac:dyDescent="0.25">
      <c r="Y45" s="1">
        <f t="shared" si="8"/>
        <v>0.22446524752687239</v>
      </c>
      <c r="Z45" s="1">
        <f t="shared" si="17"/>
        <v>1.7327587442186831</v>
      </c>
      <c r="AA45" s="1">
        <f t="shared" si="18"/>
        <v>1.9939263491708157</v>
      </c>
      <c r="AB45" s="1">
        <f t="shared" si="19"/>
        <v>7.4545885179229838</v>
      </c>
      <c r="AC45" s="1">
        <f t="shared" si="20"/>
        <v>3.0236860161330767</v>
      </c>
      <c r="AD45" s="1">
        <f t="shared" si="21"/>
        <v>8.0444743206568763</v>
      </c>
      <c r="AE45" s="1">
        <f t="shared" si="25"/>
        <v>0.20854196435298744</v>
      </c>
      <c r="AF45" s="1">
        <f t="shared" si="4"/>
        <v>0.22512517861179246</v>
      </c>
      <c r="AG45" s="1">
        <f t="shared" si="22"/>
        <v>-4.4907244942956135</v>
      </c>
      <c r="AH45" s="1">
        <f t="shared" si="23"/>
        <v>-9.2252661930969779</v>
      </c>
      <c r="AI45" s="1" t="b">
        <f t="shared" si="24"/>
        <v>0</v>
      </c>
      <c r="AJ45" s="1">
        <f t="shared" si="14"/>
        <v>1.7327587442186831</v>
      </c>
      <c r="AK45" s="1">
        <f t="shared" si="15"/>
        <v>1.9939263491708157</v>
      </c>
      <c r="AL45" s="1" t="e">
        <f t="shared" si="5"/>
        <v>#N/A</v>
      </c>
      <c r="AM45" s="1" t="e">
        <f t="shared" si="6"/>
        <v>#N/A</v>
      </c>
      <c r="AN45" s="1"/>
      <c r="AP45" s="1">
        <f t="shared" si="16"/>
        <v>0.40000000000000019</v>
      </c>
      <c r="AQ45" s="1">
        <f t="shared" si="7"/>
        <v>2.0321484653818702</v>
      </c>
    </row>
    <row r="46" spans="3:43" s="10" customFormat="1" ht="15" customHeight="1" x14ac:dyDescent="0.25">
      <c r="Y46" s="1">
        <f t="shared" si="8"/>
        <v>0.2300768787150442</v>
      </c>
      <c r="Z46" s="1">
        <f t="shared" si="17"/>
        <v>1.7745204382752289</v>
      </c>
      <c r="AA46" s="1">
        <f t="shared" si="18"/>
        <v>2.0107489062397419</v>
      </c>
      <c r="AB46" s="1">
        <f t="shared" si="19"/>
        <v>7.441988373108166</v>
      </c>
      <c r="AC46" s="1">
        <f t="shared" si="20"/>
        <v>2.9978016203888807</v>
      </c>
      <c r="AD46" s="1">
        <f t="shared" si="21"/>
        <v>8.0230920162168982</v>
      </c>
      <c r="AE46" s="1">
        <f t="shared" si="25"/>
        <v>0.20909774855205851</v>
      </c>
      <c r="AF46" s="1">
        <f t="shared" si="4"/>
        <v>0.22545864913123512</v>
      </c>
      <c r="AG46" s="1">
        <f t="shared" si="22"/>
        <v>-4.4667213653148723</v>
      </c>
      <c r="AH46" s="1">
        <f t="shared" si="23"/>
        <v>-9.21456664168063</v>
      </c>
      <c r="AI46" s="1" t="b">
        <f t="shared" si="24"/>
        <v>0</v>
      </c>
      <c r="AJ46" s="1">
        <f t="shared" si="14"/>
        <v>1.7745204382752289</v>
      </c>
      <c r="AK46" s="1">
        <f t="shared" si="15"/>
        <v>2.0107489062397419</v>
      </c>
      <c r="AL46" s="1" t="e">
        <f t="shared" si="5"/>
        <v>#N/A</v>
      </c>
      <c r="AM46" s="1" t="e">
        <f t="shared" si="6"/>
        <v>#N/A</v>
      </c>
      <c r="AN46" s="1"/>
      <c r="AP46" s="1">
        <f t="shared" si="16"/>
        <v>0.4100000000000002</v>
      </c>
      <c r="AQ46" s="1">
        <f t="shared" si="7"/>
        <v>2.0476259814418274</v>
      </c>
    </row>
    <row r="47" spans="3:43" s="10" customFormat="1" ht="15" customHeight="1" x14ac:dyDescent="0.25">
      <c r="Y47" s="1">
        <f t="shared" si="8"/>
        <v>0.23568850990321602</v>
      </c>
      <c r="Z47" s="1">
        <f t="shared" si="17"/>
        <v>1.8162118029002776</v>
      </c>
      <c r="AA47" s="1">
        <f t="shared" si="18"/>
        <v>2.0274263780928243</v>
      </c>
      <c r="AB47" s="1">
        <f t="shared" si="19"/>
        <v>7.4294555766469115</v>
      </c>
      <c r="AC47" s="1">
        <f t="shared" si="20"/>
        <v>2.9719472456128639</v>
      </c>
      <c r="AD47" s="1">
        <f t="shared" si="21"/>
        <v>8.0018298279878319</v>
      </c>
      <c r="AE47" s="1">
        <f t="shared" si="25"/>
        <v>0.20965335592981574</v>
      </c>
      <c r="AF47" s="1">
        <f t="shared" si="4"/>
        <v>0.22579201355788944</v>
      </c>
      <c r="AG47" s="1">
        <f t="shared" si="22"/>
        <v>-4.4428689300281574</v>
      </c>
      <c r="AH47" s="1">
        <f t="shared" si="23"/>
        <v>-9.2039306255231903</v>
      </c>
      <c r="AI47" s="1" t="b">
        <f t="shared" si="24"/>
        <v>0</v>
      </c>
      <c r="AJ47" s="1">
        <f t="shared" si="14"/>
        <v>1.8162118029002776</v>
      </c>
      <c r="AK47" s="1">
        <f t="shared" si="15"/>
        <v>2.0274263780928243</v>
      </c>
      <c r="AL47" s="1" t="e">
        <f t="shared" si="5"/>
        <v>#N/A</v>
      </c>
      <c r="AM47" s="1" t="e">
        <f t="shared" si="6"/>
        <v>#N/A</v>
      </c>
      <c r="AN47" s="1"/>
      <c r="AP47" s="1">
        <f t="shared" si="16"/>
        <v>0.42000000000000021</v>
      </c>
      <c r="AQ47" s="1">
        <f t="shared" si="7"/>
        <v>2.0628436830835124</v>
      </c>
    </row>
    <row r="48" spans="3:43" s="10" customFormat="1" x14ac:dyDescent="0.25">
      <c r="Y48" s="1">
        <f>Y47+$V$4</f>
        <v>0.24130014109138784</v>
      </c>
      <c r="Z48" s="1">
        <f>Z47+AB47*$V$4+0.5*AG47*$V$4^2</f>
        <v>1.8578332136552482</v>
      </c>
      <c r="AA48" s="1">
        <f>AA47+AC47*$V$4+0.5*AH47*$V$4^2</f>
        <v>2.0439589321962894</v>
      </c>
      <c r="AB48" s="1">
        <f>(Z48-Z47)/$V$4</f>
        <v>7.4169897057205434</v>
      </c>
      <c r="AC48" s="1">
        <f>(AA48-AA47)/$V$4</f>
        <v>2.9461227135369157</v>
      </c>
      <c r="AD48" s="1">
        <f t="shared" si="21"/>
        <v>7.9806876481906386</v>
      </c>
      <c r="AE48" s="1">
        <f t="shared" si="25"/>
        <v>0.21020876282475393</v>
      </c>
      <c r="AF48" s="1">
        <f t="shared" si="4"/>
        <v>0.22612525769485237</v>
      </c>
      <c r="AG48" s="1">
        <f t="shared" si="22"/>
        <v>-4.4191661716610353</v>
      </c>
      <c r="AH48" s="1">
        <f t="shared" si="23"/>
        <v>-9.1933576165698589</v>
      </c>
      <c r="AI48" s="1" t="b">
        <f>OR(AA47&lt;0, Z47&gt;$V$6)</f>
        <v>0</v>
      </c>
      <c r="AJ48" s="1">
        <f t="shared" si="14"/>
        <v>1.8578332136552482</v>
      </c>
      <c r="AK48" s="1">
        <f t="shared" si="15"/>
        <v>2.0439589321962894</v>
      </c>
      <c r="AL48" s="1" t="e">
        <f t="shared" si="5"/>
        <v>#N/A</v>
      </c>
      <c r="AM48" s="1" t="e">
        <f t="shared" si="6"/>
        <v>#N/A</v>
      </c>
      <c r="AN48" s="1"/>
      <c r="AP48" s="1">
        <f t="shared" si="16"/>
        <v>0.43000000000000022</v>
      </c>
      <c r="AQ48" s="1">
        <f t="shared" si="7"/>
        <v>2.0778015703069239</v>
      </c>
    </row>
    <row r="49" spans="25:43" s="10" customFormat="1" x14ac:dyDescent="0.25">
      <c r="Y49" s="1">
        <f t="shared" si="8"/>
        <v>0.24691177227955965</v>
      </c>
      <c r="Z49" s="1">
        <f t="shared" si="17"/>
        <v>1.8993850437448663</v>
      </c>
      <c r="AA49" s="1">
        <f t="shared" si="18"/>
        <v>2.0603467350243019</v>
      </c>
      <c r="AB49" s="1">
        <f t="shared" si="19"/>
        <v>7.4045903403632423</v>
      </c>
      <c r="AC49" s="1">
        <f t="shared" si="20"/>
        <v>2.9203278473743342</v>
      </c>
      <c r="AD49" s="1">
        <f t="shared" si="21"/>
        <v>7.9596653726617586</v>
      </c>
      <c r="AE49" s="1">
        <f t="shared" si="25"/>
        <v>0.21076394527574799</v>
      </c>
      <c r="AF49" s="1">
        <f t="shared" si="4"/>
        <v>0.22645836716544879</v>
      </c>
      <c r="AG49" s="1">
        <f t="shared" si="22"/>
        <v>-4.3956120832040737</v>
      </c>
      <c r="AH49" s="1">
        <f t="shared" si="23"/>
        <v>-9.1828470884844187</v>
      </c>
      <c r="AI49" s="1" t="b">
        <f t="shared" si="24"/>
        <v>0</v>
      </c>
      <c r="AJ49" s="1">
        <f t="shared" si="14"/>
        <v>1.8993850437448663</v>
      </c>
      <c r="AK49" s="1">
        <f t="shared" si="15"/>
        <v>2.0603467350243019</v>
      </c>
      <c r="AL49" s="1" t="e">
        <f t="shared" si="5"/>
        <v>#N/A</v>
      </c>
      <c r="AM49" s="1" t="e">
        <f t="shared" si="6"/>
        <v>#N/A</v>
      </c>
      <c r="AN49" s="1"/>
      <c r="AP49" s="1">
        <f t="shared" si="16"/>
        <v>0.44000000000000022</v>
      </c>
      <c r="AQ49" s="1">
        <f t="shared" si="7"/>
        <v>2.0924996431120628</v>
      </c>
    </row>
    <row r="50" spans="25:43" s="10" customFormat="1" x14ac:dyDescent="0.25">
      <c r="Y50" s="1">
        <f t="shared" si="8"/>
        <v>0.25252340346773144</v>
      </c>
      <c r="Z50" s="1">
        <f t="shared" si="17"/>
        <v>1.9408676640330194</v>
      </c>
      <c r="AA50" s="1">
        <f t="shared" si="18"/>
        <v>2.0765899520672528</v>
      </c>
      <c r="AB50" s="1">
        <f t="shared" si="19"/>
        <v>7.3922570634346298</v>
      </c>
      <c r="AC50" s="1">
        <f t="shared" si="20"/>
        <v>2.8945624718153975</v>
      </c>
      <c r="AD50" s="1">
        <f t="shared" si="21"/>
        <v>7.9387629008014367</v>
      </c>
      <c r="AE50" s="1">
        <f t="shared" si="25"/>
        <v>0.21131887902176677</v>
      </c>
      <c r="AF50" s="1">
        <f t="shared" si="4"/>
        <v>0.22679132741306007</v>
      </c>
      <c r="AG50" s="1">
        <f t="shared" si="22"/>
        <v>-4.372205667292504</v>
      </c>
      <c r="AH50" s="1">
        <f t="shared" si="23"/>
        <v>-9.172398516615262</v>
      </c>
      <c r="AI50" s="1" t="b">
        <f t="shared" si="24"/>
        <v>0</v>
      </c>
      <c r="AJ50" s="1">
        <f t="shared" si="14"/>
        <v>1.9408676640330194</v>
      </c>
      <c r="AK50" s="1">
        <f t="shared" si="15"/>
        <v>2.0765899520672528</v>
      </c>
      <c r="AL50" s="1" t="e">
        <f t="shared" si="5"/>
        <v>#N/A</v>
      </c>
      <c r="AM50" s="1" t="e">
        <f t="shared" si="6"/>
        <v>#N/A</v>
      </c>
      <c r="AN50" s="1"/>
      <c r="AP50" s="1">
        <f t="shared" si="16"/>
        <v>0.45000000000000023</v>
      </c>
      <c r="AQ50" s="1">
        <f t="shared" si="7"/>
        <v>2.1069379014989296</v>
      </c>
    </row>
    <row r="51" spans="25:43" s="10" customFormat="1" x14ac:dyDescent="0.25">
      <c r="Y51" s="1">
        <f t="shared" si="8"/>
        <v>0.25813503465590326</v>
      </c>
      <c r="Z51" s="1">
        <f t="shared" si="17"/>
        <v>1.982281443058461</v>
      </c>
      <c r="AA51" s="1">
        <f t="shared" si="18"/>
        <v>2.09268874784002</v>
      </c>
      <c r="AB51" s="1">
        <f t="shared" si="19"/>
        <v>7.3799894605927756</v>
      </c>
      <c r="AC51" s="1">
        <f t="shared" si="20"/>
        <v>2.8688264130223353</v>
      </c>
      <c r="AD51" s="1">
        <f t="shared" si="21"/>
        <v>7.9179801355216242</v>
      </c>
      <c r="AE51" s="1">
        <f t="shared" si="25"/>
        <v>0.21187353950167884</v>
      </c>
      <c r="AF51" s="1">
        <f t="shared" si="4"/>
        <v>0.22712412370100729</v>
      </c>
      <c r="AG51" s="1">
        <f t="shared" si="22"/>
        <v>-4.3489459360869365</v>
      </c>
      <c r="AH51" s="1">
        <f t="shared" si="23"/>
        <v>-9.1620113779615249</v>
      </c>
      <c r="AI51" s="1" t="b">
        <f t="shared" si="24"/>
        <v>0</v>
      </c>
      <c r="AJ51" s="1">
        <f t="shared" si="14"/>
        <v>1.982281443058461</v>
      </c>
      <c r="AK51" s="1">
        <f t="shared" si="15"/>
        <v>2.09268874784002</v>
      </c>
      <c r="AL51" s="1" t="e">
        <f t="shared" si="5"/>
        <v>#N/A</v>
      </c>
      <c r="AM51" s="1" t="e">
        <f t="shared" si="6"/>
        <v>#N/A</v>
      </c>
      <c r="AN51" s="1"/>
      <c r="AP51" s="1">
        <f t="shared" si="16"/>
        <v>0.46000000000000024</v>
      </c>
      <c r="AQ51" s="1">
        <f t="shared" si="7"/>
        <v>2.1211163454675237</v>
      </c>
    </row>
    <row r="52" spans="25:43" s="10" customFormat="1" x14ac:dyDescent="0.25">
      <c r="Y52" s="1">
        <f t="shared" si="8"/>
        <v>0.26374666584407508</v>
      </c>
      <c r="Z52" s="1">
        <f t="shared" si="17"/>
        <v>2.0236267470503644</v>
      </c>
      <c r="AA52" s="1">
        <f t="shared" si="18"/>
        <v>2.1086432858902024</v>
      </c>
      <c r="AB52" s="1">
        <f t="shared" si="19"/>
        <v>7.3677871202674581</v>
      </c>
      <c r="AC52" s="1">
        <f t="shared" si="20"/>
        <v>2.8431194986248216</v>
      </c>
      <c r="AD52" s="1">
        <f t="shared" si="21"/>
        <v>7.8973169831937033</v>
      </c>
      <c r="AE52" s="1">
        <f t="shared" si="25"/>
        <v>0.21242790185414559</v>
      </c>
      <c r="AF52" s="1">
        <f t="shared" si="4"/>
        <v>0.22745674111248734</v>
      </c>
      <c r="AG52" s="1">
        <f t="shared" si="22"/>
        <v>-4.3258319111554773</v>
      </c>
      <c r="AH52" s="1">
        <f t="shared" si="23"/>
        <v>-9.1516851511399526</v>
      </c>
      <c r="AI52" s="1" t="b">
        <f t="shared" si="24"/>
        <v>0</v>
      </c>
      <c r="AJ52" s="1">
        <f t="shared" si="14"/>
        <v>2.0236267470503644</v>
      </c>
      <c r="AK52" s="1">
        <f t="shared" si="15"/>
        <v>2.1086432858902024</v>
      </c>
      <c r="AL52" s="1" t="e">
        <f t="shared" si="5"/>
        <v>#N/A</v>
      </c>
      <c r="AM52" s="1" t="e">
        <f t="shared" si="6"/>
        <v>#N/A</v>
      </c>
      <c r="AN52" s="1"/>
      <c r="AP52" s="1">
        <f t="shared" si="16"/>
        <v>0.47000000000000025</v>
      </c>
      <c r="AQ52" s="1">
        <f t="shared" si="7"/>
        <v>2.1350349750178448</v>
      </c>
    </row>
    <row r="53" spans="25:43" s="10" customFormat="1" x14ac:dyDescent="0.25">
      <c r="Y53" s="1">
        <f t="shared" si="8"/>
        <v>0.2693582970322469</v>
      </c>
      <c r="Z53" s="1">
        <f t="shared" si="17"/>
        <v>2.0649039399437279</v>
      </c>
      <c r="AA53" s="1">
        <f t="shared" si="18"/>
        <v>2.1244537288063308</v>
      </c>
      <c r="AB53" s="1">
        <f t="shared" si="19"/>
        <v>7.3556496336337238</v>
      </c>
      <c r="AC53" s="1">
        <f t="shared" si="20"/>
        <v>2.8174415577156195</v>
      </c>
      <c r="AD53" s="1">
        <f t="shared" si="21"/>
        <v>7.8767733535959348</v>
      </c>
      <c r="AE53" s="1">
        <f t="shared" si="25"/>
        <v>0.2129819409176068</v>
      </c>
      <c r="AF53" s="1">
        <f t="shared" si="4"/>
        <v>0.22778916455056408</v>
      </c>
      <c r="AG53" s="1">
        <f t="shared" si="22"/>
        <v>-4.3028626233570808</v>
      </c>
      <c r="AH53" s="1">
        <f t="shared" si="23"/>
        <v>-9.1414193163522857</v>
      </c>
      <c r="AI53" s="1" t="b">
        <f t="shared" si="24"/>
        <v>0</v>
      </c>
      <c r="AJ53" s="1">
        <f t="shared" si="14"/>
        <v>2.0649039399437279</v>
      </c>
      <c r="AK53" s="1">
        <f t="shared" si="15"/>
        <v>2.1244537288063308</v>
      </c>
      <c r="AL53" s="1" t="e">
        <f t="shared" si="5"/>
        <v>#N/A</v>
      </c>
      <c r="AM53" s="1" t="e">
        <f t="shared" si="6"/>
        <v>#N/A</v>
      </c>
      <c r="AN53" s="1"/>
      <c r="AP53" s="1">
        <f t="shared" si="16"/>
        <v>0.48000000000000026</v>
      </c>
      <c r="AQ53" s="1">
        <f t="shared" si="7"/>
        <v>2.1486937901498928</v>
      </c>
    </row>
    <row r="54" spans="25:43" s="10" customFormat="1" x14ac:dyDescent="0.25">
      <c r="Y54" s="1">
        <f t="shared" si="8"/>
        <v>0.27496992822041871</v>
      </c>
      <c r="Z54" s="1">
        <f t="shared" si="17"/>
        <v>2.1061133833946348</v>
      </c>
      <c r="AA54" s="1">
        <f t="shared" si="18"/>
        <v>2.1401202382260505</v>
      </c>
      <c r="AB54" s="1">
        <f t="shared" si="19"/>
        <v>7.3435765945859375</v>
      </c>
      <c r="AC54" s="1">
        <f t="shared" si="20"/>
        <v>2.7917924208457543</v>
      </c>
      <c r="AD54" s="1">
        <f t="shared" si="21"/>
        <v>7.8563491598605895</v>
      </c>
      <c r="AE54" s="1">
        <f t="shared" si="25"/>
        <v>0.21353563123036123</v>
      </c>
      <c r="AF54" s="1">
        <f t="shared" si="4"/>
        <v>0.22812137873821675</v>
      </c>
      <c r="AG54" s="1">
        <f t="shared" si="22"/>
        <v>-4.2800371127260455</v>
      </c>
      <c r="AH54" s="1">
        <f t="shared" si="23"/>
        <v>-9.1312133553528234</v>
      </c>
      <c r="AI54" s="1" t="b">
        <f t="shared" si="24"/>
        <v>0</v>
      </c>
      <c r="AJ54" s="1">
        <f t="shared" si="14"/>
        <v>2.1061133833946348</v>
      </c>
      <c r="AK54" s="1">
        <f t="shared" si="15"/>
        <v>2.1401202382260505</v>
      </c>
      <c r="AL54" s="1" t="e">
        <f t="shared" si="5"/>
        <v>#N/A</v>
      </c>
      <c r="AM54" s="1" t="e">
        <f t="shared" si="6"/>
        <v>#N/A</v>
      </c>
      <c r="AN54" s="1"/>
      <c r="AP54" s="1">
        <f t="shared" si="16"/>
        <v>0.49000000000000027</v>
      </c>
      <c r="AQ54" s="1">
        <f t="shared" si="7"/>
        <v>2.1620927908636691</v>
      </c>
    </row>
    <row r="55" spans="25:43" s="10" customFormat="1" x14ac:dyDescent="0.25">
      <c r="Y55" s="1">
        <f t="shared" si="8"/>
        <v>0.28058155940859053</v>
      </c>
      <c r="Z55" s="1">
        <f t="shared" si="17"/>
        <v>2.1472554367953673</v>
      </c>
      <c r="AA55" s="1">
        <f t="shared" si="18"/>
        <v>2.155642974844282</v>
      </c>
      <c r="AB55" s="1">
        <f t="shared" si="19"/>
        <v>7.3315675997117795</v>
      </c>
      <c r="AC55" s="1">
        <f t="shared" si="20"/>
        <v>2.7661719200203998</v>
      </c>
      <c r="AD55" s="1">
        <f t="shared" si="21"/>
        <v>7.8360443184206714</v>
      </c>
      <c r="AE55" s="1">
        <f t="shared" si="25"/>
        <v>0.21408894703074699</v>
      </c>
      <c r="AF55" s="1">
        <f t="shared" si="4"/>
        <v>0.22845336821844819</v>
      </c>
      <c r="AG55" s="1">
        <f t="shared" si="22"/>
        <v>-4.2573544283576501</v>
      </c>
      <c r="AH55" s="1">
        <f t="shared" si="23"/>
        <v>-9.1210667514168744</v>
      </c>
      <c r="AI55" s="1" t="b">
        <f t="shared" si="24"/>
        <v>0</v>
      </c>
      <c r="AJ55" s="1">
        <f t="shared" si="14"/>
        <v>2.1472554367953673</v>
      </c>
      <c r="AK55" s="1">
        <f t="shared" si="15"/>
        <v>2.155642974844282</v>
      </c>
      <c r="AL55" s="1" t="e">
        <f t="shared" si="5"/>
        <v>#N/A</v>
      </c>
      <c r="AM55" s="1" t="e">
        <f t="shared" si="6"/>
        <v>#N/A</v>
      </c>
      <c r="AN55" s="1"/>
      <c r="AP55" s="1">
        <f t="shared" si="16"/>
        <v>0.50000000000000022</v>
      </c>
      <c r="AQ55" s="1">
        <f t="shared" si="7"/>
        <v>2.1752319771591724</v>
      </c>
    </row>
    <row r="56" spans="25:43" s="10" customFormat="1" x14ac:dyDescent="0.25">
      <c r="Y56" s="1">
        <f t="shared" si="8"/>
        <v>0.28619319059676235</v>
      </c>
      <c r="Z56" s="1">
        <f t="shared" si="17"/>
        <v>2.1883304572893794</v>
      </c>
      <c r="AA56" s="1">
        <f t="shared" si="18"/>
        <v>2.1710220984213571</v>
      </c>
      <c r="AB56" s="1">
        <f t="shared" si="19"/>
        <v>7.319622248267124</v>
      </c>
      <c r="AC56" s="1">
        <f t="shared" si="20"/>
        <v>2.7405798886946036</v>
      </c>
      <c r="AD56" s="1">
        <f t="shared" si="21"/>
        <v>7.8158587489567894</v>
      </c>
      <c r="AE56" s="1">
        <f t="shared" si="25"/>
        <v>0.21464186225740911</v>
      </c>
      <c r="AF56" s="1">
        <f t="shared" si="4"/>
        <v>0.22878511735444546</v>
      </c>
      <c r="AG56" s="1">
        <f t="shared" si="22"/>
        <v>-4.2348136282953908</v>
      </c>
      <c r="AH56" s="1">
        <f t="shared" si="23"/>
        <v>-9.1109789893094515</v>
      </c>
      <c r="AI56" s="1" t="b">
        <f t="shared" si="24"/>
        <v>0</v>
      </c>
      <c r="AJ56" s="1">
        <f t="shared" si="14"/>
        <v>2.1883304572893794</v>
      </c>
      <c r="AK56" s="1">
        <f t="shared" si="15"/>
        <v>2.1710220984213571</v>
      </c>
      <c r="AL56" s="1" t="e">
        <f t="shared" si="5"/>
        <v>#N/A</v>
      </c>
      <c r="AM56" s="1" t="e">
        <f t="shared" si="6"/>
        <v>#N/A</v>
      </c>
      <c r="AN56" s="1"/>
      <c r="AP56" s="1">
        <f t="shared" si="16"/>
        <v>0.51000000000000023</v>
      </c>
      <c r="AQ56" s="1">
        <f t="shared" si="7"/>
        <v>2.188111349036403</v>
      </c>
    </row>
    <row r="57" spans="25:43" s="10" customFormat="1" x14ac:dyDescent="0.25">
      <c r="Y57" s="1">
        <f t="shared" si="8"/>
        <v>0.29180482178493417</v>
      </c>
      <c r="Z57" s="1">
        <f t="shared" si="17"/>
        <v>2.2293387997861278</v>
      </c>
      <c r="AA57" s="1">
        <f t="shared" si="18"/>
        <v>2.1862577677911306</v>
      </c>
      <c r="AB57" s="1">
        <f t="shared" si="19"/>
        <v>7.3077401421507941</v>
      </c>
      <c r="AC57" s="1">
        <f t="shared" si="20"/>
        <v>2.7150161617690127</v>
      </c>
      <c r="AD57" s="1">
        <f t="shared" si="21"/>
        <v>7.7957923743432938</v>
      </c>
      <c r="AE57" s="1">
        <f t="shared" si="25"/>
        <v>0.2151943505496795</v>
      </c>
      <c r="AF57" s="1">
        <f t="shared" si="4"/>
        <v>0.22911661032980771</v>
      </c>
      <c r="AG57" s="1">
        <f t="shared" si="22"/>
        <v>-4.2124137794189558</v>
      </c>
      <c r="AH57" s="1">
        <f t="shared" si="23"/>
        <v>-9.1009495552545125</v>
      </c>
      <c r="AI57" s="1" t="b">
        <f t="shared" si="24"/>
        <v>0</v>
      </c>
      <c r="AJ57" s="1">
        <f t="shared" si="14"/>
        <v>2.2293387997861278</v>
      </c>
      <c r="AK57" s="1">
        <f t="shared" si="15"/>
        <v>2.1862577677911306</v>
      </c>
      <c r="AL57" s="1" t="e">
        <f t="shared" si="5"/>
        <v>#N/A</v>
      </c>
      <c r="AM57" s="1" t="e">
        <f t="shared" si="6"/>
        <v>#N/A</v>
      </c>
      <c r="AN57" s="1"/>
      <c r="AP57" s="1">
        <f t="shared" si="16"/>
        <v>0.52000000000000024</v>
      </c>
      <c r="AQ57" s="1">
        <f t="shared" si="7"/>
        <v>2.2007309064953606</v>
      </c>
    </row>
    <row r="58" spans="25:43" s="10" customFormat="1" x14ac:dyDescent="0.25">
      <c r="Y58" s="1">
        <f t="shared" si="8"/>
        <v>0.29741645297310598</v>
      </c>
      <c r="Z58" s="1">
        <f t="shared" si="17"/>
        <v>2.2702808169757649</v>
      </c>
      <c r="AA58" s="1">
        <f t="shared" si="18"/>
        <v>2.2013501408690708</v>
      </c>
      <c r="AB58" s="1">
        <f t="shared" si="19"/>
        <v>7.2959208858797888</v>
      </c>
      <c r="AC58" s="1">
        <f t="shared" si="20"/>
        <v>2.6894805755859195</v>
      </c>
      <c r="AD58" s="1">
        <f t="shared" si="21"/>
        <v>7.7758451205943455</v>
      </c>
      <c r="AE58" s="1">
        <f t="shared" si="25"/>
        <v>0.21574638524805406</v>
      </c>
      <c r="AF58" s="1">
        <f t="shared" si="4"/>
        <v>0.22944783114883244</v>
      </c>
      <c r="AG58" s="1">
        <f t="shared" si="22"/>
        <v>-4.190153957333596</v>
      </c>
      <c r="AH58" s="1">
        <f t="shared" si="23"/>
        <v>-9.0909779369047907</v>
      </c>
      <c r="AI58" s="1" t="b">
        <f t="shared" si="24"/>
        <v>0</v>
      </c>
      <c r="AJ58" s="1">
        <f t="shared" si="14"/>
        <v>2.2702808169757649</v>
      </c>
      <c r="AK58" s="1">
        <f t="shared" si="15"/>
        <v>2.2013501408690708</v>
      </c>
      <c r="AL58" s="1" t="e">
        <f t="shared" si="5"/>
        <v>#N/A</v>
      </c>
      <c r="AM58" s="1" t="e">
        <f t="shared" si="6"/>
        <v>#N/A</v>
      </c>
      <c r="AN58" s="1"/>
      <c r="AP58" s="1">
        <f t="shared" si="16"/>
        <v>0.53000000000000025</v>
      </c>
      <c r="AQ58" s="1">
        <f t="shared" si="7"/>
        <v>2.2130906495360461</v>
      </c>
    </row>
    <row r="59" spans="25:43" s="10" customFormat="1" x14ac:dyDescent="0.25">
      <c r="Y59" s="1">
        <f t="shared" si="8"/>
        <v>0.3030280841612778</v>
      </c>
      <c r="Z59" s="1">
        <f t="shared" si="17"/>
        <v>2.3111568593436922</v>
      </c>
      <c r="AA59" s="1">
        <f t="shared" si="18"/>
        <v>2.2162993746603257</v>
      </c>
      <c r="AB59" s="1">
        <f t="shared" si="19"/>
        <v>7.2841640865646733</v>
      </c>
      <c r="AC59" s="1">
        <f t="shared" si="20"/>
        <v>2.6639729679250652</v>
      </c>
      <c r="AD59" s="1">
        <f t="shared" si="21"/>
        <v>7.7560169168094291</v>
      </c>
      <c r="AE59" s="1">
        <f t="shared" si="25"/>
        <v>0.2162979393947819</v>
      </c>
      <c r="AF59" s="1">
        <f t="shared" si="4"/>
        <v>0.22977876363686914</v>
      </c>
      <c r="AG59" s="1">
        <f t="shared" si="22"/>
        <v>-4.1680332462603706</v>
      </c>
      <c r="AH59" s="1">
        <f t="shared" si="23"/>
        <v>-9.0810636233119784</v>
      </c>
      <c r="AI59" s="1" t="b">
        <f t="shared" si="24"/>
        <v>0</v>
      </c>
      <c r="AJ59" s="1">
        <f t="shared" si="14"/>
        <v>2.3111568593436922</v>
      </c>
      <c r="AK59" s="1">
        <f t="shared" si="15"/>
        <v>2.2162993746603257</v>
      </c>
      <c r="AL59" s="1" t="e">
        <f t="shared" si="5"/>
        <v>#N/A</v>
      </c>
      <c r="AM59" s="1" t="e">
        <f t="shared" si="6"/>
        <v>#N/A</v>
      </c>
      <c r="AN59" s="1"/>
      <c r="AP59" s="1">
        <f t="shared" si="16"/>
        <v>0.54000000000000026</v>
      </c>
      <c r="AQ59" s="1">
        <f t="shared" si="7"/>
        <v>2.2251905781584589</v>
      </c>
    </row>
    <row r="60" spans="25:43" s="10" customFormat="1" x14ac:dyDescent="0.25">
      <c r="Y60" s="1">
        <f t="shared" si="8"/>
        <v>0.30863971534944962</v>
      </c>
      <c r="Z60" s="1">
        <f t="shared" si="17"/>
        <v>2.3519672751849807</v>
      </c>
      <c r="AA60" s="1">
        <f t="shared" si="18"/>
        <v>2.2311056252677686</v>
      </c>
      <c r="AB60" s="1">
        <f t="shared" si="19"/>
        <v>7.2724693538856791</v>
      </c>
      <c r="AC60" s="1">
        <f t="shared" si="20"/>
        <v>2.6384931779999206</v>
      </c>
      <c r="AD60" s="1">
        <f t="shared" si="21"/>
        <v>7.7363076951190681</v>
      </c>
      <c r="AE60" s="1">
        <f t="shared" si="25"/>
        <v>0.21684898573454806</v>
      </c>
      <c r="AF60" s="1">
        <f t="shared" si="4"/>
        <v>0.23010939144072884</v>
      </c>
      <c r="AG60" s="1">
        <f t="shared" si="22"/>
        <v>-4.1460507389280501</v>
      </c>
      <c r="AH60" s="1">
        <f t="shared" si="23"/>
        <v>-9.071206104897529</v>
      </c>
      <c r="AI60" s="1" t="b">
        <f t="shared" si="24"/>
        <v>0</v>
      </c>
      <c r="AJ60" s="1">
        <f t="shared" si="14"/>
        <v>2.3519672751849807</v>
      </c>
      <c r="AK60" s="1">
        <f t="shared" si="15"/>
        <v>2.2311056252677686</v>
      </c>
      <c r="AL60" s="1" t="e">
        <f t="shared" si="5"/>
        <v>#N/A</v>
      </c>
      <c r="AM60" s="1" t="e">
        <f t="shared" si="6"/>
        <v>#N/A</v>
      </c>
      <c r="AN60" s="1"/>
      <c r="AP60" s="1">
        <f t="shared" si="16"/>
        <v>0.55000000000000027</v>
      </c>
      <c r="AQ60" s="1">
        <f t="shared" si="7"/>
        <v>2.2370306923625987</v>
      </c>
    </row>
    <row r="61" spans="25:43" s="10" customFormat="1" x14ac:dyDescent="0.25">
      <c r="Y61" s="1">
        <f t="shared" si="8"/>
        <v>0.31425134653762143</v>
      </c>
      <c r="Z61" s="1">
        <f t="shared" si="17"/>
        <v>2.392712410618655</v>
      </c>
      <c r="AA61" s="1">
        <f t="shared" si="18"/>
        <v>2.245769047900021</v>
      </c>
      <c r="AB61" s="1">
        <f t="shared" si="19"/>
        <v>7.2608363000684895</v>
      </c>
      <c r="AC61" s="1">
        <f t="shared" si="20"/>
        <v>2.6130410464536515</v>
      </c>
      <c r="AD61" s="1">
        <f t="shared" si="21"/>
        <v>7.7167173906295066</v>
      </c>
      <c r="AE61" s="1">
        <f t="shared" si="25"/>
        <v>0.21739949671528591</v>
      </c>
      <c r="AF61" s="1">
        <f t="shared" si="4"/>
        <v>0.23043969802917155</v>
      </c>
      <c r="AG61" s="1">
        <f t="shared" si="22"/>
        <v>-4.1242055364653849</v>
      </c>
      <c r="AH61" s="1">
        <f t="shared" si="23"/>
        <v>-9.0614048734238999</v>
      </c>
      <c r="AI61" s="1" t="b">
        <f t="shared" si="24"/>
        <v>0</v>
      </c>
      <c r="AJ61" s="1">
        <f t="shared" si="14"/>
        <v>2.392712410618655</v>
      </c>
      <c r="AK61" s="1">
        <f t="shared" si="15"/>
        <v>2.245769047900021</v>
      </c>
      <c r="AL61" s="1" t="e">
        <f t="shared" si="5"/>
        <v>#N/A</v>
      </c>
      <c r="AM61" s="1" t="e">
        <f t="shared" si="6"/>
        <v>#N/A</v>
      </c>
      <c r="AN61" s="1"/>
      <c r="AP61" s="1">
        <f t="shared" si="16"/>
        <v>0.56000000000000028</v>
      </c>
      <c r="AQ61" s="1">
        <f t="shared" si="7"/>
        <v>2.2486109921484654</v>
      </c>
    </row>
    <row r="62" spans="25:43" s="10" customFormat="1" x14ac:dyDescent="0.25">
      <c r="Y62" s="1">
        <f t="shared" si="8"/>
        <v>0.31986297772579325</v>
      </c>
      <c r="Z62" s="1">
        <f t="shared" si="17"/>
        <v>2.4333926096018472</v>
      </c>
      <c r="AA62" s="1">
        <f t="shared" si="18"/>
        <v>2.2602897968794551</v>
      </c>
      <c r="AB62" s="1">
        <f t="shared" si="19"/>
        <v>7.2492645398610502</v>
      </c>
      <c r="AC62" s="1">
        <f t="shared" si="20"/>
        <v>2.5876164153554764</v>
      </c>
      <c r="AD62" s="1">
        <f t="shared" si="21"/>
        <v>7.6972459413678589</v>
      </c>
      <c r="AE62" s="1">
        <f t="shared" si="25"/>
        <v>0.21794944448907982</v>
      </c>
      <c r="AF62" s="1">
        <f t="shared" si="4"/>
        <v>0.23076966669344789</v>
      </c>
      <c r="AG62" s="1">
        <f t="shared" si="22"/>
        <v>-4.1024967482952706</v>
      </c>
      <c r="AH62" s="1">
        <f t="shared" si="23"/>
        <v>-9.0516594219662903</v>
      </c>
      <c r="AI62" s="1" t="b">
        <f t="shared" si="24"/>
        <v>0</v>
      </c>
      <c r="AJ62" s="1">
        <f t="shared" si="14"/>
        <v>2.4333926096018472</v>
      </c>
      <c r="AK62" s="1">
        <f t="shared" si="15"/>
        <v>2.2602897968794551</v>
      </c>
      <c r="AL62" s="1" t="e">
        <f t="shared" si="5"/>
        <v>#N/A</v>
      </c>
      <c r="AM62" s="1" t="e">
        <f t="shared" si="6"/>
        <v>#N/A</v>
      </c>
      <c r="AN62" s="1"/>
      <c r="AP62" s="1">
        <f t="shared" si="16"/>
        <v>0.57000000000000028</v>
      </c>
      <c r="AQ62" s="1">
        <f t="shared" si="7"/>
        <v>2.2599314775160604</v>
      </c>
    </row>
    <row r="63" spans="25:43" s="10" customFormat="1" x14ac:dyDescent="0.25">
      <c r="Y63" s="1">
        <f t="shared" si="8"/>
        <v>0.32547460891396507</v>
      </c>
      <c r="Z63" s="1">
        <f t="shared" si="17"/>
        <v>2.4740082139438186</v>
      </c>
      <c r="AA63" s="1">
        <f t="shared" si="18"/>
        <v>2.2746680256501755</v>
      </c>
      <c r="AB63" s="1">
        <f t="shared" si="19"/>
        <v>7.2377536905099875</v>
      </c>
      <c r="AC63" s="1">
        <f t="shared" si="20"/>
        <v>2.5622191281969489</v>
      </c>
      <c r="AD63" s="1">
        <f t="shared" si="21"/>
        <v>7.6778932882262225</v>
      </c>
      <c r="AE63" s="1">
        <f t="shared" si="25"/>
        <v>0.21849880091320173</v>
      </c>
      <c r="AF63" s="1">
        <f t="shared" si="4"/>
        <v>0.23109928054792103</v>
      </c>
      <c r="AG63" s="1">
        <f t="shared" si="22"/>
        <v>-4.0809234920292763</v>
      </c>
      <c r="AH63" s="1">
        <f t="shared" si="23"/>
        <v>-9.0419692448849585</v>
      </c>
      <c r="AI63" s="1" t="b">
        <f t="shared" si="24"/>
        <v>0</v>
      </c>
      <c r="AJ63" s="1">
        <f t="shared" si="14"/>
        <v>2.4740082139438186</v>
      </c>
      <c r="AK63" s="1">
        <f t="shared" si="15"/>
        <v>2.2746680256501755</v>
      </c>
      <c r="AL63" s="1" t="e">
        <f t="shared" si="5"/>
        <v>#N/A</v>
      </c>
      <c r="AM63" s="1" t="e">
        <f t="shared" si="6"/>
        <v>#N/A</v>
      </c>
      <c r="AN63" s="1"/>
      <c r="AP63" s="1">
        <f t="shared" si="16"/>
        <v>0.58000000000000029</v>
      </c>
      <c r="AQ63" s="1">
        <f t="shared" si="7"/>
        <v>2.2709921484653823</v>
      </c>
    </row>
    <row r="64" spans="25:43" s="10" customFormat="1" x14ac:dyDescent="0.25">
      <c r="Y64" s="1">
        <f t="shared" si="8"/>
        <v>0.33108624010213689</v>
      </c>
      <c r="Z64" s="1">
        <f t="shared" si="17"/>
        <v>2.5145595633198536</v>
      </c>
      <c r="AA64" s="1">
        <f t="shared" si="18"/>
        <v>2.2889038867859806</v>
      </c>
      <c r="AB64" s="1">
        <f t="shared" si="19"/>
        <v>7.2263033717378162</v>
      </c>
      <c r="AC64" s="1">
        <f t="shared" si="20"/>
        <v>2.5368490298883954</v>
      </c>
      <c r="AD64" s="1">
        <f t="shared" si="21"/>
        <v>7.658659374905965</v>
      </c>
      <c r="AE64" s="1">
        <f t="shared" si="25"/>
        <v>0.21904753755125025</v>
      </c>
      <c r="AF64" s="1">
        <f t="shared" si="4"/>
        <v>0.23142852253075016</v>
      </c>
      <c r="AG64" s="1">
        <f t="shared" si="22"/>
        <v>-4.0594848933637273</v>
      </c>
      <c r="AH64" s="1">
        <f t="shared" si="23"/>
        <v>-9.0323338377979798</v>
      </c>
      <c r="AI64" s="1" t="b">
        <f t="shared" si="24"/>
        <v>0</v>
      </c>
      <c r="AJ64" s="1">
        <f t="shared" si="14"/>
        <v>2.5145595633198536</v>
      </c>
      <c r="AK64" s="1">
        <f t="shared" si="15"/>
        <v>2.2889038867859806</v>
      </c>
      <c r="AL64" s="1" t="e">
        <f t="shared" si="5"/>
        <v>#N/A</v>
      </c>
      <c r="AM64" s="1" t="e">
        <f t="shared" si="6"/>
        <v>#N/A</v>
      </c>
      <c r="AN64" s="1"/>
      <c r="AP64" s="1">
        <f t="shared" si="16"/>
        <v>0.5900000000000003</v>
      </c>
      <c r="AQ64" s="1">
        <f t="shared" si="7"/>
        <v>2.2817930049964312</v>
      </c>
    </row>
    <row r="65" spans="25:43" s="10" customFormat="1" x14ac:dyDescent="0.25">
      <c r="Y65" s="1">
        <f t="shared" si="8"/>
        <v>0.3366978712903087</v>
      </c>
      <c r="Z65" s="1">
        <f t="shared" si="17"/>
        <v>2.555046995285025</v>
      </c>
      <c r="AA65" s="1">
        <f t="shared" si="18"/>
        <v>2.302997531998304</v>
      </c>
      <c r="AB65" s="1">
        <f t="shared" si="19"/>
        <v>7.2149132057200687</v>
      </c>
      <c r="AC65" s="1">
        <f t="shared" si="20"/>
        <v>2.511505966755275</v>
      </c>
      <c r="AD65" s="1">
        <f t="shared" si="21"/>
        <v>7.6395441478612574</v>
      </c>
      <c r="AE65" s="1">
        <f t="shared" si="25"/>
        <v>0.21959562567442034</v>
      </c>
      <c r="AF65" s="1">
        <f t="shared" si="4"/>
        <v>0.23175737540465222</v>
      </c>
      <c r="AG65" s="1">
        <f t="shared" si="22"/>
        <v>-4.0381800859764185</v>
      </c>
      <c r="AH65" s="1">
        <f t="shared" si="23"/>
        <v>-9.0227526975545267</v>
      </c>
      <c r="AI65" s="1" t="b">
        <f t="shared" si="24"/>
        <v>0</v>
      </c>
      <c r="AJ65" s="1">
        <f t="shared" si="14"/>
        <v>2.555046995285025</v>
      </c>
      <c r="AK65" s="1">
        <f t="shared" si="15"/>
        <v>2.302997531998304</v>
      </c>
      <c r="AL65" s="1" t="e">
        <f t="shared" si="5"/>
        <v>#N/A</v>
      </c>
      <c r="AM65" s="1" t="e">
        <f t="shared" si="6"/>
        <v>#N/A</v>
      </c>
      <c r="AN65" s="1"/>
      <c r="AP65" s="1">
        <f t="shared" si="16"/>
        <v>0.60000000000000031</v>
      </c>
      <c r="AQ65" s="1">
        <f t="shared" si="7"/>
        <v>2.292334047109208</v>
      </c>
    </row>
    <row r="66" spans="25:43" s="10" customFormat="1" x14ac:dyDescent="0.25">
      <c r="Y66" s="1">
        <f t="shared" si="8"/>
        <v>0.34230950247848052</v>
      </c>
      <c r="Z66" s="1">
        <f t="shared" si="17"/>
        <v>2.595470845287835</v>
      </c>
      <c r="AA66" s="1">
        <f t="shared" si="18"/>
        <v>2.3169491121441377</v>
      </c>
      <c r="AB66" s="1">
        <f t="shared" si="19"/>
        <v>7.2035828170631389</v>
      </c>
      <c r="AC66" s="1">
        <f t="shared" si="20"/>
        <v>2.4861897865349349</v>
      </c>
      <c r="AD66" s="1">
        <f t="shared" si="21"/>
        <v>7.620547556242788</v>
      </c>
      <c r="AE66" s="1">
        <f t="shared" si="25"/>
        <v>0.22014303626287887</v>
      </c>
      <c r="AF66" s="1">
        <f t="shared" si="4"/>
        <v>0.23208582175772732</v>
      </c>
      <c r="AG66" s="1">
        <f t="shared" si="22"/>
        <v>-4.0170082114248835</v>
      </c>
      <c r="AH66" s="1">
        <f t="shared" si="23"/>
        <v>-9.0132253222087151</v>
      </c>
      <c r="AI66" s="1" t="b">
        <f t="shared" si="24"/>
        <v>0</v>
      </c>
      <c r="AJ66" s="1">
        <f t="shared" si="14"/>
        <v>2.595470845287835</v>
      </c>
      <c r="AK66" s="1">
        <f t="shared" si="15"/>
        <v>2.3169491121441377</v>
      </c>
      <c r="AL66" s="1" t="e">
        <f t="shared" si="5"/>
        <v>#N/A</v>
      </c>
      <c r="AM66" s="1" t="e">
        <f t="shared" si="6"/>
        <v>#N/A</v>
      </c>
      <c r="AN66" s="1"/>
      <c r="AP66" s="1">
        <f t="shared" si="16"/>
        <v>0.61000000000000032</v>
      </c>
      <c r="AQ66" s="1">
        <f t="shared" si="7"/>
        <v>2.3026152748037121</v>
      </c>
    </row>
    <row r="67" spans="25:43" s="10" customFormat="1" x14ac:dyDescent="0.25">
      <c r="Y67" s="1">
        <f t="shared" si="8"/>
        <v>0.34792113366665234</v>
      </c>
      <c r="Z67" s="1">
        <f t="shared" si="17"/>
        <v>2.6358314466837314</v>
      </c>
      <c r="AA67" s="1">
        <f t="shared" si="18"/>
        <v>2.3307587772339335</v>
      </c>
      <c r="AB67" s="1">
        <f t="shared" si="19"/>
        <v>7.1923118327819617</v>
      </c>
      <c r="AC67" s="1">
        <f t="shared" si="20"/>
        <v>2.4609003383728916</v>
      </c>
      <c r="AD67" s="1">
        <f t="shared" si="21"/>
        <v>7.6016695518405184</v>
      </c>
      <c r="AE67" s="1">
        <f t="shared" si="25"/>
        <v>0.22068974000728112</v>
      </c>
      <c r="AF67" s="1">
        <f t="shared" si="4"/>
        <v>0.23241384400436868</v>
      </c>
      <c r="AG67" s="1">
        <f t="shared" si="22"/>
        <v>-3.9959684190450355</v>
      </c>
      <c r="AH67" s="1">
        <f t="shared" si="23"/>
        <v>-9.0037512109937907</v>
      </c>
      <c r="AI67" s="1" t="b">
        <f t="shared" si="24"/>
        <v>0</v>
      </c>
      <c r="AJ67" s="1">
        <f t="shared" si="14"/>
        <v>2.6358314466837314</v>
      </c>
      <c r="AK67" s="1">
        <f t="shared" si="15"/>
        <v>2.3307587772339335</v>
      </c>
      <c r="AL67" s="1" t="e">
        <f t="shared" si="5"/>
        <v>#N/A</v>
      </c>
      <c r="AM67" s="1" t="e">
        <f t="shared" si="6"/>
        <v>#N/A</v>
      </c>
      <c r="AN67" s="1"/>
      <c r="AP67" s="1">
        <f t="shared" si="16"/>
        <v>0.62000000000000033</v>
      </c>
      <c r="AQ67" s="1">
        <f t="shared" si="7"/>
        <v>2.3126366880799436</v>
      </c>
    </row>
    <row r="68" spans="25:43" s="10" customFormat="1" x14ac:dyDescent="0.25">
      <c r="Y68" s="1">
        <f t="shared" si="8"/>
        <v>0.35353276485482416</v>
      </c>
      <c r="Z68" s="1">
        <f t="shared" si="17"/>
        <v>2.6761291307485013</v>
      </c>
      <c r="AA68" s="1">
        <f t="shared" si="18"/>
        <v>2.3444266764394892</v>
      </c>
      <c r="AB68" s="1">
        <f t="shared" si="19"/>
        <v>7.1810998822783336</v>
      </c>
      <c r="AC68" s="1">
        <f t="shared" si="20"/>
        <v>2.4356374728198218</v>
      </c>
      <c r="AD68" s="1">
        <f t="shared" si="21"/>
        <v>7.5829100890266412</v>
      </c>
      <c r="AE68" s="1">
        <f t="shared" si="25"/>
        <v>0.2212357073103963</v>
      </c>
      <c r="AF68" s="1">
        <f t="shared" si="4"/>
        <v>0.23274142438623777</v>
      </c>
      <c r="AG68" s="1">
        <f t="shared" si="22"/>
        <v>-3.9750598658513927</v>
      </c>
      <c r="AH68" s="1">
        <f t="shared" si="23"/>
        <v>-8.994329864297093</v>
      </c>
      <c r="AI68" s="1" t="b">
        <f t="shared" si="24"/>
        <v>0</v>
      </c>
      <c r="AJ68" s="1">
        <f t="shared" si="14"/>
        <v>2.6761291307485013</v>
      </c>
      <c r="AK68" s="1">
        <f t="shared" si="15"/>
        <v>2.3444266764394892</v>
      </c>
      <c r="AL68" s="1" t="e">
        <f t="shared" si="5"/>
        <v>#N/A</v>
      </c>
      <c r="AM68" s="1" t="e">
        <f t="shared" si="6"/>
        <v>#N/A</v>
      </c>
      <c r="AN68" s="1"/>
      <c r="AP68" s="1">
        <f t="shared" si="16"/>
        <v>0.63000000000000034</v>
      </c>
      <c r="AQ68" s="1">
        <f t="shared" si="7"/>
        <v>2.3223982869379016</v>
      </c>
    </row>
    <row r="69" spans="25:43" s="10" customFormat="1" x14ac:dyDescent="0.25">
      <c r="Y69" s="1">
        <f t="shared" si="8"/>
        <v>0.35914439604299597</v>
      </c>
      <c r="Z69" s="1">
        <f t="shared" si="17"/>
        <v>2.7163642266915446</v>
      </c>
      <c r="AA69" s="1">
        <f t="shared" si="18"/>
        <v>2.3579529581018144</v>
      </c>
      <c r="AB69" s="1">
        <f t="shared" si="19"/>
        <v>7.1699465973193037</v>
      </c>
      <c r="AC69" s="1">
        <f t="shared" si="20"/>
        <v>2.4104010418282411</v>
      </c>
      <c r="AD69" s="1">
        <f t="shared" si="21"/>
        <v>7.5642691246978604</v>
      </c>
      <c r="AE69" s="1">
        <f t="shared" ref="AE69:AE100" si="26">IFERROR($V$9*($D$13*2*PI())/AD69, 0)</f>
        <v>0.22178090828887026</v>
      </c>
      <c r="AF69" s="1">
        <f t="shared" si="4"/>
        <v>0.23306854497332216</v>
      </c>
      <c r="AG69" s="1">
        <f t="shared" si="22"/>
        <v>-3.954281716437948</v>
      </c>
      <c r="AH69" s="1">
        <f t="shared" si="23"/>
        <v>-8.9849607836353549</v>
      </c>
      <c r="AI69" s="1" t="b">
        <f t="shared" si="24"/>
        <v>0</v>
      </c>
      <c r="AJ69" s="1">
        <f t="shared" si="14"/>
        <v>2.7163642266915446</v>
      </c>
      <c r="AK69" s="1">
        <f t="shared" si="15"/>
        <v>2.3579529581018144</v>
      </c>
      <c r="AL69" s="1" t="e">
        <f t="shared" si="5"/>
        <v>#N/A</v>
      </c>
      <c r="AM69" s="1" t="e">
        <f t="shared" si="6"/>
        <v>#N/A</v>
      </c>
      <c r="AN69" s="1"/>
      <c r="AP69" s="1">
        <f t="shared" si="16"/>
        <v>0.64000000000000035</v>
      </c>
      <c r="AQ69" s="1">
        <f t="shared" si="7"/>
        <v>2.3319000713775875</v>
      </c>
    </row>
    <row r="70" spans="25:43" s="10" customFormat="1" x14ac:dyDescent="0.25">
      <c r="Y70" s="1">
        <f t="shared" si="8"/>
        <v>0.36475602723116779</v>
      </c>
      <c r="Z70" s="1">
        <f t="shared" si="17"/>
        <v>2.756537061669027</v>
      </c>
      <c r="AA70" s="1">
        <f t="shared" si="18"/>
        <v>2.3713377697389793</v>
      </c>
      <c r="AB70" s="1">
        <f t="shared" si="19"/>
        <v>7.1588516120158898</v>
      </c>
      <c r="AC70" s="1">
        <f t="shared" si="20"/>
        <v>2.3851908987492583</v>
      </c>
      <c r="AD70" s="1">
        <f t="shared" si="21"/>
        <v>7.5457466182173647</v>
      </c>
      <c r="AE70" s="1">
        <f t="shared" si="26"/>
        <v>0.22232531277511597</v>
      </c>
      <c r="AF70" s="1">
        <f t="shared" ref="AF70:AF105" si="27">IF(AE70&gt;0.1, 0.6*AE70+0.1, 1.6*AE70)</f>
        <v>0.23339518766506959</v>
      </c>
      <c r="AG70" s="1">
        <f t="shared" si="22"/>
        <v>-3.933633142880046</v>
      </c>
      <c r="AH70" s="1">
        <f t="shared" si="23"/>
        <v>-8.9756434716305584</v>
      </c>
      <c r="AI70" s="1" t="b">
        <f t="shared" si="24"/>
        <v>0</v>
      </c>
      <c r="AJ70" s="1">
        <f t="shared" si="14"/>
        <v>2.756537061669027</v>
      </c>
      <c r="AK70" s="1">
        <f t="shared" si="15"/>
        <v>2.3713377697389793</v>
      </c>
      <c r="AL70" s="1" t="e">
        <f t="shared" ref="AL70:AL105" si="28">IF($I$3="Forward", AJ70, NA())</f>
        <v>#N/A</v>
      </c>
      <c r="AM70" s="1" t="e">
        <f t="shared" ref="AM70:AM105" si="29">IF($I$3="Forward", AK70, NA())</f>
        <v>#N/A</v>
      </c>
      <c r="AN70" s="1"/>
      <c r="AP70" s="1">
        <f t="shared" si="16"/>
        <v>0.65000000000000036</v>
      </c>
      <c r="AQ70" s="1">
        <f t="shared" ref="AQ70:AQ105" si="30">IF($I$3="Forward", NA(), $G$7 + AP70*TAN(RADIANS($G$13)) - (IF($B$4, 9.8, 32.2)*AP70^2)/(2*($G$12*COS(RADIANS($G$13)))^2))</f>
        <v>2.3411420413990012</v>
      </c>
    </row>
    <row r="71" spans="25:43" s="10" customFormat="1" x14ac:dyDescent="0.25">
      <c r="Y71" s="1">
        <f t="shared" ref="Y71:Y105" si="31">Y70+$V$4</f>
        <v>0.37036765841933961</v>
      </c>
      <c r="Z71" s="1">
        <f t="shared" si="17"/>
        <v>2.7966479607969164</v>
      </c>
      <c r="AA71" s="1">
        <f t="shared" si="18"/>
        <v>2.3845812580539461</v>
      </c>
      <c r="AB71" s="1">
        <f t="shared" si="19"/>
        <v>7.1478145628021839</v>
      </c>
      <c r="AC71" s="1">
        <f t="shared" si="20"/>
        <v>2.3600068983295666</v>
      </c>
      <c r="AD71" s="1">
        <f t="shared" si="21"/>
        <v>7.5273425313566085</v>
      </c>
      <c r="AE71" s="1">
        <f t="shared" si="26"/>
        <v>0.22286889031933071</v>
      </c>
      <c r="AF71" s="1">
        <f t="shared" si="27"/>
        <v>0.23372133419159843</v>
      </c>
      <c r="AG71" s="1">
        <f t="shared" si="22"/>
        <v>-3.9131133246373953</v>
      </c>
      <c r="AH71" s="1">
        <f t="shared" si="23"/>
        <v>-8.966377431986345</v>
      </c>
      <c r="AI71" s="1" t="b">
        <f t="shared" si="24"/>
        <v>0</v>
      </c>
      <c r="AJ71" s="1">
        <f t="shared" ref="AJ71:AJ105" si="32">IF(AI71,NA(),Z71)*IF($B$4,1,3.281)</f>
        <v>2.7966479607969164</v>
      </c>
      <c r="AK71" s="1">
        <f t="shared" ref="AK71:AK105" si="33">IF(AI71, NA(), AA71)*IF($B$4, 1, 3.281)</f>
        <v>2.3845812580539461</v>
      </c>
      <c r="AL71" s="1" t="e">
        <f t="shared" si="28"/>
        <v>#N/A</v>
      </c>
      <c r="AM71" s="1" t="e">
        <f t="shared" si="29"/>
        <v>#N/A</v>
      </c>
      <c r="AN71" s="1"/>
      <c r="AP71" s="1">
        <f t="shared" ref="AP71:AP105" si="34">IF($I$3="Forward", NA(), AP70+$G$8/100)</f>
        <v>0.66000000000000036</v>
      </c>
      <c r="AQ71" s="1">
        <f t="shared" si="30"/>
        <v>2.3501241970021418</v>
      </c>
    </row>
    <row r="72" spans="25:43" s="10" customFormat="1" x14ac:dyDescent="0.25">
      <c r="Y72" s="1">
        <f t="shared" si="31"/>
        <v>0.37597928960751142</v>
      </c>
      <c r="Z72" s="1">
        <f t="shared" si="17"/>
        <v>2.8366972471639018</v>
      </c>
      <c r="AA72" s="1">
        <f t="shared" si="18"/>
        <v>2.3976835689423837</v>
      </c>
      <c r="AB72" s="1">
        <f t="shared" si="19"/>
        <v>7.1368350884144602</v>
      </c>
      <c r="AC72" s="1">
        <f t="shared" si="20"/>
        <v>2.3348488967084395</v>
      </c>
      <c r="AD72" s="1">
        <f t="shared" si="21"/>
        <v>7.5090568282364503</v>
      </c>
      <c r="AE72" s="1">
        <f t="shared" si="26"/>
        <v>0.22341161019165526</v>
      </c>
      <c r="AF72" s="1">
        <f t="shared" si="27"/>
        <v>0.23404696611499315</v>
      </c>
      <c r="AG72" s="1">
        <f t="shared" si="22"/>
        <v>-3.8927214484577539</v>
      </c>
      <c r="AH72" s="1">
        <f t="shared" si="23"/>
        <v>-8.9571621694649846</v>
      </c>
      <c r="AI72" s="1" t="b">
        <f t="shared" si="24"/>
        <v>0</v>
      </c>
      <c r="AJ72" s="1">
        <f t="shared" si="32"/>
        <v>2.8366972471639018</v>
      </c>
      <c r="AK72" s="1">
        <f t="shared" si="33"/>
        <v>2.3976835689423837</v>
      </c>
      <c r="AL72" s="1" t="e">
        <f t="shared" si="28"/>
        <v>#N/A</v>
      </c>
      <c r="AM72" s="1" t="e">
        <f t="shared" si="29"/>
        <v>#N/A</v>
      </c>
      <c r="AN72" s="1"/>
      <c r="AP72" s="1">
        <f t="shared" si="34"/>
        <v>0.67000000000000037</v>
      </c>
      <c r="AQ72" s="1">
        <f t="shared" si="30"/>
        <v>2.3588465381870094</v>
      </c>
    </row>
    <row r="73" spans="25:43" s="10" customFormat="1" x14ac:dyDescent="0.25">
      <c r="Y73" s="1">
        <f t="shared" si="31"/>
        <v>0.38159092079568324</v>
      </c>
      <c r="Z73" s="1">
        <f t="shared" si="17"/>
        <v>2.876685241844199</v>
      </c>
      <c r="AA73" s="1">
        <f t="shared" si="18"/>
        <v>2.4106448475004645</v>
      </c>
      <c r="AB73" s="1">
        <f t="shared" si="19"/>
        <v>7.1259128298709165</v>
      </c>
      <c r="AC73" s="1">
        <f t="shared" si="20"/>
        <v>2.3097167514145629</v>
      </c>
      <c r="AD73" s="1">
        <f t="shared" si="21"/>
        <v>7.4908894752682063</v>
      </c>
      <c r="AE73" s="1">
        <f t="shared" si="26"/>
        <v>0.22395344138446033</v>
      </c>
      <c r="AF73" s="1">
        <f t="shared" si="27"/>
        <v>0.23437206483067619</v>
      </c>
      <c r="AG73" s="1">
        <f t="shared" si="22"/>
        <v>-3.8724567082817822</v>
      </c>
      <c r="AH73" s="1">
        <f t="shared" si="23"/>
        <v>-8.9479971898647008</v>
      </c>
      <c r="AI73" s="1" t="b">
        <f t="shared" si="24"/>
        <v>0</v>
      </c>
      <c r="AJ73" s="1">
        <f t="shared" si="32"/>
        <v>2.876685241844199</v>
      </c>
      <c r="AK73" s="1">
        <f t="shared" si="33"/>
        <v>2.4106448475004645</v>
      </c>
      <c r="AL73" s="1" t="e">
        <f t="shared" si="28"/>
        <v>#N/A</v>
      </c>
      <c r="AM73" s="1" t="e">
        <f t="shared" si="29"/>
        <v>#N/A</v>
      </c>
      <c r="AN73" s="1"/>
      <c r="AP73" s="1">
        <f t="shared" si="34"/>
        <v>0.68000000000000038</v>
      </c>
      <c r="AQ73" s="1">
        <f t="shared" si="30"/>
        <v>2.3673090649536048</v>
      </c>
    </row>
    <row r="74" spans="25:43" s="10" customFormat="1" x14ac:dyDescent="0.25">
      <c r="Y74" s="1">
        <f t="shared" si="31"/>
        <v>0.38720255198385506</v>
      </c>
      <c r="Z74" s="1">
        <f t="shared" si="17"/>
        <v>2.9166122639102419</v>
      </c>
      <c r="AA74" s="1">
        <f t="shared" si="18"/>
        <v>2.4234652380326467</v>
      </c>
      <c r="AB74" s="1">
        <f t="shared" si="19"/>
        <v>7.1150474304514146</v>
      </c>
      <c r="AC74" s="1">
        <f t="shared" si="20"/>
        <v>2.2846103213634246</v>
      </c>
      <c r="AD74" s="1">
        <f t="shared" si="21"/>
        <v>7.4728404410942408</v>
      </c>
      <c r="AE74" s="1">
        <f t="shared" si="26"/>
        <v>0.22449435261477338</v>
      </c>
      <c r="AF74" s="1">
        <f t="shared" si="27"/>
        <v>0.23469661156886404</v>
      </c>
      <c r="AG74" s="1">
        <f t="shared" si="22"/>
        <v>-3.8523183051487742</v>
      </c>
      <c r="AH74" s="1">
        <f t="shared" si="23"/>
        <v>-8.9388819999977969</v>
      </c>
      <c r="AI74" s="1" t="b">
        <f t="shared" si="24"/>
        <v>0</v>
      </c>
      <c r="AJ74" s="1">
        <f t="shared" si="32"/>
        <v>2.9166122639102419</v>
      </c>
      <c r="AK74" s="1">
        <f t="shared" si="33"/>
        <v>2.4234652380326467</v>
      </c>
      <c r="AL74" s="1" t="e">
        <f t="shared" si="28"/>
        <v>#N/A</v>
      </c>
      <c r="AM74" s="1" t="e">
        <f t="shared" si="29"/>
        <v>#N/A</v>
      </c>
      <c r="AN74" s="1"/>
      <c r="AP74" s="1">
        <f t="shared" si="34"/>
        <v>0.69000000000000039</v>
      </c>
      <c r="AQ74" s="1">
        <f t="shared" si="30"/>
        <v>2.3755117773019276</v>
      </c>
    </row>
    <row r="75" spans="25:43" s="10" customFormat="1" x14ac:dyDescent="0.25">
      <c r="Y75" s="1">
        <f t="shared" si="31"/>
        <v>0.39281418317202688</v>
      </c>
      <c r="Z75" s="1">
        <f t="shared" si="17"/>
        <v>2.9564786304452615</v>
      </c>
      <c r="AA75" s="1">
        <f t="shared" si="18"/>
        <v>2.4361448840594386</v>
      </c>
      <c r="AB75" s="1">
        <f t="shared" si="19"/>
        <v>7.1042385356774602</v>
      </c>
      <c r="AC75" s="1">
        <f t="shared" si="20"/>
        <v>2.2595294668541479</v>
      </c>
      <c r="AD75" s="1">
        <f t="shared" si="21"/>
        <v>7.4549096965279738</v>
      </c>
      <c r="AE75" s="1">
        <f t="shared" si="26"/>
        <v>0.22503431232685142</v>
      </c>
      <c r="AF75" s="1">
        <f t="shared" si="27"/>
        <v>0.23502058739611084</v>
      </c>
      <c r="AG75" s="1">
        <f t="shared" si="22"/>
        <v>-3.8323054471030256</v>
      </c>
      <c r="AH75" s="1">
        <f t="shared" si="23"/>
        <v>-8.9298161076690512</v>
      </c>
      <c r="AI75" s="1" t="b">
        <f t="shared" si="24"/>
        <v>0</v>
      </c>
      <c r="AJ75" s="1">
        <f t="shared" si="32"/>
        <v>2.9564786304452615</v>
      </c>
      <c r="AK75" s="1">
        <f t="shared" si="33"/>
        <v>2.4361448840594386</v>
      </c>
      <c r="AL75" s="1" t="e">
        <f t="shared" si="28"/>
        <v>#N/A</v>
      </c>
      <c r="AM75" s="1" t="e">
        <f t="shared" si="29"/>
        <v>#N/A</v>
      </c>
      <c r="AN75" s="1"/>
      <c r="AP75" s="1">
        <f t="shared" si="34"/>
        <v>0.7000000000000004</v>
      </c>
      <c r="AQ75" s="1">
        <f t="shared" si="30"/>
        <v>2.3834546752319774</v>
      </c>
    </row>
    <row r="76" spans="25:43" s="10" customFormat="1" x14ac:dyDescent="0.25">
      <c r="Y76" s="1">
        <f t="shared" si="31"/>
        <v>0.39842581436019869</v>
      </c>
      <c r="Z76" s="1">
        <f t="shared" si="17"/>
        <v>2.9962846565557562</v>
      </c>
      <c r="AA76" s="1">
        <f t="shared" si="18"/>
        <v>2.4486839283251491</v>
      </c>
      <c r="AB76" s="1">
        <f t="shared" si="19"/>
        <v>7.0934857932926532</v>
      </c>
      <c r="AC76" s="1">
        <f t="shared" si="20"/>
        <v>2.2344740495669608</v>
      </c>
      <c r="AD76" s="1">
        <f t="shared" si="21"/>
        <v>7.4370972144938969</v>
      </c>
      <c r="AE76" s="1">
        <f t="shared" si="26"/>
        <v>0.22557328869488397</v>
      </c>
      <c r="AF76" s="1">
        <f t="shared" si="27"/>
        <v>0.23534397321693037</v>
      </c>
      <c r="AG76" s="1">
        <f t="shared" si="22"/>
        <v>-3.8124173491015156</v>
      </c>
      <c r="AH76" s="1">
        <f t="shared" si="23"/>
        <v>-8.9207990216548652</v>
      </c>
      <c r="AI76" s="1" t="b">
        <f t="shared" si="24"/>
        <v>0</v>
      </c>
      <c r="AJ76" s="1">
        <f t="shared" si="32"/>
        <v>2.9962846565557562</v>
      </c>
      <c r="AK76" s="1">
        <f t="shared" si="33"/>
        <v>2.4486839283251491</v>
      </c>
      <c r="AL76" s="1" t="e">
        <f t="shared" si="28"/>
        <v>#N/A</v>
      </c>
      <c r="AM76" s="1" t="e">
        <f t="shared" si="29"/>
        <v>#N/A</v>
      </c>
      <c r="AN76" s="1"/>
      <c r="AP76" s="1">
        <f t="shared" si="34"/>
        <v>0.71000000000000041</v>
      </c>
      <c r="AQ76" s="1">
        <f t="shared" si="30"/>
        <v>2.3911377587437546</v>
      </c>
    </row>
    <row r="77" spans="25:43" s="10" customFormat="1" x14ac:dyDescent="0.25">
      <c r="Y77" s="1">
        <f t="shared" si="31"/>
        <v>0.40403744554837051</v>
      </c>
      <c r="Z77" s="1">
        <f t="shared" si="17"/>
        <v>3.0360306553838523</v>
      </c>
      <c r="AA77" s="1">
        <f t="shared" si="18"/>
        <v>2.4610825128056213</v>
      </c>
      <c r="AB77" s="1">
        <f t="shared" si="19"/>
        <v>7.0827888532433789</v>
      </c>
      <c r="AC77" s="1">
        <f t="shared" si="20"/>
        <v>2.2094439325602666</v>
      </c>
      <c r="AD77" s="1">
        <f t="shared" si="21"/>
        <v>7.4194029699670603</v>
      </c>
      <c r="AE77" s="1">
        <f t="shared" si="26"/>
        <v>0.22611124962584384</v>
      </c>
      <c r="AF77" s="1">
        <f t="shared" si="27"/>
        <v>0.23566674977550631</v>
      </c>
      <c r="AG77" s="1">
        <f t="shared" si="22"/>
        <v>-3.7926532329222735</v>
      </c>
      <c r="AH77" s="1">
        <f t="shared" si="23"/>
        <v>-8.9118302516827299</v>
      </c>
      <c r="AI77" s="1" t="b">
        <f t="shared" si="24"/>
        <v>0</v>
      </c>
      <c r="AJ77" s="1">
        <f t="shared" si="32"/>
        <v>3.0360306553838523</v>
      </c>
      <c r="AK77" s="1">
        <f t="shared" si="33"/>
        <v>2.4610825128056213</v>
      </c>
      <c r="AL77" s="1" t="e">
        <f t="shared" si="28"/>
        <v>#N/A</v>
      </c>
      <c r="AM77" s="1" t="e">
        <f t="shared" si="29"/>
        <v>#N/A</v>
      </c>
      <c r="AN77" s="1"/>
      <c r="AP77" s="1">
        <f t="shared" si="34"/>
        <v>0.72000000000000042</v>
      </c>
      <c r="AQ77" s="1">
        <f t="shared" si="30"/>
        <v>2.3985610278372591</v>
      </c>
    </row>
    <row r="78" spans="25:43" s="10" customFormat="1" x14ac:dyDescent="0.25">
      <c r="Y78" s="1">
        <f t="shared" si="31"/>
        <v>0.40964907673654233</v>
      </c>
      <c r="Z78" s="1">
        <f t="shared" si="17"/>
        <v>3.0757169381195575</v>
      </c>
      <c r="AA78" s="1">
        <f t="shared" si="18"/>
        <v>2.4733407787159529</v>
      </c>
      <c r="AB78" s="1">
        <f t="shared" si="19"/>
        <v>7.0721473676595004</v>
      </c>
      <c r="AC78" s="1">
        <f t="shared" si="20"/>
        <v>2.1844389802682693</v>
      </c>
      <c r="AD78" s="1">
        <f t="shared" si="21"/>
        <v>7.4018269399121106</v>
      </c>
      <c r="AE78" s="1">
        <f t="shared" si="26"/>
        <v>0.22664816276248537</v>
      </c>
      <c r="AF78" s="1">
        <f t="shared" si="27"/>
        <v>0.23598889765749123</v>
      </c>
      <c r="AG78" s="1">
        <f t="shared" si="22"/>
        <v>-3.77301232707359</v>
      </c>
      <c r="AH78" s="1">
        <f t="shared" si="23"/>
        <v>-8.9029093084115445</v>
      </c>
      <c r="AI78" s="1" t="b">
        <f t="shared" si="24"/>
        <v>1</v>
      </c>
      <c r="AJ78" s="1" t="e">
        <f t="shared" si="32"/>
        <v>#N/A</v>
      </c>
      <c r="AK78" s="1" t="e">
        <f t="shared" si="33"/>
        <v>#N/A</v>
      </c>
      <c r="AL78" s="1" t="e">
        <f t="shared" si="28"/>
        <v>#N/A</v>
      </c>
      <c r="AM78" s="1" t="e">
        <f t="shared" si="29"/>
        <v>#N/A</v>
      </c>
      <c r="AN78" s="1"/>
      <c r="AP78" s="1">
        <f t="shared" si="34"/>
        <v>0.73000000000000043</v>
      </c>
      <c r="AQ78" s="1">
        <f t="shared" si="30"/>
        <v>2.4057244825124915</v>
      </c>
    </row>
    <row r="79" spans="25:43" s="10" customFormat="1" x14ac:dyDescent="0.25">
      <c r="Y79" s="1">
        <f t="shared" si="31"/>
        <v>0.41526070792471415</v>
      </c>
      <c r="Z79" s="1">
        <f t="shared" si="17"/>
        <v>3.1153438140129075</v>
      </c>
      <c r="AA79" s="1">
        <f t="shared" si="18"/>
        <v>2.4854588665182002</v>
      </c>
      <c r="AB79" s="1">
        <f t="shared" si="19"/>
        <v>7.061560990835523</v>
      </c>
      <c r="AC79" s="1">
        <f t="shared" si="20"/>
        <v>2.1594590584979692</v>
      </c>
      <c r="AD79" s="1">
        <f t="shared" si="21"/>
        <v>7.3843691032219478</v>
      </c>
      <c r="AE79" s="1">
        <f t="shared" si="26"/>
        <v>0.22718399548648971</v>
      </c>
      <c r="AF79" s="1">
        <f t="shared" si="27"/>
        <v>0.23631039729189382</v>
      </c>
      <c r="AG79" s="1">
        <f t="shared" si="22"/>
        <v>-3.7534938667040114</v>
      </c>
      <c r="AH79" s="1">
        <f t="shared" si="23"/>
        <v>-8.8940357034120989</v>
      </c>
      <c r="AI79" s="1" t="b">
        <f t="shared" si="24"/>
        <v>1</v>
      </c>
      <c r="AJ79" s="1" t="e">
        <f t="shared" si="32"/>
        <v>#N/A</v>
      </c>
      <c r="AK79" s="1" t="e">
        <f t="shared" si="33"/>
        <v>#N/A</v>
      </c>
      <c r="AL79" s="1" t="e">
        <f t="shared" si="28"/>
        <v>#N/A</v>
      </c>
      <c r="AM79" s="1" t="e">
        <f t="shared" si="29"/>
        <v>#N/A</v>
      </c>
      <c r="AN79" s="1"/>
      <c r="AP79" s="1">
        <f t="shared" si="34"/>
        <v>0.74000000000000044</v>
      </c>
      <c r="AQ79" s="1">
        <f t="shared" si="30"/>
        <v>2.4126281227694508</v>
      </c>
    </row>
    <row r="80" spans="25:43" s="10" customFormat="1" x14ac:dyDescent="0.25">
      <c r="Y80" s="1">
        <f t="shared" si="31"/>
        <v>0.42087233911288596</v>
      </c>
      <c r="Z80" s="1">
        <f t="shared" si="17"/>
        <v>3.1549115903860092</v>
      </c>
      <c r="AA80" s="1">
        <f t="shared" si="18"/>
        <v>2.497436915929069</v>
      </c>
      <c r="AB80" s="1">
        <f t="shared" si="19"/>
        <v>7.0510293792119967</v>
      </c>
      <c r="AC80" s="1">
        <f t="shared" si="20"/>
        <v>2.1345040344269428</v>
      </c>
      <c r="AD80" s="1">
        <f t="shared" si="21"/>
        <v>7.3670294406562276</v>
      </c>
      <c r="AE80" s="1">
        <f t="shared" si="26"/>
        <v>0.22771871492175194</v>
      </c>
      <c r="AF80" s="1">
        <f t="shared" si="27"/>
        <v>0.23663122895305116</v>
      </c>
      <c r="AG80" s="1">
        <f t="shared" si="22"/>
        <v>-3.7340970935134679</v>
      </c>
      <c r="AH80" s="1">
        <f t="shared" si="23"/>
        <v>-8.8852089491484492</v>
      </c>
      <c r="AI80" s="1" t="b">
        <f t="shared" si="24"/>
        <v>1</v>
      </c>
      <c r="AJ80" s="1" t="e">
        <f t="shared" si="32"/>
        <v>#N/A</v>
      </c>
      <c r="AK80" s="1" t="e">
        <f t="shared" si="33"/>
        <v>#N/A</v>
      </c>
      <c r="AL80" s="1" t="e">
        <f t="shared" si="28"/>
        <v>#N/A</v>
      </c>
      <c r="AM80" s="1" t="e">
        <f t="shared" si="29"/>
        <v>#N/A</v>
      </c>
      <c r="AN80" s="1"/>
      <c r="AP80" s="1">
        <f t="shared" si="34"/>
        <v>0.75000000000000044</v>
      </c>
      <c r="AQ80" s="1">
        <f t="shared" si="30"/>
        <v>2.4192719486081371</v>
      </c>
    </row>
    <row r="81" spans="25:43" s="10" customFormat="1" x14ac:dyDescent="0.25">
      <c r="Y81" s="1">
        <f t="shared" si="31"/>
        <v>0.42648397030105778</v>
      </c>
      <c r="Z81" s="1">
        <f t="shared" si="17"/>
        <v>3.1944205726449804</v>
      </c>
      <c r="AA81" s="1">
        <f t="shared" si="18"/>
        <v>2.5092750659275911</v>
      </c>
      <c r="AB81" s="1">
        <f t="shared" si="19"/>
        <v>7.040552191357154</v>
      </c>
      <c r="AC81" s="1">
        <f t="shared" si="20"/>
        <v>2.109573776600735</v>
      </c>
      <c r="AD81" s="1">
        <f t="shared" si="21"/>
        <v>7.349807934779351</v>
      </c>
      <c r="AE81" s="1">
        <f t="shared" si="26"/>
        <v>0.22825228793782251</v>
      </c>
      <c r="AF81" s="1">
        <f t="shared" si="27"/>
        <v>0.23695137276269351</v>
      </c>
      <c r="AG81" s="1">
        <f t="shared" si="22"/>
        <v>-3.7148212556650524</v>
      </c>
      <c r="AH81" s="1">
        <f t="shared" si="23"/>
        <v>-8.876428558959633</v>
      </c>
      <c r="AI81" s="1" t="b">
        <f t="shared" si="24"/>
        <v>1</v>
      </c>
      <c r="AJ81" s="1" t="e">
        <f t="shared" si="32"/>
        <v>#N/A</v>
      </c>
      <c r="AK81" s="1" t="e">
        <f t="shared" si="33"/>
        <v>#N/A</v>
      </c>
      <c r="AL81" s="1" t="e">
        <f t="shared" si="28"/>
        <v>#N/A</v>
      </c>
      <c r="AM81" s="1" t="e">
        <f t="shared" si="29"/>
        <v>#N/A</v>
      </c>
      <c r="AN81" s="1"/>
      <c r="AP81" s="1">
        <f t="shared" si="34"/>
        <v>0.76000000000000045</v>
      </c>
      <c r="AQ81" s="1">
        <f t="shared" si="30"/>
        <v>2.4256559600285512</v>
      </c>
    </row>
    <row r="82" spans="25:43" s="10" customFormat="1" x14ac:dyDescent="0.25">
      <c r="Y82" s="1">
        <f t="shared" si="31"/>
        <v>0.4320956014892296</v>
      </c>
      <c r="Z82" s="1">
        <f t="shared" si="17"/>
        <v>3.2338710642917876</v>
      </c>
      <c r="AA82" s="1">
        <f t="shared" si="18"/>
        <v>2.5209734547627862</v>
      </c>
      <c r="AB82" s="1">
        <f t="shared" si="19"/>
        <v>7.0301290879487937</v>
      </c>
      <c r="AC82" s="1">
        <f t="shared" si="20"/>
        <v>2.0846681549302462</v>
      </c>
      <c r="AD82" s="1">
        <f t="shared" si="21"/>
        <v>7.332704569898068</v>
      </c>
      <c r="AE82" s="1">
        <f t="shared" si="26"/>
        <v>0.22878468115350098</v>
      </c>
      <c r="AF82" s="1">
        <f t="shared" si="27"/>
        <v>0.2372708086921006</v>
      </c>
      <c r="AG82" s="1">
        <f t="shared" si="22"/>
        <v>-3.6956656076976149</v>
      </c>
      <c r="AH82" s="1">
        <f t="shared" si="23"/>
        <v>-8.8676940470419314</v>
      </c>
      <c r="AI82" s="1" t="b">
        <f t="shared" si="24"/>
        <v>1</v>
      </c>
      <c r="AJ82" s="1" t="e">
        <f t="shared" si="32"/>
        <v>#N/A</v>
      </c>
      <c r="AK82" s="1" t="e">
        <f t="shared" si="33"/>
        <v>#N/A</v>
      </c>
      <c r="AL82" s="1" t="e">
        <f t="shared" si="28"/>
        <v>#N/A</v>
      </c>
      <c r="AM82" s="1" t="e">
        <f t="shared" si="29"/>
        <v>#N/A</v>
      </c>
      <c r="AN82" s="1"/>
      <c r="AP82" s="1">
        <f t="shared" si="34"/>
        <v>0.77000000000000046</v>
      </c>
      <c r="AQ82" s="1">
        <f t="shared" si="30"/>
        <v>2.4317801570306923</v>
      </c>
    </row>
    <row r="83" spans="25:43" s="10" customFormat="1" x14ac:dyDescent="0.25">
      <c r="Y83" s="1">
        <f t="shared" si="31"/>
        <v>0.43770723267740141</v>
      </c>
      <c r="Z83" s="1">
        <f t="shared" si="17"/>
        <v>3.273263366935983</v>
      </c>
      <c r="AA83" s="1">
        <f t="shared" si="18"/>
        <v>2.5325322199613112</v>
      </c>
      <c r="AB83" s="1">
        <f t="shared" si="19"/>
        <v>7.0197597317561504</v>
      </c>
      <c r="AC83" s="1">
        <f t="shared" si="20"/>
        <v>2.0597870406894363</v>
      </c>
      <c r="AD83" s="1">
        <f t="shared" si="21"/>
        <v>7.315719331998551</v>
      </c>
      <c r="AE83" s="1">
        <f t="shared" si="26"/>
        <v>0.22931586094058773</v>
      </c>
      <c r="AF83" s="1">
        <f t="shared" si="27"/>
        <v>0.23758951656435265</v>
      </c>
      <c r="AG83" s="1">
        <f t="shared" si="22"/>
        <v>-3.6766294104390553</v>
      </c>
      <c r="AH83" s="1">
        <f t="shared" si="23"/>
        <v>-8.8590049284318599</v>
      </c>
      <c r="AI83" s="1" t="b">
        <f t="shared" si="24"/>
        <v>1</v>
      </c>
      <c r="AJ83" s="1" t="e">
        <f t="shared" si="32"/>
        <v>#N/A</v>
      </c>
      <c r="AK83" s="1" t="e">
        <f t="shared" si="33"/>
        <v>#N/A</v>
      </c>
      <c r="AL83" s="1" t="e">
        <f t="shared" si="28"/>
        <v>#N/A</v>
      </c>
      <c r="AM83" s="1" t="e">
        <f t="shared" si="29"/>
        <v>#N/A</v>
      </c>
      <c r="AN83" s="1"/>
      <c r="AP83" s="1">
        <f t="shared" si="34"/>
        <v>0.78000000000000047</v>
      </c>
      <c r="AQ83" s="1">
        <f t="shared" si="30"/>
        <v>2.4376445396145616</v>
      </c>
    </row>
    <row r="84" spans="25:43" s="10" customFormat="1" x14ac:dyDescent="0.25">
      <c r="Y84" s="1">
        <f t="shared" si="31"/>
        <v>0.44331886386557323</v>
      </c>
      <c r="Z84" s="1">
        <f t="shared" si="17"/>
        <v>3.3125977803063433</v>
      </c>
      <c r="AA84" s="1">
        <f t="shared" si="18"/>
        <v>2.5439514983350966</v>
      </c>
      <c r="AB84" s="1">
        <f t="shared" si="19"/>
        <v>7.0094437876226507</v>
      </c>
      <c r="AC84" s="1">
        <f t="shared" si="20"/>
        <v>2.0349303065131896</v>
      </c>
      <c r="AD84" s="1">
        <f t="shared" si="21"/>
        <v>7.2988522086837486</v>
      </c>
      <c r="AE84" s="1">
        <f t="shared" si="26"/>
        <v>0.2298457934277702</v>
      </c>
      <c r="AF84" s="1">
        <f t="shared" si="27"/>
        <v>0.23790747605666213</v>
      </c>
      <c r="AG84" s="1">
        <f t="shared" si="22"/>
        <v>-3.657711930921042</v>
      </c>
      <c r="AH84" s="1">
        <f t="shared" si="23"/>
        <v>-8.8503607189896112</v>
      </c>
      <c r="AI84" s="1" t="b">
        <f t="shared" si="24"/>
        <v>1</v>
      </c>
      <c r="AJ84" s="1" t="e">
        <f t="shared" si="32"/>
        <v>#N/A</v>
      </c>
      <c r="AK84" s="1" t="e">
        <f t="shared" si="33"/>
        <v>#N/A</v>
      </c>
      <c r="AL84" s="1" t="e">
        <f t="shared" si="28"/>
        <v>#N/A</v>
      </c>
      <c r="AM84" s="1" t="e">
        <f t="shared" si="29"/>
        <v>#N/A</v>
      </c>
      <c r="AN84" s="1"/>
      <c r="AP84" s="1">
        <f t="shared" si="34"/>
        <v>0.79000000000000048</v>
      </c>
      <c r="AQ84" s="1">
        <f t="shared" si="30"/>
        <v>2.443249107780157</v>
      </c>
    </row>
    <row r="85" spans="25:43" s="10" customFormat="1" x14ac:dyDescent="0.25">
      <c r="Y85" s="1">
        <f t="shared" si="31"/>
        <v>0.44893049505374505</v>
      </c>
      <c r="Z85" s="1">
        <f t="shared" si="17"/>
        <v>3.3518746022624106</v>
      </c>
      <c r="AA85" s="1">
        <f t="shared" si="18"/>
        <v>2.5552314259889686</v>
      </c>
      <c r="AB85" s="1">
        <f t="shared" si="19"/>
        <v>6.9991809224481791</v>
      </c>
      <c r="AC85" s="1">
        <f t="shared" si="20"/>
        <v>2.0100978263945448</v>
      </c>
      <c r="AD85" s="1">
        <f t="shared" si="21"/>
        <v>7.2821031891094909</v>
      </c>
      <c r="AE85" s="1">
        <f t="shared" si="26"/>
        <v>0.23037444450469255</v>
      </c>
      <c r="AF85" s="1">
        <f t="shared" si="27"/>
        <v>0.23822466670281553</v>
      </c>
      <c r="AG85" s="1">
        <f t="shared" si="22"/>
        <v>-3.6389124422936332</v>
      </c>
      <c r="AH85" s="1">
        <f t="shared" si="23"/>
        <v>-8.8417609353829256</v>
      </c>
      <c r="AI85" s="1" t="b">
        <f t="shared" si="24"/>
        <v>1</v>
      </c>
      <c r="AJ85" s="1" t="e">
        <f t="shared" si="32"/>
        <v>#N/A</v>
      </c>
      <c r="AK85" s="1" t="e">
        <f t="shared" si="33"/>
        <v>#N/A</v>
      </c>
      <c r="AL85" s="1" t="e">
        <f t="shared" si="28"/>
        <v>#N/A</v>
      </c>
      <c r="AM85" s="1" t="e">
        <f t="shared" si="29"/>
        <v>#N/A</v>
      </c>
      <c r="AN85" s="1"/>
      <c r="AP85" s="1">
        <f t="shared" si="34"/>
        <v>0.80000000000000049</v>
      </c>
      <c r="AQ85" s="1">
        <f t="shared" si="30"/>
        <v>2.4485938615274803</v>
      </c>
    </row>
    <row r="86" spans="25:43" s="10" customFormat="1" x14ac:dyDescent="0.25">
      <c r="Y86" s="1">
        <f t="shared" si="31"/>
        <v>0.45454212624191687</v>
      </c>
      <c r="Z86" s="1">
        <f t="shared" si="17"/>
        <v>3.3910941288059364</v>
      </c>
      <c r="AA86" s="1">
        <f t="shared" si="18"/>
        <v>2.5663721383282598</v>
      </c>
      <c r="AB86" s="1">
        <f t="shared" si="19"/>
        <v>6.9889708051720678</v>
      </c>
      <c r="AC86" s="1">
        <f t="shared" si="20"/>
        <v>1.985289475682873</v>
      </c>
      <c r="AD86" s="1">
        <f t="shared" si="21"/>
        <v>7.2654722639209544</v>
      </c>
      <c r="AE86" s="1">
        <f t="shared" si="26"/>
        <v>0.23090177982616009</v>
      </c>
      <c r="AF86" s="1">
        <f t="shared" si="27"/>
        <v>0.23854106789569604</v>
      </c>
      <c r="AG86" s="1">
        <f t="shared" si="22"/>
        <v>-3.6202302237414674</v>
      </c>
      <c r="AH86" s="1">
        <f t="shared" si="23"/>
        <v>-8.8332050950718362</v>
      </c>
      <c r="AI86" s="1" t="b">
        <f t="shared" si="24"/>
        <v>1</v>
      </c>
      <c r="AJ86" s="1" t="e">
        <f t="shared" si="32"/>
        <v>#N/A</v>
      </c>
      <c r="AK86" s="1" t="e">
        <f t="shared" si="33"/>
        <v>#N/A</v>
      </c>
      <c r="AL86" s="1" t="e">
        <f t="shared" si="28"/>
        <v>#N/A</v>
      </c>
      <c r="AM86" s="1" t="e">
        <f t="shared" si="29"/>
        <v>#N/A</v>
      </c>
      <c r="AN86" s="1"/>
      <c r="AP86" s="1">
        <f t="shared" si="34"/>
        <v>0.8100000000000005</v>
      </c>
      <c r="AQ86" s="1">
        <f t="shared" si="30"/>
        <v>2.4536788008565309</v>
      </c>
    </row>
    <row r="87" spans="25:43" s="10" customFormat="1" x14ac:dyDescent="0.25">
      <c r="Y87" s="1">
        <f t="shared" si="31"/>
        <v>0.46015375743008868</v>
      </c>
      <c r="Z87" s="1">
        <f t="shared" si="17"/>
        <v>3.430256654092231</v>
      </c>
      <c r="AA87" s="1">
        <f t="shared" si="18"/>
        <v>2.5773737700664068</v>
      </c>
      <c r="AB87" s="1">
        <f t="shared" si="19"/>
        <v>6.9788131067560837</v>
      </c>
      <c r="AC87" s="1">
        <f t="shared" si="20"/>
        <v>1.9605051310813482</v>
      </c>
      <c r="AD87" s="1">
        <f t="shared" si="21"/>
        <v>7.2489594251883345</v>
      </c>
      <c r="AE87" s="1">
        <f t="shared" si="26"/>
        <v>0.23142776481651547</v>
      </c>
      <c r="AF87" s="1">
        <f t="shared" si="27"/>
        <v>0.23885665888990928</v>
      </c>
      <c r="AG87" s="1">
        <f t="shared" si="22"/>
        <v>-3.6016645604002502</v>
      </c>
      <c r="AH87" s="1">
        <f t="shared" si="23"/>
        <v>-8.824692716293665</v>
      </c>
      <c r="AI87" s="1" t="b">
        <f t="shared" si="24"/>
        <v>1</v>
      </c>
      <c r="AJ87" s="1" t="e">
        <f t="shared" si="32"/>
        <v>#N/A</v>
      </c>
      <c r="AK87" s="1" t="e">
        <f t="shared" si="33"/>
        <v>#N/A</v>
      </c>
      <c r="AL87" s="1" t="e">
        <f t="shared" si="28"/>
        <v>#N/A</v>
      </c>
      <c r="AM87" s="1" t="e">
        <f t="shared" si="29"/>
        <v>#N/A</v>
      </c>
      <c r="AN87" s="1"/>
      <c r="AP87" s="1">
        <f t="shared" si="34"/>
        <v>0.82000000000000051</v>
      </c>
      <c r="AQ87" s="1">
        <f t="shared" si="30"/>
        <v>2.4585039257673094</v>
      </c>
    </row>
    <row r="88" spans="25:43" s="10" customFormat="1" x14ac:dyDescent="0.25">
      <c r="Y88" s="1">
        <f t="shared" si="31"/>
        <v>0.4657653886182605</v>
      </c>
      <c r="Z88" s="1">
        <f t="shared" si="17"/>
        <v>3.4693624704414199</v>
      </c>
      <c r="AA88" s="1">
        <f t="shared" si="18"/>
        <v>2.5882364552325354</v>
      </c>
      <c r="AB88" s="1">
        <f t="shared" si="19"/>
        <v>6.9687075001678824</v>
      </c>
      <c r="AC88" s="1">
        <f t="shared" si="20"/>
        <v>1.9357446706449661</v>
      </c>
      <c r="AD88" s="1">
        <f t="shared" si="21"/>
        <v>7.2325646663425331</v>
      </c>
      <c r="AE88" s="1">
        <f t="shared" si="26"/>
        <v>0.23195236467416297</v>
      </c>
      <c r="AF88" s="1">
        <f t="shared" si="27"/>
        <v>0.23917141880449777</v>
      </c>
      <c r="AG88" s="1">
        <f t="shared" si="22"/>
        <v>-3.5832147432744241</v>
      </c>
      <c r="AH88" s="1">
        <f t="shared" si="23"/>
        <v>-8.8162233180487988</v>
      </c>
      <c r="AI88" s="1" t="b">
        <f t="shared" si="24"/>
        <v>1</v>
      </c>
      <c r="AJ88" s="1" t="e">
        <f t="shared" si="32"/>
        <v>#N/A</v>
      </c>
      <c r="AK88" s="1" t="e">
        <f t="shared" si="33"/>
        <v>#N/A</v>
      </c>
      <c r="AL88" s="1" t="e">
        <f t="shared" si="28"/>
        <v>#N/A</v>
      </c>
      <c r="AM88" s="1" t="e">
        <f t="shared" si="29"/>
        <v>#N/A</v>
      </c>
      <c r="AN88" s="1"/>
      <c r="AP88" s="1">
        <f t="shared" si="34"/>
        <v>0.83000000000000052</v>
      </c>
      <c r="AQ88" s="1">
        <f t="shared" si="30"/>
        <v>2.4630692362598143</v>
      </c>
    </row>
    <row r="89" spans="25:43" s="10" customFormat="1" x14ac:dyDescent="0.25">
      <c r="Y89" s="1">
        <f t="shared" si="31"/>
        <v>0.47137701980643232</v>
      </c>
      <c r="Z89" s="1">
        <f t="shared" si="17"/>
        <v>3.5084118683496057</v>
      </c>
      <c r="AA89" s="1">
        <f t="shared" si="18"/>
        <v>2.5989603271790345</v>
      </c>
      <c r="AB89" s="1">
        <f t="shared" si="19"/>
        <v>6.9586536603642379</v>
      </c>
      <c r="AC89" s="1">
        <f t="shared" si="20"/>
        <v>1.9110079737782515</v>
      </c>
      <c r="AD89" s="1">
        <f t="shared" si="21"/>
        <v>7.2162879821099617</v>
      </c>
      <c r="AE89" s="1">
        <f t="shared" si="26"/>
        <v>0.2324755443762701</v>
      </c>
      <c r="AF89" s="1">
        <f t="shared" si="27"/>
        <v>0.23948532662576205</v>
      </c>
      <c r="AG89" s="1">
        <f t="shared" si="22"/>
        <v>-3.5648800691550715</v>
      </c>
      <c r="AH89" s="1">
        <f t="shared" si="23"/>
        <v>-8.8077964200869499</v>
      </c>
      <c r="AI89" s="1" t="b">
        <f t="shared" si="24"/>
        <v>1</v>
      </c>
      <c r="AJ89" s="1" t="e">
        <f t="shared" si="32"/>
        <v>#N/A</v>
      </c>
      <c r="AK89" s="1" t="e">
        <f t="shared" si="33"/>
        <v>#N/A</v>
      </c>
      <c r="AL89" s="1" t="e">
        <f t="shared" si="28"/>
        <v>#N/A</v>
      </c>
      <c r="AM89" s="1" t="e">
        <f t="shared" si="29"/>
        <v>#N/A</v>
      </c>
      <c r="AN89" s="1"/>
      <c r="AP89" s="1">
        <f t="shared" si="34"/>
        <v>0.84000000000000052</v>
      </c>
      <c r="AQ89" s="1">
        <f t="shared" si="30"/>
        <v>2.4673747323340471</v>
      </c>
    </row>
    <row r="90" spans="25:43" s="10" customFormat="1" x14ac:dyDescent="0.25">
      <c r="Y90" s="1">
        <f t="shared" si="31"/>
        <v>0.47698865099460414</v>
      </c>
      <c r="Z90" s="1">
        <f t="shared" si="17"/>
        <v>3.5474051364999415</v>
      </c>
      <c r="AA90" s="1">
        <f t="shared" si="18"/>
        <v>2.6095455185891168</v>
      </c>
      <c r="AB90" s="1">
        <f t="shared" si="19"/>
        <v>6.9486512642751324</v>
      </c>
      <c r="AC90" s="1">
        <f t="shared" si="20"/>
        <v>1.8862949212331988</v>
      </c>
      <c r="AD90" s="1">
        <f t="shared" si="21"/>
        <v>7.2001293684476639</v>
      </c>
      <c r="AE90" s="1">
        <f t="shared" si="26"/>
        <v>0.23299726868360965</v>
      </c>
      <c r="AF90" s="1">
        <f t="shared" si="27"/>
        <v>0.23979836121016579</v>
      </c>
      <c r="AG90" s="1">
        <f t="shared" si="22"/>
        <v>-3.5466598405392209</v>
      </c>
      <c r="AH90" s="1">
        <f t="shared" si="23"/>
        <v>-8.7994115428939619</v>
      </c>
      <c r="AI90" s="1" t="b">
        <f t="shared" si="24"/>
        <v>1</v>
      </c>
      <c r="AJ90" s="1" t="e">
        <f t="shared" si="32"/>
        <v>#N/A</v>
      </c>
      <c r="AK90" s="1" t="e">
        <f t="shared" si="33"/>
        <v>#N/A</v>
      </c>
      <c r="AL90" s="1" t="e">
        <f t="shared" si="28"/>
        <v>#N/A</v>
      </c>
      <c r="AM90" s="1" t="e">
        <f t="shared" si="29"/>
        <v>#N/A</v>
      </c>
      <c r="AN90" s="1"/>
      <c r="AP90" s="1">
        <f t="shared" si="34"/>
        <v>0.85000000000000053</v>
      </c>
      <c r="AQ90" s="1">
        <f t="shared" si="30"/>
        <v>2.4714204139900069</v>
      </c>
    </row>
    <row r="91" spans="25:43" s="10" customFormat="1" x14ac:dyDescent="0.25">
      <c r="Y91" s="1">
        <f t="shared" si="31"/>
        <v>0.48260028218277595</v>
      </c>
      <c r="Z91" s="1">
        <f t="shared" si="17"/>
        <v>3.5863425617736127</v>
      </c>
      <c r="AA91" s="1">
        <f t="shared" si="18"/>
        <v>2.6199921614843702</v>
      </c>
      <c r="AB91" s="1">
        <f t="shared" si="19"/>
        <v>6.9386999907876108</v>
      </c>
      <c r="AC91" s="1">
        <f t="shared" si="20"/>
        <v>1.8616053951073737</v>
      </c>
      <c r="AD91" s="1">
        <f t="shared" si="21"/>
        <v>7.1840888224776895</v>
      </c>
      <c r="AE91" s="1">
        <f t="shared" si="26"/>
        <v>0.23351750214557693</v>
      </c>
      <c r="AF91" s="1">
        <f t="shared" si="27"/>
        <v>0.24011050128734615</v>
      </c>
      <c r="AG91" s="1">
        <f t="shared" si="22"/>
        <v>-3.528553365549556</v>
      </c>
      <c r="AH91" s="1">
        <f t="shared" si="23"/>
        <v>-8.7910682076793361</v>
      </c>
      <c r="AI91" s="1" t="b">
        <f t="shared" si="24"/>
        <v>1</v>
      </c>
      <c r="AJ91" s="1" t="e">
        <f t="shared" si="32"/>
        <v>#N/A</v>
      </c>
      <c r="AK91" s="1" t="e">
        <f t="shared" si="33"/>
        <v>#N/A</v>
      </c>
      <c r="AL91" s="1" t="e">
        <f t="shared" si="28"/>
        <v>#N/A</v>
      </c>
      <c r="AM91" s="1" t="e">
        <f t="shared" si="29"/>
        <v>#N/A</v>
      </c>
      <c r="AN91" s="1"/>
      <c r="AP91" s="1">
        <f t="shared" si="34"/>
        <v>0.86000000000000054</v>
      </c>
      <c r="AQ91" s="1">
        <f t="shared" si="30"/>
        <v>2.4752062812276949</v>
      </c>
    </row>
    <row r="92" spans="25:43" s="10" customFormat="1" x14ac:dyDescent="0.25">
      <c r="Y92" s="1">
        <f t="shared" si="31"/>
        <v>0.48821191337094777</v>
      </c>
      <c r="Z92" s="1">
        <f t="shared" si="17"/>
        <v>3.6252244292607307</v>
      </c>
      <c r="AA92" s="1">
        <f t="shared" si="18"/>
        <v>2.6303003872322956</v>
      </c>
      <c r="AB92" s="1">
        <f t="shared" si="19"/>
        <v>6.9287995207299584</v>
      </c>
      <c r="AC92" s="1">
        <f t="shared" si="20"/>
        <v>1.8369392788416183</v>
      </c>
      <c r="AD92" s="1">
        <f t="shared" si="21"/>
        <v>7.1681663424211122</v>
      </c>
      <c r="AE92" s="1">
        <f t="shared" si="26"/>
        <v>0.2340362091053709</v>
      </c>
      <c r="AF92" s="1">
        <f t="shared" si="27"/>
        <v>0.24042172546322255</v>
      </c>
      <c r="AG92" s="1">
        <f t="shared" si="22"/>
        <v>-3.5105599578547966</v>
      </c>
      <c r="AH92" s="1">
        <f t="shared" si="23"/>
        <v>-8.7827659363641253</v>
      </c>
      <c r="AI92" s="1" t="b">
        <f t="shared" si="24"/>
        <v>1</v>
      </c>
      <c r="AJ92" s="1" t="e">
        <f t="shared" si="32"/>
        <v>#N/A</v>
      </c>
      <c r="AK92" s="1" t="e">
        <f t="shared" si="33"/>
        <v>#N/A</v>
      </c>
      <c r="AL92" s="1" t="e">
        <f t="shared" si="28"/>
        <v>#N/A</v>
      </c>
      <c r="AM92" s="1" t="e">
        <f t="shared" si="29"/>
        <v>#N/A</v>
      </c>
      <c r="AN92" s="1"/>
      <c r="AP92" s="1">
        <f t="shared" si="34"/>
        <v>0.87000000000000055</v>
      </c>
      <c r="AQ92" s="1">
        <f t="shared" si="30"/>
        <v>2.4787323340471095</v>
      </c>
    </row>
    <row r="93" spans="25:43" s="10" customFormat="1" x14ac:dyDescent="0.25">
      <c r="Y93" s="1">
        <f t="shared" si="31"/>
        <v>0.49382354455911959</v>
      </c>
      <c r="Z93" s="1">
        <f t="shared" si="17"/>
        <v>3.6640510222711402</v>
      </c>
      <c r="AA93" s="1">
        <f t="shared" si="18"/>
        <v>2.6404703265538343</v>
      </c>
      <c r="AB93" s="1">
        <f t="shared" si="19"/>
        <v>6.9189495368562639</v>
      </c>
      <c r="AC93" s="1">
        <f t="shared" si="20"/>
        <v>1.8122964572181512</v>
      </c>
      <c r="AD93" s="1">
        <f t="shared" si="21"/>
        <v>7.1523619275319792</v>
      </c>
      <c r="AE93" s="1">
        <f t="shared" si="26"/>
        <v>0.23455335370533067</v>
      </c>
      <c r="AF93" s="1">
        <f t="shared" si="27"/>
        <v>0.2407320122231984</v>
      </c>
      <c r="AG93" s="1">
        <f t="shared" si="22"/>
        <v>-3.4926789365911115</v>
      </c>
      <c r="AH93" s="1">
        <f t="shared" si="23"/>
        <v>-8.7745042515695406</v>
      </c>
      <c r="AI93" s="1" t="b">
        <f t="shared" si="24"/>
        <v>1</v>
      </c>
      <c r="AJ93" s="1" t="e">
        <f t="shared" si="32"/>
        <v>#N/A</v>
      </c>
      <c r="AK93" s="1" t="e">
        <f t="shared" si="33"/>
        <v>#N/A</v>
      </c>
      <c r="AL93" s="1" t="e">
        <f t="shared" si="28"/>
        <v>#N/A</v>
      </c>
      <c r="AM93" s="1" t="e">
        <f t="shared" si="29"/>
        <v>#N/A</v>
      </c>
      <c r="AN93" s="1"/>
      <c r="AP93" s="1">
        <f t="shared" si="34"/>
        <v>0.88000000000000056</v>
      </c>
      <c r="AQ93" s="1">
        <f t="shared" si="30"/>
        <v>2.4819985724482514</v>
      </c>
    </row>
    <row r="94" spans="25:43" s="10" customFormat="1" x14ac:dyDescent="0.25">
      <c r="Y94" s="1">
        <f t="shared" si="31"/>
        <v>0.4994351757472914</v>
      </c>
      <c r="Z94" s="1">
        <f t="shared" si="17"/>
        <v>3.7028226223451379</v>
      </c>
      <c r="AA94" s="1">
        <f t="shared" si="18"/>
        <v>2.6505021095308847</v>
      </c>
      <c r="AB94" s="1">
        <f t="shared" si="19"/>
        <v>6.9091497238308337</v>
      </c>
      <c r="AC94" s="1">
        <f t="shared" si="20"/>
        <v>1.787676816358748</v>
      </c>
      <c r="AD94" s="1">
        <f t="shared" si="21"/>
        <v>7.1366755780305882</v>
      </c>
      <c r="AE94" s="1">
        <f t="shared" si="26"/>
        <v>0.23506889989244775</v>
      </c>
      <c r="AF94" s="1">
        <f t="shared" si="27"/>
        <v>0.24104133993546864</v>
      </c>
      <c r="AG94" s="1">
        <f t="shared" si="22"/>
        <v>-3.4749096262839689</v>
      </c>
      <c r="AH94" s="1">
        <f t="shared" si="23"/>
        <v>-8.7662826766062469</v>
      </c>
      <c r="AI94" s="1" t="b">
        <f t="shared" si="24"/>
        <v>1</v>
      </c>
      <c r="AJ94" s="1" t="e">
        <f t="shared" si="32"/>
        <v>#N/A</v>
      </c>
      <c r="AK94" s="1" t="e">
        <f t="shared" si="33"/>
        <v>#N/A</v>
      </c>
      <c r="AL94" s="1" t="e">
        <f t="shared" si="28"/>
        <v>#N/A</v>
      </c>
      <c r="AM94" s="1" t="e">
        <f t="shared" si="29"/>
        <v>#N/A</v>
      </c>
      <c r="AN94" s="1"/>
      <c r="AP94" s="1">
        <f t="shared" si="34"/>
        <v>0.89000000000000057</v>
      </c>
      <c r="AQ94" s="1">
        <f t="shared" si="30"/>
        <v>2.4850049964311203</v>
      </c>
    </row>
    <row r="95" spans="25:43" s="10" customFormat="1" x14ac:dyDescent="0.25">
      <c r="Y95" s="1">
        <f t="shared" si="31"/>
        <v>0.50504680693546322</v>
      </c>
      <c r="Z95" s="1">
        <f t="shared" si="17"/>
        <v>3.7415395092641095</v>
      </c>
      <c r="AA95" s="1">
        <f t="shared" si="18"/>
        <v>2.6603958656138076</v>
      </c>
      <c r="AB95" s="1">
        <f t="shared" si="19"/>
        <v>6.8993997682133887</v>
      </c>
      <c r="AC95" s="1">
        <f t="shared" si="20"/>
        <v>1.7630802437225248</v>
      </c>
      <c r="AD95" s="1">
        <f t="shared" si="21"/>
        <v>7.1211072950368921</v>
      </c>
      <c r="AE95" s="1">
        <f t="shared" si="26"/>
        <v>0.2355828114240284</v>
      </c>
      <c r="AF95" s="1">
        <f t="shared" si="27"/>
        <v>0.24134968685441704</v>
      </c>
      <c r="AG95" s="1">
        <f t="shared" si="22"/>
        <v>-3.4572513567710517</v>
      </c>
      <c r="AH95" s="1">
        <f t="shared" si="23"/>
        <v>-8.7581007354639127</v>
      </c>
      <c r="AI95" s="1" t="b">
        <f t="shared" si="24"/>
        <v>1</v>
      </c>
      <c r="AJ95" s="1" t="e">
        <f t="shared" si="32"/>
        <v>#N/A</v>
      </c>
      <c r="AK95" s="1" t="e">
        <f t="shared" si="33"/>
        <v>#N/A</v>
      </c>
      <c r="AL95" s="1" t="e">
        <f t="shared" si="28"/>
        <v>#N/A</v>
      </c>
      <c r="AM95" s="1" t="e">
        <f t="shared" si="29"/>
        <v>#N/A</v>
      </c>
      <c r="AN95" s="1"/>
      <c r="AP95" s="1">
        <f t="shared" si="34"/>
        <v>0.90000000000000058</v>
      </c>
      <c r="AQ95" s="1">
        <f t="shared" si="30"/>
        <v>2.4877516059957179</v>
      </c>
    </row>
    <row r="96" spans="25:43" s="10" customFormat="1" x14ac:dyDescent="0.25">
      <c r="Y96" s="1">
        <f t="shared" si="31"/>
        <v>0.51065843812363498</v>
      </c>
      <c r="Z96" s="1">
        <f t="shared" si="17"/>
        <v>3.7802019610610804</v>
      </c>
      <c r="AA96" s="1">
        <f t="shared" si="18"/>
        <v>2.6701517236289214</v>
      </c>
      <c r="AB96" s="1">
        <f t="shared" si="19"/>
        <v>6.8896993584438748</v>
      </c>
      <c r="AC96" s="1">
        <f t="shared" si="20"/>
        <v>1.7385066281043562</v>
      </c>
      <c r="AD96" s="1">
        <f t="shared" si="21"/>
        <v>7.1056570805031622</v>
      </c>
      <c r="AE96" s="1">
        <f t="shared" si="26"/>
        <v>0.23609505187353552</v>
      </c>
      <c r="AF96" s="1">
        <f t="shared" si="27"/>
        <v>0.24165703112412132</v>
      </c>
      <c r="AG96" s="1">
        <f t="shared" si="22"/>
        <v>-3.43970346312561</v>
      </c>
      <c r="AH96" s="1">
        <f t="shared" si="23"/>
        <v>-8.7499579528017737</v>
      </c>
      <c r="AI96" s="1" t="b">
        <f t="shared" si="24"/>
        <v>1</v>
      </c>
      <c r="AJ96" s="1" t="e">
        <f t="shared" si="32"/>
        <v>#N/A</v>
      </c>
      <c r="AK96" s="1" t="e">
        <f t="shared" si="33"/>
        <v>#N/A</v>
      </c>
      <c r="AL96" s="1" t="e">
        <f t="shared" si="28"/>
        <v>#N/A</v>
      </c>
      <c r="AM96" s="1" t="e">
        <f t="shared" si="29"/>
        <v>#N/A</v>
      </c>
      <c r="AN96" s="1"/>
      <c r="AP96" s="1">
        <f t="shared" si="34"/>
        <v>0.91000000000000059</v>
      </c>
      <c r="AQ96" s="1">
        <f t="shared" si="30"/>
        <v>2.4902384011420415</v>
      </c>
    </row>
    <row r="97" spans="3:43" s="10" customFormat="1" x14ac:dyDescent="0.25">
      <c r="Y97" s="1">
        <f t="shared" si="31"/>
        <v>0.51627006931180675</v>
      </c>
      <c r="Z97" s="1">
        <f t="shared" si="17"/>
        <v>3.8188102540311859</v>
      </c>
      <c r="AA97" s="1">
        <f t="shared" si="18"/>
        <v>2.6797698117859867</v>
      </c>
      <c r="AB97" s="1">
        <f t="shared" si="19"/>
        <v>6.8800481848279764</v>
      </c>
      <c r="AC97" s="1">
        <f t="shared" si="20"/>
        <v>1.7139558596328168</v>
      </c>
      <c r="AD97" s="1">
        <f t="shared" si="21"/>
        <v>7.0903249371467032</v>
      </c>
      <c r="AE97" s="1">
        <f t="shared" si="26"/>
        <v>0.23660558463658438</v>
      </c>
      <c r="AF97" s="1">
        <f t="shared" si="27"/>
        <v>0.24196335078195064</v>
      </c>
      <c r="AG97" s="1">
        <f t="shared" si="22"/>
        <v>-3.4222652855807763</v>
      </c>
      <c r="AH97" s="1">
        <f t="shared" si="23"/>
        <v>-8.7418538539394444</v>
      </c>
      <c r="AI97" s="1" t="b">
        <f t="shared" si="24"/>
        <v>1</v>
      </c>
      <c r="AJ97" s="1" t="e">
        <f t="shared" si="32"/>
        <v>#N/A</v>
      </c>
      <c r="AK97" s="1" t="e">
        <f t="shared" si="33"/>
        <v>#N/A</v>
      </c>
      <c r="AL97" s="1" t="e">
        <f t="shared" si="28"/>
        <v>#N/A</v>
      </c>
      <c r="AM97" s="1" t="e">
        <f t="shared" si="29"/>
        <v>#N/A</v>
      </c>
      <c r="AN97" s="1"/>
      <c r="AP97" s="1">
        <f t="shared" si="34"/>
        <v>0.9200000000000006</v>
      </c>
      <c r="AQ97" s="1">
        <f t="shared" si="30"/>
        <v>2.4924653818700926</v>
      </c>
    </row>
    <row r="98" spans="3:43" s="10" customFormat="1" x14ac:dyDescent="0.25">
      <c r="C98" s="1"/>
      <c r="D98" s="1"/>
      <c r="Y98" s="1">
        <f t="shared" si="31"/>
        <v>0.52188170049997851</v>
      </c>
      <c r="Z98" s="1">
        <f t="shared" ref="Z98:Z100" si="35">Z97+AB97*$V$4+0.5*AG97*$V$4^2</f>
        <v>3.857364662742059</v>
      </c>
      <c r="AA98" s="1">
        <f t="shared" ref="AA98:AA100" si="36">AA97+AC97*$V$4+0.5*AH97*$V$4^2</f>
        <v>2.6892502576856794</v>
      </c>
      <c r="AB98" s="1">
        <f t="shared" ref="AB98:AB100" si="37">(Z98-Z97)/$V$4</f>
        <v>6.8704459395225586</v>
      </c>
      <c r="AC98" s="1">
        <f t="shared" ref="AC98:AC100" si="38">(AA98-AA97)/$V$4</f>
        <v>1.6894278297682037</v>
      </c>
      <c r="AD98" s="1">
        <f t="shared" ref="AD98:AD100" si="39">SQRT(AB98^2+AC98^2)</f>
        <v>7.0751108683820148</v>
      </c>
      <c r="AE98" s="1">
        <f t="shared" si="26"/>
        <v>0.23711437293711224</v>
      </c>
      <c r="AF98" s="1">
        <f t="shared" si="27"/>
        <v>0.24226862376226735</v>
      </c>
      <c r="AG98" s="1">
        <f t="shared" ref="AG98:AG100" si="40">-$V$11*AB98*AD98 - $V$12*AF98*AC98*AD98</f>
        <v>-3.4049361694543721</v>
      </c>
      <c r="AH98" s="1">
        <f t="shared" ref="AH98:AH100" si="41">$V$12*AF98*AD98*AB98 - $V$11*AC98*AD98 - 9.8</f>
        <v>-8.7337879648484105</v>
      </c>
      <c r="AI98" s="1" t="b">
        <f t="shared" ref="AI98:AI100" si="42">OR(AA97&lt;0, Z97&gt;$V$6)</f>
        <v>1</v>
      </c>
      <c r="AJ98" s="1" t="e">
        <f t="shared" si="32"/>
        <v>#N/A</v>
      </c>
      <c r="AK98" s="1" t="e">
        <f t="shared" si="33"/>
        <v>#N/A</v>
      </c>
      <c r="AL98" s="1" t="e">
        <f t="shared" si="28"/>
        <v>#N/A</v>
      </c>
      <c r="AM98" s="1" t="e">
        <f t="shared" si="29"/>
        <v>#N/A</v>
      </c>
      <c r="AN98" s="1"/>
      <c r="AP98" s="1">
        <f t="shared" si="34"/>
        <v>0.9300000000000006</v>
      </c>
      <c r="AQ98" s="1">
        <f t="shared" si="30"/>
        <v>2.494432548179871</v>
      </c>
    </row>
    <row r="99" spans="3:43" s="10" customFormat="1" x14ac:dyDescent="0.25">
      <c r="C99" s="1"/>
      <c r="D99" s="1"/>
      <c r="E99" s="1"/>
      <c r="F99" s="1"/>
      <c r="G99" s="1"/>
      <c r="Y99" s="1">
        <f t="shared" si="31"/>
        <v>0.52749333168815027</v>
      </c>
      <c r="Z99" s="1">
        <f t="shared" si="35"/>
        <v>3.8958654600441389</v>
      </c>
      <c r="AA99" s="1">
        <f t="shared" si="36"/>
        <v>2.6985931883270546</v>
      </c>
      <c r="AB99" s="1">
        <f t="shared" si="37"/>
        <v>6.8608923165214186</v>
      </c>
      <c r="AC99" s="1">
        <f t="shared" si="38"/>
        <v>1.6649224313009534</v>
      </c>
      <c r="AD99" s="1">
        <f t="shared" si="39"/>
        <v>7.0600148782528578</v>
      </c>
      <c r="AE99" s="1">
        <f t="shared" si="26"/>
        <v>0.23762137983370757</v>
      </c>
      <c r="AF99" s="1">
        <f t="shared" si="27"/>
        <v>0.24257282790022455</v>
      </c>
      <c r="AG99" s="1">
        <f t="shared" si="40"/>
        <v>-3.3877154650746628</v>
      </c>
      <c r="AH99" s="1">
        <f t="shared" si="41"/>
        <v>-8.7257598121442594</v>
      </c>
      <c r="AI99" s="1" t="b">
        <f t="shared" si="42"/>
        <v>1</v>
      </c>
      <c r="AJ99" s="1" t="e">
        <f t="shared" si="32"/>
        <v>#N/A</v>
      </c>
      <c r="AK99" s="1" t="e">
        <f t="shared" si="33"/>
        <v>#N/A</v>
      </c>
      <c r="AL99" s="1" t="e">
        <f t="shared" si="28"/>
        <v>#N/A</v>
      </c>
      <c r="AM99" s="1" t="e">
        <f t="shared" si="29"/>
        <v>#N/A</v>
      </c>
      <c r="AN99" s="1"/>
      <c r="AP99" s="1">
        <f t="shared" si="34"/>
        <v>0.94000000000000061</v>
      </c>
      <c r="AQ99" s="1">
        <f t="shared" si="30"/>
        <v>2.4961399000713778</v>
      </c>
    </row>
    <row r="100" spans="3:43" s="10" customFormat="1" x14ac:dyDescent="0.25">
      <c r="E100" s="1"/>
      <c r="F100" s="1"/>
      <c r="G100" s="1"/>
      <c r="Y100" s="1">
        <f t="shared" si="31"/>
        <v>0.53310496287632203</v>
      </c>
      <c r="Z100" s="1">
        <f t="shared" si="35"/>
        <v>3.9343129170808999</v>
      </c>
      <c r="AA100" s="1">
        <f t="shared" si="36"/>
        <v>2.7077987301150013</v>
      </c>
      <c r="AB100" s="1">
        <f t="shared" si="37"/>
        <v>6.8513870116412052</v>
      </c>
      <c r="AC100" s="1">
        <f t="shared" si="38"/>
        <v>1.640439558349821</v>
      </c>
      <c r="AD100" s="1">
        <f t="shared" si="39"/>
        <v>7.0450369713639374</v>
      </c>
      <c r="AE100" s="1">
        <f t="shared" si="26"/>
        <v>0.23812656822610817</v>
      </c>
      <c r="AF100" s="1">
        <f t="shared" si="27"/>
        <v>0.24287594093566489</v>
      </c>
      <c r="AG100" s="1">
        <f t="shared" si="40"/>
        <v>-3.3706025277066827</v>
      </c>
      <c r="AH100" s="1">
        <f t="shared" si="41"/>
        <v>-8.717768923079408</v>
      </c>
      <c r="AI100" s="1" t="b">
        <f t="shared" si="42"/>
        <v>1</v>
      </c>
      <c r="AJ100" s="1" t="e">
        <f t="shared" si="32"/>
        <v>#N/A</v>
      </c>
      <c r="AK100" s="1" t="e">
        <f t="shared" si="33"/>
        <v>#N/A</v>
      </c>
      <c r="AL100" s="1" t="e">
        <f t="shared" si="28"/>
        <v>#N/A</v>
      </c>
      <c r="AM100" s="1" t="e">
        <f t="shared" si="29"/>
        <v>#N/A</v>
      </c>
      <c r="AN100" s="1"/>
      <c r="AP100" s="1">
        <f t="shared" si="34"/>
        <v>0.95000000000000062</v>
      </c>
      <c r="AQ100" s="1">
        <f t="shared" si="30"/>
        <v>2.497587437544611</v>
      </c>
    </row>
    <row r="101" spans="3:43" s="10" customFormat="1" x14ac:dyDescent="0.25">
      <c r="Y101" s="1">
        <f t="shared" si="31"/>
        <v>0.53871659406449379</v>
      </c>
      <c r="Z101" s="1">
        <f t="shared" ref="Z101:Z104" si="43">Z100+AB100*$V$4+0.5*AG100*$V$4^2</f>
        <v>3.9727073032990026</v>
      </c>
      <c r="AA101" s="1">
        <f t="shared" ref="AA101:AA104" si="44">AA100+AC100*$V$4+0.5*AH100*$V$4^2</f>
        <v>2.7168670088676841</v>
      </c>
      <c r="AB101" s="1">
        <f t="shared" ref="AB101:AB104" si="45">(Z101-Z100)/$V$4</f>
        <v>6.8419297225074827</v>
      </c>
      <c r="AC101" s="1">
        <f t="shared" ref="AC101:AC104" si="46">(AA101-AA100)/$V$4</f>
        <v>1.6159791063598241</v>
      </c>
      <c r="AD101" s="1">
        <f t="shared" ref="AD101:AD104" si="47">SQRT(AB101^2+AC101^2)</f>
        <v>7.0301771528122119</v>
      </c>
      <c r="AE101" s="1">
        <f t="shared" ref="AE101:AE132" si="48">IFERROR($V$9*($D$13*2*PI())/AD101, 0)</f>
        <v>0.23862990086186822</v>
      </c>
      <c r="AF101" s="1">
        <f t="shared" si="27"/>
        <v>0.24317794051712094</v>
      </c>
      <c r="AG101" s="1">
        <f t="shared" ref="AG101:AG104" si="49">-$V$11*AB101*AD101 - $V$12*AF101*AC101*AD101</f>
        <v>-3.3535967174791326</v>
      </c>
      <c r="AH101" s="1">
        <f t="shared" ref="AH101:AH104" si="50">$V$12*AF101*AD101*AB101 - $V$11*AC101*AD101 - 9.8</f>
        <v>-8.7098148255363252</v>
      </c>
      <c r="AI101" s="1" t="b">
        <f t="shared" ref="AI101:AI104" si="51">OR(AA100&lt;0, Z100&gt;$V$6)</f>
        <v>1</v>
      </c>
      <c r="AJ101" s="1" t="e">
        <f t="shared" si="32"/>
        <v>#N/A</v>
      </c>
      <c r="AK101" s="1" t="e">
        <f t="shared" si="33"/>
        <v>#N/A</v>
      </c>
      <c r="AL101" s="1" t="e">
        <f t="shared" si="28"/>
        <v>#N/A</v>
      </c>
      <c r="AM101" s="1" t="e">
        <f t="shared" si="29"/>
        <v>#N/A</v>
      </c>
      <c r="AN101" s="1"/>
      <c r="AP101" s="1">
        <f t="shared" si="34"/>
        <v>0.96000000000000063</v>
      </c>
      <c r="AQ101" s="1">
        <f t="shared" si="30"/>
        <v>2.4987751605995712</v>
      </c>
    </row>
    <row r="102" spans="3:43" s="10" customFormat="1" x14ac:dyDescent="0.25">
      <c r="Y102" s="1">
        <f t="shared" si="31"/>
        <v>0.54432822525266555</v>
      </c>
      <c r="Z102" s="1">
        <f t="shared" si="43"/>
        <v>4.0110488864583687</v>
      </c>
      <c r="AA102" s="1">
        <f t="shared" si="44"/>
        <v>2.7257981498239778</v>
      </c>
      <c r="AB102" s="1">
        <f t="shared" si="45"/>
        <v>6.8325201485412075</v>
      </c>
      <c r="AC102" s="1">
        <f t="shared" si="46"/>
        <v>1.5915409721007376</v>
      </c>
      <c r="AD102" s="1">
        <f t="shared" si="47"/>
        <v>7.0154354281182663</v>
      </c>
      <c r="AE102" s="1">
        <f t="shared" si="48"/>
        <v>0.23913134034317962</v>
      </c>
      <c r="AF102" s="1">
        <f t="shared" si="27"/>
        <v>0.24347880420590778</v>
      </c>
      <c r="AG102" s="1">
        <f t="shared" si="49"/>
        <v>-3.3366973993123508</v>
      </c>
      <c r="AH102" s="1">
        <f t="shared" si="50"/>
        <v>-8.7018970480215394</v>
      </c>
      <c r="AI102" s="1" t="b">
        <f t="shared" si="51"/>
        <v>1</v>
      </c>
      <c r="AJ102" s="1" t="e">
        <f t="shared" si="32"/>
        <v>#N/A</v>
      </c>
      <c r="AK102" s="1" t="e">
        <f t="shared" si="33"/>
        <v>#N/A</v>
      </c>
      <c r="AL102" s="1" t="e">
        <f t="shared" si="28"/>
        <v>#N/A</v>
      </c>
      <c r="AM102" s="1" t="e">
        <f t="shared" si="29"/>
        <v>#N/A</v>
      </c>
      <c r="AN102" s="1"/>
      <c r="AP102" s="1">
        <f t="shared" si="34"/>
        <v>0.97000000000000064</v>
      </c>
      <c r="AQ102" s="1">
        <f t="shared" si="30"/>
        <v>2.4997030692362592</v>
      </c>
    </row>
    <row r="103" spans="3:43" s="10" customFormat="1" x14ac:dyDescent="0.25">
      <c r="Y103" s="1">
        <f t="shared" si="31"/>
        <v>0.54993985644083732</v>
      </c>
      <c r="Z103" s="1">
        <f t="shared" si="43"/>
        <v>4.0493379326421817</v>
      </c>
      <c r="AA103" s="1">
        <f t="shared" si="44"/>
        <v>2.7345922776508913</v>
      </c>
      <c r="AB103" s="1">
        <f t="shared" si="45"/>
        <v>6.8231579909454245</v>
      </c>
      <c r="AC103" s="1">
        <f t="shared" si="46"/>
        <v>1.5671250536652745</v>
      </c>
      <c r="AD103" s="1">
        <f t="shared" si="47"/>
        <v>7.0008118031573874</v>
      </c>
      <c r="AE103" s="1">
        <f t="shared" si="48"/>
        <v>0.23963084913385926</v>
      </c>
      <c r="AF103" s="1">
        <f t="shared" si="27"/>
        <v>0.24377850948031557</v>
      </c>
      <c r="AG103" s="1">
        <f t="shared" si="49"/>
        <v>-3.319903942846882</v>
      </c>
      <c r="AH103" s="1">
        <f t="shared" si="50"/>
        <v>-8.6940151196601008</v>
      </c>
      <c r="AI103" s="1" t="b">
        <f t="shared" si="51"/>
        <v>1</v>
      </c>
      <c r="AJ103" s="1" t="e">
        <f t="shared" si="32"/>
        <v>#N/A</v>
      </c>
      <c r="AK103" s="1" t="e">
        <f t="shared" si="33"/>
        <v>#N/A</v>
      </c>
      <c r="AL103" s="1" t="e">
        <f t="shared" si="28"/>
        <v>#N/A</v>
      </c>
      <c r="AM103" s="1" t="e">
        <f t="shared" si="29"/>
        <v>#N/A</v>
      </c>
      <c r="AN103" s="1"/>
      <c r="AP103" s="1">
        <f t="shared" si="34"/>
        <v>0.98000000000000065</v>
      </c>
      <c r="AQ103" s="1">
        <f t="shared" si="30"/>
        <v>2.5003711634546755</v>
      </c>
    </row>
    <row r="104" spans="3:43" s="10" customFormat="1" x14ac:dyDescent="0.25">
      <c r="Y104" s="1">
        <f t="shared" si="31"/>
        <v>0.55555148762900908</v>
      </c>
      <c r="Z104" s="1">
        <f t="shared" si="43"/>
        <v>4.0875747062668113</v>
      </c>
      <c r="AA104" s="1">
        <f t="shared" si="44"/>
        <v>2.7432495164509811</v>
      </c>
      <c r="AB104" s="1">
        <f t="shared" si="45"/>
        <v>6.8138429526917408</v>
      </c>
      <c r="AC104" s="1">
        <f t="shared" si="46"/>
        <v>1.5427312504673447</v>
      </c>
      <c r="AD104" s="1">
        <f t="shared" si="47"/>
        <v>6.9863062840900012</v>
      </c>
      <c r="AE104" s="1">
        <f t="shared" si="48"/>
        <v>0.24012838956651406</v>
      </c>
      <c r="AF104" s="1">
        <f t="shared" si="27"/>
        <v>0.24407703373990844</v>
      </c>
      <c r="AG104" s="1">
        <f t="shared" si="49"/>
        <v>-3.303215722372395</v>
      </c>
      <c r="AH104" s="1">
        <f t="shared" si="50"/>
        <v>-8.6861685701907803</v>
      </c>
      <c r="AI104" s="1" t="b">
        <f t="shared" si="51"/>
        <v>1</v>
      </c>
      <c r="AJ104" s="1" t="e">
        <f t="shared" si="32"/>
        <v>#N/A</v>
      </c>
      <c r="AK104" s="1" t="e">
        <f t="shared" si="33"/>
        <v>#N/A</v>
      </c>
      <c r="AL104" s="1" t="e">
        <f t="shared" si="28"/>
        <v>#N/A</v>
      </c>
      <c r="AM104" s="1" t="e">
        <f t="shared" si="29"/>
        <v>#N/A</v>
      </c>
      <c r="AN104" s="1"/>
      <c r="AP104" s="1">
        <f t="shared" si="34"/>
        <v>0.99000000000000066</v>
      </c>
      <c r="AQ104" s="1">
        <f t="shared" si="30"/>
        <v>2.5007794432548178</v>
      </c>
    </row>
    <row r="105" spans="3:43" s="10" customFormat="1" x14ac:dyDescent="0.25">
      <c r="C105" s="1"/>
      <c r="D105" s="1"/>
      <c r="Y105" s="1">
        <f t="shared" si="31"/>
        <v>0.56116311881718084</v>
      </c>
      <c r="Z105" s="1">
        <f t="shared" ref="Z105" si="52">Z104+AB104*$V$4+0.5*AG104*$V$4^2</f>
        <v>4.1257594700916647</v>
      </c>
      <c r="AA105" s="1">
        <f t="shared" ref="AA105" si="53">AA104+AC104*$V$4+0.5*AH104*$V$4^2</f>
        <v>2.7517699897697558</v>
      </c>
      <c r="AB105" s="1">
        <f t="shared" ref="AB105" si="54">(Z105-Z104)/$V$4</f>
        <v>6.8045747385072639</v>
      </c>
      <c r="AC105" s="1">
        <f t="shared" ref="AC105" si="55">(AA105-AA104)/$V$4</f>
        <v>1.5183594632402349</v>
      </c>
      <c r="AD105" s="1">
        <f t="shared" ref="AD105" si="56">SQRT(AB105^2+AC105^2)</f>
        <v>6.971918877292131</v>
      </c>
      <c r="AE105" s="1">
        <f t="shared" si="48"/>
        <v>0.24062392384986087</v>
      </c>
      <c r="AF105" s="1">
        <f t="shared" si="27"/>
        <v>0.24437435430991652</v>
      </c>
      <c r="AG105" s="1">
        <f t="shared" ref="AG105" si="57">-$V$11*AB105*AD105 - $V$12*AF105*AC105*AD105</f>
        <v>-3.2866321167575041</v>
      </c>
      <c r="AH105" s="1">
        <f t="shared" ref="AH105" si="58">$V$12*AF105*AD105*AB105 - $V$11*AC105*AD105 - 9.8</f>
        <v>-8.6783569299617653</v>
      </c>
      <c r="AI105" s="1" t="b">
        <f t="shared" ref="AI105" si="59">OR(AA104&lt;0, Z104&gt;$V$6)</f>
        <v>1</v>
      </c>
      <c r="AJ105" s="1" t="e">
        <f t="shared" si="32"/>
        <v>#N/A</v>
      </c>
      <c r="AK105" s="1" t="e">
        <f t="shared" si="33"/>
        <v>#N/A</v>
      </c>
      <c r="AL105" s="1" t="e">
        <f t="shared" si="28"/>
        <v>#N/A</v>
      </c>
      <c r="AM105" s="1" t="e">
        <f t="shared" si="29"/>
        <v>#N/A</v>
      </c>
      <c r="AN105" s="1"/>
      <c r="AP105" s="1">
        <f t="shared" si="34"/>
        <v>1.0000000000000007</v>
      </c>
      <c r="AQ105" s="1">
        <f t="shared" si="30"/>
        <v>2.5009279086366876</v>
      </c>
    </row>
    <row r="106" spans="3:43" s="10" customFormat="1" x14ac:dyDescent="0.25">
      <c r="E106" s="1"/>
      <c r="F106" s="1"/>
      <c r="G106" s="1"/>
    </row>
    <row r="107" spans="3:43" s="10" customFormat="1" x14ac:dyDescent="0.25"/>
    <row r="108" spans="3:43" s="10" customFormat="1" x14ac:dyDescent="0.25"/>
    <row r="109" spans="3:43" x14ac:dyDescent="0.25">
      <c r="C109" s="10"/>
      <c r="D109" s="10"/>
      <c r="E109" s="10"/>
      <c r="F109" s="10"/>
      <c r="G109" s="10"/>
    </row>
    <row r="110" spans="3:43" x14ac:dyDescent="0.25">
      <c r="C110" s="10"/>
      <c r="D110" s="10"/>
      <c r="E110" s="10"/>
      <c r="F110" s="10"/>
      <c r="G110" s="10"/>
    </row>
    <row r="111" spans="3:43" s="10" customFormat="1" x14ac:dyDescent="0.25">
      <c r="C111" s="1"/>
      <c r="D111" s="1"/>
    </row>
    <row r="112" spans="3:43" s="10" customFormat="1" x14ac:dyDescent="0.25">
      <c r="C112" s="1"/>
      <c r="D112" s="1"/>
      <c r="E112" s="1"/>
      <c r="F112" s="1"/>
      <c r="G112" s="1"/>
    </row>
    <row r="113" spans="3:7" s="10" customFormat="1" x14ac:dyDescent="0.25">
      <c r="C113" s="1"/>
      <c r="D113" s="1"/>
      <c r="E113" s="1"/>
      <c r="F113" s="1"/>
      <c r="G113" s="1"/>
    </row>
    <row r="114" spans="3:7" s="10" customFormat="1" x14ac:dyDescent="0.25">
      <c r="C114" s="1"/>
      <c r="D114" s="1"/>
      <c r="E114" s="1"/>
      <c r="F114" s="1"/>
      <c r="G114" s="1"/>
    </row>
    <row r="115" spans="3:7" s="10" customFormat="1" x14ac:dyDescent="0.25">
      <c r="C115" s="1"/>
      <c r="D115" s="1"/>
      <c r="E115" s="1"/>
      <c r="F115" s="1"/>
      <c r="G115" s="1"/>
    </row>
    <row r="117" spans="3:7" s="10" customFormat="1" x14ac:dyDescent="0.25">
      <c r="C117" s="1"/>
      <c r="D117" s="1"/>
      <c r="E117" s="1"/>
      <c r="F117" s="1"/>
      <c r="G117" s="1"/>
    </row>
    <row r="118" spans="3:7" s="10" customFormat="1" x14ac:dyDescent="0.25">
      <c r="C118" s="1"/>
      <c r="D118" s="1"/>
      <c r="E118" s="1"/>
      <c r="F118" s="1"/>
      <c r="G118" s="1"/>
    </row>
    <row r="119" spans="3:7" s="10" customFormat="1" x14ac:dyDescent="0.25">
      <c r="C119" s="1"/>
      <c r="D119" s="1"/>
      <c r="E119" s="1"/>
      <c r="F119" s="1"/>
      <c r="G119" s="1"/>
    </row>
    <row r="120" spans="3:7" s="10" customFormat="1" x14ac:dyDescent="0.25">
      <c r="C120" s="1"/>
      <c r="D120" s="1"/>
      <c r="E120" s="1"/>
      <c r="F120" s="1"/>
      <c r="G120" s="1"/>
    </row>
    <row r="121" spans="3:7" s="10" customFormat="1" x14ac:dyDescent="0.25">
      <c r="C121" s="1"/>
      <c r="D121" s="1"/>
      <c r="E121" s="1"/>
      <c r="F121" s="1"/>
      <c r="G121" s="1"/>
    </row>
  </sheetData>
  <sheetProtection formatCells="0" formatColumns="0" formatRows="0"/>
  <mergeCells count="7">
    <mergeCell ref="F32:G35"/>
    <mergeCell ref="C24:D28"/>
    <mergeCell ref="I3:J3"/>
    <mergeCell ref="C6:D6"/>
    <mergeCell ref="F6:G6"/>
    <mergeCell ref="F19:G22"/>
    <mergeCell ref="C31:D31"/>
  </mergeCells>
  <conditionalFormatting sqref="D33">
    <cfRule type="expression" dxfId="1" priority="2">
      <formula>ISTEXT(D33)</formula>
    </cfRule>
  </conditionalFormatting>
  <conditionalFormatting sqref="D33">
    <cfRule type="containsBlanks" dxfId="0" priority="1">
      <formula>LEN(TRIM(D33))=0</formula>
    </cfRule>
  </conditionalFormatting>
  <dataValidations count="1">
    <dataValidation type="list" allowBlank="1" showInputMessage="1" showErrorMessage="1" sqref="I3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Projectile_Metric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209550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´ÖÓÎÉÇØÍÐÉ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2020-04-06T22:59:51Z</dcterms:created>
  <dcterms:modified xsi:type="dcterms:W3CDTF">2020-04-11T00:33:14Z</dcterms:modified>
</cp:coreProperties>
</file>