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195" windowHeight="11310"/>
  </bookViews>
  <sheets>
    <sheet name="´ÖÓÎÉÇØÍÐÉ" sheetId="1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AP6" i="1" l="1"/>
  <c r="AS5" i="1"/>
  <c r="AS6" i="1" l="1"/>
  <c r="AP7" i="1"/>
  <c r="AS7" i="1" s="1"/>
  <c r="G13" i="1"/>
  <c r="AL5" i="1"/>
  <c r="AJ5" i="1"/>
  <c r="AM5" i="1"/>
  <c r="V5" i="1"/>
  <c r="V6" i="1"/>
  <c r="V7" i="1"/>
  <c r="V14" i="1"/>
  <c r="V8" i="1"/>
  <c r="V4" i="1" l="1"/>
  <c r="AP8" i="1"/>
  <c r="AS8" i="1" s="1"/>
  <c r="F14" i="1"/>
  <c r="C19" i="1"/>
  <c r="V15" i="1"/>
  <c r="D35" i="1"/>
  <c r="V9" i="1"/>
  <c r="C33" i="1"/>
  <c r="C32" i="1"/>
  <c r="AI5" i="1"/>
  <c r="AP9" i="1" l="1"/>
  <c r="AS9" i="1" s="1"/>
  <c r="AP10" i="1"/>
  <c r="AS10" i="1" s="1"/>
  <c r="V10" i="1"/>
  <c r="AP11" i="1" l="1"/>
  <c r="AS11" i="1" s="1"/>
  <c r="V12" i="1"/>
  <c r="V11" i="1"/>
  <c r="C15" i="1"/>
  <c r="AA5" i="1"/>
  <c r="AK5" i="1" s="1"/>
  <c r="C14" i="1"/>
  <c r="AP12" i="1" l="1"/>
  <c r="AS12" i="1" s="1"/>
  <c r="AI6" i="1"/>
  <c r="F12" i="1"/>
  <c r="C17" i="1"/>
  <c r="F17" i="1"/>
  <c r="C22" i="1"/>
  <c r="F16" i="1"/>
  <c r="C21" i="1"/>
  <c r="F9" i="1"/>
  <c r="C9" i="1"/>
  <c r="F8" i="1"/>
  <c r="C8" i="1"/>
  <c r="F7" i="1"/>
  <c r="C7" i="1"/>
  <c r="AP13" i="1" l="1"/>
  <c r="AS13" i="1" s="1"/>
  <c r="G12" i="1"/>
  <c r="AQ7" i="1" l="1"/>
  <c r="AT7" i="1" s="1"/>
  <c r="AQ5" i="1"/>
  <c r="AT5" i="1" s="1"/>
  <c r="AQ8" i="1"/>
  <c r="AT8" i="1" s="1"/>
  <c r="AQ6" i="1"/>
  <c r="AT6" i="1" s="1"/>
  <c r="AQ9" i="1"/>
  <c r="AT9" i="1" s="1"/>
  <c r="AQ10" i="1"/>
  <c r="AT10" i="1" s="1"/>
  <c r="AQ11" i="1"/>
  <c r="AT11" i="1" s="1"/>
  <c r="AQ12" i="1"/>
  <c r="AT12" i="1" s="1"/>
  <c r="AQ13" i="1"/>
  <c r="AT13" i="1" s="1"/>
  <c r="AP14" i="1"/>
  <c r="AS14" i="1" s="1"/>
  <c r="AR5" i="1"/>
  <c r="Y6" i="1"/>
  <c r="Y7" i="1" s="1"/>
  <c r="AC5" i="1"/>
  <c r="AA6" i="1" s="1"/>
  <c r="AB5" i="1"/>
  <c r="Z6" i="1" s="1"/>
  <c r="AR7" i="1" l="1"/>
  <c r="AQ14" i="1"/>
  <c r="AT14" i="1" s="1"/>
  <c r="AP15" i="1"/>
  <c r="AS15" i="1" s="1"/>
  <c r="AR11" i="1"/>
  <c r="AR10" i="1"/>
  <c r="AR9" i="1"/>
  <c r="AR6" i="1"/>
  <c r="AR12" i="1"/>
  <c r="AR8" i="1"/>
  <c r="AR13" i="1"/>
  <c r="Y8" i="1"/>
  <c r="AD5" i="1"/>
  <c r="AE5" i="1" s="1"/>
  <c r="AF5" i="1" s="1"/>
  <c r="AQ15" i="1" l="1"/>
  <c r="AT15" i="1" s="1"/>
  <c r="AP16" i="1"/>
  <c r="AS16" i="1" s="1"/>
  <c r="AR14" i="1"/>
  <c r="Y9" i="1"/>
  <c r="AH5" i="1"/>
  <c r="AG5" i="1"/>
  <c r="AJ6" i="1" l="1"/>
  <c r="AL6" i="1" s="1"/>
  <c r="AB6" i="1"/>
  <c r="AK6" i="1"/>
  <c r="AM6" i="1" s="1"/>
  <c r="AC6" i="1"/>
  <c r="AQ16" i="1"/>
  <c r="AT16" i="1" s="1"/>
  <c r="AP17" i="1"/>
  <c r="AS17" i="1" s="1"/>
  <c r="AR15" i="1"/>
  <c r="Y10" i="1"/>
  <c r="AI7" i="1"/>
  <c r="AA7" i="1" l="1"/>
  <c r="AQ17" i="1"/>
  <c r="AT17" i="1" s="1"/>
  <c r="AP18" i="1"/>
  <c r="AS18" i="1" s="1"/>
  <c r="AR16" i="1"/>
  <c r="Y11" i="1"/>
  <c r="AQ18" i="1" l="1"/>
  <c r="AT18" i="1" s="1"/>
  <c r="AP19" i="1"/>
  <c r="AS19" i="1" s="1"/>
  <c r="AR17" i="1"/>
  <c r="Y12" i="1"/>
  <c r="AQ19" i="1" l="1"/>
  <c r="AT19" i="1" s="1"/>
  <c r="AP20" i="1"/>
  <c r="AS20" i="1" s="1"/>
  <c r="AR18" i="1"/>
  <c r="Y13" i="1"/>
  <c r="AQ20" i="1" l="1"/>
  <c r="AT20" i="1" s="1"/>
  <c r="AP21" i="1"/>
  <c r="AS21" i="1" s="1"/>
  <c r="AR19" i="1"/>
  <c r="Y14" i="1"/>
  <c r="AQ21" i="1" l="1"/>
  <c r="AT21" i="1" s="1"/>
  <c r="AP22" i="1"/>
  <c r="AS22" i="1" s="1"/>
  <c r="AR20" i="1"/>
  <c r="Y15" i="1"/>
  <c r="AQ22" i="1" l="1"/>
  <c r="AT22" i="1" s="1"/>
  <c r="AP23" i="1"/>
  <c r="AS23" i="1" s="1"/>
  <c r="AR21" i="1"/>
  <c r="Y16" i="1"/>
  <c r="AQ23" i="1" l="1"/>
  <c r="AT23" i="1" s="1"/>
  <c r="AP24" i="1"/>
  <c r="AS24" i="1" s="1"/>
  <c r="AR22" i="1"/>
  <c r="Y17" i="1"/>
  <c r="AQ24" i="1" l="1"/>
  <c r="AT24" i="1" s="1"/>
  <c r="AP25" i="1"/>
  <c r="AS25" i="1" s="1"/>
  <c r="AR23" i="1"/>
  <c r="Y18" i="1"/>
  <c r="AQ25" i="1" l="1"/>
  <c r="AT25" i="1" s="1"/>
  <c r="AP26" i="1"/>
  <c r="AS26" i="1" s="1"/>
  <c r="AR24" i="1"/>
  <c r="Y19" i="1"/>
  <c r="AQ26" i="1" l="1"/>
  <c r="AT26" i="1" s="1"/>
  <c r="AP27" i="1"/>
  <c r="AS27" i="1" s="1"/>
  <c r="AR25" i="1"/>
  <c r="Y20" i="1"/>
  <c r="AQ27" i="1" l="1"/>
  <c r="AT27" i="1" s="1"/>
  <c r="AP28" i="1"/>
  <c r="AS28" i="1" s="1"/>
  <c r="AR26" i="1"/>
  <c r="Y21" i="1"/>
  <c r="AQ28" i="1" l="1"/>
  <c r="AT28" i="1" s="1"/>
  <c r="AP29" i="1"/>
  <c r="AS29" i="1" s="1"/>
  <c r="AR27" i="1"/>
  <c r="Y22" i="1"/>
  <c r="AQ29" i="1" l="1"/>
  <c r="AT29" i="1" s="1"/>
  <c r="AP30" i="1"/>
  <c r="AS30" i="1" s="1"/>
  <c r="AR28" i="1"/>
  <c r="Y23" i="1"/>
  <c r="AQ30" i="1" l="1"/>
  <c r="AT30" i="1" s="1"/>
  <c r="AP31" i="1"/>
  <c r="AS31" i="1" s="1"/>
  <c r="AR29" i="1"/>
  <c r="Y24" i="1"/>
  <c r="AQ31" i="1" l="1"/>
  <c r="AT31" i="1" s="1"/>
  <c r="AP32" i="1"/>
  <c r="AS32" i="1" s="1"/>
  <c r="AR30" i="1"/>
  <c r="Y25" i="1"/>
  <c r="AQ32" i="1" l="1"/>
  <c r="AT32" i="1" s="1"/>
  <c r="AP33" i="1"/>
  <c r="AS33" i="1" s="1"/>
  <c r="AR31" i="1"/>
  <c r="Y26" i="1"/>
  <c r="AQ33" i="1" l="1"/>
  <c r="AT33" i="1" s="1"/>
  <c r="AP34" i="1"/>
  <c r="AS34" i="1" s="1"/>
  <c r="AR32" i="1"/>
  <c r="Y27" i="1"/>
  <c r="AQ34" i="1" l="1"/>
  <c r="AT34" i="1" s="1"/>
  <c r="AP35" i="1"/>
  <c r="AS35" i="1" s="1"/>
  <c r="AR33" i="1"/>
  <c r="Y28" i="1"/>
  <c r="AQ35" i="1" l="1"/>
  <c r="AT35" i="1" s="1"/>
  <c r="AP36" i="1"/>
  <c r="AS36" i="1" s="1"/>
  <c r="AR34" i="1"/>
  <c r="Y29" i="1"/>
  <c r="AQ36" i="1" l="1"/>
  <c r="AT36" i="1" s="1"/>
  <c r="AP37" i="1"/>
  <c r="AS37" i="1" s="1"/>
  <c r="AR35" i="1"/>
  <c r="Y30" i="1"/>
  <c r="AQ37" i="1" l="1"/>
  <c r="AT37" i="1" s="1"/>
  <c r="AP38" i="1"/>
  <c r="AS38" i="1" s="1"/>
  <c r="AR36" i="1"/>
  <c r="Y31" i="1"/>
  <c r="AQ38" i="1" l="1"/>
  <c r="AT38" i="1" s="1"/>
  <c r="AP39" i="1"/>
  <c r="AS39" i="1" s="1"/>
  <c r="AR37" i="1"/>
  <c r="Y32" i="1"/>
  <c r="AQ39" i="1" l="1"/>
  <c r="AT39" i="1" s="1"/>
  <c r="AP40" i="1"/>
  <c r="AS40" i="1" s="1"/>
  <c r="AR38" i="1"/>
  <c r="Y33" i="1"/>
  <c r="AQ40" i="1" l="1"/>
  <c r="AT40" i="1" s="1"/>
  <c r="AP41" i="1"/>
  <c r="AS41" i="1" s="1"/>
  <c r="AR39" i="1"/>
  <c r="Y34" i="1"/>
  <c r="AQ41" i="1" l="1"/>
  <c r="AT41" i="1" s="1"/>
  <c r="AP42" i="1"/>
  <c r="AS42" i="1" s="1"/>
  <c r="AR40" i="1"/>
  <c r="Y35" i="1"/>
  <c r="AQ42" i="1" l="1"/>
  <c r="AT42" i="1" s="1"/>
  <c r="AP43" i="1"/>
  <c r="AS43" i="1" s="1"/>
  <c r="AR41" i="1"/>
  <c r="Y36" i="1"/>
  <c r="AQ43" i="1" l="1"/>
  <c r="AT43" i="1" s="1"/>
  <c r="AP44" i="1"/>
  <c r="AS44" i="1" s="1"/>
  <c r="AR42" i="1"/>
  <c r="Y37" i="1"/>
  <c r="AQ44" i="1" l="1"/>
  <c r="AT44" i="1" s="1"/>
  <c r="AP45" i="1"/>
  <c r="AS45" i="1" s="1"/>
  <c r="AR43" i="1"/>
  <c r="Y38" i="1"/>
  <c r="AQ45" i="1" l="1"/>
  <c r="AT45" i="1" s="1"/>
  <c r="AP46" i="1"/>
  <c r="AS46" i="1" s="1"/>
  <c r="AR44" i="1"/>
  <c r="Y39" i="1"/>
  <c r="AQ46" i="1" l="1"/>
  <c r="AT46" i="1" s="1"/>
  <c r="AP47" i="1"/>
  <c r="AS47" i="1" s="1"/>
  <c r="AR45" i="1"/>
  <c r="Y40" i="1"/>
  <c r="AQ47" i="1" l="1"/>
  <c r="AT47" i="1" s="1"/>
  <c r="AP48" i="1"/>
  <c r="AS48" i="1" s="1"/>
  <c r="AR46" i="1"/>
  <c r="Y41" i="1"/>
  <c r="AQ48" i="1" l="1"/>
  <c r="AT48" i="1" s="1"/>
  <c r="AP49" i="1"/>
  <c r="AS49" i="1" s="1"/>
  <c r="AR47" i="1"/>
  <c r="Y42" i="1"/>
  <c r="AQ49" i="1" l="1"/>
  <c r="AT49" i="1" s="1"/>
  <c r="AP50" i="1"/>
  <c r="AS50" i="1" s="1"/>
  <c r="AR48" i="1"/>
  <c r="Y43" i="1"/>
  <c r="AQ50" i="1" l="1"/>
  <c r="AT50" i="1" s="1"/>
  <c r="AP51" i="1"/>
  <c r="AS51" i="1" s="1"/>
  <c r="AR49" i="1"/>
  <c r="Y44" i="1"/>
  <c r="AQ51" i="1" l="1"/>
  <c r="AT51" i="1" s="1"/>
  <c r="AP52" i="1"/>
  <c r="AS52" i="1" s="1"/>
  <c r="AR50" i="1"/>
  <c r="Y45" i="1"/>
  <c r="AQ52" i="1" l="1"/>
  <c r="AT52" i="1" s="1"/>
  <c r="AP53" i="1"/>
  <c r="AS53" i="1" s="1"/>
  <c r="AR51" i="1"/>
  <c r="Y46" i="1"/>
  <c r="AQ53" i="1" l="1"/>
  <c r="AT53" i="1" s="1"/>
  <c r="AP54" i="1"/>
  <c r="AS54" i="1" s="1"/>
  <c r="AR52" i="1"/>
  <c r="Y47" i="1"/>
  <c r="AQ54" i="1" l="1"/>
  <c r="AT54" i="1" s="1"/>
  <c r="AP55" i="1"/>
  <c r="AS55" i="1" s="1"/>
  <c r="AR53" i="1"/>
  <c r="Y48" i="1"/>
  <c r="AQ55" i="1" l="1"/>
  <c r="AT55" i="1" s="1"/>
  <c r="AP56" i="1"/>
  <c r="AS56" i="1" s="1"/>
  <c r="AR54" i="1"/>
  <c r="Y49" i="1"/>
  <c r="AQ56" i="1" l="1"/>
  <c r="AT56" i="1" s="1"/>
  <c r="AP57" i="1"/>
  <c r="AS57" i="1" s="1"/>
  <c r="AR55" i="1"/>
  <c r="Y50" i="1"/>
  <c r="AQ57" i="1" l="1"/>
  <c r="AT57" i="1" s="1"/>
  <c r="AP58" i="1"/>
  <c r="AS58" i="1" s="1"/>
  <c r="AR56" i="1"/>
  <c r="Y51" i="1"/>
  <c r="AQ58" i="1" l="1"/>
  <c r="AT58" i="1" s="1"/>
  <c r="AP59" i="1"/>
  <c r="AS59" i="1" s="1"/>
  <c r="AR57" i="1"/>
  <c r="Y52" i="1"/>
  <c r="AQ59" i="1" l="1"/>
  <c r="AT59" i="1" s="1"/>
  <c r="AP60" i="1"/>
  <c r="AS60" i="1" s="1"/>
  <c r="AR58" i="1"/>
  <c r="Y53" i="1"/>
  <c r="AQ60" i="1" l="1"/>
  <c r="AT60" i="1" s="1"/>
  <c r="AP61" i="1"/>
  <c r="AS61" i="1" s="1"/>
  <c r="AR59" i="1"/>
  <c r="Y54" i="1"/>
  <c r="AQ61" i="1" l="1"/>
  <c r="AT61" i="1" s="1"/>
  <c r="AP62" i="1"/>
  <c r="AS62" i="1" s="1"/>
  <c r="AR60" i="1"/>
  <c r="Y55" i="1"/>
  <c r="AQ62" i="1" l="1"/>
  <c r="AT62" i="1" s="1"/>
  <c r="AP63" i="1"/>
  <c r="AS63" i="1" s="1"/>
  <c r="AR61" i="1"/>
  <c r="Y56" i="1"/>
  <c r="AQ63" i="1" l="1"/>
  <c r="AT63" i="1" s="1"/>
  <c r="AP64" i="1"/>
  <c r="AS64" i="1" s="1"/>
  <c r="AR62" i="1"/>
  <c r="Y57" i="1"/>
  <c r="AQ64" i="1" l="1"/>
  <c r="AT64" i="1" s="1"/>
  <c r="AP65" i="1"/>
  <c r="AS65" i="1" s="1"/>
  <c r="AR63" i="1"/>
  <c r="Y58" i="1"/>
  <c r="AQ65" i="1" l="1"/>
  <c r="AT65" i="1" s="1"/>
  <c r="AP66" i="1"/>
  <c r="AS66" i="1" s="1"/>
  <c r="AR64" i="1"/>
  <c r="Y59" i="1"/>
  <c r="AQ66" i="1" l="1"/>
  <c r="AT66" i="1" s="1"/>
  <c r="AP67" i="1"/>
  <c r="AS67" i="1" s="1"/>
  <c r="AR65" i="1"/>
  <c r="Y60" i="1"/>
  <c r="AQ67" i="1" l="1"/>
  <c r="AT67" i="1" s="1"/>
  <c r="AP68" i="1"/>
  <c r="AS68" i="1" s="1"/>
  <c r="AR66" i="1"/>
  <c r="Y61" i="1"/>
  <c r="AQ68" i="1" l="1"/>
  <c r="AT68" i="1" s="1"/>
  <c r="AP69" i="1"/>
  <c r="AS69" i="1" s="1"/>
  <c r="AR67" i="1"/>
  <c r="Y62" i="1"/>
  <c r="AQ69" i="1" l="1"/>
  <c r="AT69" i="1" s="1"/>
  <c r="AP70" i="1"/>
  <c r="AS70" i="1" s="1"/>
  <c r="AR68" i="1"/>
  <c r="Y63" i="1"/>
  <c r="AQ70" i="1" l="1"/>
  <c r="AT70" i="1" s="1"/>
  <c r="AP71" i="1"/>
  <c r="AS71" i="1" s="1"/>
  <c r="AR69" i="1"/>
  <c r="Y64" i="1"/>
  <c r="AQ71" i="1" l="1"/>
  <c r="AT71" i="1" s="1"/>
  <c r="AP72" i="1"/>
  <c r="AS72" i="1" s="1"/>
  <c r="AR70" i="1"/>
  <c r="Y65" i="1"/>
  <c r="AQ72" i="1" l="1"/>
  <c r="AT72" i="1" s="1"/>
  <c r="AP73" i="1"/>
  <c r="AS73" i="1" s="1"/>
  <c r="AR71" i="1"/>
  <c r="Y66" i="1"/>
  <c r="AQ73" i="1" l="1"/>
  <c r="AT73" i="1" s="1"/>
  <c r="AP74" i="1"/>
  <c r="AS74" i="1" s="1"/>
  <c r="AR72" i="1"/>
  <c r="Y67" i="1"/>
  <c r="AQ74" i="1" l="1"/>
  <c r="AT74" i="1" s="1"/>
  <c r="AP75" i="1"/>
  <c r="AS75" i="1" s="1"/>
  <c r="AR73" i="1"/>
  <c r="Y68" i="1"/>
  <c r="AQ75" i="1" l="1"/>
  <c r="AT75" i="1" s="1"/>
  <c r="AP76" i="1"/>
  <c r="AS76" i="1" s="1"/>
  <c r="AR74" i="1"/>
  <c r="Y69" i="1"/>
  <c r="AQ76" i="1" l="1"/>
  <c r="AT76" i="1" s="1"/>
  <c r="AP77" i="1"/>
  <c r="AS77" i="1" s="1"/>
  <c r="AR75" i="1"/>
  <c r="Y70" i="1"/>
  <c r="AQ77" i="1" l="1"/>
  <c r="AT77" i="1" s="1"/>
  <c r="AP78" i="1"/>
  <c r="AS78" i="1" s="1"/>
  <c r="AR76" i="1"/>
  <c r="Y71" i="1"/>
  <c r="AQ78" i="1" l="1"/>
  <c r="AT78" i="1" s="1"/>
  <c r="AP79" i="1"/>
  <c r="AS79" i="1" s="1"/>
  <c r="AR77" i="1"/>
  <c r="Y72" i="1"/>
  <c r="AQ79" i="1" l="1"/>
  <c r="AT79" i="1" s="1"/>
  <c r="AP80" i="1"/>
  <c r="AS80" i="1" s="1"/>
  <c r="AR78" i="1"/>
  <c r="Y73" i="1"/>
  <c r="AQ80" i="1" l="1"/>
  <c r="AT80" i="1" s="1"/>
  <c r="AP81" i="1"/>
  <c r="AS81" i="1" s="1"/>
  <c r="AR79" i="1"/>
  <c r="Y74" i="1"/>
  <c r="AQ81" i="1" l="1"/>
  <c r="AT81" i="1" s="1"/>
  <c r="AP82" i="1"/>
  <c r="AS82" i="1" s="1"/>
  <c r="AR80" i="1"/>
  <c r="Y75" i="1"/>
  <c r="AQ82" i="1" l="1"/>
  <c r="AT82" i="1" s="1"/>
  <c r="AP83" i="1"/>
  <c r="AS83" i="1" s="1"/>
  <c r="AR81" i="1"/>
  <c r="Y76" i="1"/>
  <c r="AQ83" i="1" l="1"/>
  <c r="AT83" i="1" s="1"/>
  <c r="AP84" i="1"/>
  <c r="AS84" i="1" s="1"/>
  <c r="AR82" i="1"/>
  <c r="Y77" i="1"/>
  <c r="AQ84" i="1" l="1"/>
  <c r="AT84" i="1" s="1"/>
  <c r="AP85" i="1"/>
  <c r="AS85" i="1" s="1"/>
  <c r="AR83" i="1"/>
  <c r="Y78" i="1"/>
  <c r="AQ85" i="1" l="1"/>
  <c r="AT85" i="1" s="1"/>
  <c r="AP86" i="1"/>
  <c r="AS86" i="1" s="1"/>
  <c r="AR84" i="1"/>
  <c r="Y79" i="1"/>
  <c r="AP87" i="1" l="1"/>
  <c r="AS87" i="1" s="1"/>
  <c r="AQ86" i="1"/>
  <c r="AT86" i="1" s="1"/>
  <c r="AR85" i="1"/>
  <c r="Y80" i="1"/>
  <c r="AQ87" i="1" l="1"/>
  <c r="AT87" i="1" s="1"/>
  <c r="AP88" i="1"/>
  <c r="AS88" i="1" s="1"/>
  <c r="AR86" i="1"/>
  <c r="Y81" i="1"/>
  <c r="AQ88" i="1" l="1"/>
  <c r="AT88" i="1" s="1"/>
  <c r="AP89" i="1"/>
  <c r="AS89" i="1" s="1"/>
  <c r="AR87" i="1"/>
  <c r="Y82" i="1"/>
  <c r="AQ89" i="1" l="1"/>
  <c r="AT89" i="1" s="1"/>
  <c r="AP90" i="1"/>
  <c r="AS90" i="1" s="1"/>
  <c r="AR88" i="1"/>
  <c r="Y83" i="1"/>
  <c r="AQ90" i="1" l="1"/>
  <c r="AT90" i="1" s="1"/>
  <c r="AP91" i="1"/>
  <c r="AS91" i="1" s="1"/>
  <c r="AR89" i="1"/>
  <c r="Y84" i="1"/>
  <c r="AQ91" i="1" l="1"/>
  <c r="AT91" i="1" s="1"/>
  <c r="AP92" i="1"/>
  <c r="AS92" i="1" s="1"/>
  <c r="AR90" i="1"/>
  <c r="Y85" i="1"/>
  <c r="AQ92" i="1" l="1"/>
  <c r="AT92" i="1" s="1"/>
  <c r="AP93" i="1"/>
  <c r="AS93" i="1" s="1"/>
  <c r="AR91" i="1"/>
  <c r="Y86" i="1"/>
  <c r="AQ93" i="1" l="1"/>
  <c r="AT93" i="1" s="1"/>
  <c r="AP94" i="1"/>
  <c r="AS94" i="1" s="1"/>
  <c r="AR92" i="1"/>
  <c r="Y87" i="1"/>
  <c r="AP95" i="1" l="1"/>
  <c r="AS95" i="1" s="1"/>
  <c r="AQ94" i="1"/>
  <c r="AT94" i="1" s="1"/>
  <c r="AR93" i="1"/>
  <c r="Y88" i="1"/>
  <c r="AQ95" i="1" l="1"/>
  <c r="AT95" i="1" s="1"/>
  <c r="AP96" i="1"/>
  <c r="AS96" i="1" s="1"/>
  <c r="AR94" i="1"/>
  <c r="Y89" i="1"/>
  <c r="AQ96" i="1" l="1"/>
  <c r="AT96" i="1" s="1"/>
  <c r="AP97" i="1"/>
  <c r="AS97" i="1" s="1"/>
  <c r="AR95" i="1"/>
  <c r="Y90" i="1"/>
  <c r="AQ97" i="1" l="1"/>
  <c r="AT97" i="1" s="1"/>
  <c r="AP98" i="1"/>
  <c r="AS98" i="1" s="1"/>
  <c r="AR96" i="1"/>
  <c r="Y91" i="1"/>
  <c r="AQ98" i="1" l="1"/>
  <c r="AT98" i="1" s="1"/>
  <c r="AP99" i="1"/>
  <c r="AS99" i="1" s="1"/>
  <c r="AR97" i="1"/>
  <c r="Y92" i="1"/>
  <c r="AQ99" i="1" l="1"/>
  <c r="AT99" i="1" s="1"/>
  <c r="AP100" i="1"/>
  <c r="AS100" i="1" s="1"/>
  <c r="AR98" i="1"/>
  <c r="Y93" i="1"/>
  <c r="AQ100" i="1" l="1"/>
  <c r="AT100" i="1" s="1"/>
  <c r="AP101" i="1"/>
  <c r="AS101" i="1" s="1"/>
  <c r="AR99" i="1"/>
  <c r="Y94" i="1"/>
  <c r="AQ101" i="1" l="1"/>
  <c r="AT101" i="1" s="1"/>
  <c r="AP102" i="1"/>
  <c r="AS102" i="1" s="1"/>
  <c r="AR100" i="1"/>
  <c r="Y95" i="1"/>
  <c r="AP103" i="1" l="1"/>
  <c r="AS103" i="1" s="1"/>
  <c r="AQ102" i="1"/>
  <c r="AT102" i="1" s="1"/>
  <c r="AR101" i="1"/>
  <c r="Y96" i="1"/>
  <c r="AQ103" i="1" l="1"/>
  <c r="AT103" i="1" s="1"/>
  <c r="AP104" i="1"/>
  <c r="AS104" i="1" s="1"/>
  <c r="AR102" i="1"/>
  <c r="Y97" i="1"/>
  <c r="AQ104" i="1" l="1"/>
  <c r="AT104" i="1" s="1"/>
  <c r="AP105" i="1"/>
  <c r="AR103" i="1"/>
  <c r="Y98" i="1"/>
  <c r="AQ105" i="1" l="1"/>
  <c r="AT105" i="1" s="1"/>
  <c r="AS105" i="1"/>
  <c r="AR104" i="1"/>
  <c r="Y99" i="1"/>
  <c r="AR105" i="1" l="1"/>
  <c r="G14" i="1" s="1"/>
  <c r="Y100" i="1"/>
  <c r="Y101" i="1" l="1"/>
  <c r="Y102" i="1" l="1"/>
  <c r="Y103" i="1" l="1"/>
  <c r="Y104" i="1" l="1"/>
  <c r="Y105" i="1" l="1"/>
  <c r="AK7" i="1" l="1"/>
  <c r="AM7" i="1" s="1"/>
  <c r="AD6" i="1"/>
  <c r="Z7" i="1"/>
  <c r="AJ7" i="1" l="1"/>
  <c r="AI8" i="1"/>
  <c r="AE6" i="1"/>
  <c r="AF6" i="1" s="1"/>
  <c r="AG6" i="1" l="1"/>
  <c r="AB7" i="1" s="1"/>
  <c r="Z8" i="1" s="1"/>
  <c r="AH6" i="1"/>
  <c r="AC7" i="1" s="1"/>
  <c r="AA8" i="1" s="1"/>
  <c r="AK8" i="1" s="1"/>
  <c r="AM8" i="1" s="1"/>
  <c r="AJ8" i="1"/>
  <c r="AL8" i="1" s="1"/>
  <c r="AL7" i="1"/>
  <c r="AI9" i="1" l="1"/>
  <c r="AD7" i="1"/>
  <c r="AE7" i="1" s="1"/>
  <c r="AF7" i="1" s="1"/>
  <c r="AH7" i="1" s="1"/>
  <c r="AC8" i="1" s="1"/>
  <c r="AA9" i="1" l="1"/>
  <c r="AG7" i="1"/>
  <c r="AB8" i="1" s="1"/>
  <c r="Z9" i="1" l="1"/>
  <c r="AD8" i="1"/>
  <c r="AK9" i="1"/>
  <c r="AM9" i="1" s="1"/>
  <c r="AE8" i="1" l="1"/>
  <c r="AF8" i="1" s="1"/>
  <c r="AH8" i="1" s="1"/>
  <c r="AC9" i="1" s="1"/>
  <c r="AJ9" i="1"/>
  <c r="AL9" i="1" s="1"/>
  <c r="AI10" i="1"/>
  <c r="AG8" i="1" l="1"/>
  <c r="AB9" i="1" s="1"/>
  <c r="AA10" i="1"/>
  <c r="AD9" i="1" l="1"/>
  <c r="AE9" i="1" s="1"/>
  <c r="AF9" i="1" s="1"/>
  <c r="AH9" i="1" s="1"/>
  <c r="AC10" i="1" s="1"/>
  <c r="Z10" i="1"/>
  <c r="AI11" i="1" s="1"/>
  <c r="AK10" i="1"/>
  <c r="AM10" i="1" s="1"/>
  <c r="AG9" i="1" l="1"/>
  <c r="AB10" i="1" s="1"/>
  <c r="AJ10" i="1"/>
  <c r="AL10" i="1" s="1"/>
  <c r="AA11" i="1"/>
  <c r="AD10" i="1" l="1"/>
  <c r="AE10" i="1" s="1"/>
  <c r="AF10" i="1" s="1"/>
  <c r="AH10" i="1" s="1"/>
  <c r="AC11" i="1" s="1"/>
  <c r="Z11" i="1"/>
  <c r="AK11" i="1"/>
  <c r="AM11" i="1" s="1"/>
  <c r="AJ11" i="1" l="1"/>
  <c r="AL11" i="1" s="1"/>
  <c r="AI12" i="1"/>
  <c r="AG10" i="1"/>
  <c r="AB11" i="1" s="1"/>
  <c r="AA12" i="1"/>
  <c r="AK12" i="1" l="1"/>
  <c r="AM12" i="1" s="1"/>
  <c r="AD11" i="1"/>
  <c r="AE11" i="1" s="1"/>
  <c r="AF11" i="1" s="1"/>
  <c r="AH11" i="1" s="1"/>
  <c r="AC12" i="1" s="1"/>
  <c r="AA13" i="1" s="1"/>
  <c r="Z12" i="1"/>
  <c r="AJ12" i="1" l="1"/>
  <c r="AL12" i="1" s="1"/>
  <c r="AG11" i="1"/>
  <c r="AB12" i="1" s="1"/>
  <c r="AI13" i="1"/>
  <c r="AK13" i="1" l="1"/>
  <c r="AM13" i="1" s="1"/>
  <c r="AD12" i="1"/>
  <c r="AE12" i="1" s="1"/>
  <c r="AF12" i="1" s="1"/>
  <c r="AH12" i="1" s="1"/>
  <c r="AC13" i="1" s="1"/>
  <c r="Z13" i="1"/>
  <c r="AG12" i="1" l="1"/>
  <c r="AB13" i="1" s="1"/>
  <c r="Z14" i="1" s="1"/>
  <c r="AI14" i="1"/>
  <c r="AJ13" i="1"/>
  <c r="AL13" i="1" s="1"/>
  <c r="AA14" i="1"/>
  <c r="AD13" i="1" l="1"/>
  <c r="AE13" i="1" s="1"/>
  <c r="AF13" i="1" s="1"/>
  <c r="AH13" i="1" s="1"/>
  <c r="AC14" i="1" s="1"/>
  <c r="AA15" i="1" s="1"/>
  <c r="AK14" i="1"/>
  <c r="AM14" i="1" s="1"/>
  <c r="AJ14" i="1"/>
  <c r="AL14" i="1" s="1"/>
  <c r="AI15" i="1"/>
  <c r="AK15" i="1" l="1"/>
  <c r="AM15" i="1" s="1"/>
  <c r="AG13" i="1"/>
  <c r="AB14" i="1" s="1"/>
  <c r="Z15" i="1" l="1"/>
  <c r="AD14" i="1"/>
  <c r="AE14" i="1" s="1"/>
  <c r="AF14" i="1" s="1"/>
  <c r="AH14" i="1" s="1"/>
  <c r="AC15" i="1" s="1"/>
  <c r="AA16" i="1" s="1"/>
  <c r="AI16" i="1" l="1"/>
  <c r="AJ15" i="1"/>
  <c r="AL15" i="1" s="1"/>
  <c r="AG14" i="1"/>
  <c r="AB15" i="1" s="1"/>
  <c r="AD15" i="1" s="1"/>
  <c r="AE15" i="1" s="1"/>
  <c r="AF15" i="1" s="1"/>
  <c r="AH15" i="1" s="1"/>
  <c r="AC16" i="1" s="1"/>
  <c r="AA17" i="1" s="1"/>
  <c r="Z16" i="1" l="1"/>
  <c r="AI17" i="1" s="1"/>
  <c r="AK17" i="1" s="1"/>
  <c r="AM17" i="1" s="1"/>
  <c r="AG15" i="1"/>
  <c r="AB16" i="1" s="1"/>
  <c r="AD16" i="1" s="1"/>
  <c r="AE16" i="1" s="1"/>
  <c r="AF16" i="1" s="1"/>
  <c r="AH16" i="1" s="1"/>
  <c r="AC17" i="1" s="1"/>
  <c r="AJ16" i="1"/>
  <c r="AL16" i="1" s="1"/>
  <c r="AK16" i="1"/>
  <c r="AM16" i="1" s="1"/>
  <c r="Z17" i="1" l="1"/>
  <c r="AJ17" i="1"/>
  <c r="AL17" i="1" s="1"/>
  <c r="AI18" i="1"/>
  <c r="AG16" i="1"/>
  <c r="AB17" i="1" s="1"/>
  <c r="AA18" i="1"/>
  <c r="AK18" i="1" l="1"/>
  <c r="AM18" i="1" s="1"/>
  <c r="AD17" i="1"/>
  <c r="AE17" i="1" s="1"/>
  <c r="AF17" i="1" s="1"/>
  <c r="AH17" i="1" s="1"/>
  <c r="AC18" i="1" s="1"/>
  <c r="AA19" i="1" s="1"/>
  <c r="Z18" i="1"/>
  <c r="AG17" i="1" l="1"/>
  <c r="AB18" i="1" s="1"/>
  <c r="AD18" i="1"/>
  <c r="AE18" i="1" s="1"/>
  <c r="AF18" i="1" s="1"/>
  <c r="AH18" i="1" s="1"/>
  <c r="AC19" i="1" s="1"/>
  <c r="Z19" i="1"/>
  <c r="AJ18" i="1"/>
  <c r="AL18" i="1" s="1"/>
  <c r="AI19" i="1"/>
  <c r="AK19" i="1" s="1"/>
  <c r="AM19" i="1" s="1"/>
  <c r="AG18" i="1" l="1"/>
  <c r="AB19" i="1" s="1"/>
  <c r="AD19" i="1" s="1"/>
  <c r="AE19" i="1" s="1"/>
  <c r="AF19" i="1" s="1"/>
  <c r="AH19" i="1" s="1"/>
  <c r="AC20" i="1" s="1"/>
  <c r="AA20" i="1"/>
  <c r="AJ19" i="1"/>
  <c r="AL19" i="1" s="1"/>
  <c r="Z20" i="1"/>
  <c r="AI20" i="1"/>
  <c r="AG19" i="1" l="1"/>
  <c r="AB20" i="1" s="1"/>
  <c r="AD20" i="1" s="1"/>
  <c r="AE20" i="1" s="1"/>
  <c r="AF20" i="1" s="1"/>
  <c r="AH20" i="1" s="1"/>
  <c r="AC21" i="1" s="1"/>
  <c r="AJ20" i="1"/>
  <c r="AL20" i="1" s="1"/>
  <c r="AK20" i="1"/>
  <c r="AM20" i="1" s="1"/>
  <c r="AA21" i="1"/>
  <c r="AI21" i="1"/>
  <c r="AG20" i="1" l="1"/>
  <c r="AB21" i="1" s="1"/>
  <c r="Z21" i="1"/>
  <c r="AD21" i="1"/>
  <c r="AE21" i="1" s="1"/>
  <c r="AF21" i="1" s="1"/>
  <c r="AH21" i="1" s="1"/>
  <c r="AC22" i="1" s="1"/>
  <c r="AA22" i="1"/>
  <c r="AI22" i="1"/>
  <c r="Z22" i="1"/>
  <c r="AJ21" i="1"/>
  <c r="AL21" i="1" s="1"/>
  <c r="AK21" i="1"/>
  <c r="AM21" i="1" s="1"/>
  <c r="AG21" i="1" l="1"/>
  <c r="AB22" i="1" s="1"/>
  <c r="AD22" i="1"/>
  <c r="AE22" i="1" s="1"/>
  <c r="AF22" i="1" s="1"/>
  <c r="AH22" i="1" s="1"/>
  <c r="AC23" i="1" s="1"/>
  <c r="AA23" i="1"/>
  <c r="AI23" i="1"/>
  <c r="Z23" i="1"/>
  <c r="AJ22" i="1"/>
  <c r="AL22" i="1" s="1"/>
  <c r="AK22" i="1"/>
  <c r="AM22" i="1" s="1"/>
  <c r="AG22" i="1" l="1"/>
  <c r="AB23" i="1" s="1"/>
  <c r="AD23" i="1" s="1"/>
  <c r="AA24" i="1"/>
  <c r="AI24" i="1"/>
  <c r="AJ23" i="1"/>
  <c r="AL23" i="1" s="1"/>
  <c r="AK23" i="1"/>
  <c r="AM23" i="1" s="1"/>
  <c r="Z24" i="1" l="1"/>
  <c r="AE23" i="1"/>
  <c r="AF23" i="1" s="1"/>
  <c r="AH23" i="1" s="1"/>
  <c r="AC24" i="1" s="1"/>
  <c r="AA25" i="1" s="1"/>
  <c r="AI25" i="1"/>
  <c r="AK24" i="1"/>
  <c r="AM24" i="1" s="1"/>
  <c r="AJ24" i="1"/>
  <c r="AL24" i="1" s="1"/>
  <c r="AG23" i="1" l="1"/>
  <c r="AB24" i="1" s="1"/>
  <c r="AK25" i="1"/>
  <c r="AM25" i="1" s="1"/>
  <c r="Z25" i="1" l="1"/>
  <c r="AD24" i="1"/>
  <c r="AE24" i="1" s="1"/>
  <c r="AF24" i="1" s="1"/>
  <c r="AH24" i="1" s="1"/>
  <c r="AC25" i="1" s="1"/>
  <c r="AG24" i="1" l="1"/>
  <c r="AB25" i="1" s="1"/>
  <c r="AA26" i="1"/>
  <c r="AD25" i="1"/>
  <c r="AE25" i="1" s="1"/>
  <c r="AF25" i="1" s="1"/>
  <c r="AH25" i="1" s="1"/>
  <c r="AC26" i="1" s="1"/>
  <c r="AG25" i="1"/>
  <c r="AB26" i="1" s="1"/>
  <c r="Z26" i="1"/>
  <c r="AI26" i="1"/>
  <c r="AJ25" i="1"/>
  <c r="AL25" i="1" s="1"/>
  <c r="AJ26" i="1" l="1"/>
  <c r="AL26" i="1" s="1"/>
  <c r="AK26" i="1"/>
  <c r="AM26" i="1" s="1"/>
  <c r="AD26" i="1"/>
  <c r="AE26" i="1" s="1"/>
  <c r="AF26" i="1" s="1"/>
  <c r="AH26" i="1" s="1"/>
  <c r="AC27" i="1" s="1"/>
  <c r="Z27" i="1"/>
  <c r="AA27" i="1"/>
  <c r="AI27" i="1"/>
  <c r="AG26" i="1" l="1"/>
  <c r="AB27" i="1" s="1"/>
  <c r="AD27" i="1" s="1"/>
  <c r="AE27" i="1" s="1"/>
  <c r="AF27" i="1" s="1"/>
  <c r="AH27" i="1" s="1"/>
  <c r="AC28" i="1" s="1"/>
  <c r="AA28" i="1"/>
  <c r="AI28" i="1"/>
  <c r="Z28" i="1"/>
  <c r="AK27" i="1"/>
  <c r="AM27" i="1" s="1"/>
  <c r="AJ27" i="1"/>
  <c r="AL27" i="1" s="1"/>
  <c r="AG27" i="1" l="1"/>
  <c r="AB28" i="1" s="1"/>
  <c r="Z29" i="1" s="1"/>
  <c r="AJ28" i="1"/>
  <c r="AL28" i="1" s="1"/>
  <c r="AK28" i="1"/>
  <c r="AM28" i="1" s="1"/>
  <c r="AD28" i="1"/>
  <c r="AE28" i="1" s="1"/>
  <c r="AF28" i="1" s="1"/>
  <c r="AH28" i="1" s="1"/>
  <c r="AC29" i="1" s="1"/>
  <c r="AA29" i="1"/>
  <c r="AI29" i="1"/>
  <c r="AA30" i="1" l="1"/>
  <c r="AI30" i="1"/>
  <c r="AG28" i="1"/>
  <c r="AB29" i="1" s="1"/>
  <c r="AJ29" i="1"/>
  <c r="AL29" i="1" s="1"/>
  <c r="AK29" i="1"/>
  <c r="AM29" i="1" s="1"/>
  <c r="AD29" i="1" l="1"/>
  <c r="AE29" i="1" s="1"/>
  <c r="AF29" i="1" s="1"/>
  <c r="AH29" i="1" s="1"/>
  <c r="AC30" i="1" s="1"/>
  <c r="AA31" i="1" s="1"/>
  <c r="AK30" i="1"/>
  <c r="AM30" i="1" s="1"/>
  <c r="Z30" i="1"/>
  <c r="AJ30" i="1" s="1"/>
  <c r="AL30" i="1" s="1"/>
  <c r="AI31" i="1" l="1"/>
  <c r="AG29" i="1"/>
  <c r="AB30" i="1" s="1"/>
  <c r="AD30" i="1" l="1"/>
  <c r="AE30" i="1" s="1"/>
  <c r="AF30" i="1" s="1"/>
  <c r="AH30" i="1" s="1"/>
  <c r="AC31" i="1" s="1"/>
  <c r="AK31" i="1"/>
  <c r="AM31" i="1" s="1"/>
  <c r="Z31" i="1"/>
  <c r="AJ31" i="1" s="1"/>
  <c r="AL31" i="1" s="1"/>
  <c r="AG30" i="1" l="1"/>
  <c r="AB31" i="1" s="1"/>
  <c r="Z32" i="1" s="1"/>
  <c r="AI32" i="1"/>
  <c r="AA32" i="1"/>
  <c r="AK32" i="1" l="1"/>
  <c r="AM32" i="1" s="1"/>
  <c r="AJ32" i="1"/>
  <c r="AL32" i="1" s="1"/>
  <c r="AI33" i="1"/>
  <c r="AD31" i="1"/>
  <c r="AE31" i="1" s="1"/>
  <c r="AF31" i="1" s="1"/>
  <c r="AH31" i="1" s="1"/>
  <c r="AC32" i="1" s="1"/>
  <c r="AA33" i="1" s="1"/>
  <c r="AG31" i="1" l="1"/>
  <c r="AB32" i="1" s="1"/>
  <c r="AK33" i="1"/>
  <c r="AM33" i="1" s="1"/>
  <c r="AD32" i="1" l="1"/>
  <c r="AE32" i="1" s="1"/>
  <c r="AF32" i="1" s="1"/>
  <c r="AH32" i="1" s="1"/>
  <c r="AC33" i="1" s="1"/>
  <c r="Z33" i="1"/>
  <c r="AJ33" i="1" l="1"/>
  <c r="AL33" i="1" s="1"/>
  <c r="AI34" i="1"/>
  <c r="AG32" i="1"/>
  <c r="AB33" i="1" s="1"/>
  <c r="AA34" i="1"/>
  <c r="AK34" i="1" l="1"/>
  <c r="AM34" i="1" s="1"/>
  <c r="AD33" i="1"/>
  <c r="AE33" i="1" s="1"/>
  <c r="AF33" i="1" s="1"/>
  <c r="AH33" i="1" s="1"/>
  <c r="AC34" i="1" s="1"/>
  <c r="AA35" i="1" s="1"/>
  <c r="Z34" i="1"/>
  <c r="AI35" i="1" s="1"/>
  <c r="AK35" i="1" l="1"/>
  <c r="AM35" i="1" s="1"/>
  <c r="AG33" i="1"/>
  <c r="AB34" i="1" s="1"/>
  <c r="Z35" i="1" s="1"/>
  <c r="AJ35" i="1" s="1"/>
  <c r="AL35" i="1" s="1"/>
  <c r="AJ34" i="1"/>
  <c r="AL34" i="1" s="1"/>
  <c r="AD34" i="1" l="1"/>
  <c r="AE34" i="1" s="1"/>
  <c r="AF34" i="1" s="1"/>
  <c r="AH34" i="1" s="1"/>
  <c r="AC35" i="1" s="1"/>
  <c r="AI36" i="1"/>
  <c r="AG34" i="1" l="1"/>
  <c r="AB35" i="1" s="1"/>
  <c r="AA36" i="1"/>
  <c r="AD35" i="1" l="1"/>
  <c r="AE35" i="1" s="1"/>
  <c r="AF35" i="1" s="1"/>
  <c r="AH35" i="1" s="1"/>
  <c r="AC36" i="1" s="1"/>
  <c r="AA37" i="1" s="1"/>
  <c r="Z36" i="1"/>
  <c r="AK36" i="1"/>
  <c r="AM36" i="1" s="1"/>
  <c r="AJ36" i="1" l="1"/>
  <c r="AL36" i="1" s="1"/>
  <c r="AI37" i="1"/>
  <c r="AG35" i="1"/>
  <c r="AB36" i="1" s="1"/>
  <c r="Z37" i="1" s="1"/>
  <c r="AD36" i="1" l="1"/>
  <c r="AE36" i="1" s="1"/>
  <c r="AF36" i="1" s="1"/>
  <c r="AH36" i="1" s="1"/>
  <c r="AC37" i="1" s="1"/>
  <c r="AA38" i="1" s="1"/>
  <c r="AK37" i="1"/>
  <c r="AM37" i="1" s="1"/>
  <c r="AJ37" i="1"/>
  <c r="AL37" i="1" s="1"/>
  <c r="AI38" i="1"/>
  <c r="AG36" i="1" l="1"/>
  <c r="AB37" i="1" s="1"/>
  <c r="AD37" i="1" s="1"/>
  <c r="AE37" i="1" s="1"/>
  <c r="AF37" i="1" s="1"/>
  <c r="AH37" i="1" s="1"/>
  <c r="AC38" i="1" s="1"/>
  <c r="AA39" i="1" s="1"/>
  <c r="AK38" i="1"/>
  <c r="AM38" i="1" s="1"/>
  <c r="Z38" i="1"/>
  <c r="AJ38" i="1" s="1"/>
  <c r="AL38" i="1" s="1"/>
  <c r="AI39" i="1" l="1"/>
  <c r="AG37" i="1"/>
  <c r="AB38" i="1" s="1"/>
  <c r="Z39" i="1" s="1"/>
  <c r="AK39" i="1" l="1"/>
  <c r="AM39" i="1" s="1"/>
  <c r="AJ39" i="1"/>
  <c r="AL39" i="1" s="1"/>
  <c r="AD38" i="1"/>
  <c r="AE38" i="1" s="1"/>
  <c r="AF38" i="1" s="1"/>
  <c r="AH38" i="1" s="1"/>
  <c r="AC39" i="1" s="1"/>
  <c r="AA40" i="1" s="1"/>
  <c r="AI40" i="1"/>
  <c r="AG38" i="1" l="1"/>
  <c r="AB39" i="1" s="1"/>
  <c r="AD39" i="1"/>
  <c r="AE39" i="1" s="1"/>
  <c r="AF39" i="1" s="1"/>
  <c r="AH39" i="1" s="1"/>
  <c r="AC40" i="1" s="1"/>
  <c r="AA41" i="1" s="1"/>
  <c r="Z40" i="1"/>
  <c r="AJ40" i="1" s="1"/>
  <c r="AL40" i="1" s="1"/>
  <c r="AI41" i="1"/>
  <c r="AK40" i="1"/>
  <c r="AM40" i="1" s="1"/>
  <c r="AK41" i="1" l="1"/>
  <c r="AM41" i="1" s="1"/>
  <c r="AG39" i="1"/>
  <c r="AB40" i="1" s="1"/>
  <c r="Z41" i="1" s="1"/>
  <c r="AI42" i="1" s="1"/>
  <c r="AJ41" i="1" l="1"/>
  <c r="AL41" i="1" s="1"/>
  <c r="AD40" i="1"/>
  <c r="AE40" i="1" s="1"/>
  <c r="AF40" i="1" s="1"/>
  <c r="AH40" i="1" s="1"/>
  <c r="AC41" i="1" s="1"/>
  <c r="AA42" i="1" s="1"/>
  <c r="AK42" i="1" s="1"/>
  <c r="AM42" i="1" s="1"/>
  <c r="AG40" i="1" l="1"/>
  <c r="AB41" i="1" s="1"/>
  <c r="Z42" i="1" s="1"/>
  <c r="AI43" i="1" s="1"/>
  <c r="AD41" i="1" l="1"/>
  <c r="AE41" i="1" s="1"/>
  <c r="AF41" i="1" s="1"/>
  <c r="AH41" i="1" s="1"/>
  <c r="AC42" i="1" s="1"/>
  <c r="AA43" i="1" s="1"/>
  <c r="AK43" i="1" s="1"/>
  <c r="AM43" i="1" s="1"/>
  <c r="AJ42" i="1"/>
  <c r="AL42" i="1" s="1"/>
  <c r="AG41" i="1" l="1"/>
  <c r="AB42" i="1" s="1"/>
  <c r="AD42" i="1" l="1"/>
  <c r="Z43" i="1"/>
  <c r="AI44" i="1" l="1"/>
  <c r="AJ43" i="1"/>
  <c r="AL43" i="1" s="1"/>
  <c r="AE42" i="1"/>
  <c r="AF42" i="1" s="1"/>
  <c r="AH42" i="1" s="1"/>
  <c r="AC43" i="1" s="1"/>
  <c r="AA44" i="1" s="1"/>
  <c r="AK44" i="1" l="1"/>
  <c r="AM44" i="1" s="1"/>
  <c r="AG42" i="1"/>
  <c r="AB43" i="1" s="1"/>
  <c r="AD43" i="1" l="1"/>
  <c r="AE43" i="1" s="1"/>
  <c r="AF43" i="1" s="1"/>
  <c r="AH43" i="1" s="1"/>
  <c r="AC44" i="1" s="1"/>
  <c r="AA45" i="1" s="1"/>
  <c r="Z44" i="1"/>
  <c r="AJ44" i="1" l="1"/>
  <c r="AL44" i="1" s="1"/>
  <c r="AI45" i="1"/>
  <c r="AG43" i="1"/>
  <c r="AB44" i="1" s="1"/>
  <c r="AD44" i="1" l="1"/>
  <c r="AE44" i="1" s="1"/>
  <c r="AF44" i="1" s="1"/>
  <c r="AH44" i="1" s="1"/>
  <c r="AC45" i="1" s="1"/>
  <c r="AA46" i="1" s="1"/>
  <c r="AK45" i="1"/>
  <c r="AM45" i="1" s="1"/>
  <c r="Z45" i="1"/>
  <c r="AI46" i="1" l="1"/>
  <c r="AJ45" i="1"/>
  <c r="AL45" i="1" s="1"/>
  <c r="AG44" i="1"/>
  <c r="AB45" i="1" s="1"/>
  <c r="AD45" i="1" l="1"/>
  <c r="AE45" i="1" s="1"/>
  <c r="AF45" i="1" s="1"/>
  <c r="AH45" i="1" s="1"/>
  <c r="AC46" i="1" s="1"/>
  <c r="AA47" i="1" s="1"/>
  <c r="Z46" i="1"/>
  <c r="AK46" i="1"/>
  <c r="AM46" i="1" s="1"/>
  <c r="AJ46" i="1"/>
  <c r="AL46" i="1" s="1"/>
  <c r="AI47" i="1" l="1"/>
  <c r="AG45" i="1"/>
  <c r="AB46" i="1" s="1"/>
  <c r="AK47" i="1" l="1"/>
  <c r="AM47" i="1" s="1"/>
  <c r="AD46" i="1"/>
  <c r="AE46" i="1" s="1"/>
  <c r="AF46" i="1" s="1"/>
  <c r="AH46" i="1" s="1"/>
  <c r="AC47" i="1" s="1"/>
  <c r="Z47" i="1"/>
  <c r="AJ47" i="1" s="1"/>
  <c r="AL47" i="1" s="1"/>
  <c r="AA48" i="1" l="1"/>
  <c r="AG46" i="1"/>
  <c r="AB47" i="1" s="1"/>
  <c r="Z48" i="1"/>
  <c r="AI48" i="1"/>
  <c r="AD47" i="1" l="1"/>
  <c r="AE47" i="1" s="1"/>
  <c r="AF47" i="1" s="1"/>
  <c r="AH47" i="1" s="1"/>
  <c r="AC48" i="1" s="1"/>
  <c r="AG47" i="1"/>
  <c r="AB48" i="1" s="1"/>
  <c r="AA49" i="1"/>
  <c r="AI49" i="1"/>
  <c r="AK48" i="1"/>
  <c r="AM48" i="1" s="1"/>
  <c r="AJ48" i="1"/>
  <c r="AL48" i="1" s="1"/>
  <c r="AD48" i="1" l="1"/>
  <c r="AE48" i="1" s="1"/>
  <c r="AF48" i="1" s="1"/>
  <c r="AH48" i="1" s="1"/>
  <c r="AC49" i="1" s="1"/>
  <c r="AA50" i="1" s="1"/>
  <c r="AK49" i="1"/>
  <c r="AM49" i="1" s="1"/>
  <c r="Z49" i="1"/>
  <c r="AG48" i="1" l="1"/>
  <c r="AB49" i="1" s="1"/>
  <c r="AJ49" i="1"/>
  <c r="AL49" i="1" s="1"/>
  <c r="AI50" i="1"/>
  <c r="AD49" i="1" l="1"/>
  <c r="AE49" i="1" s="1"/>
  <c r="AF49" i="1" s="1"/>
  <c r="AH49" i="1" s="1"/>
  <c r="AC50" i="1" s="1"/>
  <c r="AA51" i="1" s="1"/>
  <c r="Z50" i="1"/>
  <c r="AJ50" i="1"/>
  <c r="AL50" i="1" s="1"/>
  <c r="AK50" i="1"/>
  <c r="AM50" i="1" s="1"/>
  <c r="AI51" i="1" l="1"/>
  <c r="AG49" i="1"/>
  <c r="AB50" i="1" s="1"/>
  <c r="AD50" i="1" l="1"/>
  <c r="AE50" i="1" s="1"/>
  <c r="AF50" i="1" s="1"/>
  <c r="AH50" i="1" s="1"/>
  <c r="AC51" i="1" s="1"/>
  <c r="AK51" i="1"/>
  <c r="AM51" i="1" s="1"/>
  <c r="Z51" i="1"/>
  <c r="AJ51" i="1" s="1"/>
  <c r="AL51" i="1" s="1"/>
  <c r="AG50" i="1" l="1"/>
  <c r="AB51" i="1" s="1"/>
  <c r="Z52" i="1" s="1"/>
  <c r="AI52" i="1"/>
  <c r="AA52" i="1"/>
  <c r="AK52" i="1" l="1"/>
  <c r="AM52" i="1" s="1"/>
  <c r="AJ52" i="1"/>
  <c r="AL52" i="1" s="1"/>
  <c r="AI53" i="1"/>
  <c r="AD51" i="1"/>
  <c r="AE51" i="1" s="1"/>
  <c r="AF51" i="1" s="1"/>
  <c r="AH51" i="1" s="1"/>
  <c r="AC52" i="1" s="1"/>
  <c r="AG51" i="1" l="1"/>
  <c r="AB52" i="1" s="1"/>
  <c r="AD52" i="1"/>
  <c r="AE52" i="1" s="1"/>
  <c r="AF52" i="1" s="1"/>
  <c r="AH52" i="1" s="1"/>
  <c r="AC53" i="1" s="1"/>
  <c r="AA53" i="1"/>
  <c r="AK53" i="1" s="1"/>
  <c r="AM53" i="1" s="1"/>
  <c r="Z53" i="1"/>
  <c r="AG52" i="1" l="1"/>
  <c r="AB53" i="1" s="1"/>
  <c r="Z54" i="1"/>
  <c r="AD53" i="1"/>
  <c r="AE53" i="1" s="1"/>
  <c r="AF53" i="1" s="1"/>
  <c r="AH53" i="1" s="1"/>
  <c r="AC54" i="1" s="1"/>
  <c r="AJ53" i="1"/>
  <c r="AL53" i="1" s="1"/>
  <c r="AA54" i="1"/>
  <c r="AI54" i="1"/>
  <c r="AJ54" i="1" l="1"/>
  <c r="AL54" i="1" s="1"/>
  <c r="AK54" i="1"/>
  <c r="AM54" i="1" s="1"/>
  <c r="AG53" i="1"/>
  <c r="AB54" i="1" s="1"/>
  <c r="AA55" i="1"/>
  <c r="AI55" i="1"/>
  <c r="AD54" i="1" l="1"/>
  <c r="AE54" i="1" s="1"/>
  <c r="AF54" i="1" s="1"/>
  <c r="AH54" i="1" s="1"/>
  <c r="AC55" i="1" s="1"/>
  <c r="Z55" i="1"/>
  <c r="AI56" i="1" s="1"/>
  <c r="AK55" i="1"/>
  <c r="AM55" i="1" s="1"/>
  <c r="AA56" i="1"/>
  <c r="AK56" i="1" l="1"/>
  <c r="AM56" i="1" s="1"/>
  <c r="AG54" i="1"/>
  <c r="AB55" i="1" s="1"/>
  <c r="AJ55" i="1"/>
  <c r="AL55" i="1" s="1"/>
  <c r="AD55" i="1" l="1"/>
  <c r="AE55" i="1" s="1"/>
  <c r="AF55" i="1" s="1"/>
  <c r="AH55" i="1" s="1"/>
  <c r="AC56" i="1" s="1"/>
  <c r="AA57" i="1" s="1"/>
  <c r="Z56" i="1"/>
  <c r="AJ56" i="1" l="1"/>
  <c r="AL56" i="1" s="1"/>
  <c r="AI57" i="1"/>
  <c r="AG55" i="1"/>
  <c r="AB56" i="1" s="1"/>
  <c r="Z57" i="1" s="1"/>
  <c r="AD56" i="1" l="1"/>
  <c r="AE56" i="1" s="1"/>
  <c r="AF56" i="1" s="1"/>
  <c r="AH56" i="1" s="1"/>
  <c r="AC57" i="1" s="1"/>
  <c r="AA58" i="1" s="1"/>
  <c r="AG56" i="1"/>
  <c r="AB57" i="1"/>
  <c r="AK57" i="1"/>
  <c r="AM57" i="1" s="1"/>
  <c r="AJ57" i="1"/>
  <c r="AL57" i="1" s="1"/>
  <c r="AI58" i="1"/>
  <c r="AK58" i="1" l="1"/>
  <c r="AM58" i="1" s="1"/>
  <c r="AD57" i="1"/>
  <c r="AE57" i="1" s="1"/>
  <c r="AF57" i="1" s="1"/>
  <c r="AH57" i="1" s="1"/>
  <c r="AC58" i="1" s="1"/>
  <c r="AA59" i="1" s="1"/>
  <c r="Z58" i="1"/>
  <c r="AI59" i="1" l="1"/>
  <c r="AG57" i="1"/>
  <c r="AB58" i="1" s="1"/>
  <c r="Z59" i="1" s="1"/>
  <c r="AJ58" i="1"/>
  <c r="AL58" i="1" s="1"/>
  <c r="AI60" i="1" l="1"/>
  <c r="AJ59" i="1"/>
  <c r="AL59" i="1" s="1"/>
  <c r="AK59" i="1"/>
  <c r="AM59" i="1" s="1"/>
  <c r="AD58" i="1"/>
  <c r="AE58" i="1" s="1"/>
  <c r="AF58" i="1" s="1"/>
  <c r="AH58" i="1" s="1"/>
  <c r="AC59" i="1" s="1"/>
  <c r="AG58" i="1" l="1"/>
  <c r="AB59" i="1" s="1"/>
  <c r="AA60" i="1"/>
  <c r="AK60" i="1" s="1"/>
  <c r="AM60" i="1" s="1"/>
  <c r="AD59" i="1" l="1"/>
  <c r="AE59" i="1" s="1"/>
  <c r="AF59" i="1" s="1"/>
  <c r="AH59" i="1" s="1"/>
  <c r="AC60" i="1" s="1"/>
  <c r="AA61" i="1" s="1"/>
  <c r="AG59" i="1"/>
  <c r="AB60" i="1" s="1"/>
  <c r="Z60" i="1"/>
  <c r="AI61" i="1" s="1"/>
  <c r="AK61" i="1" l="1"/>
  <c r="AM61" i="1" s="1"/>
  <c r="AD60" i="1"/>
  <c r="AE60" i="1" s="1"/>
  <c r="AF60" i="1" s="1"/>
  <c r="AH60" i="1" s="1"/>
  <c r="AC61" i="1" s="1"/>
  <c r="AA62" i="1" s="1"/>
  <c r="Z61" i="1"/>
  <c r="AJ61" i="1" s="1"/>
  <c r="AL61" i="1" s="1"/>
  <c r="AJ60" i="1"/>
  <c r="AL60" i="1" s="1"/>
  <c r="AG60" i="1" l="1"/>
  <c r="AB61" i="1" s="1"/>
  <c r="AD61" i="1"/>
  <c r="AE61" i="1" s="1"/>
  <c r="AF61" i="1" s="1"/>
  <c r="AH61" i="1" s="1"/>
  <c r="AC62" i="1" s="1"/>
  <c r="AA63" i="1" s="1"/>
  <c r="AI62" i="1"/>
  <c r="Z62" i="1"/>
  <c r="AG61" i="1" l="1"/>
  <c r="AB62" i="1" s="1"/>
  <c r="AK62" i="1"/>
  <c r="AM62" i="1" s="1"/>
  <c r="AJ62" i="1"/>
  <c r="AL62" i="1" s="1"/>
  <c r="AI63" i="1"/>
  <c r="AD62" i="1" l="1"/>
  <c r="AE62" i="1" s="1"/>
  <c r="AF62" i="1" s="1"/>
  <c r="AH62" i="1" s="1"/>
  <c r="AC63" i="1" s="1"/>
  <c r="AA64" i="1" s="1"/>
  <c r="AG62" i="1"/>
  <c r="AB63" i="1" s="1"/>
  <c r="Z63" i="1"/>
  <c r="AK63" i="1"/>
  <c r="AM63" i="1" s="1"/>
  <c r="Z64" i="1" l="1"/>
  <c r="AI64" i="1"/>
  <c r="AI65" i="1"/>
  <c r="AA65" i="1"/>
  <c r="AD63" i="1"/>
  <c r="AE63" i="1" s="1"/>
  <c r="AF63" i="1" s="1"/>
  <c r="AH63" i="1" s="1"/>
  <c r="AC64" i="1" s="1"/>
  <c r="AJ63" i="1"/>
  <c r="AL63" i="1" s="1"/>
  <c r="AK65" i="1" l="1"/>
  <c r="AM65" i="1" s="1"/>
  <c r="AG63" i="1"/>
  <c r="AB64" i="1" s="1"/>
  <c r="AK64" i="1"/>
  <c r="AM64" i="1" s="1"/>
  <c r="AJ64" i="1"/>
  <c r="AL64" i="1" s="1"/>
  <c r="AD64" i="1" l="1"/>
  <c r="AE64" i="1" s="1"/>
  <c r="AF64" i="1" s="1"/>
  <c r="AH64" i="1" s="1"/>
  <c r="AC65" i="1" s="1"/>
  <c r="AA66" i="1" s="1"/>
  <c r="Z65" i="1"/>
  <c r="AI66" i="1" l="1"/>
  <c r="AJ65" i="1"/>
  <c r="AL65" i="1" s="1"/>
  <c r="AG64" i="1"/>
  <c r="AB65" i="1" s="1"/>
  <c r="Z66" i="1" s="1"/>
  <c r="AI67" i="1" l="1"/>
  <c r="AK66" i="1"/>
  <c r="AM66" i="1" s="1"/>
  <c r="AJ66" i="1"/>
  <c r="AL66" i="1" s="1"/>
  <c r="AD65" i="1"/>
  <c r="AE65" i="1" s="1"/>
  <c r="AF65" i="1" s="1"/>
  <c r="AH65" i="1" s="1"/>
  <c r="AC66" i="1" s="1"/>
  <c r="AA67" i="1" l="1"/>
  <c r="AG65" i="1"/>
  <c r="AB66" i="1" s="1"/>
  <c r="AD66" i="1" l="1"/>
  <c r="AE66" i="1" s="1"/>
  <c r="AF66" i="1" s="1"/>
  <c r="AH66" i="1" s="1"/>
  <c r="AC67" i="1" s="1"/>
  <c r="AA68" i="1" s="1"/>
  <c r="Z67" i="1"/>
  <c r="AK67" i="1"/>
  <c r="AM67" i="1" s="1"/>
  <c r="AJ67" i="1" l="1"/>
  <c r="AL67" i="1" s="1"/>
  <c r="AG66" i="1"/>
  <c r="AB67" i="1" s="1"/>
  <c r="Z68" i="1" s="1"/>
  <c r="AI68" i="1"/>
  <c r="AI69" i="1" l="1"/>
  <c r="AK68" i="1"/>
  <c r="AM68" i="1" s="1"/>
  <c r="AJ68" i="1"/>
  <c r="AL68" i="1" s="1"/>
  <c r="AD67" i="1"/>
  <c r="AE67" i="1" s="1"/>
  <c r="AF67" i="1" s="1"/>
  <c r="AH67" i="1" s="1"/>
  <c r="AC68" i="1" s="1"/>
  <c r="AA69" i="1" s="1"/>
  <c r="AG67" i="1" l="1"/>
  <c r="AB68" i="1" s="1"/>
  <c r="AK69" i="1"/>
  <c r="AM69" i="1" s="1"/>
  <c r="AD68" i="1" l="1"/>
  <c r="AE68" i="1" s="1"/>
  <c r="AF68" i="1" s="1"/>
  <c r="AH68" i="1" s="1"/>
  <c r="AC69" i="1" s="1"/>
  <c r="AA70" i="1" s="1"/>
  <c r="Z69" i="1"/>
  <c r="AI70" i="1" l="1"/>
  <c r="AJ69" i="1"/>
  <c r="AL69" i="1" s="1"/>
  <c r="AG68" i="1"/>
  <c r="AB69" i="1" s="1"/>
  <c r="Z70" i="1" s="1"/>
  <c r="AJ70" i="1" l="1"/>
  <c r="AL70" i="1" s="1"/>
  <c r="AK70" i="1"/>
  <c r="AM70" i="1" s="1"/>
  <c r="AD69" i="1"/>
  <c r="AE69" i="1" s="1"/>
  <c r="AF69" i="1" s="1"/>
  <c r="AH69" i="1" s="1"/>
  <c r="AC70" i="1" s="1"/>
  <c r="AA71" i="1" s="1"/>
  <c r="AI71" i="1"/>
  <c r="AG69" i="1" l="1"/>
  <c r="AB70" i="1" s="1"/>
  <c r="AK71" i="1"/>
  <c r="AM71" i="1" s="1"/>
  <c r="AD70" i="1" l="1"/>
  <c r="AE70" i="1" s="1"/>
  <c r="AF70" i="1" s="1"/>
  <c r="AH70" i="1" s="1"/>
  <c r="AC71" i="1" s="1"/>
  <c r="AA72" i="1" s="1"/>
  <c r="Z71" i="1"/>
  <c r="AI72" i="1" l="1"/>
  <c r="AJ71" i="1"/>
  <c r="AL71" i="1" s="1"/>
  <c r="AG70" i="1"/>
  <c r="AB71" i="1" s="1"/>
  <c r="AK72" i="1" l="1"/>
  <c r="AM72" i="1" s="1"/>
  <c r="AD71" i="1"/>
  <c r="AE71" i="1" s="1"/>
  <c r="AF71" i="1" s="1"/>
  <c r="AH71" i="1" s="1"/>
  <c r="AC72" i="1" s="1"/>
  <c r="AA73" i="1" s="1"/>
  <c r="Z72" i="1"/>
  <c r="AG71" i="1" l="1"/>
  <c r="AB72" i="1" s="1"/>
  <c r="Z73" i="1"/>
  <c r="AI73" i="1"/>
  <c r="AJ72" i="1"/>
  <c r="AL72" i="1" s="1"/>
  <c r="AK73" i="1" l="1"/>
  <c r="AM73" i="1" s="1"/>
  <c r="AJ73" i="1"/>
  <c r="AL73" i="1" s="1"/>
  <c r="AD72" i="1"/>
  <c r="AE72" i="1" s="1"/>
  <c r="AF72" i="1" s="1"/>
  <c r="AH72" i="1" s="1"/>
  <c r="AC73" i="1" s="1"/>
  <c r="AA74" i="1" s="1"/>
  <c r="AI74" i="1"/>
  <c r="AK74" i="1" l="1"/>
  <c r="AM74" i="1" s="1"/>
  <c r="AG72" i="1"/>
  <c r="AB73" i="1" s="1"/>
  <c r="AD73" i="1" l="1"/>
  <c r="AE73" i="1" s="1"/>
  <c r="AF73" i="1" s="1"/>
  <c r="AH73" i="1" s="1"/>
  <c r="AC74" i="1" s="1"/>
  <c r="AA75" i="1" s="1"/>
  <c r="Z74" i="1"/>
  <c r="AI75" i="1" l="1"/>
  <c r="AJ74" i="1"/>
  <c r="AL74" i="1" s="1"/>
  <c r="AG73" i="1"/>
  <c r="AB74" i="1" s="1"/>
  <c r="AK75" i="1" l="1"/>
  <c r="AM75" i="1" s="1"/>
  <c r="AD74" i="1"/>
  <c r="AE74" i="1" s="1"/>
  <c r="AF74" i="1" s="1"/>
  <c r="AH74" i="1" s="1"/>
  <c r="AC75" i="1" s="1"/>
  <c r="AA76" i="1" s="1"/>
  <c r="AG74" i="1"/>
  <c r="AB75" i="1" s="1"/>
  <c r="Z75" i="1"/>
  <c r="AJ75" i="1" s="1"/>
  <c r="AL75" i="1" s="1"/>
  <c r="AD75" i="1" l="1"/>
  <c r="AE75" i="1" s="1"/>
  <c r="AF75" i="1" s="1"/>
  <c r="AH75" i="1" s="1"/>
  <c r="AC76" i="1" s="1"/>
  <c r="AA77" i="1" s="1"/>
  <c r="AG75" i="1"/>
  <c r="AB76" i="1" s="1"/>
  <c r="Z76" i="1"/>
  <c r="AI76" i="1"/>
  <c r="AD76" i="1" l="1"/>
  <c r="AE76" i="1" s="1"/>
  <c r="AF76" i="1" s="1"/>
  <c r="AH76" i="1" s="1"/>
  <c r="AC77" i="1" s="1"/>
  <c r="Z77" i="1"/>
  <c r="AK76" i="1"/>
  <c r="AM76" i="1" s="1"/>
  <c r="AJ76" i="1"/>
  <c r="AL76" i="1" s="1"/>
  <c r="AI77" i="1"/>
  <c r="AK77" i="1" l="1"/>
  <c r="AM77" i="1" s="1"/>
  <c r="AJ77" i="1"/>
  <c r="AL77" i="1" s="1"/>
  <c r="AA78" i="1"/>
  <c r="AI78" i="1"/>
  <c r="AG76" i="1"/>
  <c r="AB77" i="1" s="1"/>
  <c r="AD77" i="1" l="1"/>
  <c r="AE77" i="1" s="1"/>
  <c r="AF77" i="1" s="1"/>
  <c r="AH77" i="1" s="1"/>
  <c r="AC78" i="1" s="1"/>
  <c r="AK78" i="1"/>
  <c r="AM78" i="1" s="1"/>
  <c r="AA79" i="1"/>
  <c r="Z78" i="1"/>
  <c r="AG77" i="1" l="1"/>
  <c r="AB78" i="1" s="1"/>
  <c r="Z79" i="1" s="1"/>
  <c r="AI80" i="1" s="1"/>
  <c r="AJ78" i="1"/>
  <c r="AL78" i="1" s="1"/>
  <c r="AI79" i="1"/>
  <c r="AD78" i="1"/>
  <c r="AE78" i="1" s="1"/>
  <c r="AF78" i="1" s="1"/>
  <c r="AH78" i="1" s="1"/>
  <c r="AC79" i="1" s="1"/>
  <c r="AA80" i="1" s="1"/>
  <c r="AK79" i="1" l="1"/>
  <c r="AM79" i="1" s="1"/>
  <c r="AJ79" i="1"/>
  <c r="AL79" i="1" s="1"/>
  <c r="AG78" i="1"/>
  <c r="AB79" i="1" s="1"/>
  <c r="AK80" i="1"/>
  <c r="AM80" i="1" s="1"/>
  <c r="Z80" i="1" l="1"/>
  <c r="AD79" i="1"/>
  <c r="AE79" i="1" s="1"/>
  <c r="AF79" i="1" s="1"/>
  <c r="AH79" i="1" s="1"/>
  <c r="AC80" i="1" s="1"/>
  <c r="AA81" i="1" s="1"/>
  <c r="AG79" i="1"/>
  <c r="AB80" i="1" s="1"/>
  <c r="AD80" i="1" l="1"/>
  <c r="AE80" i="1" s="1"/>
  <c r="AF80" i="1" s="1"/>
  <c r="AH80" i="1" s="1"/>
  <c r="AC81" i="1" s="1"/>
  <c r="AA82" i="1" s="1"/>
  <c r="AG80" i="1"/>
  <c r="AB81" i="1" s="1"/>
  <c r="Z81" i="1"/>
  <c r="Z82" i="1" s="1"/>
  <c r="AI81" i="1"/>
  <c r="AJ80" i="1"/>
  <c r="AL80" i="1" s="1"/>
  <c r="AI83" i="1" l="1"/>
  <c r="AD81" i="1"/>
  <c r="AE81" i="1" s="1"/>
  <c r="AF81" i="1" s="1"/>
  <c r="AH81" i="1" s="1"/>
  <c r="AC82" i="1" s="1"/>
  <c r="AA83" i="1" s="1"/>
  <c r="AG81" i="1"/>
  <c r="AB82" i="1" s="1"/>
  <c r="AJ81" i="1"/>
  <c r="AL81" i="1" s="1"/>
  <c r="AK81" i="1"/>
  <c r="AM81" i="1" s="1"/>
  <c r="AI82" i="1"/>
  <c r="AD82" i="1" l="1"/>
  <c r="AE82" i="1" s="1"/>
  <c r="AF82" i="1" s="1"/>
  <c r="AH82" i="1" s="1"/>
  <c r="AC83" i="1" s="1"/>
  <c r="AA84" i="1" s="1"/>
  <c r="Z83" i="1"/>
  <c r="AI84" i="1" s="1"/>
  <c r="AJ82" i="1"/>
  <c r="AL82" i="1" s="1"/>
  <c r="AK82" i="1"/>
  <c r="AM82" i="1" s="1"/>
  <c r="AK83" i="1"/>
  <c r="AM83" i="1" s="1"/>
  <c r="AK84" i="1" l="1"/>
  <c r="AM84" i="1" s="1"/>
  <c r="AJ83" i="1"/>
  <c r="AL83" i="1" s="1"/>
  <c r="AG82" i="1"/>
  <c r="AB83" i="1" s="1"/>
  <c r="Z84" i="1" s="1"/>
  <c r="AJ84" i="1" l="1"/>
  <c r="AL84" i="1" s="1"/>
  <c r="AI85" i="1"/>
  <c r="AD83" i="1"/>
  <c r="AE83" i="1" s="1"/>
  <c r="AF83" i="1" s="1"/>
  <c r="AH83" i="1" s="1"/>
  <c r="AC84" i="1" s="1"/>
  <c r="AA85" i="1" s="1"/>
  <c r="AK85" i="1" l="1"/>
  <c r="AM85" i="1" s="1"/>
  <c r="AJ85" i="1"/>
  <c r="AL85" i="1" s="1"/>
  <c r="AG83" i="1"/>
  <c r="AB84" i="1" s="1"/>
  <c r="AD84" i="1" l="1"/>
  <c r="AE84" i="1" s="1"/>
  <c r="AF84" i="1" s="1"/>
  <c r="AH84" i="1" s="1"/>
  <c r="AC85" i="1" s="1"/>
  <c r="AA86" i="1" s="1"/>
  <c r="Z85" i="1"/>
  <c r="AI86" i="1" l="1"/>
  <c r="AG84" i="1"/>
  <c r="AB85" i="1" s="1"/>
  <c r="AD85" i="1" l="1"/>
  <c r="AE85" i="1" s="1"/>
  <c r="AF85" i="1" s="1"/>
  <c r="AH85" i="1" s="1"/>
  <c r="AC86" i="1" s="1"/>
  <c r="AA87" i="1" s="1"/>
  <c r="AK86" i="1"/>
  <c r="AM86" i="1" s="1"/>
  <c r="AJ86" i="1"/>
  <c r="AL86" i="1" s="1"/>
  <c r="Z86" i="1"/>
  <c r="AI87" i="1" s="1"/>
  <c r="AK87" i="1" l="1"/>
  <c r="AM87" i="1" s="1"/>
  <c r="AJ87" i="1"/>
  <c r="AL87" i="1" s="1"/>
  <c r="AG85" i="1"/>
  <c r="AB86" i="1" s="1"/>
  <c r="Z87" i="1" l="1"/>
  <c r="AD86" i="1"/>
  <c r="AE86" i="1" s="1"/>
  <c r="AF86" i="1" s="1"/>
  <c r="AH86" i="1" s="1"/>
  <c r="AC87" i="1" s="1"/>
  <c r="AA88" i="1" s="1"/>
  <c r="AG86" i="1" l="1"/>
  <c r="AB87" i="1" s="1"/>
  <c r="Z88" i="1"/>
  <c r="AI88" i="1"/>
  <c r="AJ88" i="1" l="1"/>
  <c r="AL88" i="1" s="1"/>
  <c r="AK88" i="1"/>
  <c r="AM88" i="1" s="1"/>
  <c r="AD87" i="1"/>
  <c r="AE87" i="1" s="1"/>
  <c r="AF87" i="1" s="1"/>
  <c r="AH87" i="1" s="1"/>
  <c r="AC88" i="1" s="1"/>
  <c r="AA89" i="1" s="1"/>
  <c r="AI89" i="1"/>
  <c r="AK89" i="1" l="1"/>
  <c r="AM89" i="1" s="1"/>
  <c r="AJ89" i="1"/>
  <c r="AL89" i="1" s="1"/>
  <c r="AG87" i="1"/>
  <c r="AB88" i="1" s="1"/>
  <c r="AD88" i="1" l="1"/>
  <c r="AE88" i="1" s="1"/>
  <c r="AF88" i="1" s="1"/>
  <c r="AH88" i="1" s="1"/>
  <c r="AC89" i="1" s="1"/>
  <c r="AA90" i="1" s="1"/>
  <c r="Z89" i="1"/>
  <c r="AI90" i="1" l="1"/>
  <c r="AG88" i="1"/>
  <c r="AB89" i="1" s="1"/>
  <c r="AD89" i="1" l="1"/>
  <c r="AE89" i="1" s="1"/>
  <c r="AF89" i="1" s="1"/>
  <c r="AH89" i="1" s="1"/>
  <c r="AC90" i="1" s="1"/>
  <c r="AA91" i="1" s="1"/>
  <c r="AK90" i="1"/>
  <c r="AM90" i="1" s="1"/>
  <c r="AJ90" i="1"/>
  <c r="AL90" i="1" s="1"/>
  <c r="Z90" i="1"/>
  <c r="AI91" i="1" s="1"/>
  <c r="AJ91" i="1" l="1"/>
  <c r="AL91" i="1" s="1"/>
  <c r="AK91" i="1"/>
  <c r="AM91" i="1" s="1"/>
  <c r="AG89" i="1"/>
  <c r="AB90" i="1" s="1"/>
  <c r="Z91" i="1" l="1"/>
  <c r="AD90" i="1"/>
  <c r="AE90" i="1" s="1"/>
  <c r="AF90" i="1" s="1"/>
  <c r="AH90" i="1" s="1"/>
  <c r="AC91" i="1" s="1"/>
  <c r="AA92" i="1" s="1"/>
  <c r="AG90" i="1"/>
  <c r="AB91" i="1" s="1"/>
  <c r="Z92" i="1" l="1"/>
  <c r="AI92" i="1"/>
  <c r="AD91" i="1"/>
  <c r="AE91" i="1" s="1"/>
  <c r="AF91" i="1" s="1"/>
  <c r="AH91" i="1" s="1"/>
  <c r="AC92" i="1" s="1"/>
  <c r="AA93" i="1" s="1"/>
  <c r="AI93" i="1"/>
  <c r="AG91" i="1" l="1"/>
  <c r="AB92" i="1" s="1"/>
  <c r="AD92" i="1"/>
  <c r="AE92" i="1" s="1"/>
  <c r="AF92" i="1" s="1"/>
  <c r="AH92" i="1" s="1"/>
  <c r="AC93" i="1" s="1"/>
  <c r="AA94" i="1" s="1"/>
  <c r="AK93" i="1"/>
  <c r="AM93" i="1" s="1"/>
  <c r="AJ93" i="1"/>
  <c r="AL93" i="1" s="1"/>
  <c r="AJ92" i="1"/>
  <c r="AL92" i="1" s="1"/>
  <c r="AK92" i="1"/>
  <c r="AM92" i="1" s="1"/>
  <c r="Z93" i="1"/>
  <c r="AI94" i="1" l="1"/>
  <c r="AG92" i="1"/>
  <c r="AB93" i="1" s="1"/>
  <c r="AD93" i="1" l="1"/>
  <c r="AE93" i="1" s="1"/>
  <c r="AF93" i="1" s="1"/>
  <c r="AH93" i="1" s="1"/>
  <c r="AC94" i="1" s="1"/>
  <c r="AA95" i="1" s="1"/>
  <c r="AK94" i="1"/>
  <c r="AM94" i="1" s="1"/>
  <c r="AJ94" i="1"/>
  <c r="AL94" i="1" s="1"/>
  <c r="Z94" i="1"/>
  <c r="AI95" i="1" l="1"/>
  <c r="AG93" i="1"/>
  <c r="AB94" i="1" s="1"/>
  <c r="AD94" i="1" l="1"/>
  <c r="AE94" i="1" s="1"/>
  <c r="AF94" i="1" s="1"/>
  <c r="AH94" i="1" s="1"/>
  <c r="AC95" i="1" s="1"/>
  <c r="AA96" i="1" s="1"/>
  <c r="AK95" i="1"/>
  <c r="AM95" i="1" s="1"/>
  <c r="AJ95" i="1"/>
  <c r="AL95" i="1" s="1"/>
  <c r="Z95" i="1"/>
  <c r="AG94" i="1" l="1"/>
  <c r="AB95" i="1" s="1"/>
  <c r="AI96" i="1"/>
  <c r="Z96" i="1"/>
  <c r="AI97" i="1"/>
  <c r="AJ96" i="1" l="1"/>
  <c r="AK96" i="1"/>
  <c r="AM96" i="1" s="1"/>
  <c r="AK97" i="1"/>
  <c r="AM97" i="1" s="1"/>
  <c r="AJ97" i="1"/>
  <c r="AL97" i="1" s="1"/>
  <c r="AD95" i="1"/>
  <c r="AE95" i="1" s="1"/>
  <c r="AF95" i="1" s="1"/>
  <c r="AH95" i="1" s="1"/>
  <c r="AC96" i="1" s="1"/>
  <c r="AA97" i="1" s="1"/>
  <c r="AG95" i="1"/>
  <c r="AB96" i="1" s="1"/>
  <c r="Z97" i="1" l="1"/>
  <c r="AD96" i="1"/>
  <c r="AE96" i="1" s="1"/>
  <c r="AF96" i="1" s="1"/>
  <c r="AH96" i="1" s="1"/>
  <c r="AC97" i="1" s="1"/>
  <c r="AA98" i="1" s="1"/>
  <c r="AG96" i="1"/>
  <c r="AB97" i="1" s="1"/>
  <c r="AL96" i="1"/>
  <c r="AD97" i="1" l="1"/>
  <c r="AE97" i="1" s="1"/>
  <c r="AF97" i="1" s="1"/>
  <c r="AH97" i="1" s="1"/>
  <c r="AC98" i="1" s="1"/>
  <c r="AI99" i="1"/>
  <c r="AA99" i="1"/>
  <c r="AI98" i="1"/>
  <c r="Z98" i="1"/>
  <c r="AJ99" i="1" l="1"/>
  <c r="AL99" i="1" s="1"/>
  <c r="AK99" i="1"/>
  <c r="AM99" i="1" s="1"/>
  <c r="Z99" i="1"/>
  <c r="AI100" i="1" s="1"/>
  <c r="AJ98" i="1"/>
  <c r="AK98" i="1"/>
  <c r="AM98" i="1" s="1"/>
  <c r="AG97" i="1"/>
  <c r="AB98" i="1" s="1"/>
  <c r="AK100" i="1" l="1"/>
  <c r="AM100" i="1" s="1"/>
  <c r="AJ100" i="1"/>
  <c r="AL100" i="1" s="1"/>
  <c r="AD98" i="1"/>
  <c r="AE98" i="1" s="1"/>
  <c r="AF98" i="1" s="1"/>
  <c r="AH98" i="1" s="1"/>
  <c r="AC99" i="1" s="1"/>
  <c r="AA100" i="1" s="1"/>
  <c r="AL98" i="1"/>
  <c r="AG98" i="1" l="1"/>
  <c r="AB99" i="1" s="1"/>
  <c r="AD99" i="1" l="1"/>
  <c r="AE99" i="1" s="1"/>
  <c r="AF99" i="1" s="1"/>
  <c r="AH99" i="1" s="1"/>
  <c r="AC100" i="1" s="1"/>
  <c r="AG99" i="1"/>
  <c r="AB100" i="1" s="1"/>
  <c r="Z100" i="1"/>
  <c r="Z101" i="1" l="1"/>
  <c r="AI101" i="1"/>
  <c r="AD100" i="1"/>
  <c r="AE100" i="1" s="1"/>
  <c r="AF100" i="1" s="1"/>
  <c r="AH100" i="1" s="1"/>
  <c r="AC101" i="1" s="1"/>
  <c r="AA101" i="1"/>
  <c r="AG100" i="1" l="1"/>
  <c r="AB101" i="1" s="1"/>
  <c r="AD101" i="1"/>
  <c r="AE101" i="1" s="1"/>
  <c r="AF101" i="1" s="1"/>
  <c r="AH101" i="1" s="1"/>
  <c r="AC102" i="1" s="1"/>
  <c r="AK101" i="1"/>
  <c r="AM101" i="1" s="1"/>
  <c r="AJ101" i="1"/>
  <c r="AA102" i="1"/>
  <c r="AI102" i="1"/>
  <c r="Z102" i="1"/>
  <c r="AG101" i="1" l="1"/>
  <c r="AB102" i="1" s="1"/>
  <c r="AJ102" i="1"/>
  <c r="AL102" i="1" s="1"/>
  <c r="AK102" i="1"/>
  <c r="AM102" i="1" s="1"/>
  <c r="AL101" i="1"/>
  <c r="AA103" i="1"/>
  <c r="AI103" i="1"/>
  <c r="Z103" i="1"/>
  <c r="AK103" i="1" l="1"/>
  <c r="AM103" i="1" s="1"/>
  <c r="AJ103" i="1"/>
  <c r="AL103" i="1" s="1"/>
  <c r="AI104" i="1"/>
  <c r="AD102" i="1"/>
  <c r="AE102" i="1" s="1"/>
  <c r="AF102" i="1" s="1"/>
  <c r="AH102" i="1" s="1"/>
  <c r="AC103" i="1" s="1"/>
  <c r="AA104" i="1" s="1"/>
  <c r="AG102" i="1" l="1"/>
  <c r="AB103" i="1" s="1"/>
  <c r="Z104" i="1"/>
  <c r="AD103" i="1"/>
  <c r="AE103" i="1" s="1"/>
  <c r="AF103" i="1" s="1"/>
  <c r="AH103" i="1" s="1"/>
  <c r="AC104" i="1" s="1"/>
  <c r="AA105" i="1" s="1"/>
  <c r="AJ104" i="1"/>
  <c r="AK104" i="1"/>
  <c r="AM104" i="1" s="1"/>
  <c r="AI105" i="1"/>
  <c r="AG103" i="1" l="1"/>
  <c r="AB104" i="1" s="1"/>
  <c r="AL104" i="1"/>
  <c r="AJ105" i="1"/>
  <c r="AL105" i="1" s="1"/>
  <c r="AK105" i="1"/>
  <c r="AM105" i="1" s="1"/>
  <c r="V18" i="1" a="1"/>
  <c r="V18" i="1" s="1"/>
  <c r="D19" i="1"/>
  <c r="AD104" i="1"/>
  <c r="AE104" i="1" s="1"/>
  <c r="AF104" i="1" s="1"/>
  <c r="AH104" i="1" s="1"/>
  <c r="AC105" i="1" s="1"/>
  <c r="AG104" i="1"/>
  <c r="AB105" i="1" s="1"/>
  <c r="Z105" i="1"/>
  <c r="AD105" i="1" l="1"/>
  <c r="AE105" i="1" s="1"/>
  <c r="AF105" i="1" s="1"/>
  <c r="AH105" i="1" s="1"/>
  <c r="V20" i="1"/>
  <c r="D17" i="1"/>
  <c r="D18" i="1"/>
  <c r="AG105" i="1" l="1"/>
</calcChain>
</file>

<file path=xl/sharedStrings.xml><?xml version="1.0" encoding="utf-8"?>
<sst xmlns="http://schemas.openxmlformats.org/spreadsheetml/2006/main" count="47" uniqueCount="40">
  <si>
    <t>Projectile Trajectory Calculator</t>
  </si>
  <si>
    <t>Reverse</t>
  </si>
  <si>
    <t>Metric?</t>
  </si>
  <si>
    <t>Forward</t>
  </si>
  <si>
    <t>Release Angle (°)</t>
  </si>
  <si>
    <t>Target Angle (°)</t>
  </si>
  <si>
    <t>Final Angle (°)</t>
  </si>
  <si>
    <t>Drag Coefficient</t>
  </si>
  <si>
    <t>Rotation Speed (rps)</t>
  </si>
  <si>
    <t>t</t>
  </si>
  <si>
    <t>x</t>
  </si>
  <si>
    <t>y</t>
  </si>
  <si>
    <t>x'</t>
  </si>
  <si>
    <t>y'</t>
  </si>
  <si>
    <t>x''</t>
  </si>
  <si>
    <t>y''</t>
  </si>
  <si>
    <t>Release Height</t>
  </si>
  <si>
    <t>Distance to Target</t>
  </si>
  <si>
    <t>Release Velocity</t>
  </si>
  <si>
    <t>Release Angle</t>
  </si>
  <si>
    <t>drag</t>
  </si>
  <si>
    <t>Timestep</t>
  </si>
  <si>
    <t>S</t>
  </si>
  <si>
    <t>CL</t>
  </si>
  <si>
    <t>v</t>
  </si>
  <si>
    <t>lift</t>
  </si>
  <si>
    <t>Mass</t>
  </si>
  <si>
    <t>Radius</t>
  </si>
  <si>
    <t>x_disp</t>
  </si>
  <si>
    <t>y_disp</t>
  </si>
  <si>
    <t>done</t>
  </si>
  <si>
    <t>The reverse calculation uses standard projectile motion only. It does not account for air resistance or the Magnus effect.</t>
  </si>
  <si>
    <t>The forward calculation includes a basic model for air resistance and Magnus effect. To disable these, set the Drag Coefficient and Rotation Speed to 0.</t>
  </si>
  <si>
    <t>Drag Coeff. Calculation</t>
  </si>
  <si>
    <t>Reynolds Number</t>
  </si>
  <si>
    <t>Use the calculator to find the reynolds number of the ball in air, then use the graph below to find the ball's drag coefficient.</t>
  </si>
  <si>
    <t>Obstacle Height</t>
  </si>
  <si>
    <t>Obstacle Distance</t>
  </si>
  <si>
    <t>x_grph</t>
  </si>
  <si>
    <t>y_grph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</si>
</sst>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0.00000"/>
    <numFmt numFmtId="167" formatCode="0\°"/>
    <numFmt numFmtId="168" formatCode="0.0E+00"/>
    <numFmt numFmtId="169" formatCode="0.0000"/>
  </numFmts>
  <fonts count="9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5" fillId="4" borderId="0" applyNumberFormat="0" applyBorder="0" applyAlignment="0" applyProtection="0"/>
    <xf numFmtId="0" fontId="1" fillId="5" borderId="0" applyNumberFormat="0" applyBorder="0" applyAlignment="0" applyProtection="0"/>
    <xf numFmtId="0" fontId="6" fillId="0" borderId="0"/>
    <xf numFmtId="0" fontId="7" fillId="0" borderId="0"/>
  </cellStyleXfs>
  <cellXfs count="34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164" fontId="0" fillId="2" borderId="4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67" fontId="0" fillId="2" borderId="4" xfId="0" applyNumberFormat="1" applyFill="1" applyBorder="1" applyAlignment="1" applyProtection="1">
      <alignment vertical="center"/>
      <protection locked="0"/>
    </xf>
    <xf numFmtId="165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164" fontId="0" fillId="3" borderId="4" xfId="0" applyNumberFormat="1" applyFill="1" applyBorder="1" applyAlignment="1">
      <alignment vertical="center"/>
    </xf>
    <xf numFmtId="167" fontId="0" fillId="3" borderId="4" xfId="0" applyNumberFormat="1" applyFill="1" applyBorder="1" applyAlignment="1">
      <alignment vertical="center"/>
    </xf>
    <xf numFmtId="2" fontId="0" fillId="2" borderId="4" xfId="0" applyNumberFormat="1" applyFill="1" applyBorder="1" applyAlignment="1" applyProtection="1">
      <alignment vertical="center"/>
      <protection locked="0"/>
    </xf>
    <xf numFmtId="1" fontId="0" fillId="2" borderId="4" xfId="0" applyNumberFormat="1" applyFill="1" applyBorder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168" fontId="0" fillId="3" borderId="4" xfId="0" applyNumberFormat="1" applyFill="1" applyBorder="1" applyAlignment="1">
      <alignment vertical="center"/>
    </xf>
    <xf numFmtId="169" fontId="0" fillId="0" borderId="0" xfId="0" applyNumberFormat="1" applyAlignment="1">
      <alignment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center"/>
    </xf>
    <xf numFmtId="0" fontId="4" fillId="0" borderId="17" xfId="0" applyFont="1" applyBorder="1" applyAlignment="1">
      <alignment horizontal="left" vertical="center"/>
    </xf>
  </cellXfs>
  <cellStyles count="5">
    <cellStyle name="Bad 2" xfId="1"/>
    <cellStyle name="Neutral 2" xfId="2"/>
    <cellStyle name="Normal" xfId="0" builtinId="0"/>
    <cellStyle name="Normal 2" xfId="3"/>
    <cellStyle name="Normal 3" xfId="4"/>
  </cellStyles>
  <dxfs count="2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9495421288771E-2"/>
          <c:y val="4.4533511467379203E-2"/>
          <c:w val="0.93400278246782276"/>
          <c:h val="0.9048144407800727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´ÖÓÎÉÇØÍÐÉ!$AL$5:$AL$105</c:f>
              <c:numCache>
                <c:formatCode>General</c:formatCode>
                <c:ptCount val="101"/>
                <c:pt idx="0">
                  <c:v>0</c:v>
                </c:pt>
                <c:pt idx="1">
                  <c:v>0.03</c:v>
                </c:pt>
                <c:pt idx="2">
                  <c:v>5.9815223279936727E-2</c:v>
                </c:pt>
                <c:pt idx="3">
                  <c:v>8.9449392506259107E-2</c:v>
                </c:pt>
                <c:pt idx="4">
                  <c:v>0.11890616142761411</c:v>
                </c:pt>
                <c:pt idx="5">
                  <c:v>0.14818911647617963</c:v>
                </c:pt>
                <c:pt idx="6">
                  <c:v>0.17730177831483551</c:v>
                </c:pt>
                <c:pt idx="7">
                  <c:v>0.20624760333184217</c:v>
                </c:pt>
                <c:pt idx="8">
                  <c:v>0.23502998508461811</c:v>
                </c:pt>
                <c:pt idx="9">
                  <c:v>0.26365225569413325</c:v>
                </c:pt>
                <c:pt idx="10">
                  <c:v>0.29211768719136433</c:v>
                </c:pt>
                <c:pt idx="11">
                  <c:v>0.32042949281719069</c:v>
                </c:pt>
                <c:pt idx="12">
                  <c:v>0.34859082827704546</c:v>
                </c:pt>
                <c:pt idx="13">
                  <c:v>0.37660479295157528</c:v>
                </c:pt>
                <c:pt idx="14">
                  <c:v>0.40447443106450454</c:v>
                </c:pt>
                <c:pt idx="15">
                  <c:v>0.43220273280884569</c:v>
                </c:pt>
                <c:pt idx="16">
                  <c:v>0.45979263543254495</c:v>
                </c:pt>
                <c:pt idx="17">
                  <c:v>0.48724702428460503</c:v>
                </c:pt>
                <c:pt idx="18">
                  <c:v>0.51456873382268109</c:v>
                </c:pt>
                <c:pt idx="19">
                  <c:v>0.54176054858310363</c:v>
                </c:pt>
                <c:pt idx="20">
                  <c:v>0.56882520411424331</c:v>
                </c:pt>
                <c:pt idx="21">
                  <c:v>0.59576538787409761</c:v>
                </c:pt>
                <c:pt idx="22">
                  <c:v>0.6225837400929457</c:v>
                </c:pt>
                <c:pt idx="23">
                  <c:v>0.64928285460189072</c:v>
                </c:pt>
                <c:pt idx="24">
                  <c:v>0.67586527962808163</c:v>
                </c:pt>
                <c:pt idx="25">
                  <c:v>0.70233351855738735</c:v>
                </c:pt>
                <c:pt idx="26">
                  <c:v>0.7286900306652776</c:v>
                </c:pt>
                <c:pt idx="27">
                  <c:v>0.75493723181665096</c:v>
                </c:pt>
                <c:pt idx="28">
                  <c:v>0.78107749513534352</c:v>
                </c:pt>
                <c:pt idx="29">
                  <c:v>0.80711315164404607</c:v>
                </c:pt>
                <c:pt idx="30">
                  <c:v>0.83304649087535831</c:v>
                </c:pt>
                <c:pt idx="31">
                  <c:v>0.85887976145471623</c:v>
                </c:pt>
                <c:pt idx="32">
                  <c:v>0.88461517165593684</c:v>
                </c:pt>
                <c:pt idx="33">
                  <c:v>0.91025488993014525</c:v>
                </c:pt>
                <c:pt idx="34">
                  <c:v>0.93580104540886833</c:v>
                </c:pt>
                <c:pt idx="35">
                  <c:v>0.96125572838211015</c:v>
                </c:pt>
                <c:pt idx="36">
                  <c:v>0.98662099075226006</c:v>
                </c:pt>
                <c:pt idx="37">
                  <c:v>1.0118988464647238</c:v>
                </c:pt>
                <c:pt idx="38">
                  <c:v>1.0370912719162195</c:v>
                </c:pt>
                <c:pt idx="39">
                  <c:v>1.0622002063417322</c:v>
                </c:pt>
                <c:pt idx="40">
                  <c:v>1.0872275521811863</c:v>
                </c:pt>
                <c:pt idx="41">
                  <c:v>1.1121751754269595</c:v>
                </c:pt>
                <c:pt idx="42">
                  <c:v>1.1370449059534393</c:v>
                </c:pt>
                <c:pt idx="43">
                  <c:v>1.1618385378298999</c:v>
                </c:pt>
                <c:pt idx="44">
                  <c:v>1.1865578296180668</c:v>
                </c:pt>
                <c:pt idx="45">
                  <c:v>1.2112045046558222</c:v>
                </c:pt>
                <c:pt idx="46">
                  <c:v>1.2357802513285989</c:v>
                </c:pt>
                <c:pt idx="47">
                  <c:v>1.2602867233301041</c:v>
                </c:pt>
                <c:pt idx="48">
                  <c:v>1.2847255399141104</c:v>
                </c:pt>
                <c:pt idx="49">
                  <c:v>1.3090982861391465</c:v>
                </c:pt>
                <c:pt idx="50">
                  <c:v>1.3334065131080071</c:v>
                </c:pt>
                <c:pt idx="51">
                  <c:v>1.3576517382040916</c:v>
                </c:pt>
                <c:pt idx="52">
                  <c:v>1.3818354453266555</c:v>
                </c:pt>
                <c:pt idx="53">
                  <c:v>1.4059590851271235</c:v>
                </c:pt>
                <c:pt idx="54">
                  <c:v>1.430024075248673</c:v>
                </c:pt>
                <c:pt idx="55">
                  <c:v>1.454031800571324</c:v>
                </c:pt>
                <c:pt idx="56">
                  <c:v>1.4779836134647992</c:v>
                </c:pt>
                <c:pt idx="57">
                  <c:v>1.5018808340514076</c:v>
                </c:pt>
                <c:pt idx="58">
                  <c:v>1.5257247504811764</c:v>
                </c:pt>
                <c:pt idx="59">
                  <c:v>1.5495166192214063</c:v>
                </c:pt>
                <c:pt idx="60">
                  <c:v>1.5732576653627341</c:v>
                </c:pt>
                <c:pt idx="61">
                  <c:v>1.5969490829436801</c:v>
                </c:pt>
                <c:pt idx="62">
                  <c:v>1.6205920352955079</c:v>
                </c:pt>
                <c:pt idx="63">
                  <c:v>1.6441876554090544</c:v>
                </c:pt>
                <c:pt idx="64">
                  <c:v>1.667737046324983</c:v>
                </c:pt>
                <c:pt idx="65">
                  <c:v>1.6912412815486795</c:v>
                </c:pt>
                <c:pt idx="66">
                  <c:v>1.7147014054907608</c:v>
                </c:pt>
                <c:pt idx="67">
                  <c:v>1.7381184339338811</c:v>
                </c:pt>
                <c:pt idx="68">
                  <c:v>1.7614933545262339</c:v>
                </c:pt>
                <c:pt idx="69">
                  <c:v>1.784827127301837</c:v>
                </c:pt>
                <c:pt idx="70">
                  <c:v>1.808120685227379</c:v>
                </c:pt>
                <c:pt idx="71">
                  <c:v>1.8313749347750889</c:v>
                </c:pt>
                <c:pt idx="72">
                  <c:v>1.8545907565207873</c:v>
                </c:pt>
                <c:pt idx="73">
                  <c:v>1.8777690057659757</c:v>
                </c:pt>
                <c:pt idx="74">
                  <c:v>1.9009105131825497</c:v>
                </c:pt>
                <c:pt idx="75">
                  <c:v>1.9240160854784543</c:v>
                </c:pt>
                <c:pt idx="76">
                  <c:v>1.9470865060823825</c:v>
                </c:pt>
                <c:pt idx="77">
                  <c:v>1.9701225358454069</c:v>
                </c:pt>
                <c:pt idx="78">
                  <c:v>1.9931249137572788</c:v>
                </c:pt>
                <c:pt idx="79">
                  <c:v>2.016094357674997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´ÖÓÎÉÇØÍÐÉ!$AM$5:$AM$105</c:f>
              <c:numCache>
                <c:formatCode>General</c:formatCode>
                <c:ptCount val="101"/>
                <c:pt idx="0">
                  <c:v>1.2</c:v>
                </c:pt>
                <c:pt idx="1">
                  <c:v>1.2383982489657923</c:v>
                </c:pt>
                <c:pt idx="2">
                  <c:v>1.276143129479401</c:v>
                </c:pt>
                <c:pt idx="3">
                  <c:v>1.3132382356643286</c:v>
                </c:pt>
                <c:pt idx="4">
                  <c:v>1.3496870811592254</c:v>
                </c:pt>
                <c:pt idx="5">
                  <c:v>1.3854931006871665</c:v>
                </c:pt>
                <c:pt idx="6">
                  <c:v>1.4206596515836982</c:v>
                </c:pt>
                <c:pt idx="7">
                  <c:v>1.4551900152853812</c:v>
                </c:pt>
                <c:pt idx="8">
                  <c:v>1.4890873987805133</c:v>
                </c:pt>
                <c:pt idx="9">
                  <c:v>1.5223549360236848</c:v>
                </c:pt>
                <c:pt idx="10">
                  <c:v>1.5549956893157797</c:v>
                </c:pt>
                <c:pt idx="11">
                  <c:v>1.5870126506510134</c:v>
                </c:pt>
                <c:pt idx="12">
                  <c:v>1.6184087430325633</c:v>
                </c:pt>
                <c:pt idx="13">
                  <c:v>1.6491868217583354</c:v>
                </c:pt>
                <c:pt idx="14">
                  <c:v>1.6793496756783806</c:v>
                </c:pt>
                <c:pt idx="15">
                  <c:v>1.7089000284254667</c:v>
                </c:pt>
                <c:pt idx="16">
                  <c:v>1.7378405396202927</c:v>
                </c:pt>
                <c:pt idx="17">
                  <c:v>1.7661738060528254</c:v>
                </c:pt>
                <c:pt idx="18">
                  <c:v>1.7939023628412281</c:v>
                </c:pt>
                <c:pt idx="19">
                  <c:v>1.8210286845698525</c:v>
                </c:pt>
                <c:pt idx="20">
                  <c:v>1.847555186407756</c:v>
                </c:pt>
                <c:pt idx="21">
                  <c:v>1.8734842252092152</c:v>
                </c:pt>
                <c:pt idx="22">
                  <c:v>1.8988181005977054</c:v>
                </c:pt>
                <c:pt idx="23">
                  <c:v>1.9235590560348264</c:v>
                </c:pt>
                <c:pt idx="24">
                  <c:v>1.9477092798756619</c:v>
                </c:pt>
                <c:pt idx="25">
                  <c:v>1.9712709064120713</c:v>
                </c:pt>
                <c:pt idx="26">
                  <c:v>1.9942460169054261</c:v>
                </c:pt>
                <c:pt idx="27">
                  <c:v>2.0166366406103218</c:v>
                </c:pt>
                <c:pt idx="28">
                  <c:v>2.0384447557908048</c:v>
                </c:pt>
                <c:pt idx="29">
                  <c:v>2.0596722907306804</c:v>
                </c:pt>
                <c:pt idx="30">
                  <c:v>2.0803211247394833</c:v>
                </c:pt>
                <c:pt idx="31">
                  <c:v>2.1003930891557054</c:v>
                </c:pt>
                <c:pt idx="32">
                  <c:v>2.1198899683489056</c:v>
                </c:pt>
                <c:pt idx="33">
                  <c:v>2.1388135007223328</c:v>
                </c:pt>
                <c:pt idx="34">
                  <c:v>2.1571653797177186</c:v>
                </c:pt>
                <c:pt idx="35">
                  <c:v>2.1749472548239011</c:v>
                </c:pt>
                <c:pt idx="36">
                  <c:v>2.1921607325909624</c:v>
                </c:pt>
                <c:pt idx="37">
                  <c:v>2.2088073776515595</c:v>
                </c:pt>
                <c:pt idx="38">
                  <c:v>2.2248887137511351</c:v>
                </c:pt>
                <c:pt idx="39">
                  <c:v>2.2404062247886882</c:v>
                </c:pt>
                <c:pt idx="40">
                  <c:v>2.255361355869772</c:v>
                </c:pt>
                <c:pt idx="41">
                  <c:v>2.2697555143733656</c:v>
                </c:pt>
                <c:pt idx="42">
                  <c:v>2.2835900710342303</c:v>
                </c:pt>
                <c:pt idx="43">
                  <c:v>2.2968663610423228</c:v>
                </c:pt>
                <c:pt idx="44">
                  <c:v>2.3095856851607763</c:v>
                </c:pt>
                <c:pt idx="45">
                  <c:v>2.3217493108638867</c:v>
                </c:pt>
                <c:pt idx="46">
                  <c:v>2.3333584734964568</c:v>
                </c:pt>
                <c:pt idx="47">
                  <c:v>2.3444143774557387</c:v>
                </c:pt>
                <c:pt idx="48">
                  <c:v>2.3549181973970921</c:v>
                </c:pt>
                <c:pt idx="49">
                  <c:v>2.3648710794643271</c:v>
                </c:pt>
                <c:pt idx="50">
                  <c:v>2.3742741425455294</c:v>
                </c:pt>
                <c:pt idx="51">
                  <c:v>2.3831284795549816</c:v>
                </c:pt>
                <c:pt idx="52">
                  <c:v>2.3914351587415719</c:v>
                </c:pt>
                <c:pt idx="53">
                  <c:v>2.3991952250238557</c:v>
                </c:pt>
                <c:pt idx="54">
                  <c:v>2.4064097013516723</c:v>
                </c:pt>
                <c:pt idx="55">
                  <c:v>2.4130795900939415</c:v>
                </c:pt>
                <c:pt idx="56">
                  <c:v>2.4192058744519773</c:v>
                </c:pt>
                <c:pt idx="57">
                  <c:v>2.4247895198973355</c:v>
                </c:pt>
                <c:pt idx="58">
                  <c:v>2.4298314756328958</c:v>
                </c:pt>
                <c:pt idx="59">
                  <c:v>2.4343326760755444</c:v>
                </c:pt>
                <c:pt idx="60">
                  <c:v>2.4382940423584869</c:v>
                </c:pt>
                <c:pt idx="61">
                  <c:v>2.4417164838508922</c:v>
                </c:pt>
                <c:pt idx="62">
                  <c:v>2.4446008996922366</c:v>
                </c:pt>
                <c:pt idx="63">
                  <c:v>2.4469481803384054</c:v>
                </c:pt>
                <c:pt idx="64">
                  <c:v>2.4487592091163166</c:v>
                </c:pt>
                <c:pt idx="65">
                  <c:v>2.4500348637835616</c:v>
                </c:pt>
                <c:pt idx="66">
                  <c:v>2.4507760180893197</c:v>
                </c:pt>
                <c:pt idx="67">
                  <c:v>2.4509835433326059</c:v>
                </c:pt>
                <c:pt idx="68">
                  <c:v>2.450658309913754</c:v>
                </c:pt>
                <c:pt idx="69">
                  <c:v>2.4498011888749196</c:v>
                </c:pt>
                <c:pt idx="70">
                  <c:v>2.4484130534253365</c:v>
                </c:pt>
                <c:pt idx="71">
                  <c:v>2.4464947804470349</c:v>
                </c:pt>
                <c:pt idx="72">
                  <c:v>2.4440472519767855</c:v>
                </c:pt>
                <c:pt idx="73">
                  <c:v>2.441071356660113</c:v>
                </c:pt>
                <c:pt idx="74">
                  <c:v>2.4375679911733741</c:v>
                </c:pt>
                <c:pt idx="75">
                  <c:v>2.4335380616100775</c:v>
                </c:pt>
                <c:pt idx="76">
                  <c:v>2.4289824848278574</c:v>
                </c:pt>
                <c:pt idx="77">
                  <c:v>2.4239021897527784</c:v>
                </c:pt>
                <c:pt idx="78">
                  <c:v>2.4182981186379484</c:v>
                </c:pt>
                <c:pt idx="79">
                  <c:v>2.4121712282737473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1"/>
        </c:ser>
        <c:ser>
          <c:idx val="1"/>
          <c:order val="1"/>
          <c:dPt>
            <c:idx val="0"/>
            <c:marker>
              <c:symbol val="none"/>
            </c:marker>
            <c:bubble3D val="0"/>
          </c:dPt>
          <c:xVal>
            <c:numRef>
              <c:f>´ÖÓÎÉÇØÍÐÉ!$V$20</c:f>
              <c:numCache>
                <c:formatCode>General</c:formatCode>
                <c:ptCount val="1"/>
                <c:pt idx="0">
                  <c:v>2.4509835433326059</c:v>
                </c:pt>
              </c:numCache>
            </c:numRef>
          </c:xVal>
          <c:yVal>
            <c:numRef>
              <c:f>´ÖÓÎÉÇØÍÐÉ!$V$20</c:f>
              <c:numCache>
                <c:formatCode>General</c:formatCode>
                <c:ptCount val="1"/>
                <c:pt idx="0">
                  <c:v>2.4509835433326059</c:v>
                </c:pt>
              </c:numCache>
            </c:numRef>
          </c:yVal>
          <c:smooth val="1"/>
        </c:ser>
        <c:ser>
          <c:idx val="2"/>
          <c:order val="2"/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(´ÖÓÎÉÇØÍÐÉ!$V$14,´ÖÓÎÉÇØÍÐÉ!$V$14)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´ÖÓÎÉÇØÍÐÉ!$V$15:$V$16</c:f>
              <c:numCache>
                <c:formatCode>General</c:formatCode>
                <c:ptCount val="2"/>
                <c:pt idx="0">
                  <c:v>1.5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´ÖÓÎÉÇØÍÐÉ!$AS$5:$AS$105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´ÖÓÎÉÇØÍÐÉ!$AT$5:$AT$105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022144"/>
        <c:axId val="101384960"/>
      </c:scatterChart>
      <c:valAx>
        <c:axId val="1020221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4960"/>
        <c:crosses val="autoZero"/>
        <c:crossBetween val="midCat"/>
      </c:valAx>
      <c:valAx>
        <c:axId val="101384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221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209550</xdr:colOff>
          <xdr:row>3</xdr:row>
          <xdr:rowOff>171450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3</xdr:row>
      <xdr:rowOff>19050</xdr:rowOff>
    </xdr:from>
    <xdr:to>
      <xdr:col>18</xdr:col>
      <xdr:colOff>160020</xdr:colOff>
      <xdr:row>35</xdr:row>
      <xdr:rowOff>1905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36</xdr:row>
      <xdr:rowOff>0</xdr:rowOff>
    </xdr:from>
    <xdr:to>
      <xdr:col>7</xdr:col>
      <xdr:colOff>462878</xdr:colOff>
      <xdr:row>53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6724650"/>
          <a:ext cx="5263478" cy="32385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  <sheetName val="AMB Design Spreadsheet v4_6"/>
    </sheetNames>
    <definedNames>
      <definedName name="Projectile_Metric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9015 -1</v>
          </cell>
        </row>
      </sheetData>
      <sheetData sheetId="12"/>
      <sheetData sheetId="13">
        <row r="5">
          <cell r="B5" t="str">
            <v>CIM</v>
          </cell>
        </row>
      </sheetData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AU121"/>
  <sheetViews>
    <sheetView tabSelected="1" zoomScaleNormal="100" workbookViewId="0">
      <selection activeCell="D11" sqref="D11"/>
    </sheetView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1.140625" style="1" customWidth="1"/>
    <col min="4" max="4" width="10.28515625" style="1" customWidth="1"/>
    <col min="5" max="5" width="9.140625" style="1" customWidth="1"/>
    <col min="6" max="6" width="21.140625" style="1" customWidth="1"/>
    <col min="7" max="7" width="10.28515625" style="1" customWidth="1"/>
    <col min="8" max="8" width="9.140625" style="1"/>
    <col min="9" max="9" width="9.140625" style="1" customWidth="1"/>
    <col min="10" max="10" width="1.5703125" style="1" customWidth="1"/>
    <col min="11" max="17" width="9.140625" style="1"/>
    <col min="18" max="18" width="9.140625" style="1" customWidth="1"/>
    <col min="19" max="20" width="9.140625" style="1"/>
    <col min="21" max="21" width="17.28515625" style="1" customWidth="1"/>
    <col min="22" max="16384" width="9.140625" style="1"/>
  </cols>
  <sheetData>
    <row r="2" spans="2:47" ht="31.5" x14ac:dyDescent="0.25">
      <c r="C2" s="2" t="s">
        <v>0</v>
      </c>
    </row>
    <row r="3" spans="2:47" x14ac:dyDescent="0.25">
      <c r="I3" s="30" t="s">
        <v>3</v>
      </c>
      <c r="J3" s="31"/>
    </row>
    <row r="4" spans="2:47" x14ac:dyDescent="0.25">
      <c r="B4" s="3" t="b">
        <v>1</v>
      </c>
      <c r="C4" s="1" t="s">
        <v>2</v>
      </c>
      <c r="U4" s="1" t="s">
        <v>21</v>
      </c>
      <c r="V4" s="1">
        <f>V6/(V7*COS(V8))/100*1.5</f>
        <v>7.6137620882003616E-3</v>
      </c>
      <c r="Y4" s="1" t="s">
        <v>9</v>
      </c>
      <c r="Z4" s="1" t="s">
        <v>10</v>
      </c>
      <c r="AA4" s="1" t="s">
        <v>11</v>
      </c>
      <c r="AB4" s="1" t="s">
        <v>12</v>
      </c>
      <c r="AC4" s="1" t="s">
        <v>13</v>
      </c>
      <c r="AD4" s="1" t="s">
        <v>24</v>
      </c>
      <c r="AE4" s="1" t="s">
        <v>22</v>
      </c>
      <c r="AF4" s="1" t="s">
        <v>23</v>
      </c>
      <c r="AG4" s="1" t="s">
        <v>14</v>
      </c>
      <c r="AH4" s="1" t="s">
        <v>15</v>
      </c>
      <c r="AI4" s="1" t="s">
        <v>30</v>
      </c>
      <c r="AJ4" s="1" t="s">
        <v>28</v>
      </c>
      <c r="AK4" s="1" t="s">
        <v>29</v>
      </c>
      <c r="AL4" s="1" t="s">
        <v>38</v>
      </c>
      <c r="AM4" s="1" t="s">
        <v>39</v>
      </c>
      <c r="AP4" s="1" t="s">
        <v>10</v>
      </c>
      <c r="AQ4" s="1" t="s">
        <v>11</v>
      </c>
      <c r="AR4" s="1" t="s">
        <v>24</v>
      </c>
      <c r="AS4" s="1" t="s">
        <v>38</v>
      </c>
      <c r="AT4" s="1" t="s">
        <v>39</v>
      </c>
    </row>
    <row r="5" spans="2:47" x14ac:dyDescent="0.25">
      <c r="U5" s="1" t="s">
        <v>16</v>
      </c>
      <c r="V5" s="1">
        <f>D7/IF($B$4, 1, 3.281)</f>
        <v>1.2</v>
      </c>
      <c r="Y5" s="1">
        <v>0</v>
      </c>
      <c r="Z5" s="1">
        <v>0</v>
      </c>
      <c r="AA5" s="1">
        <f>V5</f>
        <v>1.2</v>
      </c>
      <c r="AB5" s="1">
        <f>V7*COS(V8)</f>
        <v>3.9402334420842133</v>
      </c>
      <c r="AC5" s="1">
        <f>V7*SIN(V8)</f>
        <v>5.0432688230830216</v>
      </c>
      <c r="AD5" s="1">
        <f>SQRT(AB5^2+AC5^2)</f>
        <v>6.4000000000000012</v>
      </c>
      <c r="AE5" s="1">
        <f t="shared" ref="AE5:AE36" si="0">IFERROR($V$9*($D$13*2*PI())/AD5, 0)</f>
        <v>0.26212663703389827</v>
      </c>
      <c r="AF5" s="1">
        <f>IF(AE5&gt;0.1, 0.6*AE5+0.1, 1.6*AE5)</f>
        <v>0.25727598222033898</v>
      </c>
      <c r="AG5" s="1">
        <f t="shared" ref="AG5:AG33" si="1">-$V$11*AB5*AD5 - $V$12*AF5*AC5*AD5</f>
        <v>-3.1874886697614446</v>
      </c>
      <c r="AH5" s="1">
        <f t="shared" ref="AH5:AH33" si="2">$V$12*AF5*AD5*AB5 - $V$11*AC5*AD5 - 9.8</f>
        <v>-11.270924918475064</v>
      </c>
      <c r="AI5" s="1" t="b">
        <f>FALSE</f>
        <v>0</v>
      </c>
      <c r="AJ5" s="1">
        <f>Z5*IF($B$4, 1, 3.281)</f>
        <v>0</v>
      </c>
      <c r="AK5" s="1">
        <f>AA5*IF($B$4, 1, 3.281)</f>
        <v>1.2</v>
      </c>
      <c r="AL5" s="1">
        <f>IF($I$3="Forward", AJ5, NA())</f>
        <v>0</v>
      </c>
      <c r="AM5" s="1">
        <f>IF($I$3="Forward", AK5, NA())</f>
        <v>1.2</v>
      </c>
      <c r="AP5" s="1">
        <v>0</v>
      </c>
      <c r="AQ5" s="1">
        <f>$G$7 + AP5*TAN(RADIANS($G$13)) - (IF($B$4, 9.8, 32.2)*AP5^2)/(2*($G$12*COS(RADIANS($G$13)))^2)</f>
        <v>1.2</v>
      </c>
      <c r="AR5" s="17">
        <f>G12</f>
        <v>6.3707057935280851</v>
      </c>
      <c r="AS5" s="1" t="e">
        <f>IF($I$3="Forward", NA(), AP5)</f>
        <v>#N/A</v>
      </c>
      <c r="AT5" s="1" t="e">
        <f>IF($I$3="Forward", NA(), AQ5)</f>
        <v>#N/A</v>
      </c>
      <c r="AU5" s="17"/>
    </row>
    <row r="6" spans="2:47" ht="18.75" customHeight="1" x14ac:dyDescent="0.25">
      <c r="C6" s="32" t="s">
        <v>3</v>
      </c>
      <c r="D6" s="32"/>
      <c r="F6" s="32" t="s">
        <v>1</v>
      </c>
      <c r="G6" s="32"/>
      <c r="U6" s="1" t="s">
        <v>17</v>
      </c>
      <c r="V6" s="1">
        <f>D8/IF($B$4, 1, 3.281)</f>
        <v>2</v>
      </c>
      <c r="Y6" s="1">
        <f>Y5+$V$4</f>
        <v>7.6137620882003616E-3</v>
      </c>
      <c r="Z6" s="1">
        <f>Z5+AB5*$V$4</f>
        <v>0.03</v>
      </c>
      <c r="AA6" s="1">
        <f>AA5+AC5*$V$4</f>
        <v>1.2383982489657923</v>
      </c>
      <c r="AB6" s="1">
        <f>AB5+AG5*$V$4</f>
        <v>3.9159646616938155</v>
      </c>
      <c r="AC6" s="1">
        <f>AC5+AH5*$V$4</f>
        <v>4.9574546822397831</v>
      </c>
      <c r="AD6" s="1">
        <f t="shared" ref="AD6:AD33" si="3">SQRT(AB6^2+AC6^2)</f>
        <v>6.3175261105986662</v>
      </c>
      <c r="AE6" s="1">
        <f t="shared" si="0"/>
        <v>0.26554864161186253</v>
      </c>
      <c r="AF6" s="1">
        <f t="shared" ref="AF6:AF69" si="4">IF(AE6&gt;0.1, 0.6*AE6+0.1, 1.6*AE6)</f>
        <v>0.25932918496711754</v>
      </c>
      <c r="AG6" s="1">
        <f t="shared" si="1"/>
        <v>-3.1232708552923567</v>
      </c>
      <c r="AH6" s="1">
        <f t="shared" si="2"/>
        <v>-11.208924532610276</v>
      </c>
      <c r="AI6" s="1" t="b">
        <f>OR(AA5&lt;0, Z5&gt;$V$6)</f>
        <v>0</v>
      </c>
      <c r="AJ6" s="1">
        <f>IF(AI6,NA(),Z6)*IF($B$4,1,3.281)</f>
        <v>0.03</v>
      </c>
      <c r="AK6" s="1">
        <f>IF(AI6, NA(), AA6)*IF($B$4, 1, 3.281)</f>
        <v>1.2383982489657923</v>
      </c>
      <c r="AL6" s="1">
        <f t="shared" ref="AL6:AL69" si="5">IF($I$3="Forward", AJ6, NA())</f>
        <v>0.03</v>
      </c>
      <c r="AM6" s="1">
        <f t="shared" ref="AM6:AM69" si="6">IF($I$3="Forward", AK6, NA())</f>
        <v>1.2383982489657923</v>
      </c>
      <c r="AP6" s="1">
        <f>AP5+$G$8/100</f>
        <v>0.02</v>
      </c>
      <c r="AQ6" s="1">
        <f>$G$7 + AP6*TAN(RADIANS($G$13)) - (IF($B$4, 9.8, 32.2)*AP6^2)/(2*($G$12*COS(RADIANS($G$13)))^2)</f>
        <v>1.2258700927908637</v>
      </c>
      <c r="AR6" s="1">
        <f>SQRT(1+((AQ6-AQ5)/(AP6-AP5))^2)*($G$12*COS(RADIANS($G$13)))</f>
        <v>6.3507266397647104</v>
      </c>
      <c r="AS6" s="1" t="e">
        <f t="shared" ref="AS6:AS69" si="7">IF($I$3="Forward", NA(), AP6)</f>
        <v>#N/A</v>
      </c>
      <c r="AT6" s="1" t="e">
        <f t="shared" ref="AT6:AT69" si="8">IF($I$3="Forward", NA(), AQ6)</f>
        <v>#N/A</v>
      </c>
    </row>
    <row r="7" spans="2:47" x14ac:dyDescent="0.25">
      <c r="C7" s="4" t="str">
        <f>"Release Height (" &amp; IF($B$4, "m", "ft") &amp; ")"</f>
        <v>Release Height (m)</v>
      </c>
      <c r="D7" s="5">
        <v>1.2</v>
      </c>
      <c r="F7" s="4" t="str">
        <f>"Release Height (" &amp; IF($B$4, "m", "ft") &amp; ")"</f>
        <v>Release Height (m)</v>
      </c>
      <c r="G7" s="5">
        <v>1.2</v>
      </c>
      <c r="U7" s="1" t="s">
        <v>18</v>
      </c>
      <c r="V7" s="1">
        <f>D9/IF($B$4, 1, 3.281)</f>
        <v>6.4</v>
      </c>
      <c r="Y7" s="1">
        <f t="shared" ref="Y7:Y70" si="9">Y6+$V$4</f>
        <v>1.5227524176400723E-2</v>
      </c>
      <c r="Z7" s="1">
        <f t="shared" ref="Z7:Z70" si="10">Z6+AB6*$V$4</f>
        <v>5.9815223279936727E-2</v>
      </c>
      <c r="AA7" s="1">
        <f t="shared" ref="AA7:AA70" si="11">AA6+AC6*$V$4</f>
        <v>1.276143129479401</v>
      </c>
      <c r="AB7" s="1">
        <f t="shared" ref="AB7:AB70" si="12">AB6+AG6*$V$4</f>
        <v>3.8921848204646095</v>
      </c>
      <c r="AC7" s="1">
        <f t="shared" ref="AC7:AC70" si="13">AC6+AH6*$V$4</f>
        <v>4.8721125975838957</v>
      </c>
      <c r="AD7" s="1">
        <f t="shared" si="3"/>
        <v>6.2359108268312191</v>
      </c>
      <c r="AE7" s="1">
        <f t="shared" si="0"/>
        <v>0.26902412872850967</v>
      </c>
      <c r="AF7" s="1">
        <f t="shared" si="4"/>
        <v>0.26141447723710581</v>
      </c>
      <c r="AG7" s="1">
        <f t="shared" si="1"/>
        <v>-3.0602419065675908</v>
      </c>
      <c r="AH7" s="1">
        <f t="shared" si="2"/>
        <v>-11.148312549762515</v>
      </c>
      <c r="AI7" s="1" t="b">
        <f t="shared" ref="AI7:AI33" si="14">OR(AA6&lt;0, Z6&gt;$V$6)</f>
        <v>0</v>
      </c>
      <c r="AJ7" s="1">
        <f t="shared" ref="AJ7:AJ70" si="15">IF(AI7,NA(),Z7)*IF($B$4,1,3.281)</f>
        <v>5.9815223279936727E-2</v>
      </c>
      <c r="AK7" s="1">
        <f t="shared" ref="AK7:AK70" si="16">IF(AI7, NA(), AA7)*IF($B$4, 1, 3.281)</f>
        <v>1.276143129479401</v>
      </c>
      <c r="AL7" s="1">
        <f t="shared" si="5"/>
        <v>5.9815223279936727E-2</v>
      </c>
      <c r="AM7" s="1">
        <f t="shared" si="6"/>
        <v>1.276143129479401</v>
      </c>
      <c r="AP7" s="1">
        <f t="shared" ref="AP7:AP70" si="17">AP6+$G$8/100</f>
        <v>0.04</v>
      </c>
      <c r="AQ7" s="1">
        <f t="shared" ref="AQ7:AQ70" si="18">$G$7 + AP7*TAN(RADIANS($G$13)) - (IF($B$4, 9.8, 32.2)*AP7^2)/(2*($G$12*COS(RADIANS($G$13)))^2)</f>
        <v>1.2514803711634548</v>
      </c>
      <c r="AR7" s="1">
        <f t="shared" ref="AR7:AR70" si="19">SQRT(1+((AQ7-AQ6)/(AP7-AP6))^2)*($G$12*COS(RADIANS($G$13)))</f>
        <v>6.3108811758434662</v>
      </c>
      <c r="AS7" s="1" t="e">
        <f t="shared" si="7"/>
        <v>#N/A</v>
      </c>
      <c r="AT7" s="1" t="e">
        <f t="shared" si="8"/>
        <v>#N/A</v>
      </c>
    </row>
    <row r="8" spans="2:47" x14ac:dyDescent="0.25">
      <c r="C8" s="4" t="str">
        <f>"Distance to Target (" &amp; IF($B$4, "m", "ft") &amp; ")"</f>
        <v>Distance to Target (m)</v>
      </c>
      <c r="D8" s="5">
        <v>2</v>
      </c>
      <c r="F8" s="4" t="str">
        <f>"Distance to Target (" &amp; IF($B$4, "m", "ft") &amp; ")"</f>
        <v>Distance to Target (m)</v>
      </c>
      <c r="G8" s="5">
        <v>2</v>
      </c>
      <c r="I8" s="6"/>
      <c r="J8" s="6">
        <v>0</v>
      </c>
      <c r="L8" s="6"/>
      <c r="M8" s="6"/>
      <c r="O8" s="6"/>
      <c r="P8" s="6"/>
      <c r="U8" s="1" t="s">
        <v>19</v>
      </c>
      <c r="V8" s="1">
        <f>RADIANS(D10)</f>
        <v>0.90757121103705141</v>
      </c>
      <c r="Y8" s="1">
        <f t="shared" si="9"/>
        <v>2.2841286264601086E-2</v>
      </c>
      <c r="Z8" s="1">
        <f t="shared" si="10"/>
        <v>8.9449392506259107E-2</v>
      </c>
      <c r="AA8" s="1">
        <f t="shared" si="11"/>
        <v>1.3132382356643286</v>
      </c>
      <c r="AB8" s="1">
        <f t="shared" si="12"/>
        <v>3.8688848666556632</v>
      </c>
      <c r="AC8" s="1">
        <f t="shared" si="13"/>
        <v>4.7872319981451055</v>
      </c>
      <c r="AD8" s="1">
        <f t="shared" si="3"/>
        <v>6.1551490896241976</v>
      </c>
      <c r="AE8" s="1">
        <f t="shared" si="0"/>
        <v>0.27255399545803294</v>
      </c>
      <c r="AF8" s="1">
        <f t="shared" si="4"/>
        <v>0.26353239727481975</v>
      </c>
      <c r="AG8" s="1">
        <f t="shared" si="1"/>
        <v>-2.9983741998132891</v>
      </c>
      <c r="AH8" s="1">
        <f t="shared" si="2"/>
        <v>-11.089061899131256</v>
      </c>
      <c r="AI8" s="1" t="b">
        <f t="shared" si="14"/>
        <v>0</v>
      </c>
      <c r="AJ8" s="1">
        <f t="shared" si="15"/>
        <v>8.9449392506259107E-2</v>
      </c>
      <c r="AK8" s="1">
        <f t="shared" si="16"/>
        <v>1.3132382356643286</v>
      </c>
      <c r="AL8" s="1">
        <f t="shared" si="5"/>
        <v>8.9449392506259107E-2</v>
      </c>
      <c r="AM8" s="1">
        <f t="shared" si="6"/>
        <v>1.3132382356643286</v>
      </c>
      <c r="AP8" s="1">
        <f t="shared" si="17"/>
        <v>0.06</v>
      </c>
      <c r="AQ8" s="1">
        <f t="shared" si="18"/>
        <v>1.2768308351177731</v>
      </c>
      <c r="AR8" s="1">
        <f t="shared" si="19"/>
        <v>6.2711885588627769</v>
      </c>
      <c r="AS8" s="1" t="e">
        <f t="shared" si="7"/>
        <v>#N/A</v>
      </c>
      <c r="AT8" s="1" t="e">
        <f t="shared" si="8"/>
        <v>#N/A</v>
      </c>
    </row>
    <row r="9" spans="2:47" x14ac:dyDescent="0.25">
      <c r="C9" s="4" t="str">
        <f>"Release Velocity (" &amp; IF($B$4, "m", "ft") &amp; "/s)"</f>
        <v>Release Velocity (m/s)</v>
      </c>
      <c r="D9" s="5">
        <v>6.4</v>
      </c>
      <c r="F9" s="4" t="str">
        <f>"Target Height (" &amp; IF($B$4, "m", "ft") &amp; ")"</f>
        <v>Target Height (m)</v>
      </c>
      <c r="G9" s="5">
        <v>2.5</v>
      </c>
      <c r="I9" s="6"/>
      <c r="J9" s="6">
        <v>0</v>
      </c>
      <c r="O9" s="6"/>
      <c r="P9" s="6"/>
      <c r="U9" s="1" t="s">
        <v>27</v>
      </c>
      <c r="V9" s="1">
        <f>$D$14/IF($B$4, 1000, 39.37)/2</f>
        <v>8.8999999999999982E-2</v>
      </c>
      <c r="Y9" s="1">
        <f t="shared" si="9"/>
        <v>3.0455048352801446E-2</v>
      </c>
      <c r="Z9" s="1">
        <f t="shared" si="10"/>
        <v>0.11890616142761411</v>
      </c>
      <c r="AA9" s="1">
        <f t="shared" si="11"/>
        <v>1.3496870811592254</v>
      </c>
      <c r="AB9" s="1">
        <f t="shared" si="12"/>
        <v>3.8460559588468866</v>
      </c>
      <c r="AC9" s="1">
        <f t="shared" si="13"/>
        <v>4.702802519063793</v>
      </c>
      <c r="AD9" s="1">
        <f t="shared" si="3"/>
        <v>6.0752364539904455</v>
      </c>
      <c r="AE9" s="1">
        <f t="shared" si="0"/>
        <v>0.27613912474386587</v>
      </c>
      <c r="AF9" s="1">
        <f t="shared" si="4"/>
        <v>0.26568347484631949</v>
      </c>
      <c r="AG9" s="1">
        <f t="shared" si="1"/>
        <v>-2.9376410455732493</v>
      </c>
      <c r="AH9" s="1">
        <f t="shared" si="2"/>
        <v>-11.031146221162762</v>
      </c>
      <c r="AI9" s="1" t="b">
        <f t="shared" si="14"/>
        <v>0</v>
      </c>
      <c r="AJ9" s="1">
        <f t="shared" si="15"/>
        <v>0.11890616142761411</v>
      </c>
      <c r="AK9" s="1">
        <f t="shared" si="16"/>
        <v>1.3496870811592254</v>
      </c>
      <c r="AL9" s="1">
        <f t="shared" si="5"/>
        <v>0.11890616142761411</v>
      </c>
      <c r="AM9" s="1">
        <f t="shared" si="6"/>
        <v>1.3496870811592254</v>
      </c>
      <c r="AP9" s="1">
        <f t="shared" si="17"/>
        <v>0.08</v>
      </c>
      <c r="AQ9" s="1">
        <f t="shared" si="18"/>
        <v>1.3019214846538187</v>
      </c>
      <c r="AR9" s="1">
        <f t="shared" si="19"/>
        <v>6.2316517095073527</v>
      </c>
      <c r="AS9" s="1" t="e">
        <f t="shared" si="7"/>
        <v>#N/A</v>
      </c>
      <c r="AT9" s="1" t="e">
        <f t="shared" si="8"/>
        <v>#N/A</v>
      </c>
    </row>
    <row r="10" spans="2:47" x14ac:dyDescent="0.25">
      <c r="C10" s="4" t="s">
        <v>4</v>
      </c>
      <c r="D10" s="8">
        <v>52</v>
      </c>
      <c r="F10" s="4" t="s">
        <v>5</v>
      </c>
      <c r="G10" s="8">
        <v>0</v>
      </c>
      <c r="I10" s="7"/>
      <c r="J10" s="6">
        <v>0</v>
      </c>
      <c r="U10" s="1" t="s">
        <v>26</v>
      </c>
      <c r="V10" s="1">
        <f>$D$15/IF($B$4, 1, 2.2)</f>
        <v>0.1</v>
      </c>
      <c r="Y10" s="1">
        <f t="shared" si="9"/>
        <v>3.8068810441001806E-2</v>
      </c>
      <c r="Z10" s="1">
        <f t="shared" si="10"/>
        <v>0.14818911647617963</v>
      </c>
      <c r="AA10" s="1">
        <f t="shared" si="11"/>
        <v>1.3854931006871665</v>
      </c>
      <c r="AB10" s="1">
        <f t="shared" si="12"/>
        <v>3.8236894588253598</v>
      </c>
      <c r="AC10" s="1">
        <f t="shared" si="13"/>
        <v>4.6188139961757093</v>
      </c>
      <c r="AD10" s="1">
        <f t="shared" si="3"/>
        <v>5.9961690944135988</v>
      </c>
      <c r="AE10" s="1">
        <f t="shared" si="0"/>
        <v>0.27978038154059309</v>
      </c>
      <c r="AF10" s="1">
        <f t="shared" si="4"/>
        <v>0.26786822892435586</v>
      </c>
      <c r="AG10" s="1">
        <f t="shared" si="1"/>
        <v>-2.8780166599114612</v>
      </c>
      <c r="AH10" s="1">
        <f t="shared" si="2"/>
        <v>-10.974539837775819</v>
      </c>
      <c r="AI10" s="1" t="b">
        <f t="shared" si="14"/>
        <v>0</v>
      </c>
      <c r="AJ10" s="1">
        <f t="shared" si="15"/>
        <v>0.14818911647617963</v>
      </c>
      <c r="AK10" s="1">
        <f t="shared" si="16"/>
        <v>1.3854931006871665</v>
      </c>
      <c r="AL10" s="1">
        <f t="shared" si="5"/>
        <v>0.14818911647617963</v>
      </c>
      <c r="AM10" s="1">
        <f t="shared" si="6"/>
        <v>1.3854931006871665</v>
      </c>
      <c r="AP10" s="1">
        <f t="shared" si="17"/>
        <v>0.1</v>
      </c>
      <c r="AQ10" s="1">
        <f t="shared" si="18"/>
        <v>1.3267523197715918</v>
      </c>
      <c r="AR10" s="1">
        <f t="shared" si="19"/>
        <v>6.1922736114450396</v>
      </c>
      <c r="AS10" s="1" t="e">
        <f t="shared" si="7"/>
        <v>#N/A</v>
      </c>
      <c r="AT10" s="1" t="e">
        <f t="shared" si="8"/>
        <v>#N/A</v>
      </c>
    </row>
    <row r="11" spans="2:47" x14ac:dyDescent="0.25">
      <c r="D11" s="6"/>
      <c r="G11" s="6"/>
      <c r="U11" s="1" t="s">
        <v>20</v>
      </c>
      <c r="V11" s="1">
        <f>0.5*1.225*(PI()*$V$9^2)*$D$12/$V$10</f>
        <v>7.620895094032204E-2</v>
      </c>
      <c r="Y11" s="1">
        <f t="shared" si="9"/>
        <v>4.5682572529202166E-2</v>
      </c>
      <c r="Z11" s="1">
        <f t="shared" si="10"/>
        <v>0.17730177831483551</v>
      </c>
      <c r="AA11" s="1">
        <f t="shared" si="11"/>
        <v>1.4206596515836982</v>
      </c>
      <c r="AB11" s="1">
        <f t="shared" si="12"/>
        <v>3.801776924690917</v>
      </c>
      <c r="AC11" s="1">
        <f t="shared" si="13"/>
        <v>4.5352564608234074</v>
      </c>
      <c r="AD11" s="1">
        <f t="shared" si="3"/>
        <v>5.9179438110337603</v>
      </c>
      <c r="AE11" s="1">
        <f t="shared" si="0"/>
        <v>0.28347860854797474</v>
      </c>
      <c r="AF11" s="1">
        <f t="shared" si="4"/>
        <v>0.27008716512878483</v>
      </c>
      <c r="AG11" s="1">
        <f t="shared" si="1"/>
        <v>-2.8194761369607351</v>
      </c>
      <c r="AH11" s="1">
        <f t="shared" si="2"/>
        <v>-10.919217723278228</v>
      </c>
      <c r="AI11" s="1" t="b">
        <f t="shared" si="14"/>
        <v>0</v>
      </c>
      <c r="AJ11" s="1">
        <f t="shared" si="15"/>
        <v>0.17730177831483551</v>
      </c>
      <c r="AK11" s="1">
        <f t="shared" si="16"/>
        <v>1.4206596515836982</v>
      </c>
      <c r="AL11" s="1">
        <f t="shared" si="5"/>
        <v>0.17730177831483551</v>
      </c>
      <c r="AM11" s="1">
        <f t="shared" si="6"/>
        <v>1.4206596515836982</v>
      </c>
      <c r="AP11" s="1">
        <f t="shared" si="17"/>
        <v>0.12000000000000001</v>
      </c>
      <c r="AQ11" s="1">
        <f t="shared" si="18"/>
        <v>1.351323340471092</v>
      </c>
      <c r="AR11" s="1">
        <f t="shared" si="19"/>
        <v>6.1530573125877028</v>
      </c>
      <c r="AS11" s="1" t="e">
        <f t="shared" si="7"/>
        <v>#N/A</v>
      </c>
      <c r="AT11" s="1" t="e">
        <f t="shared" si="8"/>
        <v>#N/A</v>
      </c>
    </row>
    <row r="12" spans="2:47" x14ac:dyDescent="0.25">
      <c r="C12" s="4" t="s">
        <v>7</v>
      </c>
      <c r="D12" s="13">
        <v>0.5</v>
      </c>
      <c r="F12" s="4" t="str">
        <f>"Release Velocity (" &amp; IF($B$4, "m", "ft") &amp; "/s)"</f>
        <v>Release Velocity (m/s)</v>
      </c>
      <c r="G12" s="11">
        <f>SQRT((IF($B$4, 9.807, 32.174)*G8)/(ABS(TAN(RADIANS(G13))-TAN(RADIANS(G10)))))/COS(RADIANS(G13))</f>
        <v>6.3707057935280851</v>
      </c>
      <c r="U12" s="1" t="s">
        <v>25</v>
      </c>
      <c r="V12" s="1">
        <f>0.5*1.225*(PI()*$V$9^2)/$V$10</f>
        <v>0.15241790188064408</v>
      </c>
      <c r="Y12" s="1">
        <f t="shared" si="9"/>
        <v>5.3296334617402526E-2</v>
      </c>
      <c r="Z12" s="1">
        <f t="shared" si="10"/>
        <v>0.20624760333184217</v>
      </c>
      <c r="AA12" s="1">
        <f t="shared" si="11"/>
        <v>1.4551900152853812</v>
      </c>
      <c r="AB12" s="1">
        <f t="shared" si="12"/>
        <v>3.7803101041707396</v>
      </c>
      <c r="AC12" s="1">
        <f t="shared" si="13"/>
        <v>4.452120134889106</v>
      </c>
      <c r="AD12" s="1">
        <f t="shared" si="3"/>
        <v>5.840558036624615</v>
      </c>
      <c r="AE12" s="1">
        <f t="shared" si="0"/>
        <v>0.28723462150313234</v>
      </c>
      <c r="AF12" s="1">
        <f t="shared" si="4"/>
        <v>0.27234077290187941</v>
      </c>
      <c r="AG12" s="1">
        <f t="shared" si="1"/>
        <v>-2.7619954227544379</v>
      </c>
      <c r="AH12" s="1">
        <f t="shared" si="2"/>
        <v>-10.865155475912244</v>
      </c>
      <c r="AI12" s="1" t="b">
        <f t="shared" si="14"/>
        <v>0</v>
      </c>
      <c r="AJ12" s="1">
        <f t="shared" si="15"/>
        <v>0.20624760333184217</v>
      </c>
      <c r="AK12" s="1">
        <f t="shared" si="16"/>
        <v>1.4551900152853812</v>
      </c>
      <c r="AL12" s="1">
        <f t="shared" si="5"/>
        <v>0.20624760333184217</v>
      </c>
      <c r="AM12" s="1">
        <f t="shared" si="6"/>
        <v>1.4551900152853812</v>
      </c>
      <c r="AP12" s="1">
        <f t="shared" si="17"/>
        <v>0.14000000000000001</v>
      </c>
      <c r="AQ12" s="1">
        <f t="shared" si="18"/>
        <v>1.3756345467523197</v>
      </c>
      <c r="AR12" s="1">
        <f t="shared" si="19"/>
        <v>6.1140059263610436</v>
      </c>
      <c r="AS12" s="1" t="e">
        <f t="shared" si="7"/>
        <v>#N/A</v>
      </c>
      <c r="AT12" s="1" t="e">
        <f t="shared" si="8"/>
        <v>#N/A</v>
      </c>
    </row>
    <row r="13" spans="2:47" x14ac:dyDescent="0.25">
      <c r="C13" s="4" t="s">
        <v>8</v>
      </c>
      <c r="D13" s="5">
        <v>3</v>
      </c>
      <c r="F13" s="4" t="s">
        <v>4</v>
      </c>
      <c r="G13" s="12">
        <f>DEGREES(ATAN(2*(G9-G7)/G8-TAN(RADIANS(G10))))</f>
        <v>52.431407971172511</v>
      </c>
      <c r="Y13" s="1">
        <f t="shared" si="9"/>
        <v>6.0910096705602886E-2</v>
      </c>
      <c r="Z13" s="1">
        <f t="shared" si="10"/>
        <v>0.23502998508461811</v>
      </c>
      <c r="AA13" s="1">
        <f t="shared" si="11"/>
        <v>1.4890873987805133</v>
      </c>
      <c r="AB13" s="1">
        <f t="shared" si="12"/>
        <v>3.7592809281331889</v>
      </c>
      <c r="AC13" s="1">
        <f t="shared" si="13"/>
        <v>4.3693954260442025</v>
      </c>
      <c r="AD13" s="1">
        <f t="shared" si="3"/>
        <v>5.7640098443498449</v>
      </c>
      <c r="AE13" s="1">
        <f t="shared" si="0"/>
        <v>0.29104920399492762</v>
      </c>
      <c r="AF13" s="1">
        <f t="shared" si="4"/>
        <v>0.27462952239695659</v>
      </c>
      <c r="AG13" s="1">
        <f t="shared" si="1"/>
        <v>-2.7055512902805852</v>
      </c>
      <c r="AH13" s="1">
        <f t="shared" si="2"/>
        <v>-10.812329289968432</v>
      </c>
      <c r="AI13" s="1" t="b">
        <f t="shared" si="14"/>
        <v>0</v>
      </c>
      <c r="AJ13" s="1">
        <f t="shared" si="15"/>
        <v>0.23502998508461811</v>
      </c>
      <c r="AK13" s="1">
        <f t="shared" si="16"/>
        <v>1.4890873987805133</v>
      </c>
      <c r="AL13" s="1">
        <f t="shared" si="5"/>
        <v>0.23502998508461811</v>
      </c>
      <c r="AM13" s="1">
        <f t="shared" si="6"/>
        <v>1.4890873987805133</v>
      </c>
      <c r="AP13" s="1">
        <f t="shared" si="17"/>
        <v>0.16</v>
      </c>
      <c r="AQ13" s="1">
        <f t="shared" si="18"/>
        <v>1.3996859386152747</v>
      </c>
      <c r="AR13" s="1">
        <f t="shared" si="19"/>
        <v>6.0751226329815848</v>
      </c>
      <c r="AS13" s="1" t="e">
        <f t="shared" si="7"/>
        <v>#N/A</v>
      </c>
      <c r="AT13" s="1" t="e">
        <f t="shared" si="8"/>
        <v>#N/A</v>
      </c>
    </row>
    <row r="14" spans="2:47" x14ac:dyDescent="0.25">
      <c r="C14" s="4" t="str">
        <f>"Ball Diameter (" &amp; IF($B$4, "mm", "in") &amp; ")"</f>
        <v>Ball Diameter (mm)</v>
      </c>
      <c r="D14" s="14">
        <v>177.99999999999997</v>
      </c>
      <c r="F14" s="4" t="str">
        <f>"Avg. Velocity (" &amp; IF($B$4, "m", "ft") &amp; ")"</f>
        <v>Avg. Velocity (m)</v>
      </c>
      <c r="G14" s="11">
        <f>AVERAGE(AR5:AR105)</f>
        <v>4.8127270022946691</v>
      </c>
      <c r="N14" s="9"/>
      <c r="U14" s="1" t="s">
        <v>37</v>
      </c>
      <c r="V14" s="1">
        <f>IF($I$3="Forward", D21, G16)</f>
        <v>1</v>
      </c>
      <c r="Y14" s="1">
        <f t="shared" si="9"/>
        <v>6.8523858793803252E-2</v>
      </c>
      <c r="Z14" s="1">
        <f t="shared" si="10"/>
        <v>0.26365225569413325</v>
      </c>
      <c r="AA14" s="1">
        <f t="shared" si="11"/>
        <v>1.5223549360236848</v>
      </c>
      <c r="AB14" s="1">
        <f t="shared" si="12"/>
        <v>3.7386815042915691</v>
      </c>
      <c r="AC14" s="1">
        <f t="shared" si="13"/>
        <v>4.2870729232111024</v>
      </c>
      <c r="AD14" s="1">
        <f t="shared" si="3"/>
        <v>5.688297956283729</v>
      </c>
      <c r="AE14" s="1">
        <f t="shared" si="0"/>
        <v>0.29492310176258124</v>
      </c>
      <c r="AF14" s="1">
        <f t="shared" si="4"/>
        <v>0.27695386105754871</v>
      </c>
      <c r="AG14" s="1">
        <f t="shared" si="1"/>
        <v>-2.6501213156995149</v>
      </c>
      <c r="AH14" s="1">
        <f t="shared" si="2"/>
        <v>-10.760715928408588</v>
      </c>
      <c r="AI14" s="1" t="b">
        <f t="shared" si="14"/>
        <v>0</v>
      </c>
      <c r="AJ14" s="1">
        <f t="shared" si="15"/>
        <v>0.26365225569413325</v>
      </c>
      <c r="AK14" s="1">
        <f t="shared" si="16"/>
        <v>1.5223549360236848</v>
      </c>
      <c r="AL14" s="1">
        <f t="shared" si="5"/>
        <v>0.26365225569413325</v>
      </c>
      <c r="AM14" s="1">
        <f t="shared" si="6"/>
        <v>1.5223549360236848</v>
      </c>
      <c r="AP14" s="1">
        <f t="shared" si="17"/>
        <v>0.18</v>
      </c>
      <c r="AQ14" s="1">
        <f t="shared" si="18"/>
        <v>1.4234775160599571</v>
      </c>
      <c r="AR14" s="1">
        <f t="shared" si="19"/>
        <v>6.036410680739869</v>
      </c>
      <c r="AS14" s="1" t="e">
        <f t="shared" si="7"/>
        <v>#N/A</v>
      </c>
      <c r="AT14" s="1" t="e">
        <f t="shared" si="8"/>
        <v>#N/A</v>
      </c>
    </row>
    <row r="15" spans="2:47" ht="14.45" customHeight="1" x14ac:dyDescent="0.25">
      <c r="C15" s="4" t="str">
        <f>"Ball Mass (" &amp; IF($B$4, "kg", "lbs") &amp; ")"</f>
        <v>Ball Mass (kg)</v>
      </c>
      <c r="D15" s="13">
        <v>0.1</v>
      </c>
      <c r="N15" s="9"/>
      <c r="U15" s="1" t="s">
        <v>36</v>
      </c>
      <c r="V15" s="15">
        <f>IF($I$3="Forward", D22, G17)</f>
        <v>1.5</v>
      </c>
      <c r="Y15" s="1">
        <f t="shared" si="9"/>
        <v>7.6137620882003612E-2</v>
      </c>
      <c r="Z15" s="1">
        <f t="shared" si="10"/>
        <v>0.29211768719136433</v>
      </c>
      <c r="AA15" s="1">
        <f t="shared" si="11"/>
        <v>1.5549956893157797</v>
      </c>
      <c r="AB15" s="1">
        <f t="shared" si="12"/>
        <v>3.7185041110889645</v>
      </c>
      <c r="AC15" s="1">
        <f t="shared" si="13"/>
        <v>4.2051433922334915</v>
      </c>
      <c r="AD15" s="1">
        <f t="shared" si="3"/>
        <v>5.6134217526772856</v>
      </c>
      <c r="AE15" s="1">
        <f t="shared" si="0"/>
        <v>0.29885701643864965</v>
      </c>
      <c r="AF15" s="1">
        <f t="shared" si="4"/>
        <v>0.27931420986318978</v>
      </c>
      <c r="AG15" s="1">
        <f t="shared" si="1"/>
        <v>-2.5956838556679989</v>
      </c>
      <c r="AH15" s="1">
        <f t="shared" si="2"/>
        <v>-10.710292695939575</v>
      </c>
      <c r="AI15" s="1" t="b">
        <f t="shared" si="14"/>
        <v>0</v>
      </c>
      <c r="AJ15" s="1">
        <f t="shared" si="15"/>
        <v>0.29211768719136433</v>
      </c>
      <c r="AK15" s="1">
        <f t="shared" si="16"/>
        <v>1.5549956893157797</v>
      </c>
      <c r="AL15" s="1">
        <f t="shared" si="5"/>
        <v>0.29211768719136433</v>
      </c>
      <c r="AM15" s="1">
        <f t="shared" si="6"/>
        <v>1.5549956893157797</v>
      </c>
      <c r="AP15" s="1">
        <f t="shared" si="17"/>
        <v>0.19999999999999998</v>
      </c>
      <c r="AQ15" s="1">
        <f t="shared" si="18"/>
        <v>1.4470092790863669</v>
      </c>
      <c r="AR15" s="1">
        <f t="shared" si="19"/>
        <v>5.9978733872876768</v>
      </c>
      <c r="AS15" s="1" t="e">
        <f t="shared" si="7"/>
        <v>#N/A</v>
      </c>
      <c r="AT15" s="1" t="e">
        <f t="shared" si="8"/>
        <v>#N/A</v>
      </c>
    </row>
    <row r="16" spans="2:47" x14ac:dyDescent="0.25">
      <c r="C16" s="10"/>
      <c r="D16" s="10"/>
      <c r="F16" s="4" t="str">
        <f>"Obstacle Distance (" &amp; IF($B$4, "m", "ft") &amp; ")"</f>
        <v>Obstacle Distance (m)</v>
      </c>
      <c r="G16" s="5">
        <v>1</v>
      </c>
      <c r="V16" s="15">
        <v>0</v>
      </c>
      <c r="Y16" s="1">
        <f t="shared" si="9"/>
        <v>8.3751382970203972E-2</v>
      </c>
      <c r="Z16" s="1">
        <f t="shared" si="10"/>
        <v>0.32042949281719069</v>
      </c>
      <c r="AA16" s="1">
        <f t="shared" si="11"/>
        <v>1.5870126506510134</v>
      </c>
      <c r="AB16" s="1">
        <f t="shared" si="12"/>
        <v>3.6987411917557256</v>
      </c>
      <c r="AC16" s="1">
        <f t="shared" si="13"/>
        <v>4.1235977717516175</v>
      </c>
      <c r="AD16" s="1">
        <f t="shared" si="3"/>
        <v>5.5393812819470609</v>
      </c>
      <c r="AE16" s="1">
        <f t="shared" si="0"/>
        <v>0.30285159869466116</v>
      </c>
      <c r="AF16" s="1">
        <f t="shared" si="4"/>
        <v>0.28171095921679667</v>
      </c>
      <c r="AG16" s="1">
        <f t="shared" si="1"/>
        <v>-2.5422180257140172</v>
      </c>
      <c r="AH16" s="1">
        <f t="shared" si="2"/>
        <v>-10.66103741248083</v>
      </c>
      <c r="AI16" s="1" t="b">
        <f t="shared" si="14"/>
        <v>0</v>
      </c>
      <c r="AJ16" s="1">
        <f t="shared" si="15"/>
        <v>0.32042949281719069</v>
      </c>
      <c r="AK16" s="1">
        <f t="shared" si="16"/>
        <v>1.5870126506510134</v>
      </c>
      <c r="AL16" s="1">
        <f t="shared" si="5"/>
        <v>0.32042949281719069</v>
      </c>
      <c r="AM16" s="1">
        <f t="shared" si="6"/>
        <v>1.5870126506510134</v>
      </c>
      <c r="AP16" s="1">
        <f t="shared" si="17"/>
        <v>0.21999999999999997</v>
      </c>
      <c r="AQ16" s="1">
        <f t="shared" si="18"/>
        <v>1.4702812276945039</v>
      </c>
      <c r="AR16" s="1">
        <f t="shared" si="19"/>
        <v>5.9595141409275048</v>
      </c>
      <c r="AS16" s="1" t="e">
        <f t="shared" si="7"/>
        <v>#N/A</v>
      </c>
      <c r="AT16" s="1" t="e">
        <f t="shared" si="8"/>
        <v>#N/A</v>
      </c>
    </row>
    <row r="17" spans="3:46" s="10" customFormat="1" x14ac:dyDescent="0.25">
      <c r="C17" s="4" t="str">
        <f>"Final Height (" &amp; IF($B$4, "m", "ft") &amp; ")"</f>
        <v>Final Height (m)</v>
      </c>
      <c r="D17" s="11">
        <f>INDEX($AK$5:$AK$105, $V$18)</f>
        <v>2.4121712282737473</v>
      </c>
      <c r="E17" s="1"/>
      <c r="F17" s="4" t="str">
        <f>"Obstacle Height (" &amp; IF($B$4, "m", "ft") &amp; ")"</f>
        <v>Obstacle Height (m)</v>
      </c>
      <c r="G17" s="5">
        <v>1.5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U17" s="1"/>
      <c r="Y17" s="1">
        <f t="shared" si="9"/>
        <v>9.1365145058404332E-2</v>
      </c>
      <c r="Z17" s="1">
        <f t="shared" si="10"/>
        <v>0.34859082827704546</v>
      </c>
      <c r="AA17" s="1">
        <f t="shared" si="11"/>
        <v>1.6184087430325633</v>
      </c>
      <c r="AB17" s="1">
        <f t="shared" si="12"/>
        <v>3.6793853485316048</v>
      </c>
      <c r="AC17" s="1">
        <f t="shared" si="13"/>
        <v>4.042427169279585</v>
      </c>
      <c r="AD17" s="1">
        <f t="shared" si="3"/>
        <v>5.4661772713587329</v>
      </c>
      <c r="AE17" s="1">
        <f t="shared" si="0"/>
        <v>0.30690744074605247</v>
      </c>
      <c r="AF17" s="1">
        <f t="shared" si="4"/>
        <v>0.28414446444763147</v>
      </c>
      <c r="AG17" s="1">
        <f t="shared" si="1"/>
        <v>-2.4897036796074632</v>
      </c>
      <c r="AH17" s="1">
        <f t="shared" si="2"/>
        <v>-10.612928386969394</v>
      </c>
      <c r="AI17" s="1" t="b">
        <f t="shared" si="14"/>
        <v>0</v>
      </c>
      <c r="AJ17" s="1">
        <f t="shared" si="15"/>
        <v>0.34859082827704546</v>
      </c>
      <c r="AK17" s="1">
        <f t="shared" si="16"/>
        <v>1.6184087430325633</v>
      </c>
      <c r="AL17" s="1">
        <f t="shared" si="5"/>
        <v>0.34859082827704546</v>
      </c>
      <c r="AM17" s="1">
        <f t="shared" si="6"/>
        <v>1.6184087430325633</v>
      </c>
      <c r="AN17" s="1"/>
      <c r="AP17" s="1">
        <f t="shared" si="17"/>
        <v>0.23999999999999996</v>
      </c>
      <c r="AQ17" s="1">
        <f t="shared" si="18"/>
        <v>1.4932933618843682</v>
      </c>
      <c r="AR17" s="1">
        <f t="shared" si="19"/>
        <v>5.9213364019024102</v>
      </c>
      <c r="AS17" s="1" t="e">
        <f t="shared" si="7"/>
        <v>#N/A</v>
      </c>
      <c r="AT17" s="1" t="e">
        <f t="shared" si="8"/>
        <v>#N/A</v>
      </c>
    </row>
    <row r="18" spans="3:46" s="10" customFormat="1" ht="15" customHeight="1" x14ac:dyDescent="0.25">
      <c r="C18" s="4" t="s">
        <v>6</v>
      </c>
      <c r="D18" s="12">
        <f>DEGREES(ATAN(INDEX($AC$5:$AC$105, $V$18) / INDEX($AB$5:$AB$105, $V$18)))</f>
        <v>-16.165124127191216</v>
      </c>
      <c r="E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V18" s="15">
        <f t="array" ref="V18">MAX(IF(NOT($AI$5:$AI$105),ROW($AI$5:$AI$105)-MIN(ROW($AI$5:$AI$105))+1))</f>
        <v>80</v>
      </c>
      <c r="Y18" s="1">
        <f t="shared" si="9"/>
        <v>9.8978907146604692E-2</v>
      </c>
      <c r="Z18" s="1">
        <f t="shared" si="10"/>
        <v>0.37660479295157528</v>
      </c>
      <c r="AA18" s="1">
        <f t="shared" si="11"/>
        <v>1.6491868217583354</v>
      </c>
      <c r="AB18" s="1">
        <f t="shared" si="12"/>
        <v>3.6604293370449565</v>
      </c>
      <c r="AC18" s="1">
        <f t="shared" si="13"/>
        <v>3.9616228574820922</v>
      </c>
      <c r="AD18" s="1">
        <f t="shared" si="3"/>
        <v>5.3938111383718246</v>
      </c>
      <c r="AE18" s="1">
        <f t="shared" si="0"/>
        <v>0.31102506817162168</v>
      </c>
      <c r="AF18" s="1">
        <f t="shared" si="4"/>
        <v>0.28661504090297302</v>
      </c>
      <c r="AG18" s="1">
        <f t="shared" si="1"/>
        <v>-2.4381213896727623</v>
      </c>
      <c r="AH18" s="1">
        <f t="shared" si="2"/>
        <v>-10.56594439144725</v>
      </c>
      <c r="AI18" s="1" t="b">
        <f t="shared" si="14"/>
        <v>0</v>
      </c>
      <c r="AJ18" s="1">
        <f t="shared" si="15"/>
        <v>0.37660479295157528</v>
      </c>
      <c r="AK18" s="1">
        <f t="shared" si="16"/>
        <v>1.6491868217583354</v>
      </c>
      <c r="AL18" s="1">
        <f t="shared" si="5"/>
        <v>0.37660479295157528</v>
      </c>
      <c r="AM18" s="1">
        <f t="shared" si="6"/>
        <v>1.6491868217583354</v>
      </c>
      <c r="AN18" s="1"/>
      <c r="AP18" s="1">
        <f t="shared" si="17"/>
        <v>0.25999999999999995</v>
      </c>
      <c r="AQ18" s="1">
        <f t="shared" si="18"/>
        <v>1.5160456816559598</v>
      </c>
      <c r="AR18" s="1">
        <f t="shared" si="19"/>
        <v>5.8833437036834786</v>
      </c>
      <c r="AS18" s="1" t="e">
        <f t="shared" si="7"/>
        <v>#N/A</v>
      </c>
      <c r="AT18" s="1" t="e">
        <f t="shared" si="8"/>
        <v>#N/A</v>
      </c>
    </row>
    <row r="19" spans="3:46" s="10" customFormat="1" x14ac:dyDescent="0.25">
      <c r="C19" s="4" t="str">
        <f>"Avg. Velocity (" &amp; IF($B$4, "m", "ft") &amp; ")"</f>
        <v>Avg. Velocity (m)</v>
      </c>
      <c r="D19" s="11">
        <f>AVERAGEIF(AI5:AI105, "=FALSE", AD5:AD105)</f>
        <v>4.1324117445424537</v>
      </c>
      <c r="F19" s="24" t="s">
        <v>31</v>
      </c>
      <c r="G19" s="25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Y19" s="1">
        <f t="shared" si="9"/>
        <v>0.10659266923480505</v>
      </c>
      <c r="Z19" s="1">
        <f t="shared" si="10"/>
        <v>0.40447443106450454</v>
      </c>
      <c r="AA19" s="1">
        <f t="shared" si="11"/>
        <v>1.6793496756783806</v>
      </c>
      <c r="AB19" s="1">
        <f t="shared" si="12"/>
        <v>3.6418660608418358</v>
      </c>
      <c r="AC19" s="1">
        <f t="shared" si="13"/>
        <v>3.8811762706484578</v>
      </c>
      <c r="AD19" s="1">
        <f t="shared" si="3"/>
        <v>5.3222850026052066</v>
      </c>
      <c r="AE19" s="1">
        <f t="shared" si="0"/>
        <v>0.31520493100158581</v>
      </c>
      <c r="AF19" s="1">
        <f t="shared" si="4"/>
        <v>0.2891229586009515</v>
      </c>
      <c r="AG19" s="1">
        <f t="shared" si="1"/>
        <v>-2.3874524279898397</v>
      </c>
      <c r="AH19" s="1">
        <f t="shared" si="2"/>
        <v>-10.52006463537669</v>
      </c>
      <c r="AI19" s="1" t="b">
        <f t="shared" si="14"/>
        <v>0</v>
      </c>
      <c r="AJ19" s="1">
        <f t="shared" si="15"/>
        <v>0.40447443106450454</v>
      </c>
      <c r="AK19" s="1">
        <f t="shared" si="16"/>
        <v>1.6793496756783806</v>
      </c>
      <c r="AL19" s="1">
        <f t="shared" si="5"/>
        <v>0.40447443106450454</v>
      </c>
      <c r="AM19" s="1">
        <f t="shared" si="6"/>
        <v>1.6793496756783806</v>
      </c>
      <c r="AN19" s="1"/>
      <c r="AP19" s="1">
        <f t="shared" si="17"/>
        <v>0.27999999999999997</v>
      </c>
      <c r="AQ19" s="1">
        <f t="shared" si="18"/>
        <v>1.5385381870092791</v>
      </c>
      <c r="AR19" s="1">
        <f t="shared" si="19"/>
        <v>5.8455396542533773</v>
      </c>
      <c r="AS19" s="1" t="e">
        <f t="shared" si="7"/>
        <v>#N/A</v>
      </c>
      <c r="AT19" s="1" t="e">
        <f t="shared" si="8"/>
        <v>#N/A</v>
      </c>
    </row>
    <row r="20" spans="3:46" s="10" customFormat="1" x14ac:dyDescent="0.25">
      <c r="E20" s="1"/>
      <c r="F20" s="26"/>
      <c r="G20" s="27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V20" s="15">
        <f>IF($I$3="Forward", _xlfn.AGGREGATE(4, 6, $AJ$5:$AJ$105,$AK$5:$AK$105), MAX(AP5:AP105,AQ5:AQ105))</f>
        <v>2.4509835433326059</v>
      </c>
      <c r="Y20" s="1">
        <f t="shared" si="9"/>
        <v>0.11420643132300541</v>
      </c>
      <c r="Z20" s="1">
        <f t="shared" si="10"/>
        <v>0.43220273280884569</v>
      </c>
      <c r="AA20" s="1">
        <f t="shared" si="11"/>
        <v>1.7089000284254667</v>
      </c>
      <c r="AB20" s="1">
        <f t="shared" si="12"/>
        <v>3.6236885660582248</v>
      </c>
      <c r="AC20" s="1">
        <f t="shared" si="13"/>
        <v>3.8010790013622096</v>
      </c>
      <c r="AD20" s="1">
        <f t="shared" si="3"/>
        <v>5.2516016983752536</v>
      </c>
      <c r="AE20" s="1">
        <f t="shared" si="0"/>
        <v>0.31944739402761069</v>
      </c>
      <c r="AF20" s="1">
        <f t="shared" si="4"/>
        <v>0.29166843641656642</v>
      </c>
      <c r="AG20" s="1">
        <f t="shared" si="1"/>
        <v>-2.3376787484299144</v>
      </c>
      <c r="AH20" s="1">
        <f t="shared" si="2"/>
        <v>-10.475268740130499</v>
      </c>
      <c r="AI20" s="1" t="b">
        <f t="shared" si="14"/>
        <v>0</v>
      </c>
      <c r="AJ20" s="1">
        <f t="shared" si="15"/>
        <v>0.43220273280884569</v>
      </c>
      <c r="AK20" s="1">
        <f t="shared" si="16"/>
        <v>1.7089000284254667</v>
      </c>
      <c r="AL20" s="1">
        <f t="shared" si="5"/>
        <v>0.43220273280884569</v>
      </c>
      <c r="AM20" s="1">
        <f t="shared" si="6"/>
        <v>1.7089000284254667</v>
      </c>
      <c r="AN20" s="1"/>
      <c r="AP20" s="1">
        <f t="shared" si="17"/>
        <v>0.3</v>
      </c>
      <c r="AQ20" s="1">
        <f t="shared" si="18"/>
        <v>1.5607708779443252</v>
      </c>
      <c r="AR20" s="1">
        <f t="shared" si="19"/>
        <v>5.807927937381943</v>
      </c>
      <c r="AS20" s="1" t="e">
        <f t="shared" si="7"/>
        <v>#N/A</v>
      </c>
      <c r="AT20" s="1" t="e">
        <f t="shared" si="8"/>
        <v>#N/A</v>
      </c>
    </row>
    <row r="21" spans="3:46" s="10" customFormat="1" x14ac:dyDescent="0.25">
      <c r="C21" s="4" t="str">
        <f>"Obstacle Distance (" &amp; IF($B$4, "m", "ft") &amp; ")"</f>
        <v>Obstacle Distance (m)</v>
      </c>
      <c r="D21" s="5">
        <v>1</v>
      </c>
      <c r="E21" s="1"/>
      <c r="F21" s="26"/>
      <c r="G21" s="27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Y21" s="1">
        <f t="shared" si="9"/>
        <v>0.12182019341120577</v>
      </c>
      <c r="Z21" s="1">
        <f t="shared" si="10"/>
        <v>0.45979263543254495</v>
      </c>
      <c r="AA21" s="1">
        <f t="shared" si="11"/>
        <v>1.7378405396202927</v>
      </c>
      <c r="AB21" s="1">
        <f t="shared" si="12"/>
        <v>3.6058900362290376</v>
      </c>
      <c r="AC21" s="1">
        <f t="shared" si="13"/>
        <v>3.7213227973648935</v>
      </c>
      <c r="AD21" s="1">
        <f t="shared" si="3"/>
        <v>5.1817647877497803</v>
      </c>
      <c r="AE21" s="1">
        <f t="shared" si="0"/>
        <v>0.32375272628796103</v>
      </c>
      <c r="AF21" s="1">
        <f t="shared" si="4"/>
        <v>0.29425163577277663</v>
      </c>
      <c r="AG21" s="1">
        <f t="shared" si="1"/>
        <v>-2.2887829694723925</v>
      </c>
      <c r="AH21" s="1">
        <f t="shared" si="2"/>
        <v>-10.431536713604755</v>
      </c>
      <c r="AI21" s="1" t="b">
        <f t="shared" si="14"/>
        <v>0</v>
      </c>
      <c r="AJ21" s="1">
        <f t="shared" si="15"/>
        <v>0.45979263543254495</v>
      </c>
      <c r="AK21" s="1">
        <f t="shared" si="16"/>
        <v>1.7378405396202927</v>
      </c>
      <c r="AL21" s="1">
        <f t="shared" si="5"/>
        <v>0.45979263543254495</v>
      </c>
      <c r="AM21" s="1">
        <f t="shared" si="6"/>
        <v>1.7378405396202927</v>
      </c>
      <c r="AN21" s="1"/>
      <c r="AP21" s="1">
        <f t="shared" si="17"/>
        <v>0.32</v>
      </c>
      <c r="AQ21" s="1">
        <f t="shared" si="18"/>
        <v>1.5827437544610994</v>
      </c>
      <c r="AR21" s="1">
        <f t="shared" si="19"/>
        <v>5.7705123138933718</v>
      </c>
      <c r="AS21" s="1" t="e">
        <f t="shared" si="7"/>
        <v>#N/A</v>
      </c>
      <c r="AT21" s="1" t="e">
        <f t="shared" si="8"/>
        <v>#N/A</v>
      </c>
    </row>
    <row r="22" spans="3:46" s="10" customFormat="1" ht="15" customHeight="1" x14ac:dyDescent="0.25">
      <c r="C22" s="4" t="str">
        <f>"Obstacle Height (" &amp; IF($B$4, "m", "ft") &amp; ")"</f>
        <v>Obstacle Height (m)</v>
      </c>
      <c r="D22" s="5">
        <v>1.5</v>
      </c>
      <c r="E22" s="1"/>
      <c r="F22" s="28"/>
      <c r="G22" s="29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Y22" s="1">
        <f t="shared" si="9"/>
        <v>0.12943395549940614</v>
      </c>
      <c r="Z22" s="1">
        <f t="shared" si="10"/>
        <v>0.48724702428460503</v>
      </c>
      <c r="AA22" s="1">
        <f t="shared" si="11"/>
        <v>1.7661738060528254</v>
      </c>
      <c r="AB22" s="1">
        <f t="shared" si="12"/>
        <v>3.5884637872279499</v>
      </c>
      <c r="AC22" s="1">
        <f t="shared" si="13"/>
        <v>3.6418995586131793</v>
      </c>
      <c r="AD22" s="1">
        <f t="shared" si="3"/>
        <v>5.1127785740508296</v>
      </c>
      <c r="AE22" s="1">
        <f t="shared" si="0"/>
        <v>0.32812108968133674</v>
      </c>
      <c r="AF22" s="1">
        <f t="shared" si="4"/>
        <v>0.29687265380880201</v>
      </c>
      <c r="AG22" s="1">
        <f t="shared" si="1"/>
        <v>-2.2407483577485188</v>
      </c>
      <c r="AH22" s="1">
        <f t="shared" si="2"/>
        <v>-10.388848924903316</v>
      </c>
      <c r="AI22" s="1" t="b">
        <f t="shared" si="14"/>
        <v>0</v>
      </c>
      <c r="AJ22" s="1">
        <f t="shared" si="15"/>
        <v>0.48724702428460503</v>
      </c>
      <c r="AK22" s="1">
        <f t="shared" si="16"/>
        <v>1.7661738060528254</v>
      </c>
      <c r="AL22" s="1">
        <f t="shared" si="5"/>
        <v>0.48724702428460503</v>
      </c>
      <c r="AM22" s="1">
        <f t="shared" si="6"/>
        <v>1.7661738060528254</v>
      </c>
      <c r="AN22" s="1"/>
      <c r="AP22" s="1">
        <f t="shared" si="17"/>
        <v>0.34</v>
      </c>
      <c r="AQ22" s="1">
        <f t="shared" si="18"/>
        <v>1.6044568165596003</v>
      </c>
      <c r="AR22" s="1">
        <f t="shared" si="19"/>
        <v>5.7332966229181217</v>
      </c>
      <c r="AS22" s="1" t="e">
        <f t="shared" si="7"/>
        <v>#N/A</v>
      </c>
      <c r="AT22" s="1" t="e">
        <f t="shared" si="8"/>
        <v>#N/A</v>
      </c>
    </row>
    <row r="23" spans="3:46" s="10" customFormat="1" ht="15" customHeight="1" x14ac:dyDescent="0.25">
      <c r="C23" s="15"/>
      <c r="D23" s="1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V23" s="15"/>
      <c r="Y23" s="1">
        <f t="shared" si="9"/>
        <v>0.1370477175876065</v>
      </c>
      <c r="Z23" s="1">
        <f t="shared" si="10"/>
        <v>0.51456873382268109</v>
      </c>
      <c r="AA23" s="1">
        <f t="shared" si="11"/>
        <v>1.7939023628412281</v>
      </c>
      <c r="AB23" s="1">
        <f t="shared" si="12"/>
        <v>3.5714032623325269</v>
      </c>
      <c r="AC23" s="1">
        <f t="shared" si="13"/>
        <v>3.5628013345287095</v>
      </c>
      <c r="AD23" s="1">
        <f t="shared" si="3"/>
        <v>5.0446481157280898</v>
      </c>
      <c r="AE23" s="1">
        <f t="shared" si="0"/>
        <v>0.33255252666415586</v>
      </c>
      <c r="AF23" s="1">
        <f t="shared" si="4"/>
        <v>0.29953151599849348</v>
      </c>
      <c r="AG23" s="1">
        <f t="shared" si="1"/>
        <v>-2.1935588122565166</v>
      </c>
      <c r="AH23" s="1">
        <f t="shared" si="2"/>
        <v>-10.347186079044317</v>
      </c>
      <c r="AI23" s="1" t="b">
        <f t="shared" si="14"/>
        <v>0</v>
      </c>
      <c r="AJ23" s="1">
        <f t="shared" si="15"/>
        <v>0.51456873382268109</v>
      </c>
      <c r="AK23" s="1">
        <f t="shared" si="16"/>
        <v>1.7939023628412281</v>
      </c>
      <c r="AL23" s="1">
        <f t="shared" si="5"/>
        <v>0.51456873382268109</v>
      </c>
      <c r="AM23" s="1">
        <f t="shared" si="6"/>
        <v>1.7939023628412281</v>
      </c>
      <c r="AN23" s="1"/>
      <c r="AP23" s="1">
        <f t="shared" si="17"/>
        <v>0.36000000000000004</v>
      </c>
      <c r="AQ23" s="1">
        <f t="shared" si="18"/>
        <v>1.6259100642398288</v>
      </c>
      <c r="AR23" s="1">
        <f t="shared" si="19"/>
        <v>5.6962847831313033</v>
      </c>
      <c r="AS23" s="1" t="e">
        <f t="shared" si="7"/>
        <v>#N/A</v>
      </c>
      <c r="AT23" s="1" t="e">
        <f t="shared" si="8"/>
        <v>#N/A</v>
      </c>
    </row>
    <row r="24" spans="3:46" s="10" customFormat="1" ht="15" customHeight="1" x14ac:dyDescent="0.25">
      <c r="C24" s="24" t="s">
        <v>32</v>
      </c>
      <c r="D24" s="25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V24" s="15"/>
      <c r="Y24" s="1">
        <f t="shared" si="9"/>
        <v>0.14466147967580686</v>
      </c>
      <c r="Z24" s="1">
        <f t="shared" si="10"/>
        <v>0.54176054858310363</v>
      </c>
      <c r="AA24" s="1">
        <f t="shared" si="11"/>
        <v>1.8210286845698525</v>
      </c>
      <c r="AB24" s="1">
        <f t="shared" si="12"/>
        <v>3.5547020274095305</v>
      </c>
      <c r="AC24" s="1">
        <f t="shared" si="13"/>
        <v>3.4840203214405272</v>
      </c>
      <c r="AD24" s="1">
        <f t="shared" si="3"/>
        <v>4.9773792405120165</v>
      </c>
      <c r="AE24" s="1">
        <f t="shared" si="0"/>
        <v>0.3370469469881856</v>
      </c>
      <c r="AF24" s="1">
        <f t="shared" si="4"/>
        <v>0.30222816819291137</v>
      </c>
      <c r="AG24" s="1">
        <f t="shared" si="1"/>
        <v>-2.1471988491916418</v>
      </c>
      <c r="AH24" s="1">
        <f t="shared" si="2"/>
        <v>-10.30652919164066</v>
      </c>
      <c r="AI24" s="1" t="b">
        <f t="shared" si="14"/>
        <v>0</v>
      </c>
      <c r="AJ24" s="1">
        <f t="shared" si="15"/>
        <v>0.54176054858310363</v>
      </c>
      <c r="AK24" s="1">
        <f t="shared" si="16"/>
        <v>1.8210286845698525</v>
      </c>
      <c r="AL24" s="1">
        <f t="shared" si="5"/>
        <v>0.54176054858310363</v>
      </c>
      <c r="AM24" s="1">
        <f t="shared" si="6"/>
        <v>1.8210286845698525</v>
      </c>
      <c r="AN24" s="1"/>
      <c r="AP24" s="1">
        <f t="shared" si="17"/>
        <v>0.38000000000000006</v>
      </c>
      <c r="AQ24" s="1">
        <f t="shared" si="18"/>
        <v>1.6471034975017844</v>
      </c>
      <c r="AR24" s="1">
        <f t="shared" si="19"/>
        <v>5.6594807939686094</v>
      </c>
      <c r="AS24" s="1" t="e">
        <f t="shared" si="7"/>
        <v>#N/A</v>
      </c>
      <c r="AT24" s="1" t="e">
        <f t="shared" si="8"/>
        <v>#N/A</v>
      </c>
    </row>
    <row r="25" spans="3:46" s="10" customFormat="1" ht="14.45" customHeight="1" x14ac:dyDescent="0.25">
      <c r="C25" s="26"/>
      <c r="D25" s="27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V25" s="15"/>
      <c r="Y25" s="1">
        <f t="shared" si="9"/>
        <v>0.15227524176400722</v>
      </c>
      <c r="Z25" s="1">
        <f t="shared" si="10"/>
        <v>0.56882520411424331</v>
      </c>
      <c r="AA25" s="1">
        <f t="shared" si="11"/>
        <v>1.847555186407756</v>
      </c>
      <c r="AB25" s="1">
        <f t="shared" si="12"/>
        <v>3.5383537662157276</v>
      </c>
      <c r="AC25" s="1">
        <f t="shared" si="13"/>
        <v>3.405548860220283</v>
      </c>
      <c r="AD25" s="1">
        <f t="shared" si="3"/>
        <v>4.9109785597414994</v>
      </c>
      <c r="AE25" s="1">
        <f t="shared" si="0"/>
        <v>0.34160411343869806</v>
      </c>
      <c r="AF25" s="1">
        <f t="shared" si="4"/>
        <v>0.30496246806321881</v>
      </c>
      <c r="AG25" s="1">
        <f t="shared" si="1"/>
        <v>-2.1016535873329194</v>
      </c>
      <c r="AH25" s="1">
        <f t="shared" si="2"/>
        <v>-10.266859563508225</v>
      </c>
      <c r="AI25" s="1" t="b">
        <f t="shared" si="14"/>
        <v>0</v>
      </c>
      <c r="AJ25" s="1">
        <f t="shared" si="15"/>
        <v>0.56882520411424331</v>
      </c>
      <c r="AK25" s="1">
        <f t="shared" si="16"/>
        <v>1.847555186407756</v>
      </c>
      <c r="AL25" s="1">
        <f t="shared" si="5"/>
        <v>0.56882520411424331</v>
      </c>
      <c r="AM25" s="1">
        <f t="shared" si="6"/>
        <v>1.847555186407756</v>
      </c>
      <c r="AN25" s="1"/>
      <c r="AP25" s="1">
        <f t="shared" si="17"/>
        <v>0.40000000000000008</v>
      </c>
      <c r="AQ25" s="1">
        <f t="shared" si="18"/>
        <v>1.6680371163454677</v>
      </c>
      <c r="AR25" s="1">
        <f t="shared" si="19"/>
        <v>5.6228887368206699</v>
      </c>
      <c r="AS25" s="1" t="e">
        <f t="shared" si="7"/>
        <v>#N/A</v>
      </c>
      <c r="AT25" s="1" t="e">
        <f t="shared" si="8"/>
        <v>#N/A</v>
      </c>
    </row>
    <row r="26" spans="3:46" s="10" customFormat="1" ht="14.45" customHeight="1" x14ac:dyDescent="0.25">
      <c r="C26" s="26"/>
      <c r="D26" s="27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V26" s="15"/>
      <c r="Y26" s="1">
        <f t="shared" si="9"/>
        <v>0.15988900385220758</v>
      </c>
      <c r="Z26" s="1">
        <f t="shared" si="10"/>
        <v>0.59576538787409761</v>
      </c>
      <c r="AA26" s="1">
        <f t="shared" si="11"/>
        <v>1.8734842252092152</v>
      </c>
      <c r="AB26" s="1">
        <f t="shared" si="12"/>
        <v>3.5223522758099621</v>
      </c>
      <c r="AC26" s="1">
        <f t="shared" si="13"/>
        <v>3.327379434110767</v>
      </c>
      <c r="AD26" s="1">
        <f t="shared" si="3"/>
        <v>4.8454534827451301</v>
      </c>
      <c r="AE26" s="1">
        <f t="shared" si="0"/>
        <v>0.34622362653794791</v>
      </c>
      <c r="AF26" s="1">
        <f t="shared" si="4"/>
        <v>0.30773417592276875</v>
      </c>
      <c r="AG26" s="1">
        <f t="shared" si="1"/>
        <v>-2.0569087339262944</v>
      </c>
      <c r="AH26" s="1">
        <f t="shared" si="2"/>
        <v>-10.228158755157725</v>
      </c>
      <c r="AI26" s="1" t="b">
        <f t="shared" si="14"/>
        <v>0</v>
      </c>
      <c r="AJ26" s="1">
        <f t="shared" si="15"/>
        <v>0.59576538787409761</v>
      </c>
      <c r="AK26" s="1">
        <f t="shared" si="16"/>
        <v>1.8734842252092152</v>
      </c>
      <c r="AL26" s="1">
        <f t="shared" si="5"/>
        <v>0.59576538787409761</v>
      </c>
      <c r="AM26" s="1">
        <f t="shared" si="6"/>
        <v>1.8734842252092152</v>
      </c>
      <c r="AN26" s="1"/>
      <c r="AP26" s="1">
        <f t="shared" si="17"/>
        <v>0.4200000000000001</v>
      </c>
      <c r="AQ26" s="1">
        <f t="shared" si="18"/>
        <v>1.6887109207708779</v>
      </c>
      <c r="AR26" s="1">
        <f t="shared" si="19"/>
        <v>5.5865127761983162</v>
      </c>
      <c r="AS26" s="1" t="e">
        <f t="shared" si="7"/>
        <v>#N/A</v>
      </c>
      <c r="AT26" s="1" t="e">
        <f t="shared" si="8"/>
        <v>#N/A</v>
      </c>
    </row>
    <row r="27" spans="3:46" s="10" customFormat="1" ht="15" customHeight="1" x14ac:dyDescent="0.25">
      <c r="C27" s="26"/>
      <c r="D27" s="27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V27" s="15"/>
      <c r="Y27" s="1">
        <f t="shared" si="9"/>
        <v>0.16750276594040794</v>
      </c>
      <c r="Z27" s="1">
        <f t="shared" si="10"/>
        <v>0.6225837400929457</v>
      </c>
      <c r="AA27" s="1">
        <f t="shared" si="11"/>
        <v>1.8988181005977054</v>
      </c>
      <c r="AB27" s="1">
        <f t="shared" si="12"/>
        <v>3.5066914620727059</v>
      </c>
      <c r="AC27" s="1">
        <f t="shared" si="13"/>
        <v>3.2495046667486527</v>
      </c>
      <c r="AD27" s="1">
        <f t="shared" si="3"/>
        <v>4.7808122311376007</v>
      </c>
      <c r="AE27" s="1">
        <f t="shared" si="0"/>
        <v>0.35090490818497583</v>
      </c>
      <c r="AF27" s="1">
        <f t="shared" si="4"/>
        <v>0.3105429449109855</v>
      </c>
      <c r="AG27" s="1">
        <f t="shared" si="1"/>
        <v>-2.0129505710015239</v>
      </c>
      <c r="AH27" s="1">
        <f t="shared" si="2"/>
        <v>-10.190408561128667</v>
      </c>
      <c r="AI27" s="1" t="b">
        <f t="shared" si="14"/>
        <v>0</v>
      </c>
      <c r="AJ27" s="1">
        <f t="shared" si="15"/>
        <v>0.6225837400929457</v>
      </c>
      <c r="AK27" s="1">
        <f t="shared" si="16"/>
        <v>1.8988181005977054</v>
      </c>
      <c r="AL27" s="1">
        <f t="shared" si="5"/>
        <v>0.6225837400929457</v>
      </c>
      <c r="AM27" s="1">
        <f t="shared" si="6"/>
        <v>1.8988181005977054</v>
      </c>
      <c r="AN27" s="1"/>
      <c r="AP27" s="1">
        <f t="shared" si="17"/>
        <v>0.44000000000000011</v>
      </c>
      <c r="AQ27" s="1">
        <f t="shared" si="18"/>
        <v>1.709124910778016</v>
      </c>
      <c r="AR27" s="1">
        <f t="shared" si="19"/>
        <v>5.5503571608671107</v>
      </c>
      <c r="AS27" s="1" t="e">
        <f t="shared" si="7"/>
        <v>#N/A</v>
      </c>
      <c r="AT27" s="1" t="e">
        <f t="shared" si="8"/>
        <v>#N/A</v>
      </c>
    </row>
    <row r="28" spans="3:46" s="10" customFormat="1" ht="15" customHeight="1" x14ac:dyDescent="0.25">
      <c r="C28" s="28"/>
      <c r="D28" s="29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V28" s="15"/>
      <c r="Y28" s="1">
        <f t="shared" si="9"/>
        <v>0.1751165280286083</v>
      </c>
      <c r="Z28" s="1">
        <f t="shared" si="10"/>
        <v>0.64928285460189072</v>
      </c>
      <c r="AA28" s="1">
        <f t="shared" si="11"/>
        <v>1.9235590560348264</v>
      </c>
      <c r="AB28" s="1">
        <f t="shared" si="12"/>
        <v>3.4913653353297933</v>
      </c>
      <c r="AC28" s="1">
        <f t="shared" si="13"/>
        <v>3.1719173203826587</v>
      </c>
      <c r="AD28" s="1">
        <f t="shared" si="3"/>
        <v>4.7170638528735251</v>
      </c>
      <c r="AE28" s="1">
        <f t="shared" si="0"/>
        <v>0.35564718421078567</v>
      </c>
      <c r="AF28" s="1">
        <f t="shared" si="4"/>
        <v>0.31338831052647143</v>
      </c>
      <c r="AG28" s="1">
        <f t="shared" si="1"/>
        <v>-1.9697659420573808</v>
      </c>
      <c r="AH28" s="1">
        <f t="shared" si="2"/>
        <v>-10.153590984126922</v>
      </c>
      <c r="AI28" s="1" t="b">
        <f t="shared" si="14"/>
        <v>0</v>
      </c>
      <c r="AJ28" s="1">
        <f t="shared" si="15"/>
        <v>0.64928285460189072</v>
      </c>
      <c r="AK28" s="1">
        <f t="shared" si="16"/>
        <v>1.9235590560348264</v>
      </c>
      <c r="AL28" s="1">
        <f t="shared" si="5"/>
        <v>0.64928285460189072</v>
      </c>
      <c r="AM28" s="1">
        <f t="shared" si="6"/>
        <v>1.9235590560348264</v>
      </c>
      <c r="AN28" s="1"/>
      <c r="AP28" s="1">
        <f t="shared" si="17"/>
        <v>0.46000000000000013</v>
      </c>
      <c r="AQ28" s="1">
        <f t="shared" si="18"/>
        <v>1.7292790863668808</v>
      </c>
      <c r="AR28" s="1">
        <f t="shared" si="19"/>
        <v>5.5144262249437208</v>
      </c>
      <c r="AS28" s="1" t="e">
        <f t="shared" si="7"/>
        <v>#N/A</v>
      </c>
      <c r="AT28" s="1" t="e">
        <f t="shared" si="8"/>
        <v>#N/A</v>
      </c>
    </row>
    <row r="29" spans="3:46" s="10" customFormat="1" ht="15" customHeight="1" x14ac:dyDescent="0.25"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V29" s="15"/>
      <c r="Y29" s="1">
        <f t="shared" si="9"/>
        <v>0.18273029011680866</v>
      </c>
      <c r="Z29" s="1">
        <f t="shared" si="10"/>
        <v>0.67586527962808163</v>
      </c>
      <c r="AA29" s="1">
        <f t="shared" si="11"/>
        <v>1.9477092798756619</v>
      </c>
      <c r="AB29" s="1">
        <f t="shared" si="12"/>
        <v>3.4763680060775286</v>
      </c>
      <c r="AC29" s="1">
        <f t="shared" si="13"/>
        <v>3.09461029428862</v>
      </c>
      <c r="AD29" s="1">
        <f t="shared" si="3"/>
        <v>4.654218235879851</v>
      </c>
      <c r="AE29" s="1">
        <f t="shared" si="0"/>
        <v>0.36044946583812421</v>
      </c>
      <c r="AF29" s="1">
        <f t="shared" si="4"/>
        <v>0.31626967950287455</v>
      </c>
      <c r="AG29" s="1">
        <f t="shared" si="1"/>
        <v>-1.9273422390465984</v>
      </c>
      <c r="AH29" s="1">
        <f t="shared" si="2"/>
        <v>-10.117688208930982</v>
      </c>
      <c r="AI29" s="1" t="b">
        <f t="shared" si="14"/>
        <v>0</v>
      </c>
      <c r="AJ29" s="1">
        <f t="shared" si="15"/>
        <v>0.67586527962808163</v>
      </c>
      <c r="AK29" s="1">
        <f t="shared" si="16"/>
        <v>1.9477092798756619</v>
      </c>
      <c r="AL29" s="1">
        <f t="shared" si="5"/>
        <v>0.67586527962808163</v>
      </c>
      <c r="AM29" s="1">
        <f t="shared" si="6"/>
        <v>1.9477092798756619</v>
      </c>
      <c r="AN29" s="1"/>
      <c r="AP29" s="1">
        <f t="shared" si="17"/>
        <v>0.48000000000000015</v>
      </c>
      <c r="AQ29" s="1">
        <f t="shared" si="18"/>
        <v>1.7491734475374734</v>
      </c>
      <c r="AR29" s="1">
        <f t="shared" si="19"/>
        <v>5.4787243889526991</v>
      </c>
      <c r="AS29" s="1" t="e">
        <f t="shared" si="7"/>
        <v>#N/A</v>
      </c>
      <c r="AT29" s="1" t="e">
        <f t="shared" si="8"/>
        <v>#N/A</v>
      </c>
    </row>
    <row r="30" spans="3:46" s="10" customFormat="1" ht="14.45" customHeight="1" x14ac:dyDescent="0.25"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V30" s="15"/>
      <c r="Y30" s="1">
        <f t="shared" si="9"/>
        <v>0.19034405220500902</v>
      </c>
      <c r="Z30" s="1">
        <f t="shared" si="10"/>
        <v>0.70233351855738735</v>
      </c>
      <c r="AA30" s="1">
        <f t="shared" si="11"/>
        <v>1.9712709064120713</v>
      </c>
      <c r="AB30" s="1">
        <f t="shared" si="12"/>
        <v>3.4616936808068886</v>
      </c>
      <c r="AC30" s="1">
        <f t="shared" si="13"/>
        <v>3.0175766233832295</v>
      </c>
      <c r="AD30" s="1">
        <f t="shared" si="3"/>
        <v>4.5922861210651149</v>
      </c>
      <c r="AE30" s="1">
        <f t="shared" si="0"/>
        <v>0.36531053004769037</v>
      </c>
      <c r="AF30" s="1">
        <f t="shared" si="4"/>
        <v>0.31918631802861419</v>
      </c>
      <c r="AG30" s="1">
        <f t="shared" si="1"/>
        <v>-1.8856673895885296</v>
      </c>
      <c r="AH30" s="1">
        <f t="shared" si="2"/>
        <v>-10.082682576036269</v>
      </c>
      <c r="AI30" s="1" t="b">
        <f t="shared" si="14"/>
        <v>0</v>
      </c>
      <c r="AJ30" s="1">
        <f t="shared" si="15"/>
        <v>0.70233351855738735</v>
      </c>
      <c r="AK30" s="1">
        <f t="shared" si="16"/>
        <v>1.9712709064120713</v>
      </c>
      <c r="AL30" s="1">
        <f t="shared" si="5"/>
        <v>0.70233351855738735</v>
      </c>
      <c r="AM30" s="1">
        <f t="shared" si="6"/>
        <v>1.9712709064120713</v>
      </c>
      <c r="AN30" s="1"/>
      <c r="AP30" s="1">
        <f t="shared" si="17"/>
        <v>0.50000000000000011</v>
      </c>
      <c r="AQ30" s="1">
        <f t="shared" si="18"/>
        <v>1.768807994289793</v>
      </c>
      <c r="AR30" s="1">
        <f t="shared" si="19"/>
        <v>5.443256160834256</v>
      </c>
      <c r="AS30" s="1" t="e">
        <f t="shared" si="7"/>
        <v>#N/A</v>
      </c>
      <c r="AT30" s="1" t="e">
        <f t="shared" si="8"/>
        <v>#N/A</v>
      </c>
    </row>
    <row r="31" spans="3:46" s="10" customFormat="1" ht="18.75" customHeight="1" x14ac:dyDescent="0.25">
      <c r="C31" s="33" t="s">
        <v>33</v>
      </c>
      <c r="D31" s="33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V31" s="15"/>
      <c r="Y31" s="1">
        <f t="shared" si="9"/>
        <v>0.19795781429320938</v>
      </c>
      <c r="Z31" s="1">
        <f t="shared" si="10"/>
        <v>0.7286900306652776</v>
      </c>
      <c r="AA31" s="1">
        <f t="shared" si="11"/>
        <v>1.9942460169054261</v>
      </c>
      <c r="AB31" s="1">
        <f t="shared" si="12"/>
        <v>3.4473366579250837</v>
      </c>
      <c r="AC31" s="1">
        <f t="shared" si="13"/>
        <v>2.9408094770384463</v>
      </c>
      <c r="AD31" s="1">
        <f t="shared" si="3"/>
        <v>4.5312791144789601</v>
      </c>
      <c r="AE31" s="1">
        <f t="shared" si="0"/>
        <v>0.37022889886796417</v>
      </c>
      <c r="AF31" s="1">
        <f t="shared" si="4"/>
        <v>0.32213733932077848</v>
      </c>
      <c r="AG31" s="1">
        <f t="shared" si="1"/>
        <v>-1.8447298443337132</v>
      </c>
      <c r="AH31" s="1">
        <f t="shared" si="2"/>
        <v>-10.048556555011805</v>
      </c>
      <c r="AI31" s="1" t="b">
        <f t="shared" si="14"/>
        <v>0</v>
      </c>
      <c r="AJ31" s="1">
        <f t="shared" si="15"/>
        <v>0.7286900306652776</v>
      </c>
      <c r="AK31" s="1">
        <f t="shared" si="16"/>
        <v>1.9942460169054261</v>
      </c>
      <c r="AL31" s="1">
        <f t="shared" si="5"/>
        <v>0.7286900306652776</v>
      </c>
      <c r="AM31" s="1">
        <f t="shared" si="6"/>
        <v>1.9942460169054261</v>
      </c>
      <c r="AN31" s="1"/>
      <c r="AP31" s="1">
        <f t="shared" si="17"/>
        <v>0.52000000000000013</v>
      </c>
      <c r="AQ31" s="1">
        <f t="shared" si="18"/>
        <v>1.7881827266238401</v>
      </c>
      <c r="AR31" s="1">
        <f t="shared" si="19"/>
        <v>5.4080261369018929</v>
      </c>
      <c r="AS31" s="1" t="e">
        <f t="shared" si="7"/>
        <v>#N/A</v>
      </c>
      <c r="AT31" s="1" t="e">
        <f t="shared" si="8"/>
        <v>#N/A</v>
      </c>
    </row>
    <row r="32" spans="3:46" s="10" customFormat="1" ht="14.45" customHeight="1" x14ac:dyDescent="0.25">
      <c r="C32" s="4" t="str">
        <f>"Ball Diameter (" &amp; IF($B$4, "mm", "in") &amp; ")"</f>
        <v>Ball Diameter (mm)</v>
      </c>
      <c r="D32" s="14">
        <v>177.99999999999997</v>
      </c>
      <c r="F32" s="18" t="s">
        <v>35</v>
      </c>
      <c r="G32" s="19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Y32" s="1">
        <f t="shared" si="9"/>
        <v>0.20557157638140974</v>
      </c>
      <c r="Z32" s="1">
        <f t="shared" si="10"/>
        <v>0.75493723181665096</v>
      </c>
      <c r="AA32" s="1">
        <f t="shared" si="11"/>
        <v>2.0166366406103218</v>
      </c>
      <c r="AB32" s="1">
        <f t="shared" si="12"/>
        <v>3.4332913237733238</v>
      </c>
      <c r="AC32" s="1">
        <f t="shared" si="13"/>
        <v>2.8643021580987602</v>
      </c>
      <c r="AD32" s="1">
        <f t="shared" si="3"/>
        <v>4.4712096983687086</v>
      </c>
      <c r="AE32" s="1">
        <f t="shared" si="0"/>
        <v>0.37520281762428054</v>
      </c>
      <c r="AF32" s="1">
        <f t="shared" si="4"/>
        <v>0.3251216905745683</v>
      </c>
      <c r="AG32" s="1">
        <f t="shared" si="1"/>
        <v>-1.8045185644004804</v>
      </c>
      <c r="AH32" s="1">
        <f t="shared" si="2"/>
        <v>-10.015292717549473</v>
      </c>
      <c r="AI32" s="1" t="b">
        <f t="shared" si="14"/>
        <v>0</v>
      </c>
      <c r="AJ32" s="1">
        <f t="shared" si="15"/>
        <v>0.75493723181665096</v>
      </c>
      <c r="AK32" s="1">
        <f t="shared" si="16"/>
        <v>2.0166366406103218</v>
      </c>
      <c r="AL32" s="1">
        <f t="shared" si="5"/>
        <v>0.75493723181665096</v>
      </c>
      <c r="AM32" s="1">
        <f t="shared" si="6"/>
        <v>2.0166366406103218</v>
      </c>
      <c r="AN32" s="1"/>
      <c r="AP32" s="1">
        <f t="shared" si="17"/>
        <v>0.54000000000000015</v>
      </c>
      <c r="AQ32" s="1">
        <f t="shared" si="18"/>
        <v>1.8072976445396147</v>
      </c>
      <c r="AR32" s="1">
        <f t="shared" si="19"/>
        <v>5.3730390027400547</v>
      </c>
      <c r="AS32" s="1" t="e">
        <f t="shared" si="7"/>
        <v>#N/A</v>
      </c>
      <c r="AT32" s="1" t="e">
        <f t="shared" si="8"/>
        <v>#N/A</v>
      </c>
    </row>
    <row r="33" spans="3:46" s="10" customFormat="1" ht="15" customHeight="1" x14ac:dyDescent="0.25">
      <c r="C33" s="4" t="str">
        <f>"Approx. Velocity (" &amp; IF($B$4, "m", "ft") &amp; "/s)"</f>
        <v>Approx. Velocity (m/s)</v>
      </c>
      <c r="D33" s="5">
        <v>4.8</v>
      </c>
      <c r="F33" s="20"/>
      <c r="G33" s="21"/>
      <c r="Y33" s="1">
        <f t="shared" si="9"/>
        <v>0.2131853384696101</v>
      </c>
      <c r="Z33" s="1">
        <f t="shared" si="10"/>
        <v>0.78107749513534352</v>
      </c>
      <c r="AA33" s="1">
        <f t="shared" si="11"/>
        <v>2.0384447557908048</v>
      </c>
      <c r="AB33" s="1">
        <f t="shared" si="12"/>
        <v>3.4195521487402378</v>
      </c>
      <c r="AC33" s="1">
        <f t="shared" si="13"/>
        <v>2.7880481021036529</v>
      </c>
      <c r="AD33" s="1">
        <f t="shared" si="3"/>
        <v>4.4120912408514128</v>
      </c>
      <c r="AE33" s="1">
        <f t="shared" si="0"/>
        <v>0.38023023220463054</v>
      </c>
      <c r="AF33" s="1">
        <f t="shared" si="4"/>
        <v>0.32813813932277835</v>
      </c>
      <c r="AG33" s="1">
        <f t="shared" si="1"/>
        <v>-1.7650230087994401</v>
      </c>
      <c r="AH33" s="1">
        <f t="shared" si="2"/>
        <v>-9.9828737101929068</v>
      </c>
      <c r="AI33" s="1" t="b">
        <f t="shared" si="14"/>
        <v>0</v>
      </c>
      <c r="AJ33" s="1">
        <f t="shared" si="15"/>
        <v>0.78107749513534352</v>
      </c>
      <c r="AK33" s="1">
        <f t="shared" si="16"/>
        <v>2.0384447557908048</v>
      </c>
      <c r="AL33" s="1">
        <f t="shared" si="5"/>
        <v>0.78107749513534352</v>
      </c>
      <c r="AM33" s="1">
        <f t="shared" si="6"/>
        <v>2.0384447557908048</v>
      </c>
      <c r="AN33" s="1"/>
      <c r="AP33" s="1">
        <f t="shared" si="17"/>
        <v>0.56000000000000016</v>
      </c>
      <c r="AQ33" s="1">
        <f t="shared" si="18"/>
        <v>1.8261527480371165</v>
      </c>
      <c r="AR33" s="1">
        <f t="shared" si="19"/>
        <v>5.3382995340384838</v>
      </c>
      <c r="AS33" s="1" t="e">
        <f t="shared" si="7"/>
        <v>#N/A</v>
      </c>
      <c r="AT33" s="1" t="e">
        <f t="shared" si="8"/>
        <v>#N/A</v>
      </c>
    </row>
    <row r="34" spans="3:46" s="10" customFormat="1" ht="15" customHeight="1" x14ac:dyDescent="0.25">
      <c r="F34" s="20"/>
      <c r="G34" s="21"/>
      <c r="Y34" s="1">
        <f t="shared" si="9"/>
        <v>0.22079910055781046</v>
      </c>
      <c r="Z34" s="1">
        <f t="shared" si="10"/>
        <v>0.80711315164404607</v>
      </c>
      <c r="AA34" s="1">
        <f t="shared" si="11"/>
        <v>2.0596722907306804</v>
      </c>
      <c r="AB34" s="1">
        <f t="shared" si="12"/>
        <v>3.4061136834710393</v>
      </c>
      <c r="AC34" s="1">
        <f t="shared" si="13"/>
        <v>2.712040876717694</v>
      </c>
      <c r="AD34" s="1">
        <f t="shared" ref="AD34:AD97" si="20">SQRT(AB34^2+AC34^2)</f>
        <v>4.3539380038898496</v>
      </c>
      <c r="AE34" s="1">
        <f t="shared" si="0"/>
        <v>0.38530876542526693</v>
      </c>
      <c r="AF34" s="1">
        <f t="shared" si="4"/>
        <v>0.33118525925516018</v>
      </c>
      <c r="AG34" s="1">
        <f t="shared" ref="AG34:AG97" si="21">-$V$11*AB34*AD34 - $V$12*AF34*AC34*AD34</f>
        <v>-1.72623312175724</v>
      </c>
      <c r="AH34" s="1">
        <f t="shared" ref="AH34:AH97" si="22">$V$12*AF34*AD34*AB34 - $V$11*AC34*AD34 - 9.8</f>
        <v>-9.9512822267409877</v>
      </c>
      <c r="AI34" s="1" t="b">
        <f t="shared" ref="AI34:AI97" si="23">OR(AA33&lt;0, Z33&gt;$V$6)</f>
        <v>0</v>
      </c>
      <c r="AJ34" s="1">
        <f t="shared" si="15"/>
        <v>0.80711315164404607</v>
      </c>
      <c r="AK34" s="1">
        <f t="shared" si="16"/>
        <v>2.0596722907306804</v>
      </c>
      <c r="AL34" s="1">
        <f t="shared" si="5"/>
        <v>0.80711315164404607</v>
      </c>
      <c r="AM34" s="1">
        <f t="shared" si="6"/>
        <v>2.0596722907306804</v>
      </c>
      <c r="AN34" s="1"/>
      <c r="AP34" s="1">
        <f t="shared" si="17"/>
        <v>0.58000000000000018</v>
      </c>
      <c r="AQ34" s="1">
        <f t="shared" si="18"/>
        <v>1.8447480371163456</v>
      </c>
      <c r="AR34" s="1">
        <f t="shared" si="19"/>
        <v>5.30381259735519</v>
      </c>
      <c r="AS34" s="1" t="e">
        <f t="shared" si="7"/>
        <v>#N/A</v>
      </c>
      <c r="AT34" s="1" t="e">
        <f t="shared" si="8"/>
        <v>#N/A</v>
      </c>
    </row>
    <row r="35" spans="3:46" s="10" customFormat="1" ht="15" customHeight="1" x14ac:dyDescent="0.25">
      <c r="C35" s="4" t="s">
        <v>34</v>
      </c>
      <c r="D35" s="16">
        <f>1.225*D33*(D32/IF($B$4, 1000, 39.37))/0.0000185</f>
        <v>56575.135135135126</v>
      </c>
      <c r="F35" s="22"/>
      <c r="G35" s="23"/>
      <c r="Y35" s="1">
        <f t="shared" si="9"/>
        <v>0.22841286264601082</v>
      </c>
      <c r="Z35" s="1">
        <f t="shared" si="10"/>
        <v>0.83304649087535831</v>
      </c>
      <c r="AA35" s="1">
        <f t="shared" si="11"/>
        <v>2.0803211247394833</v>
      </c>
      <c r="AB35" s="1">
        <f t="shared" si="12"/>
        <v>3.3929705551732083</v>
      </c>
      <c r="AC35" s="1">
        <f t="shared" si="13"/>
        <v>2.6362741813707515</v>
      </c>
      <c r="AD35" s="1">
        <f t="shared" si="20"/>
        <v>4.2967651492296408</v>
      </c>
      <c r="AE35" s="1">
        <f t="shared" si="0"/>
        <v>0.39043569260882804</v>
      </c>
      <c r="AF35" s="1">
        <f t="shared" si="4"/>
        <v>0.33426141556529682</v>
      </c>
      <c r="AG35" s="1">
        <f t="shared" si="21"/>
        <v>-1.6881393198464716</v>
      </c>
      <c r="AH35" s="1">
        <f t="shared" si="22"/>
        <v>-9.920500980330015</v>
      </c>
      <c r="AI35" s="1" t="b">
        <f t="shared" si="23"/>
        <v>0</v>
      </c>
      <c r="AJ35" s="1">
        <f t="shared" si="15"/>
        <v>0.83304649087535831</v>
      </c>
      <c r="AK35" s="1">
        <f t="shared" si="16"/>
        <v>2.0803211247394833</v>
      </c>
      <c r="AL35" s="1">
        <f t="shared" si="5"/>
        <v>0.83304649087535831</v>
      </c>
      <c r="AM35" s="1">
        <f t="shared" si="6"/>
        <v>2.0803211247394833</v>
      </c>
      <c r="AN35" s="1"/>
      <c r="AP35" s="1">
        <f t="shared" si="17"/>
        <v>0.6000000000000002</v>
      </c>
      <c r="AQ35" s="1">
        <f t="shared" si="18"/>
        <v>1.8630835117773019</v>
      </c>
      <c r="AR35" s="1">
        <f t="shared" si="19"/>
        <v>5.269583150801358</v>
      </c>
      <c r="AS35" s="1" t="e">
        <f t="shared" si="7"/>
        <v>#N/A</v>
      </c>
      <c r="AT35" s="1" t="e">
        <f t="shared" si="8"/>
        <v>#N/A</v>
      </c>
    </row>
    <row r="36" spans="3:46" s="10" customFormat="1" x14ac:dyDescent="0.25">
      <c r="Y36" s="1">
        <f t="shared" si="9"/>
        <v>0.23602662473421118</v>
      </c>
      <c r="Z36" s="1">
        <f t="shared" si="10"/>
        <v>0.85887976145471623</v>
      </c>
      <c r="AA36" s="1">
        <f t="shared" si="11"/>
        <v>2.1003930891557054</v>
      </c>
      <c r="AB36" s="1">
        <f t="shared" si="12"/>
        <v>3.3801174640201608</v>
      </c>
      <c r="AC36" s="1">
        <f t="shared" si="13"/>
        <v>2.5607418471107604</v>
      </c>
      <c r="AD36" s="1">
        <f t="shared" si="20"/>
        <v>4.2405887419223181</v>
      </c>
      <c r="AE36" s="1">
        <f t="shared" si="0"/>
        <v>0.39560791652162547</v>
      </c>
      <c r="AF36" s="1">
        <f t="shared" si="4"/>
        <v>0.33736474991297527</v>
      </c>
      <c r="AG36" s="1">
        <f t="shared" si="21"/>
        <v>-1.650732478824064</v>
      </c>
      <c r="AH36" s="1">
        <f t="shared" si="22"/>
        <v>-9.8905126752091697</v>
      </c>
      <c r="AI36" s="1" t="b">
        <f t="shared" si="23"/>
        <v>0</v>
      </c>
      <c r="AJ36" s="1">
        <f t="shared" si="15"/>
        <v>0.85887976145471623</v>
      </c>
      <c r="AK36" s="1">
        <f t="shared" si="16"/>
        <v>2.1003930891557054</v>
      </c>
      <c r="AL36" s="1">
        <f t="shared" si="5"/>
        <v>0.85887976145471623</v>
      </c>
      <c r="AM36" s="1">
        <f t="shared" si="6"/>
        <v>2.1003930891557054</v>
      </c>
      <c r="AN36" s="1"/>
      <c r="AP36" s="1">
        <f t="shared" si="17"/>
        <v>0.62000000000000022</v>
      </c>
      <c r="AQ36" s="1">
        <f t="shared" si="18"/>
        <v>1.8811591720199858</v>
      </c>
      <c r="AR36" s="1">
        <f t="shared" si="19"/>
        <v>5.2356162446415295</v>
      </c>
      <c r="AS36" s="1" t="e">
        <f t="shared" si="7"/>
        <v>#N/A</v>
      </c>
      <c r="AT36" s="1" t="e">
        <f t="shared" si="8"/>
        <v>#N/A</v>
      </c>
    </row>
    <row r="37" spans="3:46" s="10" customFormat="1" x14ac:dyDescent="0.25">
      <c r="Y37" s="1">
        <f t="shared" si="9"/>
        <v>0.24364038682241154</v>
      </c>
      <c r="Z37" s="1">
        <f t="shared" si="10"/>
        <v>0.88461517165593684</v>
      </c>
      <c r="AA37" s="1">
        <f t="shared" si="11"/>
        <v>2.1198899683489056</v>
      </c>
      <c r="AB37" s="1">
        <f t="shared" si="12"/>
        <v>3.3675491796551289</v>
      </c>
      <c r="AC37" s="1">
        <f t="shared" si="13"/>
        <v>2.4854378366713878</v>
      </c>
      <c r="AD37" s="1">
        <f t="shared" si="20"/>
        <v>4.185425751026254</v>
      </c>
      <c r="AE37" s="1">
        <f t="shared" ref="AE37:AE68" si="24">IFERROR($V$9*($D$13*2*PI())/AD37, 0)</f>
        <v>0.40082194185516345</v>
      </c>
      <c r="AF37" s="1">
        <f t="shared" si="4"/>
        <v>0.34049316511309807</v>
      </c>
      <c r="AG37" s="1">
        <f t="shared" si="21"/>
        <v>-1.6140039200761869</v>
      </c>
      <c r="AH37" s="1">
        <f t="shared" si="22"/>
        <v>-9.861299978235639</v>
      </c>
      <c r="AI37" s="1" t="b">
        <f t="shared" si="23"/>
        <v>0</v>
      </c>
      <c r="AJ37" s="1">
        <f t="shared" si="15"/>
        <v>0.88461517165593684</v>
      </c>
      <c r="AK37" s="1">
        <f t="shared" si="16"/>
        <v>2.1198899683489056</v>
      </c>
      <c r="AL37" s="1">
        <f t="shared" si="5"/>
        <v>0.88461517165593684</v>
      </c>
      <c r="AM37" s="1">
        <f t="shared" si="6"/>
        <v>2.1198899683489056</v>
      </c>
      <c r="AN37" s="1"/>
      <c r="AP37" s="1">
        <f t="shared" si="17"/>
        <v>0.64000000000000024</v>
      </c>
      <c r="AQ37" s="1">
        <f t="shared" si="18"/>
        <v>1.8989750178443967</v>
      </c>
      <c r="AR37" s="1">
        <f t="shared" si="19"/>
        <v>5.201917021800349</v>
      </c>
      <c r="AS37" s="1" t="e">
        <f t="shared" si="7"/>
        <v>#N/A</v>
      </c>
      <c r="AT37" s="1" t="e">
        <f t="shared" si="8"/>
        <v>#N/A</v>
      </c>
    </row>
    <row r="38" spans="3:46" s="10" customFormat="1" x14ac:dyDescent="0.25">
      <c r="Y38" s="1">
        <f t="shared" si="9"/>
        <v>0.25125414891061193</v>
      </c>
      <c r="Z38" s="1">
        <f t="shared" si="10"/>
        <v>0.91025488993014525</v>
      </c>
      <c r="AA38" s="1">
        <f t="shared" si="11"/>
        <v>2.1388135007223328</v>
      </c>
      <c r="AB38" s="1">
        <f t="shared" si="12"/>
        <v>3.3552605377982458</v>
      </c>
      <c r="AC38" s="1">
        <f t="shared" si="13"/>
        <v>2.4103562447567262</v>
      </c>
      <c r="AD38" s="1">
        <f t="shared" si="20"/>
        <v>4.1312940470443307</v>
      </c>
      <c r="AE38" s="1">
        <f t="shared" si="24"/>
        <v>0.40607384947996356</v>
      </c>
      <c r="AF38" s="1">
        <f t="shared" si="4"/>
        <v>0.3436443096879781</v>
      </c>
      <c r="AG38" s="1">
        <f t="shared" si="21"/>
        <v>-1.5779453965636194</v>
      </c>
      <c r="AH38" s="1">
        <f t="shared" si="22"/>
        <v>-9.8328454901293547</v>
      </c>
      <c r="AI38" s="1" t="b">
        <f t="shared" si="23"/>
        <v>0</v>
      </c>
      <c r="AJ38" s="1">
        <f t="shared" si="15"/>
        <v>0.91025488993014525</v>
      </c>
      <c r="AK38" s="1">
        <f t="shared" si="16"/>
        <v>2.1388135007223328</v>
      </c>
      <c r="AL38" s="1">
        <f t="shared" si="5"/>
        <v>0.91025488993014525</v>
      </c>
      <c r="AM38" s="1">
        <f t="shared" si="6"/>
        <v>2.1388135007223328</v>
      </c>
      <c r="AN38" s="1"/>
      <c r="AP38" s="1">
        <f t="shared" si="17"/>
        <v>0.66000000000000025</v>
      </c>
      <c r="AQ38" s="1">
        <f t="shared" si="18"/>
        <v>1.9165310492505354</v>
      </c>
      <c r="AR38" s="1">
        <f t="shared" si="19"/>
        <v>5.1684907182694531</v>
      </c>
      <c r="AS38" s="1" t="e">
        <f t="shared" si="7"/>
        <v>#N/A</v>
      </c>
      <c r="AT38" s="1" t="e">
        <f t="shared" si="8"/>
        <v>#N/A</v>
      </c>
    </row>
    <row r="39" spans="3:46" s="10" customFormat="1" x14ac:dyDescent="0.25">
      <c r="Y39" s="1">
        <f t="shared" si="9"/>
        <v>0.25886791099881229</v>
      </c>
      <c r="Z39" s="1">
        <f t="shared" si="10"/>
        <v>0.93580104540886833</v>
      </c>
      <c r="AA39" s="1">
        <f t="shared" si="11"/>
        <v>2.1571653797177186</v>
      </c>
      <c r="AB39" s="1">
        <f t="shared" si="12"/>
        <v>3.3432464369606394</v>
      </c>
      <c r="AC39" s="1">
        <f t="shared" si="13"/>
        <v>2.3354912985448473</v>
      </c>
      <c r="AD39" s="1">
        <f t="shared" si="20"/>
        <v>4.0782123956249148</v>
      </c>
      <c r="AE39" s="1">
        <f t="shared" si="24"/>
        <v>0.41135927074732082</v>
      </c>
      <c r="AF39" s="1">
        <f t="shared" si="4"/>
        <v>0.34681556244839251</v>
      </c>
      <c r="AG39" s="1">
        <f t="shared" si="21"/>
        <v>-1.5425490781580007</v>
      </c>
      <c r="AH39" s="1">
        <f t="shared" si="22"/>
        <v>-9.8051317165422063</v>
      </c>
      <c r="AI39" s="1" t="b">
        <f t="shared" si="23"/>
        <v>0</v>
      </c>
      <c r="AJ39" s="1">
        <f t="shared" si="15"/>
        <v>0.93580104540886833</v>
      </c>
      <c r="AK39" s="1">
        <f t="shared" si="16"/>
        <v>2.1571653797177186</v>
      </c>
      <c r="AL39" s="1">
        <f t="shared" si="5"/>
        <v>0.93580104540886833</v>
      </c>
      <c r="AM39" s="1">
        <f t="shared" si="6"/>
        <v>2.1571653797177186</v>
      </c>
      <c r="AN39" s="1"/>
      <c r="AP39" s="1">
        <f t="shared" si="17"/>
        <v>0.68000000000000027</v>
      </c>
      <c r="AQ39" s="1">
        <f t="shared" si="18"/>
        <v>1.9338272662384015</v>
      </c>
      <c r="AR39" s="1">
        <f t="shared" si="19"/>
        <v>5.1353426634039057</v>
      </c>
      <c r="AS39" s="1" t="e">
        <f t="shared" si="7"/>
        <v>#N/A</v>
      </c>
      <c r="AT39" s="1" t="e">
        <f t="shared" si="8"/>
        <v>#N/A</v>
      </c>
    </row>
    <row r="40" spans="3:46" s="10" customFormat="1" x14ac:dyDescent="0.25">
      <c r="Y40" s="1">
        <f t="shared" si="9"/>
        <v>0.26648167308701265</v>
      </c>
      <c r="Z40" s="1">
        <f t="shared" si="10"/>
        <v>0.96125572838211015</v>
      </c>
      <c r="AA40" s="1">
        <f t="shared" si="11"/>
        <v>2.1749472548239011</v>
      </c>
      <c r="AB40" s="1">
        <f t="shared" si="12"/>
        <v>3.3315018352701715</v>
      </c>
      <c r="AC40" s="1">
        <f t="shared" si="13"/>
        <v>2.2608373584116275</v>
      </c>
      <c r="AD40" s="1">
        <f t="shared" si="20"/>
        <v>4.0262004470217558</v>
      </c>
      <c r="AE40" s="1">
        <f t="shared" si="24"/>
        <v>0.416673362166532</v>
      </c>
      <c r="AF40" s="1">
        <f t="shared" si="4"/>
        <v>0.35000401729991915</v>
      </c>
      <c r="AG40" s="1">
        <f t="shared" si="21"/>
        <v>-1.5078075362565335</v>
      </c>
      <c r="AH40" s="1">
        <f t="shared" si="22"/>
        <v>-9.7781410390134376</v>
      </c>
      <c r="AI40" s="1" t="b">
        <f t="shared" si="23"/>
        <v>0</v>
      </c>
      <c r="AJ40" s="1">
        <f t="shared" si="15"/>
        <v>0.96125572838211015</v>
      </c>
      <c r="AK40" s="1">
        <f t="shared" si="16"/>
        <v>2.1749472548239011</v>
      </c>
      <c r="AL40" s="1">
        <f t="shared" si="5"/>
        <v>0.96125572838211015</v>
      </c>
      <c r="AM40" s="1">
        <f t="shared" si="6"/>
        <v>2.1749472548239011</v>
      </c>
      <c r="AN40" s="1"/>
      <c r="AP40" s="1">
        <f t="shared" si="17"/>
        <v>0.70000000000000029</v>
      </c>
      <c r="AQ40" s="1">
        <f t="shared" si="18"/>
        <v>1.9508636688079943</v>
      </c>
      <c r="AR40" s="1">
        <f t="shared" si="19"/>
        <v>5.1024782801019768</v>
      </c>
      <c r="AS40" s="1" t="e">
        <f t="shared" si="7"/>
        <v>#N/A</v>
      </c>
      <c r="AT40" s="1" t="e">
        <f t="shared" si="8"/>
        <v>#N/A</v>
      </c>
    </row>
    <row r="41" spans="3:46" s="10" customFormat="1" x14ac:dyDescent="0.25">
      <c r="Y41" s="1">
        <f t="shared" si="9"/>
        <v>0.27409543517521301</v>
      </c>
      <c r="Z41" s="1">
        <f t="shared" si="10"/>
        <v>0.98662099075226006</v>
      </c>
      <c r="AA41" s="1">
        <f t="shared" si="11"/>
        <v>2.1921607325909624</v>
      </c>
      <c r="AB41" s="1">
        <f t="shared" si="12"/>
        <v>3.3200217474143185</v>
      </c>
      <c r="AC41" s="1">
        <f t="shared" si="13"/>
        <v>2.1863889188757111</v>
      </c>
      <c r="AD41" s="1">
        <f t="shared" si="20"/>
        <v>3.975278720780032</v>
      </c>
      <c r="AE41" s="1">
        <f t="shared" si="24"/>
        <v>0.42201078084098897</v>
      </c>
      <c r="AF41" s="1">
        <f t="shared" si="4"/>
        <v>0.35320646850459336</v>
      </c>
      <c r="AG41" s="1">
        <f t="shared" si="21"/>
        <v>-1.4737137275608245</v>
      </c>
      <c r="AH41" s="1">
        <f t="shared" si="22"/>
        <v>-9.7518556859013668</v>
      </c>
      <c r="AI41" s="1" t="b">
        <f t="shared" si="23"/>
        <v>0</v>
      </c>
      <c r="AJ41" s="1">
        <f t="shared" si="15"/>
        <v>0.98662099075226006</v>
      </c>
      <c r="AK41" s="1">
        <f t="shared" si="16"/>
        <v>2.1921607325909624</v>
      </c>
      <c r="AL41" s="1">
        <f t="shared" si="5"/>
        <v>0.98662099075226006</v>
      </c>
      <c r="AM41" s="1">
        <f t="shared" si="6"/>
        <v>2.1921607325909624</v>
      </c>
      <c r="AN41" s="1"/>
      <c r="AP41" s="1">
        <f t="shared" si="17"/>
        <v>0.72000000000000031</v>
      </c>
      <c r="AQ41" s="1">
        <f t="shared" si="18"/>
        <v>1.9676402569593148</v>
      </c>
      <c r="AR41" s="1">
        <f t="shared" si="19"/>
        <v>5.0699030848575228</v>
      </c>
      <c r="AS41" s="1" t="e">
        <f t="shared" si="7"/>
        <v>#N/A</v>
      </c>
      <c r="AT41" s="1" t="e">
        <f t="shared" si="8"/>
        <v>#N/A</v>
      </c>
    </row>
    <row r="42" spans="3:46" s="10" customFormat="1" x14ac:dyDescent="0.25">
      <c r="Y42" s="1">
        <f t="shared" si="9"/>
        <v>0.28170919726341337</v>
      </c>
      <c r="Z42" s="1">
        <f t="shared" si="10"/>
        <v>1.0118988464647238</v>
      </c>
      <c r="AA42" s="1">
        <f t="shared" si="11"/>
        <v>2.2088073776515595</v>
      </c>
      <c r="AB42" s="1">
        <f t="shared" si="12"/>
        <v>3.3088012417065555</v>
      </c>
      <c r="AC42" s="1">
        <f t="shared" si="13"/>
        <v>2.1121406097647943</v>
      </c>
      <c r="AD42" s="1">
        <f t="shared" si="20"/>
        <v>3.9254685850910129</v>
      </c>
      <c r="AE42" s="1">
        <f t="shared" si="24"/>
        <v>0.42736566110566726</v>
      </c>
      <c r="AF42" s="1">
        <f t="shared" si="4"/>
        <v>0.35641939666340039</v>
      </c>
      <c r="AG42" s="1">
        <f t="shared" si="21"/>
        <v>-1.4402609769048746</v>
      </c>
      <c r="AH42" s="1">
        <f t="shared" si="22"/>
        <v>-9.726257703401739</v>
      </c>
      <c r="AI42" s="1" t="b">
        <f t="shared" si="23"/>
        <v>0</v>
      </c>
      <c r="AJ42" s="1">
        <f t="shared" si="15"/>
        <v>1.0118988464647238</v>
      </c>
      <c r="AK42" s="1">
        <f t="shared" si="16"/>
        <v>2.2088073776515595</v>
      </c>
      <c r="AL42" s="1">
        <f t="shared" si="5"/>
        <v>1.0118988464647238</v>
      </c>
      <c r="AM42" s="1">
        <f t="shared" si="6"/>
        <v>2.2088073776515595</v>
      </c>
      <c r="AN42" s="1"/>
      <c r="AP42" s="1">
        <f t="shared" si="17"/>
        <v>0.74000000000000032</v>
      </c>
      <c r="AQ42" s="1">
        <f t="shared" si="18"/>
        <v>1.9841570306923628</v>
      </c>
      <c r="AR42" s="1">
        <f t="shared" si="19"/>
        <v>5.037622687675344</v>
      </c>
      <c r="AS42" s="1" t="e">
        <f t="shared" si="7"/>
        <v>#N/A</v>
      </c>
      <c r="AT42" s="1" t="e">
        <f t="shared" si="8"/>
        <v>#N/A</v>
      </c>
    </row>
    <row r="43" spans="3:46" s="10" customFormat="1" x14ac:dyDescent="0.25">
      <c r="Y43" s="1">
        <f t="shared" si="9"/>
        <v>0.28932295935161373</v>
      </c>
      <c r="Z43" s="1">
        <f t="shared" si="10"/>
        <v>1.0370912719162195</v>
      </c>
      <c r="AA43" s="1">
        <f t="shared" si="11"/>
        <v>2.2248887137511351</v>
      </c>
      <c r="AB43" s="1">
        <f t="shared" si="12"/>
        <v>3.2978354372834828</v>
      </c>
      <c r="AC43" s="1">
        <f t="shared" si="13"/>
        <v>2.0380871976025676</v>
      </c>
      <c r="AD43" s="1">
        <f t="shared" si="20"/>
        <v>3.8767922302380651</v>
      </c>
      <c r="AE43" s="1">
        <f t="shared" si="24"/>
        <v>0.43273159286999779</v>
      </c>
      <c r="AF43" s="1">
        <f t="shared" si="4"/>
        <v>0.35963895572199867</v>
      </c>
      <c r="AG43" s="1">
        <f t="shared" si="21"/>
        <v>-1.4074429590181434</v>
      </c>
      <c r="AH43" s="1">
        <f t="shared" si="22"/>
        <v>-9.7013289267849334</v>
      </c>
      <c r="AI43" s="1" t="b">
        <f t="shared" si="23"/>
        <v>0</v>
      </c>
      <c r="AJ43" s="1">
        <f t="shared" si="15"/>
        <v>1.0370912719162195</v>
      </c>
      <c r="AK43" s="1">
        <f t="shared" si="16"/>
        <v>2.2248887137511351</v>
      </c>
      <c r="AL43" s="1">
        <f t="shared" si="5"/>
        <v>1.0370912719162195</v>
      </c>
      <c r="AM43" s="1">
        <f t="shared" si="6"/>
        <v>2.2248887137511351</v>
      </c>
      <c r="AN43" s="1"/>
      <c r="AP43" s="1">
        <f t="shared" si="17"/>
        <v>0.76000000000000034</v>
      </c>
      <c r="AQ43" s="1">
        <f t="shared" si="18"/>
        <v>2.000413990007138</v>
      </c>
      <c r="AR43" s="1">
        <f t="shared" si="19"/>
        <v>5.0056427918412725</v>
      </c>
      <c r="AS43" s="1" t="e">
        <f t="shared" si="7"/>
        <v>#N/A</v>
      </c>
      <c r="AT43" s="1" t="e">
        <f t="shared" si="8"/>
        <v>#N/A</v>
      </c>
    </row>
    <row r="44" spans="3:46" s="10" customFormat="1" ht="15" customHeight="1" x14ac:dyDescent="0.25">
      <c r="Y44" s="1">
        <f>Y43+$V$4</f>
        <v>0.29693672143981409</v>
      </c>
      <c r="Z44" s="1">
        <f t="shared" si="10"/>
        <v>1.0622002063417322</v>
      </c>
      <c r="AA44" s="1">
        <f t="shared" si="11"/>
        <v>2.2404062247886882</v>
      </c>
      <c r="AB44" s="1">
        <f t="shared" si="12"/>
        <v>3.2871195014408059</v>
      </c>
      <c r="AC44" s="1">
        <f t="shared" si="13"/>
        <v>1.964223587214651</v>
      </c>
      <c r="AD44" s="1">
        <f t="shared" si="20"/>
        <v>3.829272635543576</v>
      </c>
      <c r="AE44" s="1">
        <f t="shared" si="24"/>
        <v>0.43810160223256278</v>
      </c>
      <c r="AF44" s="1">
        <f t="shared" si="4"/>
        <v>0.36286096133953771</v>
      </c>
      <c r="AG44" s="1">
        <f t="shared" si="21"/>
        <v>-1.3752536791123378</v>
      </c>
      <c r="AH44" s="1">
        <f t="shared" si="22"/>
        <v>-9.6770509520075993</v>
      </c>
      <c r="AI44" s="1" t="b">
        <f>OR(AA43&lt;0, Z43&gt;$V$6)</f>
        <v>0</v>
      </c>
      <c r="AJ44" s="1">
        <f t="shared" si="15"/>
        <v>1.0622002063417322</v>
      </c>
      <c r="AK44" s="1">
        <f t="shared" si="16"/>
        <v>2.2404062247886882</v>
      </c>
      <c r="AL44" s="1">
        <f t="shared" si="5"/>
        <v>1.0622002063417322</v>
      </c>
      <c r="AM44" s="1">
        <f t="shared" si="6"/>
        <v>2.2404062247886882</v>
      </c>
      <c r="AN44" s="1"/>
      <c r="AP44" s="1">
        <f t="shared" si="17"/>
        <v>0.78000000000000036</v>
      </c>
      <c r="AQ44" s="1">
        <f t="shared" si="18"/>
        <v>2.0164111349036404</v>
      </c>
      <c r="AR44" s="1">
        <f t="shared" si="19"/>
        <v>4.9739691935356589</v>
      </c>
      <c r="AS44" s="1" t="e">
        <f t="shared" si="7"/>
        <v>#N/A</v>
      </c>
      <c r="AT44" s="1" t="e">
        <f t="shared" si="8"/>
        <v>#N/A</v>
      </c>
    </row>
    <row r="45" spans="3:46" s="10" customFormat="1" ht="15" customHeight="1" x14ac:dyDescent="0.25">
      <c r="Y45" s="1">
        <f t="shared" si="9"/>
        <v>0.30455048352801445</v>
      </c>
      <c r="Z45" s="1">
        <f t="shared" si="10"/>
        <v>1.0872275521811863</v>
      </c>
      <c r="AA45" s="1">
        <f t="shared" si="11"/>
        <v>2.255361355869772</v>
      </c>
      <c r="AB45" s="1">
        <f t="shared" si="12"/>
        <v>3.2766486471171223</v>
      </c>
      <c r="AC45" s="1">
        <f t="shared" si="13"/>
        <v>1.8905448235506723</v>
      </c>
      <c r="AD45" s="1">
        <f t="shared" si="20"/>
        <v>3.7829335292215629</v>
      </c>
      <c r="AE45" s="1">
        <f t="shared" si="24"/>
        <v>0.44346813499579546</v>
      </c>
      <c r="AF45" s="1">
        <f t="shared" si="4"/>
        <v>0.36608088099747726</v>
      </c>
      <c r="AG45" s="1">
        <f t="shared" si="21"/>
        <v>-1.343687452185615</v>
      </c>
      <c r="AH45" s="1">
        <f t="shared" si="22"/>
        <v>-9.6534051078790952</v>
      </c>
      <c r="AI45" s="1" t="b">
        <f t="shared" si="23"/>
        <v>0</v>
      </c>
      <c r="AJ45" s="1">
        <f t="shared" si="15"/>
        <v>1.0872275521811863</v>
      </c>
      <c r="AK45" s="1">
        <f t="shared" si="16"/>
        <v>2.255361355869772</v>
      </c>
      <c r="AL45" s="1">
        <f t="shared" si="5"/>
        <v>1.0872275521811863</v>
      </c>
      <c r="AM45" s="1">
        <f t="shared" si="6"/>
        <v>2.255361355869772</v>
      </c>
      <c r="AN45" s="1"/>
      <c r="AP45" s="1">
        <f t="shared" si="17"/>
        <v>0.80000000000000038</v>
      </c>
      <c r="AQ45" s="1">
        <f t="shared" si="18"/>
        <v>2.0321484653818702</v>
      </c>
      <c r="AR45" s="1">
        <f t="shared" si="19"/>
        <v>4.9426077812799853</v>
      </c>
      <c r="AS45" s="1" t="e">
        <f t="shared" si="7"/>
        <v>#N/A</v>
      </c>
      <c r="AT45" s="1" t="e">
        <f t="shared" si="8"/>
        <v>#N/A</v>
      </c>
    </row>
    <row r="46" spans="3:46" s="10" customFormat="1" ht="15" customHeight="1" x14ac:dyDescent="0.25">
      <c r="Y46" s="1">
        <f t="shared" si="9"/>
        <v>0.31216424561621481</v>
      </c>
      <c r="Z46" s="1">
        <f t="shared" si="10"/>
        <v>1.1121751754269595</v>
      </c>
      <c r="AA46" s="1">
        <f t="shared" si="11"/>
        <v>2.2697555143733656</v>
      </c>
      <c r="AB46" s="1">
        <f t="shared" si="12"/>
        <v>3.2664181305352811</v>
      </c>
      <c r="AC46" s="1">
        <f t="shared" si="13"/>
        <v>1.8170460937182629</v>
      </c>
      <c r="AD46" s="1">
        <f t="shared" si="20"/>
        <v>3.7377993405460384</v>
      </c>
      <c r="AE46" s="1">
        <f t="shared" si="24"/>
        <v>0.44882304376774662</v>
      </c>
      <c r="AF46" s="1">
        <f t="shared" si="4"/>
        <v>0.36929382626064799</v>
      </c>
      <c r="AG46" s="1">
        <f t="shared" si="21"/>
        <v>-1.3127388809454852</v>
      </c>
      <c r="AH46" s="1">
        <f t="shared" si="22"/>
        <v>-9.6303724289889239</v>
      </c>
      <c r="AI46" s="1" t="b">
        <f t="shared" si="23"/>
        <v>0</v>
      </c>
      <c r="AJ46" s="1">
        <f t="shared" si="15"/>
        <v>1.1121751754269595</v>
      </c>
      <c r="AK46" s="1">
        <f t="shared" si="16"/>
        <v>2.2697555143733656</v>
      </c>
      <c r="AL46" s="1">
        <f t="shared" si="5"/>
        <v>1.1121751754269595</v>
      </c>
      <c r="AM46" s="1">
        <f t="shared" si="6"/>
        <v>2.2697555143733656</v>
      </c>
      <c r="AN46" s="1"/>
      <c r="AP46" s="1">
        <f t="shared" si="17"/>
        <v>0.8200000000000004</v>
      </c>
      <c r="AQ46" s="1">
        <f t="shared" si="18"/>
        <v>2.0476259814418274</v>
      </c>
      <c r="AR46" s="1">
        <f t="shared" si="19"/>
        <v>4.9115645352061996</v>
      </c>
      <c r="AS46" s="1" t="e">
        <f t="shared" si="7"/>
        <v>#N/A</v>
      </c>
      <c r="AT46" s="1" t="e">
        <f t="shared" si="8"/>
        <v>#N/A</v>
      </c>
    </row>
    <row r="47" spans="3:46" s="10" customFormat="1" ht="15" customHeight="1" x14ac:dyDescent="0.25">
      <c r="Y47" s="1">
        <f t="shared" si="9"/>
        <v>0.31977800770441517</v>
      </c>
      <c r="Z47" s="1">
        <f t="shared" si="10"/>
        <v>1.1370449059534393</v>
      </c>
      <c r="AA47" s="1">
        <f t="shared" si="11"/>
        <v>2.2835900710342303</v>
      </c>
      <c r="AB47" s="1">
        <f t="shared" si="12"/>
        <v>3.2564232490118319</v>
      </c>
      <c r="AC47" s="1">
        <f t="shared" si="13"/>
        <v>1.7437227292231769</v>
      </c>
      <c r="AD47" s="1">
        <f t="shared" si="20"/>
        <v>3.6938951437627869</v>
      </c>
      <c r="AE47" s="1">
        <f t="shared" si="24"/>
        <v>0.45415757939139845</v>
      </c>
      <c r="AF47" s="1">
        <f t="shared" si="4"/>
        <v>0.37249454763483902</v>
      </c>
      <c r="AG47" s="1">
        <f t="shared" si="21"/>
        <v>-1.2824028322623313</v>
      </c>
      <c r="AH47" s="1">
        <f t="shared" si="22"/>
        <v>-9.6079336296279081</v>
      </c>
      <c r="AI47" s="1" t="b">
        <f t="shared" si="23"/>
        <v>0</v>
      </c>
      <c r="AJ47" s="1">
        <f t="shared" si="15"/>
        <v>1.1370449059534393</v>
      </c>
      <c r="AK47" s="1">
        <f t="shared" si="16"/>
        <v>2.2835900710342303</v>
      </c>
      <c r="AL47" s="1">
        <f t="shared" si="5"/>
        <v>1.1370449059534393</v>
      </c>
      <c r="AM47" s="1">
        <f t="shared" si="6"/>
        <v>2.2835900710342303</v>
      </c>
      <c r="AN47" s="1"/>
      <c r="AP47" s="1">
        <f t="shared" si="17"/>
        <v>0.84000000000000041</v>
      </c>
      <c r="AQ47" s="1">
        <f t="shared" si="18"/>
        <v>2.0628436830835124</v>
      </c>
      <c r="AR47" s="1">
        <f t="shared" si="19"/>
        <v>4.8808455261378407</v>
      </c>
      <c r="AS47" s="1" t="e">
        <f t="shared" si="7"/>
        <v>#N/A</v>
      </c>
      <c r="AT47" s="1" t="e">
        <f t="shared" si="8"/>
        <v>#N/A</v>
      </c>
    </row>
    <row r="48" spans="3:46" s="10" customFormat="1" x14ac:dyDescent="0.25">
      <c r="Y48" s="1">
        <f>Y47+$V$4</f>
        <v>0.32739176979261553</v>
      </c>
      <c r="Z48" s="1">
        <f t="shared" si="10"/>
        <v>1.1618385378298999</v>
      </c>
      <c r="AA48" s="1">
        <f t="shared" si="11"/>
        <v>2.2968663610423228</v>
      </c>
      <c r="AB48" s="1">
        <f t="shared" si="12"/>
        <v>3.2466593389457521</v>
      </c>
      <c r="AC48" s="1">
        <f t="shared" si="13"/>
        <v>1.6705702084079708</v>
      </c>
      <c r="AD48" s="1">
        <f t="shared" si="20"/>
        <v>3.6512465932040139</v>
      </c>
      <c r="AE48" s="1">
        <f t="shared" si="24"/>
        <v>0.45946238748690627</v>
      </c>
      <c r="AF48" s="1">
        <f t="shared" si="4"/>
        <v>0.3756774324921438</v>
      </c>
      <c r="AG48" s="1">
        <f t="shared" si="21"/>
        <v>-1.2526744120794553</v>
      </c>
      <c r="AH48" s="1">
        <f t="shared" si="22"/>
        <v>-9.5860690789626091</v>
      </c>
      <c r="AI48" s="1" t="b">
        <f>OR(AA47&lt;0, Z47&gt;$V$6)</f>
        <v>0</v>
      </c>
      <c r="AJ48" s="1">
        <f t="shared" si="15"/>
        <v>1.1618385378298999</v>
      </c>
      <c r="AK48" s="1">
        <f t="shared" si="16"/>
        <v>2.2968663610423228</v>
      </c>
      <c r="AL48" s="1">
        <f t="shared" si="5"/>
        <v>1.1618385378298999</v>
      </c>
      <c r="AM48" s="1">
        <f t="shared" si="6"/>
        <v>2.2968663610423228</v>
      </c>
      <c r="AN48" s="1"/>
      <c r="AP48" s="1">
        <f t="shared" si="17"/>
        <v>0.86000000000000043</v>
      </c>
      <c r="AQ48" s="1">
        <f t="shared" si="18"/>
        <v>2.0778015703069239</v>
      </c>
      <c r="AR48" s="1">
        <f t="shared" si="19"/>
        <v>4.8504569144711382</v>
      </c>
      <c r="AS48" s="1" t="e">
        <f t="shared" si="7"/>
        <v>#N/A</v>
      </c>
      <c r="AT48" s="1" t="e">
        <f t="shared" si="8"/>
        <v>#N/A</v>
      </c>
    </row>
    <row r="49" spans="25:46" s="10" customFormat="1" x14ac:dyDescent="0.25">
      <c r="Y49" s="1">
        <f t="shared" si="9"/>
        <v>0.33500553188081589</v>
      </c>
      <c r="Z49" s="1">
        <f t="shared" si="10"/>
        <v>1.1865578296180668</v>
      </c>
      <c r="AA49" s="1">
        <f t="shared" si="11"/>
        <v>2.3095856851607763</v>
      </c>
      <c r="AB49" s="1">
        <f t="shared" si="12"/>
        <v>3.237121773998203</v>
      </c>
      <c r="AC49" s="1">
        <f t="shared" si="13"/>
        <v>1.5975841590796955</v>
      </c>
      <c r="AD49" s="1">
        <f t="shared" si="20"/>
        <v>3.6098798491134927</v>
      </c>
      <c r="AE49" s="1">
        <f t="shared" si="24"/>
        <v>0.46472751092503356</v>
      </c>
      <c r="AF49" s="1">
        <f t="shared" si="4"/>
        <v>0.3788365065550201</v>
      </c>
      <c r="AG49" s="1">
        <f t="shared" si="21"/>
        <v>-1.2235489387232483</v>
      </c>
      <c r="AH49" s="1">
        <f t="shared" si="22"/>
        <v>-9.5647587777488052</v>
      </c>
      <c r="AI49" s="1" t="b">
        <f t="shared" si="23"/>
        <v>0</v>
      </c>
      <c r="AJ49" s="1">
        <f t="shared" si="15"/>
        <v>1.1865578296180668</v>
      </c>
      <c r="AK49" s="1">
        <f t="shared" si="16"/>
        <v>2.3095856851607763</v>
      </c>
      <c r="AL49" s="1">
        <f t="shared" si="5"/>
        <v>1.1865578296180668</v>
      </c>
      <c r="AM49" s="1">
        <f t="shared" si="6"/>
        <v>2.3095856851607763</v>
      </c>
      <c r="AN49" s="1"/>
      <c r="AP49" s="1">
        <f t="shared" si="17"/>
        <v>0.88000000000000045</v>
      </c>
      <c r="AQ49" s="1">
        <f t="shared" si="18"/>
        <v>2.0924996431120628</v>
      </c>
      <c r="AR49" s="1">
        <f t="shared" si="19"/>
        <v>4.8204049488462211</v>
      </c>
      <c r="AS49" s="1" t="e">
        <f t="shared" si="7"/>
        <v>#N/A</v>
      </c>
      <c r="AT49" s="1" t="e">
        <f t="shared" si="8"/>
        <v>#N/A</v>
      </c>
    </row>
    <row r="50" spans="25:46" s="10" customFormat="1" x14ac:dyDescent="0.25">
      <c r="Y50" s="1">
        <f t="shared" si="9"/>
        <v>0.34261929396901625</v>
      </c>
      <c r="Z50" s="1">
        <f t="shared" si="10"/>
        <v>1.2112045046558222</v>
      </c>
      <c r="AA50" s="1">
        <f t="shared" si="11"/>
        <v>2.3217493108638867</v>
      </c>
      <c r="AB50" s="1">
        <f t="shared" si="12"/>
        <v>3.2278059634754941</v>
      </c>
      <c r="AC50" s="1">
        <f t="shared" si="13"/>
        <v>1.5247603613148901</v>
      </c>
      <c r="AD50" s="1">
        <f t="shared" si="20"/>
        <v>3.5698214937563861</v>
      </c>
      <c r="AE50" s="1">
        <f t="shared" si="24"/>
        <v>0.46994239906703683</v>
      </c>
      <c r="AF50" s="1">
        <f t="shared" si="4"/>
        <v>0.3819654394402221</v>
      </c>
      <c r="AG50" s="1">
        <f t="shared" si="21"/>
        <v>-1.1950219145788199</v>
      </c>
      <c r="AH50" s="1">
        <f t="shared" si="22"/>
        <v>-9.5439823368951089</v>
      </c>
      <c r="AI50" s="1" t="b">
        <f t="shared" si="23"/>
        <v>0</v>
      </c>
      <c r="AJ50" s="1">
        <f t="shared" si="15"/>
        <v>1.2112045046558222</v>
      </c>
      <c r="AK50" s="1">
        <f t="shared" si="16"/>
        <v>2.3217493108638867</v>
      </c>
      <c r="AL50" s="1">
        <f t="shared" si="5"/>
        <v>1.2112045046558222</v>
      </c>
      <c r="AM50" s="1">
        <f t="shared" si="6"/>
        <v>2.3217493108638867</v>
      </c>
      <c r="AN50" s="1"/>
      <c r="AP50" s="1">
        <f t="shared" si="17"/>
        <v>0.90000000000000047</v>
      </c>
      <c r="AQ50" s="1">
        <f t="shared" si="18"/>
        <v>2.1069379014989296</v>
      </c>
      <c r="AR50" s="1">
        <f t="shared" si="19"/>
        <v>4.7906959645942919</v>
      </c>
      <c r="AS50" s="1" t="e">
        <f t="shared" si="7"/>
        <v>#N/A</v>
      </c>
      <c r="AT50" s="1" t="e">
        <f t="shared" si="8"/>
        <v>#N/A</v>
      </c>
    </row>
    <row r="51" spans="25:46" s="10" customFormat="1" x14ac:dyDescent="0.25">
      <c r="Y51" s="1">
        <f t="shared" si="9"/>
        <v>0.35023305605721661</v>
      </c>
      <c r="Z51" s="1">
        <f t="shared" si="10"/>
        <v>1.2357802513285989</v>
      </c>
      <c r="AA51" s="1">
        <f t="shared" si="11"/>
        <v>2.3333584734964568</v>
      </c>
      <c r="AB51" s="1">
        <f t="shared" si="12"/>
        <v>3.2187073509277053</v>
      </c>
      <c r="AC51" s="1">
        <f t="shared" si="13"/>
        <v>1.4520947504277844</v>
      </c>
      <c r="AD51" s="1">
        <f t="shared" si="20"/>
        <v>3.5310984374746588</v>
      </c>
      <c r="AE51" s="1">
        <f t="shared" si="24"/>
        <v>0.47509592460320321</v>
      </c>
      <c r="AF51" s="1">
        <f t="shared" si="4"/>
        <v>0.38505755476192194</v>
      </c>
      <c r="AG51" s="1">
        <f t="shared" si="21"/>
        <v>-1.1670889961223452</v>
      </c>
      <c r="AH51" s="1">
        <f t="shared" si="22"/>
        <v>-9.5237189582109583</v>
      </c>
      <c r="AI51" s="1" t="b">
        <f t="shared" si="23"/>
        <v>0</v>
      </c>
      <c r="AJ51" s="1">
        <f t="shared" si="15"/>
        <v>1.2357802513285989</v>
      </c>
      <c r="AK51" s="1">
        <f t="shared" si="16"/>
        <v>2.3333584734964568</v>
      </c>
      <c r="AL51" s="1">
        <f t="shared" si="5"/>
        <v>1.2357802513285989</v>
      </c>
      <c r="AM51" s="1">
        <f t="shared" si="6"/>
        <v>2.3333584734964568</v>
      </c>
      <c r="AN51" s="1"/>
      <c r="AP51" s="1">
        <f t="shared" si="17"/>
        <v>0.92000000000000048</v>
      </c>
      <c r="AQ51" s="1">
        <f t="shared" si="18"/>
        <v>2.1211163454675237</v>
      </c>
      <c r="AR51" s="1">
        <f t="shared" si="19"/>
        <v>4.7613363819516659</v>
      </c>
      <c r="AS51" s="1" t="e">
        <f t="shared" si="7"/>
        <v>#N/A</v>
      </c>
      <c r="AT51" s="1" t="e">
        <f t="shared" si="8"/>
        <v>#N/A</v>
      </c>
    </row>
    <row r="52" spans="25:46" s="10" customFormat="1" x14ac:dyDescent="0.25">
      <c r="Y52" s="1">
        <f t="shared" si="9"/>
        <v>0.35784681814541697</v>
      </c>
      <c r="Z52" s="1">
        <f t="shared" si="10"/>
        <v>1.2602867233301041</v>
      </c>
      <c r="AA52" s="1">
        <f t="shared" si="11"/>
        <v>2.3444143774557387</v>
      </c>
      <c r="AB52" s="1">
        <f t="shared" si="12"/>
        <v>3.2098214129754732</v>
      </c>
      <c r="AC52" s="1">
        <f t="shared" si="13"/>
        <v>1.3795834200850827</v>
      </c>
      <c r="AD52" s="1">
        <f t="shared" si="20"/>
        <v>3.4937378144573921</v>
      </c>
      <c r="AE52" s="1">
        <f t="shared" si="24"/>
        <v>0.48017640879485873</v>
      </c>
      <c r="AF52" s="1">
        <f t="shared" si="4"/>
        <v>0.38810584527691527</v>
      </c>
      <c r="AG52" s="1">
        <f t="shared" si="21"/>
        <v>-1.1397459623316908</v>
      </c>
      <c r="AH52" s="1">
        <f t="shared" si="22"/>
        <v>-9.5039474176934817</v>
      </c>
      <c r="AI52" s="1" t="b">
        <f t="shared" si="23"/>
        <v>0</v>
      </c>
      <c r="AJ52" s="1">
        <f t="shared" si="15"/>
        <v>1.2602867233301041</v>
      </c>
      <c r="AK52" s="1">
        <f t="shared" si="16"/>
        <v>2.3444143774557387</v>
      </c>
      <c r="AL52" s="1">
        <f t="shared" si="5"/>
        <v>1.2602867233301041</v>
      </c>
      <c r="AM52" s="1">
        <f t="shared" si="6"/>
        <v>2.3444143774557387</v>
      </c>
      <c r="AN52" s="1"/>
      <c r="AP52" s="1">
        <f t="shared" si="17"/>
        <v>0.9400000000000005</v>
      </c>
      <c r="AQ52" s="1">
        <f t="shared" si="18"/>
        <v>2.1350349750178448</v>
      </c>
      <c r="AR52" s="1">
        <f t="shared" si="19"/>
        <v>4.7323327040277716</v>
      </c>
      <c r="AS52" s="1" t="e">
        <f t="shared" si="7"/>
        <v>#N/A</v>
      </c>
      <c r="AT52" s="1" t="e">
        <f t="shared" si="8"/>
        <v>#N/A</v>
      </c>
    </row>
    <row r="53" spans="25:46" s="10" customFormat="1" x14ac:dyDescent="0.25">
      <c r="Y53" s="1">
        <f t="shared" si="9"/>
        <v>0.36546058023361733</v>
      </c>
      <c r="Z53" s="1">
        <f t="shared" si="10"/>
        <v>1.2847255399141104</v>
      </c>
      <c r="AA53" s="1">
        <f t="shared" si="11"/>
        <v>2.3549181973970921</v>
      </c>
      <c r="AB53" s="1">
        <f t="shared" si="12"/>
        <v>3.2011436583772928</v>
      </c>
      <c r="AC53" s="1">
        <f t="shared" si="13"/>
        <v>1.3072226255479984</v>
      </c>
      <c r="AD53" s="1">
        <f t="shared" si="20"/>
        <v>3.4577668681265603</v>
      </c>
      <c r="AE53" s="1">
        <f t="shared" si="24"/>
        <v>0.48517165586871647</v>
      </c>
      <c r="AF53" s="1">
        <f t="shared" si="4"/>
        <v>0.3911029935212299</v>
      </c>
      <c r="AG53" s="1">
        <f t="shared" si="21"/>
        <v>-1.1129886815315206</v>
      </c>
      <c r="AH53" s="1">
        <f t="shared" si="22"/>
        <v>-9.4846460517238569</v>
      </c>
      <c r="AI53" s="1" t="b">
        <f t="shared" si="23"/>
        <v>0</v>
      </c>
      <c r="AJ53" s="1">
        <f t="shared" si="15"/>
        <v>1.2847255399141104</v>
      </c>
      <c r="AK53" s="1">
        <f t="shared" si="16"/>
        <v>2.3549181973970921</v>
      </c>
      <c r="AL53" s="1">
        <f t="shared" si="5"/>
        <v>1.2847255399141104</v>
      </c>
      <c r="AM53" s="1">
        <f t="shared" si="6"/>
        <v>2.3549181973970921</v>
      </c>
      <c r="AN53" s="1"/>
      <c r="AP53" s="1">
        <f t="shared" si="17"/>
        <v>0.96000000000000052</v>
      </c>
      <c r="AQ53" s="1">
        <f t="shared" si="18"/>
        <v>2.1486937901498928</v>
      </c>
      <c r="AR53" s="1">
        <f t="shared" si="19"/>
        <v>4.7036915145152935</v>
      </c>
      <c r="AS53" s="1" t="e">
        <f t="shared" si="7"/>
        <v>#N/A</v>
      </c>
      <c r="AT53" s="1" t="e">
        <f t="shared" si="8"/>
        <v>#N/A</v>
      </c>
    </row>
    <row r="54" spans="25:46" s="10" customFormat="1" x14ac:dyDescent="0.25">
      <c r="Y54" s="1">
        <f t="shared" si="9"/>
        <v>0.37307434232181769</v>
      </c>
      <c r="Z54" s="1">
        <f t="shared" si="10"/>
        <v>1.3090982861391465</v>
      </c>
      <c r="AA54" s="1">
        <f t="shared" si="11"/>
        <v>2.3648710794643271</v>
      </c>
      <c r="AB54" s="1">
        <f t="shared" si="12"/>
        <v>3.1926696273492521</v>
      </c>
      <c r="AC54" s="1">
        <f t="shared" si="13"/>
        <v>1.235008787019384</v>
      </c>
      <c r="AD54" s="1">
        <f t="shared" si="20"/>
        <v>3.4232128261931809</v>
      </c>
      <c r="AE54" s="1">
        <f t="shared" si="24"/>
        <v>0.49006899722403563</v>
      </c>
      <c r="AF54" s="1">
        <f t="shared" si="4"/>
        <v>0.39404139833442142</v>
      </c>
      <c r="AG54" s="1">
        <f t="shared" si="21"/>
        <v>-1.0868130767678421</v>
      </c>
      <c r="AH54" s="1">
        <f t="shared" si="22"/>
        <v>-9.4657927465546763</v>
      </c>
      <c r="AI54" s="1" t="b">
        <f t="shared" si="23"/>
        <v>0</v>
      </c>
      <c r="AJ54" s="1">
        <f t="shared" si="15"/>
        <v>1.3090982861391465</v>
      </c>
      <c r="AK54" s="1">
        <f t="shared" si="16"/>
        <v>2.3648710794643271</v>
      </c>
      <c r="AL54" s="1">
        <f t="shared" si="5"/>
        <v>1.3090982861391465</v>
      </c>
      <c r="AM54" s="1">
        <f t="shared" si="6"/>
        <v>2.3648710794643271</v>
      </c>
      <c r="AN54" s="1"/>
      <c r="AP54" s="1">
        <f t="shared" si="17"/>
        <v>0.98000000000000054</v>
      </c>
      <c r="AQ54" s="1">
        <f t="shared" si="18"/>
        <v>2.1620927908636691</v>
      </c>
      <c r="AR54" s="1">
        <f t="shared" si="19"/>
        <v>4.675419475131088</v>
      </c>
      <c r="AS54" s="1" t="e">
        <f t="shared" si="7"/>
        <v>#N/A</v>
      </c>
      <c r="AT54" s="1" t="e">
        <f t="shared" si="8"/>
        <v>#N/A</v>
      </c>
    </row>
    <row r="55" spans="25:46" s="10" customFormat="1" x14ac:dyDescent="0.25">
      <c r="Y55" s="1">
        <f t="shared" si="9"/>
        <v>0.38068810441001805</v>
      </c>
      <c r="Z55" s="1">
        <f t="shared" si="10"/>
        <v>1.3334065131080071</v>
      </c>
      <c r="AA55" s="1">
        <f t="shared" si="11"/>
        <v>2.3742741425455294</v>
      </c>
      <c r="AB55" s="1">
        <f t="shared" si="12"/>
        <v>3.1843948911483966</v>
      </c>
      <c r="AC55" s="1">
        <f t="shared" si="13"/>
        <v>1.1629384930709041</v>
      </c>
      <c r="AD55" s="1">
        <f t="shared" si="20"/>
        <v>3.3901027656161151</v>
      </c>
      <c r="AE55" s="1">
        <f t="shared" si="24"/>
        <v>0.49485534598891762</v>
      </c>
      <c r="AF55" s="1">
        <f t="shared" si="4"/>
        <v>0.39691320759335058</v>
      </c>
      <c r="AG55" s="1">
        <f t="shared" si="21"/>
        <v>-1.0612150898495551</v>
      </c>
      <c r="AH55" s="1">
        <f t="shared" si="22"/>
        <v>-9.4473649314741763</v>
      </c>
      <c r="AI55" s="1" t="b">
        <f t="shared" si="23"/>
        <v>0</v>
      </c>
      <c r="AJ55" s="1">
        <f t="shared" si="15"/>
        <v>1.3334065131080071</v>
      </c>
      <c r="AK55" s="1">
        <f t="shared" si="16"/>
        <v>2.3742741425455294</v>
      </c>
      <c r="AL55" s="1">
        <f t="shared" si="5"/>
        <v>1.3334065131080071</v>
      </c>
      <c r="AM55" s="1">
        <f t="shared" si="6"/>
        <v>2.3742741425455294</v>
      </c>
      <c r="AN55" s="1"/>
      <c r="AP55" s="1">
        <f t="shared" si="17"/>
        <v>1.0000000000000004</v>
      </c>
      <c r="AQ55" s="1">
        <f t="shared" si="18"/>
        <v>2.1752319771591724</v>
      </c>
      <c r="AR55" s="1">
        <f t="shared" si="19"/>
        <v>4.6475233227756698</v>
      </c>
      <c r="AS55" s="1" t="e">
        <f t="shared" si="7"/>
        <v>#N/A</v>
      </c>
      <c r="AT55" s="1" t="e">
        <f t="shared" si="8"/>
        <v>#N/A</v>
      </c>
    </row>
    <row r="56" spans="25:46" s="10" customFormat="1" x14ac:dyDescent="0.25">
      <c r="Y56" s="1">
        <f t="shared" si="9"/>
        <v>0.38830186649821841</v>
      </c>
      <c r="Z56" s="1">
        <f t="shared" si="10"/>
        <v>1.3576517382040916</v>
      </c>
      <c r="AA56" s="1">
        <f t="shared" si="11"/>
        <v>2.3831284795549816</v>
      </c>
      <c r="AB56" s="1">
        <f t="shared" si="12"/>
        <v>3.176315051929874</v>
      </c>
      <c r="AC56" s="1">
        <f t="shared" si="13"/>
        <v>1.0910085041222524</v>
      </c>
      <c r="AD56" s="1">
        <f t="shared" si="20"/>
        <v>3.3584634678947087</v>
      </c>
      <c r="AE56" s="1">
        <f t="shared" si="24"/>
        <v>0.49951726229988691</v>
      </c>
      <c r="AF56" s="1">
        <f t="shared" si="4"/>
        <v>0.3997103573799321</v>
      </c>
      <c r="AG56" s="1">
        <f t="shared" si="21"/>
        <v>-1.0361906442402908</v>
      </c>
      <c r="AH56" s="1">
        <f t="shared" si="22"/>
        <v>-9.4293395760298715</v>
      </c>
      <c r="AI56" s="1" t="b">
        <f t="shared" si="23"/>
        <v>0</v>
      </c>
      <c r="AJ56" s="1">
        <f t="shared" si="15"/>
        <v>1.3576517382040916</v>
      </c>
      <c r="AK56" s="1">
        <f t="shared" si="16"/>
        <v>2.3831284795549816</v>
      </c>
      <c r="AL56" s="1">
        <f t="shared" si="5"/>
        <v>1.3576517382040916</v>
      </c>
      <c r="AM56" s="1">
        <f t="shared" si="6"/>
        <v>2.3831284795549816</v>
      </c>
      <c r="AN56" s="1"/>
      <c r="AP56" s="1">
        <f t="shared" si="17"/>
        <v>1.0200000000000005</v>
      </c>
      <c r="AQ56" s="1">
        <f t="shared" si="18"/>
        <v>2.188111349036403</v>
      </c>
      <c r="AR56" s="1">
        <f t="shared" si="19"/>
        <v>4.6200098664019107</v>
      </c>
      <c r="AS56" s="1" t="e">
        <f t="shared" si="7"/>
        <v>#N/A</v>
      </c>
      <c r="AT56" s="1" t="e">
        <f t="shared" si="8"/>
        <v>#N/A</v>
      </c>
    </row>
    <row r="57" spans="25:46" s="10" customFormat="1" x14ac:dyDescent="0.25">
      <c r="Y57" s="1">
        <f t="shared" si="9"/>
        <v>0.39591562858641877</v>
      </c>
      <c r="Z57" s="1">
        <f t="shared" si="10"/>
        <v>1.3818354453266555</v>
      </c>
      <c r="AA57" s="1">
        <f t="shared" si="11"/>
        <v>2.3914351587415719</v>
      </c>
      <c r="AB57" s="1">
        <f t="shared" si="12"/>
        <v>3.1684257428866092</v>
      </c>
      <c r="AC57" s="1">
        <f t="shared" si="13"/>
        <v>1.0192157559415089</v>
      </c>
      <c r="AD57" s="1">
        <f t="shared" si="20"/>
        <v>3.3283212653447358</v>
      </c>
      <c r="AE57" s="1">
        <f t="shared" si="24"/>
        <v>0.50404102947772023</v>
      </c>
      <c r="AF57" s="1">
        <f t="shared" si="4"/>
        <v>0.40242461768663218</v>
      </c>
      <c r="AG57" s="1">
        <f t="shared" si="21"/>
        <v>-1.0117356070319468</v>
      </c>
      <c r="AH57" s="1">
        <f t="shared" si="22"/>
        <v>-9.4116931916817368</v>
      </c>
      <c r="AI57" s="1" t="b">
        <f t="shared" si="23"/>
        <v>0</v>
      </c>
      <c r="AJ57" s="1">
        <f t="shared" si="15"/>
        <v>1.3818354453266555</v>
      </c>
      <c r="AK57" s="1">
        <f t="shared" si="16"/>
        <v>2.3914351587415719</v>
      </c>
      <c r="AL57" s="1">
        <f t="shared" si="5"/>
        <v>1.3818354453266555</v>
      </c>
      <c r="AM57" s="1">
        <f t="shared" si="6"/>
        <v>2.3914351587415719</v>
      </c>
      <c r="AN57" s="1"/>
      <c r="AP57" s="1">
        <f t="shared" si="17"/>
        <v>1.0400000000000005</v>
      </c>
      <c r="AQ57" s="1">
        <f t="shared" si="18"/>
        <v>2.2007309064953606</v>
      </c>
      <c r="AR57" s="1">
        <f t="shared" si="19"/>
        <v>4.5928859835789488</v>
      </c>
      <c r="AS57" s="1" t="e">
        <f t="shared" si="7"/>
        <v>#N/A</v>
      </c>
      <c r="AT57" s="1" t="e">
        <f t="shared" si="8"/>
        <v>#N/A</v>
      </c>
    </row>
    <row r="58" spans="25:46" s="10" customFormat="1" x14ac:dyDescent="0.25">
      <c r="Y58" s="1">
        <f t="shared" si="9"/>
        <v>0.40352939067461913</v>
      </c>
      <c r="Z58" s="1">
        <f t="shared" si="10"/>
        <v>1.4059590851271235</v>
      </c>
      <c r="AA58" s="1">
        <f t="shared" si="11"/>
        <v>2.3991952250238557</v>
      </c>
      <c r="AB58" s="1">
        <f t="shared" si="12"/>
        <v>3.1607226286785068</v>
      </c>
      <c r="AC58" s="1">
        <f t="shared" si="13"/>
        <v>0.94755736313290906</v>
      </c>
      <c r="AD58" s="1">
        <f t="shared" si="20"/>
        <v>3.2997018792411779</v>
      </c>
      <c r="AE58" s="1">
        <f t="shared" si="24"/>
        <v>0.50841274103306078</v>
      </c>
      <c r="AF58" s="1">
        <f t="shared" si="4"/>
        <v>0.40504764461983644</v>
      </c>
      <c r="AG58" s="1">
        <f t="shared" si="21"/>
        <v>-0.98784575028067723</v>
      </c>
      <c r="AH58" s="1">
        <f t="shared" si="22"/>
        <v>-9.394401838232767</v>
      </c>
      <c r="AI58" s="1" t="b">
        <f t="shared" si="23"/>
        <v>0</v>
      </c>
      <c r="AJ58" s="1">
        <f t="shared" si="15"/>
        <v>1.4059590851271235</v>
      </c>
      <c r="AK58" s="1">
        <f t="shared" si="16"/>
        <v>2.3991952250238557</v>
      </c>
      <c r="AL58" s="1">
        <f t="shared" si="5"/>
        <v>1.4059590851271235</v>
      </c>
      <c r="AM58" s="1">
        <f t="shared" si="6"/>
        <v>2.3991952250238557</v>
      </c>
      <c r="AN58" s="1"/>
      <c r="AP58" s="1">
        <f t="shared" si="17"/>
        <v>1.0600000000000005</v>
      </c>
      <c r="AQ58" s="1">
        <f t="shared" si="18"/>
        <v>2.2130906495360461</v>
      </c>
      <c r="AR58" s="1">
        <f t="shared" si="19"/>
        <v>4.566158616743393</v>
      </c>
      <c r="AS58" s="1" t="e">
        <f t="shared" si="7"/>
        <v>#N/A</v>
      </c>
      <c r="AT58" s="1" t="e">
        <f t="shared" si="8"/>
        <v>#N/A</v>
      </c>
    </row>
    <row r="59" spans="25:46" s="10" customFormat="1" x14ac:dyDescent="0.25">
      <c r="Y59" s="1">
        <f t="shared" si="9"/>
        <v>0.41114315276281949</v>
      </c>
      <c r="Z59" s="1">
        <f t="shared" si="10"/>
        <v>1.430024075248673</v>
      </c>
      <c r="AA59" s="1">
        <f t="shared" si="11"/>
        <v>2.4064097013516723</v>
      </c>
      <c r="AB59" s="1">
        <f t="shared" si="12"/>
        <v>3.1532014061560298</v>
      </c>
      <c r="AC59" s="1">
        <f t="shared" si="13"/>
        <v>0.87603062257565267</v>
      </c>
      <c r="AD59" s="1">
        <f t="shared" si="20"/>
        <v>3.2726302509563543</v>
      </c>
      <c r="AE59" s="1">
        <f t="shared" si="24"/>
        <v>0.5126183981605329</v>
      </c>
      <c r="AF59" s="1">
        <f t="shared" si="4"/>
        <v>0.40757103889631974</v>
      </c>
      <c r="AG59" s="1">
        <f t="shared" si="21"/>
        <v>-0.9645167120353596</v>
      </c>
      <c r="AH59" s="1">
        <f t="shared" si="22"/>
        <v>-9.3774411353513969</v>
      </c>
      <c r="AI59" s="1" t="b">
        <f t="shared" si="23"/>
        <v>0</v>
      </c>
      <c r="AJ59" s="1">
        <f t="shared" si="15"/>
        <v>1.430024075248673</v>
      </c>
      <c r="AK59" s="1">
        <f t="shared" si="16"/>
        <v>2.4064097013516723</v>
      </c>
      <c r="AL59" s="1">
        <f t="shared" si="5"/>
        <v>1.430024075248673</v>
      </c>
      <c r="AM59" s="1">
        <f t="shared" si="6"/>
        <v>2.4064097013516723</v>
      </c>
      <c r="AN59" s="1"/>
      <c r="AP59" s="1">
        <f t="shared" si="17"/>
        <v>1.0800000000000005</v>
      </c>
      <c r="AQ59" s="1">
        <f t="shared" si="18"/>
        <v>2.2251905781584589</v>
      </c>
      <c r="AR59" s="1">
        <f t="shared" si="19"/>
        <v>4.5398347691255934</v>
      </c>
      <c r="AS59" s="1" t="e">
        <f t="shared" si="7"/>
        <v>#N/A</v>
      </c>
      <c r="AT59" s="1" t="e">
        <f t="shared" si="8"/>
        <v>#N/A</v>
      </c>
    </row>
    <row r="60" spans="25:46" s="10" customFormat="1" x14ac:dyDescent="0.25">
      <c r="Y60" s="1">
        <f t="shared" si="9"/>
        <v>0.41875691485101985</v>
      </c>
      <c r="Z60" s="1">
        <f t="shared" si="10"/>
        <v>1.454031800571324</v>
      </c>
      <c r="AA60" s="1">
        <f t="shared" si="11"/>
        <v>2.4130795900939415</v>
      </c>
      <c r="AB60" s="1">
        <f t="shared" si="12"/>
        <v>3.1458578053804995</v>
      </c>
      <c r="AC60" s="1">
        <f t="shared" si="13"/>
        <v>0.80463301677498367</v>
      </c>
      <c r="AD60" s="1">
        <f t="shared" si="20"/>
        <v>3.2471303674718426</v>
      </c>
      <c r="AE60" s="1">
        <f t="shared" si="24"/>
        <v>0.51664401707502328</v>
      </c>
      <c r="AF60" s="1">
        <f t="shared" si="4"/>
        <v>0.40998641024501392</v>
      </c>
      <c r="AG60" s="1">
        <f t="shared" si="21"/>
        <v>-0.9417439574361367</v>
      </c>
      <c r="AH60" s="1">
        <f t="shared" si="22"/>
        <v>-9.3607862794553025</v>
      </c>
      <c r="AI60" s="1" t="b">
        <f t="shared" si="23"/>
        <v>0</v>
      </c>
      <c r="AJ60" s="1">
        <f t="shared" si="15"/>
        <v>1.454031800571324</v>
      </c>
      <c r="AK60" s="1">
        <f t="shared" si="16"/>
        <v>2.4130795900939415</v>
      </c>
      <c r="AL60" s="1">
        <f t="shared" si="5"/>
        <v>1.454031800571324</v>
      </c>
      <c r="AM60" s="1">
        <f t="shared" si="6"/>
        <v>2.4130795900939415</v>
      </c>
      <c r="AN60" s="1"/>
      <c r="AP60" s="1">
        <f t="shared" si="17"/>
        <v>1.1000000000000005</v>
      </c>
      <c r="AQ60" s="1">
        <f t="shared" si="18"/>
        <v>2.2370306923625987</v>
      </c>
      <c r="AR60" s="1">
        <f t="shared" si="19"/>
        <v>4.5139215003432511</v>
      </c>
      <c r="AS60" s="1" t="e">
        <f t="shared" si="7"/>
        <v>#N/A</v>
      </c>
      <c r="AT60" s="1" t="e">
        <f t="shared" si="8"/>
        <v>#N/A</v>
      </c>
    </row>
    <row r="61" spans="25:46" s="10" customFormat="1" x14ac:dyDescent="0.25">
      <c r="Y61" s="1">
        <f t="shared" si="9"/>
        <v>0.42637067693922021</v>
      </c>
      <c r="Z61" s="1">
        <f t="shared" si="10"/>
        <v>1.4779836134647992</v>
      </c>
      <c r="AA61" s="1">
        <f t="shared" si="11"/>
        <v>2.4192058744519773</v>
      </c>
      <c r="AB61" s="1">
        <f t="shared" si="12"/>
        <v>3.1386875909405805</v>
      </c>
      <c r="AC61" s="1">
        <f t="shared" si="13"/>
        <v>0.73336221708472071</v>
      </c>
      <c r="AD61" s="1">
        <f t="shared" si="20"/>
        <v>3.2232250828900861</v>
      </c>
      <c r="AE61" s="1">
        <f t="shared" si="24"/>
        <v>0.52047574521625695</v>
      </c>
      <c r="AF61" s="1">
        <f t="shared" si="4"/>
        <v>0.41228544712975412</v>
      </c>
      <c r="AG61" s="1">
        <f t="shared" si="21"/>
        <v>-0.91952274030475933</v>
      </c>
      <c r="AH61" s="1">
        <f t="shared" si="22"/>
        <v>-9.3444120661693457</v>
      </c>
      <c r="AI61" s="1" t="b">
        <f t="shared" si="23"/>
        <v>0</v>
      </c>
      <c r="AJ61" s="1">
        <f t="shared" si="15"/>
        <v>1.4779836134647992</v>
      </c>
      <c r="AK61" s="1">
        <f t="shared" si="16"/>
        <v>2.4192058744519773</v>
      </c>
      <c r="AL61" s="1">
        <f t="shared" si="5"/>
        <v>1.4779836134647992</v>
      </c>
      <c r="AM61" s="1">
        <f t="shared" si="6"/>
        <v>2.4192058744519773</v>
      </c>
      <c r="AN61" s="1"/>
      <c r="AP61" s="1">
        <f t="shared" si="17"/>
        <v>1.1200000000000006</v>
      </c>
      <c r="AQ61" s="1">
        <f t="shared" si="18"/>
        <v>2.2486109921484654</v>
      </c>
      <c r="AR61" s="1">
        <f t="shared" si="19"/>
        <v>4.4884259216521167</v>
      </c>
      <c r="AS61" s="1" t="e">
        <f t="shared" si="7"/>
        <v>#N/A</v>
      </c>
      <c r="AT61" s="1" t="e">
        <f t="shared" si="8"/>
        <v>#N/A</v>
      </c>
    </row>
    <row r="62" spans="25:46" s="10" customFormat="1" x14ac:dyDescent="0.25">
      <c r="Y62" s="1">
        <f t="shared" si="9"/>
        <v>0.43398443902742057</v>
      </c>
      <c r="Z62" s="1">
        <f t="shared" si="10"/>
        <v>1.5018808340514076</v>
      </c>
      <c r="AA62" s="1">
        <f t="shared" si="11"/>
        <v>2.4247895198973355</v>
      </c>
      <c r="AB62" s="1">
        <f t="shared" si="12"/>
        <v>3.1316865635612099</v>
      </c>
      <c r="AC62" s="1">
        <f t="shared" si="13"/>
        <v>0.66221608675879851</v>
      </c>
      <c r="AD62" s="1">
        <f t="shared" si="20"/>
        <v>3.2009359378081839</v>
      </c>
      <c r="AE62" s="1">
        <f t="shared" si="24"/>
        <v>0.52409998500803479</v>
      </c>
      <c r="AF62" s="1">
        <f t="shared" si="4"/>
        <v>0.41445999100482089</v>
      </c>
      <c r="AG62" s="1">
        <f t="shared" si="21"/>
        <v>-0.89784806568715614</v>
      </c>
      <c r="AH62" s="1">
        <f t="shared" si="22"/>
        <v>-9.3282929185018126</v>
      </c>
      <c r="AI62" s="1" t="b">
        <f t="shared" si="23"/>
        <v>0</v>
      </c>
      <c r="AJ62" s="1">
        <f t="shared" si="15"/>
        <v>1.5018808340514076</v>
      </c>
      <c r="AK62" s="1">
        <f t="shared" si="16"/>
        <v>2.4247895198973355</v>
      </c>
      <c r="AL62" s="1">
        <f t="shared" si="5"/>
        <v>1.5018808340514076</v>
      </c>
      <c r="AM62" s="1">
        <f t="shared" si="6"/>
        <v>2.4247895198973355</v>
      </c>
      <c r="AN62" s="1"/>
      <c r="AP62" s="1">
        <f t="shared" si="17"/>
        <v>1.1400000000000006</v>
      </c>
      <c r="AQ62" s="1">
        <f t="shared" si="18"/>
        <v>2.2599314775160604</v>
      </c>
      <c r="AR62" s="1">
        <f t="shared" si="19"/>
        <v>4.4633551908464044</v>
      </c>
      <c r="AS62" s="1" t="e">
        <f t="shared" si="7"/>
        <v>#N/A</v>
      </c>
      <c r="AT62" s="1" t="e">
        <f t="shared" si="8"/>
        <v>#N/A</v>
      </c>
    </row>
    <row r="63" spans="25:46" s="10" customFormat="1" x14ac:dyDescent="0.25">
      <c r="Y63" s="1">
        <f t="shared" si="9"/>
        <v>0.44159820111562093</v>
      </c>
      <c r="Z63" s="1">
        <f t="shared" si="10"/>
        <v>1.5257247504811764</v>
      </c>
      <c r="AA63" s="1">
        <f t="shared" si="11"/>
        <v>2.4298314756328958</v>
      </c>
      <c r="AB63" s="1">
        <f t="shared" si="12"/>
        <v>3.1248505619977172</v>
      </c>
      <c r="AC63" s="1">
        <f t="shared" si="13"/>
        <v>0.59119268378828149</v>
      </c>
      <c r="AD63" s="1">
        <f t="shared" si="20"/>
        <v>3.1802829786329139</v>
      </c>
      <c r="AE63" s="1">
        <f t="shared" si="24"/>
        <v>0.52750352351918439</v>
      </c>
      <c r="AF63" s="1">
        <f t="shared" si="4"/>
        <v>0.41650211411151061</v>
      </c>
      <c r="AG63" s="1">
        <f t="shared" si="21"/>
        <v>-0.87671465383996106</v>
      </c>
      <c r="AH63" s="1">
        <f t="shared" si="22"/>
        <v>-9.3124029208033541</v>
      </c>
      <c r="AI63" s="1" t="b">
        <f t="shared" si="23"/>
        <v>0</v>
      </c>
      <c r="AJ63" s="1">
        <f t="shared" si="15"/>
        <v>1.5257247504811764</v>
      </c>
      <c r="AK63" s="1">
        <f t="shared" si="16"/>
        <v>2.4298314756328958</v>
      </c>
      <c r="AL63" s="1">
        <f t="shared" si="5"/>
        <v>1.5257247504811764</v>
      </c>
      <c r="AM63" s="1">
        <f t="shared" si="6"/>
        <v>2.4298314756328958</v>
      </c>
      <c r="AN63" s="1"/>
      <c r="AP63" s="1">
        <f t="shared" si="17"/>
        <v>1.1600000000000006</v>
      </c>
      <c r="AQ63" s="1">
        <f t="shared" si="18"/>
        <v>2.2709921484653823</v>
      </c>
      <c r="AR63" s="1">
        <f t="shared" si="19"/>
        <v>4.4387165068011987</v>
      </c>
      <c r="AS63" s="1" t="e">
        <f t="shared" si="7"/>
        <v>#N/A</v>
      </c>
      <c r="AT63" s="1" t="e">
        <f t="shared" si="8"/>
        <v>#N/A</v>
      </c>
    </row>
    <row r="64" spans="25:46" s="10" customFormat="1" x14ac:dyDescent="0.25">
      <c r="Y64" s="1">
        <f t="shared" si="9"/>
        <v>0.44921196320382129</v>
      </c>
      <c r="Z64" s="1">
        <f t="shared" si="10"/>
        <v>1.5495166192214063</v>
      </c>
      <c r="AA64" s="1">
        <f t="shared" si="11"/>
        <v>2.4343326760755444</v>
      </c>
      <c r="AB64" s="1">
        <f t="shared" si="12"/>
        <v>3.1181754652041409</v>
      </c>
      <c r="AC64" s="1">
        <f t="shared" si="13"/>
        <v>0.52029026347982255</v>
      </c>
      <c r="AD64" s="1">
        <f t="shared" si="20"/>
        <v>3.1612845791027677</v>
      </c>
      <c r="AE64" s="1">
        <f t="shared" si="24"/>
        <v>0.53067366604909916</v>
      </c>
      <c r="AF64" s="1">
        <f t="shared" si="4"/>
        <v>0.41840419962945952</v>
      </c>
      <c r="AG64" s="1">
        <f t="shared" si="21"/>
        <v>-0.85611690617461189</v>
      </c>
      <c r="AH64" s="1">
        <f t="shared" si="22"/>
        <v>-9.2967158584833829</v>
      </c>
      <c r="AI64" s="1" t="b">
        <f t="shared" si="23"/>
        <v>0</v>
      </c>
      <c r="AJ64" s="1">
        <f t="shared" si="15"/>
        <v>1.5495166192214063</v>
      </c>
      <c r="AK64" s="1">
        <f t="shared" si="16"/>
        <v>2.4343326760755444</v>
      </c>
      <c r="AL64" s="1">
        <f t="shared" si="5"/>
        <v>1.5495166192214063</v>
      </c>
      <c r="AM64" s="1">
        <f t="shared" si="6"/>
        <v>2.4343326760755444</v>
      </c>
      <c r="AN64" s="1"/>
      <c r="AP64" s="1">
        <f t="shared" si="17"/>
        <v>1.1800000000000006</v>
      </c>
      <c r="AQ64" s="1">
        <f t="shared" si="18"/>
        <v>2.2817930049964312</v>
      </c>
      <c r="AR64" s="1">
        <f t="shared" si="19"/>
        <v>4.4145171036526145</v>
      </c>
      <c r="AS64" s="1" t="e">
        <f t="shared" si="7"/>
        <v>#N/A</v>
      </c>
      <c r="AT64" s="1" t="e">
        <f t="shared" si="8"/>
        <v>#N/A</v>
      </c>
    </row>
    <row r="65" spans="25:46" s="10" customFormat="1" x14ac:dyDescent="0.25">
      <c r="Y65" s="1">
        <f t="shared" si="9"/>
        <v>0.45682572529202164</v>
      </c>
      <c r="Z65" s="1">
        <f t="shared" si="10"/>
        <v>1.5732576653627341</v>
      </c>
      <c r="AA65" s="1">
        <f t="shared" si="11"/>
        <v>2.4382940423584869</v>
      </c>
      <c r="AB65" s="1">
        <f t="shared" si="12"/>
        <v>3.1116571947608413</v>
      </c>
      <c r="AC65" s="1">
        <f t="shared" si="13"/>
        <v>0.44950728073173069</v>
      </c>
      <c r="AD65" s="1">
        <f t="shared" si="20"/>
        <v>3.1439572664299598</v>
      </c>
      <c r="AE65" s="1">
        <f t="shared" si="24"/>
        <v>0.53359837136778798</v>
      </c>
      <c r="AF65" s="1">
        <f t="shared" si="4"/>
        <v>0.42015902282067275</v>
      </c>
      <c r="AG65" s="1">
        <f t="shared" si="21"/>
        <v>-0.83604887368326375</v>
      </c>
      <c r="AH65" s="1">
        <f t="shared" si="22"/>
        <v>-9.281205263360695</v>
      </c>
      <c r="AI65" s="1" t="b">
        <f t="shared" si="23"/>
        <v>0</v>
      </c>
      <c r="AJ65" s="1">
        <f t="shared" si="15"/>
        <v>1.5732576653627341</v>
      </c>
      <c r="AK65" s="1">
        <f t="shared" si="16"/>
        <v>2.4382940423584869</v>
      </c>
      <c r="AL65" s="1">
        <f t="shared" si="5"/>
        <v>1.5732576653627341</v>
      </c>
      <c r="AM65" s="1">
        <f t="shared" si="6"/>
        <v>2.4382940423584869</v>
      </c>
      <c r="AN65" s="1"/>
      <c r="AP65" s="1">
        <f t="shared" si="17"/>
        <v>1.2000000000000006</v>
      </c>
      <c r="AQ65" s="1">
        <f t="shared" si="18"/>
        <v>2.292334047109208</v>
      </c>
      <c r="AR65" s="1">
        <f t="shared" si="19"/>
        <v>4.3907642446084925</v>
      </c>
      <c r="AS65" s="1" t="e">
        <f t="shared" si="7"/>
        <v>#N/A</v>
      </c>
      <c r="AT65" s="1" t="e">
        <f t="shared" si="8"/>
        <v>#N/A</v>
      </c>
    </row>
    <row r="66" spans="25:46" s="10" customFormat="1" x14ac:dyDescent="0.25">
      <c r="Y66" s="1">
        <f t="shared" si="9"/>
        <v>0.464439487380222</v>
      </c>
      <c r="Z66" s="1">
        <f t="shared" si="10"/>
        <v>1.5969490829436801</v>
      </c>
      <c r="AA66" s="1">
        <f t="shared" si="11"/>
        <v>2.4417164838508922</v>
      </c>
      <c r="AB66" s="1">
        <f t="shared" si="12"/>
        <v>3.1052917175425092</v>
      </c>
      <c r="AC66" s="1">
        <f t="shared" si="13"/>
        <v>0.37884239196474939</v>
      </c>
      <c r="AD66" s="1">
        <f t="shared" si="20"/>
        <v>3.1283155545736876</v>
      </c>
      <c r="AE66" s="1">
        <f t="shared" si="24"/>
        <v>0.53626638609530108</v>
      </c>
      <c r="AF66" s="1">
        <f t="shared" si="4"/>
        <v>0.42175983165718067</v>
      </c>
      <c r="AG66" s="1">
        <f t="shared" si="21"/>
        <v>-0.81650422836849601</v>
      </c>
      <c r="AH66" s="1">
        <f t="shared" si="22"/>
        <v>-9.2658444644212121</v>
      </c>
      <c r="AI66" s="1" t="b">
        <f t="shared" si="23"/>
        <v>0</v>
      </c>
      <c r="AJ66" s="1">
        <f t="shared" si="15"/>
        <v>1.5969490829436801</v>
      </c>
      <c r="AK66" s="1">
        <f t="shared" si="16"/>
        <v>2.4417164838508922</v>
      </c>
      <c r="AL66" s="1">
        <f t="shared" si="5"/>
        <v>1.5969490829436801</v>
      </c>
      <c r="AM66" s="1">
        <f t="shared" si="6"/>
        <v>2.4417164838508922</v>
      </c>
      <c r="AN66" s="1"/>
      <c r="AP66" s="1">
        <f t="shared" si="17"/>
        <v>1.2200000000000006</v>
      </c>
      <c r="AQ66" s="1">
        <f t="shared" si="18"/>
        <v>2.3026152748037121</v>
      </c>
      <c r="AR66" s="1">
        <f t="shared" si="19"/>
        <v>4.3674652153876483</v>
      </c>
      <c r="AS66" s="1" t="e">
        <f t="shared" si="7"/>
        <v>#N/A</v>
      </c>
      <c r="AT66" s="1" t="e">
        <f t="shared" si="8"/>
        <v>#N/A</v>
      </c>
    </row>
    <row r="67" spans="25:46" s="10" customFormat="1" x14ac:dyDescent="0.25">
      <c r="Y67" s="1">
        <f t="shared" si="9"/>
        <v>0.47205324946842236</v>
      </c>
      <c r="Z67" s="1">
        <f t="shared" si="10"/>
        <v>1.6205920352955079</v>
      </c>
      <c r="AA67" s="1">
        <f t="shared" si="11"/>
        <v>2.4446008996922366</v>
      </c>
      <c r="AB67" s="1">
        <f t="shared" si="12"/>
        <v>3.099075048603702</v>
      </c>
      <c r="AC67" s="1">
        <f t="shared" si="13"/>
        <v>0.308294456666378</v>
      </c>
      <c r="AD67" s="1">
        <f t="shared" si="20"/>
        <v>3.1143717871970993</v>
      </c>
      <c r="AE67" s="1">
        <f t="shared" si="24"/>
        <v>0.53866737552448107</v>
      </c>
      <c r="AF67" s="1">
        <f t="shared" si="4"/>
        <v>0.4232004253146886</v>
      </c>
      <c r="AG67" s="1">
        <f t="shared" si="21"/>
        <v>-0.79747623818240265</v>
      </c>
      <c r="AH67" s="1">
        <f t="shared" si="22"/>
        <v>-9.2506066436486272</v>
      </c>
      <c r="AI67" s="1" t="b">
        <f t="shared" si="23"/>
        <v>0</v>
      </c>
      <c r="AJ67" s="1">
        <f t="shared" si="15"/>
        <v>1.6205920352955079</v>
      </c>
      <c r="AK67" s="1">
        <f t="shared" si="16"/>
        <v>2.4446008996922366</v>
      </c>
      <c r="AL67" s="1">
        <f t="shared" si="5"/>
        <v>1.6205920352955079</v>
      </c>
      <c r="AM67" s="1">
        <f t="shared" si="6"/>
        <v>2.4446008996922366</v>
      </c>
      <c r="AN67" s="1"/>
      <c r="AP67" s="1">
        <f t="shared" si="17"/>
        <v>1.2400000000000007</v>
      </c>
      <c r="AQ67" s="1">
        <f t="shared" si="18"/>
        <v>2.3126366880799436</v>
      </c>
      <c r="AR67" s="1">
        <f t="shared" si="19"/>
        <v>4.3446273172860188</v>
      </c>
      <c r="AS67" s="1" t="e">
        <f t="shared" si="7"/>
        <v>#N/A</v>
      </c>
      <c r="AT67" s="1" t="e">
        <f t="shared" si="8"/>
        <v>#N/A</v>
      </c>
    </row>
    <row r="68" spans="25:46" s="10" customFormat="1" x14ac:dyDescent="0.25">
      <c r="Y68" s="1">
        <f t="shared" si="9"/>
        <v>0.47966701155662272</v>
      </c>
      <c r="Z68" s="1">
        <f t="shared" si="10"/>
        <v>1.6441876554090544</v>
      </c>
      <c r="AA68" s="1">
        <f t="shared" si="11"/>
        <v>2.4469481803384054</v>
      </c>
      <c r="AB68" s="1">
        <f t="shared" si="12"/>
        <v>3.093003254255188</v>
      </c>
      <c r="AC68" s="1">
        <f t="shared" si="13"/>
        <v>0.23786253851011169</v>
      </c>
      <c r="AD68" s="1">
        <f t="shared" si="20"/>
        <v>3.1021359928377827</v>
      </c>
      <c r="AE68" s="1">
        <f t="shared" si="24"/>
        <v>0.54079204808887138</v>
      </c>
      <c r="AF68" s="1">
        <f t="shared" si="4"/>
        <v>0.42447522885332278</v>
      </c>
      <c r="AG68" s="1">
        <f t="shared" si="21"/>
        <v>-0.77895774594938139</v>
      </c>
      <c r="AH68" s="1">
        <f t="shared" si="22"/>
        <v>-9.2354648964867607</v>
      </c>
      <c r="AI68" s="1" t="b">
        <f t="shared" si="23"/>
        <v>0</v>
      </c>
      <c r="AJ68" s="1">
        <f t="shared" si="15"/>
        <v>1.6441876554090544</v>
      </c>
      <c r="AK68" s="1">
        <f t="shared" si="16"/>
        <v>2.4469481803384054</v>
      </c>
      <c r="AL68" s="1">
        <f t="shared" si="5"/>
        <v>1.6441876554090544</v>
      </c>
      <c r="AM68" s="1">
        <f t="shared" si="6"/>
        <v>2.4469481803384054</v>
      </c>
      <c r="AN68" s="1"/>
      <c r="AP68" s="1">
        <f t="shared" si="17"/>
        <v>1.2600000000000007</v>
      </c>
      <c r="AQ68" s="1">
        <f t="shared" si="18"/>
        <v>2.3223982869379016</v>
      </c>
      <c r="AR68" s="1">
        <f t="shared" si="19"/>
        <v>4.3222578598681762</v>
      </c>
      <c r="AS68" s="1" t="e">
        <f t="shared" si="7"/>
        <v>#N/A</v>
      </c>
      <c r="AT68" s="1" t="e">
        <f t="shared" si="8"/>
        <v>#N/A</v>
      </c>
    </row>
    <row r="69" spans="25:46" s="10" customFormat="1" x14ac:dyDescent="0.25">
      <c r="Y69" s="1">
        <f t="shared" si="9"/>
        <v>0.48728077364482308</v>
      </c>
      <c r="Z69" s="1">
        <f t="shared" si="10"/>
        <v>1.667737046324983</v>
      </c>
      <c r="AA69" s="1">
        <f t="shared" si="11"/>
        <v>2.4487592091163166</v>
      </c>
      <c r="AB69" s="1">
        <f t="shared" si="12"/>
        <v>3.0870724553007687</v>
      </c>
      <c r="AC69" s="1">
        <f t="shared" si="13"/>
        <v>0.1675459060143355</v>
      </c>
      <c r="AD69" s="1">
        <f t="shared" si="20"/>
        <v>3.0916157547306686</v>
      </c>
      <c r="AE69" s="1">
        <f t="shared" ref="AE69:AE100" si="25">IFERROR($V$9*($D$13*2*PI())/AD69, 0)</f>
        <v>0.54263227066621578</v>
      </c>
      <c r="AF69" s="1">
        <f t="shared" si="4"/>
        <v>0.42557936239972949</v>
      </c>
      <c r="AG69" s="1">
        <f t="shared" si="21"/>
        <v>-0.76094115270058393</v>
      </c>
      <c r="AH69" s="1">
        <f t="shared" si="22"/>
        <v>-9.2203922963890044</v>
      </c>
      <c r="AI69" s="1" t="b">
        <f t="shared" si="23"/>
        <v>0</v>
      </c>
      <c r="AJ69" s="1">
        <f t="shared" si="15"/>
        <v>1.667737046324983</v>
      </c>
      <c r="AK69" s="1">
        <f t="shared" si="16"/>
        <v>2.4487592091163166</v>
      </c>
      <c r="AL69" s="1">
        <f t="shared" si="5"/>
        <v>1.667737046324983</v>
      </c>
      <c r="AM69" s="1">
        <f t="shared" si="6"/>
        <v>2.4487592091163166</v>
      </c>
      <c r="AN69" s="1"/>
      <c r="AP69" s="1">
        <f t="shared" si="17"/>
        <v>1.2800000000000007</v>
      </c>
      <c r="AQ69" s="1">
        <f t="shared" si="18"/>
        <v>2.3319000713775875</v>
      </c>
      <c r="AR69" s="1">
        <f t="shared" si="19"/>
        <v>4.3003641532869841</v>
      </c>
      <c r="AS69" s="1" t="e">
        <f t="shared" si="7"/>
        <v>#N/A</v>
      </c>
      <c r="AT69" s="1" t="e">
        <f t="shared" si="8"/>
        <v>#N/A</v>
      </c>
    </row>
    <row r="70" spans="25:46" s="10" customFormat="1" x14ac:dyDescent="0.25">
      <c r="Y70" s="1">
        <f t="shared" si="9"/>
        <v>0.49489453573302344</v>
      </c>
      <c r="Z70" s="1">
        <f t="shared" si="10"/>
        <v>1.6912412815486795</v>
      </c>
      <c r="AA70" s="1">
        <f t="shared" si="11"/>
        <v>2.4500348637835616</v>
      </c>
      <c r="AB70" s="1">
        <f t="shared" si="12"/>
        <v>3.0812788304009855</v>
      </c>
      <c r="AC70" s="1">
        <f t="shared" si="13"/>
        <v>9.7344032709754225E-2</v>
      </c>
      <c r="AD70" s="1">
        <f t="shared" si="20"/>
        <v>3.0828160975610372</v>
      </c>
      <c r="AE70" s="1">
        <f t="shared" si="25"/>
        <v>0.54418117199536709</v>
      </c>
      <c r="AF70" s="1">
        <f t="shared" ref="AF70:AF105" si="26">IF(AE70&gt;0.1, 0.6*AE70+0.1, 1.6*AE70)</f>
        <v>0.42650870319722023</v>
      </c>
      <c r="AG70" s="1">
        <f t="shared" si="21"/>
        <v>-0.74341840578704166</v>
      </c>
      <c r="AH70" s="1">
        <f t="shared" si="22"/>
        <v>-9.2053619628140915</v>
      </c>
      <c r="AI70" s="1" t="b">
        <f t="shared" si="23"/>
        <v>0</v>
      </c>
      <c r="AJ70" s="1">
        <f t="shared" si="15"/>
        <v>1.6912412815486795</v>
      </c>
      <c r="AK70" s="1">
        <f t="shared" si="16"/>
        <v>2.4500348637835616</v>
      </c>
      <c r="AL70" s="1">
        <f t="shared" ref="AL70:AL105" si="27">IF($I$3="Forward", AJ70, NA())</f>
        <v>1.6912412815486795</v>
      </c>
      <c r="AM70" s="1">
        <f t="shared" ref="AM70:AM105" si="28">IF($I$3="Forward", AK70, NA())</f>
        <v>2.4500348637835616</v>
      </c>
      <c r="AN70" s="1"/>
      <c r="AP70" s="1">
        <f t="shared" si="17"/>
        <v>1.3000000000000007</v>
      </c>
      <c r="AQ70" s="1">
        <f t="shared" si="18"/>
        <v>2.3411420413990012</v>
      </c>
      <c r="AR70" s="1">
        <f t="shared" si="19"/>
        <v>4.2789535002331185</v>
      </c>
      <c r="AS70" s="1" t="e">
        <f t="shared" ref="AS70:AS105" si="29">IF($I$3="Forward", NA(), AP70)</f>
        <v>#N/A</v>
      </c>
      <c r="AT70" s="1" t="e">
        <f t="shared" ref="AT70:AT105" si="30">IF($I$3="Forward", NA(), AQ70)</f>
        <v>#N/A</v>
      </c>
    </row>
    <row r="71" spans="25:46" s="10" customFormat="1" x14ac:dyDescent="0.25">
      <c r="Y71" s="1">
        <f t="shared" ref="Y71:Y105" si="31">Y70+$V$4</f>
        <v>0.50250829782122386</v>
      </c>
      <c r="Z71" s="1">
        <f t="shared" ref="Z71:Z105" si="32">Z70+AB70*$V$4</f>
        <v>1.7147014054907608</v>
      </c>
      <c r="AA71" s="1">
        <f t="shared" ref="AA71:AA105" si="33">AA70+AC70*$V$4</f>
        <v>2.4507760180893197</v>
      </c>
      <c r="AB71" s="1">
        <f t="shared" ref="AB71:AB105" si="34">AB70+AG70*$V$4</f>
        <v>3.0756186195273338</v>
      </c>
      <c r="AC71" s="1">
        <f t="shared" ref="AC71:AC105" si="35">AC70+AH70*$V$4</f>
        <v>2.7256596789118626E-2</v>
      </c>
      <c r="AD71" s="1">
        <f t="shared" si="20"/>
        <v>3.075739393195033</v>
      </c>
      <c r="AE71" s="1">
        <f t="shared" si="25"/>
        <v>0.54543323167385516</v>
      </c>
      <c r="AF71" s="1">
        <f t="shared" si="26"/>
        <v>0.42725993900431314</v>
      </c>
      <c r="AG71" s="1">
        <f t="shared" si="21"/>
        <v>-0.72638099206410212</v>
      </c>
      <c r="AH71" s="1">
        <f t="shared" si="22"/>
        <v>-9.1903471319422625</v>
      </c>
      <c r="AI71" s="1" t="b">
        <f t="shared" si="23"/>
        <v>0</v>
      </c>
      <c r="AJ71" s="1">
        <f t="shared" ref="AJ71:AJ105" si="36">IF(AI71,NA(),Z71)*IF($B$4,1,3.281)</f>
        <v>1.7147014054907608</v>
      </c>
      <c r="AK71" s="1">
        <f t="shared" ref="AK71:AK105" si="37">IF(AI71, NA(), AA71)*IF($B$4, 1, 3.281)</f>
        <v>2.4507760180893197</v>
      </c>
      <c r="AL71" s="1">
        <f t="shared" si="27"/>
        <v>1.7147014054907608</v>
      </c>
      <c r="AM71" s="1">
        <f t="shared" si="28"/>
        <v>2.4507760180893197</v>
      </c>
      <c r="AN71" s="1"/>
      <c r="AP71" s="1">
        <f t="shared" ref="AP71:AP105" si="38">AP70+$G$8/100</f>
        <v>1.3200000000000007</v>
      </c>
      <c r="AQ71" s="1">
        <f t="shared" ref="AQ71:AQ105" si="39">$G$7 + AP71*TAN(RADIANS($G$13)) - (IF($B$4, 9.8, 32.2)*AP71^2)/(2*($G$12*COS(RADIANS($G$13)))^2)</f>
        <v>2.3501241970021418</v>
      </c>
      <c r="AR71" s="1">
        <f t="shared" ref="AR71:AR105" si="40">SQRT(1+((AQ71-AQ70)/(AP71-AP70))^2)*($G$12*COS(RADIANS($G$13)))</f>
        <v>4.2580331875217174</v>
      </c>
      <c r="AS71" s="1" t="e">
        <f t="shared" si="29"/>
        <v>#N/A</v>
      </c>
      <c r="AT71" s="1" t="e">
        <f t="shared" si="30"/>
        <v>#N/A</v>
      </c>
    </row>
    <row r="72" spans="25:46" s="10" customFormat="1" x14ac:dyDescent="0.25">
      <c r="Y72" s="1">
        <f t="shared" si="31"/>
        <v>0.51012205990942427</v>
      </c>
      <c r="Z72" s="1">
        <f t="shared" si="32"/>
        <v>1.7381184339338811</v>
      </c>
      <c r="AA72" s="1">
        <f t="shared" si="33"/>
        <v>2.4509835433326059</v>
      </c>
      <c r="AB72" s="1">
        <f t="shared" si="34"/>
        <v>3.0700881274683667</v>
      </c>
      <c r="AC72" s="1">
        <f t="shared" si="35"/>
        <v>-4.2716519781464304E-2</v>
      </c>
      <c r="AD72" s="1">
        <f t="shared" si="20"/>
        <v>3.0703852871397852</v>
      </c>
      <c r="AE72" s="1">
        <f t="shared" si="25"/>
        <v>0.54638435249268857</v>
      </c>
      <c r="AF72" s="1">
        <f t="shared" si="26"/>
        <v>0.42783061149561319</v>
      </c>
      <c r="AG72" s="1">
        <f t="shared" si="21"/>
        <v>-0.70981993635381269</v>
      </c>
      <c r="AH72" s="1">
        <f t="shared" si="22"/>
        <v>-9.1753212293150312</v>
      </c>
      <c r="AI72" s="1" t="b">
        <f t="shared" si="23"/>
        <v>0</v>
      </c>
      <c r="AJ72" s="1">
        <f t="shared" si="36"/>
        <v>1.7381184339338811</v>
      </c>
      <c r="AK72" s="1">
        <f t="shared" si="37"/>
        <v>2.4509835433326059</v>
      </c>
      <c r="AL72" s="1">
        <f t="shared" si="27"/>
        <v>1.7381184339338811</v>
      </c>
      <c r="AM72" s="1">
        <f t="shared" si="28"/>
        <v>2.4509835433326059</v>
      </c>
      <c r="AN72" s="1"/>
      <c r="AP72" s="1">
        <f t="shared" si="38"/>
        <v>1.3400000000000007</v>
      </c>
      <c r="AQ72" s="1">
        <f t="shared" si="39"/>
        <v>2.3588465381870094</v>
      </c>
      <c r="AR72" s="1">
        <f t="shared" si="40"/>
        <v>4.2376104773225229</v>
      </c>
      <c r="AS72" s="1" t="e">
        <f t="shared" si="29"/>
        <v>#N/A</v>
      </c>
      <c r="AT72" s="1" t="e">
        <f t="shared" si="30"/>
        <v>#N/A</v>
      </c>
    </row>
    <row r="73" spans="25:46" s="10" customFormat="1" x14ac:dyDescent="0.25">
      <c r="Y73" s="1">
        <f t="shared" si="31"/>
        <v>0.51773582199762469</v>
      </c>
      <c r="Z73" s="1">
        <f t="shared" si="32"/>
        <v>1.7614933545262339</v>
      </c>
      <c r="AA73" s="1">
        <f t="shared" si="33"/>
        <v>2.450658309913754</v>
      </c>
      <c r="AB73" s="1">
        <f t="shared" si="34"/>
        <v>3.0646837273475072</v>
      </c>
      <c r="AC73" s="1">
        <f t="shared" si="35"/>
        <v>-0.11257523270428303</v>
      </c>
      <c r="AD73" s="1">
        <f t="shared" si="20"/>
        <v>3.0667506471324062</v>
      </c>
      <c r="AE73" s="1">
        <f t="shared" si="25"/>
        <v>0.5470319142463097</v>
      </c>
      <c r="AF73" s="1">
        <f t="shared" si="26"/>
        <v>0.42821914854778587</v>
      </c>
      <c r="AG73" s="1">
        <f t="shared" si="21"/>
        <v>-0.69372580529679295</v>
      </c>
      <c r="AH73" s="1">
        <f t="shared" si="22"/>
        <v>-9.1602579435483094</v>
      </c>
      <c r="AI73" s="1" t="b">
        <f t="shared" si="23"/>
        <v>0</v>
      </c>
      <c r="AJ73" s="1">
        <f t="shared" si="36"/>
        <v>1.7614933545262339</v>
      </c>
      <c r="AK73" s="1">
        <f t="shared" si="37"/>
        <v>2.450658309913754</v>
      </c>
      <c r="AL73" s="1">
        <f t="shared" si="27"/>
        <v>1.7614933545262339</v>
      </c>
      <c r="AM73" s="1">
        <f t="shared" si="28"/>
        <v>2.450658309913754</v>
      </c>
      <c r="AN73" s="1"/>
      <c r="AP73" s="1">
        <f t="shared" si="38"/>
        <v>1.3600000000000008</v>
      </c>
      <c r="AQ73" s="1">
        <f t="shared" si="39"/>
        <v>2.3673090649536048</v>
      </c>
      <c r="AR73" s="1">
        <f t="shared" si="40"/>
        <v>4.2176925980433433</v>
      </c>
      <c r="AS73" s="1" t="e">
        <f t="shared" si="29"/>
        <v>#N/A</v>
      </c>
      <c r="AT73" s="1" t="e">
        <f t="shared" si="30"/>
        <v>#N/A</v>
      </c>
    </row>
    <row r="74" spans="25:46" s="10" customFormat="1" x14ac:dyDescent="0.25">
      <c r="Y74" s="1">
        <f t="shared" si="31"/>
        <v>0.52534958408582511</v>
      </c>
      <c r="Z74" s="1">
        <f t="shared" si="32"/>
        <v>1.784827127301837</v>
      </c>
      <c r="AA74" s="1">
        <f t="shared" si="33"/>
        <v>2.4498011888749196</v>
      </c>
      <c r="AB74" s="1">
        <f t="shared" si="34"/>
        <v>3.0594018641115324</v>
      </c>
      <c r="AC74" s="1">
        <f t="shared" si="35"/>
        <v>-0.18231925735300736</v>
      </c>
      <c r="AD74" s="1">
        <f t="shared" si="20"/>
        <v>3.0648295348568526</v>
      </c>
      <c r="AE74" s="1">
        <f t="shared" si="25"/>
        <v>0.54737480761562307</v>
      </c>
      <c r="AF74" s="1">
        <f t="shared" si="26"/>
        <v>0.42842488456937389</v>
      </c>
      <c r="AG74" s="1">
        <f t="shared" si="21"/>
        <v>-0.67808871660386738</v>
      </c>
      <c r="AH74" s="1">
        <f t="shared" si="22"/>
        <v>-9.1451313002349099</v>
      </c>
      <c r="AI74" s="1" t="b">
        <f t="shared" si="23"/>
        <v>0</v>
      </c>
      <c r="AJ74" s="1">
        <f t="shared" si="36"/>
        <v>1.784827127301837</v>
      </c>
      <c r="AK74" s="1">
        <f t="shared" si="37"/>
        <v>2.4498011888749196</v>
      </c>
      <c r="AL74" s="1">
        <f t="shared" si="27"/>
        <v>1.784827127301837</v>
      </c>
      <c r="AM74" s="1">
        <f t="shared" si="28"/>
        <v>2.4498011888749196</v>
      </c>
      <c r="AN74" s="1"/>
      <c r="AP74" s="1">
        <f t="shared" si="38"/>
        <v>1.3800000000000008</v>
      </c>
      <c r="AQ74" s="1">
        <f t="shared" si="39"/>
        <v>2.3755117773019276</v>
      </c>
      <c r="AR74" s="1">
        <f t="shared" si="40"/>
        <v>4.1982867348792938</v>
      </c>
      <c r="AS74" s="1" t="e">
        <f t="shared" si="29"/>
        <v>#N/A</v>
      </c>
      <c r="AT74" s="1" t="e">
        <f t="shared" si="30"/>
        <v>#N/A</v>
      </c>
    </row>
    <row r="75" spans="25:46" s="10" customFormat="1" x14ac:dyDescent="0.25">
      <c r="Y75" s="1">
        <f t="shared" si="31"/>
        <v>0.53296334617402552</v>
      </c>
      <c r="Z75" s="1">
        <f t="shared" si="32"/>
        <v>1.808120685227379</v>
      </c>
      <c r="AA75" s="1">
        <f t="shared" si="33"/>
        <v>2.4484130534253365</v>
      </c>
      <c r="AB75" s="1">
        <f t="shared" si="34"/>
        <v>3.0542390579486174</v>
      </c>
      <c r="AC75" s="1">
        <f t="shared" si="35"/>
        <v>-0.25194811133835038</v>
      </c>
      <c r="AD75" s="1">
        <f t="shared" si="20"/>
        <v>3.0646132013527936</v>
      </c>
      <c r="AE75" s="1">
        <f t="shared" si="25"/>
        <v>0.54741344724235075</v>
      </c>
      <c r="AF75" s="1">
        <f t="shared" si="26"/>
        <v>0.42844806834541049</v>
      </c>
      <c r="AG75" s="1">
        <f t="shared" si="21"/>
        <v>-0.66289835361375038</v>
      </c>
      <c r="AH75" s="1">
        <f t="shared" si="22"/>
        <v>-9.1299157351401341</v>
      </c>
      <c r="AI75" s="1" t="b">
        <f t="shared" si="23"/>
        <v>0</v>
      </c>
      <c r="AJ75" s="1">
        <f t="shared" si="36"/>
        <v>1.808120685227379</v>
      </c>
      <c r="AK75" s="1">
        <f t="shared" si="37"/>
        <v>2.4484130534253365</v>
      </c>
      <c r="AL75" s="1">
        <f t="shared" si="27"/>
        <v>1.808120685227379</v>
      </c>
      <c r="AM75" s="1">
        <f t="shared" si="28"/>
        <v>2.4484130534253365</v>
      </c>
      <c r="AN75" s="1"/>
      <c r="AP75" s="1">
        <f t="shared" si="38"/>
        <v>1.4000000000000008</v>
      </c>
      <c r="AQ75" s="1">
        <f t="shared" si="39"/>
        <v>2.3834546752319774</v>
      </c>
      <c r="AR75" s="1">
        <f t="shared" si="40"/>
        <v>4.1794000200429675</v>
      </c>
      <c r="AS75" s="1" t="e">
        <f t="shared" si="29"/>
        <v>#N/A</v>
      </c>
      <c r="AT75" s="1" t="e">
        <f t="shared" si="30"/>
        <v>#N/A</v>
      </c>
    </row>
    <row r="76" spans="25:46" s="10" customFormat="1" x14ac:dyDescent="0.25">
      <c r="Y76" s="1">
        <f t="shared" si="31"/>
        <v>0.54057710826222594</v>
      </c>
      <c r="Z76" s="1">
        <f t="shared" si="32"/>
        <v>1.8313749347750889</v>
      </c>
      <c r="AA76" s="1">
        <f t="shared" si="33"/>
        <v>2.4464947804470349</v>
      </c>
      <c r="AB76" s="1">
        <f t="shared" si="34"/>
        <v>3.0491919075955427</v>
      </c>
      <c r="AC76" s="1">
        <f t="shared" si="35"/>
        <v>-0.32146111763102425</v>
      </c>
      <c r="AD76" s="1">
        <f t="shared" si="20"/>
        <v>3.0660901062256363</v>
      </c>
      <c r="AE76" s="1">
        <f t="shared" si="25"/>
        <v>0.54714976367152213</v>
      </c>
      <c r="AF76" s="1">
        <f t="shared" si="26"/>
        <v>0.42828985820291332</v>
      </c>
      <c r="AG76" s="1">
        <f t="shared" si="21"/>
        <v>-0.64814398495991421</v>
      </c>
      <c r="AH76" s="1">
        <f t="shared" si="22"/>
        <v>-9.1145861658038996</v>
      </c>
      <c r="AI76" s="1" t="b">
        <f t="shared" si="23"/>
        <v>0</v>
      </c>
      <c r="AJ76" s="1">
        <f t="shared" si="36"/>
        <v>1.8313749347750889</v>
      </c>
      <c r="AK76" s="1">
        <f t="shared" si="37"/>
        <v>2.4464947804470349</v>
      </c>
      <c r="AL76" s="1">
        <f t="shared" si="27"/>
        <v>1.8313749347750889</v>
      </c>
      <c r="AM76" s="1">
        <f t="shared" si="28"/>
        <v>2.4464947804470349</v>
      </c>
      <c r="AN76" s="1"/>
      <c r="AP76" s="1">
        <f t="shared" si="38"/>
        <v>1.4200000000000008</v>
      </c>
      <c r="AQ76" s="1">
        <f t="shared" si="39"/>
        <v>2.3911377587437546</v>
      </c>
      <c r="AR76" s="1">
        <f t="shared" si="40"/>
        <v>4.1610395226920494</v>
      </c>
      <c r="AS76" s="1" t="e">
        <f t="shared" si="29"/>
        <v>#N/A</v>
      </c>
      <c r="AT76" s="1" t="e">
        <f t="shared" si="30"/>
        <v>#N/A</v>
      </c>
    </row>
    <row r="77" spans="25:46" s="10" customFormat="1" x14ac:dyDescent="0.25">
      <c r="Y77" s="1">
        <f t="shared" si="31"/>
        <v>0.54819087035042635</v>
      </c>
      <c r="Z77" s="1">
        <f t="shared" si="32"/>
        <v>1.8545907565207873</v>
      </c>
      <c r="AA77" s="1">
        <f t="shared" si="33"/>
        <v>2.4440472519767855</v>
      </c>
      <c r="AB77" s="1">
        <f t="shared" si="34"/>
        <v>3.0442570934951596</v>
      </c>
      <c r="AC77" s="1">
        <f t="shared" si="35"/>
        <v>-0.39085740822985748</v>
      </c>
      <c r="AD77" s="1">
        <f t="shared" si="20"/>
        <v>3.0692459603074758</v>
      </c>
      <c r="AE77" s="1">
        <f t="shared" si="25"/>
        <v>0.54658717441103577</v>
      </c>
      <c r="AF77" s="1">
        <f t="shared" si="26"/>
        <v>0.42795230464662148</v>
      </c>
      <c r="AG77" s="1">
        <f t="shared" si="21"/>
        <v>-0.63381448905108306</v>
      </c>
      <c r="AH77" s="1">
        <f t="shared" si="22"/>
        <v>-9.099118060694618</v>
      </c>
      <c r="AI77" s="1" t="b">
        <f t="shared" si="23"/>
        <v>0</v>
      </c>
      <c r="AJ77" s="1">
        <f t="shared" si="36"/>
        <v>1.8545907565207873</v>
      </c>
      <c r="AK77" s="1">
        <f t="shared" si="37"/>
        <v>2.4440472519767855</v>
      </c>
      <c r="AL77" s="1">
        <f t="shared" si="27"/>
        <v>1.8545907565207873</v>
      </c>
      <c r="AM77" s="1">
        <f t="shared" si="28"/>
        <v>2.4440472519767855</v>
      </c>
      <c r="AN77" s="1"/>
      <c r="AP77" s="1">
        <f t="shared" si="38"/>
        <v>1.4400000000000008</v>
      </c>
      <c r="AQ77" s="1">
        <f t="shared" si="39"/>
        <v>2.3985610278372591</v>
      </c>
      <c r="AR77" s="1">
        <f t="shared" si="40"/>
        <v>4.1432122385745043</v>
      </c>
      <c r="AS77" s="1" t="e">
        <f t="shared" si="29"/>
        <v>#N/A</v>
      </c>
      <c r="AT77" s="1" t="e">
        <f t="shared" si="30"/>
        <v>#N/A</v>
      </c>
    </row>
    <row r="78" spans="25:46" s="10" customFormat="1" x14ac:dyDescent="0.25">
      <c r="Y78" s="1">
        <f t="shared" si="31"/>
        <v>0.55580463243862677</v>
      </c>
      <c r="Z78" s="1">
        <f t="shared" si="32"/>
        <v>1.8777690057659757</v>
      </c>
      <c r="AA78" s="1">
        <f t="shared" si="33"/>
        <v>2.441071356660113</v>
      </c>
      <c r="AB78" s="1">
        <f t="shared" si="34"/>
        <v>3.0394313807674704</v>
      </c>
      <c r="AC78" s="1">
        <f t="shared" si="35"/>
        <v>-0.46013592835643335</v>
      </c>
      <c r="AD78" s="1">
        <f t="shared" si="20"/>
        <v>3.0740637909709174</v>
      </c>
      <c r="AE78" s="1">
        <f t="shared" si="25"/>
        <v>0.54573053491745849</v>
      </c>
      <c r="AF78" s="1">
        <f t="shared" si="26"/>
        <v>0.42743832095047507</v>
      </c>
      <c r="AG78" s="1">
        <f t="shared" si="21"/>
        <v>-0.61989838297905719</v>
      </c>
      <c r="AH78" s="1">
        <f t="shared" si="22"/>
        <v>-9.08348750511262</v>
      </c>
      <c r="AI78" s="1" t="b">
        <f t="shared" si="23"/>
        <v>0</v>
      </c>
      <c r="AJ78" s="1">
        <f t="shared" si="36"/>
        <v>1.8777690057659757</v>
      </c>
      <c r="AK78" s="1">
        <f t="shared" si="37"/>
        <v>2.441071356660113</v>
      </c>
      <c r="AL78" s="1">
        <f t="shared" si="27"/>
        <v>1.8777690057659757</v>
      </c>
      <c r="AM78" s="1">
        <f t="shared" si="28"/>
        <v>2.441071356660113</v>
      </c>
      <c r="AN78" s="1"/>
      <c r="AP78" s="1">
        <f t="shared" si="38"/>
        <v>1.4600000000000009</v>
      </c>
      <c r="AQ78" s="1">
        <f t="shared" si="39"/>
        <v>2.4057244825124915</v>
      </c>
      <c r="AR78" s="1">
        <f t="shared" si="40"/>
        <v>4.1259250794143369</v>
      </c>
      <c r="AS78" s="1" t="e">
        <f t="shared" si="29"/>
        <v>#N/A</v>
      </c>
      <c r="AT78" s="1" t="e">
        <f t="shared" si="30"/>
        <v>#N/A</v>
      </c>
    </row>
    <row r="79" spans="25:46" s="10" customFormat="1" x14ac:dyDescent="0.25">
      <c r="Y79" s="1">
        <f t="shared" si="31"/>
        <v>0.56341839452682718</v>
      </c>
      <c r="Z79" s="1">
        <f t="shared" si="32"/>
        <v>1.9009105131825497</v>
      </c>
      <c r="AA79" s="1">
        <f t="shared" si="33"/>
        <v>2.4375679911733741</v>
      </c>
      <c r="AB79" s="1">
        <f t="shared" si="34"/>
        <v>3.0347116219606076</v>
      </c>
      <c r="AC79" s="1">
        <f t="shared" si="35"/>
        <v>-0.52929544115150151</v>
      </c>
      <c r="AD79" s="1">
        <f t="shared" si="20"/>
        <v>3.0805240288766691</v>
      </c>
      <c r="AE79" s="1">
        <f t="shared" si="25"/>
        <v>0.54458607084090804</v>
      </c>
      <c r="AF79" s="1">
        <f t="shared" si="26"/>
        <v>0.42675164250454478</v>
      </c>
      <c r="AG79" s="1">
        <f t="shared" si="21"/>
        <v>-0.60638385538777717</v>
      </c>
      <c r="AH79" s="1">
        <f t="shared" si="22"/>
        <v>-9.0676712631122935</v>
      </c>
      <c r="AI79" s="1" t="b">
        <f t="shared" si="23"/>
        <v>0</v>
      </c>
      <c r="AJ79" s="1">
        <f t="shared" si="36"/>
        <v>1.9009105131825497</v>
      </c>
      <c r="AK79" s="1">
        <f t="shared" si="37"/>
        <v>2.4375679911733741</v>
      </c>
      <c r="AL79" s="1">
        <f t="shared" si="27"/>
        <v>1.9009105131825497</v>
      </c>
      <c r="AM79" s="1">
        <f t="shared" si="28"/>
        <v>2.4375679911733741</v>
      </c>
      <c r="AN79" s="1"/>
      <c r="AP79" s="1">
        <f t="shared" si="38"/>
        <v>1.4800000000000009</v>
      </c>
      <c r="AQ79" s="1">
        <f t="shared" si="39"/>
        <v>2.4126281227694508</v>
      </c>
      <c r="AR79" s="1">
        <f t="shared" si="40"/>
        <v>4.1091848620626106</v>
      </c>
      <c r="AS79" s="1" t="e">
        <f t="shared" si="29"/>
        <v>#N/A</v>
      </c>
      <c r="AT79" s="1" t="e">
        <f t="shared" si="30"/>
        <v>#N/A</v>
      </c>
    </row>
    <row r="80" spans="25:46" s="10" customFormat="1" x14ac:dyDescent="0.25">
      <c r="Y80" s="1">
        <f t="shared" si="31"/>
        <v>0.5710321566150276</v>
      </c>
      <c r="Z80" s="1">
        <f t="shared" si="32"/>
        <v>1.9240160854784543</v>
      </c>
      <c r="AA80" s="1">
        <f t="shared" si="33"/>
        <v>2.4335380616100775</v>
      </c>
      <c r="AB80" s="1">
        <f t="shared" si="34"/>
        <v>3.0300947595515595</v>
      </c>
      <c r="AC80" s="1">
        <f t="shared" si="35"/>
        <v>-0.59833453284284976</v>
      </c>
      <c r="AD80" s="1">
        <f t="shared" si="20"/>
        <v>3.0886046145555919</v>
      </c>
      <c r="AE80" s="1">
        <f t="shared" si="25"/>
        <v>0.5431612933267389</v>
      </c>
      <c r="AF80" s="1">
        <f t="shared" si="26"/>
        <v>0.42589677599604336</v>
      </c>
      <c r="AG80" s="1">
        <f t="shared" si="21"/>
        <v>-0.59325880277137488</v>
      </c>
      <c r="AH80" s="1">
        <f t="shared" si="22"/>
        <v>-9.0516468347996764</v>
      </c>
      <c r="AI80" s="1" t="b">
        <f t="shared" si="23"/>
        <v>0</v>
      </c>
      <c r="AJ80" s="1">
        <f t="shared" si="36"/>
        <v>1.9240160854784543</v>
      </c>
      <c r="AK80" s="1">
        <f t="shared" si="37"/>
        <v>2.4335380616100775</v>
      </c>
      <c r="AL80" s="1">
        <f t="shared" si="27"/>
        <v>1.9240160854784543</v>
      </c>
      <c r="AM80" s="1">
        <f t="shared" si="28"/>
        <v>2.4335380616100775</v>
      </c>
      <c r="AN80" s="1"/>
      <c r="AP80" s="1">
        <f t="shared" si="38"/>
        <v>1.5000000000000009</v>
      </c>
      <c r="AQ80" s="1">
        <f t="shared" si="39"/>
        <v>2.4192719486081371</v>
      </c>
      <c r="AR80" s="1">
        <f t="shared" si="40"/>
        <v>4.0929982974424739</v>
      </c>
      <c r="AS80" s="1" t="e">
        <f t="shared" si="29"/>
        <v>#N/A</v>
      </c>
      <c r="AT80" s="1" t="e">
        <f t="shared" si="30"/>
        <v>#N/A</v>
      </c>
    </row>
    <row r="81" spans="25:46" s="10" customFormat="1" x14ac:dyDescent="0.25">
      <c r="Y81" s="1">
        <f t="shared" si="31"/>
        <v>0.57864591870322801</v>
      </c>
      <c r="Z81" s="1">
        <f t="shared" si="32"/>
        <v>1.9470865060823825</v>
      </c>
      <c r="AA81" s="1">
        <f t="shared" si="33"/>
        <v>2.4289824848278574</v>
      </c>
      <c r="AB81" s="1">
        <f t="shared" si="34"/>
        <v>3.0255778281705275</v>
      </c>
      <c r="AC81" s="1">
        <f t="shared" si="35"/>
        <v>-0.66725161834942637</v>
      </c>
      <c r="AD81" s="1">
        <f t="shared" si="20"/>
        <v>3.0982811228981486</v>
      </c>
      <c r="AE81" s="1">
        <f t="shared" si="25"/>
        <v>0.54146489955943811</v>
      </c>
      <c r="AF81" s="1">
        <f t="shared" si="26"/>
        <v>0.42487893973566282</v>
      </c>
      <c r="AG81" s="1">
        <f t="shared" si="21"/>
        <v>-0.58051086861821366</v>
      </c>
      <c r="AH81" s="1">
        <f t="shared" si="22"/>
        <v>-9.0353925084625661</v>
      </c>
      <c r="AI81" s="1" t="b">
        <f t="shared" si="23"/>
        <v>0</v>
      </c>
      <c r="AJ81" s="1">
        <f t="shared" si="36"/>
        <v>1.9470865060823825</v>
      </c>
      <c r="AK81" s="1">
        <f t="shared" si="37"/>
        <v>2.4289824848278574</v>
      </c>
      <c r="AL81" s="1">
        <f t="shared" si="27"/>
        <v>1.9470865060823825</v>
      </c>
      <c r="AM81" s="1">
        <f t="shared" si="28"/>
        <v>2.4289824848278574</v>
      </c>
      <c r="AN81" s="1"/>
      <c r="AP81" s="1">
        <f t="shared" si="38"/>
        <v>1.5200000000000009</v>
      </c>
      <c r="AQ81" s="1">
        <f t="shared" si="39"/>
        <v>2.4256559600285512</v>
      </c>
      <c r="AR81" s="1">
        <f t="shared" si="40"/>
        <v>4.0773719793180581</v>
      </c>
      <c r="AS81" s="1" t="e">
        <f t="shared" si="29"/>
        <v>#N/A</v>
      </c>
      <c r="AT81" s="1" t="e">
        <f t="shared" si="30"/>
        <v>#N/A</v>
      </c>
    </row>
    <row r="82" spans="25:46" s="10" customFormat="1" x14ac:dyDescent="0.25">
      <c r="Y82" s="1">
        <f t="shared" si="31"/>
        <v>0.58625968079142843</v>
      </c>
      <c r="Z82" s="1">
        <f t="shared" si="32"/>
        <v>1.9701225358454069</v>
      </c>
      <c r="AA82" s="1">
        <f t="shared" si="33"/>
        <v>2.4239021897527784</v>
      </c>
      <c r="AB82" s="1">
        <f t="shared" si="34"/>
        <v>3.0211579565272539</v>
      </c>
      <c r="AC82" s="1">
        <f t="shared" si="35"/>
        <v>-0.73604494728236824</v>
      </c>
      <c r="AD82" s="1">
        <f t="shared" si="20"/>
        <v>3.1095269033581037</v>
      </c>
      <c r="AE82" s="1">
        <f t="shared" si="25"/>
        <v>0.53950666103104938</v>
      </c>
      <c r="AF82" s="1">
        <f t="shared" si="26"/>
        <v>0.42370399661862967</v>
      </c>
      <c r="AG82" s="1">
        <f t="shared" si="21"/>
        <v>-0.56812748478387043</v>
      </c>
      <c r="AH82" s="1">
        <f t="shared" si="22"/>
        <v>-9.0188874070995944</v>
      </c>
      <c r="AI82" s="1" t="b">
        <f t="shared" si="23"/>
        <v>0</v>
      </c>
      <c r="AJ82" s="1">
        <f t="shared" si="36"/>
        <v>1.9701225358454069</v>
      </c>
      <c r="AK82" s="1">
        <f t="shared" si="37"/>
        <v>2.4239021897527784</v>
      </c>
      <c r="AL82" s="1">
        <f t="shared" si="27"/>
        <v>1.9701225358454069</v>
      </c>
      <c r="AM82" s="1">
        <f t="shared" si="28"/>
        <v>2.4239021897527784</v>
      </c>
      <c r="AN82" s="1"/>
      <c r="AP82" s="1">
        <f t="shared" si="38"/>
        <v>1.5400000000000009</v>
      </c>
      <c r="AQ82" s="1">
        <f t="shared" si="39"/>
        <v>2.4317801570306923</v>
      </c>
      <c r="AR82" s="1">
        <f t="shared" si="40"/>
        <v>4.0623123729209736</v>
      </c>
      <c r="AS82" s="1" t="e">
        <f t="shared" si="29"/>
        <v>#N/A</v>
      </c>
      <c r="AT82" s="1" t="e">
        <f t="shared" si="30"/>
        <v>#N/A</v>
      </c>
    </row>
    <row r="83" spans="25:46" s="10" customFormat="1" x14ac:dyDescent="0.25">
      <c r="Y83" s="1">
        <f t="shared" si="31"/>
        <v>0.59387344287962884</v>
      </c>
      <c r="Z83" s="1">
        <f t="shared" si="32"/>
        <v>1.9931249137572788</v>
      </c>
      <c r="AA83" s="1">
        <f t="shared" si="33"/>
        <v>2.4182981186379484</v>
      </c>
      <c r="AB83" s="1">
        <f t="shared" si="34"/>
        <v>3.016832369022342</v>
      </c>
      <c r="AC83" s="1">
        <f t="shared" si="35"/>
        <v>-0.80471261030029084</v>
      </c>
      <c r="AD83" s="1">
        <f t="shared" si="20"/>
        <v>3.1223132334788679</v>
      </c>
      <c r="AE83" s="1">
        <f t="shared" si="25"/>
        <v>0.53729730221453875</v>
      </c>
      <c r="AF83" s="1">
        <f t="shared" si="26"/>
        <v>0.4223783813287233</v>
      </c>
      <c r="AG83" s="1">
        <f t="shared" si="21"/>
        <v>-0.55609591445900985</v>
      </c>
      <c r="AH83" s="1">
        <f t="shared" si="22"/>
        <v>-9.0021115290292144</v>
      </c>
      <c r="AI83" s="1" t="b">
        <f t="shared" si="23"/>
        <v>0</v>
      </c>
      <c r="AJ83" s="1">
        <f t="shared" si="36"/>
        <v>1.9931249137572788</v>
      </c>
      <c r="AK83" s="1">
        <f t="shared" si="37"/>
        <v>2.4182981186379484</v>
      </c>
      <c r="AL83" s="1">
        <f t="shared" si="27"/>
        <v>1.9931249137572788</v>
      </c>
      <c r="AM83" s="1">
        <f t="shared" si="28"/>
        <v>2.4182981186379484</v>
      </c>
      <c r="AN83" s="1"/>
      <c r="AP83" s="1">
        <f t="shared" si="38"/>
        <v>1.5600000000000009</v>
      </c>
      <c r="AQ83" s="1">
        <f t="shared" si="39"/>
        <v>2.4376445396145616</v>
      </c>
      <c r="AR83" s="1">
        <f t="shared" si="40"/>
        <v>4.0478258034708405</v>
      </c>
      <c r="AS83" s="1" t="e">
        <f t="shared" si="29"/>
        <v>#N/A</v>
      </c>
      <c r="AT83" s="1" t="e">
        <f t="shared" si="30"/>
        <v>#N/A</v>
      </c>
    </row>
    <row r="84" spans="25:46" s="10" customFormat="1" x14ac:dyDescent="0.25">
      <c r="Y84" s="1">
        <f t="shared" si="31"/>
        <v>0.60148720496782926</v>
      </c>
      <c r="Z84" s="1">
        <f t="shared" si="32"/>
        <v>2.016094357674997</v>
      </c>
      <c r="AA84" s="1">
        <f t="shared" si="33"/>
        <v>2.4121712282737473</v>
      </c>
      <c r="AB84" s="1">
        <f t="shared" si="34"/>
        <v>3.012598387031431</v>
      </c>
      <c r="AC84" s="1">
        <f t="shared" si="35"/>
        <v>-0.87325254577376488</v>
      </c>
      <c r="AD84" s="1">
        <f t="shared" si="20"/>
        <v>3.1366094832230456</v>
      </c>
      <c r="AE84" s="1">
        <f t="shared" si="25"/>
        <v>0.53484837241935146</v>
      </c>
      <c r="AF84" s="1">
        <f t="shared" si="26"/>
        <v>0.42090902345161085</v>
      </c>
      <c r="AG84" s="1">
        <f t="shared" si="21"/>
        <v>-0.54440329609788418</v>
      </c>
      <c r="AH84" s="1">
        <f t="shared" si="22"/>
        <v>-8.98504578237538</v>
      </c>
      <c r="AI84" s="1" t="b">
        <f t="shared" si="23"/>
        <v>0</v>
      </c>
      <c r="AJ84" s="1">
        <f t="shared" si="36"/>
        <v>2.016094357674997</v>
      </c>
      <c r="AK84" s="1">
        <f t="shared" si="37"/>
        <v>2.4121712282737473</v>
      </c>
      <c r="AL84" s="1">
        <f t="shared" si="27"/>
        <v>2.016094357674997</v>
      </c>
      <c r="AM84" s="1">
        <f t="shared" si="28"/>
        <v>2.4121712282737473</v>
      </c>
      <c r="AN84" s="1"/>
      <c r="AP84" s="1">
        <f t="shared" si="38"/>
        <v>1.580000000000001</v>
      </c>
      <c r="AQ84" s="1">
        <f t="shared" si="39"/>
        <v>2.443249107780157</v>
      </c>
      <c r="AR84" s="1">
        <f t="shared" si="40"/>
        <v>4.0339184446266447</v>
      </c>
      <c r="AS84" s="1" t="e">
        <f t="shared" si="29"/>
        <v>#N/A</v>
      </c>
      <c r="AT84" s="1" t="e">
        <f t="shared" si="30"/>
        <v>#N/A</v>
      </c>
    </row>
    <row r="85" spans="25:46" s="10" customFormat="1" x14ac:dyDescent="0.25">
      <c r="Y85" s="1">
        <f t="shared" si="31"/>
        <v>0.60910096705602967</v>
      </c>
      <c r="Z85" s="1">
        <f t="shared" si="32"/>
        <v>2.0390315650611504</v>
      </c>
      <c r="AA85" s="1">
        <f t="shared" si="33"/>
        <v>2.4055224911473108</v>
      </c>
      <c r="AB85" s="1">
        <f t="shared" si="34"/>
        <v>3.0084534298549097</v>
      </c>
      <c r="AC85" s="1">
        <f t="shared" si="35"/>
        <v>-0.94166254671235916</v>
      </c>
      <c r="AD85" s="1">
        <f t="shared" si="20"/>
        <v>3.1523832875281164</v>
      </c>
      <c r="AE85" s="1">
        <f t="shared" si="25"/>
        <v>0.53217211360501049</v>
      </c>
      <c r="AF85" s="1">
        <f t="shared" si="26"/>
        <v>0.41930326816300634</v>
      </c>
      <c r="AG85" s="1">
        <f t="shared" si="21"/>
        <v>-0.53303668768870127</v>
      </c>
      <c r="AH85" s="1">
        <f t="shared" si="22"/>
        <v>-8.967672013339973</v>
      </c>
      <c r="AI85" s="1" t="b">
        <f t="shared" si="23"/>
        <v>1</v>
      </c>
      <c r="AJ85" s="1" t="e">
        <f t="shared" si="36"/>
        <v>#N/A</v>
      </c>
      <c r="AK85" s="1" t="e">
        <f t="shared" si="37"/>
        <v>#N/A</v>
      </c>
      <c r="AL85" s="1" t="e">
        <f t="shared" si="27"/>
        <v>#N/A</v>
      </c>
      <c r="AM85" s="1" t="e">
        <f t="shared" si="28"/>
        <v>#N/A</v>
      </c>
      <c r="AN85" s="1"/>
      <c r="AP85" s="1">
        <f t="shared" si="38"/>
        <v>1.600000000000001</v>
      </c>
      <c r="AQ85" s="1">
        <f t="shared" si="39"/>
        <v>2.4485938615274803</v>
      </c>
      <c r="AR85" s="1">
        <f t="shared" si="40"/>
        <v>4.0205963069117807</v>
      </c>
      <c r="AS85" s="1" t="e">
        <f t="shared" si="29"/>
        <v>#N/A</v>
      </c>
      <c r="AT85" s="1" t="e">
        <f t="shared" si="30"/>
        <v>#N/A</v>
      </c>
    </row>
    <row r="86" spans="25:46" s="10" customFormat="1" x14ac:dyDescent="0.25">
      <c r="Y86" s="1">
        <f t="shared" si="31"/>
        <v>0.61671472914423009</v>
      </c>
      <c r="Z86" s="1">
        <f t="shared" si="32"/>
        <v>2.0619372137294958</v>
      </c>
      <c r="AA86" s="1">
        <f t="shared" si="33"/>
        <v>2.398352896549274</v>
      </c>
      <c r="AB86" s="1">
        <f t="shared" si="34"/>
        <v>3.0043950153305654</v>
      </c>
      <c r="AC86" s="1">
        <f t="shared" si="35"/>
        <v>-1.0099402679069425</v>
      </c>
      <c r="AD86" s="1">
        <f t="shared" si="20"/>
        <v>3.1696007245208495</v>
      </c>
      <c r="AE86" s="1">
        <f t="shared" si="25"/>
        <v>0.52928132683669626</v>
      </c>
      <c r="AF86" s="1">
        <f t="shared" si="26"/>
        <v>0.4175687961020178</v>
      </c>
      <c r="AG86" s="1">
        <f t="shared" si="21"/>
        <v>-0.52198311077683202</v>
      </c>
      <c r="AH86" s="1">
        <f t="shared" si="22"/>
        <v>-8.9499730282796417</v>
      </c>
      <c r="AI86" s="1" t="b">
        <f t="shared" si="23"/>
        <v>1</v>
      </c>
      <c r="AJ86" s="1" t="e">
        <f t="shared" si="36"/>
        <v>#N/A</v>
      </c>
      <c r="AK86" s="1" t="e">
        <f t="shared" si="37"/>
        <v>#N/A</v>
      </c>
      <c r="AL86" s="1" t="e">
        <f t="shared" si="27"/>
        <v>#N/A</v>
      </c>
      <c r="AM86" s="1" t="e">
        <f t="shared" si="28"/>
        <v>#N/A</v>
      </c>
      <c r="AN86" s="1"/>
      <c r="AP86" s="1">
        <f t="shared" si="38"/>
        <v>1.620000000000001</v>
      </c>
      <c r="AQ86" s="1">
        <f t="shared" si="39"/>
        <v>2.4536788008565309</v>
      </c>
      <c r="AR86" s="1">
        <f t="shared" si="40"/>
        <v>4.0078652261527212</v>
      </c>
      <c r="AS86" s="1" t="e">
        <f t="shared" si="29"/>
        <v>#N/A</v>
      </c>
      <c r="AT86" s="1" t="e">
        <f t="shared" si="30"/>
        <v>#N/A</v>
      </c>
    </row>
    <row r="87" spans="25:46" s="10" customFormat="1" x14ac:dyDescent="0.25">
      <c r="Y87" s="1">
        <f t="shared" si="31"/>
        <v>0.6243284912324305</v>
      </c>
      <c r="Z87" s="1">
        <f t="shared" si="32"/>
        <v>2.084811962595198</v>
      </c>
      <c r="AA87" s="1">
        <f t="shared" si="33"/>
        <v>2.3906634516261374</v>
      </c>
      <c r="AB87" s="1">
        <f t="shared" si="34"/>
        <v>3.000420760111052</v>
      </c>
      <c r="AC87" s="1">
        <f t="shared" si="35"/>
        <v>-1.0780832332400738</v>
      </c>
      <c r="AD87" s="1">
        <f t="shared" si="20"/>
        <v>3.1882264968942771</v>
      </c>
      <c r="AE87" s="1">
        <f t="shared" si="25"/>
        <v>0.5261892398959569</v>
      </c>
      <c r="AF87" s="1">
        <f t="shared" si="26"/>
        <v>0.41571354393757409</v>
      </c>
      <c r="AG87" s="1">
        <f t="shared" si="21"/>
        <v>-0.51122959369369725</v>
      </c>
      <c r="AH87" s="1">
        <f t="shared" si="22"/>
        <v>-8.9319326097037059</v>
      </c>
      <c r="AI87" s="1" t="b">
        <f t="shared" si="23"/>
        <v>1</v>
      </c>
      <c r="AJ87" s="1" t="e">
        <f t="shared" si="36"/>
        <v>#N/A</v>
      </c>
      <c r="AK87" s="1" t="e">
        <f t="shared" si="37"/>
        <v>#N/A</v>
      </c>
      <c r="AL87" s="1" t="e">
        <f t="shared" si="27"/>
        <v>#N/A</v>
      </c>
      <c r="AM87" s="1" t="e">
        <f t="shared" si="28"/>
        <v>#N/A</v>
      </c>
      <c r="AN87" s="1"/>
      <c r="AP87" s="1">
        <f t="shared" si="38"/>
        <v>1.640000000000001</v>
      </c>
      <c r="AQ87" s="1">
        <f t="shared" si="39"/>
        <v>2.4585039257673094</v>
      </c>
      <c r="AR87" s="1">
        <f t="shared" si="40"/>
        <v>3.9957308519786547</v>
      </c>
      <c r="AS87" s="1" t="e">
        <f t="shared" si="29"/>
        <v>#N/A</v>
      </c>
      <c r="AT87" s="1" t="e">
        <f t="shared" si="30"/>
        <v>#N/A</v>
      </c>
    </row>
    <row r="88" spans="25:46" s="10" customFormat="1" x14ac:dyDescent="0.25">
      <c r="Y88" s="1">
        <f t="shared" si="31"/>
        <v>0.63194225332063092</v>
      </c>
      <c r="Z88" s="1">
        <f t="shared" si="32"/>
        <v>2.1076564524271806</v>
      </c>
      <c r="AA88" s="1">
        <f t="shared" si="33"/>
        <v>2.3824551823769697</v>
      </c>
      <c r="AB88" s="1">
        <f t="shared" si="34"/>
        <v>2.9965283796122208</v>
      </c>
      <c r="AC88" s="1">
        <f t="shared" si="35"/>
        <v>-1.1460888431181964</v>
      </c>
      <c r="AD88" s="1">
        <f t="shared" si="20"/>
        <v>3.2082241140764229</v>
      </c>
      <c r="AE88" s="1">
        <f t="shared" si="25"/>
        <v>0.52290937832436812</v>
      </c>
      <c r="AF88" s="1">
        <f t="shared" si="26"/>
        <v>0.41374562699462092</v>
      </c>
      <c r="AG88" s="1">
        <f t="shared" si="21"/>
        <v>-0.50076321349590192</v>
      </c>
      <c r="AH88" s="1">
        <f t="shared" si="22"/>
        <v>-8.9135355263980429</v>
      </c>
      <c r="AI88" s="1" t="b">
        <f t="shared" si="23"/>
        <v>1</v>
      </c>
      <c r="AJ88" s="1" t="e">
        <f t="shared" si="36"/>
        <v>#N/A</v>
      </c>
      <c r="AK88" s="1" t="e">
        <f t="shared" si="37"/>
        <v>#N/A</v>
      </c>
      <c r="AL88" s="1" t="e">
        <f t="shared" si="27"/>
        <v>#N/A</v>
      </c>
      <c r="AM88" s="1" t="e">
        <f t="shared" si="28"/>
        <v>#N/A</v>
      </c>
      <c r="AN88" s="1"/>
      <c r="AP88" s="1">
        <f t="shared" si="38"/>
        <v>1.660000000000001</v>
      </c>
      <c r="AQ88" s="1">
        <f t="shared" si="39"/>
        <v>2.4630692362598143</v>
      </c>
      <c r="AR88" s="1">
        <f t="shared" si="40"/>
        <v>3.9841986364263504</v>
      </c>
      <c r="AS88" s="1" t="e">
        <f t="shared" si="29"/>
        <v>#N/A</v>
      </c>
      <c r="AT88" s="1" t="e">
        <f t="shared" si="30"/>
        <v>#N/A</v>
      </c>
    </row>
    <row r="89" spans="25:46" s="10" customFormat="1" x14ac:dyDescent="0.25">
      <c r="Y89" s="1">
        <f t="shared" si="31"/>
        <v>0.63955601540883134</v>
      </c>
      <c r="Z89" s="1">
        <f t="shared" si="32"/>
        <v>2.1304713066000884</v>
      </c>
      <c r="AA89" s="1">
        <f t="shared" si="33"/>
        <v>2.373729134593527</v>
      </c>
      <c r="AB89" s="1">
        <f t="shared" si="34"/>
        <v>2.9927156876421406</v>
      </c>
      <c r="AC89" s="1">
        <f t="shared" si="35"/>
        <v>-1.2139543819809129</v>
      </c>
      <c r="AD89" s="1">
        <f t="shared" si="20"/>
        <v>3.2295560729905324</v>
      </c>
      <c r="AE89" s="1">
        <f t="shared" si="25"/>
        <v>0.51945544189406212</v>
      </c>
      <c r="AF89" s="1">
        <f t="shared" si="26"/>
        <v>0.41167326513643732</v>
      </c>
      <c r="AG89" s="1">
        <f t="shared" si="21"/>
        <v>-0.49057113617825887</v>
      </c>
      <c r="AH89" s="1">
        <f t="shared" si="22"/>
        <v>-8.8947675379557065</v>
      </c>
      <c r="AI89" s="1" t="b">
        <f t="shared" si="23"/>
        <v>1</v>
      </c>
      <c r="AJ89" s="1" t="e">
        <f t="shared" si="36"/>
        <v>#N/A</v>
      </c>
      <c r="AK89" s="1" t="e">
        <f t="shared" si="37"/>
        <v>#N/A</v>
      </c>
      <c r="AL89" s="1" t="e">
        <f t="shared" si="27"/>
        <v>#N/A</v>
      </c>
      <c r="AM89" s="1" t="e">
        <f t="shared" si="28"/>
        <v>#N/A</v>
      </c>
      <c r="AN89" s="1"/>
      <c r="AP89" s="1">
        <f t="shared" si="38"/>
        <v>1.680000000000001</v>
      </c>
      <c r="AQ89" s="1">
        <f t="shared" si="39"/>
        <v>2.4673747323340471</v>
      </c>
      <c r="AR89" s="1">
        <f t="shared" si="40"/>
        <v>3.9732738226993281</v>
      </c>
      <c r="AS89" s="1" t="e">
        <f t="shared" si="29"/>
        <v>#N/A</v>
      </c>
      <c r="AT89" s="1" t="e">
        <f t="shared" si="30"/>
        <v>#N/A</v>
      </c>
    </row>
    <row r="90" spans="25:46" s="10" customFormat="1" x14ac:dyDescent="0.25">
      <c r="Y90" s="1">
        <f t="shared" si="31"/>
        <v>0.64716977749703175</v>
      </c>
      <c r="Z90" s="1">
        <f t="shared" si="32"/>
        <v>2.1532571318434206</v>
      </c>
      <c r="AA90" s="1">
        <f t="shared" si="33"/>
        <v>2.3644863747431959</v>
      </c>
      <c r="AB90" s="1">
        <f t="shared" si="34"/>
        <v>2.988980595723941</v>
      </c>
      <c r="AC90" s="1">
        <f t="shared" si="35"/>
        <v>-1.2816770258447554</v>
      </c>
      <c r="AD90" s="1">
        <f t="shared" si="20"/>
        <v>3.2521840354125877</v>
      </c>
      <c r="AE90" s="1">
        <f t="shared" si="25"/>
        <v>0.5158411881829803</v>
      </c>
      <c r="AF90" s="1">
        <f t="shared" si="26"/>
        <v>0.40950471290978818</v>
      </c>
      <c r="AG90" s="1">
        <f t="shared" si="21"/>
        <v>-0.48064065478825874</v>
      </c>
      <c r="AH90" s="1">
        <f t="shared" si="22"/>
        <v>-8.8756153940576379</v>
      </c>
      <c r="AI90" s="1" t="b">
        <f t="shared" si="23"/>
        <v>1</v>
      </c>
      <c r="AJ90" s="1" t="e">
        <f t="shared" si="36"/>
        <v>#N/A</v>
      </c>
      <c r="AK90" s="1" t="e">
        <f t="shared" si="37"/>
        <v>#N/A</v>
      </c>
      <c r="AL90" s="1" t="e">
        <f t="shared" si="27"/>
        <v>#N/A</v>
      </c>
      <c r="AM90" s="1" t="e">
        <f t="shared" si="28"/>
        <v>#N/A</v>
      </c>
      <c r="AN90" s="1"/>
      <c r="AP90" s="1">
        <f t="shared" si="38"/>
        <v>1.7000000000000011</v>
      </c>
      <c r="AQ90" s="1">
        <f t="shared" si="39"/>
        <v>2.4714204139900069</v>
      </c>
      <c r="AR90" s="1">
        <f t="shared" si="40"/>
        <v>3.96296143412874</v>
      </c>
      <c r="AS90" s="1" t="e">
        <f t="shared" si="29"/>
        <v>#N/A</v>
      </c>
      <c r="AT90" s="1" t="e">
        <f t="shared" si="30"/>
        <v>#N/A</v>
      </c>
    </row>
    <row r="91" spans="25:46" s="10" customFormat="1" x14ac:dyDescent="0.25">
      <c r="Y91" s="1">
        <f t="shared" si="31"/>
        <v>0.65478353958523217</v>
      </c>
      <c r="Z91" s="1">
        <f t="shared" si="32"/>
        <v>2.17601451898551</v>
      </c>
      <c r="AA91" s="1">
        <f t="shared" si="33"/>
        <v>2.3547279907945016</v>
      </c>
      <c r="AB91" s="1">
        <f t="shared" si="34"/>
        <v>2.9853211121284664</v>
      </c>
      <c r="AC91" s="1">
        <f t="shared" si="35"/>
        <v>-1.349253849841479</v>
      </c>
      <c r="AD91" s="1">
        <f t="shared" si="20"/>
        <v>3.2760690001634574</v>
      </c>
      <c r="AE91" s="1">
        <f t="shared" si="25"/>
        <v>0.51208032460038111</v>
      </c>
      <c r="AF91" s="1">
        <f t="shared" si="26"/>
        <v>0.40724819476022867</v>
      </c>
      <c r="AG91" s="1">
        <f t="shared" si="21"/>
        <v>-0.47095922513588073</v>
      </c>
      <c r="AH91" s="1">
        <f t="shared" si="22"/>
        <v>-8.8560668288957043</v>
      </c>
      <c r="AI91" s="1" t="b">
        <f t="shared" si="23"/>
        <v>1</v>
      </c>
      <c r="AJ91" s="1" t="e">
        <f t="shared" si="36"/>
        <v>#N/A</v>
      </c>
      <c r="AK91" s="1" t="e">
        <f t="shared" si="37"/>
        <v>#N/A</v>
      </c>
      <c r="AL91" s="1" t="e">
        <f t="shared" si="27"/>
        <v>#N/A</v>
      </c>
      <c r="AM91" s="1" t="e">
        <f t="shared" si="28"/>
        <v>#N/A</v>
      </c>
      <c r="AN91" s="1"/>
      <c r="AP91" s="1">
        <f t="shared" si="38"/>
        <v>1.7200000000000011</v>
      </c>
      <c r="AQ91" s="1">
        <f t="shared" si="39"/>
        <v>2.4752062812276949</v>
      </c>
      <c r="AR91" s="1">
        <f t="shared" si="40"/>
        <v>3.953266263387055</v>
      </c>
      <c r="AS91" s="1" t="e">
        <f t="shared" si="29"/>
        <v>#N/A</v>
      </c>
      <c r="AT91" s="1" t="e">
        <f t="shared" si="30"/>
        <v>#N/A</v>
      </c>
    </row>
    <row r="92" spans="25:46" s="10" customFormat="1" x14ac:dyDescent="0.25">
      <c r="Y92" s="1">
        <f t="shared" si="31"/>
        <v>0.66239730167343258</v>
      </c>
      <c r="Z92" s="1">
        <f t="shared" si="32"/>
        <v>2.1987440436901378</v>
      </c>
      <c r="AA92" s="1">
        <f t="shared" si="33"/>
        <v>2.3444550929852199</v>
      </c>
      <c r="AB92" s="1">
        <f t="shared" si="34"/>
        <v>2.9817353406350384</v>
      </c>
      <c r="AC92" s="1">
        <f t="shared" si="35"/>
        <v>-1.4166818357138939</v>
      </c>
      <c r="AD92" s="1">
        <f t="shared" si="20"/>
        <v>3.3011714686204408</v>
      </c>
      <c r="AE92" s="1">
        <f t="shared" si="25"/>
        <v>0.50818640987407493</v>
      </c>
      <c r="AF92" s="1">
        <f t="shared" si="26"/>
        <v>0.40491184592444496</v>
      </c>
      <c r="AG92" s="1">
        <f t="shared" si="21"/>
        <v>-0.46151449885920093</v>
      </c>
      <c r="AH92" s="1">
        <f t="shared" si="22"/>
        <v>-8.8361105511657474</v>
      </c>
      <c r="AI92" s="1" t="b">
        <f t="shared" si="23"/>
        <v>1</v>
      </c>
      <c r="AJ92" s="1" t="e">
        <f t="shared" si="36"/>
        <v>#N/A</v>
      </c>
      <c r="AK92" s="1" t="e">
        <f t="shared" si="37"/>
        <v>#N/A</v>
      </c>
      <c r="AL92" s="1" t="e">
        <f t="shared" si="27"/>
        <v>#N/A</v>
      </c>
      <c r="AM92" s="1" t="e">
        <f t="shared" si="28"/>
        <v>#N/A</v>
      </c>
      <c r="AN92" s="1"/>
      <c r="AP92" s="1">
        <f t="shared" si="38"/>
        <v>1.7400000000000011</v>
      </c>
      <c r="AQ92" s="1">
        <f t="shared" si="39"/>
        <v>2.4787323340471095</v>
      </c>
      <c r="AR92" s="1">
        <f t="shared" si="40"/>
        <v>3.9441928620028732</v>
      </c>
      <c r="AS92" s="1" t="e">
        <f t="shared" si="29"/>
        <v>#N/A</v>
      </c>
      <c r="AT92" s="1" t="e">
        <f t="shared" si="30"/>
        <v>#N/A</v>
      </c>
    </row>
    <row r="93" spans="25:46" s="10" customFormat="1" x14ac:dyDescent="0.25">
      <c r="Y93" s="1">
        <f t="shared" si="31"/>
        <v>0.670011063761633</v>
      </c>
      <c r="Z93" s="1">
        <f t="shared" si="32"/>
        <v>2.2214462671837119</v>
      </c>
      <c r="AA93" s="1">
        <f t="shared" si="33"/>
        <v>2.3336688145334192</v>
      </c>
      <c r="AB93" s="1">
        <f t="shared" si="34"/>
        <v>2.9782214790404695</v>
      </c>
      <c r="AC93" s="1">
        <f t="shared" si="35"/>
        <v>-1.4839578792355068</v>
      </c>
      <c r="AD93" s="1">
        <f t="shared" si="20"/>
        <v>3.3274516022871232</v>
      </c>
      <c r="AE93" s="1">
        <f t="shared" si="25"/>
        <v>0.50417276568766434</v>
      </c>
      <c r="AF93" s="1">
        <f t="shared" si="26"/>
        <v>0.40250365941259858</v>
      </c>
      <c r="AG93" s="1">
        <f t="shared" si="21"/>
        <v>-0.45229435367104898</v>
      </c>
      <c r="AH93" s="1">
        <f t="shared" si="22"/>
        <v>-8.8157362300809492</v>
      </c>
      <c r="AI93" s="1" t="b">
        <f t="shared" si="23"/>
        <v>1</v>
      </c>
      <c r="AJ93" s="1" t="e">
        <f t="shared" si="36"/>
        <v>#N/A</v>
      </c>
      <c r="AK93" s="1" t="e">
        <f t="shared" si="37"/>
        <v>#N/A</v>
      </c>
      <c r="AL93" s="1" t="e">
        <f t="shared" si="27"/>
        <v>#N/A</v>
      </c>
      <c r="AM93" s="1" t="e">
        <f t="shared" si="28"/>
        <v>#N/A</v>
      </c>
      <c r="AN93" s="1"/>
      <c r="AP93" s="1">
        <f t="shared" si="38"/>
        <v>1.7600000000000011</v>
      </c>
      <c r="AQ93" s="1">
        <f t="shared" si="39"/>
        <v>2.4819985724482514</v>
      </c>
      <c r="AR93" s="1">
        <f t="shared" si="40"/>
        <v>3.9357455302284188</v>
      </c>
      <c r="AS93" s="1" t="e">
        <f t="shared" si="29"/>
        <v>#N/A</v>
      </c>
      <c r="AT93" s="1" t="e">
        <f t="shared" si="30"/>
        <v>#N/A</v>
      </c>
    </row>
    <row r="94" spans="25:46" s="10" customFormat="1" x14ac:dyDescent="0.25">
      <c r="Y94" s="1">
        <f t="shared" si="31"/>
        <v>0.67762482584983341</v>
      </c>
      <c r="Z94" s="1">
        <f t="shared" si="32"/>
        <v>2.2441217369710942</v>
      </c>
      <c r="AA94" s="1">
        <f t="shared" si="33"/>
        <v>2.3223703122920099</v>
      </c>
      <c r="AB94" s="1">
        <f t="shared" si="34"/>
        <v>2.9747778174377819</v>
      </c>
      <c r="AC94" s="1">
        <f t="shared" si="35"/>
        <v>-1.5510787975236715</v>
      </c>
      <c r="AD94" s="1">
        <f t="shared" si="20"/>
        <v>3.3548693714133448</v>
      </c>
      <c r="AE94" s="1">
        <f t="shared" si="25"/>
        <v>0.50005239885396868</v>
      </c>
      <c r="AF94" s="1">
        <f t="shared" si="26"/>
        <v>0.40003143931238117</v>
      </c>
      <c r="AG94" s="1">
        <f t="shared" si="21"/>
        <v>-0.44328692067342212</v>
      </c>
      <c r="AH94" s="1">
        <f t="shared" si="22"/>
        <v>-8.7949344778666028</v>
      </c>
      <c r="AI94" s="1" t="b">
        <f t="shared" si="23"/>
        <v>1</v>
      </c>
      <c r="AJ94" s="1" t="e">
        <f t="shared" si="36"/>
        <v>#N/A</v>
      </c>
      <c r="AK94" s="1" t="e">
        <f t="shared" si="37"/>
        <v>#N/A</v>
      </c>
      <c r="AL94" s="1" t="e">
        <f t="shared" si="27"/>
        <v>#N/A</v>
      </c>
      <c r="AM94" s="1" t="e">
        <f t="shared" si="28"/>
        <v>#N/A</v>
      </c>
      <c r="AN94" s="1"/>
      <c r="AP94" s="1">
        <f t="shared" si="38"/>
        <v>1.7800000000000011</v>
      </c>
      <c r="AQ94" s="1">
        <f t="shared" si="39"/>
        <v>2.4850049964311203</v>
      </c>
      <c r="AR94" s="1">
        <f t="shared" si="40"/>
        <v>3.9279283073077567</v>
      </c>
      <c r="AS94" s="1" t="e">
        <f t="shared" si="29"/>
        <v>#N/A</v>
      </c>
      <c r="AT94" s="1" t="e">
        <f t="shared" si="30"/>
        <v>#N/A</v>
      </c>
    </row>
    <row r="95" spans="25:46" s="10" customFormat="1" x14ac:dyDescent="0.25">
      <c r="Y95" s="1">
        <f t="shared" si="31"/>
        <v>0.68523858793803383</v>
      </c>
      <c r="Z95" s="1">
        <f t="shared" si="32"/>
        <v>2.2667709875383215</v>
      </c>
      <c r="AA95" s="1">
        <f t="shared" si="33"/>
        <v>2.3105607673476127</v>
      </c>
      <c r="AB95" s="1">
        <f t="shared" si="34"/>
        <v>2.9714027362869637</v>
      </c>
      <c r="AC95" s="1">
        <f t="shared" si="35"/>
        <v>-1.6180413362194586</v>
      </c>
      <c r="AD95" s="1">
        <f t="shared" si="20"/>
        <v>3.3833846939017302</v>
      </c>
      <c r="AE95" s="1">
        <f t="shared" si="25"/>
        <v>0.49583793413758198</v>
      </c>
      <c r="AF95" s="1">
        <f t="shared" si="26"/>
        <v>0.39750276048254918</v>
      </c>
      <c r="AG95" s="1">
        <f t="shared" si="21"/>
        <v>-0.43448060868315369</v>
      </c>
      <c r="AH95" s="1">
        <f t="shared" si="22"/>
        <v>-8.773696829197597</v>
      </c>
      <c r="AI95" s="1" t="b">
        <f t="shared" si="23"/>
        <v>1</v>
      </c>
      <c r="AJ95" s="1" t="e">
        <f t="shared" si="36"/>
        <v>#N/A</v>
      </c>
      <c r="AK95" s="1" t="e">
        <f t="shared" si="37"/>
        <v>#N/A</v>
      </c>
      <c r="AL95" s="1" t="e">
        <f t="shared" si="27"/>
        <v>#N/A</v>
      </c>
      <c r="AM95" s="1" t="e">
        <f t="shared" si="28"/>
        <v>#N/A</v>
      </c>
      <c r="AN95" s="1"/>
      <c r="AP95" s="1">
        <f t="shared" si="38"/>
        <v>1.8000000000000012</v>
      </c>
      <c r="AQ95" s="1">
        <f t="shared" si="39"/>
        <v>2.4877516059957179</v>
      </c>
      <c r="AR95" s="1">
        <f t="shared" si="40"/>
        <v>3.9207449621959229</v>
      </c>
      <c r="AS95" s="1" t="e">
        <f t="shared" si="29"/>
        <v>#N/A</v>
      </c>
      <c r="AT95" s="1" t="e">
        <f t="shared" si="30"/>
        <v>#N/A</v>
      </c>
    </row>
    <row r="96" spans="25:46" s="10" customFormat="1" x14ac:dyDescent="0.25">
      <c r="Y96" s="1">
        <f t="shared" si="31"/>
        <v>0.69285235002623424</v>
      </c>
      <c r="Z96" s="1">
        <f t="shared" si="32"/>
        <v>2.2893945410406382</v>
      </c>
      <c r="AA96" s="1">
        <f t="shared" si="33"/>
        <v>2.2982413855647641</v>
      </c>
      <c r="AB96" s="1">
        <f t="shared" si="34"/>
        <v>2.9680947043005137</v>
      </c>
      <c r="AC96" s="1">
        <f t="shared" si="35"/>
        <v>-1.6848421765109669</v>
      </c>
      <c r="AD96" s="1">
        <f t="shared" si="20"/>
        <v>3.4129575639680851</v>
      </c>
      <c r="AE96" s="1">
        <f t="shared" si="25"/>
        <v>0.49154155760040286</v>
      </c>
      <c r="AF96" s="1">
        <f t="shared" si="26"/>
        <v>0.39492493456024169</v>
      </c>
      <c r="AG96" s="1">
        <f t="shared" si="21"/>
        <v>-0.42586412556354097</v>
      </c>
      <c r="AH96" s="1">
        <f t="shared" si="22"/>
        <v>-8.7520157180310978</v>
      </c>
      <c r="AI96" s="1" t="b">
        <f t="shared" si="23"/>
        <v>1</v>
      </c>
      <c r="AJ96" s="1" t="e">
        <f t="shared" si="36"/>
        <v>#N/A</v>
      </c>
      <c r="AK96" s="1" t="e">
        <f t="shared" si="37"/>
        <v>#N/A</v>
      </c>
      <c r="AL96" s="1" t="e">
        <f t="shared" si="27"/>
        <v>#N/A</v>
      </c>
      <c r="AM96" s="1" t="e">
        <f t="shared" si="28"/>
        <v>#N/A</v>
      </c>
      <c r="AN96" s="1"/>
      <c r="AP96" s="1">
        <f t="shared" si="38"/>
        <v>1.8200000000000012</v>
      </c>
      <c r="AQ96" s="1">
        <f t="shared" si="39"/>
        <v>2.4902384011420415</v>
      </c>
      <c r="AR96" s="1">
        <f t="shared" si="40"/>
        <v>3.9141989847754837</v>
      </c>
      <c r="AS96" s="1" t="e">
        <f t="shared" si="29"/>
        <v>#N/A</v>
      </c>
      <c r="AT96" s="1" t="e">
        <f t="shared" si="30"/>
        <v>#N/A</v>
      </c>
    </row>
    <row r="97" spans="3:46" s="10" customFormat="1" x14ac:dyDescent="0.25">
      <c r="Y97" s="1">
        <f t="shared" si="31"/>
        <v>0.70046611211443466</v>
      </c>
      <c r="Z97" s="1">
        <f t="shared" si="32"/>
        <v>2.3119929079744299</v>
      </c>
      <c r="AA97" s="1">
        <f t="shared" si="33"/>
        <v>2.2854133980766438</v>
      </c>
      <c r="AB97" s="1">
        <f t="shared" si="34"/>
        <v>2.9648522761665732</v>
      </c>
      <c r="AC97" s="1">
        <f t="shared" si="35"/>
        <v>-1.7514779419802458</v>
      </c>
      <c r="AD97" s="1">
        <f t="shared" si="20"/>
        <v>3.4435481702356752</v>
      </c>
      <c r="AE97" s="1">
        <f t="shared" si="25"/>
        <v>0.4871749701419551</v>
      </c>
      <c r="AF97" s="1">
        <f t="shared" si="26"/>
        <v>0.39230498208517306</v>
      </c>
      <c r="AG97" s="1">
        <f t="shared" si="21"/>
        <v>-0.41742649660165193</v>
      </c>
      <c r="AH97" s="1">
        <f t="shared" si="22"/>
        <v>-8.7298844522703405</v>
      </c>
      <c r="AI97" s="1" t="b">
        <f t="shared" si="23"/>
        <v>1</v>
      </c>
      <c r="AJ97" s="1" t="e">
        <f t="shared" si="36"/>
        <v>#N/A</v>
      </c>
      <c r="AK97" s="1" t="e">
        <f t="shared" si="37"/>
        <v>#N/A</v>
      </c>
      <c r="AL97" s="1" t="e">
        <f t="shared" si="27"/>
        <v>#N/A</v>
      </c>
      <c r="AM97" s="1" t="e">
        <f t="shared" si="28"/>
        <v>#N/A</v>
      </c>
      <c r="AN97" s="1"/>
      <c r="AP97" s="1">
        <f t="shared" si="38"/>
        <v>1.8400000000000012</v>
      </c>
      <c r="AQ97" s="1">
        <f t="shared" si="39"/>
        <v>2.4924653818700926</v>
      </c>
      <c r="AR97" s="1">
        <f t="shared" si="40"/>
        <v>3.9082935776178025</v>
      </c>
      <c r="AS97" s="1" t="e">
        <f t="shared" si="29"/>
        <v>#N/A</v>
      </c>
      <c r="AT97" s="1" t="e">
        <f t="shared" si="30"/>
        <v>#N/A</v>
      </c>
    </row>
    <row r="98" spans="3:46" s="10" customFormat="1" x14ac:dyDescent="0.25">
      <c r="C98" s="1"/>
      <c r="D98" s="1"/>
      <c r="Y98" s="1">
        <f t="shared" si="31"/>
        <v>0.70807987420263507</v>
      </c>
      <c r="Z98" s="1">
        <f t="shared" si="32"/>
        <v>2.3345665878318216</v>
      </c>
      <c r="AA98" s="1">
        <f t="shared" si="33"/>
        <v>2.2720780617236755</v>
      </c>
      <c r="AB98" s="1">
        <f t="shared" si="34"/>
        <v>2.9616740901321372</v>
      </c>
      <c r="AC98" s="1">
        <f t="shared" si="35"/>
        <v>-1.8179452052573115</v>
      </c>
      <c r="AD98" s="1">
        <f t="shared" ref="AD98:AD100" si="41">SQRT(AB98^2+AC98^2)</f>
        <v>3.4751170031350127</v>
      </c>
      <c r="AE98" s="1">
        <f t="shared" si="25"/>
        <v>0.48274935074229841</v>
      </c>
      <c r="AF98" s="1">
        <f t="shared" si="26"/>
        <v>0.38964961044537905</v>
      </c>
      <c r="AG98" s="1">
        <f t="shared" ref="AG98:AG100" si="42">-$V$11*AB98*AD98 - $V$12*AF98*AC98*AD98</f>
        <v>-0.40915708000954337</v>
      </c>
      <c r="AH98" s="1">
        <f t="shared" ref="AH98:AH100" si="43">$V$12*AF98*AD98*AB98 - $V$11*AC98*AD98 - 9.8</f>
        <v>-8.7072971866729869</v>
      </c>
      <c r="AI98" s="1" t="b">
        <f t="shared" ref="AI98:AI100" si="44">OR(AA97&lt;0, Z97&gt;$V$6)</f>
        <v>1</v>
      </c>
      <c r="AJ98" s="1" t="e">
        <f t="shared" si="36"/>
        <v>#N/A</v>
      </c>
      <c r="AK98" s="1" t="e">
        <f t="shared" si="37"/>
        <v>#N/A</v>
      </c>
      <c r="AL98" s="1" t="e">
        <f t="shared" si="27"/>
        <v>#N/A</v>
      </c>
      <c r="AM98" s="1" t="e">
        <f t="shared" si="28"/>
        <v>#N/A</v>
      </c>
      <c r="AN98" s="1"/>
      <c r="AP98" s="1">
        <f t="shared" si="38"/>
        <v>1.8600000000000012</v>
      </c>
      <c r="AQ98" s="1">
        <f t="shared" si="39"/>
        <v>2.494432548179871</v>
      </c>
      <c r="AR98" s="1">
        <f t="shared" si="40"/>
        <v>3.9030316483315688</v>
      </c>
      <c r="AS98" s="1" t="e">
        <f t="shared" si="29"/>
        <v>#N/A</v>
      </c>
      <c r="AT98" s="1" t="e">
        <f t="shared" si="30"/>
        <v>#N/A</v>
      </c>
    </row>
    <row r="99" spans="3:46" s="10" customFormat="1" x14ac:dyDescent="0.25">
      <c r="C99" s="1"/>
      <c r="D99" s="1"/>
      <c r="E99" s="1"/>
      <c r="F99" s="1"/>
      <c r="G99" s="1"/>
      <c r="Y99" s="1">
        <f t="shared" si="31"/>
        <v>0.71569363629083549</v>
      </c>
      <c r="Z99" s="1">
        <f t="shared" si="32"/>
        <v>2.3571160697368749</v>
      </c>
      <c r="AA99" s="1">
        <f t="shared" si="33"/>
        <v>2.258236659441462</v>
      </c>
      <c r="AB99" s="1">
        <f t="shared" si="34"/>
        <v>2.958558865468242</v>
      </c>
      <c r="AC99" s="1">
        <f t="shared" si="35"/>
        <v>-1.8842404944678959</v>
      </c>
      <c r="AD99" s="1">
        <f t="shared" si="41"/>
        <v>3.5076249516493854</v>
      </c>
      <c r="AE99" s="1">
        <f t="shared" si="25"/>
        <v>0.47827532878852647</v>
      </c>
      <c r="AF99" s="1">
        <f t="shared" si="26"/>
        <v>0.38696519727311585</v>
      </c>
      <c r="AG99" s="1">
        <f t="shared" si="42"/>
        <v>-0.4010455796595801</v>
      </c>
      <c r="AH99" s="1">
        <f t="shared" si="43"/>
        <v>-8.6842488943902438</v>
      </c>
      <c r="AI99" s="1" t="b">
        <f t="shared" si="44"/>
        <v>1</v>
      </c>
      <c r="AJ99" s="1" t="e">
        <f t="shared" si="36"/>
        <v>#N/A</v>
      </c>
      <c r="AK99" s="1" t="e">
        <f t="shared" si="37"/>
        <v>#N/A</v>
      </c>
      <c r="AL99" s="1" t="e">
        <f t="shared" si="27"/>
        <v>#N/A</v>
      </c>
      <c r="AM99" s="1" t="e">
        <f t="shared" si="28"/>
        <v>#N/A</v>
      </c>
      <c r="AN99" s="1"/>
      <c r="AP99" s="1">
        <f t="shared" si="38"/>
        <v>1.8800000000000012</v>
      </c>
      <c r="AQ99" s="1">
        <f t="shared" si="39"/>
        <v>2.4961399000713778</v>
      </c>
      <c r="AR99" s="1">
        <f t="shared" si="40"/>
        <v>3.8984158025415123</v>
      </c>
      <c r="AS99" s="1" t="e">
        <f t="shared" si="29"/>
        <v>#N/A</v>
      </c>
      <c r="AT99" s="1" t="e">
        <f t="shared" si="30"/>
        <v>#N/A</v>
      </c>
    </row>
    <row r="100" spans="3:46" s="10" customFormat="1" x14ac:dyDescent="0.25">
      <c r="E100" s="1"/>
      <c r="F100" s="1"/>
      <c r="G100" s="1"/>
      <c r="Y100" s="1">
        <f t="shared" si="31"/>
        <v>0.7233073983790359</v>
      </c>
      <c r="Z100" s="1">
        <f t="shared" si="32"/>
        <v>2.379641833062486</v>
      </c>
      <c r="AA100" s="1">
        <f t="shared" si="33"/>
        <v>2.2438905005996306</v>
      </c>
      <c r="AB100" s="1">
        <f t="shared" si="34"/>
        <v>2.9555053998381897</v>
      </c>
      <c r="AC100" s="1">
        <f t="shared" si="35"/>
        <v>-1.9503602994645002</v>
      </c>
      <c r="AD100" s="1">
        <f t="shared" si="41"/>
        <v>3.5410333895912296</v>
      </c>
      <c r="AE100" s="1">
        <f t="shared" si="25"/>
        <v>0.47376296477413599</v>
      </c>
      <c r="AF100" s="1">
        <f t="shared" si="26"/>
        <v>0.38425777886448154</v>
      </c>
      <c r="AG100" s="1">
        <f t="shared" si="42"/>
        <v>-0.39308205518964245</v>
      </c>
      <c r="AH100" s="1">
        <f t="shared" si="43"/>
        <v>-8.6607353374925999</v>
      </c>
      <c r="AI100" s="1" t="b">
        <f t="shared" si="44"/>
        <v>1</v>
      </c>
      <c r="AJ100" s="1" t="e">
        <f t="shared" si="36"/>
        <v>#N/A</v>
      </c>
      <c r="AK100" s="1" t="e">
        <f t="shared" si="37"/>
        <v>#N/A</v>
      </c>
      <c r="AL100" s="1" t="e">
        <f t="shared" si="27"/>
        <v>#N/A</v>
      </c>
      <c r="AM100" s="1" t="e">
        <f t="shared" si="28"/>
        <v>#N/A</v>
      </c>
      <c r="AN100" s="1"/>
      <c r="AP100" s="1">
        <f t="shared" si="38"/>
        <v>1.9000000000000012</v>
      </c>
      <c r="AQ100" s="1">
        <f t="shared" si="39"/>
        <v>2.497587437544611</v>
      </c>
      <c r="AR100" s="1">
        <f t="shared" si="40"/>
        <v>3.894448337535219</v>
      </c>
      <c r="AS100" s="1" t="e">
        <f t="shared" si="29"/>
        <v>#N/A</v>
      </c>
      <c r="AT100" s="1" t="e">
        <f t="shared" si="30"/>
        <v>#N/A</v>
      </c>
    </row>
    <row r="101" spans="3:46" s="10" customFormat="1" x14ac:dyDescent="0.25">
      <c r="Y101" s="1">
        <f t="shared" si="31"/>
        <v>0.73092116046723632</v>
      </c>
      <c r="Z101" s="1">
        <f t="shared" si="32"/>
        <v>2.4021443480272455</v>
      </c>
      <c r="AA101" s="1">
        <f t="shared" si="33"/>
        <v>2.2290409212932367</v>
      </c>
      <c r="AB101" s="1">
        <f t="shared" si="34"/>
        <v>2.952512566588835</v>
      </c>
      <c r="AC101" s="1">
        <f t="shared" si="35"/>
        <v>-2.0163010778330386</v>
      </c>
      <c r="AD101" s="1">
        <f t="shared" ref="AD101:AD104" si="45">SQRT(AB101^2+AC101^2)</f>
        <v>3.5753042517156022</v>
      </c>
      <c r="AE101" s="1">
        <f t="shared" ref="AE101:AE105" si="46">IFERROR($V$9*($D$13*2*PI())/AD101, 0)</f>
        <v>0.4692217386008341</v>
      </c>
      <c r="AF101" s="1">
        <f t="shared" si="26"/>
        <v>0.38153304316050041</v>
      </c>
      <c r="AG101" s="1">
        <f t="shared" ref="AG101:AG104" si="47">-$V$11*AB101*AD101 - $V$12*AF101*AC101*AD101</f>
        <v>-0.38525692963355129</v>
      </c>
      <c r="AH101" s="1">
        <f t="shared" ref="AH101:AH104" si="48">$V$12*AF101*AD101*AB101 - $V$11*AC101*AD101 - 9.8</f>
        <v>-8.6367530368056027</v>
      </c>
      <c r="AI101" s="1" t="b">
        <f t="shared" ref="AI101:AI104" si="49">OR(AA100&lt;0, Z100&gt;$V$6)</f>
        <v>1</v>
      </c>
      <c r="AJ101" s="1" t="e">
        <f t="shared" si="36"/>
        <v>#N/A</v>
      </c>
      <c r="AK101" s="1" t="e">
        <f t="shared" si="37"/>
        <v>#N/A</v>
      </c>
      <c r="AL101" s="1" t="e">
        <f t="shared" si="27"/>
        <v>#N/A</v>
      </c>
      <c r="AM101" s="1" t="e">
        <f t="shared" si="28"/>
        <v>#N/A</v>
      </c>
      <c r="AN101" s="1"/>
      <c r="AP101" s="1">
        <f t="shared" si="38"/>
        <v>1.9200000000000013</v>
      </c>
      <c r="AQ101" s="1">
        <f t="shared" si="39"/>
        <v>2.4987751605995712</v>
      </c>
      <c r="AR101" s="1">
        <f t="shared" si="40"/>
        <v>3.891131236614167</v>
      </c>
      <c r="AS101" s="1" t="e">
        <f t="shared" si="29"/>
        <v>#N/A</v>
      </c>
      <c r="AT101" s="1" t="e">
        <f t="shared" si="30"/>
        <v>#N/A</v>
      </c>
    </row>
    <row r="102" spans="3:46" s="10" customFormat="1" x14ac:dyDescent="0.25">
      <c r="Y102" s="1">
        <f t="shared" si="31"/>
        <v>0.73853492255543673</v>
      </c>
      <c r="Z102" s="1">
        <f t="shared" si="32"/>
        <v>2.4246240762716749</v>
      </c>
      <c r="AA102" s="1">
        <f t="shared" si="33"/>
        <v>2.2136892845884342</v>
      </c>
      <c r="AB102" s="1">
        <f t="shared" si="34"/>
        <v>2.9495793119837748</v>
      </c>
      <c r="AC102" s="1">
        <f t="shared" si="35"/>
        <v>-2.0820592606698183</v>
      </c>
      <c r="AD102" s="1">
        <f t="shared" si="45"/>
        <v>3.6104001000752848</v>
      </c>
      <c r="AE102" s="1">
        <f t="shared" si="46"/>
        <v>0.46466054468089762</v>
      </c>
      <c r="AF102" s="1">
        <f t="shared" si="26"/>
        <v>0.37879632680853859</v>
      </c>
      <c r="AG102" s="1">
        <f t="shared" si="47"/>
        <v>-0.37756099474603183</v>
      </c>
      <c r="AH102" s="1">
        <f t="shared" si="48"/>
        <v>-8.6122992413457133</v>
      </c>
      <c r="AI102" s="1" t="b">
        <f t="shared" si="49"/>
        <v>1</v>
      </c>
      <c r="AJ102" s="1" t="e">
        <f t="shared" si="36"/>
        <v>#N/A</v>
      </c>
      <c r="AK102" s="1" t="e">
        <f t="shared" si="37"/>
        <v>#N/A</v>
      </c>
      <c r="AL102" s="1" t="e">
        <f t="shared" si="27"/>
        <v>#N/A</v>
      </c>
      <c r="AM102" s="1" t="e">
        <f t="shared" si="28"/>
        <v>#N/A</v>
      </c>
      <c r="AN102" s="1"/>
      <c r="AP102" s="1">
        <f t="shared" si="38"/>
        <v>1.9400000000000013</v>
      </c>
      <c r="AQ102" s="1">
        <f t="shared" si="39"/>
        <v>2.4997030692362592</v>
      </c>
      <c r="AR102" s="1">
        <f t="shared" si="40"/>
        <v>3.8884661641804703</v>
      </c>
      <c r="AS102" s="1" t="e">
        <f t="shared" si="29"/>
        <v>#N/A</v>
      </c>
      <c r="AT102" s="1" t="e">
        <f t="shared" si="30"/>
        <v>#N/A</v>
      </c>
    </row>
    <row r="103" spans="3:46" s="10" customFormat="1" x14ac:dyDescent="0.25">
      <c r="Y103" s="1">
        <f t="shared" si="31"/>
        <v>0.74614868464363715</v>
      </c>
      <c r="Z103" s="1">
        <f t="shared" si="32"/>
        <v>2.447081471413397</v>
      </c>
      <c r="AA103" s="1">
        <f t="shared" si="33"/>
        <v>2.1978369807241598</v>
      </c>
      <c r="AB103" s="1">
        <f t="shared" si="34"/>
        <v>2.9467046523959941</v>
      </c>
      <c r="AC103" s="1">
        <f t="shared" si="35"/>
        <v>-2.1476312581258128</v>
      </c>
      <c r="AD103" s="1">
        <f t="shared" si="45"/>
        <v>3.6462841810987876</v>
      </c>
      <c r="AE103" s="1">
        <f t="shared" si="46"/>
        <v>0.46008769303093938</v>
      </c>
      <c r="AF103" s="1">
        <f t="shared" si="26"/>
        <v>0.37605261581856364</v>
      </c>
      <c r="AG103" s="1">
        <f t="shared" si="47"/>
        <v>-0.36998541420050962</v>
      </c>
      <c r="AH103" s="1">
        <f t="shared" si="48"/>
        <v>-8.5873718976130142</v>
      </c>
      <c r="AI103" s="1" t="b">
        <f t="shared" si="49"/>
        <v>1</v>
      </c>
      <c r="AJ103" s="1" t="e">
        <f t="shared" si="36"/>
        <v>#N/A</v>
      </c>
      <c r="AK103" s="1" t="e">
        <f t="shared" si="37"/>
        <v>#N/A</v>
      </c>
      <c r="AL103" s="1" t="e">
        <f t="shared" si="27"/>
        <v>#N/A</v>
      </c>
      <c r="AM103" s="1" t="e">
        <f t="shared" si="28"/>
        <v>#N/A</v>
      </c>
      <c r="AN103" s="1"/>
      <c r="AP103" s="1">
        <f t="shared" si="38"/>
        <v>1.9600000000000013</v>
      </c>
      <c r="AQ103" s="1">
        <f t="shared" si="39"/>
        <v>2.5003711634546755</v>
      </c>
      <c r="AR103" s="1">
        <f t="shared" si="40"/>
        <v>3.8864544615878907</v>
      </c>
      <c r="AS103" s="1" t="e">
        <f t="shared" si="29"/>
        <v>#N/A</v>
      </c>
      <c r="AT103" s="1" t="e">
        <f t="shared" si="30"/>
        <v>#N/A</v>
      </c>
    </row>
    <row r="104" spans="3:46" s="10" customFormat="1" x14ac:dyDescent="0.25">
      <c r="Y104" s="1">
        <f t="shared" si="31"/>
        <v>0.75376244673183757</v>
      </c>
      <c r="Z104" s="1">
        <f t="shared" si="32"/>
        <v>2.4695169795809333</v>
      </c>
      <c r="AA104" s="1">
        <f t="shared" si="33"/>
        <v>2.1814854272716073</v>
      </c>
      <c r="AB104" s="1">
        <f t="shared" si="34"/>
        <v>2.9438876714761673</v>
      </c>
      <c r="AC104" s="1">
        <f t="shared" si="35"/>
        <v>-2.213013464717136</v>
      </c>
      <c r="AD104" s="1">
        <f t="shared" si="45"/>
        <v>3.6829204739294483</v>
      </c>
      <c r="AE104" s="1">
        <f t="shared" si="46"/>
        <v>0.45551091556072687</v>
      </c>
      <c r="AF104" s="1">
        <f t="shared" si="26"/>
        <v>0.37330654933643614</v>
      </c>
      <c r="AG104" s="1">
        <f t="shared" si="47"/>
        <v>-0.36252172484259559</v>
      </c>
      <c r="AH104" s="1">
        <f t="shared" si="48"/>
        <v>-8.56196961896479</v>
      </c>
      <c r="AI104" s="1" t="b">
        <f t="shared" si="49"/>
        <v>1</v>
      </c>
      <c r="AJ104" s="1" t="e">
        <f t="shared" si="36"/>
        <v>#N/A</v>
      </c>
      <c r="AK104" s="1" t="e">
        <f t="shared" si="37"/>
        <v>#N/A</v>
      </c>
      <c r="AL104" s="1" t="e">
        <f t="shared" si="27"/>
        <v>#N/A</v>
      </c>
      <c r="AM104" s="1" t="e">
        <f t="shared" si="28"/>
        <v>#N/A</v>
      </c>
      <c r="AN104" s="1"/>
      <c r="AP104" s="1">
        <f t="shared" si="38"/>
        <v>1.9800000000000013</v>
      </c>
      <c r="AQ104" s="1">
        <f t="shared" si="39"/>
        <v>2.5007794432548178</v>
      </c>
      <c r="AR104" s="1">
        <f t="shared" si="40"/>
        <v>3.8850971437808983</v>
      </c>
      <c r="AS104" s="1" t="e">
        <f t="shared" si="29"/>
        <v>#N/A</v>
      </c>
      <c r="AT104" s="1" t="e">
        <f t="shared" si="30"/>
        <v>#N/A</v>
      </c>
    </row>
    <row r="105" spans="3:46" s="10" customFormat="1" x14ac:dyDescent="0.25">
      <c r="C105" s="1"/>
      <c r="D105" s="1"/>
      <c r="Y105" s="1">
        <f t="shared" si="31"/>
        <v>0.76137620882003798</v>
      </c>
      <c r="Z105" s="1">
        <f t="shared" si="32"/>
        <v>2.4919310399259391</v>
      </c>
      <c r="AA105" s="1">
        <f t="shared" si="33"/>
        <v>2.1646360692532669</v>
      </c>
      <c r="AB105" s="1">
        <f t="shared" si="34"/>
        <v>2.9411275173114118</v>
      </c>
      <c r="AC105" s="1">
        <f t="shared" si="35"/>
        <v>-2.2782022644023332</v>
      </c>
      <c r="AD105" s="1">
        <f t="shared" ref="AD105" si="50">SQRT(AB105^2+AC105^2)</f>
        <v>3.7202737306029388</v>
      </c>
      <c r="AE105" s="1">
        <f t="shared" si="46"/>
        <v>0.45093737678949269</v>
      </c>
      <c r="AF105" s="1">
        <f t="shared" si="26"/>
        <v>0.37056242607369561</v>
      </c>
      <c r="AG105" s="1">
        <f t="shared" ref="AG105" si="51">-$V$11*AB105*AD105 - $V$12*AF105*AC105*AD105</f>
        <v>-0.35516183618289415</v>
      </c>
      <c r="AH105" s="1">
        <f t="shared" ref="AH105" si="52">$V$12*AF105*AD105*AB105 - $V$11*AC105*AD105 - 9.8</f>
        <v>-8.536091655262819</v>
      </c>
      <c r="AI105" s="1" t="b">
        <f t="shared" ref="AI105" si="53">OR(AA104&lt;0, Z104&gt;$V$6)</f>
        <v>1</v>
      </c>
      <c r="AJ105" s="1" t="e">
        <f t="shared" si="36"/>
        <v>#N/A</v>
      </c>
      <c r="AK105" s="1" t="e">
        <f t="shared" si="37"/>
        <v>#N/A</v>
      </c>
      <c r="AL105" s="1" t="e">
        <f t="shared" si="27"/>
        <v>#N/A</v>
      </c>
      <c r="AM105" s="1" t="e">
        <f t="shared" si="28"/>
        <v>#N/A</v>
      </c>
      <c r="AN105" s="1"/>
      <c r="AP105" s="1">
        <f t="shared" si="38"/>
        <v>2.0000000000000013</v>
      </c>
      <c r="AQ105" s="1">
        <f t="shared" si="39"/>
        <v>2.5009279086366876</v>
      </c>
      <c r="AR105" s="1">
        <f t="shared" si="40"/>
        <v>3.8843948967414179</v>
      </c>
      <c r="AS105" s="1" t="e">
        <f t="shared" si="29"/>
        <v>#N/A</v>
      </c>
      <c r="AT105" s="1" t="e">
        <f t="shared" si="30"/>
        <v>#N/A</v>
      </c>
    </row>
    <row r="106" spans="3:46" s="10" customFormat="1" x14ac:dyDescent="0.25">
      <c r="E106" s="1"/>
      <c r="F106" s="1"/>
      <c r="G106" s="1"/>
    </row>
    <row r="107" spans="3:46" s="10" customFormat="1" x14ac:dyDescent="0.25"/>
    <row r="108" spans="3:46" s="10" customFormat="1" x14ac:dyDescent="0.25"/>
    <row r="109" spans="3:46" x14ac:dyDescent="0.25">
      <c r="C109" s="10"/>
      <c r="D109" s="10"/>
      <c r="E109" s="10"/>
      <c r="F109" s="10"/>
      <c r="G109" s="10"/>
    </row>
    <row r="110" spans="3:46" x14ac:dyDescent="0.25">
      <c r="C110" s="10"/>
      <c r="D110" s="10"/>
      <c r="E110" s="10"/>
      <c r="F110" s="10"/>
      <c r="G110" s="10"/>
    </row>
    <row r="111" spans="3:46" s="10" customFormat="1" x14ac:dyDescent="0.25">
      <c r="C111" s="1"/>
      <c r="D111" s="1"/>
    </row>
    <row r="112" spans="3:46" s="10" customFormat="1" x14ac:dyDescent="0.25">
      <c r="C112" s="1"/>
      <c r="D112" s="1"/>
      <c r="E112" s="1"/>
      <c r="F112" s="1"/>
      <c r="G112" s="1"/>
    </row>
    <row r="113" spans="3:7" s="10" customFormat="1" x14ac:dyDescent="0.25">
      <c r="C113" s="1"/>
      <c r="D113" s="1"/>
      <c r="E113" s="1"/>
      <c r="F113" s="1"/>
      <c r="G113" s="1"/>
    </row>
    <row r="114" spans="3:7" s="10" customFormat="1" x14ac:dyDescent="0.25">
      <c r="C114" s="1"/>
      <c r="D114" s="1"/>
      <c r="E114" s="1"/>
      <c r="F114" s="1"/>
      <c r="G114" s="1"/>
    </row>
    <row r="115" spans="3:7" s="10" customFormat="1" x14ac:dyDescent="0.25">
      <c r="C115" s="1"/>
      <c r="D115" s="1"/>
      <c r="E115" s="1"/>
      <c r="F115" s="1"/>
      <c r="G115" s="1"/>
    </row>
    <row r="117" spans="3:7" s="10" customFormat="1" x14ac:dyDescent="0.25">
      <c r="C117" s="1"/>
      <c r="D117" s="1"/>
      <c r="E117" s="1"/>
      <c r="F117" s="1"/>
      <c r="G117" s="1"/>
    </row>
    <row r="118" spans="3:7" s="10" customFormat="1" x14ac:dyDescent="0.25">
      <c r="C118" s="1"/>
      <c r="D118" s="1"/>
      <c r="E118" s="1"/>
      <c r="F118" s="1"/>
      <c r="G118" s="1"/>
    </row>
    <row r="119" spans="3:7" s="10" customFormat="1" x14ac:dyDescent="0.25">
      <c r="C119" s="1"/>
      <c r="D119" s="1"/>
      <c r="E119" s="1"/>
      <c r="F119" s="1"/>
      <c r="G119" s="1"/>
    </row>
    <row r="120" spans="3:7" s="10" customFormat="1" x14ac:dyDescent="0.25">
      <c r="C120" s="1"/>
      <c r="D120" s="1"/>
      <c r="E120" s="1"/>
      <c r="F120" s="1"/>
      <c r="G120" s="1"/>
    </row>
    <row r="121" spans="3:7" s="10" customFormat="1" x14ac:dyDescent="0.25">
      <c r="C121" s="1"/>
      <c r="D121" s="1"/>
      <c r="E121" s="1"/>
      <c r="F121" s="1"/>
      <c r="G121" s="1"/>
    </row>
  </sheetData>
  <sheetProtection formatCells="0" formatColumns="0" formatRows="0"/>
  <mergeCells count="7">
    <mergeCell ref="F32:G35"/>
    <mergeCell ref="C24:D28"/>
    <mergeCell ref="I3:J3"/>
    <mergeCell ref="C6:D6"/>
    <mergeCell ref="F6:G6"/>
    <mergeCell ref="F19:G22"/>
    <mergeCell ref="C31:D31"/>
  </mergeCells>
  <conditionalFormatting sqref="D33">
    <cfRule type="expression" dxfId="1" priority="2">
      <formula>ISTEXT(D33)</formula>
    </cfRule>
  </conditionalFormatting>
  <conditionalFormatting sqref="D33">
    <cfRule type="containsBlanks" dxfId="0" priority="1">
      <formula>LEN(TRIM(D33))=0</formula>
    </cfRule>
  </conditionalFormatting>
  <dataValidations count="1">
    <dataValidation type="list" allowBlank="1" showInputMessage="1" showErrorMessage="1" sqref="I3">
      <formula1>"Forward,Reverse"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1]!Projectile_Metric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209550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´ÖÓÎÉÇØÍÐÉ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2020-04-06T22:59:51Z</dcterms:created>
  <dcterms:modified xsi:type="dcterms:W3CDTF">2020-04-11T22:21:43Z</dcterms:modified>
</cp:coreProperties>
</file>