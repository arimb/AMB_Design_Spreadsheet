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defaultThemeVersion="124226"/>
  <bookViews>
    <workbookView xWindow="480" yWindow="30" windowWidth="18195" windowHeight="11310"/>
  </bookViews>
  <sheets>
    <sheet name="´ÖÓÎÉÇØÍÐÉ" sheetId="1" r:id="rId1"/>
  </sheets>
  <externalReferences>
    <externalReference r:id="rId2"/>
  </externalReferences>
  <calcPr calcId="145621"/>
</workbook>
</file>

<file path=xl/calcChain.xml><?xml version="1.0" encoding="utf-8"?>
<calcChain xmlns="http://schemas.openxmlformats.org/spreadsheetml/2006/main">
  <c r="AP6" i="1" l="1"/>
  <c r="AS5" i="1"/>
  <c r="AS6" i="1" l="1"/>
  <c r="AP7" i="1"/>
  <c r="AS7" i="1" s="1"/>
  <c r="G13" i="1"/>
  <c r="AL5" i="1"/>
  <c r="AJ5" i="1"/>
  <c r="AM5" i="1"/>
  <c r="V5" i="1"/>
  <c r="V6" i="1"/>
  <c r="V7" i="1"/>
  <c r="V14" i="1"/>
  <c r="V8" i="1"/>
  <c r="V4" i="1" l="1"/>
  <c r="AP8" i="1"/>
  <c r="AS8" i="1" s="1"/>
  <c r="F14" i="1"/>
  <c r="C19" i="1"/>
  <c r="V15" i="1"/>
  <c r="D35" i="1"/>
  <c r="V9" i="1"/>
  <c r="C33" i="1"/>
  <c r="C32" i="1"/>
  <c r="AI5" i="1"/>
  <c r="AP9" i="1" l="1"/>
  <c r="AS9" i="1" s="1"/>
  <c r="AP10" i="1"/>
  <c r="AS10" i="1" s="1"/>
  <c r="V10" i="1"/>
  <c r="AP11" i="1" l="1"/>
  <c r="AS11" i="1" s="1"/>
  <c r="V12" i="1"/>
  <c r="V11" i="1"/>
  <c r="C15" i="1"/>
  <c r="AA5" i="1"/>
  <c r="AK5" i="1" s="1"/>
  <c r="C14" i="1"/>
  <c r="AP12" i="1" l="1"/>
  <c r="AS12" i="1" s="1"/>
  <c r="AI6" i="1"/>
  <c r="F12" i="1"/>
  <c r="C17" i="1"/>
  <c r="F17" i="1"/>
  <c r="C22" i="1"/>
  <c r="F16" i="1"/>
  <c r="C21" i="1"/>
  <c r="F9" i="1"/>
  <c r="C9" i="1"/>
  <c r="F8" i="1"/>
  <c r="C8" i="1"/>
  <c r="F7" i="1"/>
  <c r="C7" i="1"/>
  <c r="AP13" i="1" l="1"/>
  <c r="AS13" i="1" s="1"/>
  <c r="G12" i="1"/>
  <c r="AQ7" i="1" l="1"/>
  <c r="AT7" i="1" s="1"/>
  <c r="AQ5" i="1"/>
  <c r="AT5" i="1" s="1"/>
  <c r="AQ8" i="1"/>
  <c r="AT8" i="1" s="1"/>
  <c r="AQ6" i="1"/>
  <c r="AT6" i="1" s="1"/>
  <c r="AQ9" i="1"/>
  <c r="AT9" i="1" s="1"/>
  <c r="AQ10" i="1"/>
  <c r="AT10" i="1" s="1"/>
  <c r="AQ11" i="1"/>
  <c r="AT11" i="1" s="1"/>
  <c r="AQ12" i="1"/>
  <c r="AT12" i="1" s="1"/>
  <c r="AQ13" i="1"/>
  <c r="AT13" i="1" s="1"/>
  <c r="AP14" i="1"/>
  <c r="AS14" i="1" s="1"/>
  <c r="AR5" i="1"/>
  <c r="Y6" i="1"/>
  <c r="Y7" i="1" s="1"/>
  <c r="AC5" i="1"/>
  <c r="AA6" i="1" s="1"/>
  <c r="AB5" i="1"/>
  <c r="Z6" i="1" s="1"/>
  <c r="AR7" i="1" l="1"/>
  <c r="AQ14" i="1"/>
  <c r="AT14" i="1" s="1"/>
  <c r="AP15" i="1"/>
  <c r="AS15" i="1" s="1"/>
  <c r="AR11" i="1"/>
  <c r="AR10" i="1"/>
  <c r="AR9" i="1"/>
  <c r="AR6" i="1"/>
  <c r="AR12" i="1"/>
  <c r="AR8" i="1"/>
  <c r="AR13" i="1"/>
  <c r="Y8" i="1"/>
  <c r="AD5" i="1"/>
  <c r="AE5" i="1" s="1"/>
  <c r="AF5" i="1" s="1"/>
  <c r="AQ15" i="1" l="1"/>
  <c r="AT15" i="1" s="1"/>
  <c r="AP16" i="1"/>
  <c r="AS16" i="1" s="1"/>
  <c r="AR14" i="1"/>
  <c r="Y9" i="1"/>
  <c r="AH5" i="1"/>
  <c r="AG5" i="1"/>
  <c r="AJ6" i="1" l="1"/>
  <c r="AL6" i="1" s="1"/>
  <c r="AB6" i="1"/>
  <c r="AK6" i="1"/>
  <c r="AM6" i="1" s="1"/>
  <c r="AC6" i="1"/>
  <c r="AQ16" i="1"/>
  <c r="AT16" i="1" s="1"/>
  <c r="AP17" i="1"/>
  <c r="AS17" i="1" s="1"/>
  <c r="AR15" i="1"/>
  <c r="Y10" i="1"/>
  <c r="AI7" i="1"/>
  <c r="AA7" i="1" l="1"/>
  <c r="AQ17" i="1"/>
  <c r="AT17" i="1" s="1"/>
  <c r="AP18" i="1"/>
  <c r="AS18" i="1" s="1"/>
  <c r="AR16" i="1"/>
  <c r="Y11" i="1"/>
  <c r="AQ18" i="1" l="1"/>
  <c r="AT18" i="1" s="1"/>
  <c r="AP19" i="1"/>
  <c r="AS19" i="1" s="1"/>
  <c r="AR17" i="1"/>
  <c r="Y12" i="1"/>
  <c r="AQ19" i="1" l="1"/>
  <c r="AT19" i="1" s="1"/>
  <c r="AP20" i="1"/>
  <c r="AS20" i="1" s="1"/>
  <c r="AR18" i="1"/>
  <c r="Y13" i="1"/>
  <c r="AQ20" i="1" l="1"/>
  <c r="AT20" i="1" s="1"/>
  <c r="AP21" i="1"/>
  <c r="AS21" i="1" s="1"/>
  <c r="AR19" i="1"/>
  <c r="Y14" i="1"/>
  <c r="AQ21" i="1" l="1"/>
  <c r="AT21" i="1" s="1"/>
  <c r="AP22" i="1"/>
  <c r="AS22" i="1" s="1"/>
  <c r="AR20" i="1"/>
  <c r="Y15" i="1"/>
  <c r="AQ22" i="1" l="1"/>
  <c r="AT22" i="1" s="1"/>
  <c r="AP23" i="1"/>
  <c r="AS23" i="1" s="1"/>
  <c r="AR21" i="1"/>
  <c r="Y16" i="1"/>
  <c r="AQ23" i="1" l="1"/>
  <c r="AT23" i="1" s="1"/>
  <c r="AP24" i="1"/>
  <c r="AS24" i="1" s="1"/>
  <c r="AR22" i="1"/>
  <c r="Y17" i="1"/>
  <c r="AQ24" i="1" l="1"/>
  <c r="AT24" i="1" s="1"/>
  <c r="AP25" i="1"/>
  <c r="AS25" i="1" s="1"/>
  <c r="AR23" i="1"/>
  <c r="Y18" i="1"/>
  <c r="AQ25" i="1" l="1"/>
  <c r="AT25" i="1" s="1"/>
  <c r="AP26" i="1"/>
  <c r="AS26" i="1" s="1"/>
  <c r="AR24" i="1"/>
  <c r="Y19" i="1"/>
  <c r="AQ26" i="1" l="1"/>
  <c r="AT26" i="1" s="1"/>
  <c r="AP27" i="1"/>
  <c r="AS27" i="1" s="1"/>
  <c r="AR25" i="1"/>
  <c r="Y20" i="1"/>
  <c r="AQ27" i="1" l="1"/>
  <c r="AT27" i="1" s="1"/>
  <c r="AP28" i="1"/>
  <c r="AS28" i="1" s="1"/>
  <c r="AR26" i="1"/>
  <c r="Y21" i="1"/>
  <c r="AQ28" i="1" l="1"/>
  <c r="AT28" i="1" s="1"/>
  <c r="AP29" i="1"/>
  <c r="AS29" i="1" s="1"/>
  <c r="AR27" i="1"/>
  <c r="Y22" i="1"/>
  <c r="AQ29" i="1" l="1"/>
  <c r="AT29" i="1" s="1"/>
  <c r="AP30" i="1"/>
  <c r="AS30" i="1" s="1"/>
  <c r="AR28" i="1"/>
  <c r="Y23" i="1"/>
  <c r="AQ30" i="1" l="1"/>
  <c r="AT30" i="1" s="1"/>
  <c r="AP31" i="1"/>
  <c r="AS31" i="1" s="1"/>
  <c r="AR29" i="1"/>
  <c r="Y24" i="1"/>
  <c r="AQ31" i="1" l="1"/>
  <c r="AT31" i="1" s="1"/>
  <c r="AP32" i="1"/>
  <c r="AS32" i="1" s="1"/>
  <c r="AR30" i="1"/>
  <c r="Y25" i="1"/>
  <c r="AQ32" i="1" l="1"/>
  <c r="AT32" i="1" s="1"/>
  <c r="AP33" i="1"/>
  <c r="AS33" i="1" s="1"/>
  <c r="AR31" i="1"/>
  <c r="Y26" i="1"/>
  <c r="AQ33" i="1" l="1"/>
  <c r="AT33" i="1" s="1"/>
  <c r="AP34" i="1"/>
  <c r="AS34" i="1" s="1"/>
  <c r="AR32" i="1"/>
  <c r="Y27" i="1"/>
  <c r="AQ34" i="1" l="1"/>
  <c r="AT34" i="1" s="1"/>
  <c r="AP35" i="1"/>
  <c r="AS35" i="1" s="1"/>
  <c r="AR33" i="1"/>
  <c r="Y28" i="1"/>
  <c r="AQ35" i="1" l="1"/>
  <c r="AT35" i="1" s="1"/>
  <c r="AP36" i="1"/>
  <c r="AS36" i="1" s="1"/>
  <c r="AR34" i="1"/>
  <c r="Y29" i="1"/>
  <c r="AQ36" i="1" l="1"/>
  <c r="AT36" i="1" s="1"/>
  <c r="AP37" i="1"/>
  <c r="AS37" i="1" s="1"/>
  <c r="AR35" i="1"/>
  <c r="Y30" i="1"/>
  <c r="AQ37" i="1" l="1"/>
  <c r="AT37" i="1" s="1"/>
  <c r="AP38" i="1"/>
  <c r="AS38" i="1" s="1"/>
  <c r="AR36" i="1"/>
  <c r="Y31" i="1"/>
  <c r="AQ38" i="1" l="1"/>
  <c r="AT38" i="1" s="1"/>
  <c r="AP39" i="1"/>
  <c r="AS39" i="1" s="1"/>
  <c r="AR37" i="1"/>
  <c r="Y32" i="1"/>
  <c r="AQ39" i="1" l="1"/>
  <c r="AT39" i="1" s="1"/>
  <c r="AP40" i="1"/>
  <c r="AS40" i="1" s="1"/>
  <c r="AR38" i="1"/>
  <c r="Y33" i="1"/>
  <c r="AQ40" i="1" l="1"/>
  <c r="AT40" i="1" s="1"/>
  <c r="AP41" i="1"/>
  <c r="AS41" i="1" s="1"/>
  <c r="AR39" i="1"/>
  <c r="Y34" i="1"/>
  <c r="AQ41" i="1" l="1"/>
  <c r="AT41" i="1" s="1"/>
  <c r="AP42" i="1"/>
  <c r="AS42" i="1" s="1"/>
  <c r="AR40" i="1"/>
  <c r="Y35" i="1"/>
  <c r="AQ42" i="1" l="1"/>
  <c r="AT42" i="1" s="1"/>
  <c r="AP43" i="1"/>
  <c r="AS43" i="1" s="1"/>
  <c r="AR41" i="1"/>
  <c r="Y36" i="1"/>
  <c r="AQ43" i="1" l="1"/>
  <c r="AT43" i="1" s="1"/>
  <c r="AP44" i="1"/>
  <c r="AS44" i="1" s="1"/>
  <c r="AR42" i="1"/>
  <c r="Y37" i="1"/>
  <c r="AQ44" i="1" l="1"/>
  <c r="AT44" i="1" s="1"/>
  <c r="AP45" i="1"/>
  <c r="AS45" i="1" s="1"/>
  <c r="AR43" i="1"/>
  <c r="Y38" i="1"/>
  <c r="AQ45" i="1" l="1"/>
  <c r="AT45" i="1" s="1"/>
  <c r="AP46" i="1"/>
  <c r="AS46" i="1" s="1"/>
  <c r="AR44" i="1"/>
  <c r="Y39" i="1"/>
  <c r="AQ46" i="1" l="1"/>
  <c r="AT46" i="1" s="1"/>
  <c r="AP47" i="1"/>
  <c r="AS47" i="1" s="1"/>
  <c r="AR45" i="1"/>
  <c r="Y40" i="1"/>
  <c r="AQ47" i="1" l="1"/>
  <c r="AT47" i="1" s="1"/>
  <c r="AP48" i="1"/>
  <c r="AS48" i="1" s="1"/>
  <c r="AR46" i="1"/>
  <c r="Y41" i="1"/>
  <c r="AQ48" i="1" l="1"/>
  <c r="AT48" i="1" s="1"/>
  <c r="AP49" i="1"/>
  <c r="AS49" i="1" s="1"/>
  <c r="AR47" i="1"/>
  <c r="Y42" i="1"/>
  <c r="AQ49" i="1" l="1"/>
  <c r="AT49" i="1" s="1"/>
  <c r="AP50" i="1"/>
  <c r="AS50" i="1" s="1"/>
  <c r="AR48" i="1"/>
  <c r="Y43" i="1"/>
  <c r="AQ50" i="1" l="1"/>
  <c r="AT50" i="1" s="1"/>
  <c r="AP51" i="1"/>
  <c r="AS51" i="1" s="1"/>
  <c r="AR49" i="1"/>
  <c r="Y44" i="1"/>
  <c r="AQ51" i="1" l="1"/>
  <c r="AT51" i="1" s="1"/>
  <c r="AP52" i="1"/>
  <c r="AS52" i="1" s="1"/>
  <c r="AR50" i="1"/>
  <c r="Y45" i="1"/>
  <c r="AQ52" i="1" l="1"/>
  <c r="AT52" i="1" s="1"/>
  <c r="AP53" i="1"/>
  <c r="AS53" i="1" s="1"/>
  <c r="AR51" i="1"/>
  <c r="Y46" i="1"/>
  <c r="AQ53" i="1" l="1"/>
  <c r="AT53" i="1" s="1"/>
  <c r="AP54" i="1"/>
  <c r="AS54" i="1" s="1"/>
  <c r="AR52" i="1"/>
  <c r="Y47" i="1"/>
  <c r="AQ54" i="1" l="1"/>
  <c r="AT54" i="1" s="1"/>
  <c r="AP55" i="1"/>
  <c r="AS55" i="1" s="1"/>
  <c r="AR53" i="1"/>
  <c r="Y48" i="1"/>
  <c r="AQ55" i="1" l="1"/>
  <c r="AT55" i="1" s="1"/>
  <c r="AP56" i="1"/>
  <c r="AS56" i="1" s="1"/>
  <c r="AR54" i="1"/>
  <c r="Y49" i="1"/>
  <c r="AQ56" i="1" l="1"/>
  <c r="AT56" i="1" s="1"/>
  <c r="AP57" i="1"/>
  <c r="AS57" i="1" s="1"/>
  <c r="AR55" i="1"/>
  <c r="Y50" i="1"/>
  <c r="AQ57" i="1" l="1"/>
  <c r="AT57" i="1" s="1"/>
  <c r="AP58" i="1"/>
  <c r="AS58" i="1" s="1"/>
  <c r="AR56" i="1"/>
  <c r="Y51" i="1"/>
  <c r="AQ58" i="1" l="1"/>
  <c r="AT58" i="1" s="1"/>
  <c r="AP59" i="1"/>
  <c r="AS59" i="1" s="1"/>
  <c r="AR57" i="1"/>
  <c r="Y52" i="1"/>
  <c r="AQ59" i="1" l="1"/>
  <c r="AT59" i="1" s="1"/>
  <c r="AP60" i="1"/>
  <c r="AS60" i="1" s="1"/>
  <c r="AR58" i="1"/>
  <c r="Y53" i="1"/>
  <c r="AQ60" i="1" l="1"/>
  <c r="AT60" i="1" s="1"/>
  <c r="AP61" i="1"/>
  <c r="AS61" i="1" s="1"/>
  <c r="AR59" i="1"/>
  <c r="Y54" i="1"/>
  <c r="AQ61" i="1" l="1"/>
  <c r="AT61" i="1" s="1"/>
  <c r="AP62" i="1"/>
  <c r="AS62" i="1" s="1"/>
  <c r="AR60" i="1"/>
  <c r="Y55" i="1"/>
  <c r="AQ62" i="1" l="1"/>
  <c r="AT62" i="1" s="1"/>
  <c r="AP63" i="1"/>
  <c r="AS63" i="1" s="1"/>
  <c r="AR61" i="1"/>
  <c r="Y56" i="1"/>
  <c r="AQ63" i="1" l="1"/>
  <c r="AT63" i="1" s="1"/>
  <c r="AP64" i="1"/>
  <c r="AS64" i="1" s="1"/>
  <c r="AR62" i="1"/>
  <c r="Y57" i="1"/>
  <c r="AQ64" i="1" l="1"/>
  <c r="AT64" i="1" s="1"/>
  <c r="AP65" i="1"/>
  <c r="AS65" i="1" s="1"/>
  <c r="AR63" i="1"/>
  <c r="Y58" i="1"/>
  <c r="AQ65" i="1" l="1"/>
  <c r="AT65" i="1" s="1"/>
  <c r="AP66" i="1"/>
  <c r="AS66" i="1" s="1"/>
  <c r="AR64" i="1"/>
  <c r="Y59" i="1"/>
  <c r="AQ66" i="1" l="1"/>
  <c r="AT66" i="1" s="1"/>
  <c r="AP67" i="1"/>
  <c r="AS67" i="1" s="1"/>
  <c r="AR65" i="1"/>
  <c r="Y60" i="1"/>
  <c r="AQ67" i="1" l="1"/>
  <c r="AT67" i="1" s="1"/>
  <c r="AP68" i="1"/>
  <c r="AS68" i="1" s="1"/>
  <c r="AR66" i="1"/>
  <c r="Y61" i="1"/>
  <c r="AQ68" i="1" l="1"/>
  <c r="AT68" i="1" s="1"/>
  <c r="AP69" i="1"/>
  <c r="AS69" i="1" s="1"/>
  <c r="AR67" i="1"/>
  <c r="Y62" i="1"/>
  <c r="AQ69" i="1" l="1"/>
  <c r="AT69" i="1" s="1"/>
  <c r="AP70" i="1"/>
  <c r="AS70" i="1" s="1"/>
  <c r="AR68" i="1"/>
  <c r="Y63" i="1"/>
  <c r="AQ70" i="1" l="1"/>
  <c r="AT70" i="1" s="1"/>
  <c r="AP71" i="1"/>
  <c r="AS71" i="1" s="1"/>
  <c r="AR69" i="1"/>
  <c r="Y64" i="1"/>
  <c r="AQ71" i="1" l="1"/>
  <c r="AT71" i="1" s="1"/>
  <c r="AP72" i="1"/>
  <c r="AS72" i="1" s="1"/>
  <c r="AR70" i="1"/>
  <c r="Y65" i="1"/>
  <c r="AQ72" i="1" l="1"/>
  <c r="AT72" i="1" s="1"/>
  <c r="AP73" i="1"/>
  <c r="AS73" i="1" s="1"/>
  <c r="AR71" i="1"/>
  <c r="Y66" i="1"/>
  <c r="AQ73" i="1" l="1"/>
  <c r="AT73" i="1" s="1"/>
  <c r="AP74" i="1"/>
  <c r="AS74" i="1" s="1"/>
  <c r="AR72" i="1"/>
  <c r="Y67" i="1"/>
  <c r="AQ74" i="1" l="1"/>
  <c r="AT74" i="1" s="1"/>
  <c r="AP75" i="1"/>
  <c r="AS75" i="1" s="1"/>
  <c r="AR73" i="1"/>
  <c r="Y68" i="1"/>
  <c r="AQ75" i="1" l="1"/>
  <c r="AT75" i="1" s="1"/>
  <c r="AP76" i="1"/>
  <c r="AS76" i="1" s="1"/>
  <c r="AR74" i="1"/>
  <c r="Y69" i="1"/>
  <c r="AQ76" i="1" l="1"/>
  <c r="AT76" i="1" s="1"/>
  <c r="AP77" i="1"/>
  <c r="AS77" i="1" s="1"/>
  <c r="AR75" i="1"/>
  <c r="Y70" i="1"/>
  <c r="AQ77" i="1" l="1"/>
  <c r="AT77" i="1" s="1"/>
  <c r="AP78" i="1"/>
  <c r="AS78" i="1" s="1"/>
  <c r="AR76" i="1"/>
  <c r="Y71" i="1"/>
  <c r="AQ78" i="1" l="1"/>
  <c r="AT78" i="1" s="1"/>
  <c r="AP79" i="1"/>
  <c r="AS79" i="1" s="1"/>
  <c r="AR77" i="1"/>
  <c r="Y72" i="1"/>
  <c r="AQ79" i="1" l="1"/>
  <c r="AT79" i="1" s="1"/>
  <c r="AP80" i="1"/>
  <c r="AS80" i="1" s="1"/>
  <c r="AR78" i="1"/>
  <c r="Y73" i="1"/>
  <c r="AQ80" i="1" l="1"/>
  <c r="AT80" i="1" s="1"/>
  <c r="AP81" i="1"/>
  <c r="AS81" i="1" s="1"/>
  <c r="AR79" i="1"/>
  <c r="Y74" i="1"/>
  <c r="AQ81" i="1" l="1"/>
  <c r="AT81" i="1" s="1"/>
  <c r="AP82" i="1"/>
  <c r="AS82" i="1" s="1"/>
  <c r="AR80" i="1"/>
  <c r="Y75" i="1"/>
  <c r="AQ82" i="1" l="1"/>
  <c r="AT82" i="1" s="1"/>
  <c r="AP83" i="1"/>
  <c r="AS83" i="1" s="1"/>
  <c r="AR81" i="1"/>
  <c r="Y76" i="1"/>
  <c r="AQ83" i="1" l="1"/>
  <c r="AT83" i="1" s="1"/>
  <c r="AP84" i="1"/>
  <c r="AS84" i="1" s="1"/>
  <c r="AR82" i="1"/>
  <c r="Y77" i="1"/>
  <c r="AQ84" i="1" l="1"/>
  <c r="AT84" i="1" s="1"/>
  <c r="AP85" i="1"/>
  <c r="AS85" i="1" s="1"/>
  <c r="AR83" i="1"/>
  <c r="Y78" i="1"/>
  <c r="AQ85" i="1" l="1"/>
  <c r="AT85" i="1" s="1"/>
  <c r="AP86" i="1"/>
  <c r="AS86" i="1" s="1"/>
  <c r="AR84" i="1"/>
  <c r="Y79" i="1"/>
  <c r="AP87" i="1" l="1"/>
  <c r="AS87" i="1" s="1"/>
  <c r="AQ86" i="1"/>
  <c r="AT86" i="1" s="1"/>
  <c r="AR85" i="1"/>
  <c r="Y80" i="1"/>
  <c r="AQ87" i="1" l="1"/>
  <c r="AT87" i="1" s="1"/>
  <c r="AP88" i="1"/>
  <c r="AS88" i="1" s="1"/>
  <c r="AR86" i="1"/>
  <c r="Y81" i="1"/>
  <c r="AQ88" i="1" l="1"/>
  <c r="AT88" i="1" s="1"/>
  <c r="AP89" i="1"/>
  <c r="AS89" i="1" s="1"/>
  <c r="AR87" i="1"/>
  <c r="Y82" i="1"/>
  <c r="AQ89" i="1" l="1"/>
  <c r="AT89" i="1" s="1"/>
  <c r="AP90" i="1"/>
  <c r="AS90" i="1" s="1"/>
  <c r="AR88" i="1"/>
  <c r="Y83" i="1"/>
  <c r="AQ90" i="1" l="1"/>
  <c r="AT90" i="1" s="1"/>
  <c r="AP91" i="1"/>
  <c r="AS91" i="1" s="1"/>
  <c r="AR89" i="1"/>
  <c r="Y84" i="1"/>
  <c r="AQ91" i="1" l="1"/>
  <c r="AT91" i="1" s="1"/>
  <c r="AP92" i="1"/>
  <c r="AS92" i="1" s="1"/>
  <c r="AR90" i="1"/>
  <c r="Y85" i="1"/>
  <c r="AQ92" i="1" l="1"/>
  <c r="AT92" i="1" s="1"/>
  <c r="AP93" i="1"/>
  <c r="AS93" i="1" s="1"/>
  <c r="AR91" i="1"/>
  <c r="Y86" i="1"/>
  <c r="AQ93" i="1" l="1"/>
  <c r="AT93" i="1" s="1"/>
  <c r="AP94" i="1"/>
  <c r="AS94" i="1" s="1"/>
  <c r="AR92" i="1"/>
  <c r="Y87" i="1"/>
  <c r="AP95" i="1" l="1"/>
  <c r="AS95" i="1" s="1"/>
  <c r="AQ94" i="1"/>
  <c r="AT94" i="1" s="1"/>
  <c r="AR93" i="1"/>
  <c r="Y88" i="1"/>
  <c r="AQ95" i="1" l="1"/>
  <c r="AT95" i="1" s="1"/>
  <c r="AP96" i="1"/>
  <c r="AS96" i="1" s="1"/>
  <c r="AR94" i="1"/>
  <c r="Y89" i="1"/>
  <c r="AQ96" i="1" l="1"/>
  <c r="AT96" i="1" s="1"/>
  <c r="AP97" i="1"/>
  <c r="AS97" i="1" s="1"/>
  <c r="AR95" i="1"/>
  <c r="Y90" i="1"/>
  <c r="AQ97" i="1" l="1"/>
  <c r="AT97" i="1" s="1"/>
  <c r="AP98" i="1"/>
  <c r="AS98" i="1" s="1"/>
  <c r="AR96" i="1"/>
  <c r="Y91" i="1"/>
  <c r="AQ98" i="1" l="1"/>
  <c r="AT98" i="1" s="1"/>
  <c r="AP99" i="1"/>
  <c r="AS99" i="1" s="1"/>
  <c r="AR97" i="1"/>
  <c r="Y92" i="1"/>
  <c r="AQ99" i="1" l="1"/>
  <c r="AT99" i="1" s="1"/>
  <c r="AP100" i="1"/>
  <c r="AS100" i="1" s="1"/>
  <c r="AR98" i="1"/>
  <c r="Y93" i="1"/>
  <c r="AQ100" i="1" l="1"/>
  <c r="AT100" i="1" s="1"/>
  <c r="AP101" i="1"/>
  <c r="AS101" i="1" s="1"/>
  <c r="AR99" i="1"/>
  <c r="Y94" i="1"/>
  <c r="AQ101" i="1" l="1"/>
  <c r="AT101" i="1" s="1"/>
  <c r="AP102" i="1"/>
  <c r="AS102" i="1" s="1"/>
  <c r="AR100" i="1"/>
  <c r="Y95" i="1"/>
  <c r="AP103" i="1" l="1"/>
  <c r="AS103" i="1" s="1"/>
  <c r="AQ102" i="1"/>
  <c r="AT102" i="1" s="1"/>
  <c r="AR101" i="1"/>
  <c r="Y96" i="1"/>
  <c r="AQ103" i="1" l="1"/>
  <c r="AT103" i="1" s="1"/>
  <c r="AP104" i="1"/>
  <c r="AS104" i="1" s="1"/>
  <c r="AR102" i="1"/>
  <c r="Y97" i="1"/>
  <c r="AQ104" i="1" l="1"/>
  <c r="AT104" i="1" s="1"/>
  <c r="AP105" i="1"/>
  <c r="AR103" i="1"/>
  <c r="Y98" i="1"/>
  <c r="AQ105" i="1" l="1"/>
  <c r="AT105" i="1" s="1"/>
  <c r="AS105" i="1"/>
  <c r="AR104" i="1"/>
  <c r="Y99" i="1"/>
  <c r="AR105" i="1" l="1"/>
  <c r="G14" i="1" s="1"/>
  <c r="Y100" i="1"/>
  <c r="Y101" i="1" l="1"/>
  <c r="Y102" i="1" l="1"/>
  <c r="Y103" i="1" l="1"/>
  <c r="Y104" i="1" l="1"/>
  <c r="Y105" i="1" l="1"/>
  <c r="AK7" i="1" l="1"/>
  <c r="AM7" i="1" s="1"/>
  <c r="AD6" i="1"/>
  <c r="Z7" i="1"/>
  <c r="AJ7" i="1" l="1"/>
  <c r="AI8" i="1"/>
  <c r="AE6" i="1"/>
  <c r="AF6" i="1" s="1"/>
  <c r="AG6" i="1" l="1"/>
  <c r="AB7" i="1" s="1"/>
  <c r="Z8" i="1" s="1"/>
  <c r="AJ8" i="1" s="1"/>
  <c r="AL8" i="1" s="1"/>
  <c r="AH6" i="1"/>
  <c r="AC7" i="1" s="1"/>
  <c r="AA8" i="1" s="1"/>
  <c r="AK8" i="1" s="1"/>
  <c r="AM8" i="1" s="1"/>
  <c r="AL7" i="1"/>
  <c r="AI9" i="1" l="1"/>
  <c r="AD7" i="1"/>
  <c r="AE7" i="1" s="1"/>
  <c r="AF7" i="1" s="1"/>
  <c r="AH7" i="1" s="1"/>
  <c r="AC8" i="1" s="1"/>
  <c r="AA9" i="1" l="1"/>
  <c r="AG7" i="1"/>
  <c r="AB8" i="1" s="1"/>
  <c r="Z9" i="1" l="1"/>
  <c r="AD8" i="1"/>
  <c r="AK9" i="1"/>
  <c r="AM9" i="1" s="1"/>
  <c r="AE8" i="1" l="1"/>
  <c r="AF8" i="1" s="1"/>
  <c r="AH8" i="1" s="1"/>
  <c r="AC9" i="1" s="1"/>
  <c r="AJ9" i="1"/>
  <c r="AL9" i="1" s="1"/>
  <c r="AI10" i="1"/>
  <c r="AG8" i="1" l="1"/>
  <c r="AB9" i="1" s="1"/>
  <c r="AA10" i="1"/>
  <c r="AD9" i="1" l="1"/>
  <c r="AE9" i="1" s="1"/>
  <c r="AF9" i="1" s="1"/>
  <c r="AH9" i="1" s="1"/>
  <c r="AC10" i="1" s="1"/>
  <c r="Z10" i="1"/>
  <c r="AI11" i="1" s="1"/>
  <c r="AK10" i="1"/>
  <c r="AM10" i="1" s="1"/>
  <c r="AG9" i="1" l="1"/>
  <c r="AB10" i="1" s="1"/>
  <c r="AJ10" i="1"/>
  <c r="AL10" i="1" s="1"/>
  <c r="AA11" i="1"/>
  <c r="AD10" i="1" l="1"/>
  <c r="AE10" i="1" s="1"/>
  <c r="AF10" i="1" s="1"/>
  <c r="AH10" i="1" s="1"/>
  <c r="AC11" i="1" s="1"/>
  <c r="Z11" i="1"/>
  <c r="AK11" i="1"/>
  <c r="AM11" i="1" s="1"/>
  <c r="AJ11" i="1" l="1"/>
  <c r="AL11" i="1" s="1"/>
  <c r="AI12" i="1"/>
  <c r="AG10" i="1"/>
  <c r="AB11" i="1" s="1"/>
  <c r="AA12" i="1"/>
  <c r="AK12" i="1" l="1"/>
  <c r="AM12" i="1" s="1"/>
  <c r="AD11" i="1"/>
  <c r="AE11" i="1" s="1"/>
  <c r="AF11" i="1" s="1"/>
  <c r="AH11" i="1" s="1"/>
  <c r="AC12" i="1" s="1"/>
  <c r="AA13" i="1" s="1"/>
  <c r="Z12" i="1"/>
  <c r="AJ12" i="1" l="1"/>
  <c r="AL12" i="1" s="1"/>
  <c r="AG11" i="1"/>
  <c r="AB12" i="1" s="1"/>
  <c r="AI13" i="1"/>
  <c r="AK13" i="1" l="1"/>
  <c r="AM13" i="1" s="1"/>
  <c r="AD12" i="1"/>
  <c r="AE12" i="1" s="1"/>
  <c r="AF12" i="1" s="1"/>
  <c r="AH12" i="1" s="1"/>
  <c r="AC13" i="1" s="1"/>
  <c r="Z13" i="1"/>
  <c r="AG12" i="1" l="1"/>
  <c r="AB13" i="1" s="1"/>
  <c r="Z14" i="1" s="1"/>
  <c r="AI14" i="1"/>
  <c r="AJ13" i="1"/>
  <c r="AL13" i="1" s="1"/>
  <c r="AA14" i="1"/>
  <c r="AD13" i="1" l="1"/>
  <c r="AE13" i="1" s="1"/>
  <c r="AF13" i="1" s="1"/>
  <c r="AH13" i="1" s="1"/>
  <c r="AC14" i="1" s="1"/>
  <c r="AA15" i="1" s="1"/>
  <c r="AK14" i="1"/>
  <c r="AM14" i="1" s="1"/>
  <c r="AJ14" i="1"/>
  <c r="AL14" i="1" s="1"/>
  <c r="AI15" i="1"/>
  <c r="AK15" i="1" l="1"/>
  <c r="AM15" i="1" s="1"/>
  <c r="AG13" i="1"/>
  <c r="AB14" i="1" s="1"/>
  <c r="Z15" i="1" l="1"/>
  <c r="AD14" i="1"/>
  <c r="AE14" i="1" s="1"/>
  <c r="AF14" i="1" s="1"/>
  <c r="AH14" i="1" s="1"/>
  <c r="AC15" i="1" s="1"/>
  <c r="AA16" i="1" s="1"/>
  <c r="AI16" i="1" l="1"/>
  <c r="AJ15" i="1"/>
  <c r="AL15" i="1" s="1"/>
  <c r="AG14" i="1"/>
  <c r="AB15" i="1" s="1"/>
  <c r="AD15" i="1" s="1"/>
  <c r="AE15" i="1" s="1"/>
  <c r="AF15" i="1" s="1"/>
  <c r="AH15" i="1" s="1"/>
  <c r="AC16" i="1" s="1"/>
  <c r="AA17" i="1" s="1"/>
  <c r="Z16" i="1" l="1"/>
  <c r="AI17" i="1" s="1"/>
  <c r="AK17" i="1" s="1"/>
  <c r="AM17" i="1" s="1"/>
  <c r="AG15" i="1"/>
  <c r="AB16" i="1" s="1"/>
  <c r="AD16" i="1" s="1"/>
  <c r="AE16" i="1" s="1"/>
  <c r="AF16" i="1" s="1"/>
  <c r="AH16" i="1" s="1"/>
  <c r="AC17" i="1" s="1"/>
  <c r="AJ16" i="1"/>
  <c r="AL16" i="1" s="1"/>
  <c r="AK16" i="1"/>
  <c r="AM16" i="1" s="1"/>
  <c r="Z17" i="1" l="1"/>
  <c r="AJ17" i="1" s="1"/>
  <c r="AL17" i="1" s="1"/>
  <c r="AG16" i="1"/>
  <c r="AB17" i="1" s="1"/>
  <c r="AA18" i="1"/>
  <c r="AI18" i="1" l="1"/>
  <c r="AK18" i="1" s="1"/>
  <c r="AM18" i="1" s="1"/>
  <c r="AD17" i="1"/>
  <c r="AE17" i="1" s="1"/>
  <c r="AF17" i="1" s="1"/>
  <c r="AH17" i="1" s="1"/>
  <c r="AC18" i="1" s="1"/>
  <c r="AA19" i="1" s="1"/>
  <c r="Z18" i="1"/>
  <c r="AG17" i="1" l="1"/>
  <c r="AB18" i="1" s="1"/>
  <c r="AD18" i="1" s="1"/>
  <c r="AE18" i="1" s="1"/>
  <c r="AF18" i="1" s="1"/>
  <c r="AH18" i="1" s="1"/>
  <c r="AC19" i="1" s="1"/>
  <c r="AJ18" i="1"/>
  <c r="AL18" i="1" s="1"/>
  <c r="AI19" i="1"/>
  <c r="AK19" i="1" s="1"/>
  <c r="AM19" i="1" s="1"/>
  <c r="Z19" i="1" l="1"/>
  <c r="AJ19" i="1" s="1"/>
  <c r="AL19" i="1" s="1"/>
  <c r="AG18" i="1"/>
  <c r="AB19" i="1" s="1"/>
  <c r="AD19" i="1" s="1"/>
  <c r="AE19" i="1" s="1"/>
  <c r="AF19" i="1" s="1"/>
  <c r="AH19" i="1" s="1"/>
  <c r="AC20" i="1" s="1"/>
  <c r="AA20" i="1"/>
  <c r="AI20" i="1" l="1"/>
  <c r="Z20" i="1"/>
  <c r="AI21" i="1" s="1"/>
  <c r="AG19" i="1"/>
  <c r="AB20" i="1" s="1"/>
  <c r="AD20" i="1" s="1"/>
  <c r="AE20" i="1" s="1"/>
  <c r="AF20" i="1" s="1"/>
  <c r="AH20" i="1" s="1"/>
  <c r="AC21" i="1" s="1"/>
  <c r="AK20" i="1"/>
  <c r="AM20" i="1" s="1"/>
  <c r="AA21" i="1"/>
  <c r="AJ20" i="1" l="1"/>
  <c r="AL20" i="1" s="1"/>
  <c r="AG20" i="1"/>
  <c r="AB21" i="1" s="1"/>
  <c r="AD21" i="1" s="1"/>
  <c r="AE21" i="1" s="1"/>
  <c r="AF21" i="1" s="1"/>
  <c r="AH21" i="1" s="1"/>
  <c r="AC22" i="1" s="1"/>
  <c r="Z21" i="1"/>
  <c r="AI22" i="1" s="1"/>
  <c r="AA22" i="1"/>
  <c r="AK21" i="1"/>
  <c r="AM21" i="1" s="1"/>
  <c r="AJ21" i="1" l="1"/>
  <c r="AL21" i="1" s="1"/>
  <c r="Z22" i="1"/>
  <c r="AI23" i="1" s="1"/>
  <c r="AG21" i="1"/>
  <c r="AB22" i="1" s="1"/>
  <c r="Z23" i="1" s="1"/>
  <c r="AA23" i="1"/>
  <c r="AK22" i="1"/>
  <c r="AM22" i="1" s="1"/>
  <c r="AJ22" i="1" l="1"/>
  <c r="AL22" i="1" s="1"/>
  <c r="AD22" i="1"/>
  <c r="AE22" i="1" s="1"/>
  <c r="AF22" i="1" s="1"/>
  <c r="AH22" i="1" s="1"/>
  <c r="AC23" i="1" s="1"/>
  <c r="AA24" i="1" s="1"/>
  <c r="AI24" i="1"/>
  <c r="AJ23" i="1"/>
  <c r="AL23" i="1" s="1"/>
  <c r="AK23" i="1"/>
  <c r="AM23" i="1" s="1"/>
  <c r="AG22" i="1" l="1"/>
  <c r="AB23" i="1" s="1"/>
  <c r="AD23" i="1" s="1"/>
  <c r="AE23" i="1" s="1"/>
  <c r="AF23" i="1" s="1"/>
  <c r="AH23" i="1" s="1"/>
  <c r="AC24" i="1" s="1"/>
  <c r="AA25" i="1" s="1"/>
  <c r="AK24" i="1"/>
  <c r="AM24" i="1" s="1"/>
  <c r="Z24" i="1" l="1"/>
  <c r="AI25" i="1" s="1"/>
  <c r="AK25" i="1" s="1"/>
  <c r="AM25" i="1" s="1"/>
  <c r="AG23" i="1"/>
  <c r="AB24" i="1" s="1"/>
  <c r="AJ24" i="1" l="1"/>
  <c r="AL24" i="1" s="1"/>
  <c r="Z25" i="1"/>
  <c r="AD24" i="1"/>
  <c r="AE24" i="1" s="1"/>
  <c r="AF24" i="1" s="1"/>
  <c r="AH24" i="1" s="1"/>
  <c r="AC25" i="1" s="1"/>
  <c r="AG24" i="1" l="1"/>
  <c r="AB25" i="1" s="1"/>
  <c r="AD25" i="1" s="1"/>
  <c r="AE25" i="1" s="1"/>
  <c r="AF25" i="1" s="1"/>
  <c r="AH25" i="1" s="1"/>
  <c r="AC26" i="1" s="1"/>
  <c r="AA26" i="1"/>
  <c r="AI26" i="1"/>
  <c r="AJ25" i="1"/>
  <c r="AL25" i="1" s="1"/>
  <c r="Z26" i="1" l="1"/>
  <c r="AG25" i="1"/>
  <c r="AB26" i="1" s="1"/>
  <c r="AD26" i="1" s="1"/>
  <c r="AE26" i="1" s="1"/>
  <c r="AF26" i="1" s="1"/>
  <c r="AH26" i="1" s="1"/>
  <c r="AC27" i="1" s="1"/>
  <c r="AJ26" i="1"/>
  <c r="AL26" i="1" s="1"/>
  <c r="AK26" i="1"/>
  <c r="AM26" i="1" s="1"/>
  <c r="AA27" i="1"/>
  <c r="AI27" i="1"/>
  <c r="Z27" i="1" l="1"/>
  <c r="AG26" i="1"/>
  <c r="AB27" i="1" s="1"/>
  <c r="AD27" i="1" s="1"/>
  <c r="AE27" i="1" s="1"/>
  <c r="AF27" i="1" s="1"/>
  <c r="AH27" i="1" s="1"/>
  <c r="AC28" i="1" s="1"/>
  <c r="AA28" i="1"/>
  <c r="AI28" i="1"/>
  <c r="AK27" i="1"/>
  <c r="AM27" i="1" s="1"/>
  <c r="AJ27" i="1"/>
  <c r="AL27" i="1" s="1"/>
  <c r="Z28" i="1" l="1"/>
  <c r="AI29" i="1" s="1"/>
  <c r="AG27" i="1"/>
  <c r="AB28" i="1" s="1"/>
  <c r="AK28" i="1"/>
  <c r="AM28" i="1" s="1"/>
  <c r="AA29" i="1"/>
  <c r="AJ28" i="1" l="1"/>
  <c r="AL28" i="1" s="1"/>
  <c r="Z29" i="1"/>
  <c r="AJ29" i="1" s="1"/>
  <c r="AL29" i="1" s="1"/>
  <c r="AD28" i="1"/>
  <c r="AE28" i="1" s="1"/>
  <c r="AF28" i="1" s="1"/>
  <c r="AH28" i="1" s="1"/>
  <c r="AC29" i="1" s="1"/>
  <c r="AA30" i="1" s="1"/>
  <c r="AI30" i="1"/>
  <c r="AK29" i="1"/>
  <c r="AM29" i="1" s="1"/>
  <c r="AG28" i="1" l="1"/>
  <c r="AB29" i="1" s="1"/>
  <c r="AD29" i="1" s="1"/>
  <c r="AE29" i="1" s="1"/>
  <c r="AF29" i="1" s="1"/>
  <c r="AH29" i="1" s="1"/>
  <c r="AC30" i="1" s="1"/>
  <c r="AA31" i="1" s="1"/>
  <c r="AK30" i="1"/>
  <c r="AM30" i="1" s="1"/>
  <c r="Z30" i="1" l="1"/>
  <c r="AJ30" i="1" s="1"/>
  <c r="AL30" i="1" s="1"/>
  <c r="AG29" i="1"/>
  <c r="AB30" i="1" s="1"/>
  <c r="AI31" i="1" l="1"/>
  <c r="AK31" i="1" s="1"/>
  <c r="AM31" i="1" s="1"/>
  <c r="AD30" i="1"/>
  <c r="AE30" i="1" s="1"/>
  <c r="AF30" i="1" s="1"/>
  <c r="AH30" i="1" s="1"/>
  <c r="AC31" i="1" s="1"/>
  <c r="Z31" i="1"/>
  <c r="AJ31" i="1" l="1"/>
  <c r="AL31" i="1" s="1"/>
  <c r="AG30" i="1"/>
  <c r="AB31" i="1" s="1"/>
  <c r="Z32" i="1" s="1"/>
  <c r="AI32" i="1"/>
  <c r="AA32" i="1"/>
  <c r="AK32" i="1" l="1"/>
  <c r="AM32" i="1" s="1"/>
  <c r="AJ32" i="1"/>
  <c r="AL32" i="1" s="1"/>
  <c r="AI33" i="1"/>
  <c r="AD31" i="1"/>
  <c r="AE31" i="1" s="1"/>
  <c r="AF31" i="1" s="1"/>
  <c r="AH31" i="1" s="1"/>
  <c r="AC32" i="1" s="1"/>
  <c r="AA33" i="1" s="1"/>
  <c r="AG31" i="1" l="1"/>
  <c r="AB32" i="1" s="1"/>
  <c r="AK33" i="1"/>
  <c r="AM33" i="1" s="1"/>
  <c r="AD32" i="1" l="1"/>
  <c r="AE32" i="1" s="1"/>
  <c r="AF32" i="1" s="1"/>
  <c r="AH32" i="1" s="1"/>
  <c r="AC33" i="1" s="1"/>
  <c r="Z33" i="1"/>
  <c r="AJ33" i="1" l="1"/>
  <c r="AL33" i="1" s="1"/>
  <c r="AI34" i="1"/>
  <c r="AG32" i="1"/>
  <c r="AB33" i="1" s="1"/>
  <c r="AA34" i="1"/>
  <c r="AK34" i="1" l="1"/>
  <c r="AM34" i="1" s="1"/>
  <c r="AD33" i="1"/>
  <c r="AE33" i="1" s="1"/>
  <c r="AF33" i="1" s="1"/>
  <c r="AH33" i="1" s="1"/>
  <c r="AC34" i="1" s="1"/>
  <c r="AA35" i="1" s="1"/>
  <c r="Z34" i="1"/>
  <c r="AI35" i="1" s="1"/>
  <c r="AK35" i="1" l="1"/>
  <c r="AM35" i="1" s="1"/>
  <c r="AG33" i="1"/>
  <c r="AB34" i="1" s="1"/>
  <c r="Z35" i="1" s="1"/>
  <c r="AJ35" i="1" s="1"/>
  <c r="AL35" i="1" s="1"/>
  <c r="AJ34" i="1"/>
  <c r="AL34" i="1" s="1"/>
  <c r="AD34" i="1" l="1"/>
  <c r="AE34" i="1" s="1"/>
  <c r="AF34" i="1" s="1"/>
  <c r="AH34" i="1" s="1"/>
  <c r="AC35" i="1" s="1"/>
  <c r="AI36" i="1"/>
  <c r="AG34" i="1" l="1"/>
  <c r="AB35" i="1" s="1"/>
  <c r="AA36" i="1"/>
  <c r="AD35" i="1" l="1"/>
  <c r="AE35" i="1" s="1"/>
  <c r="AF35" i="1" s="1"/>
  <c r="AH35" i="1" s="1"/>
  <c r="AC36" i="1" s="1"/>
  <c r="AA37" i="1" s="1"/>
  <c r="Z36" i="1"/>
  <c r="AK36" i="1"/>
  <c r="AM36" i="1" s="1"/>
  <c r="AJ36" i="1" l="1"/>
  <c r="AL36" i="1" s="1"/>
  <c r="AI37" i="1"/>
  <c r="AG35" i="1"/>
  <c r="AB36" i="1" s="1"/>
  <c r="Z37" i="1" s="1"/>
  <c r="AD36" i="1" l="1"/>
  <c r="AE36" i="1" s="1"/>
  <c r="AF36" i="1" s="1"/>
  <c r="AH36" i="1" s="1"/>
  <c r="AC37" i="1" s="1"/>
  <c r="AA38" i="1" s="1"/>
  <c r="AK37" i="1"/>
  <c r="AM37" i="1" s="1"/>
  <c r="AJ37" i="1"/>
  <c r="AL37" i="1" s="1"/>
  <c r="AI38" i="1"/>
  <c r="AG36" i="1" l="1"/>
  <c r="AB37" i="1" s="1"/>
  <c r="AD37" i="1" s="1"/>
  <c r="AE37" i="1" s="1"/>
  <c r="AF37" i="1" s="1"/>
  <c r="AH37" i="1" s="1"/>
  <c r="AC38" i="1" s="1"/>
  <c r="AA39" i="1" s="1"/>
  <c r="AK38" i="1"/>
  <c r="AM38" i="1" s="1"/>
  <c r="Z38" i="1" l="1"/>
  <c r="AJ38" i="1" s="1"/>
  <c r="AL38" i="1" s="1"/>
  <c r="AG37" i="1"/>
  <c r="AB38" i="1" s="1"/>
  <c r="Z39" i="1" l="1"/>
  <c r="AI40" i="1" s="1"/>
  <c r="AI39" i="1"/>
  <c r="AK39" i="1" s="1"/>
  <c r="AM39" i="1" s="1"/>
  <c r="AD38" i="1"/>
  <c r="AE38" i="1" s="1"/>
  <c r="AF38" i="1" s="1"/>
  <c r="AH38" i="1" s="1"/>
  <c r="AC39" i="1" s="1"/>
  <c r="AA40" i="1" s="1"/>
  <c r="AJ39" i="1" l="1"/>
  <c r="AL39" i="1" s="1"/>
  <c r="AG38" i="1"/>
  <c r="AB39" i="1" s="1"/>
  <c r="AD39" i="1" s="1"/>
  <c r="AE39" i="1" s="1"/>
  <c r="AF39" i="1" s="1"/>
  <c r="AH39" i="1" s="1"/>
  <c r="AC40" i="1" s="1"/>
  <c r="AA41" i="1" s="1"/>
  <c r="AK40" i="1"/>
  <c r="AM40" i="1" s="1"/>
  <c r="Z40" i="1" l="1"/>
  <c r="AG39" i="1"/>
  <c r="AB40" i="1" s="1"/>
  <c r="Z41" i="1" s="1"/>
  <c r="AI42" i="1" s="1"/>
  <c r="AJ40" i="1" l="1"/>
  <c r="AL40" i="1" s="1"/>
  <c r="AI41" i="1"/>
  <c r="AK41" i="1" s="1"/>
  <c r="AM41" i="1" s="1"/>
  <c r="AD40" i="1"/>
  <c r="AE40" i="1" s="1"/>
  <c r="AF40" i="1" s="1"/>
  <c r="AH40" i="1" s="1"/>
  <c r="AC41" i="1" s="1"/>
  <c r="AA42" i="1" s="1"/>
  <c r="AK42" i="1" s="1"/>
  <c r="AM42" i="1" s="1"/>
  <c r="AJ41" i="1" l="1"/>
  <c r="AL41" i="1" s="1"/>
  <c r="AG40" i="1"/>
  <c r="AB41" i="1" s="1"/>
  <c r="Z42" i="1" s="1"/>
  <c r="AI43" i="1" s="1"/>
  <c r="AD41" i="1" l="1"/>
  <c r="AE41" i="1" s="1"/>
  <c r="AF41" i="1" s="1"/>
  <c r="AH41" i="1" s="1"/>
  <c r="AC42" i="1" s="1"/>
  <c r="AA43" i="1" s="1"/>
  <c r="AK43" i="1" s="1"/>
  <c r="AM43" i="1" s="1"/>
  <c r="AJ42" i="1"/>
  <c r="AL42" i="1" s="1"/>
  <c r="AG41" i="1" l="1"/>
  <c r="AB42" i="1" s="1"/>
  <c r="AD42" i="1" l="1"/>
  <c r="Z43" i="1"/>
  <c r="AI44" i="1" l="1"/>
  <c r="AJ43" i="1"/>
  <c r="AL43" i="1" s="1"/>
  <c r="AE42" i="1"/>
  <c r="AF42" i="1" s="1"/>
  <c r="AH42" i="1" s="1"/>
  <c r="AC43" i="1" s="1"/>
  <c r="AA44" i="1" s="1"/>
  <c r="AK44" i="1" l="1"/>
  <c r="AM44" i="1" s="1"/>
  <c r="AG42" i="1"/>
  <c r="AB43" i="1" s="1"/>
  <c r="AD43" i="1" l="1"/>
  <c r="AE43" i="1" s="1"/>
  <c r="AF43" i="1" s="1"/>
  <c r="AH43" i="1" s="1"/>
  <c r="AC44" i="1" s="1"/>
  <c r="AA45" i="1" s="1"/>
  <c r="Z44" i="1"/>
  <c r="AJ44" i="1" l="1"/>
  <c r="AL44" i="1" s="1"/>
  <c r="AI45" i="1"/>
  <c r="AG43" i="1"/>
  <c r="AB44" i="1" s="1"/>
  <c r="AD44" i="1" l="1"/>
  <c r="AE44" i="1" s="1"/>
  <c r="AF44" i="1" s="1"/>
  <c r="AH44" i="1" s="1"/>
  <c r="AC45" i="1" s="1"/>
  <c r="AA46" i="1" s="1"/>
  <c r="AK45" i="1"/>
  <c r="AM45" i="1" s="1"/>
  <c r="Z45" i="1"/>
  <c r="AI46" i="1" l="1"/>
  <c r="AJ45" i="1"/>
  <c r="AL45" i="1" s="1"/>
  <c r="AG44" i="1"/>
  <c r="AB45" i="1" s="1"/>
  <c r="AD45" i="1" l="1"/>
  <c r="AE45" i="1" s="1"/>
  <c r="AF45" i="1" s="1"/>
  <c r="AH45" i="1" s="1"/>
  <c r="AC46" i="1" s="1"/>
  <c r="AA47" i="1" s="1"/>
  <c r="Z46" i="1"/>
  <c r="AJ46" i="1" s="1"/>
  <c r="AL46" i="1" s="1"/>
  <c r="AK46" i="1"/>
  <c r="AM46" i="1" s="1"/>
  <c r="AI47" i="1" l="1"/>
  <c r="AG45" i="1"/>
  <c r="AB46" i="1" s="1"/>
  <c r="AK47" i="1" l="1"/>
  <c r="AM47" i="1" s="1"/>
  <c r="AD46" i="1"/>
  <c r="AE46" i="1" s="1"/>
  <c r="AF46" i="1" s="1"/>
  <c r="AH46" i="1" s="1"/>
  <c r="AC47" i="1" s="1"/>
  <c r="Z47" i="1"/>
  <c r="AJ47" i="1" s="1"/>
  <c r="AL47" i="1" s="1"/>
  <c r="AA48" i="1" l="1"/>
  <c r="AG46" i="1"/>
  <c r="AB47" i="1" s="1"/>
  <c r="Z48" i="1" s="1"/>
  <c r="AI48" i="1"/>
  <c r="AD47" i="1" l="1"/>
  <c r="AE47" i="1" s="1"/>
  <c r="AF47" i="1" s="1"/>
  <c r="AH47" i="1" s="1"/>
  <c r="AC48" i="1" s="1"/>
  <c r="AA49" i="1" s="1"/>
  <c r="AI49" i="1"/>
  <c r="AK48" i="1"/>
  <c r="AM48" i="1" s="1"/>
  <c r="AJ48" i="1"/>
  <c r="AL48" i="1" s="1"/>
  <c r="AG47" i="1" l="1"/>
  <c r="AB48" i="1" s="1"/>
  <c r="AD48" i="1" s="1"/>
  <c r="AE48" i="1" s="1"/>
  <c r="AF48" i="1" s="1"/>
  <c r="AH48" i="1" s="1"/>
  <c r="AC49" i="1" s="1"/>
  <c r="AA50" i="1" s="1"/>
  <c r="AK49" i="1"/>
  <c r="AM49" i="1" s="1"/>
  <c r="Z49" i="1" l="1"/>
  <c r="AJ49" i="1" s="1"/>
  <c r="AL49" i="1" s="1"/>
  <c r="AG48" i="1"/>
  <c r="AB49" i="1" s="1"/>
  <c r="AI50" i="1" l="1"/>
  <c r="AK50" i="1" s="1"/>
  <c r="AM50" i="1" s="1"/>
  <c r="AD49" i="1"/>
  <c r="AE49" i="1" s="1"/>
  <c r="AF49" i="1" s="1"/>
  <c r="AH49" i="1" s="1"/>
  <c r="AC50" i="1" s="1"/>
  <c r="AA51" i="1" s="1"/>
  <c r="Z50" i="1"/>
  <c r="AJ50" i="1" l="1"/>
  <c r="AL50" i="1" s="1"/>
  <c r="AI51" i="1"/>
  <c r="AG49" i="1"/>
  <c r="AB50" i="1" s="1"/>
  <c r="AD50" i="1" l="1"/>
  <c r="AE50" i="1" s="1"/>
  <c r="AF50" i="1" s="1"/>
  <c r="AH50" i="1" s="1"/>
  <c r="AC51" i="1" s="1"/>
  <c r="AK51" i="1"/>
  <c r="AM51" i="1" s="1"/>
  <c r="Z51" i="1"/>
  <c r="AJ51" i="1" s="1"/>
  <c r="AL51" i="1" s="1"/>
  <c r="AG50" i="1" l="1"/>
  <c r="AB51" i="1" s="1"/>
  <c r="Z52" i="1" s="1"/>
  <c r="AI52" i="1"/>
  <c r="AA52" i="1"/>
  <c r="AK52" i="1" l="1"/>
  <c r="AM52" i="1" s="1"/>
  <c r="AJ52" i="1"/>
  <c r="AL52" i="1" s="1"/>
  <c r="AI53" i="1"/>
  <c r="AD51" i="1"/>
  <c r="AE51" i="1" s="1"/>
  <c r="AF51" i="1" s="1"/>
  <c r="AH51" i="1" s="1"/>
  <c r="AC52" i="1" s="1"/>
  <c r="AG51" i="1" l="1"/>
  <c r="AB52" i="1" s="1"/>
  <c r="AD52" i="1" s="1"/>
  <c r="AE52" i="1" s="1"/>
  <c r="AF52" i="1" s="1"/>
  <c r="AH52" i="1" s="1"/>
  <c r="AC53" i="1" s="1"/>
  <c r="AA53" i="1"/>
  <c r="AK53" i="1" s="1"/>
  <c r="AM53" i="1" s="1"/>
  <c r="Z53" i="1" l="1"/>
  <c r="AJ53" i="1" s="1"/>
  <c r="AL53" i="1" s="1"/>
  <c r="AG52" i="1"/>
  <c r="AB53" i="1" s="1"/>
  <c r="AA54" i="1"/>
  <c r="AI54" i="1" l="1"/>
  <c r="AK54" i="1" s="1"/>
  <c r="AM54" i="1" s="1"/>
  <c r="Z54" i="1"/>
  <c r="AD53" i="1"/>
  <c r="AE53" i="1" s="1"/>
  <c r="AF53" i="1" s="1"/>
  <c r="AH53" i="1" s="1"/>
  <c r="AC54" i="1" s="1"/>
  <c r="AA55" i="1" s="1"/>
  <c r="AI55" i="1"/>
  <c r="AJ54" i="1" l="1"/>
  <c r="AL54" i="1" s="1"/>
  <c r="AG53" i="1"/>
  <c r="AB54" i="1" s="1"/>
  <c r="Z55" i="1" s="1"/>
  <c r="AI56" i="1" s="1"/>
  <c r="AD54" i="1"/>
  <c r="AE54" i="1" s="1"/>
  <c r="AF54" i="1" s="1"/>
  <c r="AH54" i="1" s="1"/>
  <c r="AC55" i="1" s="1"/>
  <c r="AA56" i="1" s="1"/>
  <c r="AK55" i="1"/>
  <c r="AM55" i="1" s="1"/>
  <c r="AK56" i="1" l="1"/>
  <c r="AM56" i="1" s="1"/>
  <c r="AG54" i="1"/>
  <c r="AB55" i="1" s="1"/>
  <c r="AJ55" i="1"/>
  <c r="AL55" i="1" s="1"/>
  <c r="AD55" i="1" l="1"/>
  <c r="AE55" i="1" s="1"/>
  <c r="AF55" i="1" s="1"/>
  <c r="AH55" i="1" s="1"/>
  <c r="AC56" i="1" s="1"/>
  <c r="AA57" i="1" s="1"/>
  <c r="Z56" i="1"/>
  <c r="AJ56" i="1" l="1"/>
  <c r="AL56" i="1" s="1"/>
  <c r="AI57" i="1"/>
  <c r="AG55" i="1"/>
  <c r="AB56" i="1" s="1"/>
  <c r="Z57" i="1" s="1"/>
  <c r="AD56" i="1" l="1"/>
  <c r="AE56" i="1" s="1"/>
  <c r="AF56" i="1" s="1"/>
  <c r="AH56" i="1" s="1"/>
  <c r="AC57" i="1" s="1"/>
  <c r="AA58" i="1" s="1"/>
  <c r="AK57" i="1"/>
  <c r="AM57" i="1" s="1"/>
  <c r="AJ57" i="1"/>
  <c r="AL57" i="1" s="1"/>
  <c r="AI58" i="1"/>
  <c r="AG56" i="1" l="1"/>
  <c r="AB57" i="1" s="1"/>
  <c r="AD57" i="1" s="1"/>
  <c r="AE57" i="1" s="1"/>
  <c r="AF57" i="1" s="1"/>
  <c r="AH57" i="1" s="1"/>
  <c r="AC58" i="1" s="1"/>
  <c r="AA59" i="1" s="1"/>
  <c r="AK58" i="1"/>
  <c r="AM58" i="1" s="1"/>
  <c r="Z58" i="1" l="1"/>
  <c r="AI59" i="1" s="1"/>
  <c r="AG57" i="1"/>
  <c r="AB58" i="1" s="1"/>
  <c r="AJ58" i="1" l="1"/>
  <c r="AL58" i="1" s="1"/>
  <c r="Z59" i="1"/>
  <c r="AI60" i="1"/>
  <c r="AJ59" i="1"/>
  <c r="AL59" i="1" s="1"/>
  <c r="AK59" i="1"/>
  <c r="AM59" i="1" s="1"/>
  <c r="AD58" i="1"/>
  <c r="AE58" i="1" s="1"/>
  <c r="AF58" i="1" s="1"/>
  <c r="AH58" i="1" s="1"/>
  <c r="AC59" i="1" s="1"/>
  <c r="AG58" i="1" l="1"/>
  <c r="AB59" i="1" s="1"/>
  <c r="AA60" i="1"/>
  <c r="AK60" i="1" s="1"/>
  <c r="AM60" i="1" s="1"/>
  <c r="AD59" i="1" l="1"/>
  <c r="AE59" i="1" s="1"/>
  <c r="AF59" i="1" s="1"/>
  <c r="AH59" i="1" s="1"/>
  <c r="AC60" i="1" s="1"/>
  <c r="AA61" i="1" s="1"/>
  <c r="Z60" i="1"/>
  <c r="AI61" i="1" s="1"/>
  <c r="AG59" i="1" l="1"/>
  <c r="AB60" i="1" s="1"/>
  <c r="Z61" i="1" s="1"/>
  <c r="AJ61" i="1" s="1"/>
  <c r="AL61" i="1" s="1"/>
  <c r="AK61" i="1"/>
  <c r="AM61" i="1" s="1"/>
  <c r="AJ60" i="1"/>
  <c r="AL60" i="1" s="1"/>
  <c r="AD60" i="1" l="1"/>
  <c r="AE60" i="1" s="1"/>
  <c r="AF60" i="1" s="1"/>
  <c r="AH60" i="1" s="1"/>
  <c r="AC61" i="1" s="1"/>
  <c r="AA62" i="1" s="1"/>
  <c r="AI62" i="1"/>
  <c r="AG60" i="1" l="1"/>
  <c r="AB61" i="1" s="1"/>
  <c r="AD61" i="1" s="1"/>
  <c r="AE61" i="1" s="1"/>
  <c r="AF61" i="1" s="1"/>
  <c r="AH61" i="1" s="1"/>
  <c r="AC62" i="1" s="1"/>
  <c r="AA63" i="1" s="1"/>
  <c r="AK62" i="1"/>
  <c r="AM62" i="1" s="1"/>
  <c r="AG61" i="1" l="1"/>
  <c r="AB62" i="1" s="1"/>
  <c r="Z62" i="1"/>
  <c r="AJ62" i="1" s="1"/>
  <c r="AL62" i="1" s="1"/>
  <c r="AI63" i="1"/>
  <c r="AK63" i="1" s="1"/>
  <c r="AM63" i="1" s="1"/>
  <c r="AD62" i="1"/>
  <c r="AE62" i="1" s="1"/>
  <c r="AF62" i="1" s="1"/>
  <c r="AH62" i="1" s="1"/>
  <c r="AC63" i="1" s="1"/>
  <c r="AA64" i="1" s="1"/>
  <c r="Z63" i="1" l="1"/>
  <c r="AG62" i="1"/>
  <c r="AB63" i="1" s="1"/>
  <c r="Z64" i="1" s="1"/>
  <c r="AI65" i="1" s="1"/>
  <c r="AI64" i="1"/>
  <c r="AJ63" i="1"/>
  <c r="AL63" i="1" s="1"/>
  <c r="AD63" i="1" l="1"/>
  <c r="AE63" i="1" s="1"/>
  <c r="AF63" i="1" s="1"/>
  <c r="AH63" i="1" s="1"/>
  <c r="AC64" i="1" s="1"/>
  <c r="AA65" i="1" s="1"/>
  <c r="AK65" i="1" s="1"/>
  <c r="AM65" i="1" s="1"/>
  <c r="AK64" i="1"/>
  <c r="AM64" i="1" s="1"/>
  <c r="AJ64" i="1"/>
  <c r="AL64" i="1" s="1"/>
  <c r="AG63" i="1" l="1"/>
  <c r="AB64" i="1" s="1"/>
  <c r="AD64" i="1" s="1"/>
  <c r="AE64" i="1" s="1"/>
  <c r="AF64" i="1" s="1"/>
  <c r="AH64" i="1" s="1"/>
  <c r="AC65" i="1" s="1"/>
  <c r="AA66" i="1" s="1"/>
  <c r="Z65" i="1" l="1"/>
  <c r="AI66" i="1" s="1"/>
  <c r="AG64" i="1"/>
  <c r="AB65" i="1" s="1"/>
  <c r="Z66" i="1" l="1"/>
  <c r="AI67" i="1" s="1"/>
  <c r="AJ65" i="1"/>
  <c r="AL65" i="1" s="1"/>
  <c r="AK66" i="1"/>
  <c r="AM66" i="1" s="1"/>
  <c r="AJ66" i="1"/>
  <c r="AL66" i="1" s="1"/>
  <c r="AD65" i="1"/>
  <c r="AE65" i="1" s="1"/>
  <c r="AF65" i="1" s="1"/>
  <c r="AH65" i="1" s="1"/>
  <c r="AC66" i="1" s="1"/>
  <c r="AA67" i="1" l="1"/>
  <c r="AG65" i="1"/>
  <c r="AB66" i="1" s="1"/>
  <c r="AD66" i="1" l="1"/>
  <c r="AE66" i="1" s="1"/>
  <c r="AF66" i="1" s="1"/>
  <c r="AH66" i="1" s="1"/>
  <c r="AC67" i="1" s="1"/>
  <c r="AA68" i="1" s="1"/>
  <c r="Z67" i="1"/>
  <c r="AK67" i="1"/>
  <c r="AM67" i="1" s="1"/>
  <c r="AJ67" i="1" l="1"/>
  <c r="AL67" i="1" s="1"/>
  <c r="AG66" i="1"/>
  <c r="AB67" i="1" s="1"/>
  <c r="Z68" i="1" s="1"/>
  <c r="AI68" i="1"/>
  <c r="AI69" i="1" l="1"/>
  <c r="AK68" i="1"/>
  <c r="AM68" i="1" s="1"/>
  <c r="AJ68" i="1"/>
  <c r="AL68" i="1" s="1"/>
  <c r="AD67" i="1"/>
  <c r="AE67" i="1" s="1"/>
  <c r="AF67" i="1" s="1"/>
  <c r="AH67" i="1" s="1"/>
  <c r="AC68" i="1" s="1"/>
  <c r="AA69" i="1" s="1"/>
  <c r="AG67" i="1" l="1"/>
  <c r="AB68" i="1" s="1"/>
  <c r="AK69" i="1"/>
  <c r="AM69" i="1" s="1"/>
  <c r="AD68" i="1" l="1"/>
  <c r="AE68" i="1" s="1"/>
  <c r="AF68" i="1" s="1"/>
  <c r="AH68" i="1" s="1"/>
  <c r="AC69" i="1" s="1"/>
  <c r="AA70" i="1" s="1"/>
  <c r="Z69" i="1"/>
  <c r="AI70" i="1" l="1"/>
  <c r="AJ69" i="1"/>
  <c r="AL69" i="1" s="1"/>
  <c r="AG68" i="1"/>
  <c r="AB69" i="1" s="1"/>
  <c r="Z70" i="1" s="1"/>
  <c r="AJ70" i="1" l="1"/>
  <c r="AL70" i="1" s="1"/>
  <c r="AK70" i="1"/>
  <c r="AM70" i="1" s="1"/>
  <c r="AD69" i="1"/>
  <c r="AE69" i="1" s="1"/>
  <c r="AF69" i="1" s="1"/>
  <c r="AH69" i="1" s="1"/>
  <c r="AC70" i="1" s="1"/>
  <c r="AA71" i="1" s="1"/>
  <c r="AI71" i="1"/>
  <c r="AG69" i="1" l="1"/>
  <c r="AB70" i="1" s="1"/>
  <c r="AK71" i="1"/>
  <c r="AM71" i="1" s="1"/>
  <c r="AD70" i="1" l="1"/>
  <c r="AE70" i="1" s="1"/>
  <c r="AF70" i="1" s="1"/>
  <c r="AH70" i="1" s="1"/>
  <c r="AC71" i="1" s="1"/>
  <c r="AA72" i="1" s="1"/>
  <c r="Z71" i="1"/>
  <c r="AI72" i="1" l="1"/>
  <c r="AJ71" i="1"/>
  <c r="AL71" i="1" s="1"/>
  <c r="AG70" i="1"/>
  <c r="AB71" i="1" s="1"/>
  <c r="AK72" i="1" l="1"/>
  <c r="AM72" i="1" s="1"/>
  <c r="AD71" i="1"/>
  <c r="AE71" i="1" s="1"/>
  <c r="AF71" i="1" s="1"/>
  <c r="AH71" i="1" s="1"/>
  <c r="AC72" i="1" s="1"/>
  <c r="AA73" i="1" s="1"/>
  <c r="Z72" i="1"/>
  <c r="AG71" i="1" l="1"/>
  <c r="AB72" i="1" s="1"/>
  <c r="Z73" i="1" s="1"/>
  <c r="AI73" i="1"/>
  <c r="AJ72" i="1"/>
  <c r="AL72" i="1" s="1"/>
  <c r="AK73" i="1" l="1"/>
  <c r="AM73" i="1" s="1"/>
  <c r="AJ73" i="1"/>
  <c r="AL73" i="1" s="1"/>
  <c r="AD72" i="1"/>
  <c r="AE72" i="1" s="1"/>
  <c r="AF72" i="1" s="1"/>
  <c r="AH72" i="1" s="1"/>
  <c r="AC73" i="1" s="1"/>
  <c r="AA74" i="1" s="1"/>
  <c r="AI74" i="1"/>
  <c r="AK74" i="1" l="1"/>
  <c r="AM74" i="1" s="1"/>
  <c r="AG72" i="1"/>
  <c r="AB73" i="1" s="1"/>
  <c r="AD73" i="1" l="1"/>
  <c r="AE73" i="1" s="1"/>
  <c r="AF73" i="1" s="1"/>
  <c r="AH73" i="1" s="1"/>
  <c r="AC74" i="1" s="1"/>
  <c r="AA75" i="1" s="1"/>
  <c r="Z74" i="1"/>
  <c r="AI75" i="1" l="1"/>
  <c r="AJ74" i="1"/>
  <c r="AL74" i="1" s="1"/>
  <c r="AG73" i="1"/>
  <c r="AB74" i="1" s="1"/>
  <c r="AK75" i="1" l="1"/>
  <c r="AM75" i="1" s="1"/>
  <c r="AD74" i="1"/>
  <c r="AE74" i="1" s="1"/>
  <c r="AF74" i="1" s="1"/>
  <c r="AH74" i="1" s="1"/>
  <c r="AC75" i="1" s="1"/>
  <c r="AA76" i="1" s="1"/>
  <c r="Z75" i="1"/>
  <c r="AJ75" i="1" s="1"/>
  <c r="AL75" i="1" s="1"/>
  <c r="AG74" i="1" l="1"/>
  <c r="AB75" i="1" s="1"/>
  <c r="AD75" i="1" s="1"/>
  <c r="AE75" i="1" s="1"/>
  <c r="AF75" i="1" s="1"/>
  <c r="AH75" i="1" s="1"/>
  <c r="AC76" i="1" s="1"/>
  <c r="AA77" i="1" s="1"/>
  <c r="AI76" i="1"/>
  <c r="Z76" i="1" l="1"/>
  <c r="AG75" i="1"/>
  <c r="AB76" i="1" s="1"/>
  <c r="AD76" i="1" s="1"/>
  <c r="AE76" i="1" s="1"/>
  <c r="AF76" i="1" s="1"/>
  <c r="AH76" i="1" s="1"/>
  <c r="AC77" i="1" s="1"/>
  <c r="Z77" i="1"/>
  <c r="AK76" i="1"/>
  <c r="AM76" i="1" s="1"/>
  <c r="AJ76" i="1"/>
  <c r="AL76" i="1" s="1"/>
  <c r="AI77" i="1"/>
  <c r="AK77" i="1" l="1"/>
  <c r="AM77" i="1" s="1"/>
  <c r="AJ77" i="1"/>
  <c r="AL77" i="1" s="1"/>
  <c r="AA78" i="1"/>
  <c r="AI78" i="1"/>
  <c r="AG76" i="1"/>
  <c r="AB77" i="1" s="1"/>
  <c r="AD77" i="1" l="1"/>
  <c r="AE77" i="1" s="1"/>
  <c r="AF77" i="1" s="1"/>
  <c r="AH77" i="1" s="1"/>
  <c r="AC78" i="1" s="1"/>
  <c r="AA79" i="1" s="1"/>
  <c r="AK78" i="1"/>
  <c r="AM78" i="1" s="1"/>
  <c r="Z78" i="1"/>
  <c r="AG77" i="1" l="1"/>
  <c r="AB78" i="1" s="1"/>
  <c r="Z79" i="1" s="1"/>
  <c r="AI80" i="1" s="1"/>
  <c r="AJ78" i="1"/>
  <c r="AL78" i="1" s="1"/>
  <c r="AI79" i="1"/>
  <c r="AD78" i="1" l="1"/>
  <c r="AE78" i="1" s="1"/>
  <c r="AF78" i="1" s="1"/>
  <c r="AH78" i="1" s="1"/>
  <c r="AC79" i="1" s="1"/>
  <c r="AA80" i="1" s="1"/>
  <c r="AK79" i="1"/>
  <c r="AM79" i="1" s="1"/>
  <c r="AJ79" i="1"/>
  <c r="AL79" i="1" s="1"/>
  <c r="AK80" i="1"/>
  <c r="AM80" i="1" s="1"/>
  <c r="AG78" i="1" l="1"/>
  <c r="AB79" i="1" s="1"/>
  <c r="Z80" i="1" s="1"/>
  <c r="AD79" i="1" l="1"/>
  <c r="AE79" i="1" s="1"/>
  <c r="AF79" i="1" s="1"/>
  <c r="AH79" i="1" s="1"/>
  <c r="AC80" i="1" s="1"/>
  <c r="AA81" i="1" s="1"/>
  <c r="AG79" i="1"/>
  <c r="AB80" i="1" s="1"/>
  <c r="AD80" i="1" s="1"/>
  <c r="AI81" i="1"/>
  <c r="AJ80" i="1"/>
  <c r="AL80" i="1" s="1"/>
  <c r="Z81" i="1" l="1"/>
  <c r="AE80" i="1"/>
  <c r="AF80" i="1" s="1"/>
  <c r="AH80" i="1" s="1"/>
  <c r="AC81" i="1" s="1"/>
  <c r="AA82" i="1" s="1"/>
  <c r="AJ81" i="1"/>
  <c r="AL81" i="1" s="1"/>
  <c r="AK81" i="1"/>
  <c r="AM81" i="1" s="1"/>
  <c r="AI82" i="1"/>
  <c r="AG80" i="1" l="1"/>
  <c r="AB81" i="1" s="1"/>
  <c r="AK82" i="1"/>
  <c r="AM82" i="1" s="1"/>
  <c r="AD81" i="1" l="1"/>
  <c r="Z82" i="1"/>
  <c r="AI83" i="1" l="1"/>
  <c r="AJ82" i="1"/>
  <c r="AL82" i="1" s="1"/>
  <c r="AE81" i="1"/>
  <c r="AF81" i="1" s="1"/>
  <c r="AH81" i="1" s="1"/>
  <c r="AC82" i="1" s="1"/>
  <c r="AA83" i="1" s="1"/>
  <c r="AG81" i="1" l="1"/>
  <c r="AB82" i="1" s="1"/>
  <c r="AK83" i="1"/>
  <c r="AM83" i="1" s="1"/>
  <c r="AD82" i="1" l="1"/>
  <c r="AE82" i="1" s="1"/>
  <c r="AF82" i="1" s="1"/>
  <c r="AH82" i="1" s="1"/>
  <c r="AC83" i="1" s="1"/>
  <c r="AA84" i="1" s="1"/>
  <c r="Z83" i="1"/>
  <c r="AI84" i="1" l="1"/>
  <c r="AJ83" i="1"/>
  <c r="AL83" i="1" s="1"/>
  <c r="AG82" i="1"/>
  <c r="AB83" i="1" s="1"/>
  <c r="Z84" i="1" l="1"/>
  <c r="AD83" i="1"/>
  <c r="AE83" i="1" s="1"/>
  <c r="AF83" i="1" s="1"/>
  <c r="AH83" i="1" s="1"/>
  <c r="AC84" i="1" s="1"/>
  <c r="AA85" i="1" s="1"/>
  <c r="AK84" i="1"/>
  <c r="AM84" i="1" s="1"/>
  <c r="AJ84" i="1"/>
  <c r="AL84" i="1" s="1"/>
  <c r="AG83" i="1" l="1"/>
  <c r="AB84" i="1" s="1"/>
  <c r="Z85" i="1" s="1"/>
  <c r="AI85" i="1"/>
  <c r="AK85" i="1" s="1"/>
  <c r="AM85" i="1" s="1"/>
  <c r="AD84" i="1" l="1"/>
  <c r="AE84" i="1" s="1"/>
  <c r="AF84" i="1" s="1"/>
  <c r="AH84" i="1" s="1"/>
  <c r="AC85" i="1" s="1"/>
  <c r="AA86" i="1" s="1"/>
  <c r="AJ85" i="1"/>
  <c r="AL85" i="1" s="1"/>
  <c r="AI86" i="1"/>
  <c r="AG84" i="1" l="1"/>
  <c r="AB85" i="1" s="1"/>
  <c r="AD85" i="1" s="1"/>
  <c r="AE85" i="1" s="1"/>
  <c r="AF85" i="1" s="1"/>
  <c r="AH85" i="1" s="1"/>
  <c r="AC86" i="1" s="1"/>
  <c r="AA87" i="1" s="1"/>
  <c r="AK86" i="1"/>
  <c r="AM86" i="1" s="1"/>
  <c r="Z86" i="1" l="1"/>
  <c r="AG85" i="1"/>
  <c r="AB86" i="1" s="1"/>
  <c r="Z87" i="1" s="1"/>
  <c r="AI87" i="1" l="1"/>
  <c r="AK87" i="1" s="1"/>
  <c r="AM87" i="1" s="1"/>
  <c r="AJ86" i="1"/>
  <c r="AL86" i="1" s="1"/>
  <c r="AJ87" i="1"/>
  <c r="AL87" i="1" s="1"/>
  <c r="AI88" i="1"/>
  <c r="AD86" i="1"/>
  <c r="AE86" i="1" s="1"/>
  <c r="AF86" i="1" s="1"/>
  <c r="AH86" i="1" s="1"/>
  <c r="AC87" i="1" s="1"/>
  <c r="AA88" i="1" s="1"/>
  <c r="AK88" i="1" l="1"/>
  <c r="AM88" i="1" s="1"/>
  <c r="AG86" i="1"/>
  <c r="AB87" i="1" s="1"/>
  <c r="AD87" i="1" l="1"/>
  <c r="AE87" i="1" s="1"/>
  <c r="AF87" i="1" s="1"/>
  <c r="AH87" i="1" s="1"/>
  <c r="AC88" i="1" s="1"/>
  <c r="AA89" i="1" s="1"/>
  <c r="Z88" i="1"/>
  <c r="AJ88" i="1" s="1"/>
  <c r="AL88" i="1" s="1"/>
  <c r="AG87" i="1" l="1"/>
  <c r="AB88" i="1" s="1"/>
  <c r="AI89" i="1"/>
  <c r="AK89" i="1" s="1"/>
  <c r="AM89" i="1" s="1"/>
  <c r="Z89" i="1"/>
  <c r="AJ89" i="1" s="1"/>
  <c r="AL89" i="1" s="1"/>
  <c r="AD88" i="1" l="1"/>
  <c r="AE88" i="1" s="1"/>
  <c r="AF88" i="1" s="1"/>
  <c r="AH88" i="1" s="1"/>
  <c r="AC89" i="1" s="1"/>
  <c r="AA90" i="1" s="1"/>
  <c r="AI90" i="1"/>
  <c r="AK90" i="1" s="1"/>
  <c r="AM90" i="1" s="1"/>
  <c r="AG88" i="1" l="1"/>
  <c r="AB89" i="1" s="1"/>
  <c r="AD89" i="1" l="1"/>
  <c r="AE89" i="1" s="1"/>
  <c r="AF89" i="1" s="1"/>
  <c r="AH89" i="1" s="1"/>
  <c r="AC90" i="1" s="1"/>
  <c r="AA91" i="1" s="1"/>
  <c r="Z90" i="1"/>
  <c r="AJ90" i="1" s="1"/>
  <c r="AL90" i="1" s="1"/>
  <c r="AG89" i="1" l="1"/>
  <c r="AB90" i="1" s="1"/>
  <c r="Z91" i="1" s="1"/>
  <c r="AI91" i="1"/>
  <c r="AK91" i="1" s="1"/>
  <c r="AM91" i="1" s="1"/>
  <c r="AD90" i="1" l="1"/>
  <c r="AE90" i="1" s="1"/>
  <c r="AF90" i="1" s="1"/>
  <c r="AH90" i="1" s="1"/>
  <c r="AC91" i="1" s="1"/>
  <c r="AA92" i="1" s="1"/>
  <c r="AJ91" i="1"/>
  <c r="AL91" i="1" s="1"/>
  <c r="AI92" i="1"/>
  <c r="AK92" i="1" l="1"/>
  <c r="AM92" i="1" s="1"/>
  <c r="AG90" i="1"/>
  <c r="AB91" i="1" s="1"/>
  <c r="AD91" i="1" l="1"/>
  <c r="AE91" i="1" s="1"/>
  <c r="AF91" i="1" s="1"/>
  <c r="AH91" i="1" s="1"/>
  <c r="AC92" i="1" s="1"/>
  <c r="AA93" i="1" s="1"/>
  <c r="Z92" i="1"/>
  <c r="AJ92" i="1" s="1"/>
  <c r="AL92" i="1" s="1"/>
  <c r="AI93" i="1" l="1"/>
  <c r="AG91" i="1"/>
  <c r="AB92" i="1" s="1"/>
  <c r="AD92" i="1" l="1"/>
  <c r="AE92" i="1" s="1"/>
  <c r="AF92" i="1" s="1"/>
  <c r="AH92" i="1" s="1"/>
  <c r="AC93" i="1" s="1"/>
  <c r="AA94" i="1" s="1"/>
  <c r="Z93" i="1"/>
  <c r="AK93" i="1"/>
  <c r="AM93" i="1" s="1"/>
  <c r="AJ93" i="1"/>
  <c r="AL93" i="1" s="1"/>
  <c r="AI94" i="1" l="1"/>
  <c r="AK94" i="1" s="1"/>
  <c r="AM94" i="1" s="1"/>
  <c r="AG92" i="1"/>
  <c r="AB93" i="1" s="1"/>
  <c r="AD93" i="1" l="1"/>
  <c r="AE93" i="1" s="1"/>
  <c r="AF93" i="1" s="1"/>
  <c r="AH93" i="1" s="1"/>
  <c r="AC94" i="1" s="1"/>
  <c r="AA95" i="1" s="1"/>
  <c r="Z94" i="1"/>
  <c r="AJ94" i="1" l="1"/>
  <c r="AL94" i="1" s="1"/>
  <c r="AI95" i="1"/>
  <c r="AK95" i="1" s="1"/>
  <c r="AM95" i="1" s="1"/>
  <c r="AG93" i="1"/>
  <c r="AB94" i="1" s="1"/>
  <c r="AD94" i="1" l="1"/>
  <c r="AE94" i="1" s="1"/>
  <c r="AF94" i="1" s="1"/>
  <c r="AH94" i="1" s="1"/>
  <c r="AC95" i="1" s="1"/>
  <c r="AA96" i="1" s="1"/>
  <c r="Z95" i="1"/>
  <c r="AJ95" i="1" l="1"/>
  <c r="AL95" i="1" s="1"/>
  <c r="AI96" i="1"/>
  <c r="AG94" i="1"/>
  <c r="AB95" i="1" s="1"/>
  <c r="AD95" i="1" l="1"/>
  <c r="AE95" i="1" s="1"/>
  <c r="AF95" i="1" s="1"/>
  <c r="AH95" i="1" s="1"/>
  <c r="AC96" i="1" s="1"/>
  <c r="AA97" i="1" s="1"/>
  <c r="AJ96" i="1"/>
  <c r="AL96" i="1" s="1"/>
  <c r="AK96" i="1"/>
  <c r="AM96" i="1" s="1"/>
  <c r="Z96" i="1"/>
  <c r="AI97" i="1" l="1"/>
  <c r="AK97" i="1" s="1"/>
  <c r="AM97" i="1" s="1"/>
  <c r="AG95" i="1"/>
  <c r="AB96" i="1" s="1"/>
  <c r="AD96" i="1" l="1"/>
  <c r="AE96" i="1" s="1"/>
  <c r="AF96" i="1" s="1"/>
  <c r="AH96" i="1" s="1"/>
  <c r="AC97" i="1" s="1"/>
  <c r="AA98" i="1" s="1"/>
  <c r="Z97" i="1"/>
  <c r="AJ97" i="1" l="1"/>
  <c r="AL97" i="1" s="1"/>
  <c r="AI98" i="1"/>
  <c r="AG96" i="1"/>
  <c r="AB97" i="1" s="1"/>
  <c r="Z98" i="1" s="1"/>
  <c r="AI99" i="1" s="1"/>
  <c r="AK99" i="1" l="1"/>
  <c r="AM99" i="1" s="1"/>
  <c r="AJ99" i="1"/>
  <c r="AL99" i="1" s="1"/>
  <c r="AD97" i="1"/>
  <c r="AE97" i="1" s="1"/>
  <c r="AF97" i="1" s="1"/>
  <c r="AH97" i="1" s="1"/>
  <c r="AC98" i="1" s="1"/>
  <c r="AA99" i="1" s="1"/>
  <c r="AK98" i="1"/>
  <c r="AM98" i="1" s="1"/>
  <c r="AJ98" i="1"/>
  <c r="AL98" i="1" s="1"/>
  <c r="AG97" i="1" l="1"/>
  <c r="AB98" i="1" s="1"/>
  <c r="Z99" i="1" l="1"/>
  <c r="AD98" i="1"/>
  <c r="AE98" i="1" s="1"/>
  <c r="AF98" i="1" s="1"/>
  <c r="AH98" i="1" s="1"/>
  <c r="AC99" i="1" s="1"/>
  <c r="AA100" i="1" s="1"/>
  <c r="AG98" i="1" l="1"/>
  <c r="AB99" i="1" s="1"/>
  <c r="Z100" i="1" s="1"/>
  <c r="AI100" i="1"/>
  <c r="AK100" i="1" s="1"/>
  <c r="AM100" i="1" s="1"/>
  <c r="AJ100" i="1" l="1"/>
  <c r="AL100" i="1" s="1"/>
  <c r="AD99" i="1"/>
  <c r="AE99" i="1" s="1"/>
  <c r="AF99" i="1" s="1"/>
  <c r="AH99" i="1" s="1"/>
  <c r="AC100" i="1" s="1"/>
  <c r="AA101" i="1" s="1"/>
  <c r="AG99" i="1"/>
  <c r="AB100" i="1" s="1"/>
  <c r="Z101" i="1" s="1"/>
  <c r="AI101" i="1"/>
  <c r="AD100" i="1" l="1"/>
  <c r="AE100" i="1" s="1"/>
  <c r="AF100" i="1" s="1"/>
  <c r="AH100" i="1" s="1"/>
  <c r="AC101" i="1" s="1"/>
  <c r="AA102" i="1" s="1"/>
  <c r="AI102" i="1"/>
  <c r="AJ101" i="1"/>
  <c r="AK101" i="1"/>
  <c r="AM101" i="1" s="1"/>
  <c r="AG100" i="1" l="1"/>
  <c r="AB101" i="1" s="1"/>
  <c r="Z102" i="1" s="1"/>
  <c r="AL101" i="1"/>
  <c r="AK102" i="1"/>
  <c r="AM102" i="1" s="1"/>
  <c r="AJ102" i="1"/>
  <c r="AL102" i="1" s="1"/>
  <c r="AD101" i="1" l="1"/>
  <c r="AE101" i="1" s="1"/>
  <c r="AF101" i="1" s="1"/>
  <c r="AH101" i="1" s="1"/>
  <c r="AC102" i="1" s="1"/>
  <c r="AA103" i="1" s="1"/>
  <c r="AI103" i="1"/>
  <c r="AG101" i="1" l="1"/>
  <c r="AB102" i="1" s="1"/>
  <c r="AD102" i="1" s="1"/>
  <c r="AE102" i="1" s="1"/>
  <c r="AF102" i="1" s="1"/>
  <c r="AH102" i="1" s="1"/>
  <c r="AC103" i="1" s="1"/>
  <c r="AA104" i="1" s="1"/>
  <c r="AK103" i="1"/>
  <c r="AM103" i="1" s="1"/>
  <c r="AJ103" i="1"/>
  <c r="Z103" i="1" l="1"/>
  <c r="AG102" i="1"/>
  <c r="AB103" i="1" s="1"/>
  <c r="AI104" i="1"/>
  <c r="AL103" i="1"/>
  <c r="Z104" i="1" l="1"/>
  <c r="AI105" i="1" s="1"/>
  <c r="AJ104" i="1"/>
  <c r="AK104" i="1"/>
  <c r="AM104" i="1" s="1"/>
  <c r="AD103" i="1"/>
  <c r="AE103" i="1" s="1"/>
  <c r="AF103" i="1" s="1"/>
  <c r="AH103" i="1" s="1"/>
  <c r="AC104" i="1" s="1"/>
  <c r="AA105" i="1" s="1"/>
  <c r="AG103" i="1" l="1"/>
  <c r="AB104" i="1" s="1"/>
  <c r="Z105" i="1" s="1"/>
  <c r="AK105" i="1"/>
  <c r="AM105" i="1" s="1"/>
  <c r="D19" i="1"/>
  <c r="V18" i="1" a="1"/>
  <c r="V18" i="1" s="1"/>
  <c r="D17" i="1" s="1"/>
  <c r="AJ105" i="1"/>
  <c r="AL105" i="1" s="1"/>
  <c r="AL104" i="1"/>
  <c r="AD104" i="1" l="1"/>
  <c r="AE104" i="1" s="1"/>
  <c r="AF104" i="1" s="1"/>
  <c r="AH104" i="1" s="1"/>
  <c r="AC105" i="1" s="1"/>
  <c r="D18" i="1"/>
  <c r="V20" i="1"/>
  <c r="AG104" i="1"/>
  <c r="AB105" i="1" s="1"/>
  <c r="AD105" i="1" l="1"/>
  <c r="AE105" i="1" s="1"/>
  <c r="AF105" i="1" s="1"/>
  <c r="AH105" i="1" s="1"/>
  <c r="AG105" i="1" l="1"/>
</calcChain>
</file>

<file path=xl/sharedStrings.xml><?xml version="1.0" encoding="utf-8"?>
<sst xmlns="http://schemas.openxmlformats.org/spreadsheetml/2006/main" count="47" uniqueCount="40">
  <si>
    <t>Projectile Trajectory Calculator</t>
  </si>
  <si>
    <t>Reverse</t>
  </si>
  <si>
    <t>Metric?</t>
  </si>
  <si>
    <t>Forward</t>
  </si>
  <si>
    <t>Release Angle (°)</t>
  </si>
  <si>
    <t>Target Angle (°)</t>
  </si>
  <si>
    <t>Final Angle (°)</t>
  </si>
  <si>
    <t>Drag Coefficient</t>
  </si>
  <si>
    <t>Rotation Speed (rps)</t>
  </si>
  <si>
    <t>t</t>
  </si>
  <si>
    <t>x</t>
  </si>
  <si>
    <t>y</t>
  </si>
  <si>
    <t>x'</t>
  </si>
  <si>
    <t>y'</t>
  </si>
  <si>
    <t>x''</t>
  </si>
  <si>
    <t>y''</t>
  </si>
  <si>
    <t>Release Height</t>
  </si>
  <si>
    <t>Distance to Target</t>
  </si>
  <si>
    <t>Release Velocity</t>
  </si>
  <si>
    <t>Release Angle</t>
  </si>
  <si>
    <t>drag</t>
  </si>
  <si>
    <t>Timestep</t>
  </si>
  <si>
    <t>S</t>
  </si>
  <si>
    <t>CL</t>
  </si>
  <si>
    <t>v</t>
  </si>
  <si>
    <t>lift</t>
  </si>
  <si>
    <t>Mass</t>
  </si>
  <si>
    <t>Radius</t>
  </si>
  <si>
    <t>x_disp</t>
  </si>
  <si>
    <t>y_disp</t>
  </si>
  <si>
    <t>done</t>
  </si>
  <si>
    <t>The reverse calculation uses standard projectile motion only. It does not account for air resistance or the Magnus effect.</t>
  </si>
  <si>
    <t>The forward calculation includes a basic model for air resistance and Magnus effect. To disable these, set the Drag Coefficient and Rotation Speed to 0.</t>
  </si>
  <si>
    <t>Drag Coeff. Calculation</t>
  </si>
  <si>
    <t>Reynolds Number</t>
  </si>
  <si>
    <t>Use the calculator to find the reynolds number of the ball in air, then use the graph below to find the ball's drag coefficient.</t>
  </si>
  <si>
    <t>Obstacle Height</t>
  </si>
  <si>
    <t>Obstacle Distance</t>
  </si>
  <si>
    <t>x_grph</t>
  </si>
  <si>
    <t>y_grph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</si>
</sst>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0.0"/>
    <numFmt numFmtId="165" formatCode="0.000"/>
    <numFmt numFmtId="166" formatCode="0.00000"/>
    <numFmt numFmtId="167" formatCode="0\°"/>
    <numFmt numFmtId="168" formatCode="0.0E+00"/>
    <numFmt numFmtId="169" formatCode="0.0000"/>
  </numFmts>
  <fonts count="9" x14ac:knownFonts="1">
    <font>
      <sz val="11"/>
      <color theme="1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Arial"/>
      <family val="2"/>
    </font>
    <font>
      <sz val="11"/>
      <color rgb="FFFF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9FC5E8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EB9C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1" tint="0.499984740745262"/>
      </right>
      <top style="thin">
        <color indexed="64"/>
      </top>
      <bottom style="thin">
        <color indexed="64"/>
      </bottom>
      <diagonal/>
    </border>
    <border>
      <left style="thin">
        <color theme="1" tint="0.499984740745262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FF0000"/>
      </left>
      <right/>
      <top style="thin">
        <color rgb="FFFF0000"/>
      </top>
      <bottom/>
      <diagonal/>
    </border>
    <border>
      <left/>
      <right style="thin">
        <color rgb="FFFF0000"/>
      </right>
      <top style="thin">
        <color rgb="FFFF0000"/>
      </top>
      <bottom/>
      <diagonal/>
    </border>
    <border>
      <left style="thin">
        <color rgb="FFFF0000"/>
      </left>
      <right/>
      <top/>
      <bottom/>
      <diagonal/>
    </border>
    <border>
      <left/>
      <right style="thin">
        <color rgb="FFFF0000"/>
      </right>
      <top/>
      <bottom/>
      <diagonal/>
    </border>
    <border>
      <left style="thin">
        <color rgb="FFFF0000"/>
      </left>
      <right/>
      <top/>
      <bottom style="thin">
        <color rgb="FFFF0000"/>
      </bottom>
      <diagonal/>
    </border>
    <border>
      <left/>
      <right style="thin">
        <color rgb="FFFF0000"/>
      </right>
      <top/>
      <bottom style="thin">
        <color rgb="FFFF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5">
    <xf numFmtId="0" fontId="0" fillId="0" borderId="0"/>
    <xf numFmtId="0" fontId="5" fillId="4" borderId="0" applyNumberFormat="0" applyBorder="0" applyAlignment="0" applyProtection="0"/>
    <xf numFmtId="0" fontId="1" fillId="5" borderId="0" applyNumberFormat="0" applyBorder="0" applyAlignment="0" applyProtection="0"/>
    <xf numFmtId="0" fontId="6" fillId="0" borderId="0"/>
    <xf numFmtId="0" fontId="7" fillId="0" borderId="0"/>
  </cellStyleXfs>
  <cellXfs count="34">
    <xf numFmtId="0" fontId="0" fillId="0" borderId="0" xfId="0"/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2" fillId="0" borderId="0" xfId="0" applyFont="1" applyAlignment="1" applyProtection="1">
      <alignment vertical="center"/>
      <protection locked="0"/>
    </xf>
    <xf numFmtId="0" fontId="0" fillId="0" borderId="3" xfId="0" applyBorder="1" applyAlignment="1">
      <alignment vertical="center"/>
    </xf>
    <xf numFmtId="164" fontId="0" fillId="2" borderId="4" xfId="0" applyNumberFormat="1" applyFill="1" applyBorder="1" applyAlignment="1" applyProtection="1">
      <alignment vertical="center"/>
      <protection locked="0"/>
    </xf>
    <xf numFmtId="164" fontId="0" fillId="0" borderId="0" xfId="0" applyNumberFormat="1" applyAlignment="1">
      <alignment vertical="center"/>
    </xf>
    <xf numFmtId="166" fontId="0" fillId="0" borderId="0" xfId="0" applyNumberFormat="1" applyAlignment="1">
      <alignment vertical="center"/>
    </xf>
    <xf numFmtId="167" fontId="0" fillId="2" borderId="4" xfId="0" applyNumberFormat="1" applyFill="1" applyBorder="1" applyAlignment="1" applyProtection="1">
      <alignment vertical="center"/>
      <protection locked="0"/>
    </xf>
    <xf numFmtId="165" fontId="0" fillId="0" borderId="0" xfId="0" applyNumberFormat="1" applyAlignment="1">
      <alignment vertical="center"/>
    </xf>
    <xf numFmtId="0" fontId="2" fillId="0" borderId="0" xfId="0" applyFont="1" applyAlignment="1">
      <alignment vertical="center"/>
    </xf>
    <xf numFmtId="164" fontId="0" fillId="3" borderId="4" xfId="0" applyNumberFormat="1" applyFill="1" applyBorder="1" applyAlignment="1">
      <alignment vertical="center"/>
    </xf>
    <xf numFmtId="167" fontId="0" fillId="3" borderId="4" xfId="0" applyNumberFormat="1" applyFill="1" applyBorder="1" applyAlignment="1">
      <alignment vertical="center"/>
    </xf>
    <xf numFmtId="2" fontId="0" fillId="2" borderId="4" xfId="0" applyNumberFormat="1" applyFill="1" applyBorder="1" applyAlignment="1" applyProtection="1">
      <alignment vertical="center"/>
      <protection locked="0"/>
    </xf>
    <xf numFmtId="1" fontId="0" fillId="2" borderId="4" xfId="0" applyNumberFormat="1" applyFill="1" applyBorder="1" applyAlignment="1" applyProtection="1">
      <alignment vertical="center"/>
      <protection locked="0"/>
    </xf>
    <xf numFmtId="0" fontId="5" fillId="0" borderId="0" xfId="0" applyFont="1" applyAlignment="1">
      <alignment vertical="center"/>
    </xf>
    <xf numFmtId="168" fontId="0" fillId="3" borderId="4" xfId="0" applyNumberFormat="1" applyFill="1" applyBorder="1" applyAlignment="1">
      <alignment vertical="center"/>
    </xf>
    <xf numFmtId="169" fontId="0" fillId="0" borderId="0" xfId="0" applyNumberFormat="1" applyAlignment="1">
      <alignment vertical="center"/>
    </xf>
    <xf numFmtId="0" fontId="5" fillId="0" borderId="11" xfId="0" applyFont="1" applyBorder="1" applyAlignment="1">
      <alignment horizontal="center" vertical="center" wrapText="1"/>
    </xf>
    <xf numFmtId="0" fontId="5" fillId="0" borderId="12" xfId="0" applyFont="1" applyBorder="1" applyAlignment="1">
      <alignment horizontal="center" vertical="center" wrapText="1"/>
    </xf>
    <xf numFmtId="0" fontId="5" fillId="0" borderId="13" xfId="0" applyFont="1" applyBorder="1" applyAlignment="1">
      <alignment horizontal="center" vertical="center" wrapText="1"/>
    </xf>
    <xf numFmtId="0" fontId="5" fillId="0" borderId="14" xfId="0" applyFont="1" applyBorder="1" applyAlignment="1">
      <alignment horizontal="center" vertical="center" wrapText="1"/>
    </xf>
    <xf numFmtId="0" fontId="5" fillId="0" borderId="15" xfId="0" applyFont="1" applyBorder="1" applyAlignment="1">
      <alignment horizontal="center" vertical="center" wrapText="1"/>
    </xf>
    <xf numFmtId="0" fontId="5" fillId="0" borderId="16" xfId="0" applyFont="1" applyBorder="1" applyAlignment="1">
      <alignment horizontal="center" vertical="center" wrapText="1"/>
    </xf>
    <xf numFmtId="0" fontId="8" fillId="0" borderId="5" xfId="0" applyFont="1" applyBorder="1" applyAlignment="1">
      <alignment horizontal="center" vertical="center" wrapText="1"/>
    </xf>
    <xf numFmtId="0" fontId="8" fillId="0" borderId="6" xfId="0" applyFont="1" applyBorder="1" applyAlignment="1">
      <alignment horizontal="center" vertical="center" wrapText="1"/>
    </xf>
    <xf numFmtId="0" fontId="8" fillId="0" borderId="7" xfId="0" applyFont="1" applyBorder="1" applyAlignment="1">
      <alignment horizontal="center" vertical="center" wrapText="1"/>
    </xf>
    <xf numFmtId="0" fontId="8" fillId="0" borderId="8" xfId="0" applyFont="1" applyBorder="1" applyAlignment="1">
      <alignment horizontal="center" vertical="center" wrapText="1"/>
    </xf>
    <xf numFmtId="0" fontId="8" fillId="0" borderId="9" xfId="0" applyFont="1" applyBorder="1" applyAlignment="1">
      <alignment horizontal="center" vertical="center" wrapText="1"/>
    </xf>
    <xf numFmtId="0" fontId="8" fillId="0" borderId="10" xfId="0" applyFont="1" applyBorder="1" applyAlignment="1">
      <alignment horizontal="center" vertical="center" wrapText="1"/>
    </xf>
    <xf numFmtId="0" fontId="0" fillId="2" borderId="1" xfId="0" applyFill="1" applyBorder="1" applyAlignment="1" applyProtection="1">
      <alignment horizontal="left" vertical="center"/>
      <protection locked="0"/>
    </xf>
    <xf numFmtId="0" fontId="0" fillId="2" borderId="2" xfId="0" applyFill="1" applyBorder="1" applyAlignment="1" applyProtection="1">
      <alignment horizontal="left" vertical="center"/>
      <protection locked="0"/>
    </xf>
    <xf numFmtId="0" fontId="4" fillId="0" borderId="0" xfId="0" applyFont="1" applyAlignment="1">
      <alignment horizontal="left" vertical="center"/>
    </xf>
    <xf numFmtId="0" fontId="4" fillId="0" borderId="17" xfId="0" applyFont="1" applyBorder="1" applyAlignment="1">
      <alignment horizontal="left" vertical="center"/>
    </xf>
  </cellXfs>
  <cellStyles count="5">
    <cellStyle name="Bad 2" xfId="1"/>
    <cellStyle name="Neutral 2" xfId="2"/>
    <cellStyle name="Normal" xfId="0" builtinId="0"/>
    <cellStyle name="Normal 2" xfId="3"/>
    <cellStyle name="Normal 3" xfId="4"/>
  </cellStyles>
  <dxfs count="2">
    <dxf>
      <font>
        <color rgb="FF663300"/>
      </font>
      <fill>
        <patternFill>
          <bgColor rgb="FFFFCC66"/>
        </patternFill>
      </fill>
    </dxf>
    <dxf>
      <font>
        <color rgb="FF663300"/>
      </font>
      <fill>
        <patternFill>
          <bgColor rgb="FFFFCC66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5469495421288771E-2"/>
          <c:y val="4.4533511467379203E-2"/>
          <c:w val="0.93400278246782276"/>
          <c:h val="0.90481444078007278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´ÖÓÎÉÇØÍÐÉ!$AL$5:$AL$105</c:f>
              <c:numCache>
                <c:formatCode>General</c:formatCode>
                <c:ptCount val="101"/>
                <c:pt idx="0">
                  <c:v>0</c:v>
                </c:pt>
                <c:pt idx="1">
                  <c:v>0.15</c:v>
                </c:pt>
                <c:pt idx="2">
                  <c:v>0.29888948081066646</c:v>
                </c:pt>
                <c:pt idx="3">
                  <c:v>0.44668779987358909</c:v>
                </c:pt>
                <c:pt idx="4">
                  <c:v>0.59341398439145299</c:v>
                </c:pt>
                <c:pt idx="5">
                  <c:v>0.73908673836100314</c:v>
                </c:pt>
                <c:pt idx="6">
                  <c:v>0.88372444940941863</c:v>
                </c:pt>
                <c:pt idx="7">
                  <c:v>1.0273451954406314</c:v>
                </c:pt>
                <c:pt idx="8">
                  <c:v>1.1699667510978862</c:v>
                </c:pt>
                <c:pt idx="9">
                  <c:v>1.3116065940486161</c:v>
                </c:pt>
                <c:pt idx="10">
                  <c:v>1.4522819110974916</c:v>
                </c:pt>
                <c:pt idx="11">
                  <c:v>1.5920096041332963</c:v>
                </c:pt>
                <c:pt idx="12">
                  <c:v>1.7308062959150892</c:v>
                </c:pt>
                <c:pt idx="13">
                  <c:v>1.8686883357029249</c:v>
                </c:pt>
                <c:pt idx="14">
                  <c:v>2.0056718047382289</c:v>
                </c:pt>
                <c:pt idx="15">
                  <c:v>2.1417725215787513</c:v>
                </c:pt>
                <c:pt idx="16">
                  <c:v>2.2770060472928635</c:v>
                </c:pt>
                <c:pt idx="17">
                  <c:v>2.41138769051781</c:v>
                </c:pt>
                <c:pt idx="18">
                  <c:v>2.5449325123863722</c:v>
                </c:pt>
                <c:pt idx="19">
                  <c:v>2.6776553313262728</c:v>
                </c:pt>
                <c:pt idx="20">
                  <c:v>2.8095707277365021</c:v>
                </c:pt>
                <c:pt idx="21">
                  <c:v>2.9406930485446257</c:v>
                </c:pt>
                <c:pt idx="22">
                  <c:v>3.0710364116490121</c:v>
                </c:pt>
                <c:pt idx="23">
                  <c:v>3.2006147102497962</c:v>
                </c:pt>
                <c:pt idx="24">
                  <c:v>3.3294416170722805</c:v>
                </c:pt>
                <c:pt idx="25">
                  <c:v>3.4575305884863794</c:v>
                </c:pt>
                <c:pt idx="26">
                  <c:v>3.5848948685255895</c:v>
                </c:pt>
                <c:pt idx="27">
                  <c:v>3.7115474928088901</c:v>
                </c:pt>
                <c:pt idx="28">
                  <c:v>3.8375012923688656</c:v>
                </c:pt>
                <c:pt idx="29">
                  <c:v>3.9627688973892572</c:v>
                </c:pt>
                <c:pt idx="30">
                  <c:v>4.0873627408550641</c:v>
                </c:pt>
                <c:pt idx="31">
                  <c:v>4.2112950621182215</c:v>
                </c:pt>
                <c:pt idx="32">
                  <c:v>4.3345779103818067</c:v>
                </c:pt>
                <c:pt idx="33">
                  <c:v>4.4572231481056432</c:v>
                </c:pt>
                <c:pt idx="34">
                  <c:v>4.5792424543360832</c:v>
                </c:pt>
                <c:pt idx="35">
                  <c:v>4.7006473279626944</c:v>
                </c:pt>
                <c:pt idx="36">
                  <c:v>4.821449090904478</c:v>
                </c:pt>
                <c:pt idx="37">
                  <c:v>4.9416588912281938</c:v>
                </c:pt>
                <c:pt idx="38">
                  <c:v>5.0612877062012771</c:v>
                </c:pt>
                <c:pt idx="39">
                  <c:v>5.180346345281782</c:v>
                </c:pt>
                <c:pt idx="40">
                  <c:v>5.2988454530476901</c:v>
                </c:pt>
                <c:pt idx="41">
                  <c:v>5.4167955120678863</c:v>
                </c:pt>
                <c:pt idx="42">
                  <c:v>5.5342068457170051</c:v>
                </c:pt>
                <c:pt idx="43">
                  <c:v>5.6510896209363031</c:v>
                </c:pt>
                <c:pt idx="44">
                  <c:v>5.7674538509426334</c:v>
                </c:pt>
                <c:pt idx="45">
                  <c:v>5.883309397887543</c:v>
                </c:pt>
                <c:pt idx="46">
                  <c:v>5.9986659754684242</c:v>
                </c:pt>
                <c:pt idx="47">
                  <c:v>6.1135331514936091</c:v>
                </c:pt>
                <c:pt idx="48">
                  <c:v>6.2279203504032088</c:v>
                </c:pt>
                <c:pt idx="49">
                  <c:v>6.3418368557474327</c:v>
                </c:pt>
                <c:pt idx="50">
                  <c:v>6.455291812624063</c:v>
                </c:pt>
                <c:pt idx="51">
                  <c:v>6.5682942300766749</c:v>
                </c:pt>
                <c:pt idx="52">
                  <c:v>6.6808529834551367</c:v>
                </c:pt>
                <c:pt idx="53">
                  <c:v>6.7929768167398432</c:v>
                </c:pt>
                <c:pt idx="54">
                  <c:v>6.9046743448310561</c:v>
                </c:pt>
                <c:pt idx="55">
                  <c:v>7.015954055804678</c:v>
                </c:pt>
                <c:pt idx="56">
                  <c:v>7.126824313135681</c:v>
                </c:pt>
                <c:pt idx="57">
                  <c:v>7.2372933578903584</c:v>
                </c:pt>
                <c:pt idx="58">
                  <c:v>7.3473693108884905</c:v>
                </c:pt>
                <c:pt idx="59">
                  <c:v>7.4570601748364291</c:v>
                </c:pt>
                <c:pt idx="60">
                  <c:v>7.5663738364320459</c:v>
                </c:pt>
                <c:pt idx="61">
                  <c:v>7.6753180684424001</c:v>
                </c:pt>
                <c:pt idx="62">
                  <c:v>7.7839005317549237</c:v>
                </c:pt>
                <c:pt idx="63">
                  <c:v>7.8921287774028226</c:v>
                </c:pt>
                <c:pt idx="64">
                  <c:v>8.0000102485653475</c:v>
                </c:pt>
                <c:pt idx="65">
                  <c:v>8.1075522825434891</c:v>
                </c:pt>
                <c:pt idx="66">
                  <c:v>8.2147621127116039</c:v>
                </c:pt>
                <c:pt idx="67">
                  <c:v>8.3216468704453757</c:v>
                </c:pt>
                <c:pt idx="68">
                  <c:v>8.4282135870264856</c:v>
                </c:pt>
                <c:pt idx="69">
                  <c:v>8.5344691955242613</c:v>
                </c:pt>
                <c:pt idx="70">
                  <c:v>8.6404205326545327</c:v>
                </c:pt>
                <c:pt idx="71">
                  <c:v>8.7460743406158503</c:v>
                </c:pt>
                <c:pt idx="72">
                  <c:v>8.8514372689031635</c:v>
                </c:pt>
                <c:pt idx="73">
                  <c:v>8.9565158760989867</c:v>
                </c:pt>
                <c:pt idx="74">
                  <c:v>9.0613166316420521</c:v>
                </c:pt>
                <c:pt idx="75">
                  <c:v>9.165845917573364</c:v>
                </c:pt>
                <c:pt idx="76">
                  <c:v>9.2701100302595503</c:v>
                </c:pt>
                <c:pt idx="77">
                  <c:v>9.3741151820933339</c:v>
                </c:pt>
                <c:pt idx="78">
                  <c:v>9.4778675031709341</c:v>
                </c:pt>
                <c:pt idx="79">
                  <c:v>9.5813730429461508</c:v>
                </c:pt>
                <c:pt idx="80">
                  <c:v>9.684637771860853</c:v>
                </c:pt>
                <c:pt idx="81">
                  <c:v>9.787667582951574</c:v>
                </c:pt>
                <c:pt idx="82">
                  <c:v>9.8904682934318817</c:v>
                </c:pt>
                <c:pt idx="83">
                  <c:v>9.9930456462501773</c:v>
                </c:pt>
                <c:pt idx="84">
                  <c:v>10.09540531162255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</c:numCache>
            </c:numRef>
          </c:xVal>
          <c:yVal>
            <c:numRef>
              <c:f>´ÖÓÎÉÇØÍÐÉ!$AM$5:$AM$105</c:f>
              <c:numCache>
                <c:formatCode>General</c:formatCode>
                <c:ptCount val="101"/>
                <c:pt idx="0">
                  <c:v>1.2</c:v>
                </c:pt>
                <c:pt idx="1">
                  <c:v>1.2636712224314406</c:v>
                </c:pt>
                <c:pt idx="2">
                  <c:v>1.3262986904516259</c:v>
                </c:pt>
                <c:pt idx="3">
                  <c:v>1.3878807007733356</c:v>
                </c:pt>
                <c:pt idx="4">
                  <c:v>1.448415633224813</c:v>
                </c:pt>
                <c:pt idx="5">
                  <c:v>1.5079019478203299</c:v>
                </c:pt>
                <c:pt idx="6">
                  <c:v>1.5663381819602049</c:v>
                </c:pt>
                <c:pt idx="7">
                  <c:v>1.6237229477559008</c:v>
                </c:pt>
                <c:pt idx="8">
                  <c:v>1.6800549294760367</c:v>
                </c:pt>
                <c:pt idx="9">
                  <c:v>1.7353328811093462</c:v>
                </c:pt>
                <c:pt idx="10">
                  <c:v>1.7895556240407968</c:v>
                </c:pt>
                <c:pt idx="11">
                  <c:v>1.842722044837267</c:v>
                </c:pt>
                <c:pt idx="12">
                  <c:v>1.8948310931393382</c:v>
                </c:pt>
                <c:pt idx="13">
                  <c:v>1.9458817796559216</c:v>
                </c:pt>
                <c:pt idx="14">
                  <c:v>1.9958731742585856</c:v>
                </c:pt>
                <c:pt idx="15">
                  <c:v>2.0448044041725901</c:v>
                </c:pt>
                <c:pt idx="16">
                  <c:v>2.0926746522617687</c:v>
                </c:pt>
                <c:pt idx="17">
                  <c:v>2.1394831554045228</c:v>
                </c:pt>
                <c:pt idx="18">
                  <c:v>2.185229202958308</c:v>
                </c:pt>
                <c:pt idx="19">
                  <c:v>2.2299121353101077</c:v>
                </c:pt>
                <c:pt idx="20">
                  <c:v>2.2735313425104837</c:v>
                </c:pt>
                <c:pt idx="21">
                  <c:v>2.316086262988903</c:v>
                </c:pt>
                <c:pt idx="22">
                  <c:v>2.3575763823481131</c:v>
                </c:pt>
                <c:pt idx="23">
                  <c:v>2.3980012322354392</c:v>
                </c:pt>
                <c:pt idx="24">
                  <c:v>2.4373603892889415</c:v>
                </c:pt>
                <c:pt idx="25">
                  <c:v>2.4756534741564487</c:v>
                </c:pt>
                <c:pt idx="26">
                  <c:v>2.5128801505855476</c:v>
                </c:pt>
                <c:pt idx="27">
                  <c:v>2.5490401245826702</c:v>
                </c:pt>
                <c:pt idx="28">
                  <c:v>2.5841331436394741</c:v>
                </c:pt>
                <c:pt idx="29">
                  <c:v>2.6181589960247615</c:v>
                </c:pt>
                <c:pt idx="30">
                  <c:v>2.6511175101402271</c:v>
                </c:pt>
                <c:pt idx="31">
                  <c:v>2.6830085539383632</c:v>
                </c:pt>
                <c:pt idx="32">
                  <c:v>2.713832034400887</c:v>
                </c:pt>
                <c:pt idx="33">
                  <c:v>2.7435878970760861</c:v>
                </c:pt>
                <c:pt idx="34">
                  <c:v>2.7722761256734976</c:v>
                </c:pt>
                <c:pt idx="35">
                  <c:v>2.7998967417143676</c:v>
                </c:pt>
                <c:pt idx="36">
                  <c:v>2.8264498042363417</c:v>
                </c:pt>
                <c:pt idx="37">
                  <c:v>2.8519354095508644</c:v>
                </c:pt>
                <c:pt idx="38">
                  <c:v>2.8763536910517602</c:v>
                </c:pt>
                <c:pt idx="39">
                  <c:v>2.8997048190734871</c:v>
                </c:pt>
                <c:pt idx="40">
                  <c:v>2.9219890007975429</c:v>
                </c:pt>
                <c:pt idx="41">
                  <c:v>2.9432064802055162</c:v>
                </c:pt>
                <c:pt idx="42">
                  <c:v>2.963357538077255</c:v>
                </c:pt>
                <c:pt idx="43">
                  <c:v>2.9824424920326309</c:v>
                </c:pt>
                <c:pt idx="44">
                  <c:v>3.0004616966153606</c:v>
                </c:pt>
                <c:pt idx="45">
                  <c:v>3.0174155434173309</c:v>
                </c:pt>
                <c:pt idx="46">
                  <c:v>3.0333044612418685</c:v>
                </c:pt>
                <c:pt idx="47">
                  <c:v>3.0481289163043681</c:v>
                </c:pt>
                <c:pt idx="48">
                  <c:v>3.0618894124686822</c:v>
                </c:pt>
                <c:pt idx="49">
                  <c:v>3.0745864915176528</c:v>
                </c:pt>
                <c:pt idx="50">
                  <c:v>3.086220733456146</c:v>
                </c:pt>
                <c:pt idx="51">
                  <c:v>3.0967927568449287</c:v>
                </c:pt>
                <c:pt idx="52">
                  <c:v>3.1063032191637072</c:v>
                </c:pt>
                <c:pt idx="53">
                  <c:v>3.1147528172016212</c:v>
                </c:pt>
                <c:pt idx="54">
                  <c:v>3.1221422874734719</c:v>
                </c:pt>
                <c:pt idx="55">
                  <c:v>3.1284724066599385</c:v>
                </c:pt>
                <c:pt idx="56">
                  <c:v>3.1337439920700172</c:v>
                </c:pt>
                <c:pt idx="57">
                  <c:v>3.1379579021238997</c:v>
                </c:pt>
                <c:pt idx="58">
                  <c:v>3.1411150368544938</c:v>
                </c:pt>
                <c:pt idx="59">
                  <c:v>3.1432163384257694</c:v>
                </c:pt>
                <c:pt idx="60">
                  <c:v>3.1442627916661046</c:v>
                </c:pt>
                <c:pt idx="61">
                  <c:v>3.1442554246147907</c:v>
                </c:pt>
                <c:pt idx="62">
                  <c:v>3.1431953090798594</c:v>
                </c:pt>
                <c:pt idx="63">
                  <c:v>3.1410835612053756</c:v>
                </c:pt>
                <c:pt idx="64">
                  <c:v>3.1379213420463516</c:v>
                </c:pt>
                <c:pt idx="65">
                  <c:v>3.1337098581494334</c:v>
                </c:pt>
                <c:pt idx="66">
                  <c:v>3.1284503621375204</c:v>
                </c:pt>
                <c:pt idx="67">
                  <c:v>3.1221441532964862</c:v>
                </c:pt>
                <c:pt idx="68">
                  <c:v>3.1147925781621861</c:v>
                </c:pt>
                <c:pt idx="69">
                  <c:v>3.1063970311059519</c:v>
                </c:pt>
                <c:pt idx="70">
                  <c:v>3.0969589549167993</c:v>
                </c:pt>
                <c:pt idx="71">
                  <c:v>3.0864798413786012</c:v>
                </c:pt>
                <c:pt idx="72">
                  <c:v>3.0749612318405046</c:v>
                </c:pt>
                <c:pt idx="73">
                  <c:v>3.0624047177789104</c:v>
                </c:pt>
                <c:pt idx="74">
                  <c:v>3.0488119413493742</c:v>
                </c:pt>
                <c:pt idx="75">
                  <c:v>3.0341845959268245</c:v>
                </c:pt>
                <c:pt idx="76">
                  <c:v>3.0185244266325455</c:v>
                </c:pt>
                <c:pt idx="77">
                  <c:v>3.0018332308464224</c:v>
                </c:pt>
                <c:pt idx="78">
                  <c:v>2.9841128587029995</c:v>
                </c:pt>
                <c:pt idx="79">
                  <c:v>2.9653652135699611</c:v>
                </c:pt>
                <c:pt idx="80">
                  <c:v>2.9455922525077041</c:v>
                </c:pt>
                <c:pt idx="81">
                  <c:v>2.9247959867087343</c:v>
                </c:pt>
                <c:pt idx="82">
                  <c:v>2.9029784819156883</c:v>
                </c:pt>
                <c:pt idx="83">
                  <c:v>2.8801418588168439</c:v>
                </c:pt>
                <c:pt idx="84">
                  <c:v>2.8562882934180625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</c:numCache>
            </c:numRef>
          </c:yVal>
          <c:smooth val="1"/>
        </c:ser>
        <c:ser>
          <c:idx val="1"/>
          <c:order val="1"/>
          <c:dPt>
            <c:idx val="0"/>
            <c:marker>
              <c:symbol val="none"/>
            </c:marker>
            <c:bubble3D val="0"/>
          </c:dPt>
          <c:xVal>
            <c:numRef>
              <c:f>´ÖÓÎÉÇØÍÐÉ!$V$20</c:f>
              <c:numCache>
                <c:formatCode>General</c:formatCode>
                <c:ptCount val="1"/>
                <c:pt idx="0">
                  <c:v>10.09540531162255</c:v>
                </c:pt>
              </c:numCache>
            </c:numRef>
          </c:xVal>
          <c:yVal>
            <c:numRef>
              <c:f>´ÖÓÎÉÇØÍÐÉ!$V$20</c:f>
              <c:numCache>
                <c:formatCode>General</c:formatCode>
                <c:ptCount val="1"/>
                <c:pt idx="0">
                  <c:v>10.09540531162255</c:v>
                </c:pt>
              </c:numCache>
            </c:numRef>
          </c:yVal>
          <c:smooth val="1"/>
        </c:ser>
        <c:ser>
          <c:idx val="2"/>
          <c:order val="2"/>
          <c:spPr>
            <a:ln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(´ÖÓÎÉÇØÍÐÉ!$V$14,´ÖÓÎÉÇØÍÐÉ!$V$14)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xVal>
          <c:yVal>
            <c:numRef>
              <c:f>´ÖÓÎÉÇØÍÐÉ!$V$15:$V$16</c:f>
              <c:numCache>
                <c:formatCode>General</c:formatCode>
                <c:ptCount val="2"/>
                <c:pt idx="0">
                  <c:v>1.5</c:v>
                </c:pt>
                <c:pt idx="1">
                  <c:v>0</c:v>
                </c:pt>
              </c:numCache>
            </c:numRef>
          </c:yVal>
          <c:smooth val="1"/>
        </c:ser>
        <c:ser>
          <c:idx val="3"/>
          <c:order val="3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´ÖÓÎÉÇØÍÐÉ!$AS$5:$AS$105</c:f>
              <c:numCache>
                <c:formatCode>General</c:formatCode>
                <c:ptCount val="1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</c:numCache>
            </c:numRef>
          </c:xVal>
          <c:yVal>
            <c:numRef>
              <c:f>´ÖÓÎÉÇØÍÐÉ!$AT$5:$AT$105</c:f>
              <c:numCache>
                <c:formatCode>General</c:formatCode>
                <c:ptCount val="1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2022144"/>
        <c:axId val="101384960"/>
      </c:scatterChart>
      <c:valAx>
        <c:axId val="102022144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1384960"/>
        <c:crosses val="autoZero"/>
        <c:crossBetween val="midCat"/>
      </c:valAx>
      <c:valAx>
        <c:axId val="10138496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022144"/>
        <c:crosses val="autoZero"/>
        <c:crossBetween val="midCat"/>
      </c:valAx>
      <c:spPr>
        <a:noFill/>
        <a:ln>
          <a:noFill/>
        </a:ln>
        <a:effectLst/>
      </c:spPr>
    </c:plotArea>
    <c:plotVisOnly val="0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CheckBox" checked="Checked" fmlaLink="$B$4" lockText="1" noThreeD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</xdr:row>
          <xdr:rowOff>0</xdr:rowOff>
        </xdr:from>
        <xdr:to>
          <xdr:col>1</xdr:col>
          <xdr:colOff>209550</xdr:colOff>
          <xdr:row>3</xdr:row>
          <xdr:rowOff>171450</xdr:rowOff>
        </xdr:to>
        <xdr:sp macro="" textlink="">
          <xdr:nvSpPr>
            <xdr:cNvPr id="1025" name="Metric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xdr:twoCellAnchor>
    <xdr:from>
      <xdr:col>8</xdr:col>
      <xdr:colOff>0</xdr:colOff>
      <xdr:row>3</xdr:row>
      <xdr:rowOff>19050</xdr:rowOff>
    </xdr:from>
    <xdr:to>
      <xdr:col>18</xdr:col>
      <xdr:colOff>160020</xdr:colOff>
      <xdr:row>35</xdr:row>
      <xdr:rowOff>1905</xdr:rowOff>
    </xdr:to>
    <xdr:graphicFrame macro="">
      <xdr:nvGraphicFramePr>
        <xdr:cNvPr id="3" name="Chart 2">
          <a:extLst>
            <a:ext uri="{FF2B5EF4-FFF2-40B4-BE49-F238E27FC236}">
              <a16:creationId xmlns=""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</xdr:col>
      <xdr:colOff>0</xdr:colOff>
      <xdr:row>36</xdr:row>
      <xdr:rowOff>0</xdr:rowOff>
    </xdr:from>
    <xdr:to>
      <xdr:col>7</xdr:col>
      <xdr:colOff>462878</xdr:colOff>
      <xdr:row>53</xdr:row>
      <xdr:rowOff>0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5325" y="6724650"/>
          <a:ext cx="5263478" cy="3238500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AMB%20Design%20Spreadsheet%20v4_6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ME"/>
      <sheetName val="±ÉÇÌÅÒÍ×Ñ¶ÅØÍÓ"/>
      <sheetName val="°ÉÅÈ·ÇÖÉÛ"/>
      <sheetName val="¨ÖÍÚÉØÖÅÍÒ"/>
      <sheetName val="¦ÉÅÑ¦ÉÒÈ"/>
      <sheetName val="´ÖÓÎÉÇØÍÐÉ"/>
      <sheetName val="§ÌÅÍÒ¦ÉÐØ"/>
      <sheetName val="«ÉÅÖ§ÐÉÅÖ"/>
      <sheetName val="¶ÅØÍÓ¨Í×Ø"/>
      <sheetName val="´ÒÉÙÑÅØÍÇ×"/>
      <sheetName val="´ÒÉÙ°ÍÒÏÅËÉ"/>
      <sheetName val="º´¨ÅØÅ"/>
      <sheetName val="ºÉÖ×Å´ÐÅÒÉØÅÖÝ"/>
      <sheetName val="Specs"/>
      <sheetName val="AMB Design Spreadsheet v4_6"/>
    </sheetNames>
    <definedNames>
      <definedName name="Projectile_Metric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>
        <row r="2">
          <cell r="D2" t="str">
            <v>1/2" Hex AM 9015 -1</v>
          </cell>
        </row>
      </sheetData>
      <sheetData sheetId="12"/>
      <sheetData sheetId="13">
        <row r="5">
          <cell r="B5" t="str">
            <v>CIM</v>
          </cell>
        </row>
      </sheetData>
      <sheetData sheetId="14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/>
  <dimension ref="B2:AU121"/>
  <sheetViews>
    <sheetView tabSelected="1" zoomScaleNormal="100" workbookViewId="0"/>
  </sheetViews>
  <sheetFormatPr defaultColWidth="9.140625" defaultRowHeight="15" x14ac:dyDescent="0.25"/>
  <cols>
    <col min="1" max="1" width="7.140625" style="1" customWidth="1"/>
    <col min="2" max="2" width="3.28515625" style="1" customWidth="1"/>
    <col min="3" max="3" width="21.140625" style="1" customWidth="1"/>
    <col min="4" max="4" width="10.28515625" style="1" customWidth="1"/>
    <col min="5" max="5" width="9.140625" style="1" customWidth="1"/>
    <col min="6" max="6" width="21.140625" style="1" customWidth="1"/>
    <col min="7" max="7" width="10.28515625" style="1" customWidth="1"/>
    <col min="8" max="8" width="9.140625" style="1"/>
    <col min="9" max="9" width="9.140625" style="1" customWidth="1"/>
    <col min="10" max="10" width="1.5703125" style="1" customWidth="1"/>
    <col min="11" max="17" width="9.140625" style="1"/>
    <col min="18" max="18" width="9.140625" style="1" customWidth="1"/>
    <col min="19" max="20" width="9.140625" style="1"/>
    <col min="21" max="21" width="17.28515625" style="1" hidden="1" customWidth="1"/>
    <col min="22" max="46" width="0" style="1" hidden="1" customWidth="1"/>
    <col min="47" max="16384" width="9.140625" style="1"/>
  </cols>
  <sheetData>
    <row r="2" spans="2:47" ht="31.5" x14ac:dyDescent="0.25">
      <c r="C2" s="2" t="s">
        <v>0</v>
      </c>
    </row>
    <row r="3" spans="2:47" x14ac:dyDescent="0.25">
      <c r="I3" s="30" t="s">
        <v>3</v>
      </c>
      <c r="J3" s="31"/>
    </row>
    <row r="4" spans="2:47" x14ac:dyDescent="0.25">
      <c r="B4" s="3" t="b">
        <v>1</v>
      </c>
      <c r="C4" s="1" t="s">
        <v>2</v>
      </c>
      <c r="U4" s="1" t="s">
        <v>21</v>
      </c>
      <c r="V4" s="1">
        <f>V6/(V7*COS(V8))/100*1.5</f>
        <v>1.2730785672718313E-2</v>
      </c>
      <c r="Y4" s="1" t="s">
        <v>9</v>
      </c>
      <c r="Z4" s="1" t="s">
        <v>10</v>
      </c>
      <c r="AA4" s="1" t="s">
        <v>11</v>
      </c>
      <c r="AB4" s="1" t="s">
        <v>12</v>
      </c>
      <c r="AC4" s="1" t="s">
        <v>13</v>
      </c>
      <c r="AD4" s="1" t="s">
        <v>24</v>
      </c>
      <c r="AE4" s="1" t="s">
        <v>22</v>
      </c>
      <c r="AF4" s="1" t="s">
        <v>23</v>
      </c>
      <c r="AG4" s="1" t="s">
        <v>14</v>
      </c>
      <c r="AH4" s="1" t="s">
        <v>15</v>
      </c>
      <c r="AI4" s="1" t="s">
        <v>30</v>
      </c>
      <c r="AJ4" s="1" t="s">
        <v>28</v>
      </c>
      <c r="AK4" s="1" t="s">
        <v>29</v>
      </c>
      <c r="AL4" s="1" t="s">
        <v>38</v>
      </c>
      <c r="AM4" s="1" t="s">
        <v>39</v>
      </c>
      <c r="AP4" s="1" t="s">
        <v>10</v>
      </c>
      <c r="AQ4" s="1" t="s">
        <v>11</v>
      </c>
      <c r="AR4" s="1" t="s">
        <v>24</v>
      </c>
      <c r="AS4" s="1" t="s">
        <v>38</v>
      </c>
      <c r="AT4" s="1" t="s">
        <v>39</v>
      </c>
    </row>
    <row r="5" spans="2:47" x14ac:dyDescent="0.25">
      <c r="U5" s="1" t="s">
        <v>16</v>
      </c>
      <c r="V5" s="1">
        <f>D7/IF($B$4, 1, 3.281)</f>
        <v>1.2</v>
      </c>
      <c r="Y5" s="1">
        <v>0</v>
      </c>
      <c r="Z5" s="1">
        <v>0</v>
      </c>
      <c r="AA5" s="1">
        <f>V5</f>
        <v>1.2</v>
      </c>
      <c r="AB5" s="1">
        <f>V7*COS(V8)</f>
        <v>11.782462124191238</v>
      </c>
      <c r="AC5" s="1">
        <f>V7*SIN(V8)</f>
        <v>5.0013584446627046</v>
      </c>
      <c r="AD5" s="1">
        <f>SQRT(AB5^2+AC5^2)</f>
        <v>12.8</v>
      </c>
      <c r="AE5" s="1">
        <f t="shared" ref="AE5:AE36" si="0">IFERROR($V$9*($D$13*2*PI())/AD5, 0)</f>
        <v>0.21843886419491523</v>
      </c>
      <c r="AF5" s="1">
        <f>IF(AE5&gt;0.1, 0.6*AE5+0.1, 1.6*AE5)</f>
        <v>0.23106331851694914</v>
      </c>
      <c r="AG5" s="1">
        <f t="shared" ref="AG5:AG33" si="1">-$V$11*AB5*AD5 - $V$12*AF5*AC5*AD5</f>
        <v>-6.8519731737372922</v>
      </c>
      <c r="AH5" s="1">
        <f t="shared" ref="AH5:AH33" si="2">$V$12*AF5*AD5*AB5 - $V$11*AC5*AD5 - 9.8</f>
        <v>-6.4400302980667394</v>
      </c>
      <c r="AI5" s="1" t="b">
        <f>FALSE</f>
        <v>0</v>
      </c>
      <c r="AJ5" s="1">
        <f>Z5*IF($B$4, 1, 3.281)</f>
        <v>0</v>
      </c>
      <c r="AK5" s="1">
        <f>AA5*IF($B$4, 1, 3.281)</f>
        <v>1.2</v>
      </c>
      <c r="AL5" s="1">
        <f>IF($I$3="Forward", AJ5, NA())</f>
        <v>0</v>
      </c>
      <c r="AM5" s="1">
        <f>IF($I$3="Forward", AK5, NA())</f>
        <v>1.2</v>
      </c>
      <c r="AP5" s="1">
        <v>0</v>
      </c>
      <c r="AQ5" s="1">
        <f>$G$7 + AP5*TAN(RADIANS($G$13)) - (IF($B$4, 9.8, 32.2)*AP5^2)/(2*($G$12*COS(RADIANS($G$13)))^2)</f>
        <v>1.2</v>
      </c>
      <c r="AR5" s="17">
        <f>G12</f>
        <v>20.067149964364841</v>
      </c>
      <c r="AS5" s="1" t="e">
        <f>IF($I$3="Forward", NA(), AP5)</f>
        <v>#N/A</v>
      </c>
      <c r="AT5" s="1" t="e">
        <f>IF($I$3="Forward", NA(), AQ5)</f>
        <v>#N/A</v>
      </c>
      <c r="AU5" s="17"/>
    </row>
    <row r="6" spans="2:47" ht="18.75" customHeight="1" x14ac:dyDescent="0.25">
      <c r="C6" s="32" t="s">
        <v>3</v>
      </c>
      <c r="D6" s="32"/>
      <c r="F6" s="32" t="s">
        <v>1</v>
      </c>
      <c r="G6" s="32"/>
      <c r="U6" s="1" t="s">
        <v>17</v>
      </c>
      <c r="V6" s="1">
        <f>D8/IF($B$4, 1, 3.281)</f>
        <v>10</v>
      </c>
      <c r="Y6" s="1">
        <f>Y5+$V$4</f>
        <v>1.2730785672718313E-2</v>
      </c>
      <c r="Z6" s="1">
        <f>Z5+AB5*$V$4</f>
        <v>0.15</v>
      </c>
      <c r="AA6" s="1">
        <f>AA5+AC5*$V$4</f>
        <v>1.2636712224314406</v>
      </c>
      <c r="AB6" s="1">
        <f>AB5+AG5*$V$4</f>
        <v>11.695231122281173</v>
      </c>
      <c r="AC6" s="1">
        <f>AC5+AH5*$V$4</f>
        <v>4.9193717992122048</v>
      </c>
      <c r="AD6" s="1">
        <f t="shared" ref="AD6:AD33" si="3">SQRT(AB6^2+AC6^2)</f>
        <v>12.687736200853896</v>
      </c>
      <c r="AE6" s="1">
        <f t="shared" si="0"/>
        <v>0.22037165790905558</v>
      </c>
      <c r="AF6" s="1">
        <f t="shared" ref="AF6:AF69" si="4">IF(AE6&gt;0.1, 0.6*AE6+0.1, 1.6*AE6)</f>
        <v>0.23222299474543334</v>
      </c>
      <c r="AG6" s="1">
        <f t="shared" si="1"/>
        <v>-6.7325365428723849</v>
      </c>
      <c r="AH6" s="1">
        <f t="shared" si="2"/>
        <v>-6.4505396872348264</v>
      </c>
      <c r="AI6" s="1" t="b">
        <f>OR(AA5&lt;0, Z5&gt;$V$6)</f>
        <v>0</v>
      </c>
      <c r="AJ6" s="1">
        <f>IF(AI6,NA(),Z6)*IF($B$4,1,3.281)</f>
        <v>0.15</v>
      </c>
      <c r="AK6" s="1">
        <f>IF(AI6, NA(), AA6)*IF($B$4, 1, 3.281)</f>
        <v>1.2636712224314406</v>
      </c>
      <c r="AL6" s="1">
        <f t="shared" ref="AL6:AL69" si="5">IF($I$3="Forward", AJ6, NA())</f>
        <v>0.15</v>
      </c>
      <c r="AM6" s="1">
        <f t="shared" ref="AM6:AM69" si="6">IF($I$3="Forward", AK6, NA())</f>
        <v>1.2636712224314406</v>
      </c>
      <c r="AP6" s="1">
        <f>AP5+$G$8/100</f>
        <v>0.1</v>
      </c>
      <c r="AQ6" s="1">
        <f>$G$7 + AP6*TAN(RADIANS($G$13)) - (IF($B$4, 9.8, 32.2)*AP6^2)/(2*($G$12*COS(RADIANS($G$13)))^2)</f>
        <v>1.2258700927908637</v>
      </c>
      <c r="AR6" s="1">
        <f>SQRT(1+((AQ6-AQ5)/(AP6-AP5))^2)*($G$12*COS(RADIANS($G$13)))</f>
        <v>20.06081614086607</v>
      </c>
      <c r="AS6" s="1" t="e">
        <f t="shared" ref="AS6:AS69" si="7">IF($I$3="Forward", NA(), AP6)</f>
        <v>#N/A</v>
      </c>
      <c r="AT6" s="1" t="e">
        <f t="shared" ref="AT6:AT69" si="8">IF($I$3="Forward", NA(), AQ6)</f>
        <v>#N/A</v>
      </c>
    </row>
    <row r="7" spans="2:47" x14ac:dyDescent="0.25">
      <c r="C7" s="4" t="str">
        <f>"Release Height (" &amp; IF($B$4, "m", "ft") &amp; ")"</f>
        <v>Release Height (m)</v>
      </c>
      <c r="D7" s="5">
        <v>1.2</v>
      </c>
      <c r="F7" s="4" t="str">
        <f>"Release Height (" &amp; IF($B$4, "m", "ft") &amp; ")"</f>
        <v>Release Height (m)</v>
      </c>
      <c r="G7" s="5">
        <v>1.2</v>
      </c>
      <c r="U7" s="1" t="s">
        <v>18</v>
      </c>
      <c r="V7" s="1">
        <f>D9/IF($B$4, 1, 3.281)</f>
        <v>12.8</v>
      </c>
      <c r="Y7" s="1">
        <f t="shared" ref="Y7:Y70" si="9">Y6+$V$4</f>
        <v>2.5461571345436626E-2</v>
      </c>
      <c r="Z7" s="1">
        <f t="shared" ref="Z7:Z70" si="10">Z6+AB6*$V$4</f>
        <v>0.29888948081066646</v>
      </c>
      <c r="AA7" s="1">
        <f t="shared" ref="AA7:AA70" si="11">AA6+AC6*$V$4</f>
        <v>1.3262986904516259</v>
      </c>
      <c r="AB7" s="1">
        <f t="shared" ref="AB7:AB70" si="12">AB6+AG6*$V$4</f>
        <v>11.609520642520121</v>
      </c>
      <c r="AC7" s="1">
        <f t="shared" ref="AC7:AC70" si="13">AC6+AH6*$V$4</f>
        <v>4.8372513609806544</v>
      </c>
      <c r="AD7" s="1">
        <f t="shared" si="3"/>
        <v>12.576961885861387</v>
      </c>
      <c r="AE7" s="1">
        <f t="shared" si="0"/>
        <v>0.22231262900129381</v>
      </c>
      <c r="AF7" s="1">
        <f t="shared" si="4"/>
        <v>0.23338757740077629</v>
      </c>
      <c r="AG7" s="1">
        <f t="shared" si="1"/>
        <v>-6.6151375067981402</v>
      </c>
      <c r="AH7" s="1">
        <f t="shared" si="2"/>
        <v>-6.4605362487716631</v>
      </c>
      <c r="AI7" s="1" t="b">
        <f t="shared" ref="AI7:AI33" si="14">OR(AA6&lt;0, Z6&gt;$V$6)</f>
        <v>0</v>
      </c>
      <c r="AJ7" s="1">
        <f t="shared" ref="AJ7:AJ70" si="15">IF(AI7,NA(),Z7)*IF($B$4,1,3.281)</f>
        <v>0.29888948081066646</v>
      </c>
      <c r="AK7" s="1">
        <f t="shared" ref="AK7:AK70" si="16">IF(AI7, NA(), AA7)*IF($B$4, 1, 3.281)</f>
        <v>1.3262986904516259</v>
      </c>
      <c r="AL7" s="1">
        <f t="shared" si="5"/>
        <v>0.29888948081066646</v>
      </c>
      <c r="AM7" s="1">
        <f t="shared" si="6"/>
        <v>1.3262986904516259</v>
      </c>
      <c r="AP7" s="1">
        <f t="shared" ref="AP7:AP70" si="17">AP6+$G$8/100</f>
        <v>0.2</v>
      </c>
      <c r="AQ7" s="1">
        <f t="shared" ref="AQ7:AQ70" si="18">$G$7 + AP7*TAN(RADIANS($G$13)) - (IF($B$4, 9.8, 32.2)*AP7^2)/(2*($G$12*COS(RADIANS($G$13)))^2)</f>
        <v>1.2514803711634548</v>
      </c>
      <c r="AR7" s="1">
        <f t="shared" ref="AR7:AR70" si="19">SQRT(1+((AQ7-AQ6)/(AP7-AP6))^2)*($G$12*COS(RADIANS($G$13)))</f>
        <v>20.048237743009505</v>
      </c>
      <c r="AS7" s="1" t="e">
        <f t="shared" si="7"/>
        <v>#N/A</v>
      </c>
      <c r="AT7" s="1" t="e">
        <f t="shared" si="8"/>
        <v>#N/A</v>
      </c>
    </row>
    <row r="8" spans="2:47" x14ac:dyDescent="0.25">
      <c r="C8" s="4" t="str">
        <f>"Distance to Target (" &amp; IF($B$4, "m", "ft") &amp; ")"</f>
        <v>Distance to Target (m)</v>
      </c>
      <c r="D8" s="5">
        <v>10</v>
      </c>
      <c r="F8" s="4" t="str">
        <f>"Distance to Target (" &amp; IF($B$4, "m", "ft") &amp; ")"</f>
        <v>Distance to Target (m)</v>
      </c>
      <c r="G8" s="5">
        <v>10</v>
      </c>
      <c r="I8" s="6"/>
      <c r="J8" s="6">
        <v>0</v>
      </c>
      <c r="L8" s="6"/>
      <c r="M8" s="6"/>
      <c r="O8" s="6"/>
      <c r="P8" s="6"/>
      <c r="U8" s="1" t="s">
        <v>19</v>
      </c>
      <c r="V8" s="1">
        <f>RADIANS(D10)</f>
        <v>0.4014257279586958</v>
      </c>
      <c r="Y8" s="1">
        <f t="shared" si="9"/>
        <v>3.8192357018154939E-2</v>
      </c>
      <c r="Z8" s="1">
        <f t="shared" si="10"/>
        <v>0.44668779987358909</v>
      </c>
      <c r="AA8" s="1">
        <f t="shared" si="11"/>
        <v>1.3878807007733356</v>
      </c>
      <c r="AB8" s="1">
        <f t="shared" si="12"/>
        <v>11.525304744725513</v>
      </c>
      <c r="AC8" s="1">
        <f t="shared" si="13"/>
        <v>4.7550036586667153</v>
      </c>
      <c r="AD8" s="1">
        <f t="shared" si="3"/>
        <v>12.467666552034759</v>
      </c>
      <c r="AE8" s="1">
        <f t="shared" si="0"/>
        <v>0.22426148870965731</v>
      </c>
      <c r="AF8" s="1">
        <f t="shared" si="4"/>
        <v>0.2345568932257944</v>
      </c>
      <c r="AG8" s="1">
        <f t="shared" si="1"/>
        <v>-6.4997326716824588</v>
      </c>
      <c r="AH8" s="1">
        <f t="shared" si="2"/>
        <v>-6.4700380574738023</v>
      </c>
      <c r="AI8" s="1" t="b">
        <f t="shared" si="14"/>
        <v>0</v>
      </c>
      <c r="AJ8" s="1">
        <f t="shared" si="15"/>
        <v>0.44668779987358909</v>
      </c>
      <c r="AK8" s="1">
        <f t="shared" si="16"/>
        <v>1.3878807007733356</v>
      </c>
      <c r="AL8" s="1">
        <f t="shared" si="5"/>
        <v>0.44668779987358909</v>
      </c>
      <c r="AM8" s="1">
        <f t="shared" si="6"/>
        <v>1.3878807007733356</v>
      </c>
      <c r="AP8" s="1">
        <f t="shared" si="17"/>
        <v>0.30000000000000004</v>
      </c>
      <c r="AQ8" s="1">
        <f t="shared" si="18"/>
        <v>1.2768308351177731</v>
      </c>
      <c r="AR8" s="1">
        <f t="shared" si="19"/>
        <v>20.035778530554452</v>
      </c>
      <c r="AS8" s="1" t="e">
        <f t="shared" si="7"/>
        <v>#N/A</v>
      </c>
      <c r="AT8" s="1" t="e">
        <f t="shared" si="8"/>
        <v>#N/A</v>
      </c>
    </row>
    <row r="9" spans="2:47" x14ac:dyDescent="0.25">
      <c r="C9" s="4" t="str">
        <f>"Release Velocity (" &amp; IF($B$4, "m", "ft") &amp; "/s)"</f>
        <v>Release Velocity (m/s)</v>
      </c>
      <c r="D9" s="5">
        <v>12.8</v>
      </c>
      <c r="F9" s="4" t="str">
        <f>"Target Height (" &amp; IF($B$4, "m", "ft") &amp; ")"</f>
        <v>Target Height (m)</v>
      </c>
      <c r="G9" s="5">
        <v>2.5</v>
      </c>
      <c r="I9" s="6"/>
      <c r="J9" s="6">
        <v>0</v>
      </c>
      <c r="O9" s="6"/>
      <c r="P9" s="6"/>
      <c r="U9" s="1" t="s">
        <v>27</v>
      </c>
      <c r="V9" s="1">
        <f>$D$14/IF($B$4, 1000, 39.37)/2</f>
        <v>8.8999999999999982E-2</v>
      </c>
      <c r="Y9" s="1">
        <f t="shared" si="9"/>
        <v>5.0923142690873252E-2</v>
      </c>
      <c r="Z9" s="1">
        <f t="shared" si="10"/>
        <v>0.59341398439145299</v>
      </c>
      <c r="AA9" s="1">
        <f t="shared" si="11"/>
        <v>1.448415633224813</v>
      </c>
      <c r="AB9" s="1">
        <f t="shared" si="12"/>
        <v>11.44255804115236</v>
      </c>
      <c r="AC9" s="1">
        <f t="shared" si="13"/>
        <v>4.6726349908626856</v>
      </c>
      <c r="AD9" s="1">
        <f t="shared" si="3"/>
        <v>12.359840301677641</v>
      </c>
      <c r="AE9" s="1">
        <f t="shared" si="0"/>
        <v>0.22621792785748232</v>
      </c>
      <c r="AF9" s="1">
        <f t="shared" si="4"/>
        <v>0.2357307567144894</v>
      </c>
      <c r="AG9" s="1">
        <f t="shared" si="1"/>
        <v>-6.3862798566655812</v>
      </c>
      <c r="AH9" s="1">
        <f t="shared" si="2"/>
        <v>-6.479062389406244</v>
      </c>
      <c r="AI9" s="1" t="b">
        <f t="shared" si="14"/>
        <v>0</v>
      </c>
      <c r="AJ9" s="1">
        <f t="shared" si="15"/>
        <v>0.59341398439145299</v>
      </c>
      <c r="AK9" s="1">
        <f t="shared" si="16"/>
        <v>1.448415633224813</v>
      </c>
      <c r="AL9" s="1">
        <f t="shared" si="5"/>
        <v>0.59341398439145299</v>
      </c>
      <c r="AM9" s="1">
        <f t="shared" si="6"/>
        <v>1.448415633224813</v>
      </c>
      <c r="AP9" s="1">
        <f t="shared" si="17"/>
        <v>0.4</v>
      </c>
      <c r="AQ9" s="1">
        <f t="shared" si="18"/>
        <v>1.3019214846538187</v>
      </c>
      <c r="AR9" s="1">
        <f t="shared" si="19"/>
        <v>20.023438725983642</v>
      </c>
      <c r="AS9" s="1" t="e">
        <f t="shared" si="7"/>
        <v>#N/A</v>
      </c>
      <c r="AT9" s="1" t="e">
        <f t="shared" si="8"/>
        <v>#N/A</v>
      </c>
    </row>
    <row r="10" spans="2:47" x14ac:dyDescent="0.25">
      <c r="C10" s="4" t="s">
        <v>4</v>
      </c>
      <c r="D10" s="8">
        <v>23</v>
      </c>
      <c r="F10" s="4" t="s">
        <v>5</v>
      </c>
      <c r="G10" s="8">
        <v>0</v>
      </c>
      <c r="I10" s="7"/>
      <c r="J10" s="6">
        <v>0</v>
      </c>
      <c r="U10" s="1" t="s">
        <v>26</v>
      </c>
      <c r="V10" s="1">
        <f>$D$15/IF($B$4, 1, 2.2)</f>
        <v>0.1</v>
      </c>
      <c r="Y10" s="1">
        <f t="shared" si="9"/>
        <v>6.3653928363591572E-2</v>
      </c>
      <c r="Z10" s="1">
        <f t="shared" si="10"/>
        <v>0.73908673836100314</v>
      </c>
      <c r="AA10" s="1">
        <f t="shared" si="11"/>
        <v>1.5079019478203299</v>
      </c>
      <c r="AB10" s="1">
        <f t="shared" si="12"/>
        <v>11.361255681051151</v>
      </c>
      <c r="AC10" s="1">
        <f t="shared" si="13"/>
        <v>4.5901514362229845</v>
      </c>
      <c r="AD10" s="1">
        <f t="shared" si="3"/>
        <v>12.253473828171217</v>
      </c>
      <c r="AE10" s="1">
        <f t="shared" si="0"/>
        <v>0.22818161616069735</v>
      </c>
      <c r="AF10" s="1">
        <f t="shared" si="4"/>
        <v>0.23690896969641842</v>
      </c>
      <c r="AG10" s="1">
        <f t="shared" si="1"/>
        <v>-6.2747380535452066</v>
      </c>
      <c r="AH10" s="1">
        <f t="shared" si="2"/>
        <v>-6.4876257488837403</v>
      </c>
      <c r="AI10" s="1" t="b">
        <f t="shared" si="14"/>
        <v>0</v>
      </c>
      <c r="AJ10" s="1">
        <f t="shared" si="15"/>
        <v>0.73908673836100314</v>
      </c>
      <c r="AK10" s="1">
        <f t="shared" si="16"/>
        <v>1.5079019478203299</v>
      </c>
      <c r="AL10" s="1">
        <f t="shared" si="5"/>
        <v>0.73908673836100314</v>
      </c>
      <c r="AM10" s="1">
        <f t="shared" si="6"/>
        <v>1.5079019478203299</v>
      </c>
      <c r="AP10" s="1">
        <f t="shared" si="17"/>
        <v>0.5</v>
      </c>
      <c r="AQ10" s="1">
        <f t="shared" si="18"/>
        <v>1.3267523197715918</v>
      </c>
      <c r="AR10" s="1">
        <f t="shared" si="19"/>
        <v>20.011218550193639</v>
      </c>
      <c r="AS10" s="1" t="e">
        <f t="shared" si="7"/>
        <v>#N/A</v>
      </c>
      <c r="AT10" s="1" t="e">
        <f t="shared" si="8"/>
        <v>#N/A</v>
      </c>
    </row>
    <row r="11" spans="2:47" x14ac:dyDescent="0.25">
      <c r="D11" s="6"/>
      <c r="G11" s="6"/>
      <c r="U11" s="1" t="s">
        <v>20</v>
      </c>
      <c r="V11" s="1">
        <f>0.5*1.225*(PI()*$V$9^2)*$D$12/$V$10</f>
        <v>3.0483580376128815E-2</v>
      </c>
      <c r="Y11" s="1">
        <f t="shared" si="9"/>
        <v>7.6384714036309892E-2</v>
      </c>
      <c r="Z11" s="1">
        <f t="shared" si="10"/>
        <v>0.88372444940941863</v>
      </c>
      <c r="AA11" s="1">
        <f t="shared" si="11"/>
        <v>1.5663381819602049</v>
      </c>
      <c r="AB11" s="1">
        <f t="shared" si="12"/>
        <v>11.281373335739017</v>
      </c>
      <c r="AC11" s="1">
        <f t="shared" si="13"/>
        <v>4.5075588632891366</v>
      </c>
      <c r="AD11" s="1">
        <f t="shared" si="3"/>
        <v>12.148558401980859</v>
      </c>
      <c r="AE11" s="1">
        <f t="shared" si="0"/>
        <v>0.23015220153520571</v>
      </c>
      <c r="AF11" s="1">
        <f t="shared" si="4"/>
        <v>0.23809132092112342</v>
      </c>
      <c r="AG11" s="1">
        <f t="shared" si="1"/>
        <v>-6.1650673879176292</v>
      </c>
      <c r="AH11" s="1">
        <f t="shared" si="2"/>
        <v>-6.4957438941719463</v>
      </c>
      <c r="AI11" s="1" t="b">
        <f t="shared" si="14"/>
        <v>0</v>
      </c>
      <c r="AJ11" s="1">
        <f t="shared" si="15"/>
        <v>0.88372444940941863</v>
      </c>
      <c r="AK11" s="1">
        <f t="shared" si="16"/>
        <v>1.5663381819602049</v>
      </c>
      <c r="AL11" s="1">
        <f t="shared" si="5"/>
        <v>0.88372444940941863</v>
      </c>
      <c r="AM11" s="1">
        <f t="shared" si="6"/>
        <v>1.5663381819602049</v>
      </c>
      <c r="AP11" s="1">
        <f t="shared" si="17"/>
        <v>0.6</v>
      </c>
      <c r="AQ11" s="1">
        <f t="shared" si="18"/>
        <v>1.351323340471092</v>
      </c>
      <c r="AR11" s="1">
        <f t="shared" si="19"/>
        <v>19.999118222476824</v>
      </c>
      <c r="AS11" s="1" t="e">
        <f t="shared" si="7"/>
        <v>#N/A</v>
      </c>
      <c r="AT11" s="1" t="e">
        <f t="shared" si="8"/>
        <v>#N/A</v>
      </c>
    </row>
    <row r="12" spans="2:47" x14ac:dyDescent="0.25">
      <c r="C12" s="4" t="s">
        <v>7</v>
      </c>
      <c r="D12" s="13">
        <v>0.2</v>
      </c>
      <c r="F12" s="4" t="str">
        <f>"Release Velocity (" &amp; IF($B$4, "m", "ft") &amp; "/s)"</f>
        <v>Release Velocity (m/s)</v>
      </c>
      <c r="G12" s="11">
        <f>SQRT((IF($B$4, 9.807, 32.174)*G8)/(ABS(TAN(RADIANS(G13))-TAN(RADIANS(G10)))))/COS(RADIANS(G13))</f>
        <v>20.067149964364841</v>
      </c>
      <c r="U12" s="1" t="s">
        <v>25</v>
      </c>
      <c r="V12" s="1">
        <f>0.5*1.225*(PI()*$V$9^2)/$V$10</f>
        <v>0.15241790188064408</v>
      </c>
      <c r="Y12" s="1">
        <f t="shared" si="9"/>
        <v>8.9115499709028212E-2</v>
      </c>
      <c r="Z12" s="1">
        <f t="shared" si="10"/>
        <v>1.0273451954406314</v>
      </c>
      <c r="AA12" s="1">
        <f t="shared" si="11"/>
        <v>1.6237229477559008</v>
      </c>
      <c r="AB12" s="1">
        <f t="shared" si="12"/>
        <v>11.202887184165572</v>
      </c>
      <c r="AC12" s="1">
        <f t="shared" si="13"/>
        <v>4.4248629399875652</v>
      </c>
      <c r="AD12" s="1">
        <f t="shared" si="3"/>
        <v>12.045085856847042</v>
      </c>
      <c r="AE12" s="1">
        <f t="shared" si="0"/>
        <v>0.23212930940674997</v>
      </c>
      <c r="AF12" s="1">
        <f t="shared" si="4"/>
        <v>0.23927758564404999</v>
      </c>
      <c r="AG12" s="1">
        <f t="shared" si="1"/>
        <v>-6.0572290817070522</v>
      </c>
      <c r="AH12" s="1">
        <f t="shared" si="2"/>
        <v>-6.5034318619758125</v>
      </c>
      <c r="AI12" s="1" t="b">
        <f t="shared" si="14"/>
        <v>0</v>
      </c>
      <c r="AJ12" s="1">
        <f t="shared" si="15"/>
        <v>1.0273451954406314</v>
      </c>
      <c r="AK12" s="1">
        <f t="shared" si="16"/>
        <v>1.6237229477559008</v>
      </c>
      <c r="AL12" s="1">
        <f t="shared" si="5"/>
        <v>1.0273451954406314</v>
      </c>
      <c r="AM12" s="1">
        <f t="shared" si="6"/>
        <v>1.6237229477559008</v>
      </c>
      <c r="AP12" s="1">
        <f t="shared" si="17"/>
        <v>0.7</v>
      </c>
      <c r="AQ12" s="1">
        <f t="shared" si="18"/>
        <v>1.3756345467523197</v>
      </c>
      <c r="AR12" s="1">
        <f t="shared" si="19"/>
        <v>19.987137960503336</v>
      </c>
      <c r="AS12" s="1" t="e">
        <f t="shared" si="7"/>
        <v>#N/A</v>
      </c>
      <c r="AT12" s="1" t="e">
        <f t="shared" si="8"/>
        <v>#N/A</v>
      </c>
    </row>
    <row r="13" spans="2:47" x14ac:dyDescent="0.25">
      <c r="C13" s="4" t="s">
        <v>8</v>
      </c>
      <c r="D13" s="5">
        <v>5</v>
      </c>
      <c r="F13" s="4" t="s">
        <v>4</v>
      </c>
      <c r="G13" s="12">
        <f>DEGREES(ATAN(2*(G9-G7)/G8-TAN(RADIANS(G10))))</f>
        <v>14.574216198038739</v>
      </c>
      <c r="Y13" s="1">
        <f t="shared" si="9"/>
        <v>0.10184628538174653</v>
      </c>
      <c r="Z13" s="1">
        <f t="shared" si="10"/>
        <v>1.1699667510978862</v>
      </c>
      <c r="AA13" s="1">
        <f t="shared" si="11"/>
        <v>1.6800549294760367</v>
      </c>
      <c r="AB13" s="1">
        <f t="shared" si="12"/>
        <v>11.125773898955803</v>
      </c>
      <c r="AC13" s="1">
        <f t="shared" si="13"/>
        <v>4.3420691428156237</v>
      </c>
      <c r="AD13" s="1">
        <f t="shared" si="3"/>
        <v>11.94304857612485</v>
      </c>
      <c r="AE13" s="1">
        <f t="shared" si="0"/>
        <v>0.2341125420258599</v>
      </c>
      <c r="AF13" s="1">
        <f t="shared" si="4"/>
        <v>0.24046752521551595</v>
      </c>
      <c r="AG13" s="1">
        <f t="shared" si="1"/>
        <v>-5.9511854170185483</v>
      </c>
      <c r="AH13" s="1">
        <f t="shared" si="2"/>
        <v>-6.5107039907794544</v>
      </c>
      <c r="AI13" s="1" t="b">
        <f t="shared" si="14"/>
        <v>0</v>
      </c>
      <c r="AJ13" s="1">
        <f t="shared" si="15"/>
        <v>1.1699667510978862</v>
      </c>
      <c r="AK13" s="1">
        <f t="shared" si="16"/>
        <v>1.6800549294760367</v>
      </c>
      <c r="AL13" s="1">
        <f t="shared" si="5"/>
        <v>1.1699667510978862</v>
      </c>
      <c r="AM13" s="1">
        <f t="shared" si="6"/>
        <v>1.6800549294760367</v>
      </c>
      <c r="AP13" s="1">
        <f t="shared" si="17"/>
        <v>0.79999999999999993</v>
      </c>
      <c r="AQ13" s="1">
        <f t="shared" si="18"/>
        <v>1.3996859386152747</v>
      </c>
      <c r="AR13" s="1">
        <f t="shared" si="19"/>
        <v>19.975277980303069</v>
      </c>
      <c r="AS13" s="1" t="e">
        <f t="shared" si="7"/>
        <v>#N/A</v>
      </c>
      <c r="AT13" s="1" t="e">
        <f t="shared" si="8"/>
        <v>#N/A</v>
      </c>
    </row>
    <row r="14" spans="2:47" x14ac:dyDescent="0.25">
      <c r="C14" s="4" t="str">
        <f>"Ball Diameter (" &amp; IF($B$4, "mm", "in") &amp; ")"</f>
        <v>Ball Diameter (mm)</v>
      </c>
      <c r="D14" s="14">
        <v>177.99999999999997</v>
      </c>
      <c r="F14" s="4" t="str">
        <f>"Avg. Velocity (" &amp; IF($B$4, "m", "ft") &amp; ")"</f>
        <v>Avg. Velocity (m)</v>
      </c>
      <c r="G14" s="11">
        <f>AVERAGE(AR5:AR105)</f>
        <v>19.642483482834649</v>
      </c>
      <c r="N14" s="9"/>
      <c r="U14" s="1" t="s">
        <v>37</v>
      </c>
      <c r="V14" s="1">
        <f>IF($I$3="Forward", D21, G16)</f>
        <v>1</v>
      </c>
      <c r="Y14" s="1">
        <f t="shared" si="9"/>
        <v>0.11457707105446485</v>
      </c>
      <c r="Z14" s="1">
        <f t="shared" si="10"/>
        <v>1.3116065940486161</v>
      </c>
      <c r="AA14" s="1">
        <f t="shared" si="11"/>
        <v>1.7353328811093462</v>
      </c>
      <c r="AB14" s="1">
        <f t="shared" si="12"/>
        <v>11.050010632913134</v>
      </c>
      <c r="AC14" s="1">
        <f t="shared" si="13"/>
        <v>4.2591827657304986</v>
      </c>
      <c r="AD14" s="1">
        <f t="shared" si="3"/>
        <v>11.842439479236912</v>
      </c>
      <c r="AE14" s="1">
        <f t="shared" si="0"/>
        <v>0.23610147779071289</v>
      </c>
      <c r="AF14" s="1">
        <f t="shared" si="4"/>
        <v>0.24166088667442773</v>
      </c>
      <c r="AG14" s="1">
        <f t="shared" si="1"/>
        <v>-5.8468997012533164</v>
      </c>
      <c r="AH14" s="1">
        <f t="shared" si="2"/>
        <v>-6.5175739430989115</v>
      </c>
      <c r="AI14" s="1" t="b">
        <f t="shared" si="14"/>
        <v>0</v>
      </c>
      <c r="AJ14" s="1">
        <f t="shared" si="15"/>
        <v>1.3116065940486161</v>
      </c>
      <c r="AK14" s="1">
        <f t="shared" si="16"/>
        <v>1.7353328811093462</v>
      </c>
      <c r="AL14" s="1">
        <f t="shared" si="5"/>
        <v>1.3116065940486161</v>
      </c>
      <c r="AM14" s="1">
        <f t="shared" si="6"/>
        <v>1.7353328811093462</v>
      </c>
      <c r="AP14" s="1">
        <f t="shared" si="17"/>
        <v>0.89999999999999991</v>
      </c>
      <c r="AQ14" s="1">
        <f t="shared" si="18"/>
        <v>1.4234775160599571</v>
      </c>
      <c r="AR14" s="1">
        <f t="shared" si="19"/>
        <v>19.96353849624775</v>
      </c>
      <c r="AS14" s="1" t="e">
        <f t="shared" si="7"/>
        <v>#N/A</v>
      </c>
      <c r="AT14" s="1" t="e">
        <f t="shared" si="8"/>
        <v>#N/A</v>
      </c>
    </row>
    <row r="15" spans="2:47" ht="14.45" customHeight="1" x14ac:dyDescent="0.25">
      <c r="C15" s="4" t="str">
        <f>"Ball Mass (" &amp; IF($B$4, "kg", "lbs") &amp; ")"</f>
        <v>Ball Mass (kg)</v>
      </c>
      <c r="D15" s="13">
        <v>0.1</v>
      </c>
      <c r="N15" s="9"/>
      <c r="U15" s="1" t="s">
        <v>36</v>
      </c>
      <c r="V15" s="15">
        <f>IF($I$3="Forward", D22, G17)</f>
        <v>1.5</v>
      </c>
      <c r="Y15" s="1">
        <f t="shared" si="9"/>
        <v>0.12730785672718317</v>
      </c>
      <c r="Z15" s="1">
        <f t="shared" si="10"/>
        <v>1.4522819110974916</v>
      </c>
      <c r="AA15" s="1">
        <f t="shared" si="11"/>
        <v>1.7895556240407968</v>
      </c>
      <c r="AB15" s="1">
        <f t="shared" si="12"/>
        <v>10.975575005966597</v>
      </c>
      <c r="AC15" s="1">
        <f t="shared" si="13"/>
        <v>4.1762089287548125</v>
      </c>
      <c r="AD15" s="1">
        <f t="shared" si="3"/>
        <v>11.743252008204971</v>
      </c>
      <c r="AE15" s="1">
        <f t="shared" si="0"/>
        <v>0.23809567058097256</v>
      </c>
      <c r="AF15" s="1">
        <f t="shared" si="4"/>
        <v>0.24285740234858352</v>
      </c>
      <c r="AG15" s="1">
        <f t="shared" si="1"/>
        <v>-5.7443362334278119</v>
      </c>
      <c r="AH15" s="1">
        <f t="shared" si="2"/>
        <v>-6.5240547267063871</v>
      </c>
      <c r="AI15" s="1" t="b">
        <f t="shared" si="14"/>
        <v>0</v>
      </c>
      <c r="AJ15" s="1">
        <f t="shared" si="15"/>
        <v>1.4522819110974916</v>
      </c>
      <c r="AK15" s="1">
        <f t="shared" si="16"/>
        <v>1.7895556240407968</v>
      </c>
      <c r="AL15" s="1">
        <f t="shared" si="5"/>
        <v>1.4522819110974916</v>
      </c>
      <c r="AM15" s="1">
        <f t="shared" si="6"/>
        <v>1.7895556240407968</v>
      </c>
      <c r="AP15" s="1">
        <f t="shared" si="17"/>
        <v>0.99999999999999989</v>
      </c>
      <c r="AQ15" s="1">
        <f t="shared" si="18"/>
        <v>1.4470092790863669</v>
      </c>
      <c r="AR15" s="1">
        <f t="shared" si="19"/>
        <v>19.951919721033093</v>
      </c>
      <c r="AS15" s="1" t="e">
        <f t="shared" si="7"/>
        <v>#N/A</v>
      </c>
      <c r="AT15" s="1" t="e">
        <f t="shared" si="8"/>
        <v>#N/A</v>
      </c>
    </row>
    <row r="16" spans="2:47" x14ac:dyDescent="0.25">
      <c r="C16" s="10"/>
      <c r="D16" s="10"/>
      <c r="F16" s="4" t="str">
        <f>"Obstacle Distance (" &amp; IF($B$4, "m", "ft") &amp; ")"</f>
        <v>Obstacle Distance (m)</v>
      </c>
      <c r="G16" s="5">
        <v>1</v>
      </c>
      <c r="V16" s="15">
        <v>0</v>
      </c>
      <c r="Y16" s="1">
        <f t="shared" si="9"/>
        <v>0.14003864239990149</v>
      </c>
      <c r="Z16" s="1">
        <f t="shared" si="10"/>
        <v>1.5920096041332963</v>
      </c>
      <c r="AA16" s="1">
        <f t="shared" si="11"/>
        <v>1.842722044837267</v>
      </c>
      <c r="AB16" s="1">
        <f t="shared" si="12"/>
        <v>10.902445092546797</v>
      </c>
      <c r="AC16" s="1">
        <f t="shared" si="13"/>
        <v>4.0931525863120291</v>
      </c>
      <c r="AD16" s="1">
        <f t="shared" si="3"/>
        <v>11.645480114225888</v>
      </c>
      <c r="AE16" s="1">
        <f t="shared" si="0"/>
        <v>0.2400946491059098</v>
      </c>
      <c r="AF16" s="1">
        <f t="shared" si="4"/>
        <v>0.24405678946354589</v>
      </c>
      <c r="AG16" s="1">
        <f t="shared" si="1"/>
        <v>-5.6434602716412252</v>
      </c>
      <c r="AH16" s="1">
        <f t="shared" si="2"/>
        <v>-6.5301587148821039</v>
      </c>
      <c r="AI16" s="1" t="b">
        <f t="shared" si="14"/>
        <v>0</v>
      </c>
      <c r="AJ16" s="1">
        <f t="shared" si="15"/>
        <v>1.5920096041332963</v>
      </c>
      <c r="AK16" s="1">
        <f t="shared" si="16"/>
        <v>1.842722044837267</v>
      </c>
      <c r="AL16" s="1">
        <f t="shared" si="5"/>
        <v>1.5920096041332963</v>
      </c>
      <c r="AM16" s="1">
        <f t="shared" si="6"/>
        <v>1.842722044837267</v>
      </c>
      <c r="AP16" s="1">
        <f t="shared" si="17"/>
        <v>1.0999999999999999</v>
      </c>
      <c r="AQ16" s="1">
        <f t="shared" si="18"/>
        <v>1.4702812276945039</v>
      </c>
      <c r="AR16" s="1">
        <f t="shared" si="19"/>
        <v>19.940421865660976</v>
      </c>
      <c r="AS16" s="1" t="e">
        <f t="shared" si="7"/>
        <v>#N/A</v>
      </c>
      <c r="AT16" s="1" t="e">
        <f t="shared" si="8"/>
        <v>#N/A</v>
      </c>
    </row>
    <row r="17" spans="3:46" s="10" customFormat="1" x14ac:dyDescent="0.25">
      <c r="C17" s="4" t="str">
        <f>"Final Height (" &amp; IF($B$4, "m", "ft") &amp; ")"</f>
        <v>Final Height (m)</v>
      </c>
      <c r="D17" s="11">
        <f>INDEX($AK$5:$AK$105, $V$18)</f>
        <v>2.8562882934180625</v>
      </c>
      <c r="E17" s="1"/>
      <c r="F17" s="4" t="str">
        <f>"Obstacle Height (" &amp; IF($B$4, "m", "ft") &amp; ")"</f>
        <v>Obstacle Height (m)</v>
      </c>
      <c r="G17" s="5">
        <v>1.5</v>
      </c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U17" s="1"/>
      <c r="Y17" s="1">
        <f t="shared" si="9"/>
        <v>0.15276942807261981</v>
      </c>
      <c r="Z17" s="1">
        <f t="shared" si="10"/>
        <v>1.7308062959150892</v>
      </c>
      <c r="AA17" s="1">
        <f t="shared" si="11"/>
        <v>1.8948310931393382</v>
      </c>
      <c r="AB17" s="1">
        <f t="shared" si="12"/>
        <v>10.830599409376031</v>
      </c>
      <c r="AC17" s="1">
        <f t="shared" si="13"/>
        <v>4.010018535304031</v>
      </c>
      <c r="AD17" s="1">
        <f t="shared" si="3"/>
        <v>11.54911824425823</v>
      </c>
      <c r="AE17" s="1">
        <f t="shared" si="0"/>
        <v>0.24209791627035993</v>
      </c>
      <c r="AF17" s="1">
        <f t="shared" si="4"/>
        <v>0.24525874976221596</v>
      </c>
      <c r="AG17" s="1">
        <f t="shared" si="1"/>
        <v>-5.544238001638476</v>
      </c>
      <c r="AH17" s="1">
        <f t="shared" si="2"/>
        <v>-6.5358976657475534</v>
      </c>
      <c r="AI17" s="1" t="b">
        <f t="shared" si="14"/>
        <v>0</v>
      </c>
      <c r="AJ17" s="1">
        <f t="shared" si="15"/>
        <v>1.7308062959150892</v>
      </c>
      <c r="AK17" s="1">
        <f t="shared" si="16"/>
        <v>1.8948310931393382</v>
      </c>
      <c r="AL17" s="1">
        <f t="shared" si="5"/>
        <v>1.7308062959150892</v>
      </c>
      <c r="AM17" s="1">
        <f t="shared" si="6"/>
        <v>1.8948310931393382</v>
      </c>
      <c r="AN17" s="1"/>
      <c r="AP17" s="1">
        <f t="shared" si="17"/>
        <v>1.2</v>
      </c>
      <c r="AQ17" s="1">
        <f t="shared" si="18"/>
        <v>1.4932933618843682</v>
      </c>
      <c r="AR17" s="1">
        <f t="shared" si="19"/>
        <v>19.929045139421756</v>
      </c>
      <c r="AS17" s="1" t="e">
        <f t="shared" si="7"/>
        <v>#N/A</v>
      </c>
      <c r="AT17" s="1" t="e">
        <f t="shared" si="8"/>
        <v>#N/A</v>
      </c>
    </row>
    <row r="18" spans="3:46" s="10" customFormat="1" ht="15" customHeight="1" x14ac:dyDescent="0.25">
      <c r="C18" s="4" t="s">
        <v>6</v>
      </c>
      <c r="D18" s="12">
        <f>DEGREES(ATAN(INDEX($AC$5:$AC$105, $V$18) / INDEX($AB$5:$AB$105, $V$18)))</f>
        <v>-13.682728586767043</v>
      </c>
      <c r="E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V18" s="15">
        <f t="array" ref="V18">MAX(IF(NOT($AI$5:$AI$105),ROW($AI$5:$AI$105)-MIN(ROW($AI$5:$AI$105))+1))</f>
        <v>85</v>
      </c>
      <c r="Y18" s="1">
        <f t="shared" si="9"/>
        <v>0.16550021374533813</v>
      </c>
      <c r="Z18" s="1">
        <f t="shared" si="10"/>
        <v>1.8686883357029249</v>
      </c>
      <c r="AA18" s="1">
        <f t="shared" si="11"/>
        <v>1.9458817796559216</v>
      </c>
      <c r="AB18" s="1">
        <f t="shared" si="12"/>
        <v>10.760016903658631</v>
      </c>
      <c r="AC18" s="1">
        <f t="shared" si="13"/>
        <v>3.926811422942579</v>
      </c>
      <c r="AD18" s="1">
        <f t="shared" si="3"/>
        <v>11.454161327586222</v>
      </c>
      <c r="AE18" s="1">
        <f t="shared" si="0"/>
        <v>0.24410494856231699</v>
      </c>
      <c r="AF18" s="1">
        <f t="shared" si="4"/>
        <v>0.24646296913739019</v>
      </c>
      <c r="AG18" s="1">
        <f t="shared" si="1"/>
        <v>-5.446636506418538</v>
      </c>
      <c r="AH18" s="1">
        <f t="shared" si="2"/>
        <v>-6.5412827407317113</v>
      </c>
      <c r="AI18" s="1" t="b">
        <f t="shared" si="14"/>
        <v>0</v>
      </c>
      <c r="AJ18" s="1">
        <f t="shared" si="15"/>
        <v>1.8686883357029249</v>
      </c>
      <c r="AK18" s="1">
        <f t="shared" si="16"/>
        <v>1.9458817796559216</v>
      </c>
      <c r="AL18" s="1">
        <f t="shared" si="5"/>
        <v>1.8686883357029249</v>
      </c>
      <c r="AM18" s="1">
        <f t="shared" si="6"/>
        <v>1.9458817796559216</v>
      </c>
      <c r="AN18" s="1"/>
      <c r="AP18" s="1">
        <f t="shared" si="17"/>
        <v>1.3</v>
      </c>
      <c r="AQ18" s="1">
        <f t="shared" si="18"/>
        <v>1.51604568165596</v>
      </c>
      <c r="AR18" s="1">
        <f t="shared" si="19"/>
        <v>19.917789749876562</v>
      </c>
      <c r="AS18" s="1" t="e">
        <f t="shared" si="7"/>
        <v>#N/A</v>
      </c>
      <c r="AT18" s="1" t="e">
        <f t="shared" si="8"/>
        <v>#N/A</v>
      </c>
    </row>
    <row r="19" spans="3:46" s="10" customFormat="1" x14ac:dyDescent="0.25">
      <c r="C19" s="4" t="str">
        <f>"Avg. Velocity (" &amp; IF($B$4, "m", "ft") &amp; ")"</f>
        <v>Avg. Velocity (m)</v>
      </c>
      <c r="D19" s="11">
        <f>AVERAGEIF(AI5:AI105, "=FALSE", AD5:AD105)</f>
        <v>9.7225183543569855</v>
      </c>
      <c r="F19" s="24" t="s">
        <v>31</v>
      </c>
      <c r="G19" s="25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Y19" s="1">
        <f t="shared" si="9"/>
        <v>0.17823099941805645</v>
      </c>
      <c r="Z19" s="1">
        <f t="shared" si="10"/>
        <v>2.0056718047382289</v>
      </c>
      <c r="AA19" s="1">
        <f t="shared" si="11"/>
        <v>1.9958731742585856</v>
      </c>
      <c r="AB19" s="1">
        <f t="shared" si="12"/>
        <v>10.690676941658213</v>
      </c>
      <c r="AC19" s="1">
        <f t="shared" si="13"/>
        <v>3.8435357543456723</v>
      </c>
      <c r="AD19" s="1">
        <f t="shared" si="3"/>
        <v>11.360604762328286</v>
      </c>
      <c r="AE19" s="1">
        <f t="shared" si="0"/>
        <v>0.24611519546622168</v>
      </c>
      <c r="AF19" s="1">
        <f t="shared" si="4"/>
        <v>0.24766911727973301</v>
      </c>
      <c r="AG19" s="1">
        <f t="shared" si="1"/>
        <v>-5.3506237368403422</v>
      </c>
      <c r="AH19" s="1">
        <f t="shared" si="2"/>
        <v>-6.5463245222197983</v>
      </c>
      <c r="AI19" s="1" t="b">
        <f t="shared" si="14"/>
        <v>0</v>
      </c>
      <c r="AJ19" s="1">
        <f t="shared" si="15"/>
        <v>2.0056718047382289</v>
      </c>
      <c r="AK19" s="1">
        <f t="shared" si="16"/>
        <v>1.9958731742585856</v>
      </c>
      <c r="AL19" s="1">
        <f t="shared" si="5"/>
        <v>2.0056718047382289</v>
      </c>
      <c r="AM19" s="1">
        <f t="shared" si="6"/>
        <v>1.9958731742585856</v>
      </c>
      <c r="AN19" s="1"/>
      <c r="AP19" s="1">
        <f t="shared" si="17"/>
        <v>1.4000000000000001</v>
      </c>
      <c r="AQ19" s="1">
        <f t="shared" si="18"/>
        <v>1.5385381870092791</v>
      </c>
      <c r="AR19" s="1">
        <f t="shared" si="19"/>
        <v>19.906655902839727</v>
      </c>
      <c r="AS19" s="1" t="e">
        <f t="shared" si="7"/>
        <v>#N/A</v>
      </c>
      <c r="AT19" s="1" t="e">
        <f t="shared" si="8"/>
        <v>#N/A</v>
      </c>
    </row>
    <row r="20" spans="3:46" s="10" customFormat="1" x14ac:dyDescent="0.25">
      <c r="E20" s="1"/>
      <c r="F20" s="26"/>
      <c r="G20" s="27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V20" s="15">
        <f>IF($I$3="Forward", _xlfn.AGGREGATE(4, 6, $AJ$5:$AJ$105,$AK$5:$AK$105), MAX(AP5:AP105,AQ5:AQ105))</f>
        <v>10.09540531162255</v>
      </c>
      <c r="Y20" s="1">
        <f t="shared" si="9"/>
        <v>0.19096178509077477</v>
      </c>
      <c r="Z20" s="1">
        <f t="shared" si="10"/>
        <v>2.1417725215787513</v>
      </c>
      <c r="AA20" s="1">
        <f t="shared" si="11"/>
        <v>2.0448044041725901</v>
      </c>
      <c r="AB20" s="1">
        <f t="shared" si="12"/>
        <v>10.62255929764914</v>
      </c>
      <c r="AC20" s="1">
        <f t="shared" si="13"/>
        <v>3.760195899909232</v>
      </c>
      <c r="AD20" s="1">
        <f t="shared" si="3"/>
        <v>11.268444401858066</v>
      </c>
      <c r="AE20" s="1">
        <f t="shared" si="0"/>
        <v>0.24812807890624874</v>
      </c>
      <c r="AF20" s="1">
        <f t="shared" si="4"/>
        <v>0.24887684734374924</v>
      </c>
      <c r="AG20" s="1">
        <f t="shared" si="1"/>
        <v>-5.2561684831809652</v>
      </c>
      <c r="AH20" s="1">
        <f t="shared" si="2"/>
        <v>-6.5510330304322704</v>
      </c>
      <c r="AI20" s="1" t="b">
        <f t="shared" si="14"/>
        <v>0</v>
      </c>
      <c r="AJ20" s="1">
        <f t="shared" si="15"/>
        <v>2.1417725215787513</v>
      </c>
      <c r="AK20" s="1">
        <f t="shared" si="16"/>
        <v>2.0448044041725901</v>
      </c>
      <c r="AL20" s="1">
        <f t="shared" si="5"/>
        <v>2.1417725215787513</v>
      </c>
      <c r="AM20" s="1">
        <f t="shared" si="6"/>
        <v>2.0448044041725901</v>
      </c>
      <c r="AN20" s="1"/>
      <c r="AP20" s="1">
        <f t="shared" si="17"/>
        <v>1.5000000000000002</v>
      </c>
      <c r="AQ20" s="1">
        <f t="shared" si="18"/>
        <v>1.5607708779443255</v>
      </c>
      <c r="AR20" s="1">
        <f t="shared" si="19"/>
        <v>19.895643802361299</v>
      </c>
      <c r="AS20" s="1" t="e">
        <f t="shared" si="7"/>
        <v>#N/A</v>
      </c>
      <c r="AT20" s="1" t="e">
        <f t="shared" si="8"/>
        <v>#N/A</v>
      </c>
    </row>
    <row r="21" spans="3:46" s="10" customFormat="1" x14ac:dyDescent="0.25">
      <c r="C21" s="4" t="str">
        <f>"Obstacle Distance (" &amp; IF($B$4, "m", "ft") &amp; ")"</f>
        <v>Obstacle Distance (m)</v>
      </c>
      <c r="D21" s="5">
        <v>1</v>
      </c>
      <c r="E21" s="1"/>
      <c r="F21" s="26"/>
      <c r="G21" s="27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Y21" s="1">
        <f t="shared" si="9"/>
        <v>0.20369257076349309</v>
      </c>
      <c r="Z21" s="1">
        <f t="shared" si="10"/>
        <v>2.2770060472928635</v>
      </c>
      <c r="AA21" s="1">
        <f t="shared" si="11"/>
        <v>2.0926746522617687</v>
      </c>
      <c r="AB21" s="1">
        <f t="shared" si="12"/>
        <v>10.555644143230067</v>
      </c>
      <c r="AC21" s="1">
        <f t="shared" si="13"/>
        <v>3.6767961024639004</v>
      </c>
      <c r="AD21" s="1">
        <f t="shared" si="3"/>
        <v>11.177676541106427</v>
      </c>
      <c r="AE21" s="1">
        <f t="shared" si="0"/>
        <v>0.25014299272415252</v>
      </c>
      <c r="AF21" s="1">
        <f t="shared" si="4"/>
        <v>0.25008579563449151</v>
      </c>
      <c r="AG21" s="1">
        <f t="shared" si="1"/>
        <v>-5.1632403476030904</v>
      </c>
      <c r="AH21" s="1">
        <f t="shared" si="2"/>
        <v>-6.5554177395799567</v>
      </c>
      <c r="AI21" s="1" t="b">
        <f t="shared" si="14"/>
        <v>0</v>
      </c>
      <c r="AJ21" s="1">
        <f t="shared" si="15"/>
        <v>2.2770060472928635</v>
      </c>
      <c r="AK21" s="1">
        <f t="shared" si="16"/>
        <v>2.0926746522617687</v>
      </c>
      <c r="AL21" s="1">
        <f t="shared" si="5"/>
        <v>2.2770060472928635</v>
      </c>
      <c r="AM21" s="1">
        <f t="shared" si="6"/>
        <v>2.0926746522617687</v>
      </c>
      <c r="AN21" s="1"/>
      <c r="AP21" s="1">
        <f t="shared" si="17"/>
        <v>1.6000000000000003</v>
      </c>
      <c r="AQ21" s="1">
        <f t="shared" si="18"/>
        <v>1.5827437544610994</v>
      </c>
      <c r="AR21" s="1">
        <f t="shared" si="19"/>
        <v>19.884753650709634</v>
      </c>
      <c r="AS21" s="1" t="e">
        <f t="shared" si="7"/>
        <v>#N/A</v>
      </c>
      <c r="AT21" s="1" t="e">
        <f t="shared" si="8"/>
        <v>#N/A</v>
      </c>
    </row>
    <row r="22" spans="3:46" s="10" customFormat="1" ht="15" customHeight="1" x14ac:dyDescent="0.25">
      <c r="C22" s="4" t="str">
        <f>"Obstacle Height (" &amp; IF($B$4, "m", "ft") &amp; ")"</f>
        <v>Obstacle Height (m)</v>
      </c>
      <c r="D22" s="5">
        <v>1.5</v>
      </c>
      <c r="E22" s="1"/>
      <c r="F22" s="28"/>
      <c r="G22" s="29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Y22" s="1">
        <f t="shared" si="9"/>
        <v>0.21642335643621141</v>
      </c>
      <c r="Z22" s="1">
        <f t="shared" si="10"/>
        <v>2.41138769051781</v>
      </c>
      <c r="AA22" s="1">
        <f t="shared" si="11"/>
        <v>2.1394831554045228</v>
      </c>
      <c r="AB22" s="1">
        <f t="shared" si="12"/>
        <v>10.489912036988001</v>
      </c>
      <c r="AC22" s="1">
        <f t="shared" si="13"/>
        <v>3.5933404842261725</v>
      </c>
      <c r="AD22" s="1">
        <f t="shared" si="3"/>
        <v>11.088297902713677</v>
      </c>
      <c r="AE22" s="1">
        <f t="shared" si="0"/>
        <v>0.25215930219647475</v>
      </c>
      <c r="AF22" s="1">
        <f t="shared" si="4"/>
        <v>0.25129558131788488</v>
      </c>
      <c r="AG22" s="1">
        <f t="shared" si="1"/>
        <v>-5.0718097174909111</v>
      </c>
      <c r="AH22" s="1">
        <f t="shared" si="2"/>
        <v>-6.5594875933396661</v>
      </c>
      <c r="AI22" s="1" t="b">
        <f t="shared" si="14"/>
        <v>0</v>
      </c>
      <c r="AJ22" s="1">
        <f t="shared" si="15"/>
        <v>2.41138769051781</v>
      </c>
      <c r="AK22" s="1">
        <f t="shared" si="16"/>
        <v>2.1394831554045228</v>
      </c>
      <c r="AL22" s="1">
        <f t="shared" si="5"/>
        <v>2.41138769051781</v>
      </c>
      <c r="AM22" s="1">
        <f t="shared" si="6"/>
        <v>2.1394831554045228</v>
      </c>
      <c r="AN22" s="1"/>
      <c r="AP22" s="1">
        <f t="shared" si="17"/>
        <v>1.7000000000000004</v>
      </c>
      <c r="AQ22" s="1">
        <f t="shared" si="18"/>
        <v>1.6044568165596005</v>
      </c>
      <c r="AR22" s="1">
        <f t="shared" si="19"/>
        <v>19.873985648353983</v>
      </c>
      <c r="AS22" s="1" t="e">
        <f t="shared" si="7"/>
        <v>#N/A</v>
      </c>
      <c r="AT22" s="1" t="e">
        <f t="shared" si="8"/>
        <v>#N/A</v>
      </c>
    </row>
    <row r="23" spans="3:46" s="10" customFormat="1" ht="15" customHeight="1" x14ac:dyDescent="0.25">
      <c r="C23" s="15"/>
      <c r="D23" s="15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V23" s="15"/>
      <c r="Y23" s="1">
        <f t="shared" si="9"/>
        <v>0.22915414210892973</v>
      </c>
      <c r="Z23" s="1">
        <f t="shared" si="10"/>
        <v>2.5449325123863722</v>
      </c>
      <c r="AA23" s="1">
        <f t="shared" si="11"/>
        <v>2.185229202958308</v>
      </c>
      <c r="AB23" s="1">
        <f t="shared" si="12"/>
        <v>10.425343914501815</v>
      </c>
      <c r="AC23" s="1">
        <f t="shared" si="13"/>
        <v>3.5098330535525104</v>
      </c>
      <c r="AD23" s="1">
        <f t="shared" si="3"/>
        <v>11.000305623002015</v>
      </c>
      <c r="AE23" s="1">
        <f t="shared" si="0"/>
        <v>0.25417634359615854</v>
      </c>
      <c r="AF23" s="1">
        <f t="shared" si="4"/>
        <v>0.25250580615769513</v>
      </c>
      <c r="AG23" s="1">
        <f t="shared" si="1"/>
        <v>-4.9818477396158753</v>
      </c>
      <c r="AH23" s="1">
        <f t="shared" si="2"/>
        <v>-6.5632510196930109</v>
      </c>
      <c r="AI23" s="1" t="b">
        <f t="shared" si="14"/>
        <v>0</v>
      </c>
      <c r="AJ23" s="1">
        <f t="shared" si="15"/>
        <v>2.5449325123863722</v>
      </c>
      <c r="AK23" s="1">
        <f t="shared" si="16"/>
        <v>2.185229202958308</v>
      </c>
      <c r="AL23" s="1">
        <f t="shared" si="5"/>
        <v>2.5449325123863722</v>
      </c>
      <c r="AM23" s="1">
        <f t="shared" si="6"/>
        <v>2.185229202958308</v>
      </c>
      <c r="AN23" s="1"/>
      <c r="AP23" s="1">
        <f t="shared" si="17"/>
        <v>1.8000000000000005</v>
      </c>
      <c r="AQ23" s="1">
        <f t="shared" si="18"/>
        <v>1.6259100642398288</v>
      </c>
      <c r="AR23" s="1">
        <f t="shared" si="19"/>
        <v>19.863339993947349</v>
      </c>
      <c r="AS23" s="1" t="e">
        <f t="shared" si="7"/>
        <v>#N/A</v>
      </c>
      <c r="AT23" s="1" t="e">
        <f t="shared" si="8"/>
        <v>#N/A</v>
      </c>
    </row>
    <row r="24" spans="3:46" s="10" customFormat="1" ht="15" customHeight="1" x14ac:dyDescent="0.25">
      <c r="C24" s="24" t="s">
        <v>32</v>
      </c>
      <c r="D24" s="25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V24" s="15"/>
      <c r="Y24" s="1">
        <f t="shared" si="9"/>
        <v>0.24188492778164805</v>
      </c>
      <c r="Z24" s="1">
        <f t="shared" si="10"/>
        <v>2.6776553313262728</v>
      </c>
      <c r="AA24" s="1">
        <f t="shared" si="11"/>
        <v>2.2299121353101077</v>
      </c>
      <c r="AB24" s="1">
        <f t="shared" si="12"/>
        <v>10.361921078674648</v>
      </c>
      <c r="AC24" s="1">
        <f t="shared" si="13"/>
        <v>3.4262777115045489</v>
      </c>
      <c r="AD24" s="1">
        <f t="shared" si="3"/>
        <v>10.913697237739136</v>
      </c>
      <c r="AE24" s="1">
        <f t="shared" si="0"/>
        <v>0.25619342380384136</v>
      </c>
      <c r="AF24" s="1">
        <f t="shared" si="4"/>
        <v>0.25371605428230481</v>
      </c>
      <c r="AG24" s="1">
        <f t="shared" si="1"/>
        <v>-4.8933262950956298</v>
      </c>
      <c r="AH24" s="1">
        <f t="shared" si="2"/>
        <v>-6.5667159451698716</v>
      </c>
      <c r="AI24" s="1" t="b">
        <f t="shared" si="14"/>
        <v>0</v>
      </c>
      <c r="AJ24" s="1">
        <f t="shared" si="15"/>
        <v>2.6776553313262728</v>
      </c>
      <c r="AK24" s="1">
        <f t="shared" si="16"/>
        <v>2.2299121353101077</v>
      </c>
      <c r="AL24" s="1">
        <f t="shared" si="5"/>
        <v>2.6776553313262728</v>
      </c>
      <c r="AM24" s="1">
        <f t="shared" si="6"/>
        <v>2.2299121353101077</v>
      </c>
      <c r="AN24" s="1"/>
      <c r="AP24" s="1">
        <f t="shared" si="17"/>
        <v>1.9000000000000006</v>
      </c>
      <c r="AQ24" s="1">
        <f t="shared" si="18"/>
        <v>1.6471034975017846</v>
      </c>
      <c r="AR24" s="1">
        <f t="shared" si="19"/>
        <v>19.852816884309274</v>
      </c>
      <c r="AS24" s="1" t="e">
        <f t="shared" si="7"/>
        <v>#N/A</v>
      </c>
      <c r="AT24" s="1" t="e">
        <f t="shared" si="8"/>
        <v>#N/A</v>
      </c>
    </row>
    <row r="25" spans="3:46" s="10" customFormat="1" ht="14.45" customHeight="1" x14ac:dyDescent="0.25">
      <c r="C25" s="26"/>
      <c r="D25" s="27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V25" s="15"/>
      <c r="Y25" s="1">
        <f t="shared" si="9"/>
        <v>0.25461571345436634</v>
      </c>
      <c r="Z25" s="1">
        <f t="shared" si="10"/>
        <v>2.8095707277365021</v>
      </c>
      <c r="AA25" s="1">
        <f t="shared" si="11"/>
        <v>2.2735313425104837</v>
      </c>
      <c r="AB25" s="1">
        <f t="shared" si="12"/>
        <v>10.299625190385109</v>
      </c>
      <c r="AC25" s="1">
        <f t="shared" si="13"/>
        <v>3.3426782582329695</v>
      </c>
      <c r="AD25" s="1">
        <f t="shared" si="3"/>
        <v>10.82847066766489</v>
      </c>
      <c r="AE25" s="1">
        <f t="shared" si="0"/>
        <v>0.25820981997431625</v>
      </c>
      <c r="AF25" s="1">
        <f t="shared" si="4"/>
        <v>0.25492589198458976</v>
      </c>
      <c r="AG25" s="1">
        <f t="shared" si="1"/>
        <v>-4.8062179751116503</v>
      </c>
      <c r="AH25" s="1">
        <f t="shared" si="2"/>
        <v>-6.5698898085364856</v>
      </c>
      <c r="AI25" s="1" t="b">
        <f t="shared" si="14"/>
        <v>0</v>
      </c>
      <c r="AJ25" s="1">
        <f t="shared" si="15"/>
        <v>2.8095707277365021</v>
      </c>
      <c r="AK25" s="1">
        <f t="shared" si="16"/>
        <v>2.2735313425104837</v>
      </c>
      <c r="AL25" s="1">
        <f t="shared" si="5"/>
        <v>2.8095707277365021</v>
      </c>
      <c r="AM25" s="1">
        <f t="shared" si="6"/>
        <v>2.2735313425104837</v>
      </c>
      <c r="AN25" s="1"/>
      <c r="AP25" s="1">
        <f t="shared" si="17"/>
        <v>2.0000000000000004</v>
      </c>
      <c r="AQ25" s="1">
        <f t="shared" si="18"/>
        <v>1.6680371163454677</v>
      </c>
      <c r="AR25" s="1">
        <f t="shared" si="19"/>
        <v>19.842416514408722</v>
      </c>
      <c r="AS25" s="1" t="e">
        <f t="shared" si="7"/>
        <v>#N/A</v>
      </c>
      <c r="AT25" s="1" t="e">
        <f t="shared" si="8"/>
        <v>#N/A</v>
      </c>
    </row>
    <row r="26" spans="3:46" s="10" customFormat="1" ht="14.45" customHeight="1" x14ac:dyDescent="0.25">
      <c r="C26" s="26"/>
      <c r="D26" s="27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V26" s="15"/>
      <c r="Y26" s="1">
        <f t="shared" si="9"/>
        <v>0.26734649912708464</v>
      </c>
      <c r="Z26" s="1">
        <f t="shared" si="10"/>
        <v>2.9406930485446257</v>
      </c>
      <c r="AA26" s="1">
        <f t="shared" si="11"/>
        <v>2.316086262988903</v>
      </c>
      <c r="AB26" s="1">
        <f t="shared" si="12"/>
        <v>10.238438259447596</v>
      </c>
      <c r="AC26" s="1">
        <f t="shared" si="13"/>
        <v>3.2590383991871152</v>
      </c>
      <c r="AD26" s="1">
        <f t="shared" si="3"/>
        <v>10.744624203754007</v>
      </c>
      <c r="AE26" s="1">
        <f t="shared" si="0"/>
        <v>0.26022477926385079</v>
      </c>
      <c r="AF26" s="1">
        <f t="shared" si="4"/>
        <v>0.2561348675583105</v>
      </c>
      <c r="AG26" s="1">
        <f t="shared" si="1"/>
        <v>-4.7204960573528698</v>
      </c>
      <c r="AH26" s="1">
        <f t="shared" si="2"/>
        <v>-6.572779573967015</v>
      </c>
      <c r="AI26" s="1" t="b">
        <f t="shared" si="14"/>
        <v>0</v>
      </c>
      <c r="AJ26" s="1">
        <f t="shared" si="15"/>
        <v>2.9406930485446257</v>
      </c>
      <c r="AK26" s="1">
        <f t="shared" si="16"/>
        <v>2.316086262988903</v>
      </c>
      <c r="AL26" s="1">
        <f t="shared" si="5"/>
        <v>2.9406930485446257</v>
      </c>
      <c r="AM26" s="1">
        <f t="shared" si="6"/>
        <v>2.316086262988903</v>
      </c>
      <c r="AN26" s="1"/>
      <c r="AP26" s="1">
        <f t="shared" si="17"/>
        <v>2.1000000000000005</v>
      </c>
      <c r="AQ26" s="1">
        <f t="shared" si="18"/>
        <v>1.6887109207708779</v>
      </c>
      <c r="AR26" s="1">
        <f t="shared" si="19"/>
        <v>19.832139077347215</v>
      </c>
      <c r="AS26" s="1" t="e">
        <f t="shared" si="7"/>
        <v>#N/A</v>
      </c>
      <c r="AT26" s="1" t="e">
        <f t="shared" si="8"/>
        <v>#N/A</v>
      </c>
    </row>
    <row r="27" spans="3:46" s="10" customFormat="1" ht="15" customHeight="1" x14ac:dyDescent="0.25">
      <c r="C27" s="26"/>
      <c r="D27" s="27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V27" s="15"/>
      <c r="Y27" s="1">
        <f t="shared" si="9"/>
        <v>0.28007728479980293</v>
      </c>
      <c r="Z27" s="1">
        <f t="shared" si="10"/>
        <v>3.0710364116490121</v>
      </c>
      <c r="AA27" s="1">
        <f t="shared" si="11"/>
        <v>2.3575763823481131</v>
      </c>
      <c r="AB27" s="1">
        <f t="shared" si="12"/>
        <v>10.178342635872525</v>
      </c>
      <c r="AC27" s="1">
        <f t="shared" si="13"/>
        <v>3.1753617511569203</v>
      </c>
      <c r="AD27" s="1">
        <f t="shared" si="3"/>
        <v>10.66215649218913</v>
      </c>
      <c r="AE27" s="1">
        <f t="shared" si="0"/>
        <v>0.26223751862423128</v>
      </c>
      <c r="AF27" s="1">
        <f t="shared" si="4"/>
        <v>0.25734251117453877</v>
      </c>
      <c r="AG27" s="1">
        <f t="shared" si="1"/>
        <v>-4.6361344831546418</v>
      </c>
      <c r="AH27" s="1">
        <f t="shared" si="2"/>
        <v>-6.5753917437361782</v>
      </c>
      <c r="AI27" s="1" t="b">
        <f t="shared" si="14"/>
        <v>0</v>
      </c>
      <c r="AJ27" s="1">
        <f t="shared" si="15"/>
        <v>3.0710364116490121</v>
      </c>
      <c r="AK27" s="1">
        <f t="shared" si="16"/>
        <v>2.3575763823481131</v>
      </c>
      <c r="AL27" s="1">
        <f t="shared" si="5"/>
        <v>3.0710364116490121</v>
      </c>
      <c r="AM27" s="1">
        <f t="shared" si="6"/>
        <v>2.3575763823481131</v>
      </c>
      <c r="AN27" s="1"/>
      <c r="AP27" s="1">
        <f t="shared" si="17"/>
        <v>2.2000000000000006</v>
      </c>
      <c r="AQ27" s="1">
        <f t="shared" si="18"/>
        <v>1.709124910778016</v>
      </c>
      <c r="AR27" s="1">
        <f t="shared" si="19"/>
        <v>19.821984764341945</v>
      </c>
      <c r="AS27" s="1" t="e">
        <f t="shared" si="7"/>
        <v>#N/A</v>
      </c>
      <c r="AT27" s="1" t="e">
        <f t="shared" si="8"/>
        <v>#N/A</v>
      </c>
    </row>
    <row r="28" spans="3:46" s="10" customFormat="1" ht="15" customHeight="1" x14ac:dyDescent="0.25">
      <c r="C28" s="28"/>
      <c r="D28" s="29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V28" s="15"/>
      <c r="Y28" s="1">
        <f t="shared" si="9"/>
        <v>0.29280807047252122</v>
      </c>
      <c r="Z28" s="1">
        <f t="shared" si="10"/>
        <v>3.2006147102497962</v>
      </c>
      <c r="AA28" s="1">
        <f t="shared" si="11"/>
        <v>2.3980012322354392</v>
      </c>
      <c r="AB28" s="1">
        <f t="shared" si="12"/>
        <v>10.119321001417585</v>
      </c>
      <c r="AC28" s="1">
        <f t="shared" si="13"/>
        <v>3.0916518481532536</v>
      </c>
      <c r="AD28" s="1">
        <f t="shared" si="3"/>
        <v>10.581066519019735</v>
      </c>
      <c r="AE28" s="1">
        <f t="shared" si="0"/>
        <v>0.26424722466955508</v>
      </c>
      <c r="AF28" s="1">
        <f t="shared" si="4"/>
        <v>0.25854833480173306</v>
      </c>
      <c r="AG28" s="1">
        <f t="shared" si="1"/>
        <v>-4.5531078353040924</v>
      </c>
      <c r="AH28" s="1">
        <f t="shared" si="2"/>
        <v>-6.5777323704695299</v>
      </c>
      <c r="AI28" s="1" t="b">
        <f t="shared" si="14"/>
        <v>0</v>
      </c>
      <c r="AJ28" s="1">
        <f t="shared" si="15"/>
        <v>3.2006147102497962</v>
      </c>
      <c r="AK28" s="1">
        <f t="shared" si="16"/>
        <v>2.3980012322354392</v>
      </c>
      <c r="AL28" s="1">
        <f t="shared" si="5"/>
        <v>3.2006147102497962</v>
      </c>
      <c r="AM28" s="1">
        <f t="shared" si="6"/>
        <v>2.3980012322354392</v>
      </c>
      <c r="AN28" s="1"/>
      <c r="AP28" s="1">
        <f t="shared" si="17"/>
        <v>2.3000000000000007</v>
      </c>
      <c r="AQ28" s="1">
        <f t="shared" si="18"/>
        <v>1.7292790863668808</v>
      </c>
      <c r="AR28" s="1">
        <f t="shared" si="19"/>
        <v>19.811953764708885</v>
      </c>
      <c r="AS28" s="1" t="e">
        <f t="shared" si="7"/>
        <v>#N/A</v>
      </c>
      <c r="AT28" s="1" t="e">
        <f t="shared" si="8"/>
        <v>#N/A</v>
      </c>
    </row>
    <row r="29" spans="3:46" s="10" customFormat="1" ht="15" customHeight="1" x14ac:dyDescent="0.25"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V29" s="15"/>
      <c r="Y29" s="1">
        <f t="shared" si="9"/>
        <v>0.30553885614523951</v>
      </c>
      <c r="Z29" s="1">
        <f t="shared" si="10"/>
        <v>3.3294416170722805</v>
      </c>
      <c r="AA29" s="1">
        <f t="shared" si="11"/>
        <v>2.4373603892889415</v>
      </c>
      <c r="AB29" s="1">
        <f t="shared" si="12"/>
        <v>10.061356361421554</v>
      </c>
      <c r="AC29" s="1">
        <f t="shared" si="13"/>
        <v>3.0079121471323047</v>
      </c>
      <c r="AD29" s="1">
        <f t="shared" si="3"/>
        <v>10.501353594484096</v>
      </c>
      <c r="AE29" s="1">
        <f t="shared" si="0"/>
        <v>0.26625305362191992</v>
      </c>
      <c r="AF29" s="1">
        <f t="shared" si="4"/>
        <v>0.25975183217315195</v>
      </c>
      <c r="AG29" s="1">
        <f t="shared" si="1"/>
        <v>-4.47139131648483</v>
      </c>
      <c r="AH29" s="1">
        <f t="shared" si="2"/>
        <v>-6.5798070689868098</v>
      </c>
      <c r="AI29" s="1" t="b">
        <f t="shared" si="14"/>
        <v>0</v>
      </c>
      <c r="AJ29" s="1">
        <f t="shared" si="15"/>
        <v>3.3294416170722805</v>
      </c>
      <c r="AK29" s="1">
        <f t="shared" si="16"/>
        <v>2.4373603892889415</v>
      </c>
      <c r="AL29" s="1">
        <f t="shared" si="5"/>
        <v>3.3294416170722805</v>
      </c>
      <c r="AM29" s="1">
        <f t="shared" si="6"/>
        <v>2.4373603892889415</v>
      </c>
      <c r="AN29" s="1"/>
      <c r="AP29" s="1">
        <f t="shared" si="17"/>
        <v>2.4000000000000008</v>
      </c>
      <c r="AQ29" s="1">
        <f t="shared" si="18"/>
        <v>1.7491734475374734</v>
      </c>
      <c r="AR29" s="1">
        <f t="shared" si="19"/>
        <v>19.802046265846382</v>
      </c>
      <c r="AS29" s="1" t="e">
        <f t="shared" si="7"/>
        <v>#N/A</v>
      </c>
      <c r="AT29" s="1" t="e">
        <f t="shared" si="8"/>
        <v>#N/A</v>
      </c>
    </row>
    <row r="30" spans="3:46" s="10" customFormat="1" ht="14.45" customHeight="1" x14ac:dyDescent="0.25"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V30" s="15"/>
      <c r="Y30" s="1">
        <f t="shared" si="9"/>
        <v>0.3182696418179578</v>
      </c>
      <c r="Z30" s="1">
        <f t="shared" si="10"/>
        <v>3.4575305884863794</v>
      </c>
      <c r="AA30" s="1">
        <f t="shared" si="11"/>
        <v>2.4756534741564487</v>
      </c>
      <c r="AB30" s="1">
        <f t="shared" si="12"/>
        <v>10.004432036912531</v>
      </c>
      <c r="AC30" s="1">
        <f t="shared" si="13"/>
        <v>2.9241460335691967</v>
      </c>
      <c r="AD30" s="1">
        <f t="shared" si="3"/>
        <v>10.423017336973027</v>
      </c>
      <c r="AE30" s="1">
        <f t="shared" si="0"/>
        <v>0.2682541313422504</v>
      </c>
      <c r="AF30" s="1">
        <f t="shared" si="4"/>
        <v>0.26095247880535022</v>
      </c>
      <c r="AG30" s="1">
        <f t="shared" si="1"/>
        <v>-4.3909607283356609</v>
      </c>
      <c r="AH30" s="1">
        <f t="shared" si="2"/>
        <v>-6.581621027772889</v>
      </c>
      <c r="AI30" s="1" t="b">
        <f t="shared" si="14"/>
        <v>0</v>
      </c>
      <c r="AJ30" s="1">
        <f t="shared" si="15"/>
        <v>3.4575305884863794</v>
      </c>
      <c r="AK30" s="1">
        <f t="shared" si="16"/>
        <v>2.4756534741564487</v>
      </c>
      <c r="AL30" s="1">
        <f t="shared" si="5"/>
        <v>3.4575305884863794</v>
      </c>
      <c r="AM30" s="1">
        <f t="shared" si="6"/>
        <v>2.4756534741564487</v>
      </c>
      <c r="AN30" s="1"/>
      <c r="AP30" s="1">
        <f t="shared" si="17"/>
        <v>2.5000000000000009</v>
      </c>
      <c r="AQ30" s="1">
        <f t="shared" si="18"/>
        <v>1.768807994289793</v>
      </c>
      <c r="AR30" s="1">
        <f t="shared" si="19"/>
        <v>19.792262453218314</v>
      </c>
      <c r="AS30" s="1" t="e">
        <f t="shared" si="7"/>
        <v>#N/A</v>
      </c>
      <c r="AT30" s="1" t="e">
        <f t="shared" si="8"/>
        <v>#N/A</v>
      </c>
    </row>
    <row r="31" spans="3:46" s="10" customFormat="1" ht="18.75" customHeight="1" x14ac:dyDescent="0.25">
      <c r="C31" s="33" t="s">
        <v>33</v>
      </c>
      <c r="D31" s="33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V31" s="15"/>
      <c r="Y31" s="1">
        <f t="shared" si="9"/>
        <v>0.3310004274906761</v>
      </c>
      <c r="Z31" s="1">
        <f t="shared" si="10"/>
        <v>3.5848948685255895</v>
      </c>
      <c r="AA31" s="1">
        <f t="shared" si="11"/>
        <v>2.5128801505855476</v>
      </c>
      <c r="AB31" s="1">
        <f t="shared" si="12"/>
        <v>9.948531656982766</v>
      </c>
      <c r="AC31" s="1">
        <f t="shared" si="13"/>
        <v>2.8403568268855639</v>
      </c>
      <c r="AD31" s="1">
        <f t="shared" si="3"/>
        <v>10.346057656616054</v>
      </c>
      <c r="AE31" s="1">
        <f t="shared" si="0"/>
        <v>0.27024955345255874</v>
      </c>
      <c r="AF31" s="1">
        <f t="shared" si="4"/>
        <v>0.26214973207153525</v>
      </c>
      <c r="AG31" s="1">
        <f t="shared" si="1"/>
        <v>-4.311792451099735</v>
      </c>
      <c r="AH31" s="1">
        <f t="shared" si="2"/>
        <v>-6.5831790201097853</v>
      </c>
      <c r="AI31" s="1" t="b">
        <f t="shared" si="14"/>
        <v>0</v>
      </c>
      <c r="AJ31" s="1">
        <f t="shared" si="15"/>
        <v>3.5848948685255895</v>
      </c>
      <c r="AK31" s="1">
        <f t="shared" si="16"/>
        <v>2.5128801505855476</v>
      </c>
      <c r="AL31" s="1">
        <f t="shared" si="5"/>
        <v>3.5848948685255895</v>
      </c>
      <c r="AM31" s="1">
        <f t="shared" si="6"/>
        <v>2.5128801505855476</v>
      </c>
      <c r="AN31" s="1"/>
      <c r="AP31" s="1">
        <f t="shared" si="17"/>
        <v>2.600000000000001</v>
      </c>
      <c r="AQ31" s="1">
        <f t="shared" si="18"/>
        <v>1.7881827266238404</v>
      </c>
      <c r="AR31" s="1">
        <f t="shared" si="19"/>
        <v>19.782602510337963</v>
      </c>
      <c r="AS31" s="1" t="e">
        <f t="shared" si="7"/>
        <v>#N/A</v>
      </c>
      <c r="AT31" s="1" t="e">
        <f t="shared" si="8"/>
        <v>#N/A</v>
      </c>
    </row>
    <row r="32" spans="3:46" s="10" customFormat="1" ht="14.45" customHeight="1" x14ac:dyDescent="0.25">
      <c r="C32" s="4" t="str">
        <f>"Ball Diameter (" &amp; IF($B$4, "mm", "in") &amp; ")"</f>
        <v>Ball Diameter (mm)</v>
      </c>
      <c r="D32" s="14">
        <v>177.99999999999997</v>
      </c>
      <c r="F32" s="18" t="s">
        <v>35</v>
      </c>
      <c r="G32" s="19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Y32" s="1">
        <f t="shared" si="9"/>
        <v>0.34373121316339439</v>
      </c>
      <c r="Z32" s="1">
        <f t="shared" si="10"/>
        <v>3.7115474928088901</v>
      </c>
      <c r="AA32" s="1">
        <f t="shared" si="11"/>
        <v>2.5490401245826702</v>
      </c>
      <c r="AB32" s="1">
        <f t="shared" si="12"/>
        <v>9.8936391514225708</v>
      </c>
      <c r="AC32" s="1">
        <f t="shared" si="13"/>
        <v>2.7565477857354104</v>
      </c>
      <c r="AD32" s="1">
        <f t="shared" si="3"/>
        <v>10.270474738472624</v>
      </c>
      <c r="AE32" s="1">
        <f t="shared" si="0"/>
        <v>0.27223838555594615</v>
      </c>
      <c r="AF32" s="1">
        <f t="shared" si="4"/>
        <v>0.26334303133356768</v>
      </c>
      <c r="AG32" s="1">
        <f t="shared" si="1"/>
        <v>-4.2338634238422079</v>
      </c>
      <c r="AH32" s="1">
        <f t="shared" si="2"/>
        <v>-6.5844854149023408</v>
      </c>
      <c r="AI32" s="1" t="b">
        <f t="shared" si="14"/>
        <v>0</v>
      </c>
      <c r="AJ32" s="1">
        <f t="shared" si="15"/>
        <v>3.7115474928088901</v>
      </c>
      <c r="AK32" s="1">
        <f t="shared" si="16"/>
        <v>2.5490401245826702</v>
      </c>
      <c r="AL32" s="1">
        <f t="shared" si="5"/>
        <v>3.7115474928088901</v>
      </c>
      <c r="AM32" s="1">
        <f t="shared" si="6"/>
        <v>2.5490401245826702</v>
      </c>
      <c r="AN32" s="1"/>
      <c r="AP32" s="1">
        <f t="shared" si="17"/>
        <v>2.7000000000000011</v>
      </c>
      <c r="AQ32" s="1">
        <f t="shared" si="18"/>
        <v>1.8072976445396147</v>
      </c>
      <c r="AR32" s="1">
        <f t="shared" si="19"/>
        <v>19.7730666187514</v>
      </c>
      <c r="AS32" s="1" t="e">
        <f t="shared" si="7"/>
        <v>#N/A</v>
      </c>
      <c r="AT32" s="1" t="e">
        <f t="shared" si="8"/>
        <v>#N/A</v>
      </c>
    </row>
    <row r="33" spans="3:46" s="10" customFormat="1" ht="15" customHeight="1" x14ac:dyDescent="0.25">
      <c r="C33" s="4" t="str">
        <f>"Approx. Velocity (" &amp; IF($B$4, "m", "ft") &amp; "/s)"</f>
        <v>Approx. Velocity (m/s)</v>
      </c>
      <c r="D33" s="5">
        <v>20</v>
      </c>
      <c r="F33" s="20"/>
      <c r="G33" s="21"/>
      <c r="Y33" s="1">
        <f t="shared" si="9"/>
        <v>0.35646199883611268</v>
      </c>
      <c r="Z33" s="1">
        <f t="shared" si="10"/>
        <v>3.8375012923688656</v>
      </c>
      <c r="AA33" s="1">
        <f t="shared" si="11"/>
        <v>2.5841331436394741</v>
      </c>
      <c r="AB33" s="1">
        <f t="shared" si="12"/>
        <v>9.839738743606075</v>
      </c>
      <c r="AC33" s="1">
        <f t="shared" si="13"/>
        <v>2.6727221131531489</v>
      </c>
      <c r="AD33" s="1">
        <f t="shared" si="3"/>
        <v>10.196269025313146</v>
      </c>
      <c r="AE33" s="1">
        <f t="shared" si="0"/>
        <v>0.27421966356061739</v>
      </c>
      <c r="AF33" s="1">
        <f t="shared" si="4"/>
        <v>0.2645317981363704</v>
      </c>
      <c r="AG33" s="1">
        <f t="shared" si="1"/>
        <v>-4.1571511252161679</v>
      </c>
      <c r="AH33" s="1">
        <f t="shared" si="2"/>
        <v>-6.5855441872291935</v>
      </c>
      <c r="AI33" s="1" t="b">
        <f t="shared" si="14"/>
        <v>0</v>
      </c>
      <c r="AJ33" s="1">
        <f t="shared" si="15"/>
        <v>3.8375012923688656</v>
      </c>
      <c r="AK33" s="1">
        <f t="shared" si="16"/>
        <v>2.5841331436394741</v>
      </c>
      <c r="AL33" s="1">
        <f t="shared" si="5"/>
        <v>3.8375012923688656</v>
      </c>
      <c r="AM33" s="1">
        <f t="shared" si="6"/>
        <v>2.5841331436394741</v>
      </c>
      <c r="AN33" s="1"/>
      <c r="AP33" s="1">
        <f t="shared" si="17"/>
        <v>2.8000000000000012</v>
      </c>
      <c r="AQ33" s="1">
        <f t="shared" si="18"/>
        <v>1.8261527480371167</v>
      </c>
      <c r="AR33" s="1">
        <f t="shared" si="19"/>
        <v>19.763654958021586</v>
      </c>
      <c r="AS33" s="1" t="e">
        <f t="shared" si="7"/>
        <v>#N/A</v>
      </c>
      <c r="AT33" s="1" t="e">
        <f t="shared" si="8"/>
        <v>#N/A</v>
      </c>
    </row>
    <row r="34" spans="3:46" s="10" customFormat="1" ht="15" customHeight="1" x14ac:dyDescent="0.25">
      <c r="F34" s="20"/>
      <c r="G34" s="21"/>
      <c r="Y34" s="1">
        <f t="shared" si="9"/>
        <v>0.36919278450883097</v>
      </c>
      <c r="Z34" s="1">
        <f t="shared" si="10"/>
        <v>3.9627688973892572</v>
      </c>
      <c r="AA34" s="1">
        <f t="shared" si="11"/>
        <v>2.6181589960247615</v>
      </c>
      <c r="AB34" s="1">
        <f t="shared" si="12"/>
        <v>9.7868149436218488</v>
      </c>
      <c r="AC34" s="1">
        <f t="shared" si="13"/>
        <v>2.5888829615673181</v>
      </c>
      <c r="AD34" s="1">
        <f t="shared" ref="AD34:AD97" si="20">SQRT(AB34^2+AC34^2)</f>
        <v>10.123441199977085</v>
      </c>
      <c r="AE34" s="1">
        <f t="shared" si="0"/>
        <v>0.27619239411409274</v>
      </c>
      <c r="AF34" s="1">
        <f t="shared" si="4"/>
        <v>0.26571543646845563</v>
      </c>
      <c r="AG34" s="1">
        <f t="shared" ref="AG34:AG97" si="21">-$V$11*AB34*AD34 - $V$12*AF34*AC34*AD34</f>
        <v>-4.0816335547582012</v>
      </c>
      <c r="AH34" s="1">
        <f t="shared" ref="AH34:AH97" si="22">$V$12*AF34*AD34*AB34 - $V$11*AC34*AD34 - 9.8</f>
        <v>-6.5863589286497941</v>
      </c>
      <c r="AI34" s="1" t="b">
        <f t="shared" ref="AI34:AI97" si="23">OR(AA33&lt;0, Z33&gt;$V$6)</f>
        <v>0</v>
      </c>
      <c r="AJ34" s="1">
        <f t="shared" si="15"/>
        <v>3.9627688973892572</v>
      </c>
      <c r="AK34" s="1">
        <f t="shared" si="16"/>
        <v>2.6181589960247615</v>
      </c>
      <c r="AL34" s="1">
        <f t="shared" si="5"/>
        <v>3.9627688973892572</v>
      </c>
      <c r="AM34" s="1">
        <f t="shared" si="6"/>
        <v>2.6181589960247615</v>
      </c>
      <c r="AN34" s="1"/>
      <c r="AP34" s="1">
        <f t="shared" si="17"/>
        <v>2.9000000000000012</v>
      </c>
      <c r="AQ34" s="1">
        <f t="shared" si="18"/>
        <v>1.8447480371163456</v>
      </c>
      <c r="AR34" s="1">
        <f t="shared" si="19"/>
        <v>19.754367705712042</v>
      </c>
      <c r="AS34" s="1" t="e">
        <f t="shared" si="7"/>
        <v>#N/A</v>
      </c>
      <c r="AT34" s="1" t="e">
        <f t="shared" si="8"/>
        <v>#N/A</v>
      </c>
    </row>
    <row r="35" spans="3:46" s="10" customFormat="1" ht="15" customHeight="1" x14ac:dyDescent="0.25">
      <c r="C35" s="4" t="s">
        <v>34</v>
      </c>
      <c r="D35" s="16">
        <f>1.225*D33*(D32/IF($B$4, 1000, 39.37))/0.0000185</f>
        <v>235729.72972972968</v>
      </c>
      <c r="F35" s="22"/>
      <c r="G35" s="23"/>
      <c r="Y35" s="1">
        <f t="shared" si="9"/>
        <v>0.38192357018154927</v>
      </c>
      <c r="Z35" s="1">
        <f t="shared" si="10"/>
        <v>4.0873627408550641</v>
      </c>
      <c r="AA35" s="1">
        <f t="shared" si="11"/>
        <v>2.6511175101402271</v>
      </c>
      <c r="AB35" s="1">
        <f t="shared" si="12"/>
        <v>9.7348525416416472</v>
      </c>
      <c r="AC35" s="1">
        <f t="shared" si="13"/>
        <v>2.5050334376830832</v>
      </c>
      <c r="AD35" s="1">
        <f t="shared" si="20"/>
        <v>10.051992167297842</v>
      </c>
      <c r="AE35" s="1">
        <f t="shared" si="0"/>
        <v>0.27815555515365425</v>
      </c>
      <c r="AF35" s="1">
        <f t="shared" si="4"/>
        <v>0.26689333309219254</v>
      </c>
      <c r="AG35" s="1">
        <f t="shared" si="21"/>
        <v>-4.0072892146965664</v>
      </c>
      <c r="AH35" s="1">
        <f t="shared" si="22"/>
        <v>-6.5869328572972883</v>
      </c>
      <c r="AI35" s="1" t="b">
        <f t="shared" si="23"/>
        <v>0</v>
      </c>
      <c r="AJ35" s="1">
        <f t="shared" si="15"/>
        <v>4.0873627408550641</v>
      </c>
      <c r="AK35" s="1">
        <f t="shared" si="16"/>
        <v>2.6511175101402271</v>
      </c>
      <c r="AL35" s="1">
        <f t="shared" si="5"/>
        <v>4.0873627408550641</v>
      </c>
      <c r="AM35" s="1">
        <f t="shared" si="6"/>
        <v>2.6511175101402271</v>
      </c>
      <c r="AN35" s="1"/>
      <c r="AP35" s="1">
        <f t="shared" si="17"/>
        <v>3.0000000000000013</v>
      </c>
      <c r="AQ35" s="1">
        <f t="shared" si="18"/>
        <v>1.8630835117773024</v>
      </c>
      <c r="AR35" s="1">
        <f t="shared" si="19"/>
        <v>19.745205037371115</v>
      </c>
      <c r="AS35" s="1" t="e">
        <f t="shared" si="7"/>
        <v>#N/A</v>
      </c>
      <c r="AT35" s="1" t="e">
        <f t="shared" si="8"/>
        <v>#N/A</v>
      </c>
    </row>
    <row r="36" spans="3:46" s="10" customFormat="1" x14ac:dyDescent="0.25">
      <c r="Y36" s="1">
        <f t="shared" si="9"/>
        <v>0.39465435585426756</v>
      </c>
      <c r="Z36" s="1">
        <f t="shared" si="10"/>
        <v>4.2112950621182215</v>
      </c>
      <c r="AA36" s="1">
        <f t="shared" si="11"/>
        <v>2.6830085539383632</v>
      </c>
      <c r="AB36" s="1">
        <f t="shared" si="12"/>
        <v>9.6838366015207491</v>
      </c>
      <c r="AC36" s="1">
        <f t="shared" si="13"/>
        <v>2.4211766072362453</v>
      </c>
      <c r="AD36" s="1">
        <f t="shared" si="20"/>
        <v>9.9819230355869291</v>
      </c>
      <c r="AE36" s="1">
        <f t="shared" si="0"/>
        <v>0.28010809657885843</v>
      </c>
      <c r="AF36" s="1">
        <f t="shared" si="4"/>
        <v>0.26806485794731505</v>
      </c>
      <c r="AG36" s="1">
        <f t="shared" si="21"/>
        <v>-3.9340970922564917</v>
      </c>
      <c r="AH36" s="1">
        <f t="shared" si="22"/>
        <v>-6.5872688277861737</v>
      </c>
      <c r="AI36" s="1" t="b">
        <f t="shared" si="23"/>
        <v>0</v>
      </c>
      <c r="AJ36" s="1">
        <f t="shared" si="15"/>
        <v>4.2112950621182215</v>
      </c>
      <c r="AK36" s="1">
        <f t="shared" si="16"/>
        <v>2.6830085539383632</v>
      </c>
      <c r="AL36" s="1">
        <f t="shared" si="5"/>
        <v>4.2112950621182215</v>
      </c>
      <c r="AM36" s="1">
        <f t="shared" si="6"/>
        <v>2.6830085539383632</v>
      </c>
      <c r="AN36" s="1"/>
      <c r="AP36" s="1">
        <f t="shared" si="17"/>
        <v>3.1000000000000014</v>
      </c>
      <c r="AQ36" s="1">
        <f t="shared" si="18"/>
        <v>1.8811591720199858</v>
      </c>
      <c r="AR36" s="1">
        <f t="shared" si="19"/>
        <v>19.736167126515959</v>
      </c>
      <c r="AS36" s="1" t="e">
        <f t="shared" si="7"/>
        <v>#N/A</v>
      </c>
      <c r="AT36" s="1" t="e">
        <f t="shared" si="8"/>
        <v>#N/A</v>
      </c>
    </row>
    <row r="37" spans="3:46" s="10" customFormat="1" x14ac:dyDescent="0.25">
      <c r="Y37" s="1">
        <f t="shared" si="9"/>
        <v>0.40738514152698585</v>
      </c>
      <c r="Z37" s="1">
        <f t="shared" si="10"/>
        <v>4.3345779103818067</v>
      </c>
      <c r="AA37" s="1">
        <f t="shared" si="11"/>
        <v>2.713832034400887</v>
      </c>
      <c r="AB37" s="1">
        <f t="shared" si="12"/>
        <v>9.6337524546235667</v>
      </c>
      <c r="AC37" s="1">
        <f t="shared" si="13"/>
        <v>2.3373154996211212</v>
      </c>
      <c r="AD37" s="1">
        <f t="shared" si="20"/>
        <v>9.9132350976729455</v>
      </c>
      <c r="AE37" s="1">
        <f t="shared" ref="AE37:AE68" si="24">IFERROR($V$9*($D$13*2*PI())/AD37, 0)</f>
        <v>0.28204894105167128</v>
      </c>
      <c r="AF37" s="1">
        <f t="shared" si="4"/>
        <v>0.26922936463100278</v>
      </c>
      <c r="AG37" s="1">
        <f t="shared" si="21"/>
        <v>-3.8620366424486603</v>
      </c>
      <c r="AH37" s="1">
        <f t="shared" si="22"/>
        <v>-6.5873693409627299</v>
      </c>
      <c r="AI37" s="1" t="b">
        <f t="shared" si="23"/>
        <v>0</v>
      </c>
      <c r="AJ37" s="1">
        <f t="shared" si="15"/>
        <v>4.3345779103818067</v>
      </c>
      <c r="AK37" s="1">
        <f t="shared" si="16"/>
        <v>2.713832034400887</v>
      </c>
      <c r="AL37" s="1">
        <f t="shared" si="5"/>
        <v>4.3345779103818067</v>
      </c>
      <c r="AM37" s="1">
        <f t="shared" si="6"/>
        <v>2.713832034400887</v>
      </c>
      <c r="AN37" s="1"/>
      <c r="AP37" s="1">
        <f t="shared" si="17"/>
        <v>3.2000000000000015</v>
      </c>
      <c r="AQ37" s="1">
        <f t="shared" si="18"/>
        <v>1.8989750178443972</v>
      </c>
      <c r="AR37" s="1">
        <f t="shared" si="19"/>
        <v>19.727254144617092</v>
      </c>
      <c r="AS37" s="1" t="e">
        <f t="shared" si="7"/>
        <v>#N/A</v>
      </c>
      <c r="AT37" s="1" t="e">
        <f t="shared" si="8"/>
        <v>#N/A</v>
      </c>
    </row>
    <row r="38" spans="3:46" s="10" customFormat="1" x14ac:dyDescent="0.25">
      <c r="Y38" s="1">
        <f t="shared" si="9"/>
        <v>0.42011592719970414</v>
      </c>
      <c r="Z38" s="1">
        <f t="shared" si="10"/>
        <v>4.4572231481056432</v>
      </c>
      <c r="AA38" s="1">
        <f t="shared" si="11"/>
        <v>2.7435878970760861</v>
      </c>
      <c r="AB38" s="1">
        <f t="shared" si="12"/>
        <v>9.5845856938683678</v>
      </c>
      <c r="AC38" s="1">
        <f t="shared" si="13"/>
        <v>2.2534531123942889</v>
      </c>
      <c r="AD38" s="1">
        <f t="shared" si="20"/>
        <v>9.8459298114939706</v>
      </c>
      <c r="AE38" s="1">
        <f t="shared" si="24"/>
        <v>0.28397698492943674</v>
      </c>
      <c r="AF38" s="1">
        <f t="shared" si="4"/>
        <v>0.27038619095766203</v>
      </c>
      <c r="AG38" s="1">
        <f t="shared" si="21"/>
        <v>-3.791087771328443</v>
      </c>
      <c r="AH38" s="1">
        <f t="shared" si="22"/>
        <v>-6.58723655352523</v>
      </c>
      <c r="AI38" s="1" t="b">
        <f t="shared" si="23"/>
        <v>0</v>
      </c>
      <c r="AJ38" s="1">
        <f t="shared" si="15"/>
        <v>4.4572231481056432</v>
      </c>
      <c r="AK38" s="1">
        <f t="shared" si="16"/>
        <v>2.7435878970760861</v>
      </c>
      <c r="AL38" s="1">
        <f t="shared" si="5"/>
        <v>4.4572231481056432</v>
      </c>
      <c r="AM38" s="1">
        <f t="shared" si="6"/>
        <v>2.7435878970760861</v>
      </c>
      <c r="AN38" s="1"/>
      <c r="AP38" s="1">
        <f t="shared" si="17"/>
        <v>3.3000000000000016</v>
      </c>
      <c r="AQ38" s="1">
        <f t="shared" si="18"/>
        <v>1.9165310492505354</v>
      </c>
      <c r="AR38" s="1">
        <f t="shared" si="19"/>
        <v>19.71846626108259</v>
      </c>
      <c r="AS38" s="1" t="e">
        <f t="shared" si="7"/>
        <v>#N/A</v>
      </c>
      <c r="AT38" s="1" t="e">
        <f t="shared" si="8"/>
        <v>#N/A</v>
      </c>
    </row>
    <row r="39" spans="3:46" s="10" customFormat="1" x14ac:dyDescent="0.25">
      <c r="Y39" s="1">
        <f t="shared" si="9"/>
        <v>0.43284671287242243</v>
      </c>
      <c r="Z39" s="1">
        <f t="shared" si="10"/>
        <v>4.5792424543360832</v>
      </c>
      <c r="AA39" s="1">
        <f t="shared" si="11"/>
        <v>2.7722761256734976</v>
      </c>
      <c r="AB39" s="1">
        <f t="shared" si="12"/>
        <v>9.5363221679851229</v>
      </c>
      <c r="AC39" s="1">
        <f t="shared" si="13"/>
        <v>2.1695924156558637</v>
      </c>
      <c r="AD39" s="1">
        <f t="shared" si="20"/>
        <v>9.780008780245339</v>
      </c>
      <c r="AE39" s="1">
        <f t="shared" si="24"/>
        <v>0.28589109933547269</v>
      </c>
      <c r="AF39" s="1">
        <f t="shared" si="4"/>
        <v>0.27153465960128365</v>
      </c>
      <c r="AG39" s="1">
        <f t="shared" si="21"/>
        <v>-3.7212308197148714</v>
      </c>
      <c r="AH39" s="1">
        <f t="shared" si="22"/>
        <v>-6.5868722875399719</v>
      </c>
      <c r="AI39" s="1" t="b">
        <f t="shared" si="23"/>
        <v>0</v>
      </c>
      <c r="AJ39" s="1">
        <f t="shared" si="15"/>
        <v>4.5792424543360832</v>
      </c>
      <c r="AK39" s="1">
        <f t="shared" si="16"/>
        <v>2.7722761256734976</v>
      </c>
      <c r="AL39" s="1">
        <f t="shared" si="5"/>
        <v>4.5792424543360832</v>
      </c>
      <c r="AM39" s="1">
        <f t="shared" si="6"/>
        <v>2.7722761256734976</v>
      </c>
      <c r="AN39" s="1"/>
      <c r="AP39" s="1">
        <f t="shared" si="17"/>
        <v>3.4000000000000017</v>
      </c>
      <c r="AQ39" s="1">
        <f t="shared" si="18"/>
        <v>1.9338272662384015</v>
      </c>
      <c r="AR39" s="1">
        <f t="shared" si="19"/>
        <v>19.709803643242918</v>
      </c>
      <c r="AS39" s="1" t="e">
        <f t="shared" si="7"/>
        <v>#N/A</v>
      </c>
      <c r="AT39" s="1" t="e">
        <f t="shared" si="8"/>
        <v>#N/A</v>
      </c>
    </row>
    <row r="40" spans="3:46" s="10" customFormat="1" x14ac:dyDescent="0.25">
      <c r="Y40" s="1">
        <f t="shared" si="9"/>
        <v>0.44557749854514073</v>
      </c>
      <c r="Z40" s="1">
        <f t="shared" si="10"/>
        <v>4.7006473279626944</v>
      </c>
      <c r="AA40" s="1">
        <f t="shared" si="11"/>
        <v>2.7998967417143676</v>
      </c>
      <c r="AB40" s="1">
        <f t="shared" si="12"/>
        <v>9.4889479759806186</v>
      </c>
      <c r="AC40" s="1">
        <f t="shared" si="13"/>
        <v>2.0857363563096247</v>
      </c>
      <c r="AD40" s="1">
        <f t="shared" si="20"/>
        <v>9.7154737320883342</v>
      </c>
      <c r="AE40" s="1">
        <f t="shared" si="24"/>
        <v>0.2877901313715881</v>
      </c>
      <c r="AF40" s="1">
        <f t="shared" si="4"/>
        <v>0.27267407882295286</v>
      </c>
      <c r="AG40" s="1">
        <f t="shared" si="21"/>
        <v>-3.6524465473598067</v>
      </c>
      <c r="AH40" s="1">
        <f t="shared" si="22"/>
        <v>-6.5862780398781799</v>
      </c>
      <c r="AI40" s="1" t="b">
        <f t="shared" si="23"/>
        <v>0</v>
      </c>
      <c r="AJ40" s="1">
        <f t="shared" si="15"/>
        <v>4.7006473279626944</v>
      </c>
      <c r="AK40" s="1">
        <f t="shared" si="16"/>
        <v>2.7998967417143676</v>
      </c>
      <c r="AL40" s="1">
        <f t="shared" si="5"/>
        <v>4.7006473279626944</v>
      </c>
      <c r="AM40" s="1">
        <f t="shared" si="6"/>
        <v>2.7998967417143676</v>
      </c>
      <c r="AN40" s="1"/>
      <c r="AP40" s="1">
        <f t="shared" si="17"/>
        <v>3.5000000000000018</v>
      </c>
      <c r="AQ40" s="1">
        <f t="shared" si="18"/>
        <v>1.9508636688079946</v>
      </c>
      <c r="AR40" s="1">
        <f t="shared" si="19"/>
        <v>19.701266456335443</v>
      </c>
      <c r="AS40" s="1" t="e">
        <f t="shared" si="7"/>
        <v>#N/A</v>
      </c>
      <c r="AT40" s="1" t="e">
        <f t="shared" si="8"/>
        <v>#N/A</v>
      </c>
    </row>
    <row r="41" spans="3:46" s="10" customFormat="1" x14ac:dyDescent="0.25">
      <c r="Y41" s="1">
        <f t="shared" si="9"/>
        <v>0.45830828421785902</v>
      </c>
      <c r="Z41" s="1">
        <f t="shared" si="10"/>
        <v>4.821449090904478</v>
      </c>
      <c r="AA41" s="1">
        <f t="shared" si="11"/>
        <v>2.8264498042363417</v>
      </c>
      <c r="AB41" s="1">
        <f t="shared" si="12"/>
        <v>9.4424494618051202</v>
      </c>
      <c r="AC41" s="1">
        <f t="shared" si="13"/>
        <v>2.0018878622030045</v>
      </c>
      <c r="AD41" s="1">
        <f t="shared" si="20"/>
        <v>9.6523264994290123</v>
      </c>
      <c r="AE41" s="1">
        <f t="shared" si="24"/>
        <v>0.28967290547624086</v>
      </c>
      <c r="AF41" s="1">
        <f t="shared" si="4"/>
        <v>0.27380374328574453</v>
      </c>
      <c r="AG41" s="1">
        <f t="shared" si="21"/>
        <v>-3.5847161175591475</v>
      </c>
      <c r="AH41" s="1">
        <f t="shared" si="22"/>
        <v>-6.5854549915976568</v>
      </c>
      <c r="AI41" s="1" t="b">
        <f t="shared" si="23"/>
        <v>0</v>
      </c>
      <c r="AJ41" s="1">
        <f t="shared" si="15"/>
        <v>4.821449090904478</v>
      </c>
      <c r="AK41" s="1">
        <f t="shared" si="16"/>
        <v>2.8264498042363417</v>
      </c>
      <c r="AL41" s="1">
        <f t="shared" si="5"/>
        <v>4.821449090904478</v>
      </c>
      <c r="AM41" s="1">
        <f t="shared" si="6"/>
        <v>2.8264498042363417</v>
      </c>
      <c r="AN41" s="1"/>
      <c r="AP41" s="1">
        <f t="shared" si="17"/>
        <v>3.6000000000000019</v>
      </c>
      <c r="AQ41" s="1">
        <f t="shared" si="18"/>
        <v>1.9676402569593152</v>
      </c>
      <c r="AR41" s="1">
        <f t="shared" si="19"/>
        <v>19.69285486348954</v>
      </c>
      <c r="AS41" s="1" t="e">
        <f t="shared" si="7"/>
        <v>#N/A</v>
      </c>
      <c r="AT41" s="1" t="e">
        <f t="shared" si="8"/>
        <v>#N/A</v>
      </c>
    </row>
    <row r="42" spans="3:46" s="10" customFormat="1" x14ac:dyDescent="0.25">
      <c r="Y42" s="1">
        <f t="shared" si="9"/>
        <v>0.47103906989057731</v>
      </c>
      <c r="Z42" s="1">
        <f t="shared" si="10"/>
        <v>4.9416588912281938</v>
      </c>
      <c r="AA42" s="1">
        <f t="shared" si="11"/>
        <v>2.8519354095508644</v>
      </c>
      <c r="AB42" s="1">
        <f t="shared" si="12"/>
        <v>9.396813209214935</v>
      </c>
      <c r="AC42" s="1">
        <f t="shared" si="13"/>
        <v>1.9180498461476418</v>
      </c>
      <c r="AD42" s="1">
        <f t="shared" si="20"/>
        <v>9.5905689977802293</v>
      </c>
      <c r="AE42" s="1">
        <f t="shared" si="24"/>
        <v>0.29153822493139492</v>
      </c>
      <c r="AF42" s="1">
        <f t="shared" si="4"/>
        <v>0.27492293495883696</v>
      </c>
      <c r="AG42" s="1">
        <f t="shared" si="21"/>
        <v>-3.518021082199192</v>
      </c>
      <c r="AH42" s="1">
        <f t="shared" si="22"/>
        <v>-6.5844040172920941</v>
      </c>
      <c r="AI42" s="1" t="b">
        <f t="shared" si="23"/>
        <v>0</v>
      </c>
      <c r="AJ42" s="1">
        <f t="shared" si="15"/>
        <v>4.9416588912281938</v>
      </c>
      <c r="AK42" s="1">
        <f t="shared" si="16"/>
        <v>2.8519354095508644</v>
      </c>
      <c r="AL42" s="1">
        <f t="shared" si="5"/>
        <v>4.9416588912281938</v>
      </c>
      <c r="AM42" s="1">
        <f t="shared" si="6"/>
        <v>2.8519354095508644</v>
      </c>
      <c r="AN42" s="1"/>
      <c r="AP42" s="1">
        <f t="shared" si="17"/>
        <v>3.700000000000002</v>
      </c>
      <c r="AQ42" s="1">
        <f t="shared" si="18"/>
        <v>1.9841570306923628</v>
      </c>
      <c r="AR42" s="1">
        <f t="shared" si="19"/>
        <v>19.684569025711387</v>
      </c>
      <c r="AS42" s="1" t="e">
        <f t="shared" si="7"/>
        <v>#N/A</v>
      </c>
      <c r="AT42" s="1" t="e">
        <f t="shared" si="8"/>
        <v>#N/A</v>
      </c>
    </row>
    <row r="43" spans="3:46" s="10" customFormat="1" x14ac:dyDescent="0.25">
      <c r="Y43" s="1">
        <f t="shared" si="9"/>
        <v>0.4837698555632956</v>
      </c>
      <c r="Z43" s="1">
        <f t="shared" si="10"/>
        <v>5.0612877062012771</v>
      </c>
      <c r="AA43" s="1">
        <f t="shared" si="11"/>
        <v>2.8763536910517602</v>
      </c>
      <c r="AB43" s="1">
        <f t="shared" si="12"/>
        <v>9.3520260368253521</v>
      </c>
      <c r="AC43" s="1">
        <f t="shared" si="13"/>
        <v>1.8342252098209109</v>
      </c>
      <c r="AD43" s="1">
        <f t="shared" si="20"/>
        <v>9.5302032042240246</v>
      </c>
      <c r="AE43" s="1">
        <f t="shared" si="24"/>
        <v>0.29338487352039361</v>
      </c>
      <c r="AF43" s="1">
        <f t="shared" si="4"/>
        <v>0.27603092411223618</v>
      </c>
      <c r="AG43" s="1">
        <f t="shared" si="21"/>
        <v>-3.4523433672326695</v>
      </c>
      <c r="AH43" s="1">
        <f t="shared" si="22"/>
        <v>-6.5831256944296168</v>
      </c>
      <c r="AI43" s="1" t="b">
        <f t="shared" si="23"/>
        <v>0</v>
      </c>
      <c r="AJ43" s="1">
        <f t="shared" si="15"/>
        <v>5.0612877062012771</v>
      </c>
      <c r="AK43" s="1">
        <f t="shared" si="16"/>
        <v>2.8763536910517602</v>
      </c>
      <c r="AL43" s="1">
        <f t="shared" si="5"/>
        <v>5.0612877062012771</v>
      </c>
      <c r="AM43" s="1">
        <f t="shared" si="6"/>
        <v>2.8763536910517602</v>
      </c>
      <c r="AN43" s="1"/>
      <c r="AP43" s="1">
        <f t="shared" si="17"/>
        <v>3.800000000000002</v>
      </c>
      <c r="AQ43" s="1">
        <f t="shared" si="18"/>
        <v>2.000413990007138</v>
      </c>
      <c r="AR43" s="1">
        <f t="shared" si="19"/>
        <v>19.676409101869375</v>
      </c>
      <c r="AS43" s="1" t="e">
        <f t="shared" si="7"/>
        <v>#N/A</v>
      </c>
      <c r="AT43" s="1" t="e">
        <f t="shared" si="8"/>
        <v>#N/A</v>
      </c>
    </row>
    <row r="44" spans="3:46" s="10" customFormat="1" ht="15" customHeight="1" x14ac:dyDescent="0.25">
      <c r="Y44" s="1">
        <f>Y43+$V$4</f>
        <v>0.4965006412360139</v>
      </c>
      <c r="Z44" s="1">
        <f t="shared" si="10"/>
        <v>5.180346345281782</v>
      </c>
      <c r="AA44" s="1">
        <f t="shared" si="11"/>
        <v>2.8997048190734871</v>
      </c>
      <c r="AB44" s="1">
        <f t="shared" si="12"/>
        <v>9.3080749933484821</v>
      </c>
      <c r="AC44" s="1">
        <f t="shared" si="13"/>
        <v>1.7504168475485624</v>
      </c>
      <c r="AD44" s="1">
        <f t="shared" si="20"/>
        <v>9.4712311354955965</v>
      </c>
      <c r="AE44" s="1">
        <f t="shared" si="24"/>
        <v>0.29521161733834189</v>
      </c>
      <c r="AF44" s="1">
        <f t="shared" si="4"/>
        <v>0.27712697040300516</v>
      </c>
      <c r="AG44" s="1">
        <f t="shared" si="21"/>
        <v>-3.3876652585800948</v>
      </c>
      <c r="AH44" s="1">
        <f t="shared" si="22"/>
        <v>-6.5816203127010127</v>
      </c>
      <c r="AI44" s="1" t="b">
        <f>OR(AA43&lt;0, Z43&gt;$V$6)</f>
        <v>0</v>
      </c>
      <c r="AJ44" s="1">
        <f t="shared" si="15"/>
        <v>5.180346345281782</v>
      </c>
      <c r="AK44" s="1">
        <f t="shared" si="16"/>
        <v>2.8997048190734871</v>
      </c>
      <c r="AL44" s="1">
        <f t="shared" si="5"/>
        <v>5.180346345281782</v>
      </c>
      <c r="AM44" s="1">
        <f t="shared" si="6"/>
        <v>2.8997048190734871</v>
      </c>
      <c r="AN44" s="1"/>
      <c r="AP44" s="1">
        <f t="shared" si="17"/>
        <v>3.9000000000000021</v>
      </c>
      <c r="AQ44" s="1">
        <f t="shared" si="18"/>
        <v>2.0164111349036404</v>
      </c>
      <c r="AR44" s="1">
        <f t="shared" si="19"/>
        <v>19.668375248679215</v>
      </c>
      <c r="AS44" s="1" t="e">
        <f t="shared" si="7"/>
        <v>#N/A</v>
      </c>
      <c r="AT44" s="1" t="e">
        <f t="shared" si="8"/>
        <v>#N/A</v>
      </c>
    </row>
    <row r="45" spans="3:46" s="10" customFormat="1" ht="15" customHeight="1" x14ac:dyDescent="0.25">
      <c r="Y45" s="1">
        <f t="shared" si="9"/>
        <v>0.50923142690873224</v>
      </c>
      <c r="Z45" s="1">
        <f t="shared" si="10"/>
        <v>5.2988454530476901</v>
      </c>
      <c r="AA45" s="1">
        <f t="shared" si="11"/>
        <v>2.9219890007975429</v>
      </c>
      <c r="AB45" s="1">
        <f t="shared" si="12"/>
        <v>9.2649473530105855</v>
      </c>
      <c r="AC45" s="1">
        <f t="shared" si="13"/>
        <v>1.6666276499683566</v>
      </c>
      <c r="AD45" s="1">
        <f t="shared" si="20"/>
        <v>9.4136548257144472</v>
      </c>
      <c r="AE45" s="1">
        <f t="shared" si="24"/>
        <v>0.29701720675558252</v>
      </c>
      <c r="AF45" s="1">
        <f t="shared" si="4"/>
        <v>0.2782103240533495</v>
      </c>
      <c r="AG45" s="1">
        <f t="shared" si="21"/>
        <v>-3.3239693884533468</v>
      </c>
      <c r="AH45" s="1">
        <f t="shared" si="22"/>
        <v>-6.5798878833967311</v>
      </c>
      <c r="AI45" s="1" t="b">
        <f t="shared" si="23"/>
        <v>0</v>
      </c>
      <c r="AJ45" s="1">
        <f t="shared" si="15"/>
        <v>5.2988454530476901</v>
      </c>
      <c r="AK45" s="1">
        <f t="shared" si="16"/>
        <v>2.9219890007975429</v>
      </c>
      <c r="AL45" s="1">
        <f t="shared" si="5"/>
        <v>5.2988454530476901</v>
      </c>
      <c r="AM45" s="1">
        <f t="shared" si="6"/>
        <v>2.9219890007975429</v>
      </c>
      <c r="AN45" s="1"/>
      <c r="AP45" s="1">
        <f t="shared" si="17"/>
        <v>4.0000000000000018</v>
      </c>
      <c r="AQ45" s="1">
        <f t="shared" si="18"/>
        <v>2.0321484653818702</v>
      </c>
      <c r="AR45" s="1">
        <f t="shared" si="19"/>
        <v>19.660467620689619</v>
      </c>
      <c r="AS45" s="1" t="e">
        <f t="shared" si="7"/>
        <v>#N/A</v>
      </c>
      <c r="AT45" s="1" t="e">
        <f t="shared" si="8"/>
        <v>#N/A</v>
      </c>
    </row>
    <row r="46" spans="3:46" s="10" customFormat="1" ht="15" customHeight="1" x14ac:dyDescent="0.25">
      <c r="Y46" s="1">
        <f t="shared" si="9"/>
        <v>0.52196221258145059</v>
      </c>
      <c r="Z46" s="1">
        <f t="shared" si="10"/>
        <v>5.4167955120678863</v>
      </c>
      <c r="AA46" s="1">
        <f t="shared" si="11"/>
        <v>2.9432064802055162</v>
      </c>
      <c r="AB46" s="1">
        <f t="shared" si="12"/>
        <v>9.2226306111435097</v>
      </c>
      <c r="AC46" s="1">
        <f t="shared" si="13"/>
        <v>1.5828605075743165</v>
      </c>
      <c r="AD46" s="1">
        <f t="shared" si="20"/>
        <v>9.3574763037925841</v>
      </c>
      <c r="AE46" s="1">
        <f t="shared" si="24"/>
        <v>0.29880037853386704</v>
      </c>
      <c r="AF46" s="1">
        <f t="shared" si="4"/>
        <v>0.27928022712032019</v>
      </c>
      <c r="AG46" s="1">
        <f t="shared" si="21"/>
        <v>-3.2612387220994572</v>
      </c>
      <c r="AH46" s="1">
        <f t="shared" si="22"/>
        <v>-6.5779281488303694</v>
      </c>
      <c r="AI46" s="1" t="b">
        <f t="shared" si="23"/>
        <v>0</v>
      </c>
      <c r="AJ46" s="1">
        <f t="shared" si="15"/>
        <v>5.4167955120678863</v>
      </c>
      <c r="AK46" s="1">
        <f t="shared" si="16"/>
        <v>2.9432064802055162</v>
      </c>
      <c r="AL46" s="1">
        <f t="shared" si="5"/>
        <v>5.4167955120678863</v>
      </c>
      <c r="AM46" s="1">
        <f t="shared" si="6"/>
        <v>2.9432064802055162</v>
      </c>
      <c r="AN46" s="1"/>
      <c r="AP46" s="1">
        <f t="shared" si="17"/>
        <v>4.1000000000000014</v>
      </c>
      <c r="AQ46" s="1">
        <f t="shared" si="18"/>
        <v>2.0476259814418274</v>
      </c>
      <c r="AR46" s="1">
        <f t="shared" si="19"/>
        <v>19.65268637026783</v>
      </c>
      <c r="AS46" s="1" t="e">
        <f t="shared" si="7"/>
        <v>#N/A</v>
      </c>
      <c r="AT46" s="1" t="e">
        <f t="shared" si="8"/>
        <v>#N/A</v>
      </c>
    </row>
    <row r="47" spans="3:46" s="10" customFormat="1" ht="15" customHeight="1" x14ac:dyDescent="0.25">
      <c r="Y47" s="1">
        <f t="shared" si="9"/>
        <v>0.53469299825416894</v>
      </c>
      <c r="Z47" s="1">
        <f t="shared" si="10"/>
        <v>5.5342068457170051</v>
      </c>
      <c r="AA47" s="1">
        <f t="shared" si="11"/>
        <v>2.963357538077255</v>
      </c>
      <c r="AB47" s="1">
        <f t="shared" si="12"/>
        <v>9.1811124799448915</v>
      </c>
      <c r="AC47" s="1">
        <f t="shared" si="13"/>
        <v>1.4991183141410163</v>
      </c>
      <c r="AD47" s="1">
        <f t="shared" si="20"/>
        <v>9.3026975705540824</v>
      </c>
      <c r="AE47" s="1">
        <f t="shared" si="24"/>
        <v>0.30055985809376151</v>
      </c>
      <c r="AF47" s="1">
        <f t="shared" si="4"/>
        <v>0.28033591485625692</v>
      </c>
      <c r="AG47" s="1">
        <f t="shared" si="21"/>
        <v>-3.1994565449636423</v>
      </c>
      <c r="AH47" s="1">
        <f t="shared" si="22"/>
        <v>-6.5757405918249354</v>
      </c>
      <c r="AI47" s="1" t="b">
        <f t="shared" si="23"/>
        <v>0</v>
      </c>
      <c r="AJ47" s="1">
        <f t="shared" si="15"/>
        <v>5.5342068457170051</v>
      </c>
      <c r="AK47" s="1">
        <f t="shared" si="16"/>
        <v>2.963357538077255</v>
      </c>
      <c r="AL47" s="1">
        <f t="shared" si="5"/>
        <v>5.5342068457170051</v>
      </c>
      <c r="AM47" s="1">
        <f t="shared" si="6"/>
        <v>2.963357538077255</v>
      </c>
      <c r="AN47" s="1"/>
      <c r="AP47" s="1">
        <f t="shared" si="17"/>
        <v>4.2000000000000011</v>
      </c>
      <c r="AQ47" s="1">
        <f t="shared" si="18"/>
        <v>2.062843683083512</v>
      </c>
      <c r="AR47" s="1">
        <f t="shared" si="19"/>
        <v>19.645031647585473</v>
      </c>
      <c r="AS47" s="1" t="e">
        <f t="shared" si="7"/>
        <v>#N/A</v>
      </c>
      <c r="AT47" s="1" t="e">
        <f t="shared" si="8"/>
        <v>#N/A</v>
      </c>
    </row>
    <row r="48" spans="3:46" s="10" customFormat="1" x14ac:dyDescent="0.25">
      <c r="Y48" s="1">
        <f>Y47+$V$4</f>
        <v>0.54742378392688729</v>
      </c>
      <c r="Z48" s="1">
        <f t="shared" si="10"/>
        <v>5.6510896209363031</v>
      </c>
      <c r="AA48" s="1">
        <f t="shared" si="11"/>
        <v>2.9824424920326309</v>
      </c>
      <c r="AB48" s="1">
        <f t="shared" si="12"/>
        <v>9.1403808844017842</v>
      </c>
      <c r="AC48" s="1">
        <f t="shared" si="13"/>
        <v>1.4154039700270991</v>
      </c>
      <c r="AD48" s="1">
        <f t="shared" si="20"/>
        <v>9.2493205756047843</v>
      </c>
      <c r="AE48" s="1">
        <f t="shared" si="24"/>
        <v>0.30229436193069698</v>
      </c>
      <c r="AF48" s="1">
        <f t="shared" si="4"/>
        <v>0.28137661715841822</v>
      </c>
      <c r="AG48" s="1">
        <f t="shared" si="21"/>
        <v>-3.138606450271578</v>
      </c>
      <c r="AH48" s="1">
        <f t="shared" si="22"/>
        <v>-6.5733244452766222</v>
      </c>
      <c r="AI48" s="1" t="b">
        <f>OR(AA47&lt;0, Z47&gt;$V$6)</f>
        <v>0</v>
      </c>
      <c r="AJ48" s="1">
        <f t="shared" si="15"/>
        <v>5.6510896209363031</v>
      </c>
      <c r="AK48" s="1">
        <f t="shared" si="16"/>
        <v>2.9824424920326309</v>
      </c>
      <c r="AL48" s="1">
        <f t="shared" si="5"/>
        <v>5.6510896209363031</v>
      </c>
      <c r="AM48" s="1">
        <f t="shared" si="6"/>
        <v>2.9824424920326309</v>
      </c>
      <c r="AN48" s="1"/>
      <c r="AP48" s="1">
        <f t="shared" si="17"/>
        <v>4.3000000000000007</v>
      </c>
      <c r="AQ48" s="1">
        <f t="shared" si="18"/>
        <v>2.0778015703069239</v>
      </c>
      <c r="AR48" s="1">
        <f t="shared" si="19"/>
        <v>19.637503600604557</v>
      </c>
      <c r="AS48" s="1" t="e">
        <f t="shared" si="7"/>
        <v>#N/A</v>
      </c>
      <c r="AT48" s="1" t="e">
        <f t="shared" si="8"/>
        <v>#N/A</v>
      </c>
    </row>
    <row r="49" spans="25:46" s="10" customFormat="1" x14ac:dyDescent="0.25">
      <c r="Y49" s="1">
        <f t="shared" si="9"/>
        <v>0.56015456959960563</v>
      </c>
      <c r="Z49" s="1">
        <f t="shared" si="10"/>
        <v>5.7674538509426334</v>
      </c>
      <c r="AA49" s="1">
        <f t="shared" si="11"/>
        <v>3.0004616966153606</v>
      </c>
      <c r="AB49" s="1">
        <f t="shared" si="12"/>
        <v>9.1004239583723656</v>
      </c>
      <c r="AC49" s="1">
        <f t="shared" si="13"/>
        <v>1.3317203853570423</v>
      </c>
      <c r="AD49" s="1">
        <f t="shared" si="20"/>
        <v>9.1973471939953022</v>
      </c>
      <c r="AE49" s="1">
        <f t="shared" si="24"/>
        <v>0.30400260017588104</v>
      </c>
      <c r="AF49" s="1">
        <f t="shared" si="4"/>
        <v>0.28240156010552864</v>
      </c>
      <c r="AG49" s="1">
        <f t="shared" si="21"/>
        <v>-3.078672327031811</v>
      </c>
      <c r="AH49" s="1">
        <f t="shared" si="22"/>
        <v>-6.5706787018092756</v>
      </c>
      <c r="AI49" s="1" t="b">
        <f t="shared" si="23"/>
        <v>0</v>
      </c>
      <c r="AJ49" s="1">
        <f t="shared" si="15"/>
        <v>5.7674538509426334</v>
      </c>
      <c r="AK49" s="1">
        <f t="shared" si="16"/>
        <v>3.0004616966153606</v>
      </c>
      <c r="AL49" s="1">
        <f t="shared" si="5"/>
        <v>5.7674538509426334</v>
      </c>
      <c r="AM49" s="1">
        <f t="shared" si="6"/>
        <v>3.0004616966153606</v>
      </c>
      <c r="AN49" s="1"/>
      <c r="AP49" s="1">
        <f t="shared" si="17"/>
        <v>4.4000000000000004</v>
      </c>
      <c r="AQ49" s="1">
        <f t="shared" si="18"/>
        <v>2.0924996431120633</v>
      </c>
      <c r="AR49" s="1">
        <f t="shared" si="19"/>
        <v>19.63010237506359</v>
      </c>
      <c r="AS49" s="1" t="e">
        <f t="shared" si="7"/>
        <v>#N/A</v>
      </c>
      <c r="AT49" s="1" t="e">
        <f t="shared" si="8"/>
        <v>#N/A</v>
      </c>
    </row>
    <row r="50" spans="25:46" s="10" customFormat="1" x14ac:dyDescent="0.25">
      <c r="Y50" s="1">
        <f t="shared" si="9"/>
        <v>0.57288535527232398</v>
      </c>
      <c r="Z50" s="1">
        <f t="shared" si="10"/>
        <v>5.883309397887543</v>
      </c>
      <c r="AA50" s="1">
        <f t="shared" si="11"/>
        <v>3.0174155434173309</v>
      </c>
      <c r="AB50" s="1">
        <f t="shared" si="12"/>
        <v>9.0612300408203943</v>
      </c>
      <c r="AC50" s="1">
        <f t="shared" si="13"/>
        <v>1.2480704830800133</v>
      </c>
      <c r="AD50" s="1">
        <f t="shared" si="20"/>
        <v>9.146779202724943</v>
      </c>
      <c r="AE50" s="1">
        <f t="shared" si="24"/>
        <v>0.30568327929703887</v>
      </c>
      <c r="AF50" s="1">
        <f t="shared" si="4"/>
        <v>0.28340996757822334</v>
      </c>
      <c r="AG50" s="1">
        <f t="shared" si="21"/>
        <v>-3.0196383484599818</v>
      </c>
      <c r="AH50" s="1">
        <f t="shared" si="22"/>
        <v>-6.5678021235310062</v>
      </c>
      <c r="AI50" s="1" t="b">
        <f t="shared" si="23"/>
        <v>0</v>
      </c>
      <c r="AJ50" s="1">
        <f t="shared" si="15"/>
        <v>5.883309397887543</v>
      </c>
      <c r="AK50" s="1">
        <f t="shared" si="16"/>
        <v>3.0174155434173309</v>
      </c>
      <c r="AL50" s="1">
        <f t="shared" si="5"/>
        <v>5.883309397887543</v>
      </c>
      <c r="AM50" s="1">
        <f t="shared" si="6"/>
        <v>3.0174155434173309</v>
      </c>
      <c r="AN50" s="1"/>
      <c r="AP50" s="1">
        <f t="shared" si="17"/>
        <v>4.5</v>
      </c>
      <c r="AQ50" s="1">
        <f t="shared" si="18"/>
        <v>2.1069379014989296</v>
      </c>
      <c r="AR50" s="1">
        <f t="shared" si="19"/>
        <v>19.622828114463907</v>
      </c>
      <c r="AS50" s="1" t="e">
        <f t="shared" si="7"/>
        <v>#N/A</v>
      </c>
      <c r="AT50" s="1" t="e">
        <f t="shared" si="8"/>
        <v>#N/A</v>
      </c>
    </row>
    <row r="51" spans="25:46" s="10" customFormat="1" x14ac:dyDescent="0.25">
      <c r="Y51" s="1">
        <f t="shared" si="9"/>
        <v>0.58561614094504233</v>
      </c>
      <c r="Z51" s="1">
        <f t="shared" si="10"/>
        <v>5.9986659754684242</v>
      </c>
      <c r="AA51" s="1">
        <f t="shared" si="11"/>
        <v>3.0333044612418685</v>
      </c>
      <c r="AB51" s="1">
        <f t="shared" si="12"/>
        <v>9.0227876721970297</v>
      </c>
      <c r="AC51" s="1">
        <f t="shared" si="13"/>
        <v>1.1644572019045158</v>
      </c>
      <c r="AD51" s="1">
        <f t="shared" si="20"/>
        <v>9.0976182571384037</v>
      </c>
      <c r="AE51" s="1">
        <f t="shared" si="24"/>
        <v>0.30733510493266003</v>
      </c>
      <c r="AF51" s="1">
        <f t="shared" si="4"/>
        <v>0.284401062959596</v>
      </c>
      <c r="AG51" s="1">
        <f t="shared" si="21"/>
        <v>-2.9614889608272095</v>
      </c>
      <c r="AH51" s="1">
        <f t="shared" si="22"/>
        <v>-6.5646932519027397</v>
      </c>
      <c r="AI51" s="1" t="b">
        <f t="shared" si="23"/>
        <v>0</v>
      </c>
      <c r="AJ51" s="1">
        <f t="shared" si="15"/>
        <v>5.9986659754684242</v>
      </c>
      <c r="AK51" s="1">
        <f t="shared" si="16"/>
        <v>3.0333044612418685</v>
      </c>
      <c r="AL51" s="1">
        <f t="shared" si="5"/>
        <v>5.9986659754684242</v>
      </c>
      <c r="AM51" s="1">
        <f t="shared" si="6"/>
        <v>3.0333044612418685</v>
      </c>
      <c r="AN51" s="1"/>
      <c r="AP51" s="1">
        <f t="shared" si="17"/>
        <v>4.5999999999999996</v>
      </c>
      <c r="AQ51" s="1">
        <f t="shared" si="18"/>
        <v>2.1211163454675233</v>
      </c>
      <c r="AR51" s="1">
        <f t="shared" si="19"/>
        <v>19.615680960056206</v>
      </c>
      <c r="AS51" s="1" t="e">
        <f t="shared" si="7"/>
        <v>#N/A</v>
      </c>
      <c r="AT51" s="1" t="e">
        <f t="shared" si="8"/>
        <v>#N/A</v>
      </c>
    </row>
    <row r="52" spans="25:46" s="10" customFormat="1" x14ac:dyDescent="0.25">
      <c r="Y52" s="1">
        <f t="shared" si="9"/>
        <v>0.59834692661776068</v>
      </c>
      <c r="Z52" s="1">
        <f t="shared" si="10"/>
        <v>6.1135331514936091</v>
      </c>
      <c r="AA52" s="1">
        <f t="shared" si="11"/>
        <v>3.0481289163043681</v>
      </c>
      <c r="AB52" s="1">
        <f t="shared" si="12"/>
        <v>8.9850855909646175</v>
      </c>
      <c r="AC52" s="1">
        <f t="shared" si="13"/>
        <v>1.0808834991074019</v>
      </c>
      <c r="AD52" s="1">
        <f t="shared" si="20"/>
        <v>9.049865867271329</v>
      </c>
      <c r="AE52" s="1">
        <f t="shared" si="24"/>
        <v>0.30895678485210043</v>
      </c>
      <c r="AF52" s="1">
        <f t="shared" si="4"/>
        <v>0.28537407091126027</v>
      </c>
      <c r="AG52" s="1">
        <f t="shared" si="21"/>
        <v>-2.9042088727356021</v>
      </c>
      <c r="AH52" s="1">
        <f t="shared" si="22"/>
        <v>-6.5613504177266293</v>
      </c>
      <c r="AI52" s="1" t="b">
        <f t="shared" si="23"/>
        <v>0</v>
      </c>
      <c r="AJ52" s="1">
        <f t="shared" si="15"/>
        <v>6.1135331514936091</v>
      </c>
      <c r="AK52" s="1">
        <f t="shared" si="16"/>
        <v>3.0481289163043681</v>
      </c>
      <c r="AL52" s="1">
        <f t="shared" si="5"/>
        <v>6.1135331514936091</v>
      </c>
      <c r="AM52" s="1">
        <f t="shared" si="6"/>
        <v>3.0481289163043681</v>
      </c>
      <c r="AN52" s="1"/>
      <c r="AP52" s="1">
        <f t="shared" si="17"/>
        <v>4.6999999999999993</v>
      </c>
      <c r="AQ52" s="1">
        <f t="shared" si="18"/>
        <v>2.1350349750178443</v>
      </c>
      <c r="AR52" s="1">
        <f t="shared" si="19"/>
        <v>19.60866105082717</v>
      </c>
      <c r="AS52" s="1" t="e">
        <f t="shared" si="7"/>
        <v>#N/A</v>
      </c>
      <c r="AT52" s="1" t="e">
        <f t="shared" si="8"/>
        <v>#N/A</v>
      </c>
    </row>
    <row r="53" spans="25:46" s="10" customFormat="1" x14ac:dyDescent="0.25">
      <c r="Y53" s="1">
        <f t="shared" si="9"/>
        <v>0.61107771229047902</v>
      </c>
      <c r="Z53" s="1">
        <f t="shared" si="10"/>
        <v>6.2279203504032088</v>
      </c>
      <c r="AA53" s="1">
        <f t="shared" si="11"/>
        <v>3.0618894124686822</v>
      </c>
      <c r="AB53" s="1">
        <f t="shared" si="12"/>
        <v>8.948112730257014</v>
      </c>
      <c r="AC53" s="1">
        <f t="shared" si="13"/>
        <v>0.99735235321572335</v>
      </c>
      <c r="AD53" s="1">
        <f t="shared" si="20"/>
        <v>9.0035233742048213</v>
      </c>
      <c r="AE53" s="1">
        <f t="shared" si="24"/>
        <v>0.31054703203254086</v>
      </c>
      <c r="AF53" s="1">
        <f t="shared" si="4"/>
        <v>0.2863282192195245</v>
      </c>
      <c r="AG53" s="1">
        <f t="shared" si="21"/>
        <v>-2.8477830448243342</v>
      </c>
      <c r="AH53" s="1">
        <f t="shared" si="22"/>
        <v>-6.5577717512604217</v>
      </c>
      <c r="AI53" s="1" t="b">
        <f t="shared" si="23"/>
        <v>0</v>
      </c>
      <c r="AJ53" s="1">
        <f t="shared" si="15"/>
        <v>6.2279203504032088</v>
      </c>
      <c r="AK53" s="1">
        <f t="shared" si="16"/>
        <v>3.0618894124686822</v>
      </c>
      <c r="AL53" s="1">
        <f t="shared" si="5"/>
        <v>6.2279203504032088</v>
      </c>
      <c r="AM53" s="1">
        <f t="shared" si="6"/>
        <v>3.0618894124686822</v>
      </c>
      <c r="AN53" s="1"/>
      <c r="AP53" s="1">
        <f t="shared" si="17"/>
        <v>4.7999999999999989</v>
      </c>
      <c r="AQ53" s="1">
        <f t="shared" si="18"/>
        <v>2.1486937901498928</v>
      </c>
      <c r="AR53" s="1">
        <f t="shared" si="19"/>
        <v>19.601768523486324</v>
      </c>
      <c r="AS53" s="1" t="e">
        <f t="shared" si="7"/>
        <v>#N/A</v>
      </c>
      <c r="AT53" s="1" t="e">
        <f t="shared" si="8"/>
        <v>#N/A</v>
      </c>
    </row>
    <row r="54" spans="25:46" s="10" customFormat="1" x14ac:dyDescent="0.25">
      <c r="Y54" s="1">
        <f t="shared" si="9"/>
        <v>0.62380849796319737</v>
      </c>
      <c r="Z54" s="1">
        <f t="shared" si="10"/>
        <v>6.3418368557474327</v>
      </c>
      <c r="AA54" s="1">
        <f t="shared" si="11"/>
        <v>3.0745864915176528</v>
      </c>
      <c r="AB54" s="1">
        <f t="shared" si="12"/>
        <v>8.9118582146709535</v>
      </c>
      <c r="AC54" s="1">
        <f t="shared" si="13"/>
        <v>0.91386676655982035</v>
      </c>
      <c r="AD54" s="1">
        <f t="shared" si="20"/>
        <v>8.9585919264927263</v>
      </c>
      <c r="AE54" s="1">
        <f t="shared" si="24"/>
        <v>0.31210456784245461</v>
      </c>
      <c r="AF54" s="1">
        <f t="shared" si="4"/>
        <v>0.28726274070547275</v>
      </c>
      <c r="AG54" s="1">
        <f t="shared" si="21"/>
        <v>-2.7921966799100417</v>
      </c>
      <c r="AH54" s="1">
        <f t="shared" si="22"/>
        <v>-6.5539551924619488</v>
      </c>
      <c r="AI54" s="1" t="b">
        <f t="shared" si="23"/>
        <v>0</v>
      </c>
      <c r="AJ54" s="1">
        <f t="shared" si="15"/>
        <v>6.3418368557474327</v>
      </c>
      <c r="AK54" s="1">
        <f t="shared" si="16"/>
        <v>3.0745864915176528</v>
      </c>
      <c r="AL54" s="1">
        <f t="shared" si="5"/>
        <v>6.3418368557474327</v>
      </c>
      <c r="AM54" s="1">
        <f t="shared" si="6"/>
        <v>3.0745864915176528</v>
      </c>
      <c r="AN54" s="1"/>
      <c r="AP54" s="1">
        <f t="shared" si="17"/>
        <v>4.8999999999999986</v>
      </c>
      <c r="AQ54" s="1">
        <f t="shared" si="18"/>
        <v>2.1620927908636682</v>
      </c>
      <c r="AR54" s="1">
        <f t="shared" si="19"/>
        <v>19.595003512453108</v>
      </c>
      <c r="AS54" s="1" t="e">
        <f t="shared" si="7"/>
        <v>#N/A</v>
      </c>
      <c r="AT54" s="1" t="e">
        <f t="shared" si="8"/>
        <v>#N/A</v>
      </c>
    </row>
    <row r="55" spans="25:46" s="10" customFormat="1" x14ac:dyDescent="0.25">
      <c r="Y55" s="1">
        <f t="shared" si="9"/>
        <v>0.63653928363591572</v>
      </c>
      <c r="Z55" s="1">
        <f t="shared" si="10"/>
        <v>6.455291812624063</v>
      </c>
      <c r="AA55" s="1">
        <f t="shared" si="11"/>
        <v>3.086220733456146</v>
      </c>
      <c r="AB55" s="1">
        <f t="shared" si="12"/>
        <v>8.876311357182944</v>
      </c>
      <c r="AC55" s="1">
        <f t="shared" si="13"/>
        <v>0.83042976769598797</v>
      </c>
      <c r="AD55" s="1">
        <f t="shared" si="20"/>
        <v>8.9150724567291384</v>
      </c>
      <c r="AE55" s="1">
        <f t="shared" si="24"/>
        <v>0.31362812531988654</v>
      </c>
      <c r="AF55" s="1">
        <f t="shared" si="4"/>
        <v>0.28817687519193191</v>
      </c>
      <c r="AG55" s="1">
        <f t="shared" si="21"/>
        <v>-2.7374352135655831</v>
      </c>
      <c r="AH55" s="1">
        <f t="shared" si="22"/>
        <v>-6.5498985013659521</v>
      </c>
      <c r="AI55" s="1" t="b">
        <f t="shared" si="23"/>
        <v>0</v>
      </c>
      <c r="AJ55" s="1">
        <f t="shared" si="15"/>
        <v>6.455291812624063</v>
      </c>
      <c r="AK55" s="1">
        <f t="shared" si="16"/>
        <v>3.086220733456146</v>
      </c>
      <c r="AL55" s="1">
        <f t="shared" si="5"/>
        <v>6.455291812624063</v>
      </c>
      <c r="AM55" s="1">
        <f t="shared" si="6"/>
        <v>3.086220733456146</v>
      </c>
      <c r="AN55" s="1"/>
      <c r="AP55" s="1">
        <f t="shared" si="17"/>
        <v>4.9999999999999982</v>
      </c>
      <c r="AQ55" s="1">
        <f t="shared" si="18"/>
        <v>2.1752319771591719</v>
      </c>
      <c r="AR55" s="1">
        <f t="shared" si="19"/>
        <v>19.588366149844138</v>
      </c>
      <c r="AS55" s="1" t="e">
        <f t="shared" si="7"/>
        <v>#N/A</v>
      </c>
      <c r="AT55" s="1" t="e">
        <f t="shared" si="8"/>
        <v>#N/A</v>
      </c>
    </row>
    <row r="56" spans="25:46" s="10" customFormat="1" x14ac:dyDescent="0.25">
      <c r="Y56" s="1">
        <f t="shared" si="9"/>
        <v>0.64927006930863407</v>
      </c>
      <c r="Z56" s="1">
        <f t="shared" si="10"/>
        <v>6.5682942300766749</v>
      </c>
      <c r="AA56" s="1">
        <f t="shared" si="11"/>
        <v>3.0967927568449287</v>
      </c>
      <c r="AB56" s="1">
        <f t="shared" si="12"/>
        <v>8.8414616561860893</v>
      </c>
      <c r="AC56" s="1">
        <f t="shared" si="13"/>
        <v>0.74704441369703911</v>
      </c>
      <c r="AD56" s="1">
        <f t="shared" si="20"/>
        <v>8.8729656583266916</v>
      </c>
      <c r="AE56" s="1">
        <f t="shared" si="24"/>
        <v>0.3151164525325349</v>
      </c>
      <c r="AF56" s="1">
        <f t="shared" si="4"/>
        <v>0.2890698715195209</v>
      </c>
      <c r="AG56" s="1">
        <f t="shared" si="21"/>
        <v>-2.68348430514127</v>
      </c>
      <c r="AH56" s="1">
        <f t="shared" si="22"/>
        <v>-6.5455992685934321</v>
      </c>
      <c r="AI56" s="1" t="b">
        <f t="shared" si="23"/>
        <v>0</v>
      </c>
      <c r="AJ56" s="1">
        <f t="shared" si="15"/>
        <v>6.5682942300766749</v>
      </c>
      <c r="AK56" s="1">
        <f t="shared" si="16"/>
        <v>3.0967927568449287</v>
      </c>
      <c r="AL56" s="1">
        <f t="shared" si="5"/>
        <v>6.5682942300766749</v>
      </c>
      <c r="AM56" s="1">
        <f t="shared" si="6"/>
        <v>3.0967927568449287</v>
      </c>
      <c r="AN56" s="1"/>
      <c r="AP56" s="1">
        <f t="shared" si="17"/>
        <v>5.0999999999999979</v>
      </c>
      <c r="AQ56" s="1">
        <f t="shared" si="18"/>
        <v>2.1881113490364021</v>
      </c>
      <c r="AR56" s="1">
        <f t="shared" si="19"/>
        <v>19.581856565460438</v>
      </c>
      <c r="AS56" s="1" t="e">
        <f t="shared" si="7"/>
        <v>#N/A</v>
      </c>
      <c r="AT56" s="1" t="e">
        <f t="shared" si="8"/>
        <v>#N/A</v>
      </c>
    </row>
    <row r="57" spans="25:46" s="10" customFormat="1" x14ac:dyDescent="0.25">
      <c r="Y57" s="1">
        <f t="shared" si="9"/>
        <v>0.66200085498135242</v>
      </c>
      <c r="Z57" s="1">
        <f t="shared" si="10"/>
        <v>6.6808529834551367</v>
      </c>
      <c r="AA57" s="1">
        <f t="shared" si="11"/>
        <v>3.1063032191637072</v>
      </c>
      <c r="AB57" s="1">
        <f t="shared" si="12"/>
        <v>8.8072987926412321</v>
      </c>
      <c r="AC57" s="1">
        <f t="shared" si="13"/>
        <v>0.66371379230907435</v>
      </c>
      <c r="AD57" s="1">
        <f t="shared" si="20"/>
        <v>8.8322719625791066</v>
      </c>
      <c r="AE57" s="1">
        <f t="shared" si="24"/>
        <v>0.31656831600534768</v>
      </c>
      <c r="AF57" s="1">
        <f t="shared" si="4"/>
        <v>0.28994098960320858</v>
      </c>
      <c r="AG57" s="1">
        <f t="shared" si="21"/>
        <v>-2.6303298292326738</v>
      </c>
      <c r="AH57" s="1">
        <f t="shared" si="22"/>
        <v>-6.5410549259917374</v>
      </c>
      <c r="AI57" s="1" t="b">
        <f t="shared" si="23"/>
        <v>0</v>
      </c>
      <c r="AJ57" s="1">
        <f t="shared" si="15"/>
        <v>6.6808529834551367</v>
      </c>
      <c r="AK57" s="1">
        <f t="shared" si="16"/>
        <v>3.1063032191637072</v>
      </c>
      <c r="AL57" s="1">
        <f t="shared" si="5"/>
        <v>6.6808529834551367</v>
      </c>
      <c r="AM57" s="1">
        <f t="shared" si="6"/>
        <v>3.1063032191637072</v>
      </c>
      <c r="AN57" s="1"/>
      <c r="AP57" s="1">
        <f t="shared" si="17"/>
        <v>5.1999999999999975</v>
      </c>
      <c r="AQ57" s="1">
        <f t="shared" si="18"/>
        <v>2.2007309064953602</v>
      </c>
      <c r="AR57" s="1">
        <f t="shared" si="19"/>
        <v>19.575474886775336</v>
      </c>
      <c r="AS57" s="1" t="e">
        <f t="shared" si="7"/>
        <v>#N/A</v>
      </c>
      <c r="AT57" s="1" t="e">
        <f t="shared" si="8"/>
        <v>#N/A</v>
      </c>
    </row>
    <row r="58" spans="25:46" s="10" customFormat="1" x14ac:dyDescent="0.25">
      <c r="Y58" s="1">
        <f t="shared" si="9"/>
        <v>0.67473164065407076</v>
      </c>
      <c r="Z58" s="1">
        <f t="shared" si="10"/>
        <v>6.7929768167398432</v>
      </c>
      <c r="AA58" s="1">
        <f t="shared" si="11"/>
        <v>3.1147528172016212</v>
      </c>
      <c r="AB58" s="1">
        <f t="shared" si="12"/>
        <v>8.7738126273367136</v>
      </c>
      <c r="AC58" s="1">
        <f t="shared" si="13"/>
        <v>0.58044102397279518</v>
      </c>
      <c r="AD58" s="1">
        <f t="shared" si="20"/>
        <v>8.7929915160839176</v>
      </c>
      <c r="AE58" s="1">
        <f t="shared" si="24"/>
        <v>0.31798250420013607</v>
      </c>
      <c r="AF58" s="1">
        <f t="shared" si="4"/>
        <v>0.29078950252008162</v>
      </c>
      <c r="AG58" s="1">
        <f t="shared" si="21"/>
        <v>-2.5779578675989345</v>
      </c>
      <c r="AH58" s="1">
        <f t="shared" si="22"/>
        <v>-6.5362627574014915</v>
      </c>
      <c r="AI58" s="1" t="b">
        <f t="shared" si="23"/>
        <v>0</v>
      </c>
      <c r="AJ58" s="1">
        <f t="shared" si="15"/>
        <v>6.7929768167398432</v>
      </c>
      <c r="AK58" s="1">
        <f t="shared" si="16"/>
        <v>3.1147528172016212</v>
      </c>
      <c r="AL58" s="1">
        <f t="shared" si="5"/>
        <v>6.7929768167398432</v>
      </c>
      <c r="AM58" s="1">
        <f t="shared" si="6"/>
        <v>3.1147528172016212</v>
      </c>
      <c r="AN58" s="1"/>
      <c r="AP58" s="1">
        <f t="shared" si="17"/>
        <v>5.2999999999999972</v>
      </c>
      <c r="AQ58" s="1">
        <f t="shared" si="18"/>
        <v>2.2130906495360456</v>
      </c>
      <c r="AR58" s="1">
        <f t="shared" si="19"/>
        <v>19.569221238921987</v>
      </c>
      <c r="AS58" s="1" t="e">
        <f t="shared" si="7"/>
        <v>#N/A</v>
      </c>
      <c r="AT58" s="1" t="e">
        <f t="shared" si="8"/>
        <v>#N/A</v>
      </c>
    </row>
    <row r="59" spans="25:46" s="10" customFormat="1" x14ac:dyDescent="0.25">
      <c r="Y59" s="1">
        <f t="shared" si="9"/>
        <v>0.68746242632678911</v>
      </c>
      <c r="Z59" s="1">
        <f t="shared" si="10"/>
        <v>6.9046743448310561</v>
      </c>
      <c r="AA59" s="1">
        <f t="shared" si="11"/>
        <v>3.1221422874734719</v>
      </c>
      <c r="AB59" s="1">
        <f t="shared" si="12"/>
        <v>8.7409931982510134</v>
      </c>
      <c r="AC59" s="1">
        <f t="shared" si="13"/>
        <v>0.49722926370774601</v>
      </c>
      <c r="AD59" s="1">
        <f t="shared" si="20"/>
        <v>8.7551241586032251</v>
      </c>
      <c r="AE59" s="1">
        <f t="shared" si="24"/>
        <v>0.31935783103057513</v>
      </c>
      <c r="AF59" s="1">
        <f t="shared" si="4"/>
        <v>0.2916146986183451</v>
      </c>
      <c r="AG59" s="1">
        <f t="shared" si="21"/>
        <v>-2.5263547015352068</v>
      </c>
      <c r="AH59" s="1">
        <f t="shared" si="22"/>
        <v>-6.531219909544518</v>
      </c>
      <c r="AI59" s="1" t="b">
        <f t="shared" si="23"/>
        <v>0</v>
      </c>
      <c r="AJ59" s="1">
        <f t="shared" si="15"/>
        <v>6.9046743448310561</v>
      </c>
      <c r="AK59" s="1">
        <f t="shared" si="16"/>
        <v>3.1221422874734719</v>
      </c>
      <c r="AL59" s="1">
        <f t="shared" si="5"/>
        <v>6.9046743448310561</v>
      </c>
      <c r="AM59" s="1">
        <f t="shared" si="6"/>
        <v>3.1221422874734719</v>
      </c>
      <c r="AN59" s="1"/>
      <c r="AP59" s="1">
        <f t="shared" si="17"/>
        <v>5.3999999999999968</v>
      </c>
      <c r="AQ59" s="1">
        <f t="shared" si="18"/>
        <v>2.225190578158458</v>
      </c>
      <c r="AR59" s="1">
        <f t="shared" si="19"/>
        <v>19.563095744681533</v>
      </c>
      <c r="AS59" s="1" t="e">
        <f t="shared" si="7"/>
        <v>#N/A</v>
      </c>
      <c r="AT59" s="1" t="e">
        <f t="shared" si="8"/>
        <v>#N/A</v>
      </c>
    </row>
    <row r="60" spans="25:46" s="10" customFormat="1" x14ac:dyDescent="0.25">
      <c r="Y60" s="1">
        <f t="shared" si="9"/>
        <v>0.70019321199950746</v>
      </c>
      <c r="Z60" s="1">
        <f t="shared" si="10"/>
        <v>7.015954055804678</v>
      </c>
      <c r="AA60" s="1">
        <f t="shared" si="11"/>
        <v>3.1284724066599385</v>
      </c>
      <c r="AB60" s="1">
        <f t="shared" si="12"/>
        <v>8.7088307180125053</v>
      </c>
      <c r="AC60" s="1">
        <f t="shared" si="13"/>
        <v>0.41408170285794405</v>
      </c>
      <c r="AD60" s="1">
        <f t="shared" si="20"/>
        <v>8.7186694014419395</v>
      </c>
      <c r="AE60" s="1">
        <f t="shared" si="24"/>
        <v>0.32069313939492822</v>
      </c>
      <c r="AF60" s="1">
        <f t="shared" si="4"/>
        <v>0.29241588363695692</v>
      </c>
      <c r="AG60" s="1">
        <f t="shared" si="21"/>
        <v>-2.475506804702436</v>
      </c>
      <c r="AH60" s="1">
        <f t="shared" si="22"/>
        <v>-6.5259234030247981</v>
      </c>
      <c r="AI60" s="1" t="b">
        <f t="shared" si="23"/>
        <v>0</v>
      </c>
      <c r="AJ60" s="1">
        <f t="shared" si="15"/>
        <v>7.015954055804678</v>
      </c>
      <c r="AK60" s="1">
        <f t="shared" si="16"/>
        <v>3.1284724066599385</v>
      </c>
      <c r="AL60" s="1">
        <f t="shared" si="5"/>
        <v>7.015954055804678</v>
      </c>
      <c r="AM60" s="1">
        <f t="shared" si="6"/>
        <v>3.1284724066599385</v>
      </c>
      <c r="AN60" s="1"/>
      <c r="AP60" s="1">
        <f t="shared" si="17"/>
        <v>5.4999999999999964</v>
      </c>
      <c r="AQ60" s="1">
        <f t="shared" si="18"/>
        <v>2.2370306923625978</v>
      </c>
      <c r="AR60" s="1">
        <f t="shared" si="19"/>
        <v>19.557098524471275</v>
      </c>
      <c r="AS60" s="1" t="e">
        <f t="shared" si="7"/>
        <v>#N/A</v>
      </c>
      <c r="AT60" s="1" t="e">
        <f t="shared" si="8"/>
        <v>#N/A</v>
      </c>
    </row>
    <row r="61" spans="25:46" s="10" customFormat="1" x14ac:dyDescent="0.25">
      <c r="Y61" s="1">
        <f t="shared" si="9"/>
        <v>0.71292399767222581</v>
      </c>
      <c r="Z61" s="1">
        <f t="shared" si="10"/>
        <v>7.126824313135681</v>
      </c>
      <c r="AA61" s="1">
        <f t="shared" si="11"/>
        <v>3.1337439920700172</v>
      </c>
      <c r="AB61" s="1">
        <f t="shared" si="12"/>
        <v>8.6773155714504835</v>
      </c>
      <c r="AC61" s="1">
        <f t="shared" si="13"/>
        <v>0.33100157069745884</v>
      </c>
      <c r="AD61" s="1">
        <f t="shared" si="20"/>
        <v>8.68362640642383</v>
      </c>
      <c r="AE61" s="1">
        <f t="shared" si="24"/>
        <v>0.32198730470791825</v>
      </c>
      <c r="AF61" s="1">
        <f t="shared" si="4"/>
        <v>0.29319238282475096</v>
      </c>
      <c r="AG61" s="1">
        <f t="shared" si="21"/>
        <v>-2.4254008364171002</v>
      </c>
      <c r="AH61" s="1">
        <f t="shared" si="22"/>
        <v>-6.5203701434325883</v>
      </c>
      <c r="AI61" s="1" t="b">
        <f t="shared" si="23"/>
        <v>0</v>
      </c>
      <c r="AJ61" s="1">
        <f t="shared" si="15"/>
        <v>7.126824313135681</v>
      </c>
      <c r="AK61" s="1">
        <f t="shared" si="16"/>
        <v>3.1337439920700172</v>
      </c>
      <c r="AL61" s="1">
        <f t="shared" si="5"/>
        <v>7.126824313135681</v>
      </c>
      <c r="AM61" s="1">
        <f t="shared" si="6"/>
        <v>3.1337439920700172</v>
      </c>
      <c r="AN61" s="1"/>
      <c r="AP61" s="1">
        <f t="shared" si="17"/>
        <v>5.5999999999999961</v>
      </c>
      <c r="AQ61" s="1">
        <f t="shared" si="18"/>
        <v>2.2486109921484649</v>
      </c>
      <c r="AR61" s="1">
        <f t="shared" si="19"/>
        <v>19.551229696333028</v>
      </c>
      <c r="AS61" s="1" t="e">
        <f t="shared" si="7"/>
        <v>#N/A</v>
      </c>
      <c r="AT61" s="1" t="e">
        <f t="shared" si="8"/>
        <v>#N/A</v>
      </c>
    </row>
    <row r="62" spans="25:46" s="10" customFormat="1" x14ac:dyDescent="0.25">
      <c r="Y62" s="1">
        <f t="shared" si="9"/>
        <v>0.72565478334494415</v>
      </c>
      <c r="Z62" s="1">
        <f t="shared" si="10"/>
        <v>7.2372933578903584</v>
      </c>
      <c r="AA62" s="1">
        <f t="shared" si="11"/>
        <v>3.1379579021238997</v>
      </c>
      <c r="AB62" s="1">
        <f t="shared" si="12"/>
        <v>8.6464383132316254</v>
      </c>
      <c r="AC62" s="1">
        <f t="shared" si="13"/>
        <v>0.24799213589462699</v>
      </c>
      <c r="AD62" s="1">
        <f t="shared" si="20"/>
        <v>8.6499939655461802</v>
      </c>
      <c r="AE62" s="1">
        <f t="shared" si="24"/>
        <v>0.32323923841238983</v>
      </c>
      <c r="AF62" s="1">
        <f t="shared" si="4"/>
        <v>0.29394354304743386</v>
      </c>
      <c r="AG62" s="1">
        <f t="shared" si="21"/>
        <v>-2.376023635402813</v>
      </c>
      <c r="AH62" s="1">
        <f t="shared" si="22"/>
        <v>-6.5145569325398167</v>
      </c>
      <c r="AI62" s="1" t="b">
        <f t="shared" si="23"/>
        <v>0</v>
      </c>
      <c r="AJ62" s="1">
        <f t="shared" si="15"/>
        <v>7.2372933578903584</v>
      </c>
      <c r="AK62" s="1">
        <f t="shared" si="16"/>
        <v>3.1379579021238997</v>
      </c>
      <c r="AL62" s="1">
        <f t="shared" si="5"/>
        <v>7.2372933578903584</v>
      </c>
      <c r="AM62" s="1">
        <f t="shared" si="6"/>
        <v>3.1379579021238997</v>
      </c>
      <c r="AN62" s="1"/>
      <c r="AP62" s="1">
        <f t="shared" si="17"/>
        <v>5.6999999999999957</v>
      </c>
      <c r="AQ62" s="1">
        <f t="shared" si="18"/>
        <v>2.2599314775160591</v>
      </c>
      <c r="AR62" s="1">
        <f t="shared" si="19"/>
        <v>19.545489375921758</v>
      </c>
      <c r="AS62" s="1" t="e">
        <f t="shared" si="7"/>
        <v>#N/A</v>
      </c>
      <c r="AT62" s="1" t="e">
        <f t="shared" si="8"/>
        <v>#N/A</v>
      </c>
    </row>
    <row r="63" spans="25:46" s="10" customFormat="1" x14ac:dyDescent="0.25">
      <c r="Y63" s="1">
        <f t="shared" si="9"/>
        <v>0.7383855690176625</v>
      </c>
      <c r="Z63" s="1">
        <f t="shared" si="10"/>
        <v>7.3473693108884905</v>
      </c>
      <c r="AA63" s="1">
        <f t="shared" si="11"/>
        <v>3.1411150368544938</v>
      </c>
      <c r="AB63" s="1">
        <f t="shared" si="12"/>
        <v>8.616189665576</v>
      </c>
      <c r="AC63" s="1">
        <f t="shared" si="13"/>
        <v>0.16505670783374132</v>
      </c>
      <c r="AD63" s="1">
        <f t="shared" si="20"/>
        <v>8.6177704813936398</v>
      </c>
      <c r="AE63" s="1">
        <f t="shared" si="24"/>
        <v>0.32444789145077713</v>
      </c>
      <c r="AF63" s="1">
        <f t="shared" si="4"/>
        <v>0.2946687348704663</v>
      </c>
      <c r="AG63" s="1">
        <f t="shared" si="21"/>
        <v>-2.3273622140048933</v>
      </c>
      <c r="AH63" s="1">
        <f t="shared" si="22"/>
        <v>-6.5084804795730289</v>
      </c>
      <c r="AI63" s="1" t="b">
        <f t="shared" si="23"/>
        <v>0</v>
      </c>
      <c r="AJ63" s="1">
        <f t="shared" si="15"/>
        <v>7.3473693108884905</v>
      </c>
      <c r="AK63" s="1">
        <f t="shared" si="16"/>
        <v>3.1411150368544938</v>
      </c>
      <c r="AL63" s="1">
        <f t="shared" si="5"/>
        <v>7.3473693108884905</v>
      </c>
      <c r="AM63" s="1">
        <f t="shared" si="6"/>
        <v>3.1411150368544938</v>
      </c>
      <c r="AN63" s="1"/>
      <c r="AP63" s="1">
        <f t="shared" si="17"/>
        <v>5.7999999999999954</v>
      </c>
      <c r="AQ63" s="1">
        <f t="shared" si="18"/>
        <v>2.2709921484653814</v>
      </c>
      <c r="AR63" s="1">
        <f t="shared" si="19"/>
        <v>19.539877676494427</v>
      </c>
      <c r="AS63" s="1" t="e">
        <f t="shared" si="7"/>
        <v>#N/A</v>
      </c>
      <c r="AT63" s="1" t="e">
        <f t="shared" si="8"/>
        <v>#N/A</v>
      </c>
    </row>
    <row r="64" spans="25:46" s="10" customFormat="1" x14ac:dyDescent="0.25">
      <c r="Y64" s="1">
        <f t="shared" si="9"/>
        <v>0.75111635469038085</v>
      </c>
      <c r="Z64" s="1">
        <f t="shared" si="10"/>
        <v>7.4570601748364291</v>
      </c>
      <c r="AA64" s="1">
        <f t="shared" si="11"/>
        <v>3.1432163384257694</v>
      </c>
      <c r="AB64" s="1">
        <f t="shared" si="12"/>
        <v>8.5865605160467204</v>
      </c>
      <c r="AC64" s="1">
        <f t="shared" si="13"/>
        <v>8.2198637793226198E-2</v>
      </c>
      <c r="AD64" s="1">
        <f t="shared" si="20"/>
        <v>8.5869539483909882</v>
      </c>
      <c r="AE64" s="1">
        <f t="shared" si="24"/>
        <v>0.32561225767593982</v>
      </c>
      <c r="AF64" s="1">
        <f t="shared" si="4"/>
        <v>0.2953673546055639</v>
      </c>
      <c r="AG64" s="1">
        <f t="shared" si="21"/>
        <v>-2.2794037528679842</v>
      </c>
      <c r="AH64" s="1">
        <f t="shared" si="22"/>
        <v>-6.5021374125483264</v>
      </c>
      <c r="AI64" s="1" t="b">
        <f t="shared" si="23"/>
        <v>0</v>
      </c>
      <c r="AJ64" s="1">
        <f t="shared" si="15"/>
        <v>7.4570601748364291</v>
      </c>
      <c r="AK64" s="1">
        <f t="shared" si="16"/>
        <v>3.1432163384257694</v>
      </c>
      <c r="AL64" s="1">
        <f t="shared" si="5"/>
        <v>7.4570601748364291</v>
      </c>
      <c r="AM64" s="1">
        <f t="shared" si="6"/>
        <v>3.1432163384257694</v>
      </c>
      <c r="AN64" s="1"/>
      <c r="AP64" s="1">
        <f t="shared" si="17"/>
        <v>5.899999999999995</v>
      </c>
      <c r="AQ64" s="1">
        <f t="shared" si="18"/>
        <v>2.2817930049964308</v>
      </c>
      <c r="AR64" s="1">
        <f t="shared" si="19"/>
        <v>19.534394708898901</v>
      </c>
      <c r="AS64" s="1" t="e">
        <f t="shared" si="7"/>
        <v>#N/A</v>
      </c>
      <c r="AT64" s="1" t="e">
        <f t="shared" si="8"/>
        <v>#N/A</v>
      </c>
    </row>
    <row r="65" spans="25:46" s="10" customFormat="1" x14ac:dyDescent="0.25">
      <c r="Y65" s="1">
        <f t="shared" si="9"/>
        <v>0.7638471403630992</v>
      </c>
      <c r="Z65" s="1">
        <f t="shared" si="10"/>
        <v>7.5663738364320459</v>
      </c>
      <c r="AA65" s="1">
        <f t="shared" si="11"/>
        <v>3.1442627916661046</v>
      </c>
      <c r="AB65" s="1">
        <f t="shared" si="12"/>
        <v>8.5575419154073682</v>
      </c>
      <c r="AC65" s="1">
        <f t="shared" si="13"/>
        <v>-5.7868002048976075E-4</v>
      </c>
      <c r="AD65" s="1">
        <f t="shared" si="20"/>
        <v>8.5575419349731838</v>
      </c>
      <c r="AE65" s="1">
        <f t="shared" si="24"/>
        <v>0.3267313771806456</v>
      </c>
      <c r="AF65" s="1">
        <f t="shared" si="4"/>
        <v>0.29603882630838735</v>
      </c>
      <c r="AG65" s="1">
        <f t="shared" si="21"/>
        <v>-2.2321355960757865</v>
      </c>
      <c r="AH65" s="1">
        <f t="shared" si="22"/>
        <v>-6.4955242896510335</v>
      </c>
      <c r="AI65" s="1" t="b">
        <f t="shared" si="23"/>
        <v>0</v>
      </c>
      <c r="AJ65" s="1">
        <f t="shared" si="15"/>
        <v>7.5663738364320459</v>
      </c>
      <c r="AK65" s="1">
        <f t="shared" si="16"/>
        <v>3.1442627916661046</v>
      </c>
      <c r="AL65" s="1">
        <f t="shared" si="5"/>
        <v>7.5663738364320459</v>
      </c>
      <c r="AM65" s="1">
        <f t="shared" si="6"/>
        <v>3.1442627916661046</v>
      </c>
      <c r="AN65" s="1"/>
      <c r="AP65" s="1">
        <f t="shared" si="17"/>
        <v>5.9999999999999947</v>
      </c>
      <c r="AQ65" s="1">
        <f t="shared" si="18"/>
        <v>2.2923340471092075</v>
      </c>
      <c r="AR65" s="1">
        <f t="shared" si="19"/>
        <v>19.52904058156334</v>
      </c>
      <c r="AS65" s="1" t="e">
        <f t="shared" si="7"/>
        <v>#N/A</v>
      </c>
      <c r="AT65" s="1" t="e">
        <f t="shared" si="8"/>
        <v>#N/A</v>
      </c>
    </row>
    <row r="66" spans="25:46" s="10" customFormat="1" x14ac:dyDescent="0.25">
      <c r="Y66" s="1">
        <f t="shared" si="9"/>
        <v>0.77657792603581755</v>
      </c>
      <c r="Z66" s="1">
        <f t="shared" si="10"/>
        <v>7.6753180684424001</v>
      </c>
      <c r="AA66" s="1">
        <f t="shared" si="11"/>
        <v>3.1442554246147907</v>
      </c>
      <c r="AB66" s="1">
        <f t="shared" si="12"/>
        <v>8.5291250755412822</v>
      </c>
      <c r="AC66" s="1">
        <f t="shared" si="13"/>
        <v>-8.3271807583972929E-2</v>
      </c>
      <c r="AD66" s="1">
        <f t="shared" si="20"/>
        <v>8.5295315667488687</v>
      </c>
      <c r="AE66" s="1">
        <f t="shared" si="24"/>
        <v>0.32780433952490196</v>
      </c>
      <c r="AF66" s="1">
        <f t="shared" si="4"/>
        <v>0.29668260371494115</v>
      </c>
      <c r="AG66" s="1">
        <f t="shared" si="21"/>
        <v>-2.185545246750745</v>
      </c>
      <c r="AH66" s="1">
        <f t="shared" si="22"/>
        <v>-6.4886376106412307</v>
      </c>
      <c r="AI66" s="1" t="b">
        <f t="shared" si="23"/>
        <v>0</v>
      </c>
      <c r="AJ66" s="1">
        <f t="shared" si="15"/>
        <v>7.6753180684424001</v>
      </c>
      <c r="AK66" s="1">
        <f t="shared" si="16"/>
        <v>3.1442554246147907</v>
      </c>
      <c r="AL66" s="1">
        <f t="shared" si="5"/>
        <v>7.6753180684424001</v>
      </c>
      <c r="AM66" s="1">
        <f t="shared" si="6"/>
        <v>3.1442554246147907</v>
      </c>
      <c r="AN66" s="1"/>
      <c r="AP66" s="1">
        <f t="shared" si="17"/>
        <v>6.0999999999999943</v>
      </c>
      <c r="AQ66" s="1">
        <f t="shared" si="18"/>
        <v>2.3026152748037112</v>
      </c>
      <c r="AR66" s="1">
        <f t="shared" si="19"/>
        <v>19.523815400485535</v>
      </c>
      <c r="AS66" s="1" t="e">
        <f t="shared" si="7"/>
        <v>#N/A</v>
      </c>
      <c r="AT66" s="1" t="e">
        <f t="shared" si="8"/>
        <v>#N/A</v>
      </c>
    </row>
    <row r="67" spans="25:46" s="10" customFormat="1" x14ac:dyDescent="0.25">
      <c r="Y67" s="1">
        <f t="shared" si="9"/>
        <v>0.78930871170853589</v>
      </c>
      <c r="Z67" s="1">
        <f t="shared" si="10"/>
        <v>7.7839005317549237</v>
      </c>
      <c r="AA67" s="1">
        <f t="shared" si="11"/>
        <v>3.1431953090798594</v>
      </c>
      <c r="AB67" s="1">
        <f t="shared" si="12"/>
        <v>8.5013013674268709</v>
      </c>
      <c r="AC67" s="1">
        <f t="shared" si="13"/>
        <v>-0.1658772623129855</v>
      </c>
      <c r="AD67" s="1">
        <f t="shared" si="20"/>
        <v>8.5029195107307967</v>
      </c>
      <c r="AE67" s="1">
        <f t="shared" si="24"/>
        <v>0.32883028684045573</v>
      </c>
      <c r="AF67" s="1">
        <f t="shared" si="4"/>
        <v>0.29729817210427345</v>
      </c>
      <c r="AG67" s="1">
        <f t="shared" si="21"/>
        <v>-2.1396203631102488</v>
      </c>
      <c r="AH67" s="1">
        <f t="shared" si="22"/>
        <v>-6.4814738282648241</v>
      </c>
      <c r="AI67" s="1" t="b">
        <f t="shared" si="23"/>
        <v>0</v>
      </c>
      <c r="AJ67" s="1">
        <f t="shared" si="15"/>
        <v>7.7839005317549237</v>
      </c>
      <c r="AK67" s="1">
        <f t="shared" si="16"/>
        <v>3.1431953090798594</v>
      </c>
      <c r="AL67" s="1">
        <f t="shared" si="5"/>
        <v>7.7839005317549237</v>
      </c>
      <c r="AM67" s="1">
        <f t="shared" si="6"/>
        <v>3.1431953090798594</v>
      </c>
      <c r="AN67" s="1"/>
      <c r="AP67" s="1">
        <f t="shared" si="17"/>
        <v>6.199999999999994</v>
      </c>
      <c r="AQ67" s="1">
        <f t="shared" si="18"/>
        <v>2.3126366880799423</v>
      </c>
      <c r="AR67" s="1">
        <f t="shared" si="19"/>
        <v>19.51871926922264</v>
      </c>
      <c r="AS67" s="1" t="e">
        <f t="shared" si="7"/>
        <v>#N/A</v>
      </c>
      <c r="AT67" s="1" t="e">
        <f t="shared" si="8"/>
        <v>#N/A</v>
      </c>
    </row>
    <row r="68" spans="25:46" s="10" customFormat="1" x14ac:dyDescent="0.25">
      <c r="Y68" s="1">
        <f t="shared" si="9"/>
        <v>0.80203949738125424</v>
      </c>
      <c r="Z68" s="1">
        <f t="shared" si="10"/>
        <v>7.8921287774028226</v>
      </c>
      <c r="AA68" s="1">
        <f t="shared" si="11"/>
        <v>3.1410835612053756</v>
      </c>
      <c r="AB68" s="1">
        <f t="shared" si="12"/>
        <v>8.4740623191631315</v>
      </c>
      <c r="AC68" s="1">
        <f t="shared" si="13"/>
        <v>-0.24839151646395802</v>
      </c>
      <c r="AD68" s="1">
        <f t="shared" si="20"/>
        <v>8.4777019607032482</v>
      </c>
      <c r="AE68" s="1">
        <f t="shared" si="24"/>
        <v>0.3298084167921112</v>
      </c>
      <c r="AF68" s="1">
        <f t="shared" si="4"/>
        <v>0.29788505007526672</v>
      </c>
      <c r="AG68" s="1">
        <f t="shared" si="21"/>
        <v>-2.0943487549745368</v>
      </c>
      <c r="AH68" s="1">
        <f t="shared" si="22"/>
        <v>-6.4740293596484833</v>
      </c>
      <c r="AI68" s="1" t="b">
        <f t="shared" si="23"/>
        <v>0</v>
      </c>
      <c r="AJ68" s="1">
        <f t="shared" si="15"/>
        <v>7.8921287774028226</v>
      </c>
      <c r="AK68" s="1">
        <f t="shared" si="16"/>
        <v>3.1410835612053756</v>
      </c>
      <c r="AL68" s="1">
        <f t="shared" si="5"/>
        <v>7.8921287774028226</v>
      </c>
      <c r="AM68" s="1">
        <f t="shared" si="6"/>
        <v>3.1410835612053756</v>
      </c>
      <c r="AN68" s="1"/>
      <c r="AP68" s="1">
        <f t="shared" si="17"/>
        <v>6.2999999999999936</v>
      </c>
      <c r="AQ68" s="1">
        <f t="shared" si="18"/>
        <v>2.3223982869379007</v>
      </c>
      <c r="AR68" s="1">
        <f t="shared" si="19"/>
        <v>19.51375228888099</v>
      </c>
      <c r="AS68" s="1" t="e">
        <f t="shared" si="7"/>
        <v>#N/A</v>
      </c>
      <c r="AT68" s="1" t="e">
        <f t="shared" si="8"/>
        <v>#N/A</v>
      </c>
    </row>
    <row r="69" spans="25:46" s="10" customFormat="1" x14ac:dyDescent="0.25">
      <c r="Y69" s="1">
        <f t="shared" si="9"/>
        <v>0.81477028305397259</v>
      </c>
      <c r="Z69" s="1">
        <f t="shared" si="10"/>
        <v>8.0000102485653475</v>
      </c>
      <c r="AA69" s="1">
        <f t="shared" si="11"/>
        <v>3.1379213420463516</v>
      </c>
      <c r="AB69" s="1">
        <f t="shared" si="12"/>
        <v>8.447399614039627</v>
      </c>
      <c r="AC69" s="1">
        <f t="shared" si="13"/>
        <v>-0.33081099668052866</v>
      </c>
      <c r="AD69" s="1">
        <f t="shared" si="20"/>
        <v>8.45387462379243</v>
      </c>
      <c r="AE69" s="1">
        <f t="shared" ref="AE69:AE100" si="25">IFERROR($V$9*($D$13*2*PI())/AD69, 0)</f>
        <v>0.33073798537606114</v>
      </c>
      <c r="AF69" s="1">
        <f t="shared" si="4"/>
        <v>0.29844279122563666</v>
      </c>
      <c r="AG69" s="1">
        <f t="shared" si="21"/>
        <v>-2.0497183807200714</v>
      </c>
      <c r="AH69" s="1">
        <f t="shared" si="22"/>
        <v>-6.4663005976556134</v>
      </c>
      <c r="AI69" s="1" t="b">
        <f t="shared" si="23"/>
        <v>0</v>
      </c>
      <c r="AJ69" s="1">
        <f t="shared" si="15"/>
        <v>8.0000102485653475</v>
      </c>
      <c r="AK69" s="1">
        <f t="shared" si="16"/>
        <v>3.1379213420463516</v>
      </c>
      <c r="AL69" s="1">
        <f t="shared" si="5"/>
        <v>8.0000102485653475</v>
      </c>
      <c r="AM69" s="1">
        <f t="shared" si="6"/>
        <v>3.1379213420463516</v>
      </c>
      <c r="AN69" s="1"/>
      <c r="AP69" s="1">
        <f t="shared" si="17"/>
        <v>6.3999999999999932</v>
      </c>
      <c r="AQ69" s="1">
        <f t="shared" si="18"/>
        <v>2.3319000713775866</v>
      </c>
      <c r="AR69" s="1">
        <f t="shared" si="19"/>
        <v>19.50891455810628</v>
      </c>
      <c r="AS69" s="1" t="e">
        <f t="shared" si="7"/>
        <v>#N/A</v>
      </c>
      <c r="AT69" s="1" t="e">
        <f t="shared" si="8"/>
        <v>#N/A</v>
      </c>
    </row>
    <row r="70" spans="25:46" s="10" customFormat="1" x14ac:dyDescent="0.25">
      <c r="Y70" s="1">
        <f t="shared" si="9"/>
        <v>0.82750106872669094</v>
      </c>
      <c r="Z70" s="1">
        <f t="shared" si="10"/>
        <v>8.1075522825434891</v>
      </c>
      <c r="AA70" s="1">
        <f t="shared" si="11"/>
        <v>3.1337098581494334</v>
      </c>
      <c r="AB70" s="1">
        <f t="shared" si="12"/>
        <v>8.4213050886452478</v>
      </c>
      <c r="AC70" s="1">
        <f t="shared" si="13"/>
        <v>-0.4131320836846526</v>
      </c>
      <c r="AD70" s="1">
        <f t="shared" si="20"/>
        <v>8.431432708301239</v>
      </c>
      <c r="AE70" s="1">
        <f t="shared" si="25"/>
        <v>0.33161830953618027</v>
      </c>
      <c r="AF70" s="1">
        <f t="shared" ref="AF70:AF105" si="26">IF(AE70&gt;0.1, 0.6*AE70+0.1, 1.6*AE70)</f>
        <v>0.29897098572170816</v>
      </c>
      <c r="AG70" s="1">
        <f t="shared" si="21"/>
        <v>-2.0057173446706087</v>
      </c>
      <c r="AH70" s="1">
        <f t="shared" si="22"/>
        <v>-6.4582839221795254</v>
      </c>
      <c r="AI70" s="1" t="b">
        <f t="shared" si="23"/>
        <v>0</v>
      </c>
      <c r="AJ70" s="1">
        <f t="shared" si="15"/>
        <v>8.1075522825434891</v>
      </c>
      <c r="AK70" s="1">
        <f t="shared" si="16"/>
        <v>3.1337098581494334</v>
      </c>
      <c r="AL70" s="1">
        <f t="shared" ref="AL70:AL105" si="27">IF($I$3="Forward", AJ70, NA())</f>
        <v>8.1075522825434891</v>
      </c>
      <c r="AM70" s="1">
        <f t="shared" ref="AM70:AM105" si="28">IF($I$3="Forward", AK70, NA())</f>
        <v>3.1337098581494334</v>
      </c>
      <c r="AN70" s="1"/>
      <c r="AP70" s="1">
        <f t="shared" si="17"/>
        <v>6.4999999999999929</v>
      </c>
      <c r="AQ70" s="1">
        <f t="shared" si="18"/>
        <v>2.3411420413989998</v>
      </c>
      <c r="AR70" s="1">
        <f t="shared" si="19"/>
        <v>19.504206173073857</v>
      </c>
      <c r="AS70" s="1" t="e">
        <f t="shared" ref="AS70:AS105" si="29">IF($I$3="Forward", NA(), AP70)</f>
        <v>#N/A</v>
      </c>
      <c r="AT70" s="1" t="e">
        <f t="shared" ref="AT70:AT105" si="30">IF($I$3="Forward", NA(), AQ70)</f>
        <v>#N/A</v>
      </c>
    </row>
    <row r="71" spans="25:46" s="10" customFormat="1" x14ac:dyDescent="0.25">
      <c r="Y71" s="1">
        <f t="shared" ref="Y71:Y105" si="31">Y70+$V$4</f>
        <v>0.84023185439940928</v>
      </c>
      <c r="Z71" s="1">
        <f t="shared" ref="Z71:Z105" si="32">Z70+AB70*$V$4</f>
        <v>8.2147621127116039</v>
      </c>
      <c r="AA71" s="1">
        <f t="shared" ref="AA71:AA105" si="33">AA70+AC70*$V$4</f>
        <v>3.1284503621375204</v>
      </c>
      <c r="AB71" s="1">
        <f t="shared" ref="AB71:AB105" si="34">AB70+AG70*$V$4</f>
        <v>8.3957707310101934</v>
      </c>
      <c r="AC71" s="1">
        <f t="shared" ref="AC71:AC105" si="35">AC70+AH70*$V$4</f>
        <v>-0.49535111211148275</v>
      </c>
      <c r="AD71" s="1">
        <f t="shared" si="20"/>
        <v>8.4103709128645168</v>
      </c>
      <c r="AE71" s="1">
        <f t="shared" si="25"/>
        <v>0.33244876958020037</v>
      </c>
      <c r="AF71" s="1">
        <f t="shared" si="26"/>
        <v>0.29946926174812022</v>
      </c>
      <c r="AG71" s="1">
        <f t="shared" si="21"/>
        <v>-1.9623338949166884</v>
      </c>
      <c r="AH71" s="1">
        <f t="shared" si="22"/>
        <v>-6.4499757113491576</v>
      </c>
      <c r="AI71" s="1" t="b">
        <f t="shared" si="23"/>
        <v>0</v>
      </c>
      <c r="AJ71" s="1">
        <f t="shared" ref="AJ71:AJ105" si="36">IF(AI71,NA(),Z71)*IF($B$4,1,3.281)</f>
        <v>8.2147621127116039</v>
      </c>
      <c r="AK71" s="1">
        <f t="shared" ref="AK71:AK105" si="37">IF(AI71, NA(), AA71)*IF($B$4, 1, 3.281)</f>
        <v>3.1284503621375204</v>
      </c>
      <c r="AL71" s="1">
        <f t="shared" si="27"/>
        <v>8.2147621127116039</v>
      </c>
      <c r="AM71" s="1">
        <f t="shared" si="28"/>
        <v>3.1284503621375204</v>
      </c>
      <c r="AN71" s="1"/>
      <c r="AP71" s="1">
        <f t="shared" ref="AP71:AP105" si="38">AP70+$G$8/100</f>
        <v>6.5999999999999925</v>
      </c>
      <c r="AQ71" s="1">
        <f t="shared" ref="AQ71:AQ105" si="39">$G$7 + AP71*TAN(RADIANS($G$13)) - (IF($B$4, 9.8, 32.2)*AP71^2)/(2*($G$12*COS(RADIANS($G$13)))^2)</f>
        <v>2.3501241970021409</v>
      </c>
      <c r="AR71" s="1">
        <f t="shared" ref="AR71:AR105" si="40">SQRT(1+((AQ71-AQ70)/(AP71-AP70))^2)*($G$12*COS(RADIANS($G$13)))</f>
        <v>19.499627227479305</v>
      </c>
      <c r="AS71" s="1" t="e">
        <f t="shared" si="29"/>
        <v>#N/A</v>
      </c>
      <c r="AT71" s="1" t="e">
        <f t="shared" si="30"/>
        <v>#N/A</v>
      </c>
    </row>
    <row r="72" spans="25:46" s="10" customFormat="1" x14ac:dyDescent="0.25">
      <c r="Y72" s="1">
        <f t="shared" si="31"/>
        <v>0.85296264007212763</v>
      </c>
      <c r="Z72" s="1">
        <f t="shared" si="32"/>
        <v>8.3216468704453757</v>
      </c>
      <c r="AA72" s="1">
        <f t="shared" si="33"/>
        <v>3.1221441532964862</v>
      </c>
      <c r="AB72" s="1">
        <f t="shared" si="34"/>
        <v>8.370788678775698</v>
      </c>
      <c r="AC72" s="1">
        <f t="shared" si="35"/>
        <v>-0.57746437048690769</v>
      </c>
      <c r="AD72" s="1">
        <f t="shared" si="20"/>
        <v>8.3906834169751168</v>
      </c>
      <c r="AE72" s="1">
        <f t="shared" si="25"/>
        <v>0.33322881137885829</v>
      </c>
      <c r="AF72" s="1">
        <f t="shared" si="26"/>
        <v>0.29993728682731496</v>
      </c>
      <c r="AG72" s="1">
        <f t="shared" si="21"/>
        <v>-1.9195564215526661</v>
      </c>
      <c r="AH72" s="1">
        <f t="shared" si="22"/>
        <v>-6.4413723526220643</v>
      </c>
      <c r="AI72" s="1" t="b">
        <f t="shared" si="23"/>
        <v>0</v>
      </c>
      <c r="AJ72" s="1">
        <f t="shared" si="36"/>
        <v>8.3216468704453757</v>
      </c>
      <c r="AK72" s="1">
        <f t="shared" si="37"/>
        <v>3.1221441532964862</v>
      </c>
      <c r="AL72" s="1">
        <f t="shared" si="27"/>
        <v>8.3216468704453757</v>
      </c>
      <c r="AM72" s="1">
        <f t="shared" si="28"/>
        <v>3.1221441532964862</v>
      </c>
      <c r="AN72" s="1"/>
      <c r="AP72" s="1">
        <f t="shared" si="38"/>
        <v>6.6999999999999922</v>
      </c>
      <c r="AQ72" s="1">
        <f t="shared" si="39"/>
        <v>2.3588465381870085</v>
      </c>
      <c r="AR72" s="1">
        <f t="shared" si="40"/>
        <v>19.495177812529157</v>
      </c>
      <c r="AS72" s="1" t="e">
        <f t="shared" si="29"/>
        <v>#N/A</v>
      </c>
      <c r="AT72" s="1" t="e">
        <f t="shared" si="30"/>
        <v>#N/A</v>
      </c>
    </row>
    <row r="73" spans="25:46" s="10" customFormat="1" x14ac:dyDescent="0.25">
      <c r="Y73" s="1">
        <f t="shared" si="31"/>
        <v>0.86569342574484598</v>
      </c>
      <c r="Z73" s="1">
        <f t="shared" si="32"/>
        <v>8.4282135870264856</v>
      </c>
      <c r="AA73" s="1">
        <f t="shared" si="33"/>
        <v>3.1147925781621861</v>
      </c>
      <c r="AB73" s="1">
        <f t="shared" si="34"/>
        <v>8.3463512173862213</v>
      </c>
      <c r="AC73" s="1">
        <f t="shared" si="35"/>
        <v>-0.65946810134631251</v>
      </c>
      <c r="AD73" s="1">
        <f t="shared" si="20"/>
        <v>8.3723638729248844</v>
      </c>
      <c r="AE73" s="1">
        <f t="shared" si="25"/>
        <v>0.33395794833247339</v>
      </c>
      <c r="AF73" s="1">
        <f t="shared" si="26"/>
        <v>0.30037476899948401</v>
      </c>
      <c r="AG73" s="1">
        <f t="shared" si="21"/>
        <v>-1.8773734553188741</v>
      </c>
      <c r="AH73" s="1">
        <f t="shared" si="22"/>
        <v>-6.432470253738952</v>
      </c>
      <c r="AI73" s="1" t="b">
        <f t="shared" si="23"/>
        <v>0</v>
      </c>
      <c r="AJ73" s="1">
        <f t="shared" si="36"/>
        <v>8.4282135870264856</v>
      </c>
      <c r="AK73" s="1">
        <f t="shared" si="37"/>
        <v>3.1147925781621861</v>
      </c>
      <c r="AL73" s="1">
        <f t="shared" si="27"/>
        <v>8.4282135870264856</v>
      </c>
      <c r="AM73" s="1">
        <f t="shared" si="28"/>
        <v>3.1147925781621861</v>
      </c>
      <c r="AN73" s="1"/>
      <c r="AP73" s="1">
        <f t="shared" si="38"/>
        <v>6.7999999999999918</v>
      </c>
      <c r="AQ73" s="1">
        <f t="shared" si="39"/>
        <v>2.3673090649536039</v>
      </c>
      <c r="AR73" s="1">
        <f t="shared" si="40"/>
        <v>19.490858016932069</v>
      </c>
      <c r="AS73" s="1" t="e">
        <f t="shared" si="29"/>
        <v>#N/A</v>
      </c>
      <c r="AT73" s="1" t="e">
        <f t="shared" si="30"/>
        <v>#N/A</v>
      </c>
    </row>
    <row r="74" spans="25:46" s="10" customFormat="1" x14ac:dyDescent="0.25">
      <c r="Y74" s="1">
        <f t="shared" si="31"/>
        <v>0.87842421141756433</v>
      </c>
      <c r="Z74" s="1">
        <f t="shared" si="32"/>
        <v>8.5344691955242613</v>
      </c>
      <c r="AA74" s="1">
        <f t="shared" si="33"/>
        <v>3.1063970311059519</v>
      </c>
      <c r="AB74" s="1">
        <f t="shared" si="34"/>
        <v>8.3224507782989061</v>
      </c>
      <c r="AC74" s="1">
        <f t="shared" si="35"/>
        <v>-0.74135850149279903</v>
      </c>
      <c r="AD74" s="1">
        <f t="shared" si="20"/>
        <v>8.3554053991977977</v>
      </c>
      <c r="AE74" s="1">
        <f t="shared" si="25"/>
        <v>0.33463576309096393</v>
      </c>
      <c r="AF74" s="1">
        <f t="shared" si="26"/>
        <v>0.30078145785457833</v>
      </c>
      <c r="AG74" s="1">
        <f t="shared" si="21"/>
        <v>-1.8357736666348852</v>
      </c>
      <c r="AH74" s="1">
        <f t="shared" si="22"/>
        <v>-6.423265853513862</v>
      </c>
      <c r="AI74" s="1" t="b">
        <f t="shared" si="23"/>
        <v>0</v>
      </c>
      <c r="AJ74" s="1">
        <f t="shared" si="36"/>
        <v>8.5344691955242613</v>
      </c>
      <c r="AK74" s="1">
        <f t="shared" si="37"/>
        <v>3.1063970311059519</v>
      </c>
      <c r="AL74" s="1">
        <f t="shared" si="27"/>
        <v>8.5344691955242613</v>
      </c>
      <c r="AM74" s="1">
        <f t="shared" si="28"/>
        <v>3.1063970311059519</v>
      </c>
      <c r="AN74" s="1"/>
      <c r="AP74" s="1">
        <f t="shared" si="38"/>
        <v>6.8999999999999915</v>
      </c>
      <c r="AQ74" s="1">
        <f t="shared" si="39"/>
        <v>2.3755117773019268</v>
      </c>
      <c r="AR74" s="1">
        <f t="shared" si="40"/>
        <v>19.486667926889883</v>
      </c>
      <c r="AS74" s="1" t="e">
        <f t="shared" si="29"/>
        <v>#N/A</v>
      </c>
      <c r="AT74" s="1" t="e">
        <f t="shared" si="30"/>
        <v>#N/A</v>
      </c>
    </row>
    <row r="75" spans="25:46" s="10" customFormat="1" x14ac:dyDescent="0.25">
      <c r="Y75" s="1">
        <f t="shared" si="31"/>
        <v>0.89115499709028267</v>
      </c>
      <c r="Z75" s="1">
        <f t="shared" si="32"/>
        <v>8.6404205326545327</v>
      </c>
      <c r="AA75" s="1">
        <f t="shared" si="33"/>
        <v>3.0969589549167993</v>
      </c>
      <c r="AB75" s="1">
        <f t="shared" si="34"/>
        <v>8.2990799372053576</v>
      </c>
      <c r="AC75" s="1">
        <f t="shared" si="35"/>
        <v>-0.8231317223927741</v>
      </c>
      <c r="AD75" s="1">
        <f t="shared" si="20"/>
        <v>8.3398005753455386</v>
      </c>
      <c r="AE75" s="1">
        <f t="shared" si="25"/>
        <v>0.33526190901502095</v>
      </c>
      <c r="AF75" s="1">
        <f t="shared" si="26"/>
        <v>0.30115714540901256</v>
      </c>
      <c r="AG75" s="1">
        <f t="shared" si="21"/>
        <v>-1.7947458650083714</v>
      </c>
      <c r="AH75" s="1">
        <f t="shared" si="22"/>
        <v>-6.4137556324340208</v>
      </c>
      <c r="AI75" s="1" t="b">
        <f t="shared" si="23"/>
        <v>0</v>
      </c>
      <c r="AJ75" s="1">
        <f t="shared" si="36"/>
        <v>8.6404205326545327</v>
      </c>
      <c r="AK75" s="1">
        <f t="shared" si="37"/>
        <v>3.0969589549167993</v>
      </c>
      <c r="AL75" s="1">
        <f t="shared" si="27"/>
        <v>8.6404205326545327</v>
      </c>
      <c r="AM75" s="1">
        <f t="shared" si="28"/>
        <v>3.0969589549167993</v>
      </c>
      <c r="AN75" s="1"/>
      <c r="AP75" s="1">
        <f t="shared" si="38"/>
        <v>6.9999999999999911</v>
      </c>
      <c r="AQ75" s="1">
        <f t="shared" si="39"/>
        <v>2.3834546752319765</v>
      </c>
      <c r="AR75" s="1">
        <f t="shared" si="40"/>
        <v>19.482607626089241</v>
      </c>
      <c r="AS75" s="1" t="e">
        <f t="shared" si="29"/>
        <v>#N/A</v>
      </c>
      <c r="AT75" s="1" t="e">
        <f t="shared" si="30"/>
        <v>#N/A</v>
      </c>
    </row>
    <row r="76" spans="25:46" s="10" customFormat="1" x14ac:dyDescent="0.25">
      <c r="Y76" s="1">
        <f t="shared" si="31"/>
        <v>0.90388578276300102</v>
      </c>
      <c r="Z76" s="1">
        <f t="shared" si="32"/>
        <v>8.7460743406158503</v>
      </c>
      <c r="AA76" s="1">
        <f t="shared" si="33"/>
        <v>3.0864798413786012</v>
      </c>
      <c r="AB76" s="1">
        <f t="shared" si="34"/>
        <v>8.2762314122609393</v>
      </c>
      <c r="AC76" s="1">
        <f t="shared" si="35"/>
        <v>-0.90478387070648147</v>
      </c>
      <c r="AD76" s="1">
        <f t="shared" si="20"/>
        <v>8.3255414383681572</v>
      </c>
      <c r="AE76" s="1">
        <f t="shared" si="25"/>
        <v>0.33583611136802494</v>
      </c>
      <c r="AF76" s="1">
        <f t="shared" si="26"/>
        <v>0.30150166682081497</v>
      </c>
      <c r="AG76" s="1">
        <f t="shared" si="21"/>
        <v>-1.754278998802526</v>
      </c>
      <c r="AH76" s="1">
        <f t="shared" si="22"/>
        <v>-6.4039361230436356</v>
      </c>
      <c r="AI76" s="1" t="b">
        <f t="shared" si="23"/>
        <v>0</v>
      </c>
      <c r="AJ76" s="1">
        <f t="shared" si="36"/>
        <v>8.7460743406158503</v>
      </c>
      <c r="AK76" s="1">
        <f t="shared" si="37"/>
        <v>3.0864798413786012</v>
      </c>
      <c r="AL76" s="1">
        <f t="shared" si="27"/>
        <v>8.7460743406158503</v>
      </c>
      <c r="AM76" s="1">
        <f t="shared" si="28"/>
        <v>3.0864798413786012</v>
      </c>
      <c r="AN76" s="1"/>
      <c r="AP76" s="1">
        <f t="shared" si="38"/>
        <v>7.0999999999999908</v>
      </c>
      <c r="AQ76" s="1">
        <f t="shared" si="39"/>
        <v>2.3911377587437537</v>
      </c>
      <c r="AR76" s="1">
        <f t="shared" si="40"/>
        <v>19.478677195693262</v>
      </c>
      <c r="AS76" s="1" t="e">
        <f t="shared" si="29"/>
        <v>#N/A</v>
      </c>
      <c r="AT76" s="1" t="e">
        <f t="shared" si="30"/>
        <v>#N/A</v>
      </c>
    </row>
    <row r="77" spans="25:46" s="10" customFormat="1" x14ac:dyDescent="0.25">
      <c r="Y77" s="1">
        <f t="shared" si="31"/>
        <v>0.91661656843571937</v>
      </c>
      <c r="Z77" s="1">
        <f t="shared" si="32"/>
        <v>8.8514372689031635</v>
      </c>
      <c r="AA77" s="1">
        <f t="shared" si="33"/>
        <v>3.0749612318405046</v>
      </c>
      <c r="AB77" s="1">
        <f t="shared" si="34"/>
        <v>8.2538980623170328</v>
      </c>
      <c r="AC77" s="1">
        <f t="shared" si="35"/>
        <v>-0.98631100895072865</v>
      </c>
      <c r="AD77" s="1">
        <f t="shared" si="20"/>
        <v>8.312619480614897</v>
      </c>
      <c r="AE77" s="1">
        <f t="shared" si="25"/>
        <v>0.33635816823027359</v>
      </c>
      <c r="AF77" s="1">
        <f t="shared" si="26"/>
        <v>0.30181490093816415</v>
      </c>
      <c r="AG77" s="1">
        <f t="shared" si="21"/>
        <v>-1.7143621553436013</v>
      </c>
      <c r="AH77" s="1">
        <f t="shared" si="22"/>
        <v>-6.3938039200862633</v>
      </c>
      <c r="AI77" s="1" t="b">
        <f t="shared" si="23"/>
        <v>0</v>
      </c>
      <c r="AJ77" s="1">
        <f t="shared" si="36"/>
        <v>8.8514372689031635</v>
      </c>
      <c r="AK77" s="1">
        <f t="shared" si="37"/>
        <v>3.0749612318405046</v>
      </c>
      <c r="AL77" s="1">
        <f t="shared" si="27"/>
        <v>8.8514372689031635</v>
      </c>
      <c r="AM77" s="1">
        <f t="shared" si="28"/>
        <v>3.0749612318405046</v>
      </c>
      <c r="AN77" s="1"/>
      <c r="AP77" s="1">
        <f t="shared" si="38"/>
        <v>7.1999999999999904</v>
      </c>
      <c r="AQ77" s="1">
        <f t="shared" si="39"/>
        <v>2.3985610278372582</v>
      </c>
      <c r="AR77" s="1">
        <f t="shared" si="40"/>
        <v>19.474876714333497</v>
      </c>
      <c r="AS77" s="1" t="e">
        <f t="shared" si="29"/>
        <v>#N/A</v>
      </c>
      <c r="AT77" s="1" t="e">
        <f t="shared" si="30"/>
        <v>#N/A</v>
      </c>
    </row>
    <row r="78" spans="25:46" s="10" customFormat="1" x14ac:dyDescent="0.25">
      <c r="Y78" s="1">
        <f t="shared" si="31"/>
        <v>0.92934735410843772</v>
      </c>
      <c r="Z78" s="1">
        <f t="shared" si="32"/>
        <v>8.9565158760989867</v>
      </c>
      <c r="AA78" s="1">
        <f t="shared" si="33"/>
        <v>3.0624047177789104</v>
      </c>
      <c r="AB78" s="1">
        <f t="shared" si="34"/>
        <v>8.2320728851519345</v>
      </c>
      <c r="AC78" s="1">
        <f t="shared" si="35"/>
        <v>-1.067709156290733</v>
      </c>
      <c r="AD78" s="1">
        <f t="shared" si="20"/>
        <v>8.3010256492123169</v>
      </c>
      <c r="AE78" s="1">
        <f t="shared" si="25"/>
        <v>0.33682795112917507</v>
      </c>
      <c r="AF78" s="1">
        <f t="shared" si="26"/>
        <v>0.30209677067750507</v>
      </c>
      <c r="AG78" s="1">
        <f t="shared" si="21"/>
        <v>-1.6749845613488046</v>
      </c>
      <c r="AH78" s="1">
        <f t="shared" si="22"/>
        <v>-6.3833556903810367</v>
      </c>
      <c r="AI78" s="1" t="b">
        <f t="shared" si="23"/>
        <v>0</v>
      </c>
      <c r="AJ78" s="1">
        <f t="shared" si="36"/>
        <v>8.9565158760989867</v>
      </c>
      <c r="AK78" s="1">
        <f t="shared" si="37"/>
        <v>3.0624047177789104</v>
      </c>
      <c r="AL78" s="1">
        <f t="shared" si="27"/>
        <v>8.9565158760989867</v>
      </c>
      <c r="AM78" s="1">
        <f t="shared" si="28"/>
        <v>3.0624047177789104</v>
      </c>
      <c r="AN78" s="1"/>
      <c r="AP78" s="1">
        <f t="shared" si="38"/>
        <v>7.2999999999999901</v>
      </c>
      <c r="AQ78" s="1">
        <f t="shared" si="39"/>
        <v>2.4057244825124902</v>
      </c>
      <c r="AR78" s="1">
        <f t="shared" si="40"/>
        <v>19.471206258102129</v>
      </c>
      <c r="AS78" s="1" t="e">
        <f t="shared" si="29"/>
        <v>#N/A</v>
      </c>
      <c r="AT78" s="1" t="e">
        <f t="shared" si="30"/>
        <v>#N/A</v>
      </c>
    </row>
    <row r="79" spans="25:46" s="10" customFormat="1" x14ac:dyDescent="0.25">
      <c r="Y79" s="1">
        <f t="shared" si="31"/>
        <v>0.94207813978115607</v>
      </c>
      <c r="Z79" s="1">
        <f t="shared" si="32"/>
        <v>9.0613166316420521</v>
      </c>
      <c r="AA79" s="1">
        <f t="shared" si="33"/>
        <v>3.0488119413493742</v>
      </c>
      <c r="AB79" s="1">
        <f t="shared" si="34"/>
        <v>8.2107490156962903</v>
      </c>
      <c r="AC79" s="1">
        <f t="shared" si="35"/>
        <v>-1.1489742894577009</v>
      </c>
      <c r="AD79" s="1">
        <f t="shared" si="20"/>
        <v>8.2907503470188058</v>
      </c>
      <c r="AE79" s="1">
        <f t="shared" si="25"/>
        <v>0.33724540538122816</v>
      </c>
      <c r="AF79" s="1">
        <f t="shared" si="26"/>
        <v>0.30234724322873691</v>
      </c>
      <c r="AG79" s="1">
        <f t="shared" si="21"/>
        <v>-1.6361355836535001</v>
      </c>
      <c r="AH79" s="1">
        <f t="shared" si="22"/>
        <v>-6.3725881824087951</v>
      </c>
      <c r="AI79" s="1" t="b">
        <f t="shared" si="23"/>
        <v>0</v>
      </c>
      <c r="AJ79" s="1">
        <f t="shared" si="36"/>
        <v>9.0613166316420521</v>
      </c>
      <c r="AK79" s="1">
        <f t="shared" si="37"/>
        <v>3.0488119413493742</v>
      </c>
      <c r="AL79" s="1">
        <f t="shared" si="27"/>
        <v>9.0613166316420521</v>
      </c>
      <c r="AM79" s="1">
        <f t="shared" si="28"/>
        <v>3.0488119413493742</v>
      </c>
      <c r="AN79" s="1"/>
      <c r="AP79" s="1">
        <f t="shared" si="38"/>
        <v>7.3999999999999897</v>
      </c>
      <c r="AQ79" s="1">
        <f t="shared" si="39"/>
        <v>2.4126281227694499</v>
      </c>
      <c r="AR79" s="1">
        <f t="shared" si="40"/>
        <v>19.467665900544429</v>
      </c>
      <c r="AS79" s="1" t="e">
        <f t="shared" si="29"/>
        <v>#N/A</v>
      </c>
      <c r="AT79" s="1" t="e">
        <f t="shared" si="30"/>
        <v>#N/A</v>
      </c>
    </row>
    <row r="80" spans="25:46" s="10" customFormat="1" x14ac:dyDescent="0.25">
      <c r="Y80" s="1">
        <f t="shared" si="31"/>
        <v>0.95480892545387441</v>
      </c>
      <c r="Z80" s="1">
        <f t="shared" si="32"/>
        <v>9.165845917573364</v>
      </c>
      <c r="AA80" s="1">
        <f t="shared" si="33"/>
        <v>3.0341845959268245</v>
      </c>
      <c r="AB80" s="1">
        <f t="shared" si="34"/>
        <v>8.1899197242492896</v>
      </c>
      <c r="AC80" s="1">
        <f t="shared" si="35"/>
        <v>-1.2301023437884449</v>
      </c>
      <c r="AD80" s="1">
        <f t="shared" si="20"/>
        <v>8.2817834350966564</v>
      </c>
      <c r="AE80" s="1">
        <f t="shared" si="25"/>
        <v>0.33761055014381486</v>
      </c>
      <c r="AF80" s="1">
        <f t="shared" si="26"/>
        <v>0.30256633008628891</v>
      </c>
      <c r="AG80" s="1">
        <f t="shared" si="21"/>
        <v>-1.5978047302155902</v>
      </c>
      <c r="AH80" s="1">
        <f t="shared" si="22"/>
        <v>-6.3614982355851808</v>
      </c>
      <c r="AI80" s="1" t="b">
        <f t="shared" si="23"/>
        <v>0</v>
      </c>
      <c r="AJ80" s="1">
        <f t="shared" si="36"/>
        <v>9.165845917573364</v>
      </c>
      <c r="AK80" s="1">
        <f t="shared" si="37"/>
        <v>3.0341845959268245</v>
      </c>
      <c r="AL80" s="1">
        <f t="shared" si="27"/>
        <v>9.165845917573364</v>
      </c>
      <c r="AM80" s="1">
        <f t="shared" si="28"/>
        <v>3.0341845959268245</v>
      </c>
      <c r="AN80" s="1"/>
      <c r="AP80" s="1">
        <f t="shared" si="38"/>
        <v>7.4999999999999893</v>
      </c>
      <c r="AQ80" s="1">
        <f t="shared" si="39"/>
        <v>2.4192719486081362</v>
      </c>
      <c r="AR80" s="1">
        <f t="shared" si="40"/>
        <v>19.464255712651394</v>
      </c>
      <c r="AS80" s="1" t="e">
        <f t="shared" si="29"/>
        <v>#N/A</v>
      </c>
      <c r="AT80" s="1" t="e">
        <f t="shared" si="30"/>
        <v>#N/A</v>
      </c>
    </row>
    <row r="81" spans="25:46" s="10" customFormat="1" x14ac:dyDescent="0.25">
      <c r="Y81" s="1">
        <f t="shared" si="31"/>
        <v>0.96753971112659276</v>
      </c>
      <c r="Z81" s="1">
        <f t="shared" si="32"/>
        <v>9.2701100302595503</v>
      </c>
      <c r="AA81" s="1">
        <f t="shared" si="33"/>
        <v>3.0185244266325455</v>
      </c>
      <c r="AB81" s="1">
        <f t="shared" si="34"/>
        <v>8.1695784146820589</v>
      </c>
      <c r="AC81" s="1">
        <f t="shared" si="35"/>
        <v>-1.3110892143830555</v>
      </c>
      <c r="AD81" s="1">
        <f t="shared" si="20"/>
        <v>8.2741142366848308</v>
      </c>
      <c r="AE81" s="1">
        <f t="shared" si="25"/>
        <v>0.33792347817706569</v>
      </c>
      <c r="AF81" s="1">
        <f t="shared" si="26"/>
        <v>0.30275408690623939</v>
      </c>
      <c r="AG81" s="1">
        <f t="shared" si="21"/>
        <v>-1.5599816513739242</v>
      </c>
      <c r="AH81" s="1">
        <f t="shared" si="22"/>
        <v>-6.35008278919892</v>
      </c>
      <c r="AI81" s="1" t="b">
        <f t="shared" si="23"/>
        <v>0</v>
      </c>
      <c r="AJ81" s="1">
        <f t="shared" si="36"/>
        <v>9.2701100302595503</v>
      </c>
      <c r="AK81" s="1">
        <f t="shared" si="37"/>
        <v>3.0185244266325455</v>
      </c>
      <c r="AL81" s="1">
        <f t="shared" si="27"/>
        <v>9.2701100302595503</v>
      </c>
      <c r="AM81" s="1">
        <f t="shared" si="28"/>
        <v>3.0185244266325455</v>
      </c>
      <c r="AN81" s="1"/>
      <c r="AP81" s="1">
        <f t="shared" si="38"/>
        <v>7.599999999999989</v>
      </c>
      <c r="AQ81" s="1">
        <f t="shared" si="39"/>
        <v>2.4256559600285508</v>
      </c>
      <c r="AR81" s="1">
        <f t="shared" si="40"/>
        <v>19.46097576285279</v>
      </c>
      <c r="AS81" s="1" t="e">
        <f t="shared" si="29"/>
        <v>#N/A</v>
      </c>
      <c r="AT81" s="1" t="e">
        <f t="shared" si="30"/>
        <v>#N/A</v>
      </c>
    </row>
    <row r="82" spans="25:46" s="10" customFormat="1" x14ac:dyDescent="0.25">
      <c r="Y82" s="1">
        <f t="shared" si="31"/>
        <v>0.98027049679931111</v>
      </c>
      <c r="Z82" s="1">
        <f t="shared" si="32"/>
        <v>9.3741151820933339</v>
      </c>
      <c r="AA82" s="1">
        <f t="shared" si="33"/>
        <v>3.0018332308464224</v>
      </c>
      <c r="AB82" s="1">
        <f t="shared" si="34"/>
        <v>8.1497186226250449</v>
      </c>
      <c r="AC82" s="1">
        <f t="shared" si="35"/>
        <v>-1.3919307573763642</v>
      </c>
      <c r="AD82" s="1">
        <f t="shared" si="20"/>
        <v>8.267731542647704</v>
      </c>
      <c r="AE82" s="1">
        <f t="shared" si="25"/>
        <v>0.33818435531827912</v>
      </c>
      <c r="AF82" s="1">
        <f t="shared" si="26"/>
        <v>0.30291061319096746</v>
      </c>
      <c r="AG82" s="1">
        <f t="shared" si="21"/>
        <v>-1.5226561413367072</v>
      </c>
      <c r="AH82" s="1">
        <f t="shared" si="22"/>
        <v>-6.3383388909948666</v>
      </c>
      <c r="AI82" s="1" t="b">
        <f t="shared" si="23"/>
        <v>0</v>
      </c>
      <c r="AJ82" s="1">
        <f t="shared" si="36"/>
        <v>9.3741151820933339</v>
      </c>
      <c r="AK82" s="1">
        <f t="shared" si="37"/>
        <v>3.0018332308464224</v>
      </c>
      <c r="AL82" s="1">
        <f t="shared" si="27"/>
        <v>9.3741151820933339</v>
      </c>
      <c r="AM82" s="1">
        <f t="shared" si="28"/>
        <v>3.0018332308464224</v>
      </c>
      <c r="AN82" s="1"/>
      <c r="AP82" s="1">
        <f t="shared" si="38"/>
        <v>7.6999999999999886</v>
      </c>
      <c r="AQ82" s="1">
        <f t="shared" si="39"/>
        <v>2.4317801570306918</v>
      </c>
      <c r="AR82" s="1">
        <f t="shared" si="40"/>
        <v>19.457826117010146</v>
      </c>
      <c r="AS82" s="1" t="e">
        <f t="shared" si="29"/>
        <v>#N/A</v>
      </c>
      <c r="AT82" s="1" t="e">
        <f t="shared" si="30"/>
        <v>#N/A</v>
      </c>
    </row>
    <row r="83" spans="25:46" s="10" customFormat="1" x14ac:dyDescent="0.25">
      <c r="Y83" s="1">
        <f t="shared" si="31"/>
        <v>0.99300128247202946</v>
      </c>
      <c r="Z83" s="1">
        <f t="shared" si="32"/>
        <v>9.4778675031709341</v>
      </c>
      <c r="AA83" s="1">
        <f t="shared" si="33"/>
        <v>2.9841128587029995</v>
      </c>
      <c r="AB83" s="1">
        <f t="shared" si="34"/>
        <v>8.130334013636439</v>
      </c>
      <c r="AC83" s="1">
        <f t="shared" si="35"/>
        <v>-1.4726227913186749</v>
      </c>
      <c r="AD83" s="1">
        <f t="shared" si="20"/>
        <v>8.2626236183675221</v>
      </c>
      <c r="AE83" s="1">
        <f t="shared" si="25"/>
        <v>0.33839341967356062</v>
      </c>
      <c r="AF83" s="1">
        <f t="shared" si="26"/>
        <v>0.3030360518041364</v>
      </c>
      <c r="AG83" s="1">
        <f t="shared" si="21"/>
        <v>-1.4858181398752137</v>
      </c>
      <c r="AH83" s="1">
        <f t="shared" si="22"/>
        <v>-6.3262637053828517</v>
      </c>
      <c r="AI83" s="1" t="b">
        <f t="shared" si="23"/>
        <v>0</v>
      </c>
      <c r="AJ83" s="1">
        <f t="shared" si="36"/>
        <v>9.4778675031709341</v>
      </c>
      <c r="AK83" s="1">
        <f t="shared" si="37"/>
        <v>2.9841128587029995</v>
      </c>
      <c r="AL83" s="1">
        <f t="shared" si="27"/>
        <v>9.4778675031709341</v>
      </c>
      <c r="AM83" s="1">
        <f t="shared" si="28"/>
        <v>2.9841128587029995</v>
      </c>
      <c r="AN83" s="1"/>
      <c r="AP83" s="1">
        <f t="shared" si="38"/>
        <v>7.7999999999999883</v>
      </c>
      <c r="AQ83" s="1">
        <f t="shared" si="39"/>
        <v>2.4376445396145607</v>
      </c>
      <c r="AR83" s="1">
        <f t="shared" si="40"/>
        <v>19.454806838410388</v>
      </c>
      <c r="AS83" s="1" t="e">
        <f t="shared" si="29"/>
        <v>#N/A</v>
      </c>
      <c r="AT83" s="1" t="e">
        <f t="shared" si="30"/>
        <v>#N/A</v>
      </c>
    </row>
    <row r="84" spans="25:46" s="10" customFormat="1" x14ac:dyDescent="0.25">
      <c r="Y84" s="1">
        <f t="shared" si="31"/>
        <v>1.0057320681447477</v>
      </c>
      <c r="Z84" s="1">
        <f t="shared" si="32"/>
        <v>9.5813730429461508</v>
      </c>
      <c r="AA84" s="1">
        <f t="shared" si="33"/>
        <v>2.9653652135699611</v>
      </c>
      <c r="AB84" s="1">
        <f t="shared" si="34"/>
        <v>8.1114183813490506</v>
      </c>
      <c r="AC84" s="1">
        <f t="shared" si="35"/>
        <v>-1.5531610986610007</v>
      </c>
      <c r="AD84" s="1">
        <f t="shared" si="20"/>
        <v>8.2587782120408768</v>
      </c>
      <c r="AE84" s="1">
        <f t="shared" si="25"/>
        <v>0.33855098053347221</v>
      </c>
      <c r="AF84" s="1">
        <f t="shared" si="26"/>
        <v>0.30313058832008333</v>
      </c>
      <c r="AG84" s="1">
        <f t="shared" si="21"/>
        <v>-1.4494577341975095</v>
      </c>
      <c r="AH84" s="1">
        <f t="shared" si="22"/>
        <v>-6.3138545212549948</v>
      </c>
      <c r="AI84" s="1" t="b">
        <f t="shared" si="23"/>
        <v>0</v>
      </c>
      <c r="AJ84" s="1">
        <f t="shared" si="36"/>
        <v>9.5813730429461508</v>
      </c>
      <c r="AK84" s="1">
        <f t="shared" si="37"/>
        <v>2.9653652135699611</v>
      </c>
      <c r="AL84" s="1">
        <f t="shared" si="27"/>
        <v>9.5813730429461508</v>
      </c>
      <c r="AM84" s="1">
        <f t="shared" si="28"/>
        <v>2.9653652135699611</v>
      </c>
      <c r="AN84" s="1"/>
      <c r="AP84" s="1">
        <f t="shared" si="38"/>
        <v>7.8999999999999879</v>
      </c>
      <c r="AQ84" s="1">
        <f t="shared" si="39"/>
        <v>2.4432491077801561</v>
      </c>
      <c r="AR84" s="1">
        <f t="shared" si="40"/>
        <v>19.451917987759316</v>
      </c>
      <c r="AS84" s="1" t="e">
        <f t="shared" si="29"/>
        <v>#N/A</v>
      </c>
      <c r="AT84" s="1" t="e">
        <f t="shared" si="30"/>
        <v>#N/A</v>
      </c>
    </row>
    <row r="85" spans="25:46" s="10" customFormat="1" x14ac:dyDescent="0.25">
      <c r="Y85" s="1">
        <f t="shared" si="31"/>
        <v>1.018462853817466</v>
      </c>
      <c r="Z85" s="1">
        <f t="shared" si="32"/>
        <v>9.684637771860853</v>
      </c>
      <c r="AA85" s="1">
        <f t="shared" si="33"/>
        <v>2.9455922525077041</v>
      </c>
      <c r="AB85" s="1">
        <f t="shared" si="34"/>
        <v>8.0929656455933188</v>
      </c>
      <c r="AC85" s="1">
        <f t="shared" si="35"/>
        <v>-1.6335414273398214</v>
      </c>
      <c r="AD85" s="1">
        <f t="shared" si="20"/>
        <v>8.2561825643325673</v>
      </c>
      <c r="AE85" s="1">
        <f t="shared" si="25"/>
        <v>0.33865741702151259</v>
      </c>
      <c r="AF85" s="1">
        <f t="shared" si="26"/>
        <v>0.30319445021290758</v>
      </c>
      <c r="AG85" s="1">
        <f t="shared" si="21"/>
        <v>-1.4135651609765358</v>
      </c>
      <c r="AH85" s="1">
        <f t="shared" si="22"/>
        <v>-6.3011087593959001</v>
      </c>
      <c r="AI85" s="1" t="b">
        <f t="shared" si="23"/>
        <v>0</v>
      </c>
      <c r="AJ85" s="1">
        <f t="shared" si="36"/>
        <v>9.684637771860853</v>
      </c>
      <c r="AK85" s="1">
        <f t="shared" si="37"/>
        <v>2.9455922525077041</v>
      </c>
      <c r="AL85" s="1">
        <f t="shared" si="27"/>
        <v>9.684637771860853</v>
      </c>
      <c r="AM85" s="1">
        <f t="shared" si="28"/>
        <v>2.9455922525077041</v>
      </c>
      <c r="AN85" s="1"/>
      <c r="AP85" s="1">
        <f t="shared" si="38"/>
        <v>7.9999999999999876</v>
      </c>
      <c r="AQ85" s="1">
        <f t="shared" si="39"/>
        <v>2.4485938615274798</v>
      </c>
      <c r="AR85" s="1">
        <f t="shared" si="40"/>
        <v>19.44915962317571</v>
      </c>
      <c r="AS85" s="1" t="e">
        <f t="shared" si="29"/>
        <v>#N/A</v>
      </c>
      <c r="AT85" s="1" t="e">
        <f t="shared" si="30"/>
        <v>#N/A</v>
      </c>
    </row>
    <row r="86" spans="25:46" s="10" customFormat="1" x14ac:dyDescent="0.25">
      <c r="Y86" s="1">
        <f t="shared" si="31"/>
        <v>1.0311936394901844</v>
      </c>
      <c r="Z86" s="1">
        <f t="shared" si="32"/>
        <v>9.787667582951574</v>
      </c>
      <c r="AA86" s="1">
        <f t="shared" si="33"/>
        <v>2.9247959867087343</v>
      </c>
      <c r="AB86" s="1">
        <f t="shared" si="34"/>
        <v>8.0749698504945044</v>
      </c>
      <c r="AC86" s="1">
        <f t="shared" si="35"/>
        <v>-1.7137594924561785</v>
      </c>
      <c r="AD86" s="1">
        <f t="shared" si="20"/>
        <v>8.2548234193336256</v>
      </c>
      <c r="AE86" s="1">
        <f t="shared" si="25"/>
        <v>0.33871317648616944</v>
      </c>
      <c r="AF86" s="1">
        <f t="shared" si="26"/>
        <v>0.30322790589170168</v>
      </c>
      <c r="AG86" s="1">
        <f t="shared" si="21"/>
        <v>-1.3781308085066613</v>
      </c>
      <c r="AH86" s="1">
        <f t="shared" si="22"/>
        <v>-6.2880239794719834</v>
      </c>
      <c r="AI86" s="1" t="b">
        <f t="shared" si="23"/>
        <v>0</v>
      </c>
      <c r="AJ86" s="1">
        <f t="shared" si="36"/>
        <v>9.787667582951574</v>
      </c>
      <c r="AK86" s="1">
        <f t="shared" si="37"/>
        <v>2.9247959867087343</v>
      </c>
      <c r="AL86" s="1">
        <f t="shared" si="27"/>
        <v>9.787667582951574</v>
      </c>
      <c r="AM86" s="1">
        <f t="shared" si="28"/>
        <v>2.9247959867087343</v>
      </c>
      <c r="AN86" s="1"/>
      <c r="AP86" s="1">
        <f t="shared" si="38"/>
        <v>8.0999999999999872</v>
      </c>
      <c r="AQ86" s="1">
        <f t="shared" si="39"/>
        <v>2.4536788008565305</v>
      </c>
      <c r="AR86" s="1">
        <f t="shared" si="40"/>
        <v>19.446531800185337</v>
      </c>
      <c r="AS86" s="1" t="e">
        <f t="shared" si="29"/>
        <v>#N/A</v>
      </c>
      <c r="AT86" s="1" t="e">
        <f t="shared" si="30"/>
        <v>#N/A</v>
      </c>
    </row>
    <row r="87" spans="25:46" s="10" customFormat="1" x14ac:dyDescent="0.25">
      <c r="Y87" s="1">
        <f t="shared" si="31"/>
        <v>1.0439244251629027</v>
      </c>
      <c r="Z87" s="1">
        <f t="shared" si="32"/>
        <v>9.8904682934318817</v>
      </c>
      <c r="AA87" s="1">
        <f t="shared" si="33"/>
        <v>2.9029784819156883</v>
      </c>
      <c r="AB87" s="1">
        <f t="shared" si="34"/>
        <v>8.0574251625424367</v>
      </c>
      <c r="AC87" s="1">
        <f t="shared" si="35"/>
        <v>-1.7938109780437497</v>
      </c>
      <c r="AD87" s="1">
        <f t="shared" si="20"/>
        <v>8.2546870367641603</v>
      </c>
      <c r="AE87" s="1">
        <f t="shared" si="25"/>
        <v>0.33871877264906641</v>
      </c>
      <c r="AF87" s="1">
        <f t="shared" si="26"/>
        <v>0.30323126358943986</v>
      </c>
      <c r="AG87" s="1">
        <f t="shared" si="21"/>
        <v>-1.3431452189627726</v>
      </c>
      <c r="AH87" s="1">
        <f t="shared" si="22"/>
        <v>-6.2745978865880669</v>
      </c>
      <c r="AI87" s="1" t="b">
        <f t="shared" si="23"/>
        <v>0</v>
      </c>
      <c r="AJ87" s="1">
        <f t="shared" si="36"/>
        <v>9.8904682934318817</v>
      </c>
      <c r="AK87" s="1">
        <f t="shared" si="37"/>
        <v>2.9029784819156883</v>
      </c>
      <c r="AL87" s="1">
        <f t="shared" si="27"/>
        <v>9.8904682934318817</v>
      </c>
      <c r="AM87" s="1">
        <f t="shared" si="28"/>
        <v>2.9029784819156883</v>
      </c>
      <c r="AN87" s="1"/>
      <c r="AP87" s="1">
        <f t="shared" si="38"/>
        <v>8.1999999999999869</v>
      </c>
      <c r="AQ87" s="1">
        <f t="shared" si="39"/>
        <v>2.458503925767308</v>
      </c>
      <c r="AR87" s="1">
        <f t="shared" si="40"/>
        <v>19.444034571715541</v>
      </c>
      <c r="AS87" s="1" t="e">
        <f t="shared" si="29"/>
        <v>#N/A</v>
      </c>
      <c r="AT87" s="1" t="e">
        <f t="shared" si="30"/>
        <v>#N/A</v>
      </c>
    </row>
    <row r="88" spans="25:46" s="10" customFormat="1" x14ac:dyDescent="0.25">
      <c r="Y88" s="1">
        <f t="shared" si="31"/>
        <v>1.0566552108356211</v>
      </c>
      <c r="Z88" s="1">
        <f t="shared" si="32"/>
        <v>9.9930456462501773</v>
      </c>
      <c r="AA88" s="1">
        <f t="shared" si="33"/>
        <v>2.8801418588168439</v>
      </c>
      <c r="AB88" s="1">
        <f t="shared" si="34"/>
        <v>8.0403258686324861</v>
      </c>
      <c r="AC88" s="1">
        <f t="shared" si="35"/>
        <v>-1.8736915389203936</v>
      </c>
      <c r="AD88" s="1">
        <f t="shared" si="20"/>
        <v>8.2557592053561386</v>
      </c>
      <c r="AE88" s="1">
        <f t="shared" si="25"/>
        <v>0.33867478352335251</v>
      </c>
      <c r="AF88" s="1">
        <f t="shared" si="26"/>
        <v>0.30320487011401154</v>
      </c>
      <c r="AG88" s="1">
        <f t="shared" si="21"/>
        <v>-1.3085990907360929</v>
      </c>
      <c r="AH88" s="1">
        <f t="shared" si="22"/>
        <v>-6.2608283374013745</v>
      </c>
      <c r="AI88" s="1" t="b">
        <f t="shared" si="23"/>
        <v>0</v>
      </c>
      <c r="AJ88" s="1">
        <f t="shared" si="36"/>
        <v>9.9930456462501773</v>
      </c>
      <c r="AK88" s="1">
        <f t="shared" si="37"/>
        <v>2.8801418588168439</v>
      </c>
      <c r="AL88" s="1">
        <f t="shared" si="27"/>
        <v>9.9930456462501773</v>
      </c>
      <c r="AM88" s="1">
        <f t="shared" si="28"/>
        <v>2.8801418588168439</v>
      </c>
      <c r="AN88" s="1"/>
      <c r="AP88" s="1">
        <f t="shared" si="38"/>
        <v>8.2999999999999865</v>
      </c>
      <c r="AQ88" s="1">
        <f t="shared" si="39"/>
        <v>2.4630692362598134</v>
      </c>
      <c r="AR88" s="1">
        <f t="shared" si="40"/>
        <v>19.44166798808984</v>
      </c>
      <c r="AS88" s="1" t="e">
        <f t="shared" si="29"/>
        <v>#N/A</v>
      </c>
      <c r="AT88" s="1" t="e">
        <f t="shared" si="30"/>
        <v>#N/A</v>
      </c>
    </row>
    <row r="89" spans="25:46" s="10" customFormat="1" x14ac:dyDescent="0.25">
      <c r="Y89" s="1">
        <f t="shared" si="31"/>
        <v>1.0693859965083394</v>
      </c>
      <c r="Z89" s="1">
        <f t="shared" si="32"/>
        <v>10.09540531162255</v>
      </c>
      <c r="AA89" s="1">
        <f t="shared" si="33"/>
        <v>2.8562882934180625</v>
      </c>
      <c r="AB89" s="1">
        <f t="shared" si="34"/>
        <v>8.0236663740768108</v>
      </c>
      <c r="AC89" s="1">
        <f t="shared" si="35"/>
        <v>-1.9533968026175319</v>
      </c>
      <c r="AD89" s="1">
        <f t="shared" si="20"/>
        <v>8.2580252573461728</v>
      </c>
      <c r="AE89" s="1">
        <f t="shared" si="25"/>
        <v>0.33858184911793948</v>
      </c>
      <c r="AF89" s="1">
        <f t="shared" si="26"/>
        <v>0.30314910947076368</v>
      </c>
      <c r="AG89" s="1">
        <f t="shared" si="21"/>
        <v>-1.2744832808211968</v>
      </c>
      <c r="AH89" s="1">
        <f t="shared" si="22"/>
        <v>-6.2467133457850821</v>
      </c>
      <c r="AI89" s="1" t="b">
        <f t="shared" si="23"/>
        <v>0</v>
      </c>
      <c r="AJ89" s="1">
        <f t="shared" si="36"/>
        <v>10.09540531162255</v>
      </c>
      <c r="AK89" s="1">
        <f t="shared" si="37"/>
        <v>2.8562882934180625</v>
      </c>
      <c r="AL89" s="1">
        <f t="shared" si="27"/>
        <v>10.09540531162255</v>
      </c>
      <c r="AM89" s="1">
        <f t="shared" si="28"/>
        <v>2.8562882934180625</v>
      </c>
      <c r="AN89" s="1"/>
      <c r="AP89" s="1">
        <f t="shared" si="38"/>
        <v>8.3999999999999861</v>
      </c>
      <c r="AQ89" s="1">
        <f t="shared" si="39"/>
        <v>2.4673747323340471</v>
      </c>
      <c r="AR89" s="1">
        <f t="shared" si="40"/>
        <v>19.439432097022884</v>
      </c>
      <c r="AS89" s="1" t="e">
        <f t="shared" si="29"/>
        <v>#N/A</v>
      </c>
      <c r="AT89" s="1" t="e">
        <f t="shared" si="30"/>
        <v>#N/A</v>
      </c>
    </row>
    <row r="90" spans="25:46" s="10" customFormat="1" x14ac:dyDescent="0.25">
      <c r="Y90" s="1">
        <f t="shared" si="31"/>
        <v>1.0821167821810578</v>
      </c>
      <c r="Z90" s="1">
        <f t="shared" si="32"/>
        <v>10.197552888540319</v>
      </c>
      <c r="AA90" s="1">
        <f t="shared" si="33"/>
        <v>2.8314200173901654</v>
      </c>
      <c r="AB90" s="1">
        <f t="shared" si="34"/>
        <v>8.0074412005852125</v>
      </c>
      <c r="AC90" s="1">
        <f t="shared" si="35"/>
        <v>-2.0329223713816309</v>
      </c>
      <c r="AD90" s="1">
        <f t="shared" si="20"/>
        <v>8.2614700840040243</v>
      </c>
      <c r="AE90" s="1">
        <f t="shared" si="25"/>
        <v>0.33844066894445385</v>
      </c>
      <c r="AF90" s="1">
        <f t="shared" si="26"/>
        <v>0.30306440136667234</v>
      </c>
      <c r="AG90" s="1">
        <f t="shared" si="21"/>
        <v>-1.2407888072291517</v>
      </c>
      <c r="AH90" s="1">
        <f t="shared" si="22"/>
        <v>-6.2322510880355413</v>
      </c>
      <c r="AI90" s="1" t="b">
        <f t="shared" si="23"/>
        <v>1</v>
      </c>
      <c r="AJ90" s="1" t="e">
        <f t="shared" si="36"/>
        <v>#N/A</v>
      </c>
      <c r="AK90" s="1" t="e">
        <f t="shared" si="37"/>
        <v>#N/A</v>
      </c>
      <c r="AL90" s="1" t="e">
        <f t="shared" si="27"/>
        <v>#N/A</v>
      </c>
      <c r="AM90" s="1" t="e">
        <f t="shared" si="28"/>
        <v>#N/A</v>
      </c>
      <c r="AN90" s="1"/>
      <c r="AP90" s="1">
        <f t="shared" si="38"/>
        <v>8.4999999999999858</v>
      </c>
      <c r="AQ90" s="1">
        <f t="shared" si="39"/>
        <v>2.4714204139900069</v>
      </c>
      <c r="AR90" s="1">
        <f t="shared" si="40"/>
        <v>19.437326943615655</v>
      </c>
      <c r="AS90" s="1" t="e">
        <f t="shared" si="29"/>
        <v>#N/A</v>
      </c>
      <c r="AT90" s="1" t="e">
        <f t="shared" si="30"/>
        <v>#N/A</v>
      </c>
    </row>
    <row r="91" spans="25:46" s="10" customFormat="1" x14ac:dyDescent="0.25">
      <c r="Y91" s="1">
        <f t="shared" si="31"/>
        <v>1.0948475678537761</v>
      </c>
      <c r="Z91" s="1">
        <f t="shared" si="32"/>
        <v>10.299493906251863</v>
      </c>
      <c r="AA91" s="1">
        <f t="shared" si="33"/>
        <v>2.8055393183908315</v>
      </c>
      <c r="AB91" s="1">
        <f t="shared" si="34"/>
        <v>7.9916449842152701</v>
      </c>
      <c r="AC91" s="1">
        <f t="shared" si="35"/>
        <v>-2.1122638242419769</v>
      </c>
      <c r="AD91" s="1">
        <f t="shared" si="20"/>
        <v>8.2660781521187197</v>
      </c>
      <c r="AE91" s="1">
        <f t="shared" si="25"/>
        <v>0.33825199934484701</v>
      </c>
      <c r="AF91" s="1">
        <f t="shared" si="26"/>
        <v>0.30295119960690819</v>
      </c>
      <c r="AG91" s="1">
        <f t="shared" si="21"/>
        <v>-1.2075068514023184</v>
      </c>
      <c r="AH91" s="1">
        <f t="shared" si="22"/>
        <v>-6.217439907619422</v>
      </c>
      <c r="AI91" s="1" t="b">
        <f t="shared" si="23"/>
        <v>1</v>
      </c>
      <c r="AJ91" s="1" t="e">
        <f t="shared" si="36"/>
        <v>#N/A</v>
      </c>
      <c r="AK91" s="1" t="e">
        <f t="shared" si="37"/>
        <v>#N/A</v>
      </c>
      <c r="AL91" s="1" t="e">
        <f t="shared" si="27"/>
        <v>#N/A</v>
      </c>
      <c r="AM91" s="1" t="e">
        <f t="shared" si="28"/>
        <v>#N/A</v>
      </c>
      <c r="AN91" s="1"/>
      <c r="AP91" s="1">
        <f t="shared" si="38"/>
        <v>8.5999999999999854</v>
      </c>
      <c r="AQ91" s="1">
        <f t="shared" si="39"/>
        <v>2.475206281227694</v>
      </c>
      <c r="AR91" s="1">
        <f t="shared" si="40"/>
        <v>19.435352570351007</v>
      </c>
      <c r="AS91" s="1" t="e">
        <f t="shared" si="29"/>
        <v>#N/A</v>
      </c>
      <c r="AT91" s="1" t="e">
        <f t="shared" si="30"/>
        <v>#N/A</v>
      </c>
    </row>
    <row r="92" spans="25:46" s="10" customFormat="1" x14ac:dyDescent="0.25">
      <c r="Y92" s="1">
        <f t="shared" si="31"/>
        <v>1.1075783535264945</v>
      </c>
      <c r="Z92" s="1">
        <f t="shared" si="32"/>
        <v>10.401233825718363</v>
      </c>
      <c r="AA92" s="1">
        <f t="shared" si="33"/>
        <v>2.7786485403601704</v>
      </c>
      <c r="AB92" s="1">
        <f t="shared" si="34"/>
        <v>7.9762724732917283</v>
      </c>
      <c r="AC92" s="1">
        <f t="shared" si="35"/>
        <v>-2.1914167191388851</v>
      </c>
      <c r="AD92" s="1">
        <f t="shared" si="20"/>
        <v>8.2718335213610761</v>
      </c>
      <c r="AE92" s="1">
        <f t="shared" si="25"/>
        <v>0.33801665065846836</v>
      </c>
      <c r="AF92" s="1">
        <f t="shared" si="26"/>
        <v>0.30280999039508105</v>
      </c>
      <c r="AG92" s="1">
        <f t="shared" si="21"/>
        <v>-1.1746287606070911</v>
      </c>
      <c r="AH92" s="1">
        <f t="shared" si="22"/>
        <v>-6.2022783194589133</v>
      </c>
      <c r="AI92" s="1" t="b">
        <f t="shared" si="23"/>
        <v>1</v>
      </c>
      <c r="AJ92" s="1" t="e">
        <f t="shared" si="36"/>
        <v>#N/A</v>
      </c>
      <c r="AK92" s="1" t="e">
        <f t="shared" si="37"/>
        <v>#N/A</v>
      </c>
      <c r="AL92" s="1" t="e">
        <f t="shared" si="27"/>
        <v>#N/A</v>
      </c>
      <c r="AM92" s="1" t="e">
        <f t="shared" si="28"/>
        <v>#N/A</v>
      </c>
      <c r="AN92" s="1"/>
      <c r="AP92" s="1">
        <f t="shared" si="38"/>
        <v>8.6999999999999851</v>
      </c>
      <c r="AQ92" s="1">
        <f t="shared" si="39"/>
        <v>2.478732334047109</v>
      </c>
      <c r="AR92" s="1">
        <f t="shared" si="40"/>
        <v>19.433509017089271</v>
      </c>
      <c r="AS92" s="1" t="e">
        <f t="shared" si="29"/>
        <v>#N/A</v>
      </c>
      <c r="AT92" s="1" t="e">
        <f t="shared" si="30"/>
        <v>#N/A</v>
      </c>
    </row>
    <row r="93" spans="25:46" s="10" customFormat="1" x14ac:dyDescent="0.25">
      <c r="Y93" s="1">
        <f t="shared" si="31"/>
        <v>1.1203091391992128</v>
      </c>
      <c r="Z93" s="1">
        <f t="shared" si="32"/>
        <v>10.502778041043042</v>
      </c>
      <c r="AA93" s="1">
        <f t="shared" si="33"/>
        <v>2.7507500837892018</v>
      </c>
      <c r="AB93" s="1">
        <f t="shared" si="34"/>
        <v>7.9613185262954289</v>
      </c>
      <c r="AC93" s="1">
        <f t="shared" si="35"/>
        <v>-2.2703765951064643</v>
      </c>
      <c r="AD93" s="1">
        <f t="shared" si="20"/>
        <v>8.2787198624390008</v>
      </c>
      <c r="AE93" s="1">
        <f t="shared" si="25"/>
        <v>0.3377354842480656</v>
      </c>
      <c r="AF93" s="1">
        <f t="shared" si="26"/>
        <v>0.30264129054883937</v>
      </c>
      <c r="AG93" s="1">
        <f t="shared" si="21"/>
        <v>-1.1421460502817711</v>
      </c>
      <c r="AH93" s="1">
        <f t="shared" si="22"/>
        <v>-6.1867650137551875</v>
      </c>
      <c r="AI93" s="1" t="b">
        <f t="shared" si="23"/>
        <v>1</v>
      </c>
      <c r="AJ93" s="1" t="e">
        <f t="shared" si="36"/>
        <v>#N/A</v>
      </c>
      <c r="AK93" s="1" t="e">
        <f t="shared" si="37"/>
        <v>#N/A</v>
      </c>
      <c r="AL93" s="1" t="e">
        <f t="shared" si="27"/>
        <v>#N/A</v>
      </c>
      <c r="AM93" s="1" t="e">
        <f t="shared" si="28"/>
        <v>#N/A</v>
      </c>
      <c r="AN93" s="1"/>
      <c r="AP93" s="1">
        <f t="shared" si="38"/>
        <v>8.7999999999999847</v>
      </c>
      <c r="AQ93" s="1">
        <f t="shared" si="39"/>
        <v>2.4819985724482505</v>
      </c>
      <c r="AR93" s="1">
        <f t="shared" si="40"/>
        <v>19.431796321064304</v>
      </c>
      <c r="AS93" s="1" t="e">
        <f t="shared" si="29"/>
        <v>#N/A</v>
      </c>
      <c r="AT93" s="1" t="e">
        <f t="shared" si="30"/>
        <v>#N/A</v>
      </c>
    </row>
    <row r="94" spans="25:46" s="10" customFormat="1" x14ac:dyDescent="0.25">
      <c r="Y94" s="1">
        <f t="shared" si="31"/>
        <v>1.1330399248719312</v>
      </c>
      <c r="Z94" s="1">
        <f t="shared" si="32"/>
        <v>10.604131880873551</v>
      </c>
      <c r="AA94" s="1">
        <f t="shared" si="33"/>
        <v>2.7218464059605454</v>
      </c>
      <c r="AB94" s="1">
        <f t="shared" si="34"/>
        <v>7.9467781097223495</v>
      </c>
      <c r="AC94" s="1">
        <f t="shared" si="35"/>
        <v>-2.3491389745040538</v>
      </c>
      <c r="AD94" s="1">
        <f t="shared" si="20"/>
        <v>8.2867204759600934</v>
      </c>
      <c r="AE94" s="1">
        <f t="shared" si="25"/>
        <v>0.33740940940462583</v>
      </c>
      <c r="AF94" s="1">
        <f t="shared" si="26"/>
        <v>0.30244564564277548</v>
      </c>
      <c r="AG94" s="1">
        <f t="shared" si="21"/>
        <v>-1.1100504063177812</v>
      </c>
      <c r="AH94" s="1">
        <f t="shared" si="22"/>
        <v>-6.170898859352171</v>
      </c>
      <c r="AI94" s="1" t="b">
        <f t="shared" si="23"/>
        <v>1</v>
      </c>
      <c r="AJ94" s="1" t="e">
        <f t="shared" si="36"/>
        <v>#N/A</v>
      </c>
      <c r="AK94" s="1" t="e">
        <f t="shared" si="37"/>
        <v>#N/A</v>
      </c>
      <c r="AL94" s="1" t="e">
        <f t="shared" si="27"/>
        <v>#N/A</v>
      </c>
      <c r="AM94" s="1" t="e">
        <f t="shared" si="28"/>
        <v>#N/A</v>
      </c>
      <c r="AN94" s="1"/>
      <c r="AP94" s="1">
        <f t="shared" si="38"/>
        <v>8.8999999999999844</v>
      </c>
      <c r="AQ94" s="1">
        <f t="shared" si="39"/>
        <v>2.4850049964311198</v>
      </c>
      <c r="AR94" s="1">
        <f t="shared" si="40"/>
        <v>19.430214516879765</v>
      </c>
      <c r="AS94" s="1" t="e">
        <f t="shared" si="29"/>
        <v>#N/A</v>
      </c>
      <c r="AT94" s="1" t="e">
        <f t="shared" si="30"/>
        <v>#N/A</v>
      </c>
    </row>
    <row r="95" spans="25:46" s="10" customFormat="1" x14ac:dyDescent="0.25">
      <c r="Y95" s="1">
        <f t="shared" si="31"/>
        <v>1.1457707105446495</v>
      </c>
      <c r="Z95" s="1">
        <f t="shared" si="32"/>
        <v>10.705300609777076</v>
      </c>
      <c r="AA95" s="1">
        <f t="shared" si="33"/>
        <v>2.691940021160705</v>
      </c>
      <c r="AB95" s="1">
        <f t="shared" si="34"/>
        <v>7.9326462959136039</v>
      </c>
      <c r="AC95" s="1">
        <f t="shared" si="35"/>
        <v>-2.4276993652904881</v>
      </c>
      <c r="AD95" s="1">
        <f t="shared" si="20"/>
        <v>8.2958183119149655</v>
      </c>
      <c r="AE95" s="1">
        <f t="shared" si="25"/>
        <v>0.33703938015121454</v>
      </c>
      <c r="AF95" s="1">
        <f t="shared" si="26"/>
        <v>0.30222362809072872</v>
      </c>
      <c r="AG95" s="1">
        <f t="shared" si="21"/>
        <v>-1.0783336872535529</v>
      </c>
      <c r="AH95" s="1">
        <f t="shared" si="22"/>
        <v>-6.1546789066445449</v>
      </c>
      <c r="AI95" s="1" t="b">
        <f t="shared" si="23"/>
        <v>1</v>
      </c>
      <c r="AJ95" s="1" t="e">
        <f t="shared" si="36"/>
        <v>#N/A</v>
      </c>
      <c r="AK95" s="1" t="e">
        <f t="shared" si="37"/>
        <v>#N/A</v>
      </c>
      <c r="AL95" s="1" t="e">
        <f t="shared" si="27"/>
        <v>#N/A</v>
      </c>
      <c r="AM95" s="1" t="e">
        <f t="shared" si="28"/>
        <v>#N/A</v>
      </c>
      <c r="AN95" s="1"/>
      <c r="AP95" s="1">
        <f t="shared" si="38"/>
        <v>8.999999999999984</v>
      </c>
      <c r="AQ95" s="1">
        <f t="shared" si="39"/>
        <v>2.487751605995717</v>
      </c>
      <c r="AR95" s="1">
        <f t="shared" si="40"/>
        <v>19.42876363650554</v>
      </c>
      <c r="AS95" s="1" t="e">
        <f t="shared" si="29"/>
        <v>#N/A</v>
      </c>
      <c r="AT95" s="1" t="e">
        <f t="shared" si="30"/>
        <v>#N/A</v>
      </c>
    </row>
    <row r="96" spans="25:46" s="10" customFormat="1" x14ac:dyDescent="0.25">
      <c r="Y96" s="1">
        <f t="shared" si="31"/>
        <v>1.1585014962173679</v>
      </c>
      <c r="Z96" s="1">
        <f t="shared" si="32"/>
        <v>10.806289429587835</v>
      </c>
      <c r="AA96" s="1">
        <f t="shared" si="33"/>
        <v>2.6610335008633976</v>
      </c>
      <c r="AB96" s="1">
        <f t="shared" si="34"/>
        <v>7.9189182608575068</v>
      </c>
      <c r="AC96" s="1">
        <f t="shared" si="35"/>
        <v>-2.5060532633353803</v>
      </c>
      <c r="AD96" s="1">
        <f t="shared" si="20"/>
        <v>8.3059959896942157</v>
      </c>
      <c r="AE96" s="1">
        <f t="shared" si="25"/>
        <v>0.33662639196601035</v>
      </c>
      <c r="AF96" s="1">
        <f t="shared" si="26"/>
        <v>0.30197583517960624</v>
      </c>
      <c r="AG96" s="1">
        <f t="shared" si="21"/>
        <v>-1.0469879263616879</v>
      </c>
      <c r="AH96" s="1">
        <f t="shared" si="22"/>
        <v>-6.1381043900356573</v>
      </c>
      <c r="AI96" s="1" t="b">
        <f t="shared" si="23"/>
        <v>1</v>
      </c>
      <c r="AJ96" s="1" t="e">
        <f t="shared" si="36"/>
        <v>#N/A</v>
      </c>
      <c r="AK96" s="1" t="e">
        <f t="shared" si="37"/>
        <v>#N/A</v>
      </c>
      <c r="AL96" s="1" t="e">
        <f t="shared" si="27"/>
        <v>#N/A</v>
      </c>
      <c r="AM96" s="1" t="e">
        <f t="shared" si="28"/>
        <v>#N/A</v>
      </c>
      <c r="AN96" s="1"/>
      <c r="AP96" s="1">
        <f t="shared" si="38"/>
        <v>9.0999999999999837</v>
      </c>
      <c r="AQ96" s="1">
        <f t="shared" si="39"/>
        <v>2.4902384011420406</v>
      </c>
      <c r="AR96" s="1">
        <f t="shared" si="40"/>
        <v>19.427443709274595</v>
      </c>
      <c r="AS96" s="1" t="e">
        <f t="shared" si="29"/>
        <v>#N/A</v>
      </c>
      <c r="AT96" s="1" t="e">
        <f t="shared" si="30"/>
        <v>#N/A</v>
      </c>
    </row>
    <row r="97" spans="3:46" s="10" customFormat="1" x14ac:dyDescent="0.25">
      <c r="Y97" s="1">
        <f t="shared" si="31"/>
        <v>1.1712322818900862</v>
      </c>
      <c r="Z97" s="1">
        <f t="shared" si="32"/>
        <v>10.907103480726587</v>
      </c>
      <c r="AA97" s="1">
        <f t="shared" si="33"/>
        <v>2.6291294738834585</v>
      </c>
      <c r="AB97" s="1">
        <f t="shared" si="34"/>
        <v>7.9055892819650726</v>
      </c>
      <c r="AC97" s="1">
        <f t="shared" si="35"/>
        <v>-2.5841961547616954</v>
      </c>
      <c r="AD97" s="1">
        <f t="shared" si="20"/>
        <v>8.317235818552108</v>
      </c>
      <c r="AE97" s="1">
        <f t="shared" si="25"/>
        <v>0.33617147844458439</v>
      </c>
      <c r="AF97" s="1">
        <f t="shared" si="26"/>
        <v>0.30170288706675064</v>
      </c>
      <c r="AG97" s="1">
        <f t="shared" si="21"/>
        <v>-1.0160053336112962</v>
      </c>
      <c r="AH97" s="1">
        <f t="shared" si="22"/>
        <v>-6.12117472995266</v>
      </c>
      <c r="AI97" s="1" t="b">
        <f t="shared" si="23"/>
        <v>1</v>
      </c>
      <c r="AJ97" s="1" t="e">
        <f t="shared" si="36"/>
        <v>#N/A</v>
      </c>
      <c r="AK97" s="1" t="e">
        <f t="shared" si="37"/>
        <v>#N/A</v>
      </c>
      <c r="AL97" s="1" t="e">
        <f t="shared" si="27"/>
        <v>#N/A</v>
      </c>
      <c r="AM97" s="1" t="e">
        <f t="shared" si="28"/>
        <v>#N/A</v>
      </c>
      <c r="AN97" s="1"/>
      <c r="AP97" s="1">
        <f t="shared" si="38"/>
        <v>9.1999999999999833</v>
      </c>
      <c r="AQ97" s="1">
        <f t="shared" si="39"/>
        <v>2.492465381870093</v>
      </c>
      <c r="AR97" s="1">
        <f t="shared" si="40"/>
        <v>19.426254761879971</v>
      </c>
      <c r="AS97" s="1" t="e">
        <f t="shared" si="29"/>
        <v>#N/A</v>
      </c>
      <c r="AT97" s="1" t="e">
        <f t="shared" si="30"/>
        <v>#N/A</v>
      </c>
    </row>
    <row r="98" spans="3:46" s="10" customFormat="1" x14ac:dyDescent="0.25">
      <c r="C98" s="1"/>
      <c r="D98" s="1"/>
      <c r="Y98" s="1">
        <f t="shared" si="31"/>
        <v>1.1839630675628046</v>
      </c>
      <c r="Z98" s="1">
        <f t="shared" si="32"/>
        <v>11.007747843491822</v>
      </c>
      <c r="AA98" s="1">
        <f t="shared" si="33"/>
        <v>2.5962306265009247</v>
      </c>
      <c r="AB98" s="1">
        <f t="shared" si="34"/>
        <v>7.8926547358205283</v>
      </c>
      <c r="AC98" s="1">
        <f t="shared" si="35"/>
        <v>-2.6621235183139822</v>
      </c>
      <c r="AD98" s="1">
        <f t="shared" ref="AD98:AD100" si="41">SQRT(AB98^2+AC98^2)</f>
        <v>8.3295198184307502</v>
      </c>
      <c r="AE98" s="1">
        <f t="shared" si="25"/>
        <v>0.33567570792114093</v>
      </c>
      <c r="AF98" s="1">
        <f t="shared" si="26"/>
        <v>0.30140542475268456</v>
      </c>
      <c r="AG98" s="1">
        <f t="shared" ref="AG98:AG100" si="42">-$V$11*AB98*AD98 - $V$12*AF98*AC98*AD98</f>
        <v>-0.9853782974888341</v>
      </c>
      <c r="AH98" s="1">
        <f t="shared" ref="AH98:AH100" si="43">$V$12*AF98*AD98*AB98 - $V$11*AC98*AD98 - 9.8</f>
        <v>-6.1038895344277577</v>
      </c>
      <c r="AI98" s="1" t="b">
        <f t="shared" ref="AI98:AI100" si="44">OR(AA97&lt;0, Z97&gt;$V$6)</f>
        <v>1</v>
      </c>
      <c r="AJ98" s="1" t="e">
        <f t="shared" si="36"/>
        <v>#N/A</v>
      </c>
      <c r="AK98" s="1" t="e">
        <f t="shared" si="37"/>
        <v>#N/A</v>
      </c>
      <c r="AL98" s="1" t="e">
        <f t="shared" si="27"/>
        <v>#N/A</v>
      </c>
      <c r="AM98" s="1" t="e">
        <f t="shared" si="28"/>
        <v>#N/A</v>
      </c>
      <c r="AN98" s="1"/>
      <c r="AP98" s="1">
        <f t="shared" si="38"/>
        <v>9.2999999999999829</v>
      </c>
      <c r="AQ98" s="1">
        <f t="shared" si="39"/>
        <v>2.4944325481798719</v>
      </c>
      <c r="AR98" s="1">
        <f t="shared" si="40"/>
        <v>19.425196818372093</v>
      </c>
      <c r="AS98" s="1" t="e">
        <f t="shared" si="29"/>
        <v>#N/A</v>
      </c>
      <c r="AT98" s="1" t="e">
        <f t="shared" si="30"/>
        <v>#N/A</v>
      </c>
    </row>
    <row r="99" spans="3:46" s="10" customFormat="1" x14ac:dyDescent="0.25">
      <c r="C99" s="1"/>
      <c r="D99" s="1"/>
      <c r="E99" s="1"/>
      <c r="F99" s="1"/>
      <c r="G99" s="1"/>
      <c r="Y99" s="1">
        <f t="shared" si="31"/>
        <v>1.1966938532355229</v>
      </c>
      <c r="Z99" s="1">
        <f t="shared" si="32"/>
        <v>11.108227539322318</v>
      </c>
      <c r="AA99" s="1">
        <f t="shared" si="33"/>
        <v>2.5623397025549668</v>
      </c>
      <c r="AB99" s="1">
        <f t="shared" si="34"/>
        <v>7.8801100959086501</v>
      </c>
      <c r="AC99" s="1">
        <f t="shared" si="35"/>
        <v>-2.7398308277467303</v>
      </c>
      <c r="AD99" s="1">
        <f t="shared" si="41"/>
        <v>8.34282974105985</v>
      </c>
      <c r="AE99" s="1">
        <f t="shared" si="25"/>
        <v>0.33514018006793422</v>
      </c>
      <c r="AF99" s="1">
        <f t="shared" si="26"/>
        <v>0.30108410804076052</v>
      </c>
      <c r="AG99" s="1">
        <f t="shared" si="42"/>
        <v>-0.95509938666220817</v>
      </c>
      <c r="AH99" s="1">
        <f t="shared" si="43"/>
        <v>-6.086248600255904</v>
      </c>
      <c r="AI99" s="1" t="b">
        <f t="shared" si="44"/>
        <v>1</v>
      </c>
      <c r="AJ99" s="1" t="e">
        <f t="shared" si="36"/>
        <v>#N/A</v>
      </c>
      <c r="AK99" s="1" t="e">
        <f t="shared" si="37"/>
        <v>#N/A</v>
      </c>
      <c r="AL99" s="1" t="e">
        <f t="shared" si="27"/>
        <v>#N/A</v>
      </c>
      <c r="AM99" s="1" t="e">
        <f t="shared" si="28"/>
        <v>#N/A</v>
      </c>
      <c r="AN99" s="1"/>
      <c r="AP99" s="1">
        <f t="shared" si="38"/>
        <v>9.3999999999999826</v>
      </c>
      <c r="AQ99" s="1">
        <f t="shared" si="39"/>
        <v>2.4961399000713778</v>
      </c>
      <c r="AR99" s="1">
        <f t="shared" si="40"/>
        <v>19.424269900156371</v>
      </c>
      <c r="AS99" s="1" t="e">
        <f t="shared" si="29"/>
        <v>#N/A</v>
      </c>
      <c r="AT99" s="1" t="e">
        <f t="shared" si="30"/>
        <v>#N/A</v>
      </c>
    </row>
    <row r="100" spans="3:46" s="10" customFormat="1" x14ac:dyDescent="0.25">
      <c r="E100" s="1"/>
      <c r="F100" s="1"/>
      <c r="G100" s="1"/>
      <c r="Y100" s="1">
        <f t="shared" si="31"/>
        <v>1.2094246389082413</v>
      </c>
      <c r="Z100" s="1">
        <f t="shared" si="32"/>
        <v>11.208547532030755</v>
      </c>
      <c r="AA100" s="1">
        <f t="shared" si="33"/>
        <v>2.5274595035074165</v>
      </c>
      <c r="AB100" s="1">
        <f t="shared" si="34"/>
        <v>7.8679509303209088</v>
      </c>
      <c r="AC100" s="1">
        <f t="shared" si="35"/>
        <v>-2.8173135542274701</v>
      </c>
      <c r="AD100" s="1">
        <f t="shared" si="41"/>
        <v>8.3571470912489918</v>
      </c>
      <c r="AE100" s="1">
        <f t="shared" si="25"/>
        <v>0.33456602249141998</v>
      </c>
      <c r="AF100" s="1">
        <f t="shared" si="26"/>
        <v>0.30073961349485201</v>
      </c>
      <c r="AG100" s="1">
        <f t="shared" si="42"/>
        <v>-0.92516135147443879</v>
      </c>
      <c r="AH100" s="1">
        <f t="shared" si="43"/>
        <v>-6.0682519137405544</v>
      </c>
      <c r="AI100" s="1" t="b">
        <f t="shared" si="44"/>
        <v>1</v>
      </c>
      <c r="AJ100" s="1" t="e">
        <f t="shared" si="36"/>
        <v>#N/A</v>
      </c>
      <c r="AK100" s="1" t="e">
        <f t="shared" si="37"/>
        <v>#N/A</v>
      </c>
      <c r="AL100" s="1" t="e">
        <f t="shared" si="27"/>
        <v>#N/A</v>
      </c>
      <c r="AM100" s="1" t="e">
        <f t="shared" si="28"/>
        <v>#N/A</v>
      </c>
      <c r="AN100" s="1"/>
      <c r="AP100" s="1">
        <f t="shared" si="38"/>
        <v>9.4999999999999822</v>
      </c>
      <c r="AQ100" s="1">
        <f t="shared" si="39"/>
        <v>2.497587437544611</v>
      </c>
      <c r="AR100" s="1">
        <f t="shared" si="40"/>
        <v>19.423474025990981</v>
      </c>
      <c r="AS100" s="1" t="e">
        <f t="shared" si="29"/>
        <v>#N/A</v>
      </c>
      <c r="AT100" s="1" t="e">
        <f t="shared" si="30"/>
        <v>#N/A</v>
      </c>
    </row>
    <row r="101" spans="3:46" s="10" customFormat="1" x14ac:dyDescent="0.25">
      <c r="Y101" s="1">
        <f t="shared" si="31"/>
        <v>1.2221554245809596</v>
      </c>
      <c r="Z101" s="1">
        <f t="shared" si="32"/>
        <v>11.308712729008136</v>
      </c>
      <c r="AA101" s="1">
        <f t="shared" si="33"/>
        <v>2.4915928884757021</v>
      </c>
      <c r="AB101" s="1">
        <f t="shared" si="34"/>
        <v>7.8561728994426057</v>
      </c>
      <c r="AC101" s="1">
        <f t="shared" si="35"/>
        <v>-2.8945671687493637</v>
      </c>
      <c r="AD101" s="1">
        <f t="shared" ref="AD101:AD104" si="45">SQRT(AB101^2+AC101^2)</f>
        <v>8.3724531482916138</v>
      </c>
      <c r="AE101" s="1">
        <f t="shared" ref="AE101:AE105" si="46">IFERROR($V$9*($D$13*2*PI())/AD101, 0)</f>
        <v>0.33395438734290656</v>
      </c>
      <c r="AF101" s="1">
        <f t="shared" si="26"/>
        <v>0.30037263240574397</v>
      </c>
      <c r="AG101" s="1">
        <f t="shared" ref="AG101:AG104" si="47">-$V$11*AB101*AD101 - $V$12*AF101*AC101*AD101</f>
        <v>-0.89555712525468345</v>
      </c>
      <c r="AH101" s="1">
        <f t="shared" ref="AH101:AH104" si="48">$V$12*AF101*AD101*AB101 - $V$11*AC101*AD101 - 9.8</f>
        <v>-6.0498996510403025</v>
      </c>
      <c r="AI101" s="1" t="b">
        <f t="shared" ref="AI101:AI104" si="49">OR(AA100&lt;0, Z100&gt;$V$6)</f>
        <v>1</v>
      </c>
      <c r="AJ101" s="1" t="e">
        <f t="shared" si="36"/>
        <v>#N/A</v>
      </c>
      <c r="AK101" s="1" t="e">
        <f t="shared" si="37"/>
        <v>#N/A</v>
      </c>
      <c r="AL101" s="1" t="e">
        <f t="shared" si="27"/>
        <v>#N/A</v>
      </c>
      <c r="AM101" s="1" t="e">
        <f t="shared" si="28"/>
        <v>#N/A</v>
      </c>
      <c r="AN101" s="1"/>
      <c r="AP101" s="1">
        <f t="shared" si="38"/>
        <v>9.5999999999999819</v>
      </c>
      <c r="AQ101" s="1">
        <f t="shared" si="39"/>
        <v>2.4987751605995716</v>
      </c>
      <c r="AR101" s="1">
        <f t="shared" si="40"/>
        <v>19.422809211985015</v>
      </c>
      <c r="AS101" s="1" t="e">
        <f t="shared" si="29"/>
        <v>#N/A</v>
      </c>
      <c r="AT101" s="1" t="e">
        <f t="shared" si="30"/>
        <v>#N/A</v>
      </c>
    </row>
    <row r="102" spans="3:46" s="10" customFormat="1" x14ac:dyDescent="0.25">
      <c r="Y102" s="1">
        <f t="shared" si="31"/>
        <v>1.234886210253678</v>
      </c>
      <c r="Z102" s="1">
        <f t="shared" si="32"/>
        <v>11.408727982398757</v>
      </c>
      <c r="AA102" s="1">
        <f t="shared" si="33"/>
        <v>2.4547427742350671</v>
      </c>
      <c r="AB102" s="1">
        <f t="shared" si="34"/>
        <v>7.8447717536233128</v>
      </c>
      <c r="AC102" s="1">
        <f t="shared" si="35"/>
        <v>-2.9715871445482112</v>
      </c>
      <c r="AD102" s="1">
        <f t="shared" si="45"/>
        <v>8.3887289874027022</v>
      </c>
      <c r="AE102" s="1">
        <f t="shared" si="46"/>
        <v>0.33330644796055225</v>
      </c>
      <c r="AF102" s="1">
        <f t="shared" si="26"/>
        <v>0.29998386877633132</v>
      </c>
      <c r="AG102" s="1">
        <f t="shared" si="47"/>
        <v>-0.86627982543598891</v>
      </c>
      <c r="AH102" s="1">
        <f t="shared" si="48"/>
        <v>-6.0311921781302749</v>
      </c>
      <c r="AI102" s="1" t="b">
        <f t="shared" si="49"/>
        <v>1</v>
      </c>
      <c r="AJ102" s="1" t="e">
        <f t="shared" si="36"/>
        <v>#N/A</v>
      </c>
      <c r="AK102" s="1" t="e">
        <f t="shared" si="37"/>
        <v>#N/A</v>
      </c>
      <c r="AL102" s="1" t="e">
        <f t="shared" si="27"/>
        <v>#N/A</v>
      </c>
      <c r="AM102" s="1" t="e">
        <f t="shared" si="28"/>
        <v>#N/A</v>
      </c>
      <c r="AN102" s="1"/>
      <c r="AP102" s="1">
        <f t="shared" si="38"/>
        <v>9.6999999999999815</v>
      </c>
      <c r="AQ102" s="1">
        <f t="shared" si="39"/>
        <v>2.4997030692362596</v>
      </c>
      <c r="AR102" s="1">
        <f t="shared" si="40"/>
        <v>19.422275471596826</v>
      </c>
      <c r="AS102" s="1" t="e">
        <f t="shared" si="29"/>
        <v>#N/A</v>
      </c>
      <c r="AT102" s="1" t="e">
        <f t="shared" si="30"/>
        <v>#N/A</v>
      </c>
    </row>
    <row r="103" spans="3:46" s="10" customFormat="1" x14ac:dyDescent="0.25">
      <c r="Y103" s="1">
        <f t="shared" si="31"/>
        <v>1.2476169959263963</v>
      </c>
      <c r="Z103" s="1">
        <f t="shared" si="32"/>
        <v>11.508598090245529</v>
      </c>
      <c r="AA103" s="1">
        <f t="shared" si="33"/>
        <v>2.4169121351900187</v>
      </c>
      <c r="AB103" s="1">
        <f t="shared" si="34"/>
        <v>7.8337433308330873</v>
      </c>
      <c r="AC103" s="1">
        <f t="shared" si="35"/>
        <v>-3.0483689595189629</v>
      </c>
      <c r="AD103" s="1">
        <f t="shared" si="45"/>
        <v>8.4059555011153009</v>
      </c>
      <c r="AE103" s="1">
        <f t="shared" si="46"/>
        <v>0.33262339555853465</v>
      </c>
      <c r="AF103" s="1">
        <f t="shared" si="26"/>
        <v>0.29957403733512078</v>
      </c>
      <c r="AG103" s="1">
        <f t="shared" si="47"/>
        <v>-0.83732275447068183</v>
      </c>
      <c r="AH103" s="1">
        <f t="shared" si="48"/>
        <v>-6.0121300503930524</v>
      </c>
      <c r="AI103" s="1" t="b">
        <f t="shared" si="49"/>
        <v>1</v>
      </c>
      <c r="AJ103" s="1" t="e">
        <f t="shared" si="36"/>
        <v>#N/A</v>
      </c>
      <c r="AK103" s="1" t="e">
        <f t="shared" si="37"/>
        <v>#N/A</v>
      </c>
      <c r="AL103" s="1" t="e">
        <f t="shared" si="27"/>
        <v>#N/A</v>
      </c>
      <c r="AM103" s="1" t="e">
        <f t="shared" si="28"/>
        <v>#N/A</v>
      </c>
      <c r="AN103" s="1"/>
      <c r="AP103" s="1">
        <f t="shared" si="38"/>
        <v>9.7999999999999812</v>
      </c>
      <c r="AQ103" s="1">
        <f t="shared" si="39"/>
        <v>2.500371163454675</v>
      </c>
      <c r="AR103" s="1">
        <f t="shared" si="40"/>
        <v>19.421872815632685</v>
      </c>
      <c r="AS103" s="1" t="e">
        <f t="shared" si="29"/>
        <v>#N/A</v>
      </c>
      <c r="AT103" s="1" t="e">
        <f t="shared" si="30"/>
        <v>#N/A</v>
      </c>
    </row>
    <row r="104" spans="3:46" s="10" customFormat="1" x14ac:dyDescent="0.25">
      <c r="Y104" s="1">
        <f t="shared" si="31"/>
        <v>1.2603477815991146</v>
      </c>
      <c r="Z104" s="1">
        <f t="shared" si="32"/>
        <v>11.608327797605451</v>
      </c>
      <c r="AA104" s="1">
        <f t="shared" si="33"/>
        <v>2.3781040033150154</v>
      </c>
      <c r="AB104" s="1">
        <f t="shared" si="34"/>
        <v>7.823083554307031</v>
      </c>
      <c r="AC104" s="1">
        <f t="shared" si="35"/>
        <v>-3.1249080986270261</v>
      </c>
      <c r="AD104" s="1">
        <f t="shared" si="45"/>
        <v>8.4241134205644403</v>
      </c>
      <c r="AE104" s="1">
        <f t="shared" si="46"/>
        <v>0.33190643597811076</v>
      </c>
      <c r="AF104" s="1">
        <f t="shared" si="26"/>
        <v>0.29914386158686646</v>
      </c>
      <c r="AG104" s="1">
        <f t="shared" si="47"/>
        <v>-0.80867940053585041</v>
      </c>
      <c r="AH104" s="1">
        <f t="shared" si="48"/>
        <v>-5.9927140118547246</v>
      </c>
      <c r="AI104" s="1" t="b">
        <f t="shared" si="49"/>
        <v>1</v>
      </c>
      <c r="AJ104" s="1" t="e">
        <f t="shared" si="36"/>
        <v>#N/A</v>
      </c>
      <c r="AK104" s="1" t="e">
        <f t="shared" si="37"/>
        <v>#N/A</v>
      </c>
      <c r="AL104" s="1" t="e">
        <f t="shared" si="27"/>
        <v>#N/A</v>
      </c>
      <c r="AM104" s="1" t="e">
        <f t="shared" si="28"/>
        <v>#N/A</v>
      </c>
      <c r="AN104" s="1"/>
      <c r="AP104" s="1">
        <f t="shared" si="38"/>
        <v>9.8999999999999808</v>
      </c>
      <c r="AQ104" s="1">
        <f t="shared" si="39"/>
        <v>2.5007794432548174</v>
      </c>
      <c r="AR104" s="1">
        <f t="shared" si="40"/>
        <v>19.421601252245658</v>
      </c>
      <c r="AS104" s="1" t="e">
        <f t="shared" si="29"/>
        <v>#N/A</v>
      </c>
      <c r="AT104" s="1" t="e">
        <f t="shared" si="30"/>
        <v>#N/A</v>
      </c>
    </row>
    <row r="105" spans="3:46" s="10" customFormat="1" x14ac:dyDescent="0.25">
      <c r="C105" s="1"/>
      <c r="D105" s="1"/>
      <c r="Y105" s="1">
        <f t="shared" si="31"/>
        <v>1.273078567271833</v>
      </c>
      <c r="Z105" s="1">
        <f t="shared" si="32"/>
        <v>11.707921797635102</v>
      </c>
      <c r="AA105" s="1">
        <f t="shared" si="33"/>
        <v>2.3383214680644531</v>
      </c>
      <c r="AB105" s="1">
        <f t="shared" si="34"/>
        <v>7.8127884301808663</v>
      </c>
      <c r="AC105" s="1">
        <f t="shared" si="35"/>
        <v>-3.2012000563098444</v>
      </c>
      <c r="AD105" s="1">
        <f t="shared" ref="AD105" si="50">SQRT(AB105^2+AC105^2)</f>
        <v>8.443183336590895</v>
      </c>
      <c r="AE105" s="1">
        <f t="shared" si="46"/>
        <v>0.33115678651410918</v>
      </c>
      <c r="AF105" s="1">
        <f t="shared" si="26"/>
        <v>0.29869407190846553</v>
      </c>
      <c r="AG105" s="1">
        <f t="shared" ref="AG105" si="51">-$V$11*AB105*AD105 - $V$12*AF105*AC105*AD105</f>
        <v>-0.78034343802287109</v>
      </c>
      <c r="AH105" s="1">
        <f t="shared" ref="AH105" si="52">$V$12*AF105*AD105*AB105 - $V$11*AC105*AD105 - 9.8</f>
        <v>-5.9729449940822628</v>
      </c>
      <c r="AI105" s="1" t="b">
        <f t="shared" ref="AI105" si="53">OR(AA104&lt;0, Z104&gt;$V$6)</f>
        <v>1</v>
      </c>
      <c r="AJ105" s="1" t="e">
        <f t="shared" si="36"/>
        <v>#N/A</v>
      </c>
      <c r="AK105" s="1" t="e">
        <f t="shared" si="37"/>
        <v>#N/A</v>
      </c>
      <c r="AL105" s="1" t="e">
        <f t="shared" si="27"/>
        <v>#N/A</v>
      </c>
      <c r="AM105" s="1" t="e">
        <f t="shared" si="28"/>
        <v>#N/A</v>
      </c>
      <c r="AN105" s="1"/>
      <c r="AP105" s="1">
        <f t="shared" si="38"/>
        <v>9.9999999999999805</v>
      </c>
      <c r="AQ105" s="1">
        <f t="shared" si="39"/>
        <v>2.5009279086366885</v>
      </c>
      <c r="AR105" s="1">
        <f t="shared" si="40"/>
        <v>19.421460786934805</v>
      </c>
      <c r="AS105" s="1" t="e">
        <f t="shared" si="29"/>
        <v>#N/A</v>
      </c>
      <c r="AT105" s="1" t="e">
        <f t="shared" si="30"/>
        <v>#N/A</v>
      </c>
    </row>
    <row r="106" spans="3:46" s="10" customFormat="1" x14ac:dyDescent="0.25">
      <c r="E106" s="1"/>
      <c r="F106" s="1"/>
      <c r="G106" s="1"/>
    </row>
    <row r="107" spans="3:46" s="10" customFormat="1" x14ac:dyDescent="0.25"/>
    <row r="108" spans="3:46" s="10" customFormat="1" x14ac:dyDescent="0.25"/>
    <row r="109" spans="3:46" x14ac:dyDescent="0.25">
      <c r="C109" s="10"/>
      <c r="D109" s="10"/>
      <c r="E109" s="10"/>
      <c r="F109" s="10"/>
      <c r="G109" s="10"/>
    </row>
    <row r="110" spans="3:46" x14ac:dyDescent="0.25">
      <c r="C110" s="10"/>
      <c r="D110" s="10"/>
      <c r="E110" s="10"/>
      <c r="F110" s="10"/>
      <c r="G110" s="10"/>
    </row>
    <row r="111" spans="3:46" s="10" customFormat="1" x14ac:dyDescent="0.25">
      <c r="C111" s="1"/>
      <c r="D111" s="1"/>
    </row>
    <row r="112" spans="3:46" s="10" customFormat="1" x14ac:dyDescent="0.25">
      <c r="C112" s="1"/>
      <c r="D112" s="1"/>
      <c r="E112" s="1"/>
      <c r="F112" s="1"/>
      <c r="G112" s="1"/>
    </row>
    <row r="113" spans="3:7" s="10" customFormat="1" x14ac:dyDescent="0.25">
      <c r="C113" s="1"/>
      <c r="D113" s="1"/>
      <c r="E113" s="1"/>
      <c r="F113" s="1"/>
      <c r="G113" s="1"/>
    </row>
    <row r="114" spans="3:7" s="10" customFormat="1" x14ac:dyDescent="0.25">
      <c r="C114" s="1"/>
      <c r="D114" s="1"/>
      <c r="E114" s="1"/>
      <c r="F114" s="1"/>
      <c r="G114" s="1"/>
    </row>
    <row r="115" spans="3:7" s="10" customFormat="1" x14ac:dyDescent="0.25">
      <c r="C115" s="1"/>
      <c r="D115" s="1"/>
      <c r="E115" s="1"/>
      <c r="F115" s="1"/>
      <c r="G115" s="1"/>
    </row>
    <row r="117" spans="3:7" s="10" customFormat="1" x14ac:dyDescent="0.25">
      <c r="C117" s="1"/>
      <c r="D117" s="1"/>
      <c r="E117" s="1"/>
      <c r="F117" s="1"/>
      <c r="G117" s="1"/>
    </row>
    <row r="118" spans="3:7" s="10" customFormat="1" x14ac:dyDescent="0.25">
      <c r="C118" s="1"/>
      <c r="D118" s="1"/>
      <c r="E118" s="1"/>
      <c r="F118" s="1"/>
      <c r="G118" s="1"/>
    </row>
    <row r="119" spans="3:7" s="10" customFormat="1" x14ac:dyDescent="0.25">
      <c r="C119" s="1"/>
      <c r="D119" s="1"/>
      <c r="E119" s="1"/>
      <c r="F119" s="1"/>
      <c r="G119" s="1"/>
    </row>
    <row r="120" spans="3:7" s="10" customFormat="1" x14ac:dyDescent="0.25">
      <c r="C120" s="1"/>
      <c r="D120" s="1"/>
      <c r="E120" s="1"/>
      <c r="F120" s="1"/>
      <c r="G120" s="1"/>
    </row>
    <row r="121" spans="3:7" s="10" customFormat="1" x14ac:dyDescent="0.25">
      <c r="C121" s="1"/>
      <c r="D121" s="1"/>
      <c r="E121" s="1"/>
      <c r="F121" s="1"/>
      <c r="G121" s="1"/>
    </row>
  </sheetData>
  <sheetProtection formatCells="0" formatColumns="0" formatRows="0"/>
  <mergeCells count="7">
    <mergeCell ref="F32:G35"/>
    <mergeCell ref="C24:D28"/>
    <mergeCell ref="I3:J3"/>
    <mergeCell ref="C6:D6"/>
    <mergeCell ref="F6:G6"/>
    <mergeCell ref="F19:G22"/>
    <mergeCell ref="C31:D31"/>
  </mergeCells>
  <conditionalFormatting sqref="D33">
    <cfRule type="expression" dxfId="1" priority="2">
      <formula>ISTEXT(D33)</formula>
    </cfRule>
  </conditionalFormatting>
  <conditionalFormatting sqref="D33">
    <cfRule type="containsBlanks" dxfId="0" priority="1">
      <formula>LEN(TRIM(D33))=0</formula>
    </cfRule>
  </conditionalFormatting>
  <dataValidations count="1">
    <dataValidation type="list" allowBlank="1" showInputMessage="1" showErrorMessage="1" sqref="I3">
      <formula1>"Forward,Reverse"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Metric">
              <controlPr locked="0" defaultSize="0" autoFill="0" autoLine="0" autoPict="0" macro="[1]!Projectile_Metric">
                <anchor moveWithCells="1">
                  <from>
                    <xdr:col>1</xdr:col>
                    <xdr:colOff>0</xdr:colOff>
                    <xdr:row>3</xdr:row>
                    <xdr:rowOff>0</xdr:rowOff>
                  </from>
                  <to>
                    <xdr:col>1</xdr:col>
                    <xdr:colOff>209550</xdr:colOff>
                    <xdr:row>3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´ÖÓÎÉÇØÍÐÉ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Ari Meles-Braverman</dc:creator>
  <cp:lastModifiedBy>Ari Meles-Braverman</cp:lastModifiedBy>
  <dcterms:created xsi:type="dcterms:W3CDTF">2020-04-06T22:59:51Z</dcterms:created>
  <dcterms:modified xsi:type="dcterms:W3CDTF">2020-04-12T00:49:06Z</dcterms:modified>
</cp:coreProperties>
</file>