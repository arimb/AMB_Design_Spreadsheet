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/>
  </bookViews>
  <sheets>
    <sheet name="Gear Options Calculator" sheetId="1" r:id="rId1"/>
    <sheet name="Specs" sheetId="2" r:id="rId2"/>
  </sheets>
  <functionGroups builtInGroupCount="17"/>
  <externalReferences>
    <externalReference r:id="rId3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Gear_Types">Specs!$C$5:$J$5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  <fileRecoveryPr repairLoad="1"/>
</workbook>
</file>

<file path=xl/calcChain.xml><?xml version="1.0" encoding="utf-8"?>
<calcChain xmlns="http://schemas.openxmlformats.org/spreadsheetml/2006/main">
  <c r="C32" i="1" l="1"/>
  <c r="C38" i="1"/>
  <c r="C16" i="1" l="1"/>
  <c r="C37" i="1"/>
  <c r="C36" i="1"/>
  <c r="C31" i="1"/>
  <c r="C30" i="1"/>
  <c r="C17" i="1" l="1"/>
  <c r="C29" i="1"/>
  <c r="C28" i="1"/>
  <c r="C21" i="1"/>
  <c r="C20" i="1"/>
  <c r="C35" i="1" l="1"/>
  <c r="C34" i="1"/>
  <c r="C14" i="1"/>
  <c r="C13" i="1"/>
</calcChain>
</file>

<file path=xl/sharedStrings.xml><?xml version="1.0" encoding="utf-8"?>
<sst xmlns="http://schemas.openxmlformats.org/spreadsheetml/2006/main" count="44" uniqueCount="32">
  <si>
    <t>Metric?</t>
  </si>
  <si>
    <t>Gear 1 Bore</t>
  </si>
  <si>
    <t>Gear 4 Bore</t>
  </si>
  <si>
    <t>1/2" Hex</t>
  </si>
  <si>
    <t>3/8" Hex</t>
  </si>
  <si>
    <t>CIM Pinion</t>
  </si>
  <si>
    <t>775 Pinion</t>
  </si>
  <si>
    <t>550 Pinion</t>
  </si>
  <si>
    <t>BAG Pinion</t>
  </si>
  <si>
    <t>Falcon Pinion</t>
  </si>
  <si>
    <t>Bearing Bore</t>
  </si>
  <si>
    <t>Gear Options Calculator</t>
  </si>
  <si>
    <t>Total Ratio</t>
  </si>
  <si>
    <t>Allow 2 Stage?</t>
  </si>
  <si>
    <t>Yes</t>
  </si>
  <si>
    <t>Max. Ratio Deviation</t>
  </si>
  <si>
    <t>Gears 2&amp;3 Bore</t>
  </si>
  <si>
    <t>Use Bore Diam.</t>
  </si>
  <si>
    <t>None</t>
  </si>
  <si>
    <t>8-10</t>
  </si>
  <si>
    <t>9-10</t>
  </si>
  <si>
    <t>10-12</t>
  </si>
  <si>
    <t>11-12</t>
  </si>
  <si>
    <t>13-14</t>
  </si>
  <si>
    <t>6-8</t>
  </si>
  <si>
    <t>Gear List Specs</t>
  </si>
  <si>
    <t>Axle Diam -&gt;</t>
  </si>
  <si>
    <t>Gear 1</t>
  </si>
  <si>
    <t>Gear 2</t>
  </si>
  <si>
    <t>Gear 3</t>
  </si>
  <si>
    <t>Gear 4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</si>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</sst>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2">
    <border>
      <left/>
      <right/>
      <top/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double">
        <color rgb="FF00000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0" borderId="0"/>
    <xf numFmtId="0" fontId="8" fillId="0" borderId="0"/>
  </cellStyleXfs>
  <cellXfs count="23">
    <xf numFmtId="0" fontId="0" fillId="0" borderId="0" xfId="0"/>
    <xf numFmtId="0" fontId="0" fillId="0" borderId="0" xfId="0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0" fontId="3" fillId="0" borderId="0" xfId="0" applyFont="1" applyAlignment="1" applyProtection="1">
      <alignment vertical="center"/>
    </xf>
    <xf numFmtId="9" fontId="0" fillId="2" borderId="1" xfId="1" applyFon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164" fontId="0" fillId="2" borderId="1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</xf>
    <xf numFmtId="49" fontId="0" fillId="0" borderId="0" xfId="0" applyNumberFormat="1" applyAlignment="1" applyProtection="1">
      <alignment horizontal="right" vertical="center"/>
    </xf>
    <xf numFmtId="0" fontId="0" fillId="0" borderId="0" xfId="0" applyNumberForma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2" borderId="1" xfId="0" applyNumberFormat="1" applyFill="1" applyBorder="1" applyAlignment="1" applyProtection="1">
      <alignment vertical="center"/>
      <protection locked="0"/>
    </xf>
    <xf numFmtId="1" fontId="0" fillId="2" borderId="1" xfId="0" applyNumberFormat="1" applyFill="1" applyBorder="1" applyAlignment="1" applyProtection="1">
      <alignment vertical="center"/>
      <protection locked="0"/>
    </xf>
    <xf numFmtId="0" fontId="3" fillId="0" borderId="9" xfId="0" applyNumberFormat="1" applyFont="1" applyFill="1" applyBorder="1" applyAlignment="1" applyProtection="1">
      <alignment vertical="center"/>
    </xf>
    <xf numFmtId="0" fontId="3" fillId="0" borderId="10" xfId="0" applyNumberFormat="1" applyFont="1" applyFill="1" applyBorder="1" applyAlignment="1" applyProtection="1">
      <alignment vertical="center"/>
    </xf>
    <xf numFmtId="0" fontId="3" fillId="0" borderId="11" xfId="0" applyFont="1" applyFill="1" applyBorder="1" applyAlignment="1" applyProtection="1">
      <alignment vertical="center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1"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3743705557422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9FC5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4</xdr:row>
          <xdr:rowOff>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466726</xdr:colOff>
      <xdr:row>4</xdr:row>
      <xdr:rowOff>133350</xdr:rowOff>
    </xdr:from>
    <xdr:to>
      <xdr:col>3</xdr:col>
      <xdr:colOff>514351</xdr:colOff>
      <xdr:row>7</xdr:row>
      <xdr:rowOff>28575</xdr:rowOff>
    </xdr:to>
    <xdr:sp macro="[0]!GearOptions" textlink="">
      <xdr:nvSpPr>
        <xdr:cNvPr id="2" name="Rounded Rectangle 1"/>
        <xdr:cNvSpPr/>
      </xdr:nvSpPr>
      <xdr:spPr>
        <a:xfrm>
          <a:off x="1162051" y="1104900"/>
          <a:ext cx="1866900" cy="466725"/>
        </a:xfrm>
        <a:prstGeom prst="roundRect">
          <a:avLst/>
        </a:prstGeom>
        <a:solidFill>
          <a:srgbClr val="9FC5E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 editAs="oneCell">
    <xdr:from>
      <xdr:col>11</xdr:col>
      <xdr:colOff>0</xdr:colOff>
      <xdr:row>6</xdr:row>
      <xdr:rowOff>190499</xdr:rowOff>
    </xdr:from>
    <xdr:to>
      <xdr:col>17</xdr:col>
      <xdr:colOff>0</xdr:colOff>
      <xdr:row>26</xdr:row>
      <xdr:rowOff>39256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543049"/>
          <a:ext cx="3657600" cy="367780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26</xdr:row>
      <xdr:rowOff>0</xdr:rowOff>
    </xdr:from>
    <xdr:to>
      <xdr:col>17</xdr:col>
      <xdr:colOff>0</xdr:colOff>
      <xdr:row>45</xdr:row>
      <xdr:rowOff>55272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5162550"/>
          <a:ext cx="3657600" cy="36747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gbjhk"/>
      <sheetName val="Spe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/>
      <sheetData sheetId="13"/>
      <sheetData sheetId="14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Falcon 500</v>
          </cell>
          <cell r="C8">
            <v>6380</v>
          </cell>
          <cell r="D8">
            <v>4.6900000000000004</v>
          </cell>
          <cell r="E8">
            <v>1.5</v>
          </cell>
          <cell r="F8">
            <v>257</v>
          </cell>
          <cell r="G8">
            <v>783.36136416037095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</row>
        <row r="11">
          <cell r="B11" t="str">
            <v>NEO 550</v>
          </cell>
          <cell r="C11">
            <v>11000</v>
          </cell>
          <cell r="D11">
            <v>0.97</v>
          </cell>
          <cell r="E11">
            <v>1.4</v>
          </cell>
          <cell r="F11">
            <v>100</v>
          </cell>
          <cell r="G11">
            <v>279.33994678169245</v>
          </cell>
        </row>
        <row r="12">
          <cell r="B12" t="str">
            <v>BAG Motor</v>
          </cell>
          <cell r="C12">
            <v>13180</v>
          </cell>
          <cell r="D12">
            <v>0.43</v>
          </cell>
          <cell r="E12">
            <v>1.8</v>
          </cell>
          <cell r="F12">
            <v>53</v>
          </cell>
          <cell r="G12">
            <v>148.37218504128995</v>
          </cell>
        </row>
        <row r="13">
          <cell r="B13" t="str">
            <v>AM 775</v>
          </cell>
          <cell r="C13">
            <v>5800</v>
          </cell>
          <cell r="D13">
            <v>0.28000000000000003</v>
          </cell>
          <cell r="E13">
            <v>1.6</v>
          </cell>
          <cell r="F13">
            <v>18</v>
          </cell>
          <cell r="G13">
            <v>42.516220578581873</v>
          </cell>
        </row>
        <row r="14">
          <cell r="B14" t="str">
            <v>AM 9015</v>
          </cell>
          <cell r="C14">
            <v>14270</v>
          </cell>
          <cell r="D14">
            <v>0.36</v>
          </cell>
          <cell r="E14">
            <v>3.7</v>
          </cell>
          <cell r="F14">
            <v>71</v>
          </cell>
          <cell r="G14">
            <v>134.49158150017905</v>
          </cell>
        </row>
        <row r="15">
          <cell r="B15" t="str">
            <v>BB RS-775</v>
          </cell>
          <cell r="C15">
            <v>13050</v>
          </cell>
          <cell r="D15">
            <v>0.72</v>
          </cell>
          <cell r="E15">
            <v>2.7</v>
          </cell>
          <cell r="F15">
            <v>97</v>
          </cell>
          <cell r="G15">
            <v>245.98670477608078</v>
          </cell>
        </row>
        <row r="16">
          <cell r="B16" t="str">
            <v>BB RS-550</v>
          </cell>
          <cell r="C16">
            <v>19000</v>
          </cell>
          <cell r="D16">
            <v>0.38</v>
          </cell>
          <cell r="E16">
            <v>0.4</v>
          </cell>
          <cell r="F16">
            <v>84</v>
          </cell>
          <cell r="G16">
            <v>189.01915799098592</v>
          </cell>
        </row>
        <row r="17">
          <cell r="B17" t="str">
            <v>Johnson Motor</v>
          </cell>
          <cell r="C17">
            <v>410</v>
          </cell>
          <cell r="D17">
            <v>4.4000000000000004</v>
          </cell>
          <cell r="F17">
            <v>26</v>
          </cell>
          <cell r="G17">
            <v>47.228609558966561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 t="str">
            <v>CIM + Mini</v>
          </cell>
          <cell r="C24">
            <v>5508</v>
          </cell>
          <cell r="D24">
            <v>3.82</v>
          </cell>
          <cell r="E24">
            <v>8.16</v>
          </cell>
          <cell r="F24">
            <v>220</v>
          </cell>
          <cell r="G24">
            <v>550.84057269512709</v>
          </cell>
        </row>
        <row r="25">
          <cell r="B25" t="str">
            <v>CIM + 2 Mini</v>
          </cell>
          <cell r="C25">
            <v>5593</v>
          </cell>
          <cell r="D25">
            <v>5.23</v>
          </cell>
          <cell r="E25">
            <v>9.6199999999999992</v>
          </cell>
          <cell r="F25">
            <v>309</v>
          </cell>
          <cell r="G25">
            <v>765.79959942741618</v>
          </cell>
        </row>
        <row r="26">
          <cell r="B26" t="str">
            <v>2 CIM + Mini</v>
          </cell>
          <cell r="C26">
            <v>5437</v>
          </cell>
          <cell r="D26">
            <v>6.23</v>
          </cell>
          <cell r="E26">
            <v>9.15</v>
          </cell>
          <cell r="F26">
            <v>351</v>
          </cell>
          <cell r="G26">
            <v>886.78023812205663</v>
          </cell>
        </row>
        <row r="27">
          <cell r="G27" t="str">
            <v/>
          </cell>
        </row>
        <row r="28">
          <cell r="G28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J64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7.28515625" style="1" customWidth="1"/>
    <col min="4" max="4" width="14.85546875" style="1" customWidth="1"/>
    <col min="5" max="5" width="9.140625" style="1" customWidth="1"/>
    <col min="11" max="16384" width="9.140625" style="1"/>
  </cols>
  <sheetData>
    <row r="1" spans="2:10" x14ac:dyDescent="0.25">
      <c r="F1" s="11"/>
      <c r="G1" s="11"/>
      <c r="H1" s="11"/>
      <c r="I1" s="11"/>
      <c r="J1" s="1"/>
    </row>
    <row r="2" spans="2:10" ht="31.5" x14ac:dyDescent="0.25">
      <c r="C2" s="7" t="s">
        <v>11</v>
      </c>
      <c r="F2" s="11"/>
      <c r="G2" s="11"/>
      <c r="H2" s="11"/>
      <c r="I2" s="11"/>
      <c r="J2" s="1"/>
    </row>
    <row r="3" spans="2:10" x14ac:dyDescent="0.25">
      <c r="F3" s="11"/>
      <c r="G3" s="11"/>
      <c r="H3" s="11"/>
      <c r="I3" s="11"/>
      <c r="J3" s="1"/>
    </row>
    <row r="4" spans="2:10" x14ac:dyDescent="0.25">
      <c r="B4" s="6" t="b">
        <v>1</v>
      </c>
      <c r="C4" s="1" t="s">
        <v>0</v>
      </c>
      <c r="F4" s="11"/>
      <c r="G4" s="11"/>
      <c r="H4" s="11"/>
      <c r="I4" s="11"/>
      <c r="J4" s="1"/>
    </row>
    <row r="5" spans="2:10" x14ac:dyDescent="0.25">
      <c r="F5" s="11"/>
      <c r="G5" s="11"/>
      <c r="H5" s="11"/>
      <c r="I5" s="11"/>
      <c r="J5" s="1"/>
    </row>
    <row r="6" spans="2:10" x14ac:dyDescent="0.25">
      <c r="F6" s="11"/>
      <c r="G6" s="11"/>
      <c r="H6" s="11"/>
      <c r="I6" s="9"/>
      <c r="J6" s="1"/>
    </row>
    <row r="7" spans="2:10" x14ac:dyDescent="0.25">
      <c r="F7" s="11"/>
      <c r="G7" s="11"/>
      <c r="H7" s="11"/>
      <c r="I7" s="9"/>
      <c r="J7" s="1"/>
    </row>
    <row r="8" spans="2:10" ht="15.75" thickBot="1" x14ac:dyDescent="0.3">
      <c r="F8" s="20" t="s">
        <v>27</v>
      </c>
      <c r="G8" s="21" t="s">
        <v>28</v>
      </c>
      <c r="H8" s="21" t="s">
        <v>29</v>
      </c>
      <c r="I8" s="21" t="s">
        <v>30</v>
      </c>
      <c r="J8" s="22" t="s">
        <v>31</v>
      </c>
    </row>
    <row r="9" spans="2:10" ht="15.75" thickTop="1" x14ac:dyDescent="0.25">
      <c r="C9" s="2" t="s">
        <v>12</v>
      </c>
      <c r="D9" s="8">
        <v>13</v>
      </c>
      <c r="F9" s="15">
        <v>9</v>
      </c>
      <c r="G9" s="16">
        <v>52</v>
      </c>
      <c r="H9" s="16">
        <v>20</v>
      </c>
      <c r="I9" s="16">
        <v>45</v>
      </c>
      <c r="J9" s="17">
        <v>13</v>
      </c>
    </row>
    <row r="10" spans="2:10" x14ac:dyDescent="0.25">
      <c r="C10" s="2" t="s">
        <v>15</v>
      </c>
      <c r="D10" s="4">
        <v>0</v>
      </c>
      <c r="F10" s="12">
        <v>9</v>
      </c>
      <c r="G10" s="13">
        <v>54</v>
      </c>
      <c r="H10" s="13">
        <v>24</v>
      </c>
      <c r="I10" s="13">
        <v>52</v>
      </c>
      <c r="J10" s="14">
        <v>13</v>
      </c>
    </row>
    <row r="11" spans="2:10" x14ac:dyDescent="0.25">
      <c r="F11" s="12">
        <v>9</v>
      </c>
      <c r="G11" s="13">
        <v>52</v>
      </c>
      <c r="H11" s="13">
        <v>24</v>
      </c>
      <c r="I11" s="13">
        <v>54</v>
      </c>
      <c r="J11" s="14">
        <v>13</v>
      </c>
    </row>
    <row r="12" spans="2:10" x14ac:dyDescent="0.25">
      <c r="C12" s="2" t="s">
        <v>1</v>
      </c>
      <c r="D12" s="5" t="s">
        <v>5</v>
      </c>
      <c r="F12" s="12">
        <v>9</v>
      </c>
      <c r="G12" s="13">
        <v>52</v>
      </c>
      <c r="H12" s="13">
        <v>32</v>
      </c>
      <c r="I12" s="13">
        <v>72</v>
      </c>
      <c r="J12" s="14">
        <v>13</v>
      </c>
    </row>
    <row r="13" spans="2:10" x14ac:dyDescent="0.25">
      <c r="C13" s="2" t="str">
        <f>"Gear 1 Diam. &gt;= (" &amp; IF($B$4, "mm", "in.") &amp; ")"</f>
        <v>Gear 1 Diam. &gt;= (mm)</v>
      </c>
      <c r="D13" s="19"/>
      <c r="F13" s="12">
        <v>9</v>
      </c>
      <c r="G13" s="13">
        <v>42</v>
      </c>
      <c r="H13" s="13">
        <v>28</v>
      </c>
      <c r="I13" s="13">
        <v>78</v>
      </c>
      <c r="J13" s="14">
        <v>13</v>
      </c>
    </row>
    <row r="14" spans="2:10" x14ac:dyDescent="0.25">
      <c r="C14" s="2" t="str">
        <f>"Gear 1 Diam. &lt;= (" &amp; IF($B$4, "mm", "in.") &amp; ")"</f>
        <v>Gear 1 Diam. &lt;= (mm)</v>
      </c>
      <c r="D14" s="18"/>
      <c r="F14" s="12">
        <v>9</v>
      </c>
      <c r="G14" s="13">
        <v>48</v>
      </c>
      <c r="H14" s="13">
        <v>32</v>
      </c>
      <c r="I14" s="13">
        <v>78</v>
      </c>
      <c r="J14" s="14">
        <v>13</v>
      </c>
    </row>
    <row r="15" spans="2:10" x14ac:dyDescent="0.25">
      <c r="F15" s="12">
        <v>9</v>
      </c>
      <c r="G15" s="13">
        <v>54</v>
      </c>
      <c r="H15" s="13">
        <v>36</v>
      </c>
      <c r="I15" s="13">
        <v>78</v>
      </c>
      <c r="J15" s="14">
        <v>13</v>
      </c>
    </row>
    <row r="16" spans="2:10" x14ac:dyDescent="0.25">
      <c r="C16" s="2" t="str">
        <f>"Gears 1&amp;4 C-C Dist. &gt;= (" &amp; IF($B$4, "mm", "in.") &amp; ")"</f>
        <v>Gears 1&amp;4 C-C Dist. &gt;= (mm)</v>
      </c>
      <c r="D16" s="18">
        <v>32.999999999999993</v>
      </c>
      <c r="F16" s="12">
        <v>10</v>
      </c>
      <c r="G16" s="13">
        <v>52</v>
      </c>
      <c r="H16" s="13">
        <v>16</v>
      </c>
      <c r="I16" s="13">
        <v>40</v>
      </c>
      <c r="J16" s="14">
        <v>13</v>
      </c>
    </row>
    <row r="17" spans="3:10" x14ac:dyDescent="0.25">
      <c r="C17" s="2" t="str">
        <f>"Gears 1&amp;4 C-C Dist. &lt;= (" &amp; IF($B$4, "mm", "in.") &amp; ")"</f>
        <v>Gears 1&amp;4 C-C Dist. &lt;= (mm)</v>
      </c>
      <c r="D17" s="18"/>
      <c r="F17" s="12">
        <v>10</v>
      </c>
      <c r="G17" s="13">
        <v>52</v>
      </c>
      <c r="H17" s="13">
        <v>18</v>
      </c>
      <c r="I17" s="13">
        <v>45</v>
      </c>
      <c r="J17" s="14">
        <v>13</v>
      </c>
    </row>
    <row r="18" spans="3:10" x14ac:dyDescent="0.25">
      <c r="F18" s="12">
        <v>10</v>
      </c>
      <c r="G18" s="13">
        <v>52</v>
      </c>
      <c r="H18" s="13">
        <v>20</v>
      </c>
      <c r="I18" s="13">
        <v>50</v>
      </c>
      <c r="J18" s="14">
        <v>13</v>
      </c>
    </row>
    <row r="19" spans="3:10" x14ac:dyDescent="0.25">
      <c r="C19" s="2" t="s">
        <v>2</v>
      </c>
      <c r="D19" s="5" t="s">
        <v>3</v>
      </c>
      <c r="F19" s="12">
        <v>10</v>
      </c>
      <c r="G19" s="13">
        <v>40</v>
      </c>
      <c r="H19" s="13">
        <v>16</v>
      </c>
      <c r="I19" s="13">
        <v>52</v>
      </c>
      <c r="J19" s="14">
        <v>13</v>
      </c>
    </row>
    <row r="20" spans="3:10" x14ac:dyDescent="0.25">
      <c r="C20" s="2" t="str">
        <f>"Gear 4 Diam. &gt;= (" &amp; IF($B$4, "mm", "in.") &amp; ")"</f>
        <v>Gear 4 Diam. &gt;= (mm)</v>
      </c>
      <c r="D20" s="18"/>
      <c r="F20" s="12">
        <v>10</v>
      </c>
      <c r="G20" s="13">
        <v>50</v>
      </c>
      <c r="H20" s="13">
        <v>20</v>
      </c>
      <c r="I20" s="13">
        <v>52</v>
      </c>
      <c r="J20" s="14">
        <v>13</v>
      </c>
    </row>
    <row r="21" spans="3:10" x14ac:dyDescent="0.25">
      <c r="C21" s="2" t="str">
        <f>"Gear 4 Diam. &lt;= (" &amp; IF($B$4, "mm", "in.") &amp; ")"</f>
        <v>Gear 4 Diam. &lt;= (mm)</v>
      </c>
      <c r="D21" s="18"/>
      <c r="F21" s="12">
        <v>10</v>
      </c>
      <c r="G21" s="13">
        <v>52</v>
      </c>
      <c r="H21" s="13">
        <v>24</v>
      </c>
      <c r="I21" s="13">
        <v>60</v>
      </c>
      <c r="J21" s="14">
        <v>13</v>
      </c>
    </row>
    <row r="22" spans="3:10" x14ac:dyDescent="0.25">
      <c r="F22" s="12">
        <v>10</v>
      </c>
      <c r="G22" s="13">
        <v>52</v>
      </c>
      <c r="H22" s="13">
        <v>28</v>
      </c>
      <c r="I22" s="13">
        <v>70</v>
      </c>
      <c r="J22" s="14">
        <v>13</v>
      </c>
    </row>
    <row r="23" spans="3:10" x14ac:dyDescent="0.25">
      <c r="F23" s="12">
        <v>10</v>
      </c>
      <c r="G23" s="13">
        <v>40</v>
      </c>
      <c r="H23" s="13">
        <v>24</v>
      </c>
      <c r="I23" s="13">
        <v>78</v>
      </c>
      <c r="J23" s="14">
        <v>13</v>
      </c>
    </row>
    <row r="24" spans="3:10" x14ac:dyDescent="0.25">
      <c r="C24" s="2" t="s">
        <v>13</v>
      </c>
      <c r="D24" s="5" t="s">
        <v>14</v>
      </c>
      <c r="F24" s="12">
        <v>10</v>
      </c>
      <c r="G24" s="13">
        <v>50</v>
      </c>
      <c r="H24" s="13">
        <v>30</v>
      </c>
      <c r="I24" s="13">
        <v>78</v>
      </c>
      <c r="J24" s="14">
        <v>13</v>
      </c>
    </row>
    <row r="25" spans="3:10" x14ac:dyDescent="0.25">
      <c r="F25" s="12">
        <v>10</v>
      </c>
      <c r="G25" s="13">
        <v>52</v>
      </c>
      <c r="H25" s="13">
        <v>32</v>
      </c>
      <c r="I25" s="13">
        <v>80</v>
      </c>
      <c r="J25" s="14">
        <v>13</v>
      </c>
    </row>
    <row r="26" spans="3:10" x14ac:dyDescent="0.25">
      <c r="C26" s="2" t="s">
        <v>16</v>
      </c>
      <c r="D26" s="4" t="s">
        <v>4</v>
      </c>
      <c r="F26" s="12">
        <v>11</v>
      </c>
      <c r="G26" s="13">
        <v>52</v>
      </c>
      <c r="H26" s="13">
        <v>16</v>
      </c>
      <c r="I26" s="13">
        <v>44</v>
      </c>
      <c r="J26" s="14">
        <v>13</v>
      </c>
    </row>
    <row r="27" spans="3:10" x14ac:dyDescent="0.25">
      <c r="F27" s="12">
        <v>11</v>
      </c>
      <c r="G27" s="13">
        <v>44</v>
      </c>
      <c r="H27" s="13">
        <v>16</v>
      </c>
      <c r="I27" s="13">
        <v>52</v>
      </c>
      <c r="J27" s="14">
        <v>13</v>
      </c>
    </row>
    <row r="28" spans="3:10" x14ac:dyDescent="0.25">
      <c r="C28" s="2" t="str">
        <f>"Gear 2 Diam. &gt;= (" &amp; IF($B$4, "mm", "in.") &amp; ")"</f>
        <v>Gear 2 Diam. &gt;= (mm)</v>
      </c>
      <c r="D28" s="18"/>
      <c r="F28" s="12">
        <v>11</v>
      </c>
      <c r="G28" s="13">
        <v>52</v>
      </c>
      <c r="H28" s="13">
        <v>24</v>
      </c>
      <c r="I28" s="13">
        <v>66</v>
      </c>
      <c r="J28" s="14">
        <v>13</v>
      </c>
    </row>
    <row r="29" spans="3:10" x14ac:dyDescent="0.25">
      <c r="C29" s="2" t="str">
        <f>"Gear 2 Diam. &lt;= (" &amp; IF($B$4, "mm", "in.") &amp; ")"</f>
        <v>Gear 2 Diam. &lt;= (mm)</v>
      </c>
      <c r="D29" s="18"/>
      <c r="F29" s="12">
        <v>11</v>
      </c>
      <c r="G29" s="13">
        <v>44</v>
      </c>
      <c r="H29" s="13">
        <v>24</v>
      </c>
      <c r="I29" s="13">
        <v>78</v>
      </c>
      <c r="J29" s="14">
        <v>13</v>
      </c>
    </row>
    <row r="30" spans="3:10" x14ac:dyDescent="0.25">
      <c r="C30" s="2" t="str">
        <f>"Gears 1&amp;2 C-C Dist. &gt;= (" &amp; IF($B$4, "mm", "in.") &amp; ")"</f>
        <v>Gears 1&amp;2 C-C Dist. &gt;= (mm)</v>
      </c>
      <c r="D30" s="18">
        <v>32.999999999999993</v>
      </c>
      <c r="F30" s="12">
        <v>12</v>
      </c>
      <c r="G30" s="13">
        <v>52</v>
      </c>
      <c r="H30" s="13">
        <v>14</v>
      </c>
      <c r="I30" s="13">
        <v>42</v>
      </c>
      <c r="J30" s="14">
        <v>13</v>
      </c>
    </row>
    <row r="31" spans="3:10" x14ac:dyDescent="0.25">
      <c r="C31" s="2" t="str">
        <f>"Gears 1&amp;2 C-C Dist. &lt;= (" &amp; IF($B$4, "mm", "in.") &amp; ")"</f>
        <v>Gears 1&amp;2 C-C Dist. &lt;= (mm)</v>
      </c>
      <c r="D31" s="18"/>
      <c r="F31" s="12">
        <v>12</v>
      </c>
      <c r="G31" s="13">
        <v>52</v>
      </c>
      <c r="H31" s="13">
        <v>15</v>
      </c>
      <c r="I31" s="13">
        <v>45</v>
      </c>
      <c r="J31" s="14">
        <v>13</v>
      </c>
    </row>
    <row r="32" spans="3:10" x14ac:dyDescent="0.25">
      <c r="C32" s="2" t="str">
        <f>"Axle 1 Clearance Diam. (" &amp; IF($B$4, "mm", "in.") &amp; ")"</f>
        <v>Axle 1 Clearance Diam. (mm)</v>
      </c>
      <c r="D32" s="18" t="s">
        <v>18</v>
      </c>
      <c r="F32" s="12">
        <v>12</v>
      </c>
      <c r="G32" s="13">
        <v>52</v>
      </c>
      <c r="H32" s="13">
        <v>16</v>
      </c>
      <c r="I32" s="13">
        <v>48</v>
      </c>
      <c r="J32" s="14">
        <v>13</v>
      </c>
    </row>
    <row r="33" spans="3:10" x14ac:dyDescent="0.25">
      <c r="F33" s="12">
        <v>12</v>
      </c>
      <c r="G33" s="13">
        <v>42</v>
      </c>
      <c r="H33" s="13">
        <v>14</v>
      </c>
      <c r="I33" s="13">
        <v>52</v>
      </c>
      <c r="J33" s="14">
        <v>13</v>
      </c>
    </row>
    <row r="34" spans="3:10" x14ac:dyDescent="0.25">
      <c r="C34" s="2" t="str">
        <f>"Gear 3 Diam. &gt;= (" &amp; IF($B$4, "mm", "in.") &amp; ")"</f>
        <v>Gear 3 Diam. &gt;= (mm)</v>
      </c>
      <c r="D34" s="18"/>
      <c r="F34" s="12">
        <v>12</v>
      </c>
      <c r="G34" s="13">
        <v>48</v>
      </c>
      <c r="H34" s="13">
        <v>16</v>
      </c>
      <c r="I34" s="13">
        <v>52</v>
      </c>
      <c r="J34" s="14">
        <v>13</v>
      </c>
    </row>
    <row r="35" spans="3:10" x14ac:dyDescent="0.25">
      <c r="C35" s="2" t="str">
        <f>"Gear 3 Diam. &lt;= (" &amp; IF($B$4, "mm", "in.") &amp; ")"</f>
        <v>Gear 3 Diam. &lt;= (mm)</v>
      </c>
      <c r="D35" s="18"/>
      <c r="F35" s="12">
        <v>12</v>
      </c>
      <c r="G35" s="13">
        <v>54</v>
      </c>
      <c r="H35" s="13">
        <v>18</v>
      </c>
      <c r="I35" s="13">
        <v>52</v>
      </c>
      <c r="J35" s="14">
        <v>13</v>
      </c>
    </row>
    <row r="36" spans="3:10" x14ac:dyDescent="0.25">
      <c r="C36" s="2" t="str">
        <f>"Gears 3&amp;4 C-C Dist. &gt;= (" &amp; IF($B$4, "mm", "in.") &amp; ")"</f>
        <v>Gears 3&amp;4 C-C Dist. &gt;= (mm)</v>
      </c>
      <c r="D36" s="18"/>
      <c r="F36" s="12">
        <v>12</v>
      </c>
      <c r="G36" s="13">
        <v>52</v>
      </c>
      <c r="H36" s="13">
        <v>18</v>
      </c>
      <c r="I36" s="13">
        <v>54</v>
      </c>
      <c r="J36" s="14">
        <v>13</v>
      </c>
    </row>
    <row r="37" spans="3:10" x14ac:dyDescent="0.25">
      <c r="C37" s="2" t="str">
        <f>"Gears 3&amp;4 C-C Dist. &gt;= (" &amp; IF($B$4, "mm", "in.") &amp; ")"</f>
        <v>Gears 3&amp;4 C-C Dist. &gt;= (mm)</v>
      </c>
      <c r="D37" s="18"/>
      <c r="F37" s="12">
        <v>12</v>
      </c>
      <c r="G37" s="13">
        <v>52</v>
      </c>
      <c r="H37" s="13">
        <v>20</v>
      </c>
      <c r="I37" s="13">
        <v>60</v>
      </c>
      <c r="J37" s="14">
        <v>13</v>
      </c>
    </row>
    <row r="38" spans="3:10" x14ac:dyDescent="0.25">
      <c r="C38" s="2" t="str">
        <f>"Axle 4 Clearance Diam. (" &amp; IF($B$4, "mm", "in.") &amp; ")"</f>
        <v>Axle 4 Clearance Diam. (mm)</v>
      </c>
      <c r="D38" s="5" t="s">
        <v>17</v>
      </c>
      <c r="F38" s="12">
        <v>12</v>
      </c>
      <c r="G38" s="13">
        <v>52</v>
      </c>
      <c r="H38" s="13">
        <v>22</v>
      </c>
      <c r="I38" s="13">
        <v>66</v>
      </c>
      <c r="J38" s="14">
        <v>13</v>
      </c>
    </row>
    <row r="39" spans="3:10" x14ac:dyDescent="0.25">
      <c r="F39" s="12">
        <v>12</v>
      </c>
      <c r="G39" s="13">
        <v>52</v>
      </c>
      <c r="H39" s="13">
        <v>24</v>
      </c>
      <c r="I39" s="13">
        <v>72</v>
      </c>
      <c r="J39" s="14">
        <v>13</v>
      </c>
    </row>
    <row r="40" spans="3:10" x14ac:dyDescent="0.25">
      <c r="F40" s="12">
        <v>12</v>
      </c>
      <c r="G40" s="13">
        <v>40</v>
      </c>
      <c r="H40" s="13">
        <v>20</v>
      </c>
      <c r="I40" s="13">
        <v>78</v>
      </c>
      <c r="J40" s="14">
        <v>13</v>
      </c>
    </row>
    <row r="41" spans="3:10" x14ac:dyDescent="0.25">
      <c r="F41" s="12">
        <v>12</v>
      </c>
      <c r="G41" s="13">
        <v>42</v>
      </c>
      <c r="H41" s="13">
        <v>21</v>
      </c>
      <c r="I41" s="13">
        <v>78</v>
      </c>
      <c r="J41" s="14">
        <v>13</v>
      </c>
    </row>
    <row r="42" spans="3:10" x14ac:dyDescent="0.25">
      <c r="F42" s="12">
        <v>12</v>
      </c>
      <c r="G42" s="13">
        <v>44</v>
      </c>
      <c r="H42" s="13">
        <v>22</v>
      </c>
      <c r="I42" s="13">
        <v>78</v>
      </c>
      <c r="J42" s="14">
        <v>13</v>
      </c>
    </row>
    <row r="43" spans="3:10" x14ac:dyDescent="0.25">
      <c r="F43" s="12">
        <v>12</v>
      </c>
      <c r="G43" s="13">
        <v>48</v>
      </c>
      <c r="H43" s="13">
        <v>24</v>
      </c>
      <c r="I43" s="13">
        <v>78</v>
      </c>
      <c r="J43" s="14">
        <v>13</v>
      </c>
    </row>
    <row r="44" spans="3:10" x14ac:dyDescent="0.25">
      <c r="F44" s="12">
        <v>12</v>
      </c>
      <c r="G44" s="13">
        <v>52</v>
      </c>
      <c r="H44" s="13">
        <v>26</v>
      </c>
      <c r="I44" s="13">
        <v>78</v>
      </c>
      <c r="J44" s="14">
        <v>13</v>
      </c>
    </row>
    <row r="45" spans="3:10" x14ac:dyDescent="0.25">
      <c r="F45" s="12">
        <v>12</v>
      </c>
      <c r="G45" s="13">
        <v>52</v>
      </c>
      <c r="H45" s="13">
        <v>28</v>
      </c>
      <c r="I45" s="13">
        <v>84</v>
      </c>
      <c r="J45" s="14">
        <v>13</v>
      </c>
    </row>
    <row r="46" spans="3:10" x14ac:dyDescent="0.25">
      <c r="F46" s="12">
        <v>13</v>
      </c>
      <c r="G46" s="13">
        <v>52</v>
      </c>
      <c r="H46" s="13">
        <v>16</v>
      </c>
      <c r="I46" s="13">
        <v>52</v>
      </c>
      <c r="J46" s="14">
        <v>13</v>
      </c>
    </row>
    <row r="47" spans="3:10" x14ac:dyDescent="0.25">
      <c r="F47" s="12">
        <v>13</v>
      </c>
      <c r="G47" s="13">
        <v>52</v>
      </c>
      <c r="H47" s="13">
        <v>24</v>
      </c>
      <c r="I47" s="13">
        <v>78</v>
      </c>
      <c r="J47" s="14">
        <v>13</v>
      </c>
    </row>
    <row r="48" spans="3:10" x14ac:dyDescent="0.25">
      <c r="F48" s="12">
        <v>14</v>
      </c>
      <c r="G48" s="13">
        <v>52</v>
      </c>
      <c r="H48" s="13">
        <v>16</v>
      </c>
      <c r="I48" s="13">
        <v>56</v>
      </c>
      <c r="J48" s="14">
        <v>13</v>
      </c>
    </row>
    <row r="49" spans="6:10" x14ac:dyDescent="0.25">
      <c r="F49" s="12">
        <v>14</v>
      </c>
      <c r="G49" s="13">
        <v>52</v>
      </c>
      <c r="H49" s="13">
        <v>20</v>
      </c>
      <c r="I49" s="13">
        <v>70</v>
      </c>
      <c r="J49" s="14">
        <v>13</v>
      </c>
    </row>
    <row r="50" spans="6:10" x14ac:dyDescent="0.25">
      <c r="F50" s="12">
        <v>14</v>
      </c>
      <c r="G50" s="13">
        <v>42</v>
      </c>
      <c r="H50" s="13">
        <v>18</v>
      </c>
      <c r="I50" s="13">
        <v>78</v>
      </c>
      <c r="J50" s="14">
        <v>13</v>
      </c>
    </row>
    <row r="51" spans="6:10" x14ac:dyDescent="0.25">
      <c r="F51" s="12">
        <v>14</v>
      </c>
      <c r="G51" s="13">
        <v>52</v>
      </c>
      <c r="H51" s="13">
        <v>24</v>
      </c>
      <c r="I51" s="13">
        <v>84</v>
      </c>
      <c r="J51" s="14">
        <v>13</v>
      </c>
    </row>
    <row r="52" spans="6:10" x14ac:dyDescent="0.25">
      <c r="F52" s="12">
        <v>15</v>
      </c>
      <c r="G52" s="13">
        <v>52</v>
      </c>
      <c r="H52" s="13">
        <v>16</v>
      </c>
      <c r="I52" s="13">
        <v>60</v>
      </c>
      <c r="J52" s="14">
        <v>13</v>
      </c>
    </row>
    <row r="53" spans="6:10" x14ac:dyDescent="0.25">
      <c r="F53" s="12">
        <v>15</v>
      </c>
      <c r="G53" s="13">
        <v>40</v>
      </c>
      <c r="H53" s="13">
        <v>16</v>
      </c>
      <c r="I53" s="13">
        <v>78</v>
      </c>
      <c r="J53" s="14">
        <v>13</v>
      </c>
    </row>
    <row r="54" spans="6:10" x14ac:dyDescent="0.25">
      <c r="F54" s="12">
        <v>15</v>
      </c>
      <c r="G54" s="13">
        <v>50</v>
      </c>
      <c r="H54" s="13">
        <v>20</v>
      </c>
      <c r="I54" s="13">
        <v>78</v>
      </c>
      <c r="J54" s="14">
        <v>13</v>
      </c>
    </row>
    <row r="55" spans="6:10" x14ac:dyDescent="0.25">
      <c r="F55" s="12">
        <v>16</v>
      </c>
      <c r="G55" s="13">
        <v>52</v>
      </c>
      <c r="H55" s="13">
        <v>14</v>
      </c>
      <c r="I55" s="13">
        <v>56</v>
      </c>
      <c r="J55" s="14">
        <v>13</v>
      </c>
    </row>
    <row r="56" spans="6:10" x14ac:dyDescent="0.25">
      <c r="F56" s="12">
        <v>16</v>
      </c>
      <c r="G56" s="13">
        <v>52</v>
      </c>
      <c r="H56" s="13">
        <v>15</v>
      </c>
      <c r="I56" s="13">
        <v>60</v>
      </c>
      <c r="J56" s="14">
        <v>13</v>
      </c>
    </row>
    <row r="57" spans="6:10" x14ac:dyDescent="0.25">
      <c r="F57" s="12">
        <v>16</v>
      </c>
      <c r="G57" s="13">
        <v>52</v>
      </c>
      <c r="H57" s="13">
        <v>16</v>
      </c>
      <c r="I57" s="13">
        <v>64</v>
      </c>
      <c r="J57" s="14">
        <v>13</v>
      </c>
    </row>
    <row r="58" spans="6:10" x14ac:dyDescent="0.25">
      <c r="F58" s="12">
        <v>16</v>
      </c>
      <c r="G58" s="13">
        <v>52</v>
      </c>
      <c r="H58" s="13">
        <v>18</v>
      </c>
      <c r="I58" s="13">
        <v>72</v>
      </c>
      <c r="J58" s="14">
        <v>13</v>
      </c>
    </row>
    <row r="59" spans="6:10" x14ac:dyDescent="0.25">
      <c r="F59" s="12">
        <v>16</v>
      </c>
      <c r="G59" s="13">
        <v>52</v>
      </c>
      <c r="H59" s="13">
        <v>19</v>
      </c>
      <c r="I59" s="13">
        <v>76</v>
      </c>
      <c r="J59" s="14">
        <v>13</v>
      </c>
    </row>
    <row r="60" spans="6:10" x14ac:dyDescent="0.25">
      <c r="F60" s="12">
        <v>16</v>
      </c>
      <c r="G60" s="13">
        <v>40</v>
      </c>
      <c r="H60" s="13">
        <v>15</v>
      </c>
      <c r="I60" s="13">
        <v>78</v>
      </c>
      <c r="J60" s="14">
        <v>13</v>
      </c>
    </row>
    <row r="61" spans="6:10" x14ac:dyDescent="0.25">
      <c r="F61" s="12">
        <v>16</v>
      </c>
      <c r="G61" s="13">
        <v>48</v>
      </c>
      <c r="H61" s="13">
        <v>18</v>
      </c>
      <c r="I61" s="13">
        <v>78</v>
      </c>
      <c r="J61" s="14">
        <v>13</v>
      </c>
    </row>
    <row r="62" spans="6:10" x14ac:dyDescent="0.25">
      <c r="F62" s="12">
        <v>16</v>
      </c>
      <c r="G62" s="13">
        <v>52</v>
      </c>
      <c r="H62" s="13">
        <v>20</v>
      </c>
      <c r="I62" s="13">
        <v>80</v>
      </c>
      <c r="J62" s="14">
        <v>13</v>
      </c>
    </row>
    <row r="63" spans="6:10" x14ac:dyDescent="0.25">
      <c r="F63" s="12">
        <v>16</v>
      </c>
      <c r="G63" s="13">
        <v>52</v>
      </c>
      <c r="H63" s="13">
        <v>21</v>
      </c>
      <c r="I63" s="13">
        <v>84</v>
      </c>
      <c r="J63" s="14">
        <v>13</v>
      </c>
    </row>
    <row r="64" spans="6:10" x14ac:dyDescent="0.25">
      <c r="F64" s="12">
        <v>17</v>
      </c>
      <c r="G64" s="13">
        <v>52</v>
      </c>
      <c r="H64" s="13">
        <v>16</v>
      </c>
      <c r="I64" s="13">
        <v>68</v>
      </c>
      <c r="J64" s="14">
        <v>13</v>
      </c>
    </row>
  </sheetData>
  <sheetProtection formatCells="0" formatColumns="0" formatRows="0"/>
  <sortState ref="F9:K64">
    <sortCondition ref="K9"/>
  </sortState>
  <dataConsolidate/>
  <conditionalFormatting sqref="C26:D38">
    <cfRule type="expression" dxfId="0" priority="2">
      <formula>$D$24="No"</formula>
    </cfRule>
  </conditionalFormatting>
  <dataValidations count="3">
    <dataValidation type="list" allowBlank="1" showInputMessage="1" showErrorMessage="1" sqref="D24">
      <formula1>"Yes,No"</formula1>
    </dataValidation>
    <dataValidation type="list" allowBlank="1" sqref="D38 D32">
      <formula1>"None,Use Bore Diam."</formula1>
    </dataValidation>
    <dataValidation type="list" allowBlank="1" showInputMessage="1" showErrorMessage="1" sqref="D26 D19">
      <formula1>$B$5:$H$5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GearOptions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Specs!$C$5:$J$5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44"/>
  <sheetViews>
    <sheetView workbookViewId="0">
      <selection activeCell="B5" sqref="B5"/>
    </sheetView>
  </sheetViews>
  <sheetFormatPr defaultRowHeight="15" x14ac:dyDescent="0.25"/>
  <cols>
    <col min="2" max="2" width="13.28515625" customWidth="1"/>
    <col min="3" max="10" width="12.7109375" customWidth="1"/>
  </cols>
  <sheetData>
    <row r="2" spans="2:10" ht="31.5" x14ac:dyDescent="0.25">
      <c r="C2" s="7" t="s">
        <v>25</v>
      </c>
    </row>
    <row r="4" spans="2:10" x14ac:dyDescent="0.25">
      <c r="B4" t="s">
        <v>26</v>
      </c>
      <c r="C4" s="1">
        <v>0.57699999999999996</v>
      </c>
      <c r="D4" s="1">
        <v>0.433</v>
      </c>
      <c r="E4" s="1">
        <v>0</v>
      </c>
      <c r="F4" s="1">
        <v>0.315</v>
      </c>
      <c r="G4" s="1">
        <v>0.19700000000000001</v>
      </c>
      <c r="H4" s="1">
        <v>0.125</v>
      </c>
      <c r="I4" s="1">
        <v>0.157</v>
      </c>
      <c r="J4" s="1">
        <v>0.29299999999999998</v>
      </c>
    </row>
    <row r="5" spans="2:10" x14ac:dyDescent="0.25">
      <c r="C5" s="3" t="s">
        <v>3</v>
      </c>
      <c r="D5" s="3" t="s">
        <v>4</v>
      </c>
      <c r="E5" s="3" t="s">
        <v>10</v>
      </c>
      <c r="F5" s="3" t="s">
        <v>5</v>
      </c>
      <c r="G5" s="3" t="s">
        <v>6</v>
      </c>
      <c r="H5" s="3" t="s">
        <v>7</v>
      </c>
      <c r="I5" s="3" t="s">
        <v>8</v>
      </c>
      <c r="J5" s="3" t="s">
        <v>9</v>
      </c>
    </row>
    <row r="6" spans="2:10" x14ac:dyDescent="0.25">
      <c r="C6" s="1">
        <v>18</v>
      </c>
      <c r="D6" s="1">
        <v>14</v>
      </c>
      <c r="E6" s="1">
        <v>48</v>
      </c>
      <c r="F6" s="10" t="s">
        <v>20</v>
      </c>
      <c r="G6" s="10" t="s">
        <v>24</v>
      </c>
      <c r="H6" s="10" t="s">
        <v>24</v>
      </c>
      <c r="I6" s="10" t="s">
        <v>24</v>
      </c>
      <c r="J6" s="10" t="s">
        <v>19</v>
      </c>
    </row>
    <row r="7" spans="2:10" x14ac:dyDescent="0.25">
      <c r="C7" s="1">
        <v>20</v>
      </c>
      <c r="D7" s="1">
        <v>15</v>
      </c>
      <c r="E7" s="1">
        <v>50</v>
      </c>
      <c r="F7" s="10" t="s">
        <v>21</v>
      </c>
      <c r="G7" s="10" t="s">
        <v>19</v>
      </c>
      <c r="H7" s="10" t="s">
        <v>19</v>
      </c>
      <c r="I7" s="10" t="s">
        <v>24</v>
      </c>
      <c r="J7" s="10" t="s">
        <v>20</v>
      </c>
    </row>
    <row r="8" spans="2:10" x14ac:dyDescent="0.25">
      <c r="C8" s="1">
        <v>22</v>
      </c>
      <c r="D8" s="1">
        <v>16</v>
      </c>
      <c r="E8" s="1">
        <v>54</v>
      </c>
      <c r="F8" s="10" t="s">
        <v>22</v>
      </c>
      <c r="G8" s="10"/>
      <c r="H8" s="10"/>
      <c r="I8" s="10"/>
      <c r="J8" s="10" t="s">
        <v>21</v>
      </c>
    </row>
    <row r="9" spans="2:10" x14ac:dyDescent="0.25">
      <c r="C9" s="1">
        <v>24</v>
      </c>
      <c r="D9" s="1">
        <v>18</v>
      </c>
      <c r="E9" s="1">
        <v>60</v>
      </c>
      <c r="F9" s="10">
        <v>12</v>
      </c>
      <c r="G9" s="10"/>
      <c r="H9" s="10"/>
      <c r="I9" s="10"/>
      <c r="J9" s="10" t="s">
        <v>22</v>
      </c>
    </row>
    <row r="10" spans="2:10" x14ac:dyDescent="0.25">
      <c r="C10" s="1">
        <v>25</v>
      </c>
      <c r="D10" s="1">
        <v>19</v>
      </c>
      <c r="E10" s="1">
        <v>64</v>
      </c>
      <c r="F10" s="10" t="s">
        <v>23</v>
      </c>
      <c r="G10" s="10"/>
      <c r="H10" s="10"/>
      <c r="I10" s="10"/>
      <c r="J10" s="10">
        <v>12</v>
      </c>
    </row>
    <row r="11" spans="2:10" x14ac:dyDescent="0.25">
      <c r="C11" s="1">
        <v>26</v>
      </c>
      <c r="D11" s="1">
        <v>20</v>
      </c>
      <c r="E11" s="1">
        <v>66</v>
      </c>
      <c r="F11" s="10">
        <v>14</v>
      </c>
      <c r="G11" s="10"/>
      <c r="H11" s="10"/>
      <c r="I11" s="10"/>
      <c r="J11" s="10" t="s">
        <v>23</v>
      </c>
    </row>
    <row r="12" spans="2:10" x14ac:dyDescent="0.25">
      <c r="C12" s="1">
        <v>28</v>
      </c>
      <c r="D12" s="1">
        <v>21</v>
      </c>
      <c r="E12" s="1">
        <v>70</v>
      </c>
      <c r="F12" s="10">
        <v>15</v>
      </c>
      <c r="G12" s="10"/>
      <c r="H12" s="10"/>
      <c r="I12" s="10"/>
      <c r="J12" s="10">
        <v>14</v>
      </c>
    </row>
    <row r="13" spans="2:10" x14ac:dyDescent="0.25">
      <c r="C13" s="1">
        <v>29</v>
      </c>
      <c r="D13" s="1">
        <v>22</v>
      </c>
      <c r="E13" s="1">
        <v>72</v>
      </c>
      <c r="F13" s="10">
        <v>16</v>
      </c>
      <c r="G13" s="10"/>
      <c r="H13" s="10"/>
      <c r="I13" s="10"/>
      <c r="J13" s="10"/>
    </row>
    <row r="14" spans="2:10" x14ac:dyDescent="0.25">
      <c r="C14" s="1">
        <v>30</v>
      </c>
      <c r="D14" s="1">
        <v>24</v>
      </c>
      <c r="E14" s="1"/>
      <c r="F14" s="10">
        <v>17</v>
      </c>
      <c r="G14" s="10"/>
      <c r="H14" s="10"/>
      <c r="I14" s="10"/>
      <c r="J14" s="10"/>
    </row>
    <row r="15" spans="2:10" x14ac:dyDescent="0.25">
      <c r="C15" s="1">
        <v>32</v>
      </c>
      <c r="D15" s="1">
        <v>26</v>
      </c>
      <c r="E15" s="1"/>
      <c r="F15" s="10">
        <v>35</v>
      </c>
      <c r="G15" s="10"/>
      <c r="H15" s="10"/>
      <c r="I15" s="10"/>
      <c r="J15" s="10"/>
    </row>
    <row r="16" spans="2:10" x14ac:dyDescent="0.25">
      <c r="C16" s="1">
        <v>34</v>
      </c>
      <c r="D16" s="1">
        <v>28</v>
      </c>
      <c r="E16" s="1"/>
      <c r="F16" s="1"/>
      <c r="G16" s="1"/>
      <c r="H16" s="1"/>
      <c r="I16" s="1"/>
      <c r="J16" s="1"/>
    </row>
    <row r="17" spans="3:10" x14ac:dyDescent="0.25">
      <c r="C17" s="1">
        <v>35</v>
      </c>
      <c r="D17" s="1">
        <v>30</v>
      </c>
      <c r="E17" s="1"/>
      <c r="F17" s="1"/>
      <c r="G17" s="1"/>
      <c r="H17" s="1"/>
      <c r="I17" s="1"/>
      <c r="J17" s="1"/>
    </row>
    <row r="18" spans="3:10" x14ac:dyDescent="0.25">
      <c r="C18" s="1">
        <v>36</v>
      </c>
      <c r="D18" s="1">
        <v>32</v>
      </c>
      <c r="E18" s="1"/>
      <c r="F18" s="1"/>
      <c r="G18" s="1"/>
      <c r="H18" s="1"/>
      <c r="I18" s="1"/>
      <c r="J18" s="1"/>
    </row>
    <row r="19" spans="3:10" x14ac:dyDescent="0.25">
      <c r="C19" s="1">
        <v>38</v>
      </c>
      <c r="D19" s="1">
        <v>34</v>
      </c>
      <c r="E19" s="1"/>
      <c r="F19" s="1"/>
      <c r="G19" s="1"/>
      <c r="H19" s="1"/>
      <c r="I19" s="1"/>
      <c r="J19" s="1"/>
    </row>
    <row r="20" spans="3:10" x14ac:dyDescent="0.25">
      <c r="C20" s="1">
        <v>40</v>
      </c>
      <c r="D20" s="1">
        <v>35</v>
      </c>
      <c r="E20" s="1"/>
      <c r="F20" s="1"/>
      <c r="G20" s="1"/>
      <c r="H20" s="1"/>
      <c r="I20" s="1"/>
      <c r="J20" s="1"/>
    </row>
    <row r="21" spans="3:10" x14ac:dyDescent="0.25">
      <c r="C21" s="1">
        <v>42</v>
      </c>
      <c r="D21" s="1">
        <v>36</v>
      </c>
      <c r="E21" s="1"/>
      <c r="F21" s="1"/>
      <c r="G21" s="1"/>
      <c r="H21" s="1"/>
      <c r="I21" s="1"/>
      <c r="J21" s="1"/>
    </row>
    <row r="22" spans="3:10" x14ac:dyDescent="0.25">
      <c r="C22" s="1">
        <v>43</v>
      </c>
      <c r="D22" s="1">
        <v>38</v>
      </c>
      <c r="E22" s="1"/>
      <c r="F22" s="1"/>
      <c r="G22" s="1"/>
      <c r="H22" s="1"/>
      <c r="I22" s="1"/>
      <c r="J22" s="1"/>
    </row>
    <row r="23" spans="3:10" x14ac:dyDescent="0.25">
      <c r="C23" s="1">
        <v>44</v>
      </c>
      <c r="D23" s="1">
        <v>40</v>
      </c>
      <c r="E23" s="1"/>
      <c r="F23" s="1"/>
      <c r="G23" s="1"/>
      <c r="H23" s="1"/>
      <c r="I23" s="1"/>
      <c r="J23" s="1"/>
    </row>
    <row r="24" spans="3:10" x14ac:dyDescent="0.25">
      <c r="C24" s="1">
        <v>45</v>
      </c>
      <c r="D24" s="1">
        <v>42</v>
      </c>
      <c r="E24" s="1"/>
      <c r="F24" s="1"/>
      <c r="G24" s="1"/>
      <c r="H24" s="1"/>
      <c r="I24" s="1"/>
      <c r="J24" s="1"/>
    </row>
    <row r="25" spans="3:10" x14ac:dyDescent="0.25">
      <c r="C25" s="1">
        <v>46</v>
      </c>
      <c r="D25" s="1">
        <v>44</v>
      </c>
      <c r="E25" s="1"/>
      <c r="F25" s="1"/>
      <c r="G25" s="1"/>
      <c r="H25" s="1"/>
      <c r="I25" s="1"/>
      <c r="J25" s="1"/>
    </row>
    <row r="26" spans="3:10" x14ac:dyDescent="0.25">
      <c r="C26" s="1">
        <v>48</v>
      </c>
      <c r="D26" s="1">
        <v>46</v>
      </c>
      <c r="E26" s="1"/>
      <c r="F26" s="1"/>
      <c r="G26" s="1"/>
      <c r="H26" s="1"/>
      <c r="I26" s="1"/>
      <c r="J26" s="1"/>
    </row>
    <row r="27" spans="3:10" x14ac:dyDescent="0.25">
      <c r="C27" s="1">
        <v>50</v>
      </c>
      <c r="D27" s="1">
        <v>48</v>
      </c>
      <c r="E27" s="1"/>
      <c r="F27" s="1"/>
      <c r="G27" s="1"/>
      <c r="H27" s="1"/>
      <c r="I27" s="1"/>
      <c r="J27" s="1"/>
    </row>
    <row r="28" spans="3:10" x14ac:dyDescent="0.25">
      <c r="C28" s="1">
        <v>52</v>
      </c>
      <c r="D28" s="1">
        <v>50</v>
      </c>
      <c r="E28" s="1"/>
      <c r="F28" s="1"/>
      <c r="G28" s="1"/>
      <c r="H28" s="1"/>
      <c r="I28" s="1"/>
      <c r="J28" s="1"/>
    </row>
    <row r="29" spans="3:10" x14ac:dyDescent="0.25">
      <c r="C29" s="1">
        <v>54</v>
      </c>
      <c r="D29" s="1">
        <v>52</v>
      </c>
      <c r="E29" s="1"/>
      <c r="F29" s="1"/>
      <c r="G29" s="1"/>
      <c r="H29" s="1"/>
      <c r="I29" s="1"/>
      <c r="J29" s="1"/>
    </row>
    <row r="30" spans="3:10" x14ac:dyDescent="0.25">
      <c r="C30" s="1">
        <v>56</v>
      </c>
      <c r="D30" s="1">
        <v>54</v>
      </c>
      <c r="E30" s="1"/>
      <c r="F30" s="1"/>
      <c r="G30" s="1"/>
      <c r="H30" s="1"/>
      <c r="I30" s="1"/>
      <c r="J30" s="1"/>
    </row>
    <row r="31" spans="3:10" x14ac:dyDescent="0.25">
      <c r="C31" s="1">
        <v>58</v>
      </c>
      <c r="D31" s="1"/>
      <c r="E31" s="1"/>
      <c r="F31" s="1"/>
      <c r="G31" s="1"/>
      <c r="H31" s="1"/>
      <c r="I31" s="1"/>
      <c r="J31" s="1"/>
    </row>
    <row r="32" spans="3:10" x14ac:dyDescent="0.25">
      <c r="C32" s="1">
        <v>60</v>
      </c>
      <c r="D32" s="1"/>
      <c r="E32" s="1"/>
      <c r="F32" s="1"/>
      <c r="G32" s="1"/>
      <c r="H32" s="1"/>
      <c r="I32" s="1"/>
      <c r="J32" s="1"/>
    </row>
    <row r="33" spans="3:10" x14ac:dyDescent="0.25">
      <c r="C33" s="1">
        <v>62</v>
      </c>
      <c r="D33" s="1"/>
      <c r="E33" s="1"/>
      <c r="F33" s="1"/>
      <c r="G33" s="1"/>
      <c r="H33" s="1"/>
      <c r="I33" s="1"/>
      <c r="J33" s="1"/>
    </row>
    <row r="34" spans="3:10" x14ac:dyDescent="0.25">
      <c r="C34" s="1">
        <v>64</v>
      </c>
      <c r="D34" s="1"/>
      <c r="E34" s="1"/>
      <c r="F34" s="1"/>
      <c r="G34" s="1"/>
      <c r="H34" s="1"/>
      <c r="I34" s="1"/>
      <c r="J34" s="1"/>
    </row>
    <row r="35" spans="3:10" x14ac:dyDescent="0.25">
      <c r="C35" s="1">
        <v>66</v>
      </c>
      <c r="D35" s="1"/>
      <c r="E35" s="1"/>
      <c r="F35" s="1"/>
      <c r="G35" s="1"/>
      <c r="H35" s="1"/>
      <c r="I35" s="1"/>
      <c r="J35" s="1"/>
    </row>
    <row r="36" spans="3:10" x14ac:dyDescent="0.25">
      <c r="C36" s="1">
        <v>68</v>
      </c>
      <c r="D36" s="1"/>
      <c r="E36" s="1"/>
      <c r="F36" s="1"/>
      <c r="G36" s="1"/>
      <c r="H36" s="1"/>
      <c r="I36" s="1"/>
      <c r="J36" s="1"/>
    </row>
    <row r="37" spans="3:10" x14ac:dyDescent="0.25">
      <c r="C37" s="1">
        <v>70</v>
      </c>
      <c r="D37" s="1"/>
      <c r="E37" s="1"/>
      <c r="F37" s="1"/>
      <c r="G37" s="1"/>
      <c r="H37" s="1"/>
      <c r="I37" s="1"/>
      <c r="J37" s="1"/>
    </row>
    <row r="38" spans="3:10" x14ac:dyDescent="0.25">
      <c r="C38" s="1">
        <v>72</v>
      </c>
      <c r="D38" s="1"/>
      <c r="E38" s="1"/>
      <c r="F38" s="1"/>
      <c r="G38" s="1"/>
      <c r="H38" s="1"/>
      <c r="I38" s="1"/>
      <c r="J38" s="1"/>
    </row>
    <row r="39" spans="3:10" x14ac:dyDescent="0.25">
      <c r="C39" s="1">
        <v>74</v>
      </c>
      <c r="D39" s="1"/>
      <c r="E39" s="1"/>
      <c r="F39" s="1"/>
      <c r="G39" s="1"/>
      <c r="H39" s="1"/>
      <c r="I39" s="1"/>
      <c r="J39" s="1"/>
    </row>
    <row r="40" spans="3:10" x14ac:dyDescent="0.25">
      <c r="C40" s="1">
        <v>76</v>
      </c>
      <c r="D40" s="1"/>
      <c r="E40" s="1"/>
      <c r="F40" s="1"/>
      <c r="G40" s="1"/>
      <c r="H40" s="1"/>
      <c r="I40" s="1"/>
      <c r="J40" s="1"/>
    </row>
    <row r="41" spans="3:10" x14ac:dyDescent="0.25">
      <c r="C41" s="1">
        <v>78</v>
      </c>
      <c r="D41" s="1"/>
      <c r="E41" s="1"/>
      <c r="F41" s="1"/>
      <c r="G41" s="1"/>
      <c r="H41" s="1"/>
      <c r="I41" s="1"/>
      <c r="J41" s="1"/>
    </row>
    <row r="42" spans="3:10" x14ac:dyDescent="0.25">
      <c r="C42" s="1">
        <v>80</v>
      </c>
      <c r="D42" s="1"/>
      <c r="E42" s="1"/>
      <c r="F42" s="1"/>
      <c r="G42" s="1"/>
      <c r="H42" s="1"/>
      <c r="I42" s="1"/>
      <c r="J42" s="1"/>
    </row>
    <row r="43" spans="3:10" x14ac:dyDescent="0.25">
      <c r="C43" s="1">
        <v>82</v>
      </c>
      <c r="D43" s="1"/>
      <c r="E43" s="1"/>
      <c r="F43" s="1"/>
      <c r="G43" s="1"/>
      <c r="H43" s="1"/>
      <c r="I43" s="1"/>
      <c r="J43" s="1"/>
    </row>
    <row r="44" spans="3:10" x14ac:dyDescent="0.25">
      <c r="C44" s="1">
        <v>84</v>
      </c>
      <c r="D44" s="1"/>
      <c r="E44" s="1"/>
      <c r="F44" s="1"/>
      <c r="G44" s="1"/>
      <c r="H44" s="1"/>
      <c r="I44" s="1"/>
      <c r="J4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Gear Options Calculator</vt:lpstr>
      <vt:lpstr>Specs</vt:lpstr>
      <vt:lpstr>Gear_Types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2020-03-24T21:49:50Z</dcterms:created>
  <dcterms:modified xsi:type="dcterms:W3CDTF">2020-03-27T23:02:32Z</dcterms:modified>
</cp:coreProperties>
</file>