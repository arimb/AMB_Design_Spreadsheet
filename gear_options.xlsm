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360" windowWidth="17955" windowHeight="11535"/>
  </bookViews>
  <sheets>
    <sheet name="Gear Options Calculator" sheetId="1" r:id="rId1"/>
    <sheet name="Specs" sheetId="3" r:id="rId2"/>
  </sheets>
  <functionGroups builtInGroupCount="17"/>
  <externalReferences>
    <externalReference r:id="rId3"/>
  </externalReferences>
  <definedNames>
    <definedName name="ChainBelts">Specs!$J$5:$J$11</definedName>
    <definedName name="ChainBeltSpecs">Specs!$J$5:$N$11</definedName>
    <definedName name="Eval_Links_Teeth" localSheetId="1">EVALUATE(CHOOSE(MATCH('[1]§ÌÅÍÒ¦ÉÐØ'!A1048572, {"Nearest","Up","Down"}, 0), "MROUND", "CEILING", "FLOOR") &amp; "(" &amp; 2/'[1]§ÌÅÍÒ¦ÉÐØ'!XEY5*SQRT(('[1]§ÌÅÍÒ¦ÉÐØ'!A1048571-'[1]§ÌÅÍÒ¦ÉÐØ'!XEY8)^2-('[1]§ÌÅÍÒ¦ÉÐØ'!XEY1048574/2-'[1]§ÌÅÍÒ¦ÉÐØ'!XEY1/2)^2)+('[1]§ÌÅÍÒ¦ÉÐØ'!XEY1048573-'[1]§ÌÅÍÒ¦ÉÐØ'!XEY1048576)*ACOS(('[1]§ÌÅÍÒ¦ÉÐØ'!XEY1-'[1]§ÌÅÍÒ¦ÉÐØ'!XEY1048574)/(2*('[1]§ÌÅÍÒ¦ÉÐØ'!A1048571-'[1]§ÌÅÍÒ¦ÉÐØ'!XEY8)))/PI()+'[1]§ÌÅÍÒ¦ÉÐØ'!XEY1048576 &amp; "," &amp; '[1]§ÌÅÍÒ¦ÉÐØ'!A1048573 &amp; ")")</definedName>
    <definedName name="Eval_Links_Teeth">EVALUATE(CHOOSE(MATCH('[1]§ÌÅÍÒ¦ÉÐØ'!A1048572, {"Nearest","Up","Down"}, 0), "MROUND", "CEILING", "FLOOR") &amp; "(" &amp; 2/'[1]§ÌÅÍÒ¦ÉÐØ'!XEY5*SQRT(('[1]§ÌÅÍÒ¦ÉÐØ'!A1048571-'[1]§ÌÅÍÒ¦ÉÐØ'!XEY8)^2-('[1]§ÌÅÍÒ¦ÉÐØ'!XEY1048574/2-'[1]§ÌÅÍÒ¦ÉÐØ'!XEY1/2)^2)+('[1]§ÌÅÍÒ¦ÉÐØ'!XEY1048573-'[1]§ÌÅÍÒ¦ÉÐØ'!XEY1048576)*ACOS(('[1]§ÌÅÍÒ¦ÉÐØ'!XEY1-'[1]§ÌÅÍÒ¦ÉÐØ'!XEY1048574)/(2*('[1]§ÌÅÍÒ¦ÉÐØ'!A1048571-'[1]§ÌÅÍÒ¦ÉÐØ'!XEY8)))/PI()+'[1]§ÌÅÍÒ¦ÉÐØ'!XEY1048576 &amp; "," &amp; '[1]§ÌÅÍÒ¦ÉÐØ'!A1048573 &amp; ")")</definedName>
    <definedName name="Gear_Types">Specs!$V$5:$AE$5</definedName>
    <definedName name="Materials">Specs!$Q$5:$Q$11</definedName>
    <definedName name="MaterialSpecs">Specs!$Q$5:$S$11</definedName>
    <definedName name="Motors">Specs!$B$5:$B$28</definedName>
    <definedName name="MotorSpecs">Specs!$B$5:$G$28</definedName>
    <definedName name="VP_180">[1]º´¨ÅØÅ!$O$46:$V$47</definedName>
    <definedName name="VP_90">[1]º´¨ÅØÅ!$O$51:$T$52</definedName>
    <definedName name="VP_Base">[1]º´¨ÅØÅ!$O$4:$U$8</definedName>
    <definedName name="VP_DualMotor">[1]º´¨ÅØÅ!$O$35:$V$42</definedName>
    <definedName name="VP_Encoder">[1]º´¨ÅØÅ!$O$60:$T$61</definedName>
    <definedName name="VP_Load">[1]º´¨ÅØÅ!$D$2:$L$1261</definedName>
    <definedName name="VP_Motor">[1]º´¨ÅØÅ!$O$12:$U$21</definedName>
    <definedName name="VP_Ratchet">[1]º´¨ÅØÅ!$O$56:$T$57</definedName>
    <definedName name="VP_Stage">[1]º´¨ÅØÅ!$O$25:$U$31</definedName>
  </definedNames>
  <calcPr calcId="145621"/>
</workbook>
</file>

<file path=xl/calcChain.xml><?xml version="1.0" encoding="utf-8"?>
<calcChain xmlns="http://schemas.openxmlformats.org/spreadsheetml/2006/main">
  <c r="G30" i="3" l="1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C37" i="1" l="1"/>
  <c r="C35" i="1"/>
  <c r="C34" i="1"/>
  <c r="C29" i="1"/>
  <c r="C28" i="1"/>
  <c r="C21" i="1"/>
  <c r="C20" i="1"/>
  <c r="C14" i="1"/>
  <c r="C13" i="1"/>
  <c r="C32" i="1" l="1"/>
  <c r="C38" i="1"/>
  <c r="C16" i="1" l="1"/>
  <c r="C36" i="1"/>
  <c r="C31" i="1"/>
  <c r="C30" i="1"/>
  <c r="C17" i="1" l="1"/>
</calcChain>
</file>

<file path=xl/sharedStrings.xml><?xml version="1.0" encoding="utf-8"?>
<sst xmlns="http://schemas.openxmlformats.org/spreadsheetml/2006/main" count="137" uniqueCount="80">
  <si>
    <t>Metric?</t>
  </si>
  <si>
    <t>Gear 1 Bore</t>
  </si>
  <si>
    <t>Gear 4 Bore</t>
  </si>
  <si>
    <t>1/2" Hex</t>
  </si>
  <si>
    <t>3/8" Hex</t>
  </si>
  <si>
    <t>CIM Pinion</t>
  </si>
  <si>
    <t>Gear Options Calculator</t>
  </si>
  <si>
    <t>Total Ratio</t>
  </si>
  <si>
    <t>Allow 2 Stage?</t>
  </si>
  <si>
    <t>Yes</t>
  </si>
  <si>
    <t>Max. Ratio Deviation</t>
  </si>
  <si>
    <t>Gears 2&amp;3 Bore</t>
  </si>
  <si>
    <t>Use Bore Diam.</t>
  </si>
  <si>
    <t>None</t>
  </si>
  <si>
    <t>8-10</t>
  </si>
  <si>
    <t>9-10</t>
  </si>
  <si>
    <t>10-12</t>
  </si>
  <si>
    <t>11-12</t>
  </si>
  <si>
    <t>13-14</t>
  </si>
  <si>
    <t>6-8</t>
  </si>
  <si>
    <t>Gear 1</t>
  </si>
  <si>
    <t>Gear 2</t>
  </si>
  <si>
    <t>Gear 3</t>
  </si>
  <si>
    <t>Gear 4</t>
  </si>
  <si>
    <t>Ratio</t>
  </si>
  <si>
    <t>NO POSSIBLE SOLUTIONS</t>
  </si>
  <si>
    <t>Note: Only works for 20DP gears</t>
  </si>
  <si>
    <t>Motor Specs</t>
  </si>
  <si>
    <t>Chain/Belt Dimensions</t>
  </si>
  <si>
    <t>Material Properties</t>
  </si>
  <si>
    <t>Free Speed (RPM)</t>
  </si>
  <si>
    <t>Stall Torque (Nm)</t>
  </si>
  <si>
    <t>Free Current (A)</t>
  </si>
  <si>
    <t>Stall Current (A)</t>
  </si>
  <si>
    <t>Power (W)</t>
  </si>
  <si>
    <t>Pitch</t>
  </si>
  <si>
    <t>Width</t>
  </si>
  <si>
    <t>Thick</t>
  </si>
  <si>
    <t>C-C Add.</t>
  </si>
  <si>
    <t>Young's Modulus (MPa)</t>
  </si>
  <si>
    <t>Shear Modulus (MPa)</t>
  </si>
  <si>
    <t>CIM</t>
  </si>
  <si>
    <t>#25 Chain</t>
  </si>
  <si>
    <t>7075-T6 Al</t>
  </si>
  <si>
    <t>Mini CIM</t>
  </si>
  <si>
    <t>#35 Chain</t>
  </si>
  <si>
    <t>6061-T6 Al</t>
  </si>
  <si>
    <t>NEO</t>
  </si>
  <si>
    <t>5mm HTD</t>
  </si>
  <si>
    <t>Steel</t>
  </si>
  <si>
    <t>Falcon 500</t>
  </si>
  <si>
    <t>3mm GT2</t>
  </si>
  <si>
    <t>Stainless</t>
  </si>
  <si>
    <t>775pro</t>
  </si>
  <si>
    <t>Redline</t>
  </si>
  <si>
    <t>NEO 550</t>
  </si>
  <si>
    <t>BAG Motor</t>
  </si>
  <si>
    <t>AM 775</t>
  </si>
  <si>
    <t>(Dimensions in mm)</t>
  </si>
  <si>
    <t>AM 9015</t>
  </si>
  <si>
    <t>BB RS-775</t>
  </si>
  <si>
    <t>BB RS-550</t>
  </si>
  <si>
    <t>Johnson Motor</t>
  </si>
  <si>
    <t>Snowblower</t>
  </si>
  <si>
    <t>NeveRest</t>
  </si>
  <si>
    <t>Throttle Motor</t>
  </si>
  <si>
    <t>Bosch Motor</t>
  </si>
  <si>
    <t>Dynamo</t>
  </si>
  <si>
    <t>Window Motor</t>
  </si>
  <si>
    <t>CIM + Mini</t>
  </si>
  <si>
    <t>CIM + 2 Mini</t>
  </si>
  <si>
    <t>2 CIM + Mini</t>
  </si>
  <si>
    <t>Note: For beginners there is no need to modify this page. Advanced users can choose to add their own motors, belt/chains, or material properties.</t>
  </si>
  <si>
    <t>Gear List</t>
  </si>
  <si>
    <t>Bearing</t>
  </si>
  <si>
    <t>CIM Gear</t>
  </si>
  <si>
    <t>775 Gear</t>
  </si>
  <si>
    <t>550 Gear</t>
  </si>
  <si>
    <t>BAG Gear</t>
  </si>
  <si>
    <t>Falcon Gear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</si>
</sst>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\ \:\ \1"/>
    <numFmt numFmtId="165" formatCode="0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b/>
      <sz val="20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FC5E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0" tint="-0.14999847407452621"/>
        <bgColor indexed="64"/>
      </patternFill>
    </fill>
  </fills>
  <borders count="30">
    <border>
      <left/>
      <right/>
      <top/>
      <bottom/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808080"/>
      </right>
      <top/>
      <bottom style="thin">
        <color rgb="FF000000"/>
      </bottom>
      <diagonal/>
    </border>
    <border>
      <left style="thin">
        <color rgb="FF808080"/>
      </left>
      <right style="thin">
        <color rgb="FF808080"/>
      </right>
      <top/>
      <bottom style="thin">
        <color rgb="FF000000"/>
      </bottom>
      <diagonal/>
    </border>
    <border>
      <left style="thin">
        <color rgb="FF80808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80808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double">
        <color rgb="FF00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double">
        <color rgb="FF000000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double">
        <color rgb="FF00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6" fillId="3" borderId="0" applyNumberFormat="0" applyBorder="0" applyAlignment="0" applyProtection="0"/>
    <xf numFmtId="0" fontId="2" fillId="4" borderId="0" applyNumberFormat="0" applyBorder="0" applyAlignment="0" applyProtection="0"/>
    <xf numFmtId="0" fontId="7" fillId="0" borderId="0"/>
    <xf numFmtId="0" fontId="8" fillId="0" borderId="0"/>
  </cellStyleXfs>
  <cellXfs count="63">
    <xf numFmtId="0" fontId="0" fillId="0" borderId="0" xfId="0"/>
    <xf numFmtId="0" fontId="0" fillId="0" borderId="0" xfId="0" applyAlignment="1" applyProtection="1">
      <alignment vertical="center"/>
    </xf>
    <xf numFmtId="0" fontId="0" fillId="0" borderId="2" xfId="0" applyFont="1" applyFill="1" applyBorder="1" applyAlignment="1" applyProtection="1">
      <alignment horizontal="left" vertical="center"/>
    </xf>
    <xf numFmtId="9" fontId="0" fillId="2" borderId="1" xfId="1" applyFont="1" applyFill="1" applyBorder="1" applyAlignment="1" applyProtection="1">
      <alignment vertical="center"/>
      <protection locked="0"/>
    </xf>
    <xf numFmtId="0" fontId="0" fillId="2" borderId="1" xfId="0" applyFill="1" applyBorder="1" applyAlignment="1" applyProtection="1">
      <alignment vertical="center"/>
      <protection locked="0"/>
    </xf>
    <xf numFmtId="0" fontId="4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</xf>
    <xf numFmtId="164" fontId="0" fillId="2" borderId="1" xfId="0" applyNumberFormat="1" applyFill="1" applyBorder="1" applyAlignment="1" applyProtection="1">
      <alignment vertical="center"/>
      <protection locked="0"/>
    </xf>
    <xf numFmtId="164" fontId="0" fillId="0" borderId="0" xfId="0" applyNumberFormat="1" applyAlignment="1" applyProtection="1">
      <alignment vertical="center"/>
    </xf>
    <xf numFmtId="0" fontId="0" fillId="0" borderId="0" xfId="0" applyNumberFormat="1" applyAlignment="1" applyProtection="1">
      <alignment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5" fontId="0" fillId="2" borderId="1" xfId="0" applyNumberFormat="1" applyFill="1" applyBorder="1" applyAlignment="1" applyProtection="1">
      <alignment vertical="center"/>
      <protection locked="0"/>
    </xf>
    <xf numFmtId="1" fontId="0" fillId="2" borderId="1" xfId="0" applyNumberFormat="1" applyFill="1" applyBorder="1" applyAlignment="1" applyProtection="1">
      <alignment vertical="center"/>
      <protection locked="0"/>
    </xf>
    <xf numFmtId="0" fontId="6" fillId="0" borderId="0" xfId="0" applyFont="1" applyBorder="1" applyAlignment="1" applyProtection="1">
      <alignment vertical="center"/>
    </xf>
    <xf numFmtId="0" fontId="3" fillId="0" borderId="9" xfId="0" applyNumberFormat="1" applyFont="1" applyFill="1" applyBorder="1" applyAlignment="1" applyProtection="1">
      <alignment horizontal="center" vertical="center"/>
    </xf>
    <xf numFmtId="0" fontId="3" fillId="0" borderId="10" xfId="0" applyNumberFormat="1" applyFont="1" applyFill="1" applyBorder="1" applyAlignment="1" applyProtection="1">
      <alignment horizontal="center" vertical="center"/>
    </xf>
    <xf numFmtId="0" fontId="3" fillId="0" borderId="11" xfId="0" applyFont="1" applyFill="1" applyBorder="1" applyAlignment="1" applyProtection="1">
      <alignment horizontal="center" vertical="center"/>
    </xf>
    <xf numFmtId="2" fontId="0" fillId="2" borderId="1" xfId="0" applyNumberFormat="1" applyFill="1" applyBorder="1" applyAlignment="1" applyProtection="1">
      <alignment vertical="center"/>
      <protection locked="0"/>
    </xf>
    <xf numFmtId="0" fontId="4" fillId="0" borderId="0" xfId="0" applyFont="1" applyAlignment="1" applyProtection="1">
      <alignment vertical="center"/>
    </xf>
    <xf numFmtId="0" fontId="9" fillId="0" borderId="12" xfId="0" applyNumberFormat="1" applyFont="1" applyBorder="1" applyAlignment="1" applyProtection="1">
      <alignment horizontal="center" vertical="center"/>
    </xf>
    <xf numFmtId="0" fontId="9" fillId="0" borderId="13" xfId="0" applyNumberFormat="1" applyFont="1" applyBorder="1" applyAlignment="1" applyProtection="1">
      <alignment horizontal="center" vertical="center"/>
    </xf>
    <xf numFmtId="0" fontId="9" fillId="0" borderId="14" xfId="0" applyNumberFormat="1" applyFont="1" applyBorder="1" applyAlignment="1" applyProtection="1">
      <alignment horizontal="center" vertical="center"/>
    </xf>
    <xf numFmtId="0" fontId="9" fillId="0" borderId="15" xfId="0" applyNumberFormat="1" applyFont="1" applyBorder="1" applyAlignment="1" applyProtection="1">
      <alignment horizontal="center" vertical="center"/>
    </xf>
    <xf numFmtId="0" fontId="9" fillId="0" borderId="16" xfId="0" applyNumberFormat="1" applyFont="1" applyBorder="1" applyAlignment="1" applyProtection="1">
      <alignment horizontal="center" vertical="center"/>
    </xf>
    <xf numFmtId="0" fontId="9" fillId="0" borderId="17" xfId="0" applyNumberFormat="1" applyFont="1" applyBorder="1" applyAlignment="1" applyProtection="1">
      <alignment horizontal="center" vertical="center"/>
    </xf>
    <xf numFmtId="0" fontId="0" fillId="0" borderId="0" xfId="0" applyBorder="1" applyAlignment="1" applyProtection="1">
      <alignment vertical="center"/>
    </xf>
    <xf numFmtId="0" fontId="0" fillId="0" borderId="21" xfId="0" applyBorder="1" applyAlignment="1" applyProtection="1">
      <alignment vertical="center"/>
    </xf>
    <xf numFmtId="0" fontId="3" fillId="0" borderId="2" xfId="0" applyFont="1" applyBorder="1" applyAlignment="1" applyProtection="1">
      <alignment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165" fontId="0" fillId="0" borderId="1" xfId="0" applyNumberFormat="1" applyBorder="1" applyAlignment="1" applyProtection="1">
      <alignment horizontal="center" vertical="center"/>
    </xf>
    <xf numFmtId="0" fontId="0" fillId="0" borderId="23" xfId="0" applyBorder="1" applyAlignment="1" applyProtection="1">
      <alignment vertical="center"/>
      <protection locked="0"/>
    </xf>
    <xf numFmtId="0" fontId="0" fillId="0" borderId="1" xfId="0" applyBorder="1" applyAlignment="1" applyProtection="1">
      <alignment vertical="center"/>
      <protection locked="0"/>
    </xf>
    <xf numFmtId="0" fontId="3" fillId="0" borderId="24" xfId="0" applyFont="1" applyBorder="1" applyAlignment="1" applyProtection="1">
      <alignment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vertical="center"/>
    </xf>
    <xf numFmtId="0" fontId="0" fillId="0" borderId="26" xfId="0" applyBorder="1" applyAlignment="1" applyProtection="1">
      <alignment vertical="center"/>
    </xf>
    <xf numFmtId="49" fontId="0" fillId="0" borderId="26" xfId="0" applyNumberFormat="1" applyBorder="1" applyAlignment="1" applyProtection="1">
      <alignment horizontal="right" vertical="center"/>
    </xf>
    <xf numFmtId="0" fontId="0" fillId="0" borderId="26" xfId="0" applyBorder="1"/>
    <xf numFmtId="0" fontId="0" fillId="0" borderId="27" xfId="0" applyBorder="1" applyAlignment="1" applyProtection="1">
      <alignment vertical="center"/>
    </xf>
    <xf numFmtId="0" fontId="0" fillId="0" borderId="28" xfId="0" applyBorder="1" applyAlignment="1" applyProtection="1">
      <alignment vertical="center"/>
    </xf>
    <xf numFmtId="0" fontId="3" fillId="5" borderId="18" xfId="0" applyFont="1" applyFill="1" applyBorder="1" applyAlignment="1" applyProtection="1">
      <alignment horizontal="center" vertical="center"/>
    </xf>
    <xf numFmtId="0" fontId="3" fillId="5" borderId="19" xfId="0" applyFont="1" applyFill="1" applyBorder="1" applyAlignment="1" applyProtection="1">
      <alignment horizontal="center" vertical="center"/>
    </xf>
    <xf numFmtId="0" fontId="3" fillId="5" borderId="20" xfId="0" applyFont="1" applyFill="1" applyBorder="1" applyAlignment="1" applyProtection="1">
      <alignment horizontal="center" vertical="center"/>
    </xf>
    <xf numFmtId="0" fontId="3" fillId="5" borderId="22" xfId="0" applyFont="1" applyFill="1" applyBorder="1" applyAlignment="1" applyProtection="1">
      <alignment horizontal="center" vertical="center"/>
    </xf>
    <xf numFmtId="0" fontId="3" fillId="5" borderId="23" xfId="0" applyFont="1" applyFill="1" applyBorder="1" applyAlignment="1" applyProtection="1">
      <alignment horizontal="center" vertical="center"/>
    </xf>
    <xf numFmtId="0" fontId="3" fillId="5" borderId="1" xfId="0" applyFont="1" applyFill="1" applyBorder="1" applyAlignment="1" applyProtection="1">
      <alignment horizontal="center" vertical="center"/>
    </xf>
    <xf numFmtId="0" fontId="3" fillId="5" borderId="2" xfId="0" applyFont="1" applyFill="1" applyBorder="1" applyAlignment="1" applyProtection="1">
      <alignment horizontal="center" vertical="center"/>
    </xf>
    <xf numFmtId="0" fontId="0" fillId="0" borderId="29" xfId="0" applyBorder="1" applyAlignment="1" applyProtection="1">
      <alignment vertical="center"/>
    </xf>
    <xf numFmtId="49" fontId="0" fillId="0" borderId="28" xfId="0" applyNumberFormat="1" applyBorder="1" applyAlignment="1" applyProtection="1">
      <alignment horizontal="right" vertical="center"/>
    </xf>
    <xf numFmtId="0" fontId="3" fillId="5" borderId="25" xfId="0" applyFont="1" applyFill="1" applyBorder="1" applyAlignment="1" applyProtection="1">
      <alignment vertical="center"/>
    </xf>
    <xf numFmtId="0" fontId="0" fillId="0" borderId="29" xfId="0" applyBorder="1" applyAlignment="1" applyProtection="1">
      <alignment vertical="center"/>
      <protection locked="0"/>
    </xf>
    <xf numFmtId="0" fontId="3" fillId="5" borderId="25" xfId="0" applyFont="1" applyFill="1" applyBorder="1" applyAlignment="1" applyProtection="1">
      <alignment vertical="center"/>
      <protection locked="0"/>
    </xf>
    <xf numFmtId="0" fontId="0" fillId="0" borderId="28" xfId="0" applyBorder="1" applyAlignment="1" applyProtection="1">
      <alignment vertical="center"/>
      <protection locked="0"/>
    </xf>
    <xf numFmtId="49" fontId="0" fillId="0" borderId="28" xfId="0" applyNumberFormat="1" applyBorder="1" applyAlignment="1" applyProtection="1">
      <alignment horizontal="right" vertical="center"/>
      <protection locked="0"/>
    </xf>
    <xf numFmtId="0" fontId="0" fillId="0" borderId="26" xfId="0" applyBorder="1" applyAlignment="1" applyProtection="1">
      <alignment vertical="center"/>
      <protection locked="0"/>
    </xf>
    <xf numFmtId="49" fontId="0" fillId="0" borderId="26" xfId="0" applyNumberFormat="1" applyBorder="1" applyAlignment="1" applyProtection="1">
      <alignment horizontal="right" vertical="center"/>
      <protection locked="0"/>
    </xf>
    <xf numFmtId="0" fontId="0" fillId="0" borderId="26" xfId="0" applyBorder="1" applyProtection="1">
      <protection locked="0"/>
    </xf>
    <xf numFmtId="0" fontId="0" fillId="0" borderId="27" xfId="0" applyBorder="1" applyAlignment="1" applyProtection="1">
      <alignment vertical="center"/>
      <protection locked="0"/>
    </xf>
  </cellXfs>
  <cellStyles count="6">
    <cellStyle name="Bad 2" xfId="2"/>
    <cellStyle name="Neutral 2" xfId="3"/>
    <cellStyle name="Normal" xfId="0" builtinId="0"/>
    <cellStyle name="Normal 2" xfId="4"/>
    <cellStyle name="Normal 3" xfId="5"/>
    <cellStyle name="Percent" xfId="1" builtinId="5"/>
  </cellStyles>
  <dxfs count="8"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theme="0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3743705557422"/>
        </top>
        <bottom style="thin">
          <color theme="0" tint="-0.14996795556505021"/>
        </bottom>
        <vertical/>
        <horizontal/>
      </border>
    </dxf>
  </dxfs>
  <tableStyles count="0" defaultTableStyle="TableStyleMedium2" defaultPivotStyle="PivotStyleLight16"/>
  <colors>
    <mruColors>
      <color rgb="FF663300"/>
      <color rgb="FFFFCC66"/>
      <color rgb="FF9FC5E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B$4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180975</xdr:rowOff>
        </xdr:from>
        <xdr:to>
          <xdr:col>2</xdr:col>
          <xdr:colOff>9525</xdr:colOff>
          <xdr:row>3</xdr:row>
          <xdr:rowOff>180975</xdr:rowOff>
        </xdr:to>
        <xdr:sp macro="" textlink="">
          <xdr:nvSpPr>
            <xdr:cNvPr id="1025" name="Metric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twoCellAnchor>
    <xdr:from>
      <xdr:col>2</xdr:col>
      <xdr:colOff>466726</xdr:colOff>
      <xdr:row>4</xdr:row>
      <xdr:rowOff>133350</xdr:rowOff>
    </xdr:from>
    <xdr:to>
      <xdr:col>3</xdr:col>
      <xdr:colOff>514351</xdr:colOff>
      <xdr:row>7</xdr:row>
      <xdr:rowOff>28575</xdr:rowOff>
    </xdr:to>
    <xdr:sp macro="[0]!GearOptions" textlink="">
      <xdr:nvSpPr>
        <xdr:cNvPr id="2" name="Rounded Rectangle 1"/>
        <xdr:cNvSpPr/>
      </xdr:nvSpPr>
      <xdr:spPr>
        <a:xfrm>
          <a:off x="1162051" y="1104900"/>
          <a:ext cx="1866900" cy="466725"/>
        </a:xfrm>
        <a:prstGeom prst="roundRect">
          <a:avLst/>
        </a:prstGeom>
        <a:solidFill>
          <a:srgbClr val="9FC5E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 b="1">
              <a:solidFill>
                <a:sysClr val="windowText" lastClr="000000"/>
              </a:solidFill>
            </a:rPr>
            <a:t>CALCULATE</a:t>
          </a:r>
        </a:p>
      </xdr:txBody>
    </xdr:sp>
    <xdr:clientData/>
  </xdr:twoCellAnchor>
  <xdr:twoCellAnchor editAs="oneCell">
    <xdr:from>
      <xdr:col>11</xdr:col>
      <xdr:colOff>0</xdr:colOff>
      <xdr:row>6</xdr:row>
      <xdr:rowOff>190499</xdr:rowOff>
    </xdr:from>
    <xdr:to>
      <xdr:col>17</xdr:col>
      <xdr:colOff>0</xdr:colOff>
      <xdr:row>26</xdr:row>
      <xdr:rowOff>39256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0" y="1543049"/>
          <a:ext cx="3657600" cy="3677807"/>
        </a:xfrm>
        <a:prstGeom prst="rect">
          <a:avLst/>
        </a:prstGeom>
        <a:ln w="28575">
          <a:solidFill>
            <a:sysClr val="windowText" lastClr="000000"/>
          </a:solidFill>
        </a:ln>
      </xdr:spPr>
    </xdr:pic>
    <xdr:clientData/>
  </xdr:twoCellAnchor>
  <xdr:twoCellAnchor editAs="oneCell">
    <xdr:from>
      <xdr:col>11</xdr:col>
      <xdr:colOff>0</xdr:colOff>
      <xdr:row>26</xdr:row>
      <xdr:rowOff>66675</xdr:rowOff>
    </xdr:from>
    <xdr:to>
      <xdr:col>17</xdr:col>
      <xdr:colOff>0</xdr:colOff>
      <xdr:row>45</xdr:row>
      <xdr:rowOff>17171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851" b="-1"/>
        <a:stretch/>
      </xdr:blipFill>
      <xdr:spPr>
        <a:xfrm>
          <a:off x="7772400" y="5257800"/>
          <a:ext cx="3657600" cy="3569996"/>
        </a:xfrm>
        <a:prstGeom prst="rect">
          <a:avLst/>
        </a:prstGeom>
        <a:ln w="28575">
          <a:solidFill>
            <a:sysClr val="windowText" lastClr="000000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1</xdr:row>
          <xdr:rowOff>0</xdr:rowOff>
        </xdr:from>
        <xdr:to>
          <xdr:col>25</xdr:col>
          <xdr:colOff>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Fill AM+Vex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190500</xdr:colOff>
          <xdr:row>1</xdr:row>
          <xdr:rowOff>0</xdr:rowOff>
        </xdr:from>
        <xdr:to>
          <xdr:col>26</xdr:col>
          <xdr:colOff>571500</xdr:colOff>
          <xdr:row>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Fill Vex Only List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MB%20Design%20Spreadsheet%20v4_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±ÉÇÌÅÒÍ×Ñ¶ÅØÍÓ"/>
      <sheetName val="°ÉÅÈ·ÇÖÉÛ"/>
      <sheetName val="¨ÖÍÚÉØÖÅÍÒ"/>
      <sheetName val="¦ÉÅÑ¦ÉÒÈ"/>
      <sheetName val="´ÖÓÎÉÇØÍÐÉ"/>
      <sheetName val="§ÌÅÍÒ¦ÉÐØ"/>
      <sheetName val="«ÉÅÖ§ÐÉÅÖ"/>
      <sheetName val="¶ÅØÍÓ¨Í×Ø"/>
      <sheetName val="´ÒÉÙÑÅØÍÇ×"/>
      <sheetName val="´ÒÉÙ°ÍÒÏÅËÉ"/>
      <sheetName val="º´¨ÅØÅ"/>
      <sheetName val="ºÉÖ×Å´ÐÅÒÉØÅÖÝ"/>
      <sheetName val="Spec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D2" t="str">
            <v>1/2" Hex AM 9015 -1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</row>
        <row r="3">
          <cell r="D3" t="str">
            <v>1/2" Hex BB RS-550 -1</v>
          </cell>
          <cell r="E3">
            <v>1</v>
          </cell>
          <cell r="F3">
            <v>1</v>
          </cell>
          <cell r="G3">
            <v>1</v>
          </cell>
          <cell r="H3">
            <v>1</v>
          </cell>
          <cell r="I3">
            <v>1</v>
          </cell>
        </row>
        <row r="4">
          <cell r="D4" t="str">
            <v>1/2" Hex BB RS-775 -1</v>
          </cell>
          <cell r="E4">
            <v>1</v>
          </cell>
          <cell r="F4">
            <v>1</v>
          </cell>
          <cell r="G4">
            <v>1</v>
          </cell>
          <cell r="H4">
            <v>1</v>
          </cell>
          <cell r="I4">
            <v>1</v>
          </cell>
          <cell r="O4" t="str">
            <v>1/2" Hex</v>
          </cell>
          <cell r="P4">
            <v>39.99</v>
          </cell>
          <cell r="Q4">
            <v>31.979999999999997</v>
          </cell>
          <cell r="R4">
            <v>0.34</v>
          </cell>
          <cell r="S4">
            <v>0.22</v>
          </cell>
          <cell r="T4" t="str">
            <v>217-4973,</v>
          </cell>
          <cell r="U4" t="str">
            <v>217-5823,217-2897,</v>
          </cell>
        </row>
        <row r="5">
          <cell r="D5" t="str">
            <v>1/2" Hex BAG Motor -1</v>
          </cell>
          <cell r="E5">
            <v>1</v>
          </cell>
          <cell r="F5">
            <v>1</v>
          </cell>
          <cell r="G5">
            <v>1</v>
          </cell>
          <cell r="H5">
            <v>1</v>
          </cell>
          <cell r="I5">
            <v>1</v>
          </cell>
          <cell r="O5" t="str">
            <v>1/2" Round</v>
          </cell>
          <cell r="P5">
            <v>39.99</v>
          </cell>
          <cell r="Q5">
            <v>27.979999999999997</v>
          </cell>
          <cell r="R5">
            <v>0.34</v>
          </cell>
          <cell r="S5">
            <v>0.22</v>
          </cell>
          <cell r="T5" t="str">
            <v>217-4975,</v>
          </cell>
          <cell r="U5" t="str">
            <v>217-5823,217-2895,</v>
          </cell>
        </row>
        <row r="6">
          <cell r="D6" t="str">
            <v>1/2" Hex 775pro -1</v>
          </cell>
          <cell r="E6">
            <v>1</v>
          </cell>
          <cell r="F6">
            <v>1</v>
          </cell>
          <cell r="G6">
            <v>1</v>
          </cell>
          <cell r="H6">
            <v>1</v>
          </cell>
          <cell r="I6">
            <v>1</v>
          </cell>
          <cell r="O6" t="str">
            <v>3/8" Hex</v>
          </cell>
          <cell r="P6">
            <v>39.99</v>
          </cell>
          <cell r="Q6">
            <v>17.989999999999998</v>
          </cell>
          <cell r="R6">
            <v>0.34</v>
          </cell>
          <cell r="S6">
            <v>0.22</v>
          </cell>
          <cell r="T6" t="str">
            <v>217-4974,</v>
          </cell>
          <cell r="U6" t="str">
            <v>217-5823,</v>
          </cell>
        </row>
        <row r="7">
          <cell r="D7" t="str">
            <v>1/2" Hex Mini CIM -1</v>
          </cell>
          <cell r="E7">
            <v>1</v>
          </cell>
          <cell r="F7">
            <v>1</v>
          </cell>
          <cell r="G7">
            <v>1</v>
          </cell>
          <cell r="H7">
            <v>1</v>
          </cell>
          <cell r="I7">
            <v>0</v>
          </cell>
          <cell r="O7" t="str">
            <v>CIM Motor</v>
          </cell>
          <cell r="P7">
            <v>39.99</v>
          </cell>
          <cell r="Q7">
            <v>27.979999999999997</v>
          </cell>
          <cell r="R7">
            <v>0.34</v>
          </cell>
          <cell r="S7">
            <v>0.22</v>
          </cell>
          <cell r="T7" t="str">
            <v>217-4976,</v>
          </cell>
          <cell r="U7" t="str">
            <v>217-5823,217-2893,</v>
          </cell>
        </row>
        <row r="8">
          <cell r="D8" t="str">
            <v>1/2" Hex CIM -1</v>
          </cell>
          <cell r="E8">
            <v>1</v>
          </cell>
          <cell r="F8">
            <v>1</v>
          </cell>
          <cell r="G8">
            <v>1</v>
          </cell>
          <cell r="H8">
            <v>1</v>
          </cell>
          <cell r="I8">
            <v>0</v>
          </cell>
          <cell r="O8" t="str">
            <v>Female</v>
          </cell>
          <cell r="P8">
            <v>44.99</v>
          </cell>
          <cell r="Q8">
            <v>24.99</v>
          </cell>
          <cell r="R8">
            <v>0.34</v>
          </cell>
          <cell r="S8">
            <v>0.22</v>
          </cell>
          <cell r="T8" t="str">
            <v>217-6473,</v>
          </cell>
          <cell r="U8" t="str">
            <v>217-5995,</v>
          </cell>
        </row>
        <row r="9">
          <cell r="D9" t="str">
            <v>1/2" Hex NEO -1</v>
          </cell>
          <cell r="E9">
            <v>1</v>
          </cell>
          <cell r="F9">
            <v>1</v>
          </cell>
          <cell r="G9">
            <v>1</v>
          </cell>
          <cell r="H9">
            <v>1</v>
          </cell>
          <cell r="I9">
            <v>0</v>
          </cell>
        </row>
        <row r="10">
          <cell r="D10" t="str">
            <v>1/2" Hex Falcon 500 -1</v>
          </cell>
          <cell r="E10">
            <v>1</v>
          </cell>
          <cell r="F10">
            <v>1</v>
          </cell>
          <cell r="G10">
            <v>1</v>
          </cell>
          <cell r="H10">
            <v>1</v>
          </cell>
          <cell r="I10">
            <v>0</v>
          </cell>
        </row>
        <row r="11">
          <cell r="D11" t="str">
            <v>1/2" Round AM 9015 -1</v>
          </cell>
          <cell r="E11">
            <v>1</v>
          </cell>
          <cell r="F11">
            <v>1</v>
          </cell>
          <cell r="G11">
            <v>1</v>
          </cell>
          <cell r="H11">
            <v>1</v>
          </cell>
          <cell r="I11">
            <v>1</v>
          </cell>
        </row>
        <row r="12">
          <cell r="D12" t="str">
            <v>1/2" Round BB RS-550 -1</v>
          </cell>
          <cell r="E12">
            <v>1</v>
          </cell>
          <cell r="F12">
            <v>1</v>
          </cell>
          <cell r="G12">
            <v>1</v>
          </cell>
          <cell r="H12">
            <v>1</v>
          </cell>
          <cell r="I12">
            <v>1</v>
          </cell>
          <cell r="O12" t="str">
            <v>AM 9015</v>
          </cell>
          <cell r="P12">
            <v>0</v>
          </cell>
          <cell r="Q12">
            <v>12.98</v>
          </cell>
          <cell r="R12">
            <v>0</v>
          </cell>
          <cell r="S12">
            <v>0</v>
          </cell>
          <cell r="U12" t="str">
            <v>217-3564,217-4649,</v>
          </cell>
        </row>
        <row r="13">
          <cell r="D13" t="str">
            <v>1/2" Round BB RS-775 -1</v>
          </cell>
          <cell r="E13">
            <v>1</v>
          </cell>
          <cell r="F13">
            <v>1</v>
          </cell>
          <cell r="G13">
            <v>1</v>
          </cell>
          <cell r="H13">
            <v>1</v>
          </cell>
          <cell r="I13">
            <v>1</v>
          </cell>
          <cell r="O13" t="str">
            <v>NeveRest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</row>
        <row r="14">
          <cell r="D14" t="str">
            <v>1/2" Round BAG Motor -1</v>
          </cell>
          <cell r="E14">
            <v>1</v>
          </cell>
          <cell r="F14">
            <v>1</v>
          </cell>
          <cell r="G14">
            <v>1</v>
          </cell>
          <cell r="H14">
            <v>1</v>
          </cell>
          <cell r="I14">
            <v>1</v>
          </cell>
          <cell r="O14" t="str">
            <v>BB RS-550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</row>
        <row r="15">
          <cell r="D15" t="str">
            <v>1/2" Round 775pro -1</v>
          </cell>
          <cell r="E15">
            <v>1</v>
          </cell>
          <cell r="F15">
            <v>1</v>
          </cell>
          <cell r="G15">
            <v>1</v>
          </cell>
          <cell r="H15">
            <v>1</v>
          </cell>
          <cell r="I15">
            <v>1</v>
          </cell>
          <cell r="O15" t="str">
            <v>BB RS-775</v>
          </cell>
          <cell r="P15">
            <v>0</v>
          </cell>
          <cell r="Q15">
            <v>12.98</v>
          </cell>
          <cell r="R15">
            <v>0</v>
          </cell>
          <cell r="S15">
            <v>0</v>
          </cell>
          <cell r="U15" t="str">
            <v>217-3564,217-4649,</v>
          </cell>
        </row>
        <row r="16">
          <cell r="D16" t="str">
            <v>1/2" Round Mini CIM -1</v>
          </cell>
          <cell r="E16">
            <v>1</v>
          </cell>
          <cell r="F16">
            <v>1</v>
          </cell>
          <cell r="G16">
            <v>1</v>
          </cell>
          <cell r="H16">
            <v>1</v>
          </cell>
          <cell r="I16">
            <v>0</v>
          </cell>
          <cell r="O16" t="str">
            <v>BAG Motor</v>
          </cell>
          <cell r="P16">
            <v>0</v>
          </cell>
          <cell r="Q16">
            <v>12.98</v>
          </cell>
          <cell r="R16">
            <v>0</v>
          </cell>
          <cell r="S16">
            <v>0</v>
          </cell>
          <cell r="U16" t="str">
            <v>217-3564,217-4649,</v>
          </cell>
        </row>
        <row r="17">
          <cell r="D17" t="str">
            <v>1/2" Round CIM -1</v>
          </cell>
          <cell r="E17">
            <v>1</v>
          </cell>
          <cell r="F17">
            <v>1</v>
          </cell>
          <cell r="G17">
            <v>1</v>
          </cell>
          <cell r="H17">
            <v>1</v>
          </cell>
          <cell r="I17">
            <v>0</v>
          </cell>
          <cell r="O17" t="str">
            <v>Mini CIM</v>
          </cell>
          <cell r="P17">
            <v>4.99</v>
          </cell>
          <cell r="Q17">
            <v>11.98</v>
          </cell>
          <cell r="R17">
            <v>0.7</v>
          </cell>
          <cell r="S17">
            <v>0.7</v>
          </cell>
          <cell r="T17" t="str">
            <v>217-4018,</v>
          </cell>
          <cell r="U17" t="str">
            <v>217-4018,</v>
          </cell>
        </row>
        <row r="18">
          <cell r="D18" t="str">
            <v>1/2" Round NEO -1</v>
          </cell>
          <cell r="E18">
            <v>1</v>
          </cell>
          <cell r="F18">
            <v>1</v>
          </cell>
          <cell r="G18">
            <v>1</v>
          </cell>
          <cell r="H18">
            <v>1</v>
          </cell>
          <cell r="I18">
            <v>0</v>
          </cell>
          <cell r="O18" t="str">
            <v>CIM</v>
          </cell>
          <cell r="P18">
            <v>4.99</v>
          </cell>
          <cell r="Q18">
            <v>11.98</v>
          </cell>
          <cell r="R18">
            <v>0.7</v>
          </cell>
          <cell r="S18">
            <v>0.7</v>
          </cell>
          <cell r="T18" t="str">
            <v>217-4018,</v>
          </cell>
          <cell r="U18" t="str">
            <v>217-4018,</v>
          </cell>
        </row>
        <row r="19">
          <cell r="D19" t="str">
            <v>1/2" Round Falcon 500 -1</v>
          </cell>
          <cell r="E19">
            <v>1</v>
          </cell>
          <cell r="F19">
            <v>1</v>
          </cell>
          <cell r="G19">
            <v>1</v>
          </cell>
          <cell r="H19">
            <v>1</v>
          </cell>
          <cell r="I19">
            <v>0</v>
          </cell>
          <cell r="O19" t="str">
            <v>775pro</v>
          </cell>
          <cell r="P19">
            <v>0</v>
          </cell>
          <cell r="Q19">
            <v>12.98</v>
          </cell>
          <cell r="R19">
            <v>0</v>
          </cell>
          <cell r="S19">
            <v>0</v>
          </cell>
          <cell r="U19" t="str">
            <v>217-3564,217-4649,</v>
          </cell>
        </row>
        <row r="20">
          <cell r="D20" t="str">
            <v>3/8" Hex AM 9015 -1</v>
          </cell>
          <cell r="E20">
            <v>1</v>
          </cell>
          <cell r="F20">
            <v>1</v>
          </cell>
          <cell r="G20">
            <v>1</v>
          </cell>
          <cell r="H20">
            <v>1</v>
          </cell>
          <cell r="I20">
            <v>1</v>
          </cell>
          <cell r="O20" t="str">
            <v>NEO</v>
          </cell>
          <cell r="P20">
            <v>4.99</v>
          </cell>
          <cell r="Q20">
            <v>11.98</v>
          </cell>
          <cell r="R20">
            <v>0.7</v>
          </cell>
          <cell r="S20">
            <v>0.7</v>
          </cell>
          <cell r="T20" t="str">
            <v>217-4018,</v>
          </cell>
          <cell r="U20" t="str">
            <v>217-4018,</v>
          </cell>
        </row>
        <row r="21">
          <cell r="D21" t="str">
            <v>3/8" Hex BB RS-550 -1</v>
          </cell>
          <cell r="E21">
            <v>1</v>
          </cell>
          <cell r="F21">
            <v>1</v>
          </cell>
          <cell r="G21">
            <v>1</v>
          </cell>
          <cell r="H21">
            <v>1</v>
          </cell>
          <cell r="I21">
            <v>1</v>
          </cell>
          <cell r="O21" t="str">
            <v>Falcon 500</v>
          </cell>
          <cell r="P21">
            <v>4.99</v>
          </cell>
          <cell r="Q21">
            <v>11.98</v>
          </cell>
          <cell r="R21">
            <v>0.7</v>
          </cell>
          <cell r="S21">
            <v>0.7</v>
          </cell>
          <cell r="T21" t="str">
            <v>217-4018,</v>
          </cell>
          <cell r="U21" t="str">
            <v>217-4018,</v>
          </cell>
        </row>
        <row r="22">
          <cell r="D22" t="str">
            <v>3/8" Hex BB RS-775 -1</v>
          </cell>
          <cell r="E22">
            <v>1</v>
          </cell>
          <cell r="F22">
            <v>1</v>
          </cell>
          <cell r="G22">
            <v>1</v>
          </cell>
          <cell r="H22">
            <v>1</v>
          </cell>
          <cell r="I22">
            <v>1</v>
          </cell>
        </row>
        <row r="23">
          <cell r="D23" t="str">
            <v>3/8" Hex BAG Motor -1</v>
          </cell>
          <cell r="E23">
            <v>1</v>
          </cell>
          <cell r="F23">
            <v>1</v>
          </cell>
          <cell r="G23">
            <v>1</v>
          </cell>
          <cell r="H23">
            <v>1</v>
          </cell>
          <cell r="I23">
            <v>1</v>
          </cell>
        </row>
        <row r="24">
          <cell r="D24" t="str">
            <v>3/8" Hex 775pro -1</v>
          </cell>
          <cell r="E24">
            <v>1</v>
          </cell>
          <cell r="F24">
            <v>1</v>
          </cell>
          <cell r="G24">
            <v>1</v>
          </cell>
          <cell r="H24">
            <v>1</v>
          </cell>
          <cell r="I24">
            <v>1</v>
          </cell>
        </row>
        <row r="25">
          <cell r="D25" t="str">
            <v>3/8" Hex Mini CIM -1</v>
          </cell>
          <cell r="E25">
            <v>1</v>
          </cell>
          <cell r="F25">
            <v>1</v>
          </cell>
          <cell r="G25">
            <v>1</v>
          </cell>
          <cell r="H25">
            <v>1</v>
          </cell>
          <cell r="I25">
            <v>0</v>
          </cell>
          <cell r="O25" t="str">
            <v>None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</row>
        <row r="26">
          <cell r="D26" t="str">
            <v>3/8" Hex CIM -1</v>
          </cell>
          <cell r="E26">
            <v>1</v>
          </cell>
          <cell r="F26">
            <v>1</v>
          </cell>
          <cell r="G26">
            <v>1</v>
          </cell>
          <cell r="H26">
            <v>1</v>
          </cell>
          <cell r="I26">
            <v>0</v>
          </cell>
          <cell r="O26" t="str">
            <v>3 : 1</v>
          </cell>
          <cell r="P26">
            <v>24.98</v>
          </cell>
          <cell r="Q26">
            <v>16.98</v>
          </cell>
          <cell r="R26">
            <v>0.2</v>
          </cell>
          <cell r="S26">
            <v>0.18</v>
          </cell>
          <cell r="T26" t="str">
            <v>217-2816,217-2817,</v>
          </cell>
          <cell r="U26" t="str">
            <v>217-5832,217-2817,</v>
          </cell>
        </row>
        <row r="27">
          <cell r="D27" t="str">
            <v>3/8" Hex NEO -1</v>
          </cell>
          <cell r="E27">
            <v>1</v>
          </cell>
          <cell r="F27">
            <v>1</v>
          </cell>
          <cell r="G27">
            <v>1</v>
          </cell>
          <cell r="H27">
            <v>1</v>
          </cell>
          <cell r="I27">
            <v>0</v>
          </cell>
          <cell r="O27" t="str">
            <v>4 : 1</v>
          </cell>
          <cell r="P27">
            <v>24.98</v>
          </cell>
          <cell r="Q27">
            <v>16.98</v>
          </cell>
          <cell r="R27">
            <v>0.2</v>
          </cell>
          <cell r="S27">
            <v>0.18</v>
          </cell>
          <cell r="T27" t="str">
            <v>217-2816,217-2818,</v>
          </cell>
          <cell r="U27" t="str">
            <v>217-5832,217-2818,</v>
          </cell>
        </row>
        <row r="28">
          <cell r="D28" t="str">
            <v>3/8" Hex Falcon 500 -1</v>
          </cell>
          <cell r="E28">
            <v>1</v>
          </cell>
          <cell r="F28">
            <v>1</v>
          </cell>
          <cell r="G28">
            <v>1</v>
          </cell>
          <cell r="H28">
            <v>1</v>
          </cell>
          <cell r="I28">
            <v>0</v>
          </cell>
          <cell r="O28" t="str">
            <v>5 : 1</v>
          </cell>
          <cell r="P28">
            <v>24.98</v>
          </cell>
          <cell r="Q28">
            <v>16.98</v>
          </cell>
          <cell r="R28">
            <v>0.2</v>
          </cell>
          <cell r="S28">
            <v>0.18</v>
          </cell>
          <cell r="T28" t="str">
            <v>217-2816,217-2819,</v>
          </cell>
          <cell r="U28" t="str">
            <v>217-5832,217-2819,</v>
          </cell>
        </row>
        <row r="29">
          <cell r="D29" t="str">
            <v>CIM Motor AM 9015 -1</v>
          </cell>
          <cell r="E29">
            <v>1</v>
          </cell>
          <cell r="F29">
            <v>1</v>
          </cell>
          <cell r="G29">
            <v>1</v>
          </cell>
          <cell r="H29">
            <v>1</v>
          </cell>
          <cell r="I29">
            <v>1</v>
          </cell>
          <cell r="O29" t="str">
            <v>7 : 1</v>
          </cell>
          <cell r="P29">
            <v>24.98</v>
          </cell>
          <cell r="Q29">
            <v>16.98</v>
          </cell>
          <cell r="R29">
            <v>0.2</v>
          </cell>
          <cell r="S29">
            <v>0.18</v>
          </cell>
          <cell r="T29" t="str">
            <v>217-2816,217-3102,</v>
          </cell>
          <cell r="U29" t="str">
            <v>217-5832,217-3102,</v>
          </cell>
        </row>
        <row r="30">
          <cell r="D30" t="str">
            <v>CIM Motor BB RS-550 -1</v>
          </cell>
          <cell r="E30">
            <v>1</v>
          </cell>
          <cell r="F30">
            <v>1</v>
          </cell>
          <cell r="G30">
            <v>1</v>
          </cell>
          <cell r="H30">
            <v>1</v>
          </cell>
          <cell r="I30">
            <v>1</v>
          </cell>
          <cell r="O30" t="str">
            <v>9 : 1</v>
          </cell>
          <cell r="P30">
            <v>24.98</v>
          </cell>
          <cell r="Q30">
            <v>16.98</v>
          </cell>
          <cell r="R30">
            <v>0.2</v>
          </cell>
          <cell r="S30">
            <v>0.18</v>
          </cell>
          <cell r="T30" t="str">
            <v>217-2816,217-3106,</v>
          </cell>
          <cell r="U30" t="str">
            <v>217-5832,217-3106,</v>
          </cell>
        </row>
        <row r="31">
          <cell r="D31" t="str">
            <v>CIM Motor BB RS-775 -1</v>
          </cell>
          <cell r="E31">
            <v>1</v>
          </cell>
          <cell r="F31">
            <v>1</v>
          </cell>
          <cell r="G31">
            <v>1</v>
          </cell>
          <cell r="H31">
            <v>1</v>
          </cell>
          <cell r="I31">
            <v>1</v>
          </cell>
          <cell r="O31" t="str">
            <v>10 : 1</v>
          </cell>
          <cell r="P31">
            <v>24.98</v>
          </cell>
          <cell r="Q31">
            <v>16.98</v>
          </cell>
          <cell r="R31">
            <v>0.2</v>
          </cell>
          <cell r="S31">
            <v>0.18</v>
          </cell>
          <cell r="T31" t="str">
            <v>217-2816,217-2820,</v>
          </cell>
          <cell r="U31" t="str">
            <v>217-5832,217-2820,</v>
          </cell>
        </row>
        <row r="32">
          <cell r="D32" t="str">
            <v>CIM Motor BAG Motor -1</v>
          </cell>
          <cell r="E32">
            <v>1</v>
          </cell>
          <cell r="F32">
            <v>1</v>
          </cell>
          <cell r="G32">
            <v>1</v>
          </cell>
          <cell r="H32">
            <v>1</v>
          </cell>
          <cell r="I32">
            <v>1</v>
          </cell>
        </row>
        <row r="33">
          <cell r="D33" t="str">
            <v>CIM Motor 775pro -1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</row>
        <row r="34">
          <cell r="D34" t="str">
            <v>CIM Motor Mini CIM -1</v>
          </cell>
          <cell r="E34">
            <v>1</v>
          </cell>
          <cell r="F34">
            <v>1</v>
          </cell>
          <cell r="G34">
            <v>1</v>
          </cell>
          <cell r="H34">
            <v>1</v>
          </cell>
          <cell r="I34">
            <v>0</v>
          </cell>
        </row>
        <row r="35">
          <cell r="D35" t="str">
            <v>CIM Motor CIM -1</v>
          </cell>
          <cell r="E35">
            <v>1</v>
          </cell>
          <cell r="F35">
            <v>1</v>
          </cell>
          <cell r="G35">
            <v>1</v>
          </cell>
          <cell r="H35">
            <v>1</v>
          </cell>
          <cell r="I35">
            <v>0</v>
          </cell>
          <cell r="O35" t="str">
            <v>None</v>
          </cell>
          <cell r="P35">
            <v>0</v>
          </cell>
          <cell r="R35">
            <v>0</v>
          </cell>
        </row>
        <row r="36">
          <cell r="D36" t="str">
            <v>CIM Motor NEO -1</v>
          </cell>
          <cell r="E36">
            <v>1</v>
          </cell>
          <cell r="F36">
            <v>1</v>
          </cell>
          <cell r="G36">
            <v>1</v>
          </cell>
          <cell r="H36">
            <v>1</v>
          </cell>
          <cell r="I36">
            <v>0</v>
          </cell>
          <cell r="O36" t="str">
            <v>DM Nyl 1:1</v>
          </cell>
          <cell r="P36">
            <v>41.97</v>
          </cell>
          <cell r="R36">
            <v>0.31</v>
          </cell>
          <cell r="T36" t="str">
            <v>217-6342,217-2701,217-6432,</v>
          </cell>
          <cell r="U36" t="str">
            <v>217-6342,217-2701,217-6432,</v>
          </cell>
          <cell r="V36" t="str">
            <v>217-6342,217-2701,217-6432,</v>
          </cell>
        </row>
        <row r="37">
          <cell r="D37" t="str">
            <v>CIM Motor Falcon 500 -1</v>
          </cell>
          <cell r="E37">
            <v>1</v>
          </cell>
          <cell r="F37">
            <v>1</v>
          </cell>
          <cell r="G37">
            <v>1</v>
          </cell>
          <cell r="H37">
            <v>1</v>
          </cell>
          <cell r="I37">
            <v>0</v>
          </cell>
          <cell r="O37" t="str">
            <v>DM Nyl 3.75:1</v>
          </cell>
          <cell r="P37">
            <v>42.97</v>
          </cell>
          <cell r="R37">
            <v>0.31</v>
          </cell>
          <cell r="T37" t="str">
            <v>217-6342,217-3210,217-6367,</v>
          </cell>
          <cell r="U37" t="str">
            <v>217-6342,217-3210,217-6362,</v>
          </cell>
          <cell r="V37" t="str">
            <v>217-6342,217-3210,217-6368,</v>
          </cell>
        </row>
        <row r="38">
          <cell r="D38" t="str">
            <v>Female AM 9015 -1</v>
          </cell>
          <cell r="E38">
            <v>1</v>
          </cell>
          <cell r="F38">
            <v>1</v>
          </cell>
          <cell r="G38">
            <v>1</v>
          </cell>
          <cell r="H38">
            <v>1</v>
          </cell>
          <cell r="I38">
            <v>1</v>
          </cell>
          <cell r="O38" t="str">
            <v>DM Nyl 5.33:1</v>
          </cell>
          <cell r="P38">
            <v>42.97</v>
          </cell>
          <cell r="R38">
            <v>0.31</v>
          </cell>
          <cell r="T38" t="str">
            <v>217-6342,217-5455,217-6333,</v>
          </cell>
          <cell r="U38" t="str">
            <v>217-6342,217-5455,217-6285,</v>
          </cell>
          <cell r="V38" t="str">
            <v>217-6342,217-5455,217-6339,</v>
          </cell>
        </row>
        <row r="39">
          <cell r="D39" t="str">
            <v>Female BB RS-550 -1</v>
          </cell>
          <cell r="E39">
            <v>1</v>
          </cell>
          <cell r="F39">
            <v>1</v>
          </cell>
          <cell r="G39">
            <v>1</v>
          </cell>
          <cell r="H39">
            <v>1</v>
          </cell>
          <cell r="I39">
            <v>1</v>
          </cell>
          <cell r="O39" t="str">
            <v>DM Al 1:1</v>
          </cell>
          <cell r="P39">
            <v>56.97</v>
          </cell>
          <cell r="R39">
            <v>0.34</v>
          </cell>
          <cell r="T39" t="str">
            <v>217-6417,217-2701,217-6432,</v>
          </cell>
          <cell r="U39" t="str">
            <v>217-6417,217-2701,217-6432,</v>
          </cell>
          <cell r="V39" t="str">
            <v>217-6417,217-2701,217-6432,</v>
          </cell>
        </row>
        <row r="40">
          <cell r="D40" t="str">
            <v>Female BB RS-775 -1</v>
          </cell>
          <cell r="E40">
            <v>1</v>
          </cell>
          <cell r="F40">
            <v>1</v>
          </cell>
          <cell r="G40">
            <v>1</v>
          </cell>
          <cell r="H40">
            <v>1</v>
          </cell>
          <cell r="I40">
            <v>1</v>
          </cell>
          <cell r="O40" t="str">
            <v>DM Al 3.75:1</v>
          </cell>
          <cell r="P40">
            <v>57.97</v>
          </cell>
          <cell r="R40">
            <v>0.34</v>
          </cell>
          <cell r="T40" t="str">
            <v>217-6417,217-3210,217-6367,</v>
          </cell>
          <cell r="U40" t="str">
            <v>217-6417,217-3210,217-6362,</v>
          </cell>
          <cell r="V40" t="str">
            <v>217-6417,217-3210,217-6368,</v>
          </cell>
        </row>
        <row r="41">
          <cell r="D41" t="str">
            <v>Female BAG Motor -1</v>
          </cell>
          <cell r="E41">
            <v>1</v>
          </cell>
          <cell r="F41">
            <v>1</v>
          </cell>
          <cell r="G41">
            <v>1</v>
          </cell>
          <cell r="H41">
            <v>1</v>
          </cell>
          <cell r="I41">
            <v>1</v>
          </cell>
          <cell r="O41" t="str">
            <v>DM Al 5.33:1</v>
          </cell>
          <cell r="P41">
            <v>57.97</v>
          </cell>
          <cell r="R41">
            <v>0.34</v>
          </cell>
          <cell r="T41" t="str">
            <v>217-6417,217-5455,217-6333,</v>
          </cell>
          <cell r="U41" t="str">
            <v>217-6417,217-5455,217-6285,</v>
          </cell>
          <cell r="V41" t="str">
            <v>217-6417,217-5455,217-6339,</v>
          </cell>
        </row>
        <row r="42">
          <cell r="D42" t="str">
            <v>Female 775pro -1</v>
          </cell>
          <cell r="E42">
            <v>1</v>
          </cell>
          <cell r="F42">
            <v>1</v>
          </cell>
          <cell r="G42">
            <v>1</v>
          </cell>
          <cell r="H42">
            <v>1</v>
          </cell>
          <cell r="I42">
            <v>1</v>
          </cell>
          <cell r="O42" t="str">
            <v>Dual Motor</v>
          </cell>
          <cell r="P42">
            <v>14.98</v>
          </cell>
          <cell r="R42">
            <v>0.2</v>
          </cell>
          <cell r="T42" t="str">
            <v>217-3141,</v>
          </cell>
        </row>
        <row r="43">
          <cell r="D43" t="str">
            <v>Female Mini CIM -1</v>
          </cell>
          <cell r="E43">
            <v>1</v>
          </cell>
          <cell r="F43">
            <v>1</v>
          </cell>
          <cell r="G43">
            <v>1</v>
          </cell>
          <cell r="H43">
            <v>1</v>
          </cell>
          <cell r="I43">
            <v>0</v>
          </cell>
        </row>
        <row r="44">
          <cell r="D44" t="str">
            <v>Female CIM -1</v>
          </cell>
          <cell r="E44">
            <v>1</v>
          </cell>
          <cell r="F44">
            <v>1</v>
          </cell>
          <cell r="G44">
            <v>1</v>
          </cell>
          <cell r="H44">
            <v>1</v>
          </cell>
          <cell r="I44">
            <v>0</v>
          </cell>
        </row>
        <row r="45">
          <cell r="D45" t="str">
            <v>Female NEO -1</v>
          </cell>
          <cell r="E45">
            <v>1</v>
          </cell>
          <cell r="F45">
            <v>1</v>
          </cell>
          <cell r="G45">
            <v>1</v>
          </cell>
          <cell r="H45">
            <v>1</v>
          </cell>
          <cell r="I45">
            <v>0</v>
          </cell>
        </row>
        <row r="46">
          <cell r="D46" t="str">
            <v>Female Falcon 500 -1</v>
          </cell>
          <cell r="E46">
            <v>1</v>
          </cell>
          <cell r="F46">
            <v>1</v>
          </cell>
          <cell r="G46">
            <v>1</v>
          </cell>
          <cell r="H46">
            <v>1</v>
          </cell>
          <cell r="I46">
            <v>0</v>
          </cell>
          <cell r="O46" t="str">
            <v>Yes</v>
          </cell>
          <cell r="P46">
            <v>67.95</v>
          </cell>
          <cell r="R46">
            <v>0.28000000000000003</v>
          </cell>
          <cell r="T46" t="str">
            <v>217-6011,217-6043,217-5882,217-5875,217-5870,</v>
          </cell>
          <cell r="U46" t="str">
            <v>217-6011,217-6043,217-5882,217-5875,217-5871,</v>
          </cell>
          <cell r="V46" t="str">
            <v>217-6011,217-6043,217-5882,217-5875,217-5872,</v>
          </cell>
        </row>
        <row r="47">
          <cell r="D47" t="str">
            <v>1/2" Hex AM 9015 -3</v>
          </cell>
          <cell r="E47">
            <v>1</v>
          </cell>
          <cell r="I47">
            <v>1</v>
          </cell>
          <cell r="O47" t="str">
            <v>No</v>
          </cell>
          <cell r="P47">
            <v>0</v>
          </cell>
          <cell r="R47">
            <v>0</v>
          </cell>
        </row>
        <row r="48">
          <cell r="D48" t="str">
            <v>1/2" Hex AM 9015 -4</v>
          </cell>
          <cell r="E48">
            <v>1</v>
          </cell>
          <cell r="I48">
            <v>1</v>
          </cell>
        </row>
        <row r="49">
          <cell r="D49" t="str">
            <v>1/2" Hex AM 9015 -5</v>
          </cell>
          <cell r="E49">
            <v>1</v>
          </cell>
          <cell r="I49">
            <v>1</v>
          </cell>
        </row>
        <row r="50">
          <cell r="D50" t="str">
            <v>1/2" Hex AM 9015 -7</v>
          </cell>
          <cell r="E50">
            <v>1</v>
          </cell>
          <cell r="I50">
            <v>1</v>
          </cell>
        </row>
        <row r="51">
          <cell r="D51" t="str">
            <v>1/2" Hex AM 9015 -9</v>
          </cell>
          <cell r="E51">
            <v>1</v>
          </cell>
          <cell r="I51">
            <v>1</v>
          </cell>
          <cell r="O51" t="str">
            <v>Yes</v>
          </cell>
          <cell r="P51">
            <v>84.99</v>
          </cell>
          <cell r="R51">
            <v>0.57999999999999996</v>
          </cell>
          <cell r="T51" t="str">
            <v>217-6293,</v>
          </cell>
        </row>
        <row r="52">
          <cell r="D52" t="str">
            <v>1/2" Hex AM 9015 -10</v>
          </cell>
          <cell r="E52">
            <v>1</v>
          </cell>
          <cell r="I52">
            <v>1</v>
          </cell>
          <cell r="O52" t="str">
            <v>No</v>
          </cell>
          <cell r="P52">
            <v>0</v>
          </cell>
          <cell r="R52">
            <v>0</v>
          </cell>
        </row>
        <row r="53">
          <cell r="D53" t="str">
            <v>1/2" Hex AM 9015 9</v>
          </cell>
          <cell r="E53">
            <v>10</v>
          </cell>
          <cell r="I53">
            <v>10</v>
          </cell>
        </row>
        <row r="54">
          <cell r="D54" t="str">
            <v>1/2" Hex AM 9015 12</v>
          </cell>
          <cell r="E54">
            <v>10</v>
          </cell>
          <cell r="I54">
            <v>7</v>
          </cell>
        </row>
        <row r="55">
          <cell r="D55" t="str">
            <v>1/2" Hex AM 9015 15</v>
          </cell>
          <cell r="E55">
            <v>10</v>
          </cell>
          <cell r="I55">
            <v>5</v>
          </cell>
        </row>
        <row r="56">
          <cell r="D56" t="str">
            <v>1/2" Hex AM 9015 16</v>
          </cell>
          <cell r="E56">
            <v>10</v>
          </cell>
          <cell r="I56">
            <v>5</v>
          </cell>
          <cell r="O56" t="str">
            <v>Yes</v>
          </cell>
          <cell r="P56">
            <v>14.99</v>
          </cell>
          <cell r="R56">
            <v>0.14000000000000001</v>
          </cell>
          <cell r="T56" t="str">
            <v>217-6048,</v>
          </cell>
        </row>
        <row r="57">
          <cell r="D57" t="str">
            <v>1/2" Hex AM 9015 20</v>
          </cell>
          <cell r="E57">
            <v>10</v>
          </cell>
          <cell r="I57">
            <v>4</v>
          </cell>
          <cell r="O57" t="str">
            <v>No</v>
          </cell>
          <cell r="P57">
            <v>0</v>
          </cell>
          <cell r="R57">
            <v>0</v>
          </cell>
        </row>
        <row r="58">
          <cell r="D58" t="str">
            <v>1/2" Hex AM 9015 21</v>
          </cell>
          <cell r="E58">
            <v>10</v>
          </cell>
          <cell r="I58">
            <v>4</v>
          </cell>
        </row>
        <row r="59">
          <cell r="D59" t="str">
            <v>1/2" Hex AM 9015 25</v>
          </cell>
          <cell r="E59">
            <v>7</v>
          </cell>
          <cell r="I59">
            <v>3</v>
          </cell>
        </row>
        <row r="60">
          <cell r="D60" t="str">
            <v>1/2" Hex AM 9015 27</v>
          </cell>
          <cell r="E60">
            <v>7</v>
          </cell>
          <cell r="I60">
            <v>3</v>
          </cell>
          <cell r="O60" t="str">
            <v>Yes</v>
          </cell>
          <cell r="P60">
            <v>49.99</v>
          </cell>
          <cell r="R60">
            <v>0.08</v>
          </cell>
          <cell r="T60" t="str">
            <v>217-5046,</v>
          </cell>
        </row>
        <row r="61">
          <cell r="D61" t="str">
            <v>1/2" Hex AM 9015 28</v>
          </cell>
          <cell r="E61">
            <v>7</v>
          </cell>
          <cell r="I61">
            <v>3</v>
          </cell>
          <cell r="O61" t="str">
            <v>No</v>
          </cell>
          <cell r="P61">
            <v>0</v>
          </cell>
          <cell r="R61">
            <v>0</v>
          </cell>
        </row>
        <row r="62">
          <cell r="D62" t="str">
            <v>1/2" Hex AM 9015 30</v>
          </cell>
          <cell r="E62">
            <v>7</v>
          </cell>
          <cell r="I62">
            <v>3</v>
          </cell>
        </row>
        <row r="63">
          <cell r="D63" t="str">
            <v>1/2" Hex AM 9015 35</v>
          </cell>
          <cell r="E63">
            <v>5</v>
          </cell>
          <cell r="I63">
            <v>1</v>
          </cell>
        </row>
        <row r="64">
          <cell r="D64" t="str">
            <v>1/2" Hex AM 9015 36</v>
          </cell>
          <cell r="E64">
            <v>5</v>
          </cell>
          <cell r="I64">
            <v>1</v>
          </cell>
        </row>
        <row r="65">
          <cell r="D65" t="str">
            <v>1/2" Hex AM 9015 40</v>
          </cell>
          <cell r="E65">
            <v>5</v>
          </cell>
          <cell r="I65">
            <v>1</v>
          </cell>
        </row>
        <row r="66">
          <cell r="D66" t="str">
            <v>1/2" Hex AM 9015 45</v>
          </cell>
          <cell r="E66">
            <v>5</v>
          </cell>
          <cell r="I66">
            <v>1</v>
          </cell>
        </row>
        <row r="67">
          <cell r="D67" t="str">
            <v>1/2" Hex AM 9015 49</v>
          </cell>
          <cell r="E67">
            <v>5</v>
          </cell>
          <cell r="I67">
            <v>1</v>
          </cell>
        </row>
        <row r="68">
          <cell r="D68" t="str">
            <v>1/2" Hex AM 9015 50</v>
          </cell>
          <cell r="E68">
            <v>5</v>
          </cell>
          <cell r="I68">
            <v>1</v>
          </cell>
        </row>
        <row r="69">
          <cell r="D69" t="str">
            <v>1/2" Hex AM 9015 63</v>
          </cell>
          <cell r="E69">
            <v>5</v>
          </cell>
          <cell r="I69">
            <v>1</v>
          </cell>
        </row>
        <row r="70">
          <cell r="D70" t="str">
            <v>1/2" Hex AM 9015 70</v>
          </cell>
          <cell r="E70">
            <v>4</v>
          </cell>
          <cell r="I70">
            <v>1</v>
          </cell>
        </row>
        <row r="71">
          <cell r="D71" t="str">
            <v>1/2" Hex AM 9015 81</v>
          </cell>
          <cell r="E71">
            <v>4</v>
          </cell>
          <cell r="I71">
            <v>1</v>
          </cell>
        </row>
        <row r="72">
          <cell r="D72" t="str">
            <v>1/2" Hex AM 9015 90</v>
          </cell>
          <cell r="E72">
            <v>3</v>
          </cell>
          <cell r="I72">
            <v>1</v>
          </cell>
        </row>
        <row r="73">
          <cell r="D73" t="str">
            <v>1/2" Hex AM 9015 100</v>
          </cell>
          <cell r="E73">
            <v>3</v>
          </cell>
          <cell r="I73">
            <v>0</v>
          </cell>
        </row>
        <row r="74">
          <cell r="D74" t="str">
            <v>1/2" Hex BB RS-550 -3</v>
          </cell>
          <cell r="E74">
            <v>1</v>
          </cell>
          <cell r="F74">
            <v>1</v>
          </cell>
          <cell r="G74">
            <v>1</v>
          </cell>
          <cell r="H74">
            <v>1</v>
          </cell>
          <cell r="I74">
            <v>1</v>
          </cell>
        </row>
        <row r="75">
          <cell r="D75" t="str">
            <v>1/2" Hex BB RS-550 -4</v>
          </cell>
          <cell r="E75">
            <v>1</v>
          </cell>
          <cell r="F75">
            <v>1</v>
          </cell>
          <cell r="G75">
            <v>1</v>
          </cell>
          <cell r="H75">
            <v>1</v>
          </cell>
          <cell r="I75">
            <v>1</v>
          </cell>
        </row>
        <row r="76">
          <cell r="D76" t="str">
            <v>1/2" Hex BB RS-550 -5</v>
          </cell>
          <cell r="E76">
            <v>1</v>
          </cell>
          <cell r="F76">
            <v>1</v>
          </cell>
          <cell r="G76">
            <v>1</v>
          </cell>
          <cell r="H76">
            <v>1</v>
          </cell>
          <cell r="I76">
            <v>1</v>
          </cell>
        </row>
        <row r="77">
          <cell r="D77" t="str">
            <v>1/2" Hex BB RS-550 -7</v>
          </cell>
          <cell r="E77">
            <v>1</v>
          </cell>
          <cell r="F77">
            <v>1</v>
          </cell>
          <cell r="G77">
            <v>1</v>
          </cell>
          <cell r="H77">
            <v>0</v>
          </cell>
          <cell r="I77">
            <v>1</v>
          </cell>
        </row>
        <row r="78">
          <cell r="D78" t="str">
            <v>1/2" Hex BB RS-550 -9</v>
          </cell>
          <cell r="E78">
            <v>1</v>
          </cell>
          <cell r="F78">
            <v>1</v>
          </cell>
          <cell r="G78">
            <v>0</v>
          </cell>
          <cell r="H78">
            <v>0</v>
          </cell>
          <cell r="I78">
            <v>1</v>
          </cell>
        </row>
        <row r="79">
          <cell r="D79" t="str">
            <v>1/2" Hex BB RS-550 -10</v>
          </cell>
          <cell r="E79">
            <v>1</v>
          </cell>
          <cell r="F79">
            <v>1</v>
          </cell>
          <cell r="G79">
            <v>0</v>
          </cell>
          <cell r="H79">
            <v>0</v>
          </cell>
          <cell r="I79">
            <v>1</v>
          </cell>
        </row>
        <row r="80">
          <cell r="D80" t="str">
            <v>1/2" Hex BB RS-550 9</v>
          </cell>
          <cell r="E80">
            <v>10</v>
          </cell>
          <cell r="F80">
            <v>10</v>
          </cell>
          <cell r="G80">
            <v>1</v>
          </cell>
          <cell r="H80">
            <v>0</v>
          </cell>
          <cell r="I80">
            <v>10</v>
          </cell>
        </row>
        <row r="81">
          <cell r="D81" t="str">
            <v>1/2" Hex BB RS-550 12</v>
          </cell>
          <cell r="E81">
            <v>10</v>
          </cell>
          <cell r="F81">
            <v>7</v>
          </cell>
          <cell r="G81">
            <v>0</v>
          </cell>
          <cell r="H81">
            <v>0</v>
          </cell>
          <cell r="I81">
            <v>7</v>
          </cell>
        </row>
        <row r="82">
          <cell r="D82" t="str">
            <v>1/2" Hex BB RS-550 15</v>
          </cell>
          <cell r="E82">
            <v>10</v>
          </cell>
          <cell r="F82">
            <v>5</v>
          </cell>
          <cell r="G82">
            <v>0</v>
          </cell>
          <cell r="H82">
            <v>0</v>
          </cell>
          <cell r="I82">
            <v>5</v>
          </cell>
        </row>
        <row r="83">
          <cell r="D83" t="str">
            <v>1/2" Hex BB RS-550 16</v>
          </cell>
          <cell r="E83">
            <v>10</v>
          </cell>
          <cell r="F83">
            <v>5</v>
          </cell>
          <cell r="G83">
            <v>0</v>
          </cell>
          <cell r="H83">
            <v>0</v>
          </cell>
          <cell r="I83">
            <v>5</v>
          </cell>
        </row>
        <row r="84">
          <cell r="D84" t="str">
            <v>1/2" Hex BB RS-550 20</v>
          </cell>
          <cell r="E84">
            <v>9</v>
          </cell>
          <cell r="F84">
            <v>5</v>
          </cell>
          <cell r="G84">
            <v>0</v>
          </cell>
          <cell r="H84">
            <v>0</v>
          </cell>
          <cell r="I84">
            <v>4</v>
          </cell>
        </row>
        <row r="85">
          <cell r="D85" t="str">
            <v>1/2" Hex BB RS-550 21</v>
          </cell>
          <cell r="E85">
            <v>9</v>
          </cell>
          <cell r="F85">
            <v>5</v>
          </cell>
          <cell r="G85">
            <v>0</v>
          </cell>
          <cell r="H85">
            <v>0</v>
          </cell>
          <cell r="I85">
            <v>4</v>
          </cell>
        </row>
        <row r="86">
          <cell r="D86" t="str">
            <v>1/2" Hex BB RS-550 25</v>
          </cell>
          <cell r="E86">
            <v>7</v>
          </cell>
          <cell r="F86">
            <v>5</v>
          </cell>
          <cell r="G86">
            <v>0</v>
          </cell>
          <cell r="H86">
            <v>0</v>
          </cell>
          <cell r="I86">
            <v>3</v>
          </cell>
        </row>
        <row r="87">
          <cell r="D87" t="str">
            <v>1/2" Hex BB RS-550 27</v>
          </cell>
          <cell r="E87">
            <v>7</v>
          </cell>
          <cell r="F87">
            <v>5</v>
          </cell>
          <cell r="G87">
            <v>0</v>
          </cell>
          <cell r="H87">
            <v>0</v>
          </cell>
          <cell r="I87">
            <v>3</v>
          </cell>
        </row>
        <row r="88">
          <cell r="D88" t="str">
            <v>1/2" Hex BB RS-550 28</v>
          </cell>
          <cell r="E88">
            <v>7</v>
          </cell>
          <cell r="F88">
            <v>5</v>
          </cell>
          <cell r="G88">
            <v>0</v>
          </cell>
          <cell r="H88">
            <v>0</v>
          </cell>
          <cell r="I88">
            <v>3</v>
          </cell>
        </row>
        <row r="89">
          <cell r="D89" t="str">
            <v>1/2" Hex BB RS-550 30</v>
          </cell>
          <cell r="E89">
            <v>5</v>
          </cell>
          <cell r="F89">
            <v>5</v>
          </cell>
          <cell r="G89">
            <v>0</v>
          </cell>
          <cell r="H89">
            <v>0</v>
          </cell>
          <cell r="I89">
            <v>3</v>
          </cell>
        </row>
        <row r="90">
          <cell r="D90" t="str">
            <v>1/2" Hex BB RS-550 35</v>
          </cell>
          <cell r="E90">
            <v>5</v>
          </cell>
          <cell r="F90">
            <v>4</v>
          </cell>
          <cell r="G90">
            <v>0</v>
          </cell>
          <cell r="H90">
            <v>0</v>
          </cell>
          <cell r="I90">
            <v>1</v>
          </cell>
        </row>
        <row r="91">
          <cell r="D91" t="str">
            <v>1/2" Hex BB RS-550 36</v>
          </cell>
          <cell r="E91">
            <v>5</v>
          </cell>
          <cell r="F91">
            <v>4</v>
          </cell>
          <cell r="G91">
            <v>0</v>
          </cell>
          <cell r="H91">
            <v>0</v>
          </cell>
          <cell r="I91">
            <v>1</v>
          </cell>
        </row>
        <row r="92">
          <cell r="D92" t="str">
            <v>1/2" Hex BB RS-550 40</v>
          </cell>
          <cell r="E92">
            <v>5</v>
          </cell>
          <cell r="F92">
            <v>3</v>
          </cell>
          <cell r="G92">
            <v>0</v>
          </cell>
          <cell r="H92">
            <v>0</v>
          </cell>
          <cell r="I92">
            <v>5</v>
          </cell>
        </row>
        <row r="93">
          <cell r="D93" t="str">
            <v>1/2" Hex BB RS-550 45</v>
          </cell>
          <cell r="E93">
            <v>5</v>
          </cell>
          <cell r="F93">
            <v>3</v>
          </cell>
          <cell r="G93">
            <v>0</v>
          </cell>
          <cell r="H93">
            <v>0</v>
          </cell>
          <cell r="I93">
            <v>4</v>
          </cell>
        </row>
        <row r="94">
          <cell r="D94" t="str">
            <v>1/2" Hex BB RS-550 49</v>
          </cell>
          <cell r="E94">
            <v>5</v>
          </cell>
          <cell r="F94">
            <v>3</v>
          </cell>
          <cell r="G94">
            <v>0</v>
          </cell>
          <cell r="H94">
            <v>0</v>
          </cell>
          <cell r="I94">
            <v>4</v>
          </cell>
        </row>
        <row r="95">
          <cell r="D95" t="str">
            <v>1/2" Hex BB RS-550 50</v>
          </cell>
          <cell r="E95">
            <v>5</v>
          </cell>
          <cell r="F95">
            <v>3</v>
          </cell>
          <cell r="G95">
            <v>0</v>
          </cell>
          <cell r="H95">
            <v>0</v>
          </cell>
          <cell r="I95">
            <v>1</v>
          </cell>
        </row>
        <row r="96">
          <cell r="D96" t="str">
            <v>1/2" Hex BB RS-550 63</v>
          </cell>
          <cell r="E96">
            <v>4</v>
          </cell>
          <cell r="F96">
            <v>1</v>
          </cell>
          <cell r="G96">
            <v>0</v>
          </cell>
          <cell r="H96">
            <v>0</v>
          </cell>
          <cell r="I96">
            <v>1</v>
          </cell>
        </row>
        <row r="97">
          <cell r="D97" t="str">
            <v>1/2" Hex BB RS-550 70</v>
          </cell>
          <cell r="E97">
            <v>4</v>
          </cell>
          <cell r="F97">
            <v>1</v>
          </cell>
          <cell r="G97">
            <v>0</v>
          </cell>
          <cell r="H97">
            <v>0</v>
          </cell>
          <cell r="I97">
            <v>1</v>
          </cell>
        </row>
        <row r="98">
          <cell r="D98" t="str">
            <v>1/2" Hex BB RS-550 81</v>
          </cell>
          <cell r="E98">
            <v>3</v>
          </cell>
          <cell r="F98">
            <v>1</v>
          </cell>
          <cell r="G98">
            <v>0</v>
          </cell>
          <cell r="H98">
            <v>0</v>
          </cell>
          <cell r="I98">
            <v>1</v>
          </cell>
        </row>
        <row r="99">
          <cell r="D99" t="str">
            <v>1/2" Hex BB RS-550 90</v>
          </cell>
          <cell r="E99">
            <v>3</v>
          </cell>
          <cell r="F99">
            <v>1</v>
          </cell>
          <cell r="G99">
            <v>0</v>
          </cell>
          <cell r="H99">
            <v>0</v>
          </cell>
          <cell r="I99">
            <v>1</v>
          </cell>
        </row>
        <row r="100">
          <cell r="D100" t="str">
            <v>1/2" Hex BB RS-550 100</v>
          </cell>
          <cell r="E100">
            <v>3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</row>
        <row r="101">
          <cell r="D101" t="str">
            <v>1/2" Hex BB RS-775 -3</v>
          </cell>
          <cell r="E101">
            <v>1</v>
          </cell>
          <cell r="F101">
            <v>1</v>
          </cell>
          <cell r="G101">
            <v>1</v>
          </cell>
          <cell r="H101">
            <v>0</v>
          </cell>
          <cell r="I101">
            <v>1</v>
          </cell>
        </row>
        <row r="102">
          <cell r="D102" t="str">
            <v>1/2" Hex BB RS-775 -4</v>
          </cell>
          <cell r="E102">
            <v>1</v>
          </cell>
          <cell r="F102">
            <v>1</v>
          </cell>
          <cell r="G102">
            <v>1</v>
          </cell>
          <cell r="H102">
            <v>0</v>
          </cell>
          <cell r="I102">
            <v>1</v>
          </cell>
        </row>
        <row r="103">
          <cell r="D103" t="str">
            <v>1/2" Hex BB RS-775 -5</v>
          </cell>
          <cell r="E103">
            <v>1</v>
          </cell>
          <cell r="F103">
            <v>1</v>
          </cell>
          <cell r="G103">
            <v>1</v>
          </cell>
          <cell r="H103">
            <v>0</v>
          </cell>
          <cell r="I103">
            <v>1</v>
          </cell>
        </row>
        <row r="104">
          <cell r="D104" t="str">
            <v>1/2" Hex BB RS-775 -7</v>
          </cell>
          <cell r="E104">
            <v>1</v>
          </cell>
          <cell r="F104">
            <v>1</v>
          </cell>
          <cell r="G104">
            <v>0</v>
          </cell>
          <cell r="H104">
            <v>0</v>
          </cell>
          <cell r="I104">
            <v>1</v>
          </cell>
        </row>
        <row r="105">
          <cell r="D105" t="str">
            <v>1/2" Hex BB RS-775 -9</v>
          </cell>
          <cell r="E105">
            <v>1</v>
          </cell>
          <cell r="F105">
            <v>1</v>
          </cell>
          <cell r="G105">
            <v>0</v>
          </cell>
          <cell r="H105">
            <v>0</v>
          </cell>
          <cell r="I105">
            <v>1</v>
          </cell>
        </row>
        <row r="106">
          <cell r="D106" t="str">
            <v>1/2" Hex BB RS-775 -10</v>
          </cell>
          <cell r="E106">
            <v>1</v>
          </cell>
          <cell r="F106">
            <v>1</v>
          </cell>
          <cell r="G106">
            <v>0</v>
          </cell>
          <cell r="H106">
            <v>0</v>
          </cell>
          <cell r="I106">
            <v>1</v>
          </cell>
        </row>
        <row r="107">
          <cell r="D107" t="str">
            <v>1/2" Hex BB RS-775 9</v>
          </cell>
          <cell r="E107">
            <v>10</v>
          </cell>
          <cell r="F107">
            <v>5</v>
          </cell>
          <cell r="G107">
            <v>0</v>
          </cell>
          <cell r="H107">
            <v>0</v>
          </cell>
          <cell r="I107">
            <v>10</v>
          </cell>
        </row>
        <row r="108">
          <cell r="D108" t="str">
            <v>1/2" Hex BB RS-775 12</v>
          </cell>
          <cell r="E108">
            <v>10</v>
          </cell>
          <cell r="F108">
            <v>5</v>
          </cell>
          <cell r="G108">
            <v>0</v>
          </cell>
          <cell r="H108">
            <v>0</v>
          </cell>
          <cell r="I108">
            <v>10</v>
          </cell>
        </row>
        <row r="109">
          <cell r="D109" t="str">
            <v>1/2" Hex BB RS-775 15</v>
          </cell>
          <cell r="E109">
            <v>10</v>
          </cell>
          <cell r="F109">
            <v>5</v>
          </cell>
          <cell r="G109">
            <v>0</v>
          </cell>
          <cell r="H109">
            <v>0</v>
          </cell>
          <cell r="I109">
            <v>7</v>
          </cell>
        </row>
        <row r="110">
          <cell r="D110" t="str">
            <v>1/2" Hex BB RS-775 16</v>
          </cell>
          <cell r="E110">
            <v>10</v>
          </cell>
          <cell r="F110">
            <v>5</v>
          </cell>
          <cell r="G110">
            <v>0</v>
          </cell>
          <cell r="H110">
            <v>0</v>
          </cell>
          <cell r="I110">
            <v>7</v>
          </cell>
        </row>
        <row r="111">
          <cell r="D111" t="str">
            <v>1/2" Hex BB RS-775 20</v>
          </cell>
          <cell r="E111">
            <v>10</v>
          </cell>
          <cell r="F111">
            <v>4</v>
          </cell>
          <cell r="G111">
            <v>0</v>
          </cell>
          <cell r="H111">
            <v>0</v>
          </cell>
          <cell r="I111">
            <v>5</v>
          </cell>
        </row>
        <row r="112">
          <cell r="D112" t="str">
            <v>1/2" Hex BB RS-775 21</v>
          </cell>
          <cell r="E112">
            <v>10</v>
          </cell>
          <cell r="F112">
            <v>4</v>
          </cell>
          <cell r="G112">
            <v>0</v>
          </cell>
          <cell r="H112">
            <v>0</v>
          </cell>
          <cell r="I112">
            <v>5</v>
          </cell>
        </row>
        <row r="113">
          <cell r="D113" t="str">
            <v>1/2" Hex BB RS-775 25</v>
          </cell>
          <cell r="E113">
            <v>7</v>
          </cell>
          <cell r="F113">
            <v>3</v>
          </cell>
          <cell r="G113">
            <v>0</v>
          </cell>
          <cell r="H113">
            <v>0</v>
          </cell>
          <cell r="I113">
            <v>5</v>
          </cell>
        </row>
        <row r="114">
          <cell r="D114" t="str">
            <v>1/2" Hex BB RS-775 27</v>
          </cell>
          <cell r="E114">
            <v>7</v>
          </cell>
          <cell r="F114">
            <v>3</v>
          </cell>
          <cell r="G114">
            <v>0</v>
          </cell>
          <cell r="H114">
            <v>0</v>
          </cell>
          <cell r="I114">
            <v>4</v>
          </cell>
        </row>
        <row r="115">
          <cell r="D115" t="str">
            <v>1/2" Hex BB RS-775 28</v>
          </cell>
          <cell r="E115">
            <v>7</v>
          </cell>
          <cell r="F115">
            <v>3</v>
          </cell>
          <cell r="G115">
            <v>0</v>
          </cell>
          <cell r="H115">
            <v>0</v>
          </cell>
          <cell r="I115">
            <v>4</v>
          </cell>
        </row>
        <row r="116">
          <cell r="D116" t="str">
            <v>1/2" Hex BB RS-775 30</v>
          </cell>
          <cell r="E116">
            <v>7</v>
          </cell>
          <cell r="F116">
            <v>3</v>
          </cell>
          <cell r="G116">
            <v>0</v>
          </cell>
          <cell r="H116">
            <v>0</v>
          </cell>
          <cell r="I116">
            <v>4</v>
          </cell>
        </row>
        <row r="117">
          <cell r="D117" t="str">
            <v>1/2" Hex BB RS-775 35</v>
          </cell>
          <cell r="E117">
            <v>5</v>
          </cell>
          <cell r="F117">
            <v>1</v>
          </cell>
          <cell r="G117">
            <v>0</v>
          </cell>
          <cell r="H117">
            <v>0</v>
          </cell>
          <cell r="I117">
            <v>3</v>
          </cell>
        </row>
        <row r="118">
          <cell r="D118" t="str">
            <v>1/2" Hex BB RS-775 36</v>
          </cell>
          <cell r="E118">
            <v>5</v>
          </cell>
          <cell r="F118">
            <v>1</v>
          </cell>
          <cell r="G118">
            <v>0</v>
          </cell>
          <cell r="H118">
            <v>0</v>
          </cell>
          <cell r="I118">
            <v>3</v>
          </cell>
        </row>
        <row r="119">
          <cell r="D119" t="str">
            <v>1/2" Hex BB RS-775 40</v>
          </cell>
          <cell r="E119">
            <v>5</v>
          </cell>
          <cell r="F119">
            <v>1</v>
          </cell>
          <cell r="G119">
            <v>0</v>
          </cell>
          <cell r="H119">
            <v>0</v>
          </cell>
          <cell r="I119">
            <v>3</v>
          </cell>
        </row>
        <row r="120">
          <cell r="D120" t="str">
            <v>1/2" Hex BB RS-775 45</v>
          </cell>
          <cell r="E120">
            <v>5</v>
          </cell>
          <cell r="F120">
            <v>1</v>
          </cell>
          <cell r="G120">
            <v>0</v>
          </cell>
          <cell r="H120">
            <v>0</v>
          </cell>
          <cell r="I120">
            <v>1</v>
          </cell>
        </row>
        <row r="121">
          <cell r="D121" t="str">
            <v>1/2" Hex BB RS-775 49</v>
          </cell>
          <cell r="E121">
            <v>5</v>
          </cell>
          <cell r="F121">
            <v>1</v>
          </cell>
          <cell r="G121">
            <v>0</v>
          </cell>
          <cell r="H121">
            <v>0</v>
          </cell>
          <cell r="I121">
            <v>1</v>
          </cell>
        </row>
        <row r="122">
          <cell r="D122" t="str">
            <v>1/2" Hex BB RS-775 50</v>
          </cell>
          <cell r="E122">
            <v>5</v>
          </cell>
          <cell r="F122">
            <v>1</v>
          </cell>
          <cell r="G122">
            <v>0</v>
          </cell>
          <cell r="H122">
            <v>0</v>
          </cell>
          <cell r="I122">
            <v>1</v>
          </cell>
        </row>
        <row r="123">
          <cell r="D123" t="str">
            <v>1/2" Hex BB RS-775 63</v>
          </cell>
          <cell r="E123">
            <v>5</v>
          </cell>
          <cell r="F123">
            <v>0</v>
          </cell>
          <cell r="G123">
            <v>0</v>
          </cell>
          <cell r="H123">
            <v>0</v>
          </cell>
          <cell r="I123">
            <v>1</v>
          </cell>
        </row>
        <row r="124">
          <cell r="D124" t="str">
            <v>1/2" Hex BB RS-775 70</v>
          </cell>
          <cell r="E124">
            <v>4</v>
          </cell>
          <cell r="F124">
            <v>0</v>
          </cell>
          <cell r="G124">
            <v>0</v>
          </cell>
          <cell r="H124">
            <v>0</v>
          </cell>
          <cell r="I124">
            <v>1</v>
          </cell>
        </row>
        <row r="125">
          <cell r="D125" t="str">
            <v>1/2" Hex BB RS-775 81</v>
          </cell>
          <cell r="E125">
            <v>4</v>
          </cell>
          <cell r="F125">
            <v>0</v>
          </cell>
          <cell r="G125">
            <v>0</v>
          </cell>
          <cell r="H125">
            <v>0</v>
          </cell>
          <cell r="I125">
            <v>1</v>
          </cell>
        </row>
        <row r="126">
          <cell r="D126" t="str">
            <v>1/2" Hex BB RS-775 90</v>
          </cell>
          <cell r="E126">
            <v>3</v>
          </cell>
          <cell r="F126">
            <v>0</v>
          </cell>
          <cell r="G126">
            <v>0</v>
          </cell>
          <cell r="H126">
            <v>0</v>
          </cell>
          <cell r="I126">
            <v>1</v>
          </cell>
        </row>
        <row r="127">
          <cell r="D127" t="str">
            <v>1/2" Hex BB RS-775 100</v>
          </cell>
          <cell r="E127">
            <v>3</v>
          </cell>
          <cell r="F127">
            <v>0</v>
          </cell>
          <cell r="G127">
            <v>0</v>
          </cell>
          <cell r="H127">
            <v>0</v>
          </cell>
          <cell r="I127">
            <v>1</v>
          </cell>
        </row>
        <row r="128">
          <cell r="D128" t="str">
            <v>1/2" Hex BAG Motor -3</v>
          </cell>
          <cell r="E128">
            <v>1</v>
          </cell>
          <cell r="F128">
            <v>1</v>
          </cell>
          <cell r="G128">
            <v>1</v>
          </cell>
          <cell r="H128">
            <v>0</v>
          </cell>
          <cell r="I128">
            <v>1</v>
          </cell>
        </row>
        <row r="129">
          <cell r="D129" t="str">
            <v>1/2" Hex BAG Motor -4</v>
          </cell>
          <cell r="E129">
            <v>1</v>
          </cell>
          <cell r="F129">
            <v>1</v>
          </cell>
          <cell r="G129">
            <v>1</v>
          </cell>
          <cell r="H129">
            <v>0</v>
          </cell>
          <cell r="I129">
            <v>1</v>
          </cell>
        </row>
        <row r="130">
          <cell r="D130" t="str">
            <v>1/2" Hex BAG Motor -5</v>
          </cell>
          <cell r="E130">
            <v>1</v>
          </cell>
          <cell r="F130">
            <v>1</v>
          </cell>
          <cell r="G130">
            <v>1</v>
          </cell>
          <cell r="H130">
            <v>0</v>
          </cell>
          <cell r="I130">
            <v>1</v>
          </cell>
        </row>
        <row r="131">
          <cell r="D131" t="str">
            <v>1/2" Hex BAG Motor -7</v>
          </cell>
          <cell r="E131">
            <v>1</v>
          </cell>
          <cell r="F131">
            <v>1</v>
          </cell>
          <cell r="G131">
            <v>1</v>
          </cell>
          <cell r="H131">
            <v>0</v>
          </cell>
          <cell r="I131">
            <v>1</v>
          </cell>
        </row>
        <row r="132">
          <cell r="D132" t="str">
            <v>1/2" Hex BAG Motor -9</v>
          </cell>
          <cell r="E132">
            <v>1</v>
          </cell>
          <cell r="F132">
            <v>1</v>
          </cell>
          <cell r="G132">
            <v>0</v>
          </cell>
          <cell r="H132">
            <v>0</v>
          </cell>
          <cell r="I132">
            <v>1</v>
          </cell>
        </row>
        <row r="133">
          <cell r="D133" t="str">
            <v>1/2" Hex BAG Motor -10</v>
          </cell>
          <cell r="E133">
            <v>1</v>
          </cell>
          <cell r="F133">
            <v>1</v>
          </cell>
          <cell r="G133">
            <v>0</v>
          </cell>
          <cell r="H133">
            <v>0</v>
          </cell>
          <cell r="I133">
            <v>1</v>
          </cell>
        </row>
        <row r="134">
          <cell r="D134" t="str">
            <v>1/2" Hex BAG Motor 9</v>
          </cell>
          <cell r="E134">
            <v>10</v>
          </cell>
          <cell r="F134">
            <v>10</v>
          </cell>
          <cell r="G134">
            <v>1</v>
          </cell>
          <cell r="H134">
            <v>0</v>
          </cell>
          <cell r="I134">
            <v>9</v>
          </cell>
        </row>
        <row r="135">
          <cell r="D135" t="str">
            <v>1/2" Hex BAG Motor 12</v>
          </cell>
          <cell r="E135">
            <v>10</v>
          </cell>
          <cell r="F135">
            <v>9</v>
          </cell>
          <cell r="G135">
            <v>1</v>
          </cell>
          <cell r="H135">
            <v>0</v>
          </cell>
          <cell r="I135">
            <v>5</v>
          </cell>
        </row>
        <row r="136">
          <cell r="D136" t="str">
            <v>1/2" Hex BAG Motor 15</v>
          </cell>
          <cell r="E136">
            <v>10</v>
          </cell>
          <cell r="F136">
            <v>7</v>
          </cell>
          <cell r="G136">
            <v>0</v>
          </cell>
          <cell r="H136">
            <v>0</v>
          </cell>
          <cell r="I136">
            <v>5</v>
          </cell>
        </row>
        <row r="137">
          <cell r="D137" t="str">
            <v>1/2" Hex BAG Motor 16</v>
          </cell>
          <cell r="E137">
            <v>10</v>
          </cell>
          <cell r="F137">
            <v>5</v>
          </cell>
          <cell r="G137">
            <v>0</v>
          </cell>
          <cell r="H137">
            <v>0</v>
          </cell>
          <cell r="I137">
            <v>5</v>
          </cell>
        </row>
        <row r="138">
          <cell r="D138" t="str">
            <v>1/2" Hex BAG Motor 20</v>
          </cell>
          <cell r="E138">
            <v>9</v>
          </cell>
          <cell r="F138">
            <v>5</v>
          </cell>
          <cell r="G138">
            <v>0</v>
          </cell>
          <cell r="H138">
            <v>0</v>
          </cell>
          <cell r="I138">
            <v>4</v>
          </cell>
        </row>
        <row r="139">
          <cell r="D139" t="str">
            <v>1/2" Hex BAG Motor 21</v>
          </cell>
          <cell r="E139">
            <v>9</v>
          </cell>
          <cell r="F139">
            <v>5</v>
          </cell>
          <cell r="G139">
            <v>0</v>
          </cell>
          <cell r="H139">
            <v>0</v>
          </cell>
          <cell r="I139">
            <v>3</v>
          </cell>
        </row>
        <row r="140">
          <cell r="D140" t="str">
            <v>1/2" Hex BAG Motor 25</v>
          </cell>
          <cell r="E140">
            <v>7</v>
          </cell>
          <cell r="F140">
            <v>5</v>
          </cell>
          <cell r="G140">
            <v>0</v>
          </cell>
          <cell r="H140">
            <v>0</v>
          </cell>
          <cell r="I140">
            <v>3</v>
          </cell>
        </row>
        <row r="141">
          <cell r="D141" t="str">
            <v>1/2" Hex BAG Motor 27</v>
          </cell>
          <cell r="E141">
            <v>7</v>
          </cell>
          <cell r="F141">
            <v>5</v>
          </cell>
          <cell r="G141">
            <v>0</v>
          </cell>
          <cell r="H141">
            <v>0</v>
          </cell>
          <cell r="I141">
            <v>3</v>
          </cell>
        </row>
        <row r="142">
          <cell r="D142" t="str">
            <v>1/2" Hex BAG Motor 28</v>
          </cell>
          <cell r="E142">
            <v>7</v>
          </cell>
          <cell r="F142">
            <v>5</v>
          </cell>
          <cell r="G142">
            <v>0</v>
          </cell>
          <cell r="H142">
            <v>0</v>
          </cell>
          <cell r="I142">
            <v>1</v>
          </cell>
        </row>
        <row r="143">
          <cell r="D143" t="str">
            <v>1/2" Hex BAG Motor 30</v>
          </cell>
          <cell r="E143">
            <v>5</v>
          </cell>
          <cell r="F143">
            <v>5</v>
          </cell>
          <cell r="G143">
            <v>0</v>
          </cell>
          <cell r="H143">
            <v>0</v>
          </cell>
          <cell r="I143">
            <v>1</v>
          </cell>
        </row>
        <row r="144">
          <cell r="D144" t="str">
            <v>1/2" Hex BAG Motor 35</v>
          </cell>
          <cell r="E144">
            <v>5</v>
          </cell>
          <cell r="F144">
            <v>4</v>
          </cell>
          <cell r="G144">
            <v>0</v>
          </cell>
          <cell r="H144">
            <v>0</v>
          </cell>
          <cell r="I144">
            <v>1</v>
          </cell>
        </row>
        <row r="145">
          <cell r="D145" t="str">
            <v>1/2" Hex BAG Motor 36</v>
          </cell>
          <cell r="E145">
            <v>5</v>
          </cell>
          <cell r="F145">
            <v>4</v>
          </cell>
          <cell r="G145">
            <v>0</v>
          </cell>
          <cell r="H145">
            <v>0</v>
          </cell>
          <cell r="I145">
            <v>1</v>
          </cell>
        </row>
        <row r="146">
          <cell r="D146" t="str">
            <v>1/2" Hex BAG Motor 40</v>
          </cell>
          <cell r="E146">
            <v>5</v>
          </cell>
          <cell r="F146">
            <v>4</v>
          </cell>
          <cell r="G146">
            <v>0</v>
          </cell>
          <cell r="H146">
            <v>0</v>
          </cell>
          <cell r="I146">
            <v>1</v>
          </cell>
        </row>
        <row r="147">
          <cell r="D147" t="str">
            <v>1/2" Hex BAG Motor 45</v>
          </cell>
          <cell r="E147">
            <v>5</v>
          </cell>
          <cell r="F147">
            <v>3</v>
          </cell>
          <cell r="G147">
            <v>0</v>
          </cell>
          <cell r="H147">
            <v>0</v>
          </cell>
          <cell r="I147">
            <v>1</v>
          </cell>
        </row>
        <row r="148">
          <cell r="D148" t="str">
            <v>1/2" Hex BAG Motor 49</v>
          </cell>
          <cell r="E148">
            <v>5</v>
          </cell>
          <cell r="F148">
            <v>3</v>
          </cell>
          <cell r="G148">
            <v>0</v>
          </cell>
          <cell r="H148">
            <v>0</v>
          </cell>
          <cell r="I148">
            <v>1</v>
          </cell>
        </row>
        <row r="149">
          <cell r="D149" t="str">
            <v>1/2" Hex BAG Motor 50</v>
          </cell>
          <cell r="E149">
            <v>5</v>
          </cell>
          <cell r="F149">
            <v>3</v>
          </cell>
          <cell r="G149">
            <v>0</v>
          </cell>
          <cell r="H149">
            <v>0</v>
          </cell>
          <cell r="I149">
            <v>1</v>
          </cell>
        </row>
        <row r="150">
          <cell r="D150" t="str">
            <v>1/2" Hex BAG Motor 63</v>
          </cell>
          <cell r="E150">
            <v>4</v>
          </cell>
          <cell r="F150">
            <v>1</v>
          </cell>
          <cell r="G150">
            <v>0</v>
          </cell>
          <cell r="H150">
            <v>0</v>
          </cell>
          <cell r="I150">
            <v>1</v>
          </cell>
        </row>
        <row r="151">
          <cell r="D151" t="str">
            <v>1/2" Hex BAG Motor 70</v>
          </cell>
          <cell r="E151">
            <v>4</v>
          </cell>
          <cell r="F151">
            <v>1</v>
          </cell>
          <cell r="G151">
            <v>0</v>
          </cell>
          <cell r="H151">
            <v>0</v>
          </cell>
          <cell r="I151">
            <v>1</v>
          </cell>
        </row>
        <row r="152">
          <cell r="D152" t="str">
            <v>1/2" Hex BAG Motor 81</v>
          </cell>
          <cell r="E152">
            <v>3</v>
          </cell>
          <cell r="F152">
            <v>1</v>
          </cell>
          <cell r="G152">
            <v>0</v>
          </cell>
          <cell r="H152">
            <v>0</v>
          </cell>
          <cell r="I152">
            <v>1</v>
          </cell>
        </row>
        <row r="153">
          <cell r="D153" t="str">
            <v>1/2" Hex BAG Motor 90</v>
          </cell>
          <cell r="E153">
            <v>3</v>
          </cell>
          <cell r="F153">
            <v>1</v>
          </cell>
          <cell r="G153">
            <v>0</v>
          </cell>
          <cell r="H153">
            <v>0</v>
          </cell>
          <cell r="I153">
            <v>0</v>
          </cell>
        </row>
        <row r="154">
          <cell r="D154" t="str">
            <v>1/2" Hex BAG Motor 100</v>
          </cell>
          <cell r="E154">
            <v>3</v>
          </cell>
          <cell r="F154">
            <v>1</v>
          </cell>
          <cell r="G154">
            <v>0</v>
          </cell>
          <cell r="H154">
            <v>0</v>
          </cell>
          <cell r="I154">
            <v>0</v>
          </cell>
        </row>
        <row r="155">
          <cell r="D155" t="str">
            <v>1/2" Hex 775pro -3</v>
          </cell>
          <cell r="E155">
            <v>1</v>
          </cell>
          <cell r="F155">
            <v>1</v>
          </cell>
          <cell r="G155">
            <v>1</v>
          </cell>
          <cell r="H155">
            <v>0</v>
          </cell>
          <cell r="I155">
            <v>1</v>
          </cell>
        </row>
        <row r="156">
          <cell r="D156" t="str">
            <v>1/2" Hex 775pro -4</v>
          </cell>
          <cell r="E156">
            <v>1</v>
          </cell>
          <cell r="F156">
            <v>1</v>
          </cell>
          <cell r="G156">
            <v>1</v>
          </cell>
          <cell r="H156">
            <v>0</v>
          </cell>
          <cell r="I156">
            <v>1</v>
          </cell>
        </row>
        <row r="157">
          <cell r="D157" t="str">
            <v>1/2" Hex 775pro -5</v>
          </cell>
          <cell r="E157">
            <v>1</v>
          </cell>
          <cell r="F157">
            <v>1</v>
          </cell>
          <cell r="G157">
            <v>1</v>
          </cell>
          <cell r="H157">
            <v>0</v>
          </cell>
          <cell r="I157">
            <v>1</v>
          </cell>
        </row>
        <row r="158">
          <cell r="D158" t="str">
            <v>1/2" Hex 775pro -7</v>
          </cell>
          <cell r="E158">
            <v>1</v>
          </cell>
          <cell r="F158">
            <v>1</v>
          </cell>
          <cell r="G158">
            <v>0</v>
          </cell>
          <cell r="H158">
            <v>0</v>
          </cell>
          <cell r="I158">
            <v>1</v>
          </cell>
        </row>
        <row r="159">
          <cell r="D159" t="str">
            <v>1/2" Hex 775pro -9</v>
          </cell>
          <cell r="E159">
            <v>1</v>
          </cell>
          <cell r="F159">
            <v>1</v>
          </cell>
          <cell r="G159">
            <v>0</v>
          </cell>
          <cell r="H159">
            <v>0</v>
          </cell>
          <cell r="I159">
            <v>1</v>
          </cell>
        </row>
        <row r="160">
          <cell r="D160" t="str">
            <v>1/2" Hex 775pro -10</v>
          </cell>
          <cell r="E160">
            <v>1</v>
          </cell>
          <cell r="F160">
            <v>1</v>
          </cell>
          <cell r="G160">
            <v>0</v>
          </cell>
          <cell r="H160">
            <v>0</v>
          </cell>
          <cell r="I160">
            <v>1</v>
          </cell>
        </row>
        <row r="161">
          <cell r="D161" t="str">
            <v>1/2" Hex 775pro 9</v>
          </cell>
          <cell r="E161">
            <v>10</v>
          </cell>
          <cell r="F161">
            <v>7</v>
          </cell>
          <cell r="G161">
            <v>0</v>
          </cell>
          <cell r="H161">
            <v>0</v>
          </cell>
          <cell r="I161">
            <v>5</v>
          </cell>
        </row>
        <row r="162">
          <cell r="D162" t="str">
            <v>1/2" Hex 775pro 12</v>
          </cell>
          <cell r="E162">
            <v>10</v>
          </cell>
          <cell r="F162">
            <v>5</v>
          </cell>
          <cell r="G162">
            <v>0</v>
          </cell>
          <cell r="H162">
            <v>0</v>
          </cell>
          <cell r="I162">
            <v>4</v>
          </cell>
        </row>
        <row r="163">
          <cell r="D163" t="str">
            <v>1/2" Hex 775pro 15</v>
          </cell>
          <cell r="E163">
            <v>9</v>
          </cell>
          <cell r="F163">
            <v>5</v>
          </cell>
          <cell r="G163">
            <v>0</v>
          </cell>
          <cell r="H163">
            <v>0</v>
          </cell>
          <cell r="I163">
            <v>3</v>
          </cell>
        </row>
        <row r="164">
          <cell r="D164" t="str">
            <v>1/2" Hex 775pro 16</v>
          </cell>
          <cell r="E164">
            <v>7</v>
          </cell>
          <cell r="F164">
            <v>5</v>
          </cell>
          <cell r="G164">
            <v>0</v>
          </cell>
          <cell r="H164">
            <v>0</v>
          </cell>
          <cell r="I164">
            <v>3</v>
          </cell>
        </row>
        <row r="165">
          <cell r="D165" t="str">
            <v>1/2" Hex 775pro 20</v>
          </cell>
          <cell r="E165">
            <v>5</v>
          </cell>
          <cell r="F165">
            <v>5</v>
          </cell>
          <cell r="G165">
            <v>0</v>
          </cell>
          <cell r="H165">
            <v>0</v>
          </cell>
          <cell r="I165">
            <v>1</v>
          </cell>
        </row>
        <row r="166">
          <cell r="D166" t="str">
            <v>1/2" Hex 775pro 21</v>
          </cell>
          <cell r="E166">
            <v>5</v>
          </cell>
          <cell r="F166">
            <v>5</v>
          </cell>
          <cell r="G166">
            <v>0</v>
          </cell>
          <cell r="H166">
            <v>0</v>
          </cell>
          <cell r="I166">
            <v>1</v>
          </cell>
        </row>
        <row r="167">
          <cell r="D167" t="str">
            <v>1/2" Hex 775pro 25</v>
          </cell>
          <cell r="E167">
            <v>5</v>
          </cell>
          <cell r="F167">
            <v>4</v>
          </cell>
          <cell r="G167">
            <v>0</v>
          </cell>
          <cell r="H167">
            <v>0</v>
          </cell>
          <cell r="I167">
            <v>1</v>
          </cell>
        </row>
        <row r="168">
          <cell r="D168" t="str">
            <v>1/2" Hex 775pro 27</v>
          </cell>
          <cell r="E168">
            <v>5</v>
          </cell>
          <cell r="F168">
            <v>4</v>
          </cell>
          <cell r="G168">
            <v>0</v>
          </cell>
          <cell r="H168">
            <v>0</v>
          </cell>
          <cell r="I168">
            <v>1</v>
          </cell>
        </row>
        <row r="169">
          <cell r="D169" t="str">
            <v>1/2" Hex 775pro 28</v>
          </cell>
          <cell r="E169">
            <v>5</v>
          </cell>
          <cell r="F169">
            <v>3</v>
          </cell>
          <cell r="G169">
            <v>0</v>
          </cell>
          <cell r="H169">
            <v>0</v>
          </cell>
          <cell r="I169">
            <v>1</v>
          </cell>
        </row>
        <row r="170">
          <cell r="D170" t="str">
            <v>1/2" Hex 775pro 30</v>
          </cell>
          <cell r="E170">
            <v>5</v>
          </cell>
          <cell r="F170">
            <v>3</v>
          </cell>
          <cell r="G170">
            <v>0</v>
          </cell>
          <cell r="H170">
            <v>0</v>
          </cell>
          <cell r="I170">
            <v>1</v>
          </cell>
        </row>
        <row r="171">
          <cell r="D171" t="str">
            <v>1/2" Hex 775pro 35</v>
          </cell>
          <cell r="E171">
            <v>5</v>
          </cell>
          <cell r="F171">
            <v>3</v>
          </cell>
          <cell r="G171">
            <v>0</v>
          </cell>
          <cell r="H171">
            <v>0</v>
          </cell>
          <cell r="I171">
            <v>1</v>
          </cell>
        </row>
        <row r="172">
          <cell r="D172" t="str">
            <v>1/2" Hex 775pro 36</v>
          </cell>
          <cell r="E172">
            <v>5</v>
          </cell>
          <cell r="F172">
            <v>3</v>
          </cell>
          <cell r="G172">
            <v>0</v>
          </cell>
          <cell r="H172">
            <v>0</v>
          </cell>
          <cell r="I172">
            <v>1</v>
          </cell>
        </row>
        <row r="173">
          <cell r="D173" t="str">
            <v>1/2" Hex 775pro 40</v>
          </cell>
          <cell r="E173">
            <v>5</v>
          </cell>
          <cell r="F173">
            <v>1</v>
          </cell>
          <cell r="G173">
            <v>0</v>
          </cell>
          <cell r="H173">
            <v>0</v>
          </cell>
          <cell r="I173">
            <v>1</v>
          </cell>
        </row>
        <row r="174">
          <cell r="D174" t="str">
            <v>1/2" Hex 775pro 45</v>
          </cell>
          <cell r="E174">
            <v>4</v>
          </cell>
          <cell r="F174">
            <v>1</v>
          </cell>
          <cell r="G174">
            <v>0</v>
          </cell>
          <cell r="H174">
            <v>0</v>
          </cell>
          <cell r="I174">
            <v>1</v>
          </cell>
        </row>
        <row r="175">
          <cell r="D175" t="str">
            <v>1/2" Hex 775pro 49</v>
          </cell>
          <cell r="E175">
            <v>4</v>
          </cell>
          <cell r="F175">
            <v>1</v>
          </cell>
          <cell r="G175">
            <v>0</v>
          </cell>
          <cell r="H175">
            <v>0</v>
          </cell>
          <cell r="I175">
            <v>1</v>
          </cell>
        </row>
        <row r="176">
          <cell r="D176" t="str">
            <v>1/2" Hex 775pro 50</v>
          </cell>
          <cell r="E176">
            <v>4</v>
          </cell>
          <cell r="F176">
            <v>1</v>
          </cell>
          <cell r="G176">
            <v>0</v>
          </cell>
          <cell r="H176">
            <v>0</v>
          </cell>
          <cell r="I176">
            <v>0</v>
          </cell>
        </row>
        <row r="177">
          <cell r="D177" t="str">
            <v>1/2" Hex 775pro 63</v>
          </cell>
          <cell r="E177">
            <v>3</v>
          </cell>
          <cell r="F177">
            <v>1</v>
          </cell>
          <cell r="G177">
            <v>0</v>
          </cell>
          <cell r="H177">
            <v>0</v>
          </cell>
          <cell r="I177">
            <v>0</v>
          </cell>
        </row>
        <row r="178">
          <cell r="D178" t="str">
            <v>1/2" Hex 775pro 70</v>
          </cell>
          <cell r="E178">
            <v>3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</row>
        <row r="179">
          <cell r="D179" t="str">
            <v>1/2" Hex 775pro 81</v>
          </cell>
          <cell r="E179">
            <v>1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</row>
        <row r="180">
          <cell r="D180" t="str">
            <v>1/2" Hex 775pro 90</v>
          </cell>
          <cell r="E180">
            <v>1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</row>
        <row r="181">
          <cell r="D181" t="str">
            <v>1/2" Hex 775pro 100</v>
          </cell>
          <cell r="E181">
            <v>1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</row>
        <row r="182">
          <cell r="D182" t="str">
            <v>1/2" Hex Mini CIM -3</v>
          </cell>
          <cell r="E182">
            <v>1</v>
          </cell>
          <cell r="I182">
            <v>0</v>
          </cell>
        </row>
        <row r="183">
          <cell r="D183" t="str">
            <v>1/2" Hex Mini CIM -4</v>
          </cell>
          <cell r="E183">
            <v>1</v>
          </cell>
          <cell r="I183">
            <v>0</v>
          </cell>
        </row>
        <row r="184">
          <cell r="D184" t="str">
            <v>1/2" Hex Mini CIM -5</v>
          </cell>
          <cell r="E184">
            <v>1</v>
          </cell>
          <cell r="I184">
            <v>0</v>
          </cell>
        </row>
        <row r="185">
          <cell r="D185" t="str">
            <v>1/2" Hex Mini CIM -7</v>
          </cell>
          <cell r="E185">
            <v>1</v>
          </cell>
          <cell r="I185">
            <v>0</v>
          </cell>
        </row>
        <row r="186">
          <cell r="D186" t="str">
            <v>1/2" Hex Mini CIM -9</v>
          </cell>
          <cell r="E186">
            <v>1</v>
          </cell>
          <cell r="I186">
            <v>0</v>
          </cell>
        </row>
        <row r="187">
          <cell r="D187" t="str">
            <v>1/2" Hex Mini CIM -10</v>
          </cell>
          <cell r="E187">
            <v>1</v>
          </cell>
          <cell r="I187">
            <v>0</v>
          </cell>
        </row>
        <row r="188">
          <cell r="D188" t="str">
            <v>1/2" Hex Mini CIM 9</v>
          </cell>
          <cell r="E188">
            <v>7</v>
          </cell>
          <cell r="I188">
            <v>0</v>
          </cell>
        </row>
        <row r="189">
          <cell r="D189" t="str">
            <v>1/2" Hex Mini CIM 12</v>
          </cell>
          <cell r="E189">
            <v>5</v>
          </cell>
          <cell r="I189">
            <v>0</v>
          </cell>
        </row>
        <row r="190">
          <cell r="D190" t="str">
            <v>1/2" Hex Mini CIM 15</v>
          </cell>
          <cell r="E190">
            <v>5</v>
          </cell>
          <cell r="I190">
            <v>0</v>
          </cell>
        </row>
        <row r="191">
          <cell r="D191" t="str">
            <v>1/2" Hex Mini CIM 16</v>
          </cell>
          <cell r="E191">
            <v>5</v>
          </cell>
          <cell r="I191">
            <v>0</v>
          </cell>
        </row>
        <row r="192">
          <cell r="D192" t="str">
            <v>1/2" Hex Mini CIM 20</v>
          </cell>
          <cell r="E192">
            <v>5</v>
          </cell>
          <cell r="I192">
            <v>0</v>
          </cell>
        </row>
        <row r="193">
          <cell r="D193" t="str">
            <v>1/2" Hex Mini CIM 21</v>
          </cell>
          <cell r="E193">
            <v>5</v>
          </cell>
          <cell r="I193">
            <v>0</v>
          </cell>
        </row>
        <row r="194">
          <cell r="D194" t="str">
            <v>1/2" Hex Mini CIM 25</v>
          </cell>
          <cell r="E194">
            <v>4</v>
          </cell>
          <cell r="I194">
            <v>0</v>
          </cell>
        </row>
        <row r="195">
          <cell r="D195" t="str">
            <v>1/2" Hex Mini CIM 27</v>
          </cell>
          <cell r="E195">
            <v>4</v>
          </cell>
          <cell r="I195">
            <v>0</v>
          </cell>
        </row>
        <row r="196">
          <cell r="D196" t="str">
            <v>1/2" Hex Mini CIM 28</v>
          </cell>
          <cell r="E196">
            <v>3</v>
          </cell>
          <cell r="I196">
            <v>0</v>
          </cell>
        </row>
        <row r="197">
          <cell r="D197" t="str">
            <v>1/2" Hex Mini CIM 30</v>
          </cell>
          <cell r="E197">
            <v>3</v>
          </cell>
          <cell r="I197">
            <v>0</v>
          </cell>
        </row>
        <row r="198">
          <cell r="D198" t="str">
            <v>1/2" Hex Mini CIM 35</v>
          </cell>
          <cell r="E198">
            <v>3</v>
          </cell>
          <cell r="I198">
            <v>0</v>
          </cell>
        </row>
        <row r="199">
          <cell r="D199" t="str">
            <v>1/2" Hex Mini CIM 36</v>
          </cell>
          <cell r="E199">
            <v>3</v>
          </cell>
          <cell r="I199">
            <v>0</v>
          </cell>
        </row>
        <row r="200">
          <cell r="D200" t="str">
            <v>1/2" Hex Mini CIM 40</v>
          </cell>
          <cell r="E200">
            <v>1</v>
          </cell>
          <cell r="I200">
            <v>0</v>
          </cell>
        </row>
        <row r="201">
          <cell r="D201" t="str">
            <v>1/2" Hex Mini CIM 45</v>
          </cell>
          <cell r="E201">
            <v>1</v>
          </cell>
          <cell r="I201">
            <v>0</v>
          </cell>
        </row>
        <row r="202">
          <cell r="D202" t="str">
            <v>1/2" Hex Mini CIM 49</v>
          </cell>
          <cell r="E202">
            <v>1</v>
          </cell>
          <cell r="I202">
            <v>0</v>
          </cell>
        </row>
        <row r="203">
          <cell r="D203" t="str">
            <v>1/2" Hex Mini CIM 50</v>
          </cell>
          <cell r="E203">
            <v>1</v>
          </cell>
          <cell r="I203">
            <v>0</v>
          </cell>
        </row>
        <row r="204">
          <cell r="D204" t="str">
            <v>1/2" Hex Mini CIM 63</v>
          </cell>
          <cell r="E204">
            <v>1</v>
          </cell>
          <cell r="I204">
            <v>0</v>
          </cell>
        </row>
        <row r="205">
          <cell r="D205" t="str">
            <v>1/2" Hex Mini CIM 70</v>
          </cell>
          <cell r="E205">
            <v>0</v>
          </cell>
          <cell r="I205">
            <v>0</v>
          </cell>
        </row>
        <row r="206">
          <cell r="D206" t="str">
            <v>1/2" Hex Mini CIM 81</v>
          </cell>
          <cell r="E206">
            <v>0</v>
          </cell>
          <cell r="I206">
            <v>0</v>
          </cell>
        </row>
        <row r="207">
          <cell r="D207" t="str">
            <v>1/2" Hex Mini CIM 90</v>
          </cell>
          <cell r="E207">
            <v>0</v>
          </cell>
          <cell r="I207">
            <v>0</v>
          </cell>
        </row>
        <row r="208">
          <cell r="D208" t="str">
            <v>1/2" Hex Mini CIM 100</v>
          </cell>
          <cell r="E208">
            <v>0</v>
          </cell>
          <cell r="I208">
            <v>0</v>
          </cell>
        </row>
        <row r="209">
          <cell r="D209" t="str">
            <v>1/2" Hex CIM -3</v>
          </cell>
          <cell r="E209">
            <v>1</v>
          </cell>
          <cell r="I209">
            <v>0</v>
          </cell>
        </row>
        <row r="210">
          <cell r="D210" t="str">
            <v>1/2" Hex CIM -4</v>
          </cell>
          <cell r="E210">
            <v>1</v>
          </cell>
          <cell r="I210">
            <v>0</v>
          </cell>
        </row>
        <row r="211">
          <cell r="D211" t="str">
            <v>1/2" Hex CIM -5</v>
          </cell>
          <cell r="E211">
            <v>1</v>
          </cell>
          <cell r="I211">
            <v>0</v>
          </cell>
        </row>
        <row r="212">
          <cell r="D212" t="str">
            <v>1/2" Hex CIM -7</v>
          </cell>
          <cell r="E212">
            <v>1</v>
          </cell>
          <cell r="I212">
            <v>0</v>
          </cell>
        </row>
        <row r="213">
          <cell r="D213" t="str">
            <v>1/2" Hex CIM -9</v>
          </cell>
          <cell r="E213">
            <v>1</v>
          </cell>
          <cell r="I213">
            <v>0</v>
          </cell>
        </row>
        <row r="214">
          <cell r="D214" t="str">
            <v>1/2" Hex CIM -10</v>
          </cell>
          <cell r="E214">
            <v>1</v>
          </cell>
          <cell r="I214">
            <v>0</v>
          </cell>
        </row>
        <row r="215">
          <cell r="D215" t="str">
            <v>1/2" Hex CIM 9</v>
          </cell>
          <cell r="E215">
            <v>5</v>
          </cell>
          <cell r="I215">
            <v>0</v>
          </cell>
        </row>
        <row r="216">
          <cell r="D216" t="str">
            <v>1/2" Hex CIM 12</v>
          </cell>
          <cell r="E216">
            <v>5</v>
          </cell>
          <cell r="I216">
            <v>0</v>
          </cell>
        </row>
        <row r="217">
          <cell r="D217" t="str">
            <v>1/2" Hex CIM 15</v>
          </cell>
          <cell r="E217">
            <v>4</v>
          </cell>
          <cell r="I217">
            <v>0</v>
          </cell>
        </row>
        <row r="218">
          <cell r="D218" t="str">
            <v>1/2" Hex CIM 16</v>
          </cell>
          <cell r="E218">
            <v>4</v>
          </cell>
          <cell r="I218">
            <v>0</v>
          </cell>
        </row>
        <row r="219">
          <cell r="D219" t="str">
            <v>1/2" Hex CIM 20</v>
          </cell>
          <cell r="E219">
            <v>3</v>
          </cell>
          <cell r="I219">
            <v>0</v>
          </cell>
        </row>
        <row r="220">
          <cell r="D220" t="str">
            <v>1/2" Hex CIM 21</v>
          </cell>
          <cell r="E220">
            <v>3</v>
          </cell>
          <cell r="I220">
            <v>0</v>
          </cell>
        </row>
        <row r="221">
          <cell r="D221" t="str">
            <v>1/2" Hex CIM 25</v>
          </cell>
          <cell r="E221">
            <v>1</v>
          </cell>
          <cell r="I221">
            <v>0</v>
          </cell>
        </row>
        <row r="222">
          <cell r="D222" t="str">
            <v>1/2" Hex CIM 27</v>
          </cell>
          <cell r="E222">
            <v>1</v>
          </cell>
          <cell r="I222">
            <v>0</v>
          </cell>
        </row>
        <row r="223">
          <cell r="D223" t="str">
            <v>1/2" Hex CIM 28</v>
          </cell>
          <cell r="E223">
            <v>1</v>
          </cell>
          <cell r="I223">
            <v>0</v>
          </cell>
        </row>
        <row r="224">
          <cell r="D224" t="str">
            <v>1/2" Hex CIM 30</v>
          </cell>
          <cell r="E224">
            <v>1</v>
          </cell>
          <cell r="I224">
            <v>0</v>
          </cell>
        </row>
        <row r="225">
          <cell r="D225" t="str">
            <v>1/2" Hex CIM 35</v>
          </cell>
          <cell r="E225">
            <v>1</v>
          </cell>
          <cell r="I225">
            <v>0</v>
          </cell>
        </row>
        <row r="226">
          <cell r="D226" t="str">
            <v>1/2" Hex CIM 36</v>
          </cell>
          <cell r="E226">
            <v>1</v>
          </cell>
          <cell r="I226">
            <v>0</v>
          </cell>
        </row>
        <row r="227">
          <cell r="D227" t="str">
            <v>1/2" Hex CIM 40</v>
          </cell>
          <cell r="E227">
            <v>1</v>
          </cell>
          <cell r="I227">
            <v>0</v>
          </cell>
        </row>
        <row r="228">
          <cell r="D228" t="str">
            <v>1/2" Hex CIM 45</v>
          </cell>
          <cell r="E228">
            <v>1</v>
          </cell>
          <cell r="I228">
            <v>0</v>
          </cell>
        </row>
        <row r="229">
          <cell r="D229" t="str">
            <v>1/2" Hex CIM 49</v>
          </cell>
          <cell r="E229">
            <v>0</v>
          </cell>
          <cell r="I229">
            <v>0</v>
          </cell>
        </row>
        <row r="230">
          <cell r="D230" t="str">
            <v>1/2" Hex CIM 50</v>
          </cell>
          <cell r="E230">
            <v>1</v>
          </cell>
          <cell r="I230">
            <v>0</v>
          </cell>
        </row>
        <row r="231">
          <cell r="D231" t="str">
            <v>1/2" Hex CIM 63</v>
          </cell>
          <cell r="E231">
            <v>0</v>
          </cell>
          <cell r="I231">
            <v>0</v>
          </cell>
        </row>
        <row r="232">
          <cell r="D232" t="str">
            <v>1/2" Hex CIM 70</v>
          </cell>
          <cell r="E232">
            <v>0</v>
          </cell>
          <cell r="I232">
            <v>0</v>
          </cell>
        </row>
        <row r="233">
          <cell r="D233" t="str">
            <v>1/2" Hex CIM 81</v>
          </cell>
          <cell r="E233">
            <v>0</v>
          </cell>
          <cell r="I233">
            <v>0</v>
          </cell>
        </row>
        <row r="234">
          <cell r="D234" t="str">
            <v>1/2" Hex CIM 90</v>
          </cell>
          <cell r="E234">
            <v>0</v>
          </cell>
          <cell r="I234">
            <v>0</v>
          </cell>
        </row>
        <row r="235">
          <cell r="D235" t="str">
            <v>1/2" Hex CIM 100</v>
          </cell>
          <cell r="E235">
            <v>0</v>
          </cell>
          <cell r="I235">
            <v>0</v>
          </cell>
        </row>
        <row r="236">
          <cell r="D236" t="str">
            <v>1/2" Hex NEO -3</v>
          </cell>
          <cell r="E236">
            <v>1</v>
          </cell>
          <cell r="I236">
            <v>0</v>
          </cell>
        </row>
        <row r="237">
          <cell r="D237" t="str">
            <v>1/2" Hex NEO -4</v>
          </cell>
          <cell r="E237">
            <v>1</v>
          </cell>
          <cell r="I237">
            <v>0</v>
          </cell>
        </row>
        <row r="238">
          <cell r="D238" t="str">
            <v>1/2" Hex NEO -5</v>
          </cell>
          <cell r="E238">
            <v>1</v>
          </cell>
          <cell r="I238">
            <v>0</v>
          </cell>
        </row>
        <row r="239">
          <cell r="D239" t="str">
            <v>1/2" Hex NEO -7</v>
          </cell>
          <cell r="E239">
            <v>1</v>
          </cell>
          <cell r="I239">
            <v>0</v>
          </cell>
        </row>
        <row r="240">
          <cell r="D240" t="str">
            <v>1/2" Hex NEO -9</v>
          </cell>
          <cell r="E240">
            <v>1</v>
          </cell>
          <cell r="I240">
            <v>0</v>
          </cell>
        </row>
        <row r="241">
          <cell r="D241" t="str">
            <v>1/2" Hex NEO -10</v>
          </cell>
          <cell r="E241">
            <v>1</v>
          </cell>
          <cell r="I241">
            <v>0</v>
          </cell>
        </row>
        <row r="242">
          <cell r="D242" t="str">
            <v>1/2" Hex NEO 9</v>
          </cell>
          <cell r="E242">
            <v>5</v>
          </cell>
          <cell r="I242">
            <v>0</v>
          </cell>
        </row>
        <row r="243">
          <cell r="D243" t="str">
            <v>1/2" Hex NEO 12</v>
          </cell>
          <cell r="E243">
            <v>3</v>
          </cell>
          <cell r="I243">
            <v>0</v>
          </cell>
        </row>
        <row r="244">
          <cell r="D244" t="str">
            <v>1/2" Hex NEO 15</v>
          </cell>
          <cell r="E244">
            <v>3</v>
          </cell>
          <cell r="I244">
            <v>0</v>
          </cell>
        </row>
        <row r="245">
          <cell r="D245" t="str">
            <v>1/2" Hex NEO 16</v>
          </cell>
          <cell r="E245">
            <v>1</v>
          </cell>
          <cell r="I245">
            <v>0</v>
          </cell>
        </row>
        <row r="246">
          <cell r="D246" t="str">
            <v>1/2" Hex NEO 20</v>
          </cell>
          <cell r="E246">
            <v>1</v>
          </cell>
          <cell r="I246">
            <v>0</v>
          </cell>
        </row>
        <row r="247">
          <cell r="D247" t="str">
            <v>1/2" Hex NEO 21</v>
          </cell>
          <cell r="E247">
            <v>1</v>
          </cell>
          <cell r="I247">
            <v>0</v>
          </cell>
        </row>
        <row r="248">
          <cell r="D248" t="str">
            <v>1/2" Hex NEO 25</v>
          </cell>
          <cell r="E248">
            <v>1</v>
          </cell>
          <cell r="I248">
            <v>0</v>
          </cell>
        </row>
        <row r="249">
          <cell r="D249" t="str">
            <v>1/2" Hex NEO 27</v>
          </cell>
          <cell r="E249">
            <v>1</v>
          </cell>
          <cell r="I249">
            <v>0</v>
          </cell>
        </row>
        <row r="250">
          <cell r="D250" t="str">
            <v>1/2" Hex NEO 28</v>
          </cell>
          <cell r="E250">
            <v>1</v>
          </cell>
          <cell r="I250">
            <v>0</v>
          </cell>
        </row>
        <row r="251">
          <cell r="D251" t="str">
            <v>1/2" Hex NEO 30</v>
          </cell>
          <cell r="E251">
            <v>1</v>
          </cell>
          <cell r="I251">
            <v>0</v>
          </cell>
        </row>
        <row r="252">
          <cell r="D252" t="str">
            <v>1/2" Hex NEO 35</v>
          </cell>
          <cell r="E252">
            <v>1</v>
          </cell>
          <cell r="I252">
            <v>0</v>
          </cell>
        </row>
        <row r="253">
          <cell r="D253" t="str">
            <v>1/2" Hex NEO 36</v>
          </cell>
          <cell r="E253">
            <v>1</v>
          </cell>
          <cell r="I253">
            <v>0</v>
          </cell>
        </row>
        <row r="254">
          <cell r="D254" t="str">
            <v>1/2" Hex NEO 40</v>
          </cell>
          <cell r="E254">
            <v>1</v>
          </cell>
          <cell r="I254">
            <v>0</v>
          </cell>
        </row>
        <row r="255">
          <cell r="D255" t="str">
            <v>1/2" Hex NEO 45</v>
          </cell>
          <cell r="E255">
            <v>1</v>
          </cell>
          <cell r="I255">
            <v>0</v>
          </cell>
        </row>
        <row r="256">
          <cell r="D256" t="str">
            <v>1/2" Hex NEO 49</v>
          </cell>
          <cell r="E256">
            <v>0</v>
          </cell>
          <cell r="I256">
            <v>0</v>
          </cell>
        </row>
        <row r="257">
          <cell r="D257" t="str">
            <v>1/2" Hex NEO 50</v>
          </cell>
          <cell r="E257">
            <v>0</v>
          </cell>
          <cell r="I257">
            <v>0</v>
          </cell>
        </row>
        <row r="258">
          <cell r="D258" t="str">
            <v>1/2" Hex NEO 63</v>
          </cell>
          <cell r="E258">
            <v>0</v>
          </cell>
          <cell r="I258">
            <v>0</v>
          </cell>
        </row>
        <row r="259">
          <cell r="D259" t="str">
            <v>1/2" Hex NEO 70</v>
          </cell>
          <cell r="E259">
            <v>0</v>
          </cell>
          <cell r="I259">
            <v>0</v>
          </cell>
        </row>
        <row r="260">
          <cell r="D260" t="str">
            <v>1/2" Hex NEO 81</v>
          </cell>
          <cell r="E260">
            <v>0</v>
          </cell>
          <cell r="I260">
            <v>0</v>
          </cell>
        </row>
        <row r="261">
          <cell r="D261" t="str">
            <v>1/2" Hex NEO 90</v>
          </cell>
          <cell r="E261">
            <v>0</v>
          </cell>
          <cell r="I261">
            <v>0</v>
          </cell>
        </row>
        <row r="262">
          <cell r="D262" t="str">
            <v>1/2" Hex NEO 100</v>
          </cell>
          <cell r="E262">
            <v>0</v>
          </cell>
          <cell r="I262">
            <v>0</v>
          </cell>
        </row>
        <row r="263">
          <cell r="D263" t="str">
            <v>1/2" Hex Falcon 500 -3</v>
          </cell>
          <cell r="E263">
            <v>1</v>
          </cell>
          <cell r="I263">
            <v>0</v>
          </cell>
        </row>
        <row r="264">
          <cell r="D264" t="str">
            <v>1/2" Hex Falcon 500 -4</v>
          </cell>
          <cell r="E264">
            <v>1</v>
          </cell>
          <cell r="I264">
            <v>0</v>
          </cell>
        </row>
        <row r="265">
          <cell r="D265" t="str">
            <v>1/2" Hex Falcon 500 -5</v>
          </cell>
          <cell r="E265">
            <v>1</v>
          </cell>
          <cell r="I265">
            <v>0</v>
          </cell>
        </row>
        <row r="266">
          <cell r="D266" t="str">
            <v>1/2" Hex Falcon 500 -7</v>
          </cell>
          <cell r="E266">
            <v>1</v>
          </cell>
          <cell r="I266">
            <v>0</v>
          </cell>
        </row>
        <row r="267">
          <cell r="D267" t="str">
            <v>1/2" Hex Falcon 500 -9</v>
          </cell>
          <cell r="E267">
            <v>1</v>
          </cell>
          <cell r="I267">
            <v>0</v>
          </cell>
        </row>
        <row r="268">
          <cell r="D268" t="str">
            <v>1/2" Hex Falcon 500 -10</v>
          </cell>
          <cell r="E268">
            <v>1</v>
          </cell>
          <cell r="I268">
            <v>0</v>
          </cell>
        </row>
        <row r="269">
          <cell r="D269" t="str">
            <v>1/2" Hex Falcon 500 9</v>
          </cell>
          <cell r="E269">
            <v>3</v>
          </cell>
          <cell r="I269">
            <v>0</v>
          </cell>
        </row>
        <row r="270">
          <cell r="D270" t="str">
            <v>1/2" Hex Falcon 500 12</v>
          </cell>
          <cell r="E270">
            <v>1</v>
          </cell>
          <cell r="I270">
            <v>0</v>
          </cell>
        </row>
        <row r="271">
          <cell r="D271" t="str">
            <v>1/2" Hex Falcon 500 15</v>
          </cell>
          <cell r="E271">
            <v>1</v>
          </cell>
          <cell r="I271">
            <v>0</v>
          </cell>
        </row>
        <row r="272">
          <cell r="D272" t="str">
            <v>1/2" Hex Falcon 500 16</v>
          </cell>
          <cell r="E272">
            <v>1</v>
          </cell>
          <cell r="I272">
            <v>0</v>
          </cell>
        </row>
        <row r="273">
          <cell r="D273" t="str">
            <v>1/2" Hex Falcon 500 20</v>
          </cell>
          <cell r="E273">
            <v>1</v>
          </cell>
          <cell r="I273">
            <v>0</v>
          </cell>
        </row>
        <row r="274">
          <cell r="D274" t="str">
            <v>1/2" Hex Falcon 500 21</v>
          </cell>
          <cell r="E274">
            <v>1</v>
          </cell>
          <cell r="I274">
            <v>0</v>
          </cell>
        </row>
        <row r="275">
          <cell r="D275" t="str">
            <v>1/2" Hex Falcon 500 25</v>
          </cell>
          <cell r="E275">
            <v>1</v>
          </cell>
          <cell r="I275">
            <v>0</v>
          </cell>
        </row>
        <row r="276">
          <cell r="D276" t="str">
            <v>1/2" Hex Falcon 500 27</v>
          </cell>
          <cell r="E276">
            <v>1</v>
          </cell>
          <cell r="I276">
            <v>0</v>
          </cell>
        </row>
        <row r="277">
          <cell r="D277" t="str">
            <v>1/2" Hex Falcon 500 28</v>
          </cell>
          <cell r="E277">
            <v>1</v>
          </cell>
          <cell r="I277">
            <v>0</v>
          </cell>
        </row>
        <row r="278">
          <cell r="D278" t="str">
            <v>1/2" Hex Falcon 500 30</v>
          </cell>
          <cell r="E278">
            <v>1</v>
          </cell>
          <cell r="I278">
            <v>0</v>
          </cell>
        </row>
        <row r="279">
          <cell r="D279" t="str">
            <v>1/2" Hex Falcon 500 35</v>
          </cell>
          <cell r="E279">
            <v>0</v>
          </cell>
          <cell r="I279">
            <v>0</v>
          </cell>
        </row>
        <row r="280">
          <cell r="D280" t="str">
            <v>1/2" Hex Falcon 500 36</v>
          </cell>
          <cell r="E280">
            <v>0</v>
          </cell>
          <cell r="I280">
            <v>0</v>
          </cell>
        </row>
        <row r="281">
          <cell r="D281" t="str">
            <v>1/2" Hex Falcon 500 40</v>
          </cell>
          <cell r="E281">
            <v>0</v>
          </cell>
          <cell r="I281">
            <v>0</v>
          </cell>
        </row>
        <row r="282">
          <cell r="D282" t="str">
            <v>1/2" Hex Falcon 500 45</v>
          </cell>
          <cell r="E282">
            <v>0</v>
          </cell>
          <cell r="I282">
            <v>0</v>
          </cell>
        </row>
        <row r="283">
          <cell r="D283" t="str">
            <v>1/2" Hex Falcon 500 49</v>
          </cell>
          <cell r="E283">
            <v>0</v>
          </cell>
          <cell r="I283">
            <v>0</v>
          </cell>
        </row>
        <row r="284">
          <cell r="D284" t="str">
            <v>1/2" Hex Falcon 500 50</v>
          </cell>
          <cell r="E284">
            <v>0</v>
          </cell>
          <cell r="I284">
            <v>0</v>
          </cell>
        </row>
        <row r="285">
          <cell r="D285" t="str">
            <v>1/2" Hex Falcon 500 63</v>
          </cell>
          <cell r="E285">
            <v>0</v>
          </cell>
          <cell r="I285">
            <v>0</v>
          </cell>
        </row>
        <row r="286">
          <cell r="D286" t="str">
            <v>1/2" Hex Falcon 500 70</v>
          </cell>
          <cell r="E286">
            <v>0</v>
          </cell>
          <cell r="I286">
            <v>0</v>
          </cell>
        </row>
        <row r="287">
          <cell r="D287" t="str">
            <v>1/2" Hex Falcon 500 81</v>
          </cell>
          <cell r="E287">
            <v>0</v>
          </cell>
          <cell r="I287">
            <v>0</v>
          </cell>
        </row>
        <row r="288">
          <cell r="D288" t="str">
            <v>1/2" Hex Falcon 500 90</v>
          </cell>
          <cell r="E288">
            <v>0</v>
          </cell>
          <cell r="I288">
            <v>0</v>
          </cell>
        </row>
        <row r="289">
          <cell r="D289" t="str">
            <v>1/2" Hex Falcon 500 100</v>
          </cell>
          <cell r="E289">
            <v>0</v>
          </cell>
          <cell r="I289">
            <v>0</v>
          </cell>
        </row>
        <row r="290">
          <cell r="D290" t="str">
            <v>1/2" Round AM 9015 -3</v>
          </cell>
          <cell r="E290">
            <v>1</v>
          </cell>
          <cell r="I290">
            <v>1</v>
          </cell>
        </row>
        <row r="291">
          <cell r="D291" t="str">
            <v>1/2" Round AM 9015 -4</v>
          </cell>
          <cell r="E291">
            <v>1</v>
          </cell>
          <cell r="I291">
            <v>1</v>
          </cell>
        </row>
        <row r="292">
          <cell r="D292" t="str">
            <v>1/2" Round AM 9015 -5</v>
          </cell>
          <cell r="E292">
            <v>1</v>
          </cell>
          <cell r="I292">
            <v>1</v>
          </cell>
        </row>
        <row r="293">
          <cell r="D293" t="str">
            <v>1/2" Round AM 9015 -7</v>
          </cell>
          <cell r="E293">
            <v>1</v>
          </cell>
          <cell r="I293">
            <v>1</v>
          </cell>
        </row>
        <row r="294">
          <cell r="D294" t="str">
            <v>1/2" Round AM 9015 -9</v>
          </cell>
          <cell r="E294">
            <v>1</v>
          </cell>
          <cell r="I294">
            <v>1</v>
          </cell>
        </row>
        <row r="295">
          <cell r="D295" t="str">
            <v>1/2" Round AM 9015 -10</v>
          </cell>
          <cell r="E295">
            <v>1</v>
          </cell>
          <cell r="I295">
            <v>1</v>
          </cell>
        </row>
        <row r="296">
          <cell r="D296" t="str">
            <v>1/2" Round AM 9015 9</v>
          </cell>
          <cell r="E296">
            <v>10</v>
          </cell>
          <cell r="I296">
            <v>10</v>
          </cell>
        </row>
        <row r="297">
          <cell r="D297" t="str">
            <v>1/2" Round AM 9015 12</v>
          </cell>
          <cell r="E297">
            <v>10</v>
          </cell>
          <cell r="I297">
            <v>7</v>
          </cell>
        </row>
        <row r="298">
          <cell r="D298" t="str">
            <v>1/2" Round AM 9015 15</v>
          </cell>
          <cell r="E298">
            <v>10</v>
          </cell>
          <cell r="I298">
            <v>5</v>
          </cell>
        </row>
        <row r="299">
          <cell r="D299" t="str">
            <v>1/2" Round AM 9015 16</v>
          </cell>
          <cell r="E299">
            <v>10</v>
          </cell>
          <cell r="I299">
            <v>5</v>
          </cell>
        </row>
        <row r="300">
          <cell r="D300" t="str">
            <v>1/2" Round AM 9015 20</v>
          </cell>
          <cell r="E300">
            <v>10</v>
          </cell>
          <cell r="I300">
            <v>4</v>
          </cell>
        </row>
        <row r="301">
          <cell r="D301" t="str">
            <v>1/2" Round AM 9015 21</v>
          </cell>
          <cell r="E301">
            <v>10</v>
          </cell>
          <cell r="I301">
            <v>4</v>
          </cell>
        </row>
        <row r="302">
          <cell r="D302" t="str">
            <v>1/2" Round AM 9015 25</v>
          </cell>
          <cell r="E302">
            <v>7</v>
          </cell>
          <cell r="I302">
            <v>3</v>
          </cell>
        </row>
        <row r="303">
          <cell r="D303" t="str">
            <v>1/2" Round AM 9015 27</v>
          </cell>
          <cell r="E303">
            <v>7</v>
          </cell>
          <cell r="I303">
            <v>3</v>
          </cell>
        </row>
        <row r="304">
          <cell r="D304" t="str">
            <v>1/2" Round AM 9015 28</v>
          </cell>
          <cell r="E304">
            <v>7</v>
          </cell>
          <cell r="I304">
            <v>3</v>
          </cell>
        </row>
        <row r="305">
          <cell r="D305" t="str">
            <v>1/2" Round AM 9015 30</v>
          </cell>
          <cell r="E305">
            <v>7</v>
          </cell>
          <cell r="I305">
            <v>3</v>
          </cell>
        </row>
        <row r="306">
          <cell r="D306" t="str">
            <v>1/2" Round AM 9015 35</v>
          </cell>
          <cell r="E306">
            <v>5</v>
          </cell>
          <cell r="I306">
            <v>1</v>
          </cell>
        </row>
        <row r="307">
          <cell r="D307" t="str">
            <v>1/2" Round AM 9015 36</v>
          </cell>
          <cell r="E307">
            <v>5</v>
          </cell>
          <cell r="I307">
            <v>1</v>
          </cell>
        </row>
        <row r="308">
          <cell r="D308" t="str">
            <v>1/2" Round AM 9015 40</v>
          </cell>
          <cell r="E308">
            <v>5</v>
          </cell>
          <cell r="I308">
            <v>1</v>
          </cell>
        </row>
        <row r="309">
          <cell r="D309" t="str">
            <v>1/2" Round AM 9015 45</v>
          </cell>
          <cell r="E309">
            <v>5</v>
          </cell>
          <cell r="I309">
            <v>1</v>
          </cell>
        </row>
        <row r="310">
          <cell r="D310" t="str">
            <v>1/2" Round AM 9015 49</v>
          </cell>
          <cell r="E310">
            <v>5</v>
          </cell>
          <cell r="I310">
            <v>1</v>
          </cell>
        </row>
        <row r="311">
          <cell r="D311" t="str">
            <v>1/2" Round AM 9015 50</v>
          </cell>
          <cell r="E311">
            <v>5</v>
          </cell>
          <cell r="I311">
            <v>1</v>
          </cell>
        </row>
        <row r="312">
          <cell r="D312" t="str">
            <v>1/2" Round AM 9015 63</v>
          </cell>
          <cell r="E312">
            <v>4</v>
          </cell>
          <cell r="I312">
            <v>1</v>
          </cell>
        </row>
        <row r="313">
          <cell r="D313" t="str">
            <v>1/2" Round AM 9015 70</v>
          </cell>
          <cell r="E313">
            <v>4</v>
          </cell>
          <cell r="I313">
            <v>1</v>
          </cell>
        </row>
        <row r="314">
          <cell r="D314" t="str">
            <v>1/2" Round AM 9015 81</v>
          </cell>
          <cell r="E314">
            <v>3</v>
          </cell>
          <cell r="I314">
            <v>1</v>
          </cell>
        </row>
        <row r="315">
          <cell r="D315" t="str">
            <v>1/2" Round AM 9015 90</v>
          </cell>
          <cell r="E315">
            <v>3</v>
          </cell>
          <cell r="I315">
            <v>1</v>
          </cell>
        </row>
        <row r="316">
          <cell r="D316" t="str">
            <v>1/2" Round AM 9015 100</v>
          </cell>
          <cell r="E316">
            <v>1</v>
          </cell>
          <cell r="I316">
            <v>0</v>
          </cell>
        </row>
        <row r="317">
          <cell r="D317" t="str">
            <v>1/2" Round BB RS-550 -3</v>
          </cell>
          <cell r="E317">
            <v>1</v>
          </cell>
          <cell r="F317">
            <v>1</v>
          </cell>
          <cell r="G317">
            <v>1</v>
          </cell>
          <cell r="H317">
            <v>1</v>
          </cell>
          <cell r="I317">
            <v>1</v>
          </cell>
        </row>
        <row r="318">
          <cell r="D318" t="str">
            <v>1/2" Round BB RS-550 -4</v>
          </cell>
          <cell r="E318">
            <v>1</v>
          </cell>
          <cell r="F318">
            <v>1</v>
          </cell>
          <cell r="G318">
            <v>1</v>
          </cell>
          <cell r="H318">
            <v>0</v>
          </cell>
          <cell r="I318">
            <v>1</v>
          </cell>
        </row>
        <row r="319">
          <cell r="D319" t="str">
            <v>1/2" Round BB RS-550 -5</v>
          </cell>
          <cell r="E319">
            <v>1</v>
          </cell>
          <cell r="F319">
            <v>1</v>
          </cell>
          <cell r="G319">
            <v>1</v>
          </cell>
          <cell r="H319">
            <v>0</v>
          </cell>
          <cell r="I319">
            <v>1</v>
          </cell>
        </row>
        <row r="320">
          <cell r="D320" t="str">
            <v>1/2" Round BB RS-550 -7</v>
          </cell>
          <cell r="E320">
            <v>1</v>
          </cell>
          <cell r="F320">
            <v>1</v>
          </cell>
          <cell r="G320">
            <v>1</v>
          </cell>
          <cell r="H320">
            <v>0</v>
          </cell>
          <cell r="I320">
            <v>1</v>
          </cell>
        </row>
        <row r="321">
          <cell r="D321" t="str">
            <v>1/2" Round BB RS-550 -9</v>
          </cell>
          <cell r="E321">
            <v>1</v>
          </cell>
          <cell r="F321">
            <v>1</v>
          </cell>
          <cell r="G321">
            <v>0</v>
          </cell>
          <cell r="H321">
            <v>0</v>
          </cell>
          <cell r="I321">
            <v>1</v>
          </cell>
        </row>
        <row r="322">
          <cell r="D322" t="str">
            <v>1/2" Round BB RS-550 -10</v>
          </cell>
          <cell r="E322">
            <v>1</v>
          </cell>
          <cell r="F322">
            <v>1</v>
          </cell>
          <cell r="G322">
            <v>0</v>
          </cell>
          <cell r="H322">
            <v>0</v>
          </cell>
          <cell r="I322">
            <v>1</v>
          </cell>
        </row>
        <row r="323">
          <cell r="D323" t="str">
            <v>1/2" Round BB RS-550 9</v>
          </cell>
          <cell r="E323">
            <v>10</v>
          </cell>
          <cell r="F323">
            <v>10</v>
          </cell>
          <cell r="G323">
            <v>1</v>
          </cell>
          <cell r="H323">
            <v>0</v>
          </cell>
          <cell r="I323">
            <v>10</v>
          </cell>
        </row>
        <row r="324">
          <cell r="D324" t="str">
            <v>1/2" Round BB RS-550 12</v>
          </cell>
          <cell r="E324">
            <v>10</v>
          </cell>
          <cell r="F324">
            <v>7</v>
          </cell>
          <cell r="G324">
            <v>0</v>
          </cell>
          <cell r="H324">
            <v>0</v>
          </cell>
          <cell r="I324">
            <v>7</v>
          </cell>
        </row>
        <row r="325">
          <cell r="D325" t="str">
            <v>1/2" Round BB RS-550 15</v>
          </cell>
          <cell r="E325">
            <v>10</v>
          </cell>
          <cell r="F325">
            <v>5</v>
          </cell>
          <cell r="G325">
            <v>0</v>
          </cell>
          <cell r="H325">
            <v>0</v>
          </cell>
          <cell r="I325">
            <v>5</v>
          </cell>
        </row>
        <row r="326">
          <cell r="D326" t="str">
            <v>1/2" Round BB RS-550 16</v>
          </cell>
          <cell r="E326">
            <v>10</v>
          </cell>
          <cell r="F326">
            <v>5</v>
          </cell>
          <cell r="G326">
            <v>0</v>
          </cell>
          <cell r="H326">
            <v>0</v>
          </cell>
          <cell r="I326">
            <v>5</v>
          </cell>
        </row>
        <row r="327">
          <cell r="D327" t="str">
            <v>1/2" Round BB RS-550 20</v>
          </cell>
          <cell r="E327">
            <v>9</v>
          </cell>
          <cell r="F327">
            <v>5</v>
          </cell>
          <cell r="G327">
            <v>0</v>
          </cell>
          <cell r="H327">
            <v>0</v>
          </cell>
          <cell r="I327">
            <v>4</v>
          </cell>
        </row>
        <row r="328">
          <cell r="D328" t="str">
            <v>1/2" Round BB RS-550 21</v>
          </cell>
          <cell r="E328">
            <v>9</v>
          </cell>
          <cell r="F328">
            <v>5</v>
          </cell>
          <cell r="G328">
            <v>0</v>
          </cell>
          <cell r="H328">
            <v>0</v>
          </cell>
          <cell r="I328">
            <v>4</v>
          </cell>
        </row>
        <row r="329">
          <cell r="D329" t="str">
            <v>1/2" Round BB RS-550 25</v>
          </cell>
          <cell r="E329">
            <v>7</v>
          </cell>
          <cell r="F329">
            <v>5</v>
          </cell>
          <cell r="G329">
            <v>0</v>
          </cell>
          <cell r="H329">
            <v>0</v>
          </cell>
          <cell r="I329">
            <v>3</v>
          </cell>
        </row>
        <row r="330">
          <cell r="D330" t="str">
            <v>1/2" Round BB RS-550 27</v>
          </cell>
          <cell r="E330">
            <v>7</v>
          </cell>
          <cell r="F330">
            <v>4</v>
          </cell>
          <cell r="G330">
            <v>0</v>
          </cell>
          <cell r="H330">
            <v>0</v>
          </cell>
          <cell r="I330">
            <v>3</v>
          </cell>
        </row>
        <row r="331">
          <cell r="D331" t="str">
            <v>1/2" Round BB RS-550 28</v>
          </cell>
          <cell r="E331">
            <v>7</v>
          </cell>
          <cell r="F331">
            <v>4</v>
          </cell>
          <cell r="G331">
            <v>0</v>
          </cell>
          <cell r="H331">
            <v>0</v>
          </cell>
          <cell r="I331">
            <v>3</v>
          </cell>
        </row>
        <row r="332">
          <cell r="D332" t="str">
            <v>1/2" Round BB RS-550 30</v>
          </cell>
          <cell r="E332">
            <v>5</v>
          </cell>
          <cell r="F332">
            <v>4</v>
          </cell>
          <cell r="G332">
            <v>0</v>
          </cell>
          <cell r="H332">
            <v>0</v>
          </cell>
          <cell r="I332">
            <v>3</v>
          </cell>
        </row>
        <row r="333">
          <cell r="D333" t="str">
            <v>1/2" Round BB RS-550 35</v>
          </cell>
          <cell r="E333">
            <v>5</v>
          </cell>
          <cell r="F333">
            <v>3</v>
          </cell>
          <cell r="G333">
            <v>0</v>
          </cell>
          <cell r="H333">
            <v>0</v>
          </cell>
          <cell r="I333">
            <v>1</v>
          </cell>
        </row>
        <row r="334">
          <cell r="D334" t="str">
            <v>1/2" Round BB RS-550 36</v>
          </cell>
          <cell r="E334">
            <v>5</v>
          </cell>
          <cell r="F334">
            <v>3</v>
          </cell>
          <cell r="G334">
            <v>0</v>
          </cell>
          <cell r="H334">
            <v>0</v>
          </cell>
          <cell r="I334">
            <v>1</v>
          </cell>
        </row>
        <row r="335">
          <cell r="D335" t="str">
            <v>1/2" Round BB RS-550 40</v>
          </cell>
          <cell r="E335">
            <v>5</v>
          </cell>
          <cell r="F335">
            <v>3</v>
          </cell>
          <cell r="G335">
            <v>0</v>
          </cell>
          <cell r="H335">
            <v>0</v>
          </cell>
          <cell r="I335">
            <v>1</v>
          </cell>
        </row>
        <row r="336">
          <cell r="D336" t="str">
            <v>1/2" Round BB RS-550 45</v>
          </cell>
          <cell r="E336">
            <v>5</v>
          </cell>
          <cell r="F336">
            <v>1</v>
          </cell>
          <cell r="G336">
            <v>0</v>
          </cell>
          <cell r="H336">
            <v>0</v>
          </cell>
          <cell r="I336">
            <v>1</v>
          </cell>
        </row>
        <row r="337">
          <cell r="D337" t="str">
            <v>1/2" Round BB RS-550 49</v>
          </cell>
          <cell r="E337">
            <v>5</v>
          </cell>
          <cell r="F337">
            <v>1</v>
          </cell>
          <cell r="G337">
            <v>0</v>
          </cell>
          <cell r="H337">
            <v>0</v>
          </cell>
          <cell r="I337">
            <v>1</v>
          </cell>
        </row>
        <row r="338">
          <cell r="D338" t="str">
            <v>1/2" Round BB RS-550 50</v>
          </cell>
          <cell r="E338">
            <v>5</v>
          </cell>
          <cell r="F338">
            <v>1</v>
          </cell>
          <cell r="G338">
            <v>0</v>
          </cell>
          <cell r="H338">
            <v>0</v>
          </cell>
          <cell r="I338">
            <v>1</v>
          </cell>
        </row>
        <row r="339">
          <cell r="D339" t="str">
            <v>1/2" Round BB RS-550 63</v>
          </cell>
          <cell r="E339">
            <v>4</v>
          </cell>
          <cell r="F339">
            <v>1</v>
          </cell>
          <cell r="G339">
            <v>0</v>
          </cell>
          <cell r="H339">
            <v>0</v>
          </cell>
          <cell r="I339">
            <v>1</v>
          </cell>
        </row>
        <row r="340">
          <cell r="D340" t="str">
            <v>1/2" Round BB RS-550 70</v>
          </cell>
          <cell r="E340">
            <v>3</v>
          </cell>
          <cell r="F340">
            <v>1</v>
          </cell>
          <cell r="G340">
            <v>0</v>
          </cell>
          <cell r="H340">
            <v>0</v>
          </cell>
          <cell r="I340">
            <v>1</v>
          </cell>
        </row>
        <row r="341">
          <cell r="D341" t="str">
            <v>1/2" Round BB RS-550 81</v>
          </cell>
          <cell r="E341">
            <v>3</v>
          </cell>
          <cell r="F341">
            <v>1</v>
          </cell>
          <cell r="G341">
            <v>0</v>
          </cell>
          <cell r="H341">
            <v>0</v>
          </cell>
          <cell r="I341">
            <v>1</v>
          </cell>
        </row>
        <row r="342">
          <cell r="D342" t="str">
            <v>1/2" Round BB RS-550 90</v>
          </cell>
          <cell r="E342">
            <v>1</v>
          </cell>
          <cell r="F342">
            <v>1</v>
          </cell>
          <cell r="G342">
            <v>0</v>
          </cell>
          <cell r="H342">
            <v>0</v>
          </cell>
          <cell r="I342">
            <v>1</v>
          </cell>
        </row>
        <row r="343">
          <cell r="D343" t="str">
            <v>1/2" Round BB RS-550 100</v>
          </cell>
          <cell r="E343">
            <v>1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</row>
        <row r="344">
          <cell r="D344" t="str">
            <v>1/2" Round BB RS-775 -3</v>
          </cell>
          <cell r="E344">
            <v>1</v>
          </cell>
          <cell r="F344">
            <v>1</v>
          </cell>
          <cell r="G344">
            <v>1</v>
          </cell>
          <cell r="H344">
            <v>0</v>
          </cell>
          <cell r="I344">
            <v>1</v>
          </cell>
        </row>
        <row r="345">
          <cell r="D345" t="str">
            <v>1/2" Round BB RS-775 -4</v>
          </cell>
          <cell r="E345">
            <v>1</v>
          </cell>
          <cell r="F345">
            <v>1</v>
          </cell>
          <cell r="G345">
            <v>1</v>
          </cell>
          <cell r="H345">
            <v>0</v>
          </cell>
          <cell r="I345">
            <v>1</v>
          </cell>
        </row>
        <row r="346">
          <cell r="D346" t="str">
            <v>1/2" Round BB RS-775 -5</v>
          </cell>
          <cell r="E346">
            <v>1</v>
          </cell>
          <cell r="F346">
            <v>1</v>
          </cell>
          <cell r="G346">
            <v>1</v>
          </cell>
          <cell r="H346">
            <v>0</v>
          </cell>
          <cell r="I346">
            <v>1</v>
          </cell>
        </row>
        <row r="347">
          <cell r="D347" t="str">
            <v>1/2" Round BB RS-775 -7</v>
          </cell>
          <cell r="E347">
            <v>1</v>
          </cell>
          <cell r="F347">
            <v>1</v>
          </cell>
          <cell r="G347">
            <v>0</v>
          </cell>
          <cell r="H347">
            <v>0</v>
          </cell>
          <cell r="I347">
            <v>1</v>
          </cell>
        </row>
        <row r="348">
          <cell r="D348" t="str">
            <v>1/2" Round BB RS-775 -9</v>
          </cell>
          <cell r="E348">
            <v>1</v>
          </cell>
          <cell r="F348">
            <v>1</v>
          </cell>
          <cell r="G348">
            <v>0</v>
          </cell>
          <cell r="H348">
            <v>0</v>
          </cell>
          <cell r="I348">
            <v>1</v>
          </cell>
        </row>
        <row r="349">
          <cell r="D349" t="str">
            <v>1/2" Round BB RS-775 -10</v>
          </cell>
          <cell r="E349">
            <v>1</v>
          </cell>
          <cell r="F349">
            <v>1</v>
          </cell>
          <cell r="G349">
            <v>0</v>
          </cell>
          <cell r="H349">
            <v>0</v>
          </cell>
          <cell r="I349">
            <v>1</v>
          </cell>
        </row>
        <row r="350">
          <cell r="D350" t="str">
            <v>1/2" Round BB RS-775 9</v>
          </cell>
          <cell r="E350">
            <v>10</v>
          </cell>
          <cell r="F350">
            <v>5</v>
          </cell>
          <cell r="G350">
            <v>0</v>
          </cell>
          <cell r="H350">
            <v>0</v>
          </cell>
          <cell r="I350">
            <v>10</v>
          </cell>
        </row>
        <row r="351">
          <cell r="D351" t="str">
            <v>1/2" Round BB RS-775 12</v>
          </cell>
          <cell r="E351">
            <v>10</v>
          </cell>
          <cell r="F351">
            <v>5</v>
          </cell>
          <cell r="G351">
            <v>0</v>
          </cell>
          <cell r="H351">
            <v>0</v>
          </cell>
          <cell r="I351">
            <v>10</v>
          </cell>
        </row>
        <row r="352">
          <cell r="D352" t="str">
            <v>1/2" Round BB RS-775 15</v>
          </cell>
          <cell r="E352">
            <v>7</v>
          </cell>
          <cell r="F352">
            <v>5</v>
          </cell>
          <cell r="G352">
            <v>0</v>
          </cell>
          <cell r="H352">
            <v>0</v>
          </cell>
          <cell r="I352">
            <v>7</v>
          </cell>
        </row>
        <row r="353">
          <cell r="D353" t="str">
            <v>1/2" Round BB RS-775 16</v>
          </cell>
          <cell r="E353">
            <v>7</v>
          </cell>
          <cell r="F353">
            <v>5</v>
          </cell>
          <cell r="G353">
            <v>0</v>
          </cell>
          <cell r="H353">
            <v>0</v>
          </cell>
          <cell r="I353">
            <v>7</v>
          </cell>
        </row>
        <row r="354">
          <cell r="D354" t="str">
            <v>1/2" Round BB RS-775 20</v>
          </cell>
          <cell r="E354">
            <v>5</v>
          </cell>
          <cell r="F354">
            <v>4</v>
          </cell>
          <cell r="G354">
            <v>0</v>
          </cell>
          <cell r="H354">
            <v>0</v>
          </cell>
          <cell r="I354">
            <v>5</v>
          </cell>
        </row>
        <row r="355">
          <cell r="D355" t="str">
            <v>1/2" Round BB RS-775 21</v>
          </cell>
          <cell r="E355">
            <v>5</v>
          </cell>
          <cell r="F355">
            <v>3</v>
          </cell>
          <cell r="G355">
            <v>0</v>
          </cell>
          <cell r="H355">
            <v>0</v>
          </cell>
          <cell r="I355">
            <v>5</v>
          </cell>
        </row>
        <row r="356">
          <cell r="D356" t="str">
            <v>1/2" Round BB RS-775 25</v>
          </cell>
          <cell r="E356">
            <v>5</v>
          </cell>
          <cell r="F356">
            <v>3</v>
          </cell>
          <cell r="G356">
            <v>0</v>
          </cell>
          <cell r="H356">
            <v>0</v>
          </cell>
          <cell r="I356">
            <v>5</v>
          </cell>
        </row>
        <row r="357">
          <cell r="D357" t="str">
            <v>1/2" Round BB RS-775 27</v>
          </cell>
          <cell r="E357">
            <v>5</v>
          </cell>
          <cell r="F357">
            <v>3</v>
          </cell>
          <cell r="G357">
            <v>0</v>
          </cell>
          <cell r="H357">
            <v>0</v>
          </cell>
          <cell r="I357">
            <v>4</v>
          </cell>
        </row>
        <row r="358">
          <cell r="D358" t="str">
            <v>1/2" Round BB RS-775 28</v>
          </cell>
          <cell r="E358">
            <v>5</v>
          </cell>
          <cell r="F358">
            <v>1</v>
          </cell>
          <cell r="G358">
            <v>0</v>
          </cell>
          <cell r="H358">
            <v>0</v>
          </cell>
          <cell r="I358">
            <v>4</v>
          </cell>
        </row>
        <row r="359">
          <cell r="D359" t="str">
            <v>1/2" Round BB RS-775 30</v>
          </cell>
          <cell r="E359">
            <v>5</v>
          </cell>
          <cell r="F359">
            <v>1</v>
          </cell>
          <cell r="G359">
            <v>0</v>
          </cell>
          <cell r="H359">
            <v>0</v>
          </cell>
          <cell r="I359">
            <v>4</v>
          </cell>
        </row>
        <row r="360">
          <cell r="D360" t="str">
            <v>1/2" Round BB RS-775 35</v>
          </cell>
          <cell r="E360">
            <v>4</v>
          </cell>
          <cell r="F360">
            <v>1</v>
          </cell>
          <cell r="G360">
            <v>0</v>
          </cell>
          <cell r="H360">
            <v>0</v>
          </cell>
          <cell r="I360">
            <v>3</v>
          </cell>
        </row>
        <row r="361">
          <cell r="D361" t="str">
            <v>1/2" Round BB RS-775 36</v>
          </cell>
          <cell r="E361">
            <v>4</v>
          </cell>
          <cell r="F361">
            <v>1</v>
          </cell>
          <cell r="G361">
            <v>0</v>
          </cell>
          <cell r="H361">
            <v>0</v>
          </cell>
          <cell r="I361">
            <v>3</v>
          </cell>
        </row>
        <row r="362">
          <cell r="D362" t="str">
            <v>1/2" Round BB RS-775 40</v>
          </cell>
          <cell r="E362">
            <v>4</v>
          </cell>
          <cell r="F362">
            <v>1</v>
          </cell>
          <cell r="G362">
            <v>0</v>
          </cell>
          <cell r="H362">
            <v>0</v>
          </cell>
          <cell r="I362">
            <v>3</v>
          </cell>
        </row>
        <row r="363">
          <cell r="D363" t="str">
            <v>1/2" Round BB RS-775 45</v>
          </cell>
          <cell r="E363">
            <v>3</v>
          </cell>
          <cell r="F363">
            <v>1</v>
          </cell>
          <cell r="G363">
            <v>0</v>
          </cell>
          <cell r="H363">
            <v>0</v>
          </cell>
          <cell r="I363">
            <v>1</v>
          </cell>
        </row>
        <row r="364">
          <cell r="D364" t="str">
            <v>1/2" Round BB RS-775 49</v>
          </cell>
          <cell r="E364">
            <v>3</v>
          </cell>
          <cell r="F364">
            <v>1</v>
          </cell>
          <cell r="G364">
            <v>0</v>
          </cell>
          <cell r="H364">
            <v>0</v>
          </cell>
          <cell r="I364">
            <v>1</v>
          </cell>
        </row>
        <row r="365">
          <cell r="D365" t="str">
            <v>1/2" Round BB RS-775 50</v>
          </cell>
          <cell r="E365">
            <v>3</v>
          </cell>
          <cell r="F365">
            <v>1</v>
          </cell>
          <cell r="G365">
            <v>0</v>
          </cell>
          <cell r="H365">
            <v>0</v>
          </cell>
          <cell r="I365">
            <v>1</v>
          </cell>
        </row>
        <row r="366">
          <cell r="D366" t="str">
            <v>1/2" Round BB RS-775 63</v>
          </cell>
          <cell r="E366">
            <v>1</v>
          </cell>
          <cell r="F366">
            <v>0</v>
          </cell>
          <cell r="G366">
            <v>0</v>
          </cell>
          <cell r="H366">
            <v>0</v>
          </cell>
          <cell r="I366">
            <v>1</v>
          </cell>
        </row>
        <row r="367">
          <cell r="D367" t="str">
            <v>1/2" Round BB RS-775 70</v>
          </cell>
          <cell r="E367">
            <v>1</v>
          </cell>
          <cell r="F367">
            <v>0</v>
          </cell>
          <cell r="G367">
            <v>0</v>
          </cell>
          <cell r="H367">
            <v>0</v>
          </cell>
          <cell r="I367">
            <v>1</v>
          </cell>
        </row>
        <row r="368">
          <cell r="D368" t="str">
            <v>1/2" Round BB RS-775 81</v>
          </cell>
          <cell r="E368">
            <v>1</v>
          </cell>
          <cell r="F368">
            <v>0</v>
          </cell>
          <cell r="G368">
            <v>0</v>
          </cell>
          <cell r="H368">
            <v>0</v>
          </cell>
          <cell r="I368">
            <v>1</v>
          </cell>
        </row>
        <row r="369">
          <cell r="D369" t="str">
            <v>1/2" Round BB RS-775 90</v>
          </cell>
          <cell r="E369">
            <v>1</v>
          </cell>
          <cell r="F369">
            <v>0</v>
          </cell>
          <cell r="G369">
            <v>0</v>
          </cell>
          <cell r="H369">
            <v>0</v>
          </cell>
          <cell r="I369">
            <v>1</v>
          </cell>
        </row>
        <row r="370">
          <cell r="D370" t="str">
            <v>1/2" Round BB RS-775 100</v>
          </cell>
          <cell r="E370">
            <v>1</v>
          </cell>
          <cell r="F370">
            <v>0</v>
          </cell>
          <cell r="G370">
            <v>0</v>
          </cell>
          <cell r="H370">
            <v>0</v>
          </cell>
          <cell r="I370">
            <v>1</v>
          </cell>
        </row>
        <row r="371">
          <cell r="D371" t="str">
            <v>1/2" Round BAG Motor -3</v>
          </cell>
          <cell r="E371">
            <v>1</v>
          </cell>
          <cell r="F371">
            <v>1</v>
          </cell>
          <cell r="G371">
            <v>1</v>
          </cell>
          <cell r="H371">
            <v>0</v>
          </cell>
          <cell r="I371">
            <v>1</v>
          </cell>
        </row>
        <row r="372">
          <cell r="D372" t="str">
            <v>1/2" Round BAG Motor -4</v>
          </cell>
          <cell r="E372">
            <v>1</v>
          </cell>
          <cell r="F372">
            <v>1</v>
          </cell>
          <cell r="G372">
            <v>1</v>
          </cell>
          <cell r="H372">
            <v>0</v>
          </cell>
          <cell r="I372">
            <v>1</v>
          </cell>
        </row>
        <row r="373">
          <cell r="D373" t="str">
            <v>1/2" Round BAG Motor -5</v>
          </cell>
          <cell r="E373">
            <v>1</v>
          </cell>
          <cell r="F373">
            <v>1</v>
          </cell>
          <cell r="G373">
            <v>1</v>
          </cell>
          <cell r="H373">
            <v>0</v>
          </cell>
          <cell r="I373">
            <v>1</v>
          </cell>
        </row>
        <row r="374">
          <cell r="D374" t="str">
            <v>1/2" Round BAG Motor -7</v>
          </cell>
          <cell r="E374">
            <v>1</v>
          </cell>
          <cell r="F374">
            <v>1</v>
          </cell>
          <cell r="G374">
            <v>1</v>
          </cell>
          <cell r="H374">
            <v>0</v>
          </cell>
          <cell r="I374">
            <v>1</v>
          </cell>
        </row>
        <row r="375">
          <cell r="D375" t="str">
            <v>1/2" Round BAG Motor -9</v>
          </cell>
          <cell r="E375">
            <v>1</v>
          </cell>
          <cell r="F375">
            <v>1</v>
          </cell>
          <cell r="G375">
            <v>0</v>
          </cell>
          <cell r="H375">
            <v>0</v>
          </cell>
          <cell r="I375">
            <v>1</v>
          </cell>
        </row>
        <row r="376">
          <cell r="D376" t="str">
            <v>1/2" Round BAG Motor -10</v>
          </cell>
          <cell r="E376">
            <v>1</v>
          </cell>
          <cell r="F376">
            <v>1</v>
          </cell>
          <cell r="G376">
            <v>0</v>
          </cell>
          <cell r="H376">
            <v>0</v>
          </cell>
          <cell r="I376">
            <v>1</v>
          </cell>
        </row>
        <row r="377">
          <cell r="D377" t="str">
            <v>1/2" Round BAG Motor 9</v>
          </cell>
          <cell r="E377">
            <v>10</v>
          </cell>
          <cell r="F377">
            <v>10</v>
          </cell>
          <cell r="G377">
            <v>1</v>
          </cell>
          <cell r="H377">
            <v>0</v>
          </cell>
          <cell r="I377">
            <v>9</v>
          </cell>
        </row>
        <row r="378">
          <cell r="D378" t="str">
            <v>1/2" Round BAG Motor 12</v>
          </cell>
          <cell r="E378">
            <v>10</v>
          </cell>
          <cell r="F378">
            <v>9</v>
          </cell>
          <cell r="G378">
            <v>1</v>
          </cell>
          <cell r="H378">
            <v>0</v>
          </cell>
          <cell r="I378">
            <v>5</v>
          </cell>
        </row>
        <row r="379">
          <cell r="D379" t="str">
            <v>1/2" Round BAG Motor 15</v>
          </cell>
          <cell r="E379">
            <v>10</v>
          </cell>
          <cell r="F379">
            <v>7</v>
          </cell>
          <cell r="G379">
            <v>0</v>
          </cell>
          <cell r="H379">
            <v>0</v>
          </cell>
          <cell r="I379">
            <v>5</v>
          </cell>
        </row>
        <row r="380">
          <cell r="D380" t="str">
            <v>1/2" Round BAG Motor 16</v>
          </cell>
          <cell r="E380">
            <v>10</v>
          </cell>
          <cell r="F380">
            <v>5</v>
          </cell>
          <cell r="G380">
            <v>0</v>
          </cell>
          <cell r="H380">
            <v>0</v>
          </cell>
          <cell r="I380">
            <v>5</v>
          </cell>
        </row>
        <row r="381">
          <cell r="D381" t="str">
            <v>1/2" Round BAG Motor 20</v>
          </cell>
          <cell r="E381">
            <v>10</v>
          </cell>
          <cell r="F381">
            <v>5</v>
          </cell>
          <cell r="G381">
            <v>0</v>
          </cell>
          <cell r="H381">
            <v>0</v>
          </cell>
          <cell r="I381">
            <v>4</v>
          </cell>
        </row>
        <row r="382">
          <cell r="D382" t="str">
            <v>1/2" Round BAG Motor 21</v>
          </cell>
          <cell r="E382">
            <v>10</v>
          </cell>
          <cell r="F382">
            <v>5</v>
          </cell>
          <cell r="G382">
            <v>0</v>
          </cell>
          <cell r="H382">
            <v>0</v>
          </cell>
          <cell r="I382">
            <v>3</v>
          </cell>
        </row>
        <row r="383">
          <cell r="D383" t="str">
            <v>1/2" Round BAG Motor 25</v>
          </cell>
          <cell r="E383">
            <v>7</v>
          </cell>
          <cell r="F383">
            <v>5</v>
          </cell>
          <cell r="G383">
            <v>0</v>
          </cell>
          <cell r="H383">
            <v>0</v>
          </cell>
          <cell r="I383">
            <v>3</v>
          </cell>
        </row>
        <row r="384">
          <cell r="D384" t="str">
            <v>1/2" Round BAG Motor 27</v>
          </cell>
          <cell r="E384">
            <v>7</v>
          </cell>
          <cell r="F384">
            <v>5</v>
          </cell>
          <cell r="G384">
            <v>0</v>
          </cell>
          <cell r="H384">
            <v>0</v>
          </cell>
          <cell r="I384">
            <v>3</v>
          </cell>
        </row>
        <row r="385">
          <cell r="D385" t="str">
            <v>1/2" Round BAG Motor 28</v>
          </cell>
          <cell r="E385">
            <v>7</v>
          </cell>
          <cell r="F385">
            <v>5</v>
          </cell>
          <cell r="G385">
            <v>0</v>
          </cell>
          <cell r="H385">
            <v>0</v>
          </cell>
          <cell r="I385">
            <v>1</v>
          </cell>
        </row>
        <row r="386">
          <cell r="D386" t="str">
            <v>1/2" Round BAG Motor 30</v>
          </cell>
          <cell r="E386">
            <v>7</v>
          </cell>
          <cell r="F386">
            <v>4</v>
          </cell>
          <cell r="G386">
            <v>0</v>
          </cell>
          <cell r="H386">
            <v>0</v>
          </cell>
          <cell r="I386">
            <v>1</v>
          </cell>
        </row>
        <row r="387">
          <cell r="D387" t="str">
            <v>1/2" Round BAG Motor 35</v>
          </cell>
          <cell r="E387">
            <v>5</v>
          </cell>
          <cell r="F387">
            <v>4</v>
          </cell>
          <cell r="G387">
            <v>0</v>
          </cell>
          <cell r="H387">
            <v>0</v>
          </cell>
          <cell r="I387">
            <v>1</v>
          </cell>
        </row>
        <row r="388">
          <cell r="D388" t="str">
            <v>1/2" Round BAG Motor 36</v>
          </cell>
          <cell r="E388">
            <v>5</v>
          </cell>
          <cell r="F388">
            <v>4</v>
          </cell>
          <cell r="G388">
            <v>0</v>
          </cell>
          <cell r="H388">
            <v>0</v>
          </cell>
          <cell r="I388">
            <v>1</v>
          </cell>
        </row>
        <row r="389">
          <cell r="D389" t="str">
            <v>1/2" Round BAG Motor 40</v>
          </cell>
          <cell r="E389">
            <v>5</v>
          </cell>
          <cell r="F389">
            <v>3</v>
          </cell>
          <cell r="G389">
            <v>0</v>
          </cell>
          <cell r="H389">
            <v>0</v>
          </cell>
          <cell r="I389">
            <v>1</v>
          </cell>
        </row>
        <row r="390">
          <cell r="D390" t="str">
            <v>1/2" Round BAG Motor 45</v>
          </cell>
          <cell r="E390">
            <v>5</v>
          </cell>
          <cell r="F390">
            <v>3</v>
          </cell>
          <cell r="G390">
            <v>0</v>
          </cell>
          <cell r="H390">
            <v>0</v>
          </cell>
          <cell r="I390">
            <v>1</v>
          </cell>
        </row>
        <row r="391">
          <cell r="D391" t="str">
            <v>1/2" Round BAG Motor 49</v>
          </cell>
          <cell r="E391">
            <v>5</v>
          </cell>
          <cell r="F391">
            <v>1</v>
          </cell>
          <cell r="G391">
            <v>0</v>
          </cell>
          <cell r="H391">
            <v>0</v>
          </cell>
          <cell r="I391">
            <v>1</v>
          </cell>
        </row>
        <row r="392">
          <cell r="D392" t="str">
            <v>1/2" Round BAG Motor 50</v>
          </cell>
          <cell r="E392">
            <v>5</v>
          </cell>
          <cell r="F392">
            <v>1</v>
          </cell>
          <cell r="G392">
            <v>0</v>
          </cell>
          <cell r="H392">
            <v>0</v>
          </cell>
          <cell r="I392">
            <v>1</v>
          </cell>
        </row>
        <row r="393">
          <cell r="D393" t="str">
            <v>1/2" Round BAG Motor 63</v>
          </cell>
          <cell r="E393">
            <v>4</v>
          </cell>
          <cell r="F393">
            <v>1</v>
          </cell>
          <cell r="G393">
            <v>0</v>
          </cell>
          <cell r="H393">
            <v>0</v>
          </cell>
          <cell r="I393">
            <v>1</v>
          </cell>
        </row>
        <row r="394">
          <cell r="D394" t="str">
            <v>1/2" Round BAG Motor 70</v>
          </cell>
          <cell r="E394">
            <v>4</v>
          </cell>
          <cell r="F394">
            <v>1</v>
          </cell>
          <cell r="G394">
            <v>0</v>
          </cell>
          <cell r="H394">
            <v>0</v>
          </cell>
          <cell r="I394">
            <v>1</v>
          </cell>
        </row>
        <row r="395">
          <cell r="D395" t="str">
            <v>1/2" Round BAG Motor 81</v>
          </cell>
          <cell r="E395">
            <v>3</v>
          </cell>
          <cell r="F395">
            <v>1</v>
          </cell>
          <cell r="G395">
            <v>0</v>
          </cell>
          <cell r="H395">
            <v>0</v>
          </cell>
          <cell r="I395">
            <v>1</v>
          </cell>
        </row>
        <row r="396">
          <cell r="D396" t="str">
            <v>1/2" Round BAG Motor 90</v>
          </cell>
          <cell r="E396">
            <v>3</v>
          </cell>
          <cell r="F396">
            <v>1</v>
          </cell>
          <cell r="G396">
            <v>0</v>
          </cell>
          <cell r="H396">
            <v>0</v>
          </cell>
          <cell r="I396">
            <v>0</v>
          </cell>
        </row>
        <row r="397">
          <cell r="D397" t="str">
            <v>1/2" Round BAG Motor 100</v>
          </cell>
          <cell r="E397">
            <v>1</v>
          </cell>
          <cell r="F397">
            <v>1</v>
          </cell>
          <cell r="G397">
            <v>0</v>
          </cell>
          <cell r="H397">
            <v>0</v>
          </cell>
          <cell r="I397">
            <v>0</v>
          </cell>
        </row>
        <row r="398">
          <cell r="D398" t="str">
            <v>1/2" Round 775pro -3</v>
          </cell>
          <cell r="E398">
            <v>1</v>
          </cell>
          <cell r="F398">
            <v>1</v>
          </cell>
          <cell r="G398">
            <v>1</v>
          </cell>
          <cell r="H398">
            <v>0</v>
          </cell>
          <cell r="I398">
            <v>1</v>
          </cell>
        </row>
        <row r="399">
          <cell r="D399" t="str">
            <v>1/2" Round 775pro -4</v>
          </cell>
          <cell r="E399">
            <v>1</v>
          </cell>
          <cell r="F399">
            <v>1</v>
          </cell>
          <cell r="G399">
            <v>1</v>
          </cell>
          <cell r="H399">
            <v>0</v>
          </cell>
          <cell r="I399">
            <v>1</v>
          </cell>
        </row>
        <row r="400">
          <cell r="D400" t="str">
            <v>1/2" Round 775pro -5</v>
          </cell>
          <cell r="E400">
            <v>1</v>
          </cell>
          <cell r="F400">
            <v>1</v>
          </cell>
          <cell r="G400">
            <v>1</v>
          </cell>
          <cell r="H400">
            <v>0</v>
          </cell>
          <cell r="I400">
            <v>1</v>
          </cell>
        </row>
        <row r="401">
          <cell r="D401" t="str">
            <v>1/2" Round 775pro -7</v>
          </cell>
          <cell r="E401">
            <v>1</v>
          </cell>
          <cell r="F401">
            <v>1</v>
          </cell>
          <cell r="G401">
            <v>0</v>
          </cell>
          <cell r="H401">
            <v>0</v>
          </cell>
          <cell r="I401">
            <v>1</v>
          </cell>
        </row>
        <row r="402">
          <cell r="D402" t="str">
            <v>1/2" Round 775pro -9</v>
          </cell>
          <cell r="E402">
            <v>1</v>
          </cell>
          <cell r="F402">
            <v>1</v>
          </cell>
          <cell r="G402">
            <v>0</v>
          </cell>
          <cell r="H402">
            <v>0</v>
          </cell>
          <cell r="I402">
            <v>1</v>
          </cell>
        </row>
        <row r="403">
          <cell r="D403" t="str">
            <v>1/2" Round 775pro -10</v>
          </cell>
          <cell r="E403">
            <v>1</v>
          </cell>
          <cell r="F403">
            <v>1</v>
          </cell>
          <cell r="G403">
            <v>0</v>
          </cell>
          <cell r="H403">
            <v>0</v>
          </cell>
          <cell r="I403">
            <v>1</v>
          </cell>
        </row>
        <row r="404">
          <cell r="D404" t="str">
            <v>1/2" Round 775pro 9</v>
          </cell>
          <cell r="E404">
            <v>10</v>
          </cell>
          <cell r="F404">
            <v>7</v>
          </cell>
          <cell r="G404">
            <v>0</v>
          </cell>
          <cell r="H404">
            <v>0</v>
          </cell>
          <cell r="I404">
            <v>5</v>
          </cell>
        </row>
        <row r="405">
          <cell r="D405" t="str">
            <v>1/2" Round 775pro 12</v>
          </cell>
          <cell r="E405">
            <v>10</v>
          </cell>
          <cell r="F405">
            <v>5</v>
          </cell>
          <cell r="G405">
            <v>0</v>
          </cell>
          <cell r="H405">
            <v>0</v>
          </cell>
          <cell r="I405">
            <v>4</v>
          </cell>
        </row>
        <row r="406">
          <cell r="D406" t="str">
            <v>1/2" Round 775pro 15</v>
          </cell>
          <cell r="E406">
            <v>9</v>
          </cell>
          <cell r="F406">
            <v>5</v>
          </cell>
          <cell r="G406">
            <v>0</v>
          </cell>
          <cell r="H406">
            <v>0</v>
          </cell>
          <cell r="I406">
            <v>3</v>
          </cell>
        </row>
        <row r="407">
          <cell r="D407" t="str">
            <v>1/2" Round 775pro 16</v>
          </cell>
          <cell r="E407">
            <v>7</v>
          </cell>
          <cell r="F407">
            <v>5</v>
          </cell>
          <cell r="G407">
            <v>0</v>
          </cell>
          <cell r="H407">
            <v>0</v>
          </cell>
          <cell r="I407">
            <v>3</v>
          </cell>
        </row>
        <row r="408">
          <cell r="D408" t="str">
            <v>1/2" Round 775pro 20</v>
          </cell>
          <cell r="E408">
            <v>5</v>
          </cell>
          <cell r="F408">
            <v>4</v>
          </cell>
          <cell r="G408">
            <v>0</v>
          </cell>
          <cell r="H408">
            <v>0</v>
          </cell>
          <cell r="I408">
            <v>1</v>
          </cell>
        </row>
        <row r="409">
          <cell r="D409" t="str">
            <v>1/2" Round 775pro 21</v>
          </cell>
          <cell r="E409">
            <v>5</v>
          </cell>
          <cell r="F409">
            <v>4</v>
          </cell>
          <cell r="G409">
            <v>0</v>
          </cell>
          <cell r="H409">
            <v>0</v>
          </cell>
          <cell r="I409">
            <v>1</v>
          </cell>
        </row>
        <row r="410">
          <cell r="D410" t="str">
            <v>1/2" Round 775pro 25</v>
          </cell>
          <cell r="E410">
            <v>5</v>
          </cell>
          <cell r="F410">
            <v>3</v>
          </cell>
          <cell r="G410">
            <v>0</v>
          </cell>
          <cell r="H410">
            <v>0</v>
          </cell>
          <cell r="I410">
            <v>1</v>
          </cell>
        </row>
        <row r="411">
          <cell r="D411" t="str">
            <v>1/2" Round 775pro 27</v>
          </cell>
          <cell r="E411">
            <v>5</v>
          </cell>
          <cell r="F411">
            <v>3</v>
          </cell>
          <cell r="G411">
            <v>0</v>
          </cell>
          <cell r="H411">
            <v>0</v>
          </cell>
          <cell r="I411">
            <v>1</v>
          </cell>
        </row>
        <row r="412">
          <cell r="D412" t="str">
            <v>1/2" Round 775pro 28</v>
          </cell>
          <cell r="E412">
            <v>5</v>
          </cell>
          <cell r="F412">
            <v>3</v>
          </cell>
          <cell r="G412">
            <v>0</v>
          </cell>
          <cell r="H412">
            <v>0</v>
          </cell>
          <cell r="I412">
            <v>1</v>
          </cell>
        </row>
        <row r="413">
          <cell r="D413" t="str">
            <v>1/2" Round 775pro 30</v>
          </cell>
          <cell r="E413">
            <v>5</v>
          </cell>
          <cell r="F413">
            <v>3</v>
          </cell>
          <cell r="G413">
            <v>0</v>
          </cell>
          <cell r="H413">
            <v>0</v>
          </cell>
          <cell r="I413">
            <v>1</v>
          </cell>
        </row>
        <row r="414">
          <cell r="D414" t="str">
            <v>1/2" Round 775pro 35</v>
          </cell>
          <cell r="E414">
            <v>5</v>
          </cell>
          <cell r="F414">
            <v>1</v>
          </cell>
          <cell r="G414">
            <v>0</v>
          </cell>
          <cell r="H414">
            <v>0</v>
          </cell>
          <cell r="I414">
            <v>1</v>
          </cell>
        </row>
        <row r="415">
          <cell r="D415" t="str">
            <v>1/2" Round 775pro 36</v>
          </cell>
          <cell r="E415">
            <v>5</v>
          </cell>
          <cell r="F415">
            <v>1</v>
          </cell>
          <cell r="G415">
            <v>0</v>
          </cell>
          <cell r="H415">
            <v>0</v>
          </cell>
          <cell r="I415">
            <v>1</v>
          </cell>
        </row>
        <row r="416">
          <cell r="D416" t="str">
            <v>1/2" Round 775pro 40</v>
          </cell>
          <cell r="E416">
            <v>4</v>
          </cell>
          <cell r="F416">
            <v>1</v>
          </cell>
          <cell r="G416">
            <v>0</v>
          </cell>
          <cell r="H416">
            <v>0</v>
          </cell>
          <cell r="I416">
            <v>1</v>
          </cell>
        </row>
        <row r="417">
          <cell r="D417" t="str">
            <v>1/2" Round 775pro 45</v>
          </cell>
          <cell r="E417">
            <v>4</v>
          </cell>
          <cell r="F417">
            <v>1</v>
          </cell>
          <cell r="G417">
            <v>0</v>
          </cell>
          <cell r="H417">
            <v>0</v>
          </cell>
          <cell r="I417">
            <v>1</v>
          </cell>
        </row>
        <row r="418">
          <cell r="D418" t="str">
            <v>1/2" Round 775pro 49</v>
          </cell>
          <cell r="E418">
            <v>3</v>
          </cell>
          <cell r="F418">
            <v>1</v>
          </cell>
          <cell r="G418">
            <v>0</v>
          </cell>
          <cell r="H418">
            <v>0</v>
          </cell>
          <cell r="I418">
            <v>1</v>
          </cell>
        </row>
        <row r="419">
          <cell r="D419" t="str">
            <v>1/2" Round 775pro 50</v>
          </cell>
          <cell r="E419">
            <v>3</v>
          </cell>
          <cell r="F419">
            <v>1</v>
          </cell>
          <cell r="G419">
            <v>0</v>
          </cell>
          <cell r="H419">
            <v>0</v>
          </cell>
          <cell r="I419">
            <v>0</v>
          </cell>
        </row>
        <row r="420">
          <cell r="D420" t="str">
            <v>1/2" Round 775pro 63</v>
          </cell>
          <cell r="E420">
            <v>1</v>
          </cell>
          <cell r="F420">
            <v>1</v>
          </cell>
          <cell r="G420">
            <v>0</v>
          </cell>
          <cell r="H420">
            <v>0</v>
          </cell>
          <cell r="I420">
            <v>0</v>
          </cell>
        </row>
        <row r="421">
          <cell r="D421" t="str">
            <v>1/2" Round 775pro 70</v>
          </cell>
          <cell r="E421">
            <v>1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</row>
        <row r="422">
          <cell r="D422" t="str">
            <v>1/2" Round 775pro 81</v>
          </cell>
          <cell r="E422">
            <v>1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</row>
        <row r="423">
          <cell r="D423" t="str">
            <v>1/2" Round 775pro 90</v>
          </cell>
          <cell r="E423">
            <v>1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</row>
        <row r="424">
          <cell r="D424" t="str">
            <v>1/2" Round 775pro 100</v>
          </cell>
          <cell r="E424">
            <v>1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</row>
        <row r="425">
          <cell r="D425" t="str">
            <v>1/2" Round Mini CIM -3</v>
          </cell>
          <cell r="E425">
            <v>1</v>
          </cell>
          <cell r="I425">
            <v>0</v>
          </cell>
        </row>
        <row r="426">
          <cell r="D426" t="str">
            <v>1/2" Round Mini CIM -4</v>
          </cell>
          <cell r="E426">
            <v>1</v>
          </cell>
          <cell r="I426">
            <v>0</v>
          </cell>
        </row>
        <row r="427">
          <cell r="D427" t="str">
            <v>1/2" Round Mini CIM -5</v>
          </cell>
          <cell r="E427">
            <v>1</v>
          </cell>
          <cell r="I427">
            <v>0</v>
          </cell>
        </row>
        <row r="428">
          <cell r="D428" t="str">
            <v>1/2" Round Mini CIM -7</v>
          </cell>
          <cell r="E428">
            <v>1</v>
          </cell>
          <cell r="I428">
            <v>0</v>
          </cell>
        </row>
        <row r="429">
          <cell r="D429" t="str">
            <v>1/2" Round Mini CIM -9</v>
          </cell>
          <cell r="E429">
            <v>1</v>
          </cell>
          <cell r="I429">
            <v>0</v>
          </cell>
        </row>
        <row r="430">
          <cell r="D430" t="str">
            <v>1/2" Round Mini CIM -10</v>
          </cell>
          <cell r="E430">
            <v>1</v>
          </cell>
          <cell r="I430">
            <v>0</v>
          </cell>
        </row>
        <row r="431">
          <cell r="D431" t="str">
            <v>1/2" Round Mini CIM 9</v>
          </cell>
          <cell r="E431">
            <v>7</v>
          </cell>
          <cell r="I431">
            <v>0</v>
          </cell>
        </row>
        <row r="432">
          <cell r="D432" t="str">
            <v>1/2" Round Mini CIM 12</v>
          </cell>
          <cell r="E432">
            <v>5</v>
          </cell>
          <cell r="I432">
            <v>0</v>
          </cell>
        </row>
        <row r="433">
          <cell r="D433" t="str">
            <v>1/2" Round Mini CIM 15</v>
          </cell>
          <cell r="E433">
            <v>5</v>
          </cell>
          <cell r="I433">
            <v>0</v>
          </cell>
        </row>
        <row r="434">
          <cell r="D434" t="str">
            <v>1/2" Round Mini CIM 16</v>
          </cell>
          <cell r="E434">
            <v>5</v>
          </cell>
          <cell r="I434">
            <v>0</v>
          </cell>
        </row>
        <row r="435">
          <cell r="D435" t="str">
            <v>1/2" Round Mini CIM 20</v>
          </cell>
          <cell r="E435">
            <v>4</v>
          </cell>
          <cell r="I435">
            <v>0</v>
          </cell>
        </row>
        <row r="436">
          <cell r="D436" t="str">
            <v>1/2" Round Mini CIM 21</v>
          </cell>
          <cell r="E436">
            <v>4</v>
          </cell>
          <cell r="I436">
            <v>0</v>
          </cell>
        </row>
        <row r="437">
          <cell r="D437" t="str">
            <v>1/2" Round Mini CIM 25</v>
          </cell>
          <cell r="E437">
            <v>3</v>
          </cell>
          <cell r="I437">
            <v>0</v>
          </cell>
        </row>
        <row r="438">
          <cell r="D438" t="str">
            <v>1/2" Round Mini CIM 27</v>
          </cell>
          <cell r="E438">
            <v>3</v>
          </cell>
          <cell r="I438">
            <v>0</v>
          </cell>
        </row>
        <row r="439">
          <cell r="D439" t="str">
            <v>1/2" Round Mini CIM 28</v>
          </cell>
          <cell r="E439">
            <v>3</v>
          </cell>
          <cell r="I439">
            <v>0</v>
          </cell>
        </row>
        <row r="440">
          <cell r="D440" t="str">
            <v>1/2" Round Mini CIM 30</v>
          </cell>
          <cell r="E440">
            <v>1</v>
          </cell>
          <cell r="I440">
            <v>0</v>
          </cell>
        </row>
        <row r="441">
          <cell r="D441" t="str">
            <v>1/2" Round Mini CIM 35</v>
          </cell>
          <cell r="E441">
            <v>1</v>
          </cell>
          <cell r="I441">
            <v>0</v>
          </cell>
        </row>
        <row r="442">
          <cell r="D442" t="str">
            <v>1/2" Round Mini CIM 36</v>
          </cell>
          <cell r="E442">
            <v>1</v>
          </cell>
          <cell r="I442">
            <v>0</v>
          </cell>
        </row>
        <row r="443">
          <cell r="D443" t="str">
            <v>1/2" Round Mini CIM 40</v>
          </cell>
          <cell r="E443">
            <v>1</v>
          </cell>
          <cell r="I443">
            <v>0</v>
          </cell>
        </row>
        <row r="444">
          <cell r="D444" t="str">
            <v>1/2" Round Mini CIM 45</v>
          </cell>
          <cell r="E444">
            <v>1</v>
          </cell>
          <cell r="I444">
            <v>0</v>
          </cell>
        </row>
        <row r="445">
          <cell r="D445" t="str">
            <v>1/2" Round Mini CIM 49</v>
          </cell>
          <cell r="E445">
            <v>1</v>
          </cell>
          <cell r="I445">
            <v>0</v>
          </cell>
        </row>
        <row r="446">
          <cell r="D446" t="str">
            <v>1/2" Round Mini CIM 50</v>
          </cell>
          <cell r="E446">
            <v>1</v>
          </cell>
          <cell r="I446">
            <v>0</v>
          </cell>
        </row>
        <row r="447">
          <cell r="D447" t="str">
            <v>1/2" Round Mini CIM 63</v>
          </cell>
          <cell r="E447">
            <v>1</v>
          </cell>
          <cell r="I447">
            <v>0</v>
          </cell>
        </row>
        <row r="448">
          <cell r="D448" t="str">
            <v>1/2" Round Mini CIM 70</v>
          </cell>
          <cell r="E448">
            <v>0</v>
          </cell>
          <cell r="I448">
            <v>0</v>
          </cell>
        </row>
        <row r="449">
          <cell r="D449" t="str">
            <v>1/2" Round Mini CIM 81</v>
          </cell>
          <cell r="E449">
            <v>0</v>
          </cell>
          <cell r="I449">
            <v>0</v>
          </cell>
        </row>
        <row r="450">
          <cell r="D450" t="str">
            <v>1/2" Round Mini CIM 90</v>
          </cell>
          <cell r="E450">
            <v>0</v>
          </cell>
          <cell r="I450">
            <v>0</v>
          </cell>
        </row>
        <row r="451">
          <cell r="D451" t="str">
            <v>1/2" Round Mini CIM 100</v>
          </cell>
          <cell r="E451">
            <v>0</v>
          </cell>
          <cell r="I451">
            <v>0</v>
          </cell>
        </row>
        <row r="452">
          <cell r="D452" t="str">
            <v>1/2" Round CIM -3</v>
          </cell>
          <cell r="E452">
            <v>1</v>
          </cell>
          <cell r="I452">
            <v>0</v>
          </cell>
        </row>
        <row r="453">
          <cell r="D453" t="str">
            <v>1/2" Round CIM -4</v>
          </cell>
          <cell r="E453">
            <v>1</v>
          </cell>
          <cell r="I453">
            <v>0</v>
          </cell>
        </row>
        <row r="454">
          <cell r="D454" t="str">
            <v>1/2" Round CIM -5</v>
          </cell>
          <cell r="E454">
            <v>1</v>
          </cell>
          <cell r="I454">
            <v>0</v>
          </cell>
        </row>
        <row r="455">
          <cell r="D455" t="str">
            <v>1/2" Round CIM -7</v>
          </cell>
          <cell r="E455">
            <v>1</v>
          </cell>
          <cell r="I455">
            <v>0</v>
          </cell>
        </row>
        <row r="456">
          <cell r="D456" t="str">
            <v>1/2" Round CIM -9</v>
          </cell>
          <cell r="E456">
            <v>1</v>
          </cell>
          <cell r="I456">
            <v>0</v>
          </cell>
        </row>
        <row r="457">
          <cell r="D457" t="str">
            <v>1/2" Round CIM -10</v>
          </cell>
          <cell r="E457">
            <v>1</v>
          </cell>
          <cell r="I457">
            <v>0</v>
          </cell>
        </row>
        <row r="458">
          <cell r="D458" t="str">
            <v>1/2" Round CIM 9</v>
          </cell>
          <cell r="E458">
            <v>5</v>
          </cell>
          <cell r="I458">
            <v>0</v>
          </cell>
        </row>
        <row r="459">
          <cell r="D459" t="str">
            <v>1/2" Round CIM 12</v>
          </cell>
          <cell r="E459">
            <v>4</v>
          </cell>
          <cell r="I459">
            <v>0</v>
          </cell>
        </row>
        <row r="460">
          <cell r="D460" t="str">
            <v>1/2" Round CIM 15</v>
          </cell>
          <cell r="E460">
            <v>3</v>
          </cell>
          <cell r="I460">
            <v>0</v>
          </cell>
        </row>
        <row r="461">
          <cell r="D461" t="str">
            <v>1/2" Round CIM 16</v>
          </cell>
          <cell r="E461">
            <v>3</v>
          </cell>
          <cell r="I461">
            <v>0</v>
          </cell>
        </row>
        <row r="462">
          <cell r="D462" t="str">
            <v>1/2" Round CIM 20</v>
          </cell>
          <cell r="E462">
            <v>1</v>
          </cell>
          <cell r="I462">
            <v>0</v>
          </cell>
        </row>
        <row r="463">
          <cell r="D463" t="str">
            <v>1/2" Round CIM 21</v>
          </cell>
          <cell r="E463">
            <v>1</v>
          </cell>
          <cell r="I463">
            <v>0</v>
          </cell>
        </row>
        <row r="464">
          <cell r="D464" t="str">
            <v>1/2" Round CIM 25</v>
          </cell>
          <cell r="E464">
            <v>1</v>
          </cell>
          <cell r="I464">
            <v>0</v>
          </cell>
        </row>
        <row r="465">
          <cell r="D465" t="str">
            <v>1/2" Round CIM 27</v>
          </cell>
          <cell r="E465">
            <v>1</v>
          </cell>
          <cell r="I465">
            <v>0</v>
          </cell>
        </row>
        <row r="466">
          <cell r="D466" t="str">
            <v>1/2" Round CIM 28</v>
          </cell>
          <cell r="E466">
            <v>1</v>
          </cell>
          <cell r="I466">
            <v>0</v>
          </cell>
        </row>
        <row r="467">
          <cell r="D467" t="str">
            <v>1/2" Round CIM 30</v>
          </cell>
          <cell r="E467">
            <v>1</v>
          </cell>
          <cell r="I467">
            <v>0</v>
          </cell>
        </row>
        <row r="468">
          <cell r="D468" t="str">
            <v>1/2" Round CIM 35</v>
          </cell>
          <cell r="E468">
            <v>1</v>
          </cell>
          <cell r="I468">
            <v>0</v>
          </cell>
        </row>
        <row r="469">
          <cell r="D469" t="str">
            <v>1/2" Round CIM 36</v>
          </cell>
          <cell r="E469">
            <v>1</v>
          </cell>
          <cell r="I469">
            <v>0</v>
          </cell>
        </row>
        <row r="470">
          <cell r="D470" t="str">
            <v>1/2" Round CIM 40</v>
          </cell>
          <cell r="E470">
            <v>1</v>
          </cell>
          <cell r="I470">
            <v>0</v>
          </cell>
        </row>
        <row r="471">
          <cell r="D471" t="str">
            <v>1/2" Round CIM 45</v>
          </cell>
          <cell r="E471">
            <v>1</v>
          </cell>
          <cell r="I471">
            <v>0</v>
          </cell>
        </row>
        <row r="472">
          <cell r="D472" t="str">
            <v>1/2" Round CIM 49</v>
          </cell>
          <cell r="E472">
            <v>0</v>
          </cell>
          <cell r="I472">
            <v>0</v>
          </cell>
        </row>
        <row r="473">
          <cell r="D473" t="str">
            <v>1/2" Round CIM 50</v>
          </cell>
          <cell r="E473">
            <v>1</v>
          </cell>
          <cell r="I473">
            <v>0</v>
          </cell>
        </row>
        <row r="474">
          <cell r="D474" t="str">
            <v>1/2" Round CIM 63</v>
          </cell>
          <cell r="E474">
            <v>0</v>
          </cell>
          <cell r="I474">
            <v>0</v>
          </cell>
        </row>
        <row r="475">
          <cell r="D475" t="str">
            <v>1/2" Round CIM 70</v>
          </cell>
          <cell r="E475">
            <v>0</v>
          </cell>
          <cell r="I475">
            <v>0</v>
          </cell>
        </row>
        <row r="476">
          <cell r="D476" t="str">
            <v>1/2" Round CIM 81</v>
          </cell>
          <cell r="E476">
            <v>0</v>
          </cell>
          <cell r="I476">
            <v>0</v>
          </cell>
        </row>
        <row r="477">
          <cell r="D477" t="str">
            <v>1/2" Round CIM 90</v>
          </cell>
          <cell r="E477">
            <v>0</v>
          </cell>
          <cell r="I477">
            <v>0</v>
          </cell>
        </row>
        <row r="478">
          <cell r="D478" t="str">
            <v>1/2" Round CIM 100</v>
          </cell>
          <cell r="E478">
            <v>0</v>
          </cell>
          <cell r="I478">
            <v>0</v>
          </cell>
        </row>
        <row r="479">
          <cell r="D479" t="str">
            <v>1/2" Round NEO -3</v>
          </cell>
          <cell r="E479">
            <v>1</v>
          </cell>
          <cell r="I479">
            <v>0</v>
          </cell>
        </row>
        <row r="480">
          <cell r="D480" t="str">
            <v>1/2" Round NEO -4</v>
          </cell>
          <cell r="E480">
            <v>1</v>
          </cell>
          <cell r="I480">
            <v>0</v>
          </cell>
        </row>
        <row r="481">
          <cell r="D481" t="str">
            <v>1/2" Round NEO -5</v>
          </cell>
          <cell r="E481">
            <v>1</v>
          </cell>
          <cell r="I481">
            <v>0</v>
          </cell>
        </row>
        <row r="482">
          <cell r="D482" t="str">
            <v>1/2" Round NEO -7</v>
          </cell>
          <cell r="E482">
            <v>1</v>
          </cell>
          <cell r="I482">
            <v>0</v>
          </cell>
        </row>
        <row r="483">
          <cell r="D483" t="str">
            <v>1/2" Round NEO -9</v>
          </cell>
          <cell r="E483">
            <v>1</v>
          </cell>
          <cell r="I483">
            <v>0</v>
          </cell>
        </row>
        <row r="484">
          <cell r="D484" t="str">
            <v>1/2" Round NEO -10</v>
          </cell>
          <cell r="E484">
            <v>1</v>
          </cell>
          <cell r="I484">
            <v>0</v>
          </cell>
        </row>
        <row r="485">
          <cell r="D485" t="str">
            <v>1/2" Round NEO 9</v>
          </cell>
          <cell r="E485">
            <v>4</v>
          </cell>
          <cell r="I485">
            <v>0</v>
          </cell>
        </row>
        <row r="486">
          <cell r="D486" t="str">
            <v>1/2" Round NEO 12</v>
          </cell>
          <cell r="E486">
            <v>3</v>
          </cell>
          <cell r="I486">
            <v>0</v>
          </cell>
        </row>
        <row r="487">
          <cell r="D487" t="str">
            <v>1/2" Round NEO 15</v>
          </cell>
          <cell r="E487">
            <v>1</v>
          </cell>
          <cell r="I487">
            <v>0</v>
          </cell>
        </row>
        <row r="488">
          <cell r="D488" t="str">
            <v>1/2" Round NEO 16</v>
          </cell>
          <cell r="E488">
            <v>1</v>
          </cell>
          <cell r="I488">
            <v>0</v>
          </cell>
        </row>
        <row r="489">
          <cell r="D489" t="str">
            <v>1/2" Round NEO 20</v>
          </cell>
          <cell r="E489">
            <v>1</v>
          </cell>
          <cell r="I489">
            <v>0</v>
          </cell>
        </row>
        <row r="490">
          <cell r="D490" t="str">
            <v>1/2" Round NEO 21</v>
          </cell>
          <cell r="E490">
            <v>1</v>
          </cell>
          <cell r="I490">
            <v>0</v>
          </cell>
        </row>
        <row r="491">
          <cell r="D491" t="str">
            <v>1/2" Round NEO 25</v>
          </cell>
          <cell r="E491">
            <v>1</v>
          </cell>
          <cell r="I491">
            <v>0</v>
          </cell>
        </row>
        <row r="492">
          <cell r="D492" t="str">
            <v>1/2" Round NEO 27</v>
          </cell>
          <cell r="E492">
            <v>1</v>
          </cell>
          <cell r="I492">
            <v>0</v>
          </cell>
        </row>
        <row r="493">
          <cell r="D493" t="str">
            <v>1/2" Round NEO 28</v>
          </cell>
          <cell r="E493">
            <v>1</v>
          </cell>
          <cell r="I493">
            <v>0</v>
          </cell>
        </row>
        <row r="494">
          <cell r="D494" t="str">
            <v>1/2" Round NEO 30</v>
          </cell>
          <cell r="E494">
            <v>1</v>
          </cell>
          <cell r="I494">
            <v>0</v>
          </cell>
        </row>
        <row r="495">
          <cell r="D495" t="str">
            <v>1/2" Round NEO 35</v>
          </cell>
          <cell r="E495">
            <v>1</v>
          </cell>
          <cell r="I495">
            <v>0</v>
          </cell>
        </row>
        <row r="496">
          <cell r="D496" t="str">
            <v>1/2" Round NEO 36</v>
          </cell>
          <cell r="E496">
            <v>1</v>
          </cell>
          <cell r="I496">
            <v>0</v>
          </cell>
        </row>
        <row r="497">
          <cell r="D497" t="str">
            <v>1/2" Round NEO 40</v>
          </cell>
          <cell r="E497">
            <v>0</v>
          </cell>
          <cell r="I497">
            <v>0</v>
          </cell>
        </row>
        <row r="498">
          <cell r="D498" t="str">
            <v>1/2" Round NEO 45</v>
          </cell>
          <cell r="E498">
            <v>0</v>
          </cell>
          <cell r="I498">
            <v>0</v>
          </cell>
        </row>
        <row r="499">
          <cell r="D499" t="str">
            <v>1/2" Round NEO 49</v>
          </cell>
          <cell r="E499">
            <v>0</v>
          </cell>
          <cell r="I499">
            <v>0</v>
          </cell>
        </row>
        <row r="500">
          <cell r="D500" t="str">
            <v>1/2" Round NEO 50</v>
          </cell>
          <cell r="E500">
            <v>0</v>
          </cell>
          <cell r="I500">
            <v>0</v>
          </cell>
        </row>
        <row r="501">
          <cell r="D501" t="str">
            <v>1/2" Round NEO 63</v>
          </cell>
          <cell r="E501">
            <v>0</v>
          </cell>
          <cell r="I501">
            <v>0</v>
          </cell>
        </row>
        <row r="502">
          <cell r="D502" t="str">
            <v>1/2" Round NEO 70</v>
          </cell>
          <cell r="E502">
            <v>0</v>
          </cell>
          <cell r="I502">
            <v>0</v>
          </cell>
        </row>
        <row r="503">
          <cell r="D503" t="str">
            <v>1/2" Round NEO 81</v>
          </cell>
          <cell r="E503">
            <v>0</v>
          </cell>
          <cell r="I503">
            <v>0</v>
          </cell>
        </row>
        <row r="504">
          <cell r="D504" t="str">
            <v>1/2" Round NEO 90</v>
          </cell>
          <cell r="E504">
            <v>0</v>
          </cell>
          <cell r="I504">
            <v>0</v>
          </cell>
        </row>
        <row r="505">
          <cell r="D505" t="str">
            <v>1/2" Round NEO 100</v>
          </cell>
          <cell r="E505">
            <v>0</v>
          </cell>
          <cell r="I505">
            <v>0</v>
          </cell>
        </row>
        <row r="506">
          <cell r="D506" t="str">
            <v>1/2" Round Falcon 500 -3</v>
          </cell>
          <cell r="E506">
            <v>1</v>
          </cell>
          <cell r="I506">
            <v>0</v>
          </cell>
        </row>
        <row r="507">
          <cell r="D507" t="str">
            <v>1/2" Round Falcon 500 -4</v>
          </cell>
          <cell r="E507">
            <v>1</v>
          </cell>
          <cell r="I507">
            <v>0</v>
          </cell>
        </row>
        <row r="508">
          <cell r="D508" t="str">
            <v>1/2" Round Falcon 500 -5</v>
          </cell>
          <cell r="E508">
            <v>1</v>
          </cell>
          <cell r="I508">
            <v>0</v>
          </cell>
        </row>
        <row r="509">
          <cell r="D509" t="str">
            <v>1/2" Round Falcon 500 -7</v>
          </cell>
          <cell r="E509">
            <v>1</v>
          </cell>
          <cell r="I509">
            <v>0</v>
          </cell>
        </row>
        <row r="510">
          <cell r="D510" t="str">
            <v>1/2" Round Falcon 500 -9</v>
          </cell>
          <cell r="E510">
            <v>1</v>
          </cell>
          <cell r="I510">
            <v>0</v>
          </cell>
        </row>
        <row r="511">
          <cell r="D511" t="str">
            <v>1/2" Round Falcon 500 -10</v>
          </cell>
          <cell r="E511">
            <v>1</v>
          </cell>
          <cell r="I511">
            <v>0</v>
          </cell>
        </row>
        <row r="512">
          <cell r="D512" t="str">
            <v>1/2" Round Falcon 500 9</v>
          </cell>
          <cell r="E512">
            <v>3</v>
          </cell>
          <cell r="I512">
            <v>0</v>
          </cell>
        </row>
        <row r="513">
          <cell r="D513" t="str">
            <v>1/2" Round Falcon 500 12</v>
          </cell>
          <cell r="E513">
            <v>1</v>
          </cell>
          <cell r="I513">
            <v>0</v>
          </cell>
        </row>
        <row r="514">
          <cell r="D514" t="str">
            <v>1/2" Round Falcon 500 15</v>
          </cell>
          <cell r="E514">
            <v>1</v>
          </cell>
          <cell r="I514">
            <v>0</v>
          </cell>
        </row>
        <row r="515">
          <cell r="D515" t="str">
            <v>1/2" Round Falcon 500 16</v>
          </cell>
          <cell r="E515">
            <v>1</v>
          </cell>
          <cell r="I515">
            <v>0</v>
          </cell>
        </row>
        <row r="516">
          <cell r="D516" t="str">
            <v>1/2" Round Falcon 500 20</v>
          </cell>
          <cell r="E516">
            <v>1</v>
          </cell>
          <cell r="I516">
            <v>0</v>
          </cell>
        </row>
        <row r="517">
          <cell r="D517" t="str">
            <v>1/2" Round Falcon 500 21</v>
          </cell>
          <cell r="E517">
            <v>1</v>
          </cell>
          <cell r="I517">
            <v>0</v>
          </cell>
        </row>
        <row r="518">
          <cell r="D518" t="str">
            <v>1/2" Round Falcon 500 25</v>
          </cell>
          <cell r="E518">
            <v>1</v>
          </cell>
          <cell r="I518">
            <v>0</v>
          </cell>
        </row>
        <row r="519">
          <cell r="D519" t="str">
            <v>1/2" Round Falcon 500 27</v>
          </cell>
          <cell r="E519">
            <v>1</v>
          </cell>
          <cell r="I519">
            <v>0</v>
          </cell>
        </row>
        <row r="520">
          <cell r="D520" t="str">
            <v>1/2" Round Falcon 500 28</v>
          </cell>
          <cell r="E520">
            <v>0</v>
          </cell>
          <cell r="I520">
            <v>0</v>
          </cell>
        </row>
        <row r="521">
          <cell r="D521" t="str">
            <v>1/2" Round Falcon 500 30</v>
          </cell>
          <cell r="E521">
            <v>0</v>
          </cell>
          <cell r="I521">
            <v>0</v>
          </cell>
        </row>
        <row r="522">
          <cell r="D522" t="str">
            <v>1/2" Round Falcon 500 35</v>
          </cell>
          <cell r="E522">
            <v>0</v>
          </cell>
          <cell r="I522">
            <v>0</v>
          </cell>
        </row>
        <row r="523">
          <cell r="D523" t="str">
            <v>1/2" Round Falcon 500 36</v>
          </cell>
          <cell r="E523">
            <v>0</v>
          </cell>
          <cell r="I523">
            <v>0</v>
          </cell>
        </row>
        <row r="524">
          <cell r="D524" t="str">
            <v>1/2" Round Falcon 500 40</v>
          </cell>
          <cell r="E524">
            <v>0</v>
          </cell>
          <cell r="I524">
            <v>0</v>
          </cell>
        </row>
        <row r="525">
          <cell r="D525" t="str">
            <v>1/2" Round Falcon 500 45</v>
          </cell>
          <cell r="E525">
            <v>0</v>
          </cell>
          <cell r="I525">
            <v>0</v>
          </cell>
        </row>
        <row r="526">
          <cell r="D526" t="str">
            <v>1/2" Round Falcon 500 49</v>
          </cell>
          <cell r="E526">
            <v>0</v>
          </cell>
          <cell r="I526">
            <v>0</v>
          </cell>
        </row>
        <row r="527">
          <cell r="D527" t="str">
            <v>1/2" Round Falcon 500 50</v>
          </cell>
          <cell r="E527">
            <v>0</v>
          </cell>
          <cell r="I527">
            <v>0</v>
          </cell>
        </row>
        <row r="528">
          <cell r="D528" t="str">
            <v>1/2" Round Falcon 500 63</v>
          </cell>
          <cell r="E528">
            <v>0</v>
          </cell>
          <cell r="I528">
            <v>0</v>
          </cell>
        </row>
        <row r="529">
          <cell r="D529" t="str">
            <v>1/2" Round Falcon 500 70</v>
          </cell>
          <cell r="E529">
            <v>0</v>
          </cell>
          <cell r="I529">
            <v>0</v>
          </cell>
        </row>
        <row r="530">
          <cell r="D530" t="str">
            <v>1/2" Round Falcon 500 81</v>
          </cell>
          <cell r="E530">
            <v>0</v>
          </cell>
          <cell r="I530">
            <v>0</v>
          </cell>
        </row>
        <row r="531">
          <cell r="D531" t="str">
            <v>1/2" Round Falcon 500 90</v>
          </cell>
          <cell r="E531">
            <v>0</v>
          </cell>
          <cell r="I531">
            <v>0</v>
          </cell>
        </row>
        <row r="532">
          <cell r="D532" t="str">
            <v>1/2" Round Falcon 500 100</v>
          </cell>
          <cell r="E532">
            <v>0</v>
          </cell>
          <cell r="I532">
            <v>0</v>
          </cell>
        </row>
        <row r="533">
          <cell r="D533" t="str">
            <v>3/8" Hex AM 9015 -3</v>
          </cell>
          <cell r="E533">
            <v>1</v>
          </cell>
          <cell r="I533">
            <v>1</v>
          </cell>
        </row>
        <row r="534">
          <cell r="D534" t="str">
            <v>3/8" Hex AM 9015 -4</v>
          </cell>
          <cell r="E534">
            <v>1</v>
          </cell>
          <cell r="I534">
            <v>1</v>
          </cell>
        </row>
        <row r="535">
          <cell r="D535" t="str">
            <v>3/8" Hex AM 9015 -5</v>
          </cell>
          <cell r="E535">
            <v>1</v>
          </cell>
          <cell r="I535">
            <v>1</v>
          </cell>
        </row>
        <row r="536">
          <cell r="D536" t="str">
            <v>3/8" Hex AM 9015 -7</v>
          </cell>
          <cell r="E536">
            <v>1</v>
          </cell>
          <cell r="I536">
            <v>1</v>
          </cell>
        </row>
        <row r="537">
          <cell r="D537" t="str">
            <v>3/8" Hex AM 9015 -9</v>
          </cell>
          <cell r="E537">
            <v>1</v>
          </cell>
          <cell r="I537">
            <v>1</v>
          </cell>
        </row>
        <row r="538">
          <cell r="D538" t="str">
            <v>3/8" Hex AM 9015 -10</v>
          </cell>
          <cell r="E538">
            <v>1</v>
          </cell>
          <cell r="I538">
            <v>1</v>
          </cell>
        </row>
        <row r="539">
          <cell r="D539" t="str">
            <v>3/8" Hex AM 9015 9</v>
          </cell>
          <cell r="E539">
            <v>10</v>
          </cell>
          <cell r="I539">
            <v>10</v>
          </cell>
        </row>
        <row r="540">
          <cell r="D540" t="str">
            <v>3/8" Hex AM 9015 12</v>
          </cell>
          <cell r="E540">
            <v>10</v>
          </cell>
          <cell r="I540">
            <v>7</v>
          </cell>
        </row>
        <row r="541">
          <cell r="D541" t="str">
            <v>3/8" Hex AM 9015 15</v>
          </cell>
          <cell r="E541">
            <v>7</v>
          </cell>
          <cell r="I541">
            <v>5</v>
          </cell>
        </row>
        <row r="542">
          <cell r="D542" t="str">
            <v>3/8" Hex AM 9015 16</v>
          </cell>
          <cell r="E542">
            <v>7</v>
          </cell>
          <cell r="I542">
            <v>5</v>
          </cell>
        </row>
        <row r="543">
          <cell r="D543" t="str">
            <v>3/8" Hex AM 9015 20</v>
          </cell>
          <cell r="E543">
            <v>5</v>
          </cell>
          <cell r="I543">
            <v>4</v>
          </cell>
        </row>
        <row r="544">
          <cell r="D544" t="str">
            <v>3/8" Hex AM 9015 21</v>
          </cell>
          <cell r="E544">
            <v>5</v>
          </cell>
          <cell r="I544">
            <v>4</v>
          </cell>
        </row>
        <row r="545">
          <cell r="D545" t="str">
            <v>3/8" Hex AM 9015 25</v>
          </cell>
          <cell r="E545">
            <v>5</v>
          </cell>
          <cell r="I545">
            <v>3</v>
          </cell>
        </row>
        <row r="546">
          <cell r="D546" t="str">
            <v>3/8" Hex AM 9015 27</v>
          </cell>
          <cell r="E546">
            <v>4</v>
          </cell>
          <cell r="I546">
            <v>3</v>
          </cell>
        </row>
        <row r="547">
          <cell r="D547" t="str">
            <v>3/8" Hex AM 9015 28</v>
          </cell>
          <cell r="E547">
            <v>4</v>
          </cell>
          <cell r="I547">
            <v>3</v>
          </cell>
        </row>
        <row r="548">
          <cell r="D548" t="str">
            <v>3/8" Hex AM 9015 30</v>
          </cell>
          <cell r="E548">
            <v>4</v>
          </cell>
          <cell r="I548">
            <v>3</v>
          </cell>
        </row>
        <row r="549">
          <cell r="D549" t="str">
            <v>3/8" Hex AM 9015 35</v>
          </cell>
          <cell r="E549">
            <v>3</v>
          </cell>
          <cell r="I549">
            <v>1</v>
          </cell>
        </row>
        <row r="550">
          <cell r="D550" t="str">
            <v>3/8" Hex AM 9015 36</v>
          </cell>
          <cell r="E550">
            <v>3</v>
          </cell>
          <cell r="I550">
            <v>1</v>
          </cell>
        </row>
        <row r="551">
          <cell r="D551" t="str">
            <v>3/8" Hex AM 9015 40</v>
          </cell>
          <cell r="E551">
            <v>3</v>
          </cell>
          <cell r="I551">
            <v>1</v>
          </cell>
        </row>
        <row r="552">
          <cell r="D552" t="str">
            <v>3/8" Hex AM 9015 45</v>
          </cell>
          <cell r="E552">
            <v>1</v>
          </cell>
          <cell r="I552">
            <v>1</v>
          </cell>
        </row>
        <row r="553">
          <cell r="D553" t="str">
            <v>3/8" Hex AM 9015 49</v>
          </cell>
          <cell r="E553">
            <v>1</v>
          </cell>
          <cell r="I553">
            <v>1</v>
          </cell>
        </row>
        <row r="554">
          <cell r="D554" t="str">
            <v>3/8" Hex AM 9015 50</v>
          </cell>
          <cell r="E554">
            <v>1</v>
          </cell>
          <cell r="I554">
            <v>1</v>
          </cell>
        </row>
        <row r="555">
          <cell r="D555" t="str">
            <v>3/8" Hex AM 9015 63</v>
          </cell>
          <cell r="E555">
            <v>1</v>
          </cell>
          <cell r="I555">
            <v>1</v>
          </cell>
        </row>
        <row r="556">
          <cell r="D556" t="str">
            <v>3/8" Hex AM 9015 70</v>
          </cell>
          <cell r="E556">
            <v>1</v>
          </cell>
          <cell r="I556">
            <v>1</v>
          </cell>
        </row>
        <row r="557">
          <cell r="D557" t="str">
            <v>3/8" Hex AM 9015 81</v>
          </cell>
          <cell r="E557">
            <v>1</v>
          </cell>
          <cell r="I557">
            <v>1</v>
          </cell>
        </row>
        <row r="558">
          <cell r="D558" t="str">
            <v>3/8" Hex AM 9015 90</v>
          </cell>
          <cell r="E558">
            <v>1</v>
          </cell>
          <cell r="I558">
            <v>1</v>
          </cell>
        </row>
        <row r="559">
          <cell r="D559" t="str">
            <v>3/8" Hex AM 9015 100</v>
          </cell>
          <cell r="E559">
            <v>1</v>
          </cell>
          <cell r="I559">
            <v>0</v>
          </cell>
        </row>
        <row r="560">
          <cell r="D560" t="str">
            <v>3/8" Hex BB RS-550 -3</v>
          </cell>
          <cell r="E560">
            <v>1</v>
          </cell>
          <cell r="F560">
            <v>1</v>
          </cell>
          <cell r="G560">
            <v>1</v>
          </cell>
          <cell r="H560">
            <v>1</v>
          </cell>
          <cell r="I560">
            <v>1</v>
          </cell>
        </row>
        <row r="561">
          <cell r="D561" t="str">
            <v>3/8" Hex BB RS-550 -4</v>
          </cell>
          <cell r="E561">
            <v>1</v>
          </cell>
          <cell r="F561">
            <v>1</v>
          </cell>
          <cell r="G561">
            <v>1</v>
          </cell>
          <cell r="H561">
            <v>1</v>
          </cell>
          <cell r="I561">
            <v>1</v>
          </cell>
        </row>
        <row r="562">
          <cell r="D562" t="str">
            <v>3/8" Hex BB RS-550 -5</v>
          </cell>
          <cell r="E562">
            <v>1</v>
          </cell>
          <cell r="F562">
            <v>1</v>
          </cell>
          <cell r="G562">
            <v>0</v>
          </cell>
          <cell r="H562">
            <v>1</v>
          </cell>
          <cell r="I562">
            <v>1</v>
          </cell>
        </row>
        <row r="563">
          <cell r="D563" t="str">
            <v>3/8" Hex BB RS-550 -7</v>
          </cell>
          <cell r="E563">
            <v>1</v>
          </cell>
          <cell r="F563">
            <v>1</v>
          </cell>
          <cell r="G563">
            <v>0</v>
          </cell>
          <cell r="H563">
            <v>0</v>
          </cell>
          <cell r="I563">
            <v>1</v>
          </cell>
        </row>
        <row r="564">
          <cell r="D564" t="str">
            <v>3/8" Hex BB RS-550 -9</v>
          </cell>
          <cell r="E564">
            <v>1</v>
          </cell>
          <cell r="F564">
            <v>1</v>
          </cell>
          <cell r="G564">
            <v>0</v>
          </cell>
          <cell r="H564">
            <v>0</v>
          </cell>
          <cell r="I564">
            <v>1</v>
          </cell>
        </row>
        <row r="565">
          <cell r="D565" t="str">
            <v>3/8" Hex BB RS-550 -10</v>
          </cell>
          <cell r="E565">
            <v>1</v>
          </cell>
          <cell r="F565">
            <v>1</v>
          </cell>
          <cell r="G565">
            <v>0</v>
          </cell>
          <cell r="H565">
            <v>0</v>
          </cell>
          <cell r="I565">
            <v>1</v>
          </cell>
        </row>
        <row r="566">
          <cell r="D566" t="str">
            <v>3/8" Hex BB RS-550 9</v>
          </cell>
          <cell r="E566">
            <v>10</v>
          </cell>
          <cell r="F566">
            <v>5</v>
          </cell>
          <cell r="G566">
            <v>0</v>
          </cell>
          <cell r="H566">
            <v>0</v>
          </cell>
          <cell r="I566">
            <v>10</v>
          </cell>
        </row>
        <row r="567">
          <cell r="D567" t="str">
            <v>3/8" Hex BB RS-550 12</v>
          </cell>
          <cell r="E567">
            <v>9</v>
          </cell>
          <cell r="F567">
            <v>4</v>
          </cell>
          <cell r="G567">
            <v>0</v>
          </cell>
          <cell r="H567">
            <v>0</v>
          </cell>
          <cell r="I567">
            <v>7</v>
          </cell>
        </row>
        <row r="568">
          <cell r="D568" t="str">
            <v>3/8" Hex BB RS-550 15</v>
          </cell>
          <cell r="E568">
            <v>7</v>
          </cell>
          <cell r="F568">
            <v>3</v>
          </cell>
          <cell r="G568">
            <v>0</v>
          </cell>
          <cell r="H568">
            <v>0</v>
          </cell>
          <cell r="I568">
            <v>5</v>
          </cell>
        </row>
        <row r="569">
          <cell r="D569" t="str">
            <v>3/8" Hex BB RS-550 16</v>
          </cell>
          <cell r="E569">
            <v>7</v>
          </cell>
          <cell r="F569">
            <v>3</v>
          </cell>
          <cell r="G569">
            <v>0</v>
          </cell>
          <cell r="H569">
            <v>0</v>
          </cell>
          <cell r="I569">
            <v>5</v>
          </cell>
        </row>
        <row r="570">
          <cell r="D570" t="str">
            <v>3/8" Hex BB RS-550 20</v>
          </cell>
          <cell r="E570">
            <v>5</v>
          </cell>
          <cell r="F570">
            <v>1</v>
          </cell>
          <cell r="G570">
            <v>0</v>
          </cell>
          <cell r="H570">
            <v>0</v>
          </cell>
          <cell r="I570">
            <v>4</v>
          </cell>
        </row>
        <row r="571">
          <cell r="D571" t="str">
            <v>3/8" Hex BB RS-550 21</v>
          </cell>
          <cell r="E571">
            <v>5</v>
          </cell>
          <cell r="F571">
            <v>1</v>
          </cell>
          <cell r="G571">
            <v>0</v>
          </cell>
          <cell r="H571">
            <v>0</v>
          </cell>
          <cell r="I571">
            <v>4</v>
          </cell>
        </row>
        <row r="572">
          <cell r="D572" t="str">
            <v>3/8" Hex BB RS-550 25</v>
          </cell>
          <cell r="E572">
            <v>4</v>
          </cell>
          <cell r="F572">
            <v>1</v>
          </cell>
          <cell r="G572">
            <v>0</v>
          </cell>
          <cell r="H572">
            <v>0</v>
          </cell>
          <cell r="I572">
            <v>3</v>
          </cell>
        </row>
        <row r="573">
          <cell r="D573" t="str">
            <v>3/8" Hex BB RS-550 27</v>
          </cell>
          <cell r="E573">
            <v>4</v>
          </cell>
          <cell r="F573">
            <v>1</v>
          </cell>
          <cell r="G573">
            <v>0</v>
          </cell>
          <cell r="H573">
            <v>0</v>
          </cell>
          <cell r="I573">
            <v>3</v>
          </cell>
        </row>
        <row r="574">
          <cell r="D574" t="str">
            <v>3/8" Hex BB RS-550 28</v>
          </cell>
          <cell r="E574">
            <v>4</v>
          </cell>
          <cell r="F574">
            <v>1</v>
          </cell>
          <cell r="G574">
            <v>0</v>
          </cell>
          <cell r="H574">
            <v>0</v>
          </cell>
          <cell r="I574">
            <v>3</v>
          </cell>
        </row>
        <row r="575">
          <cell r="D575" t="str">
            <v>3/8" Hex BB RS-550 30</v>
          </cell>
          <cell r="E575">
            <v>3</v>
          </cell>
          <cell r="F575">
            <v>1</v>
          </cell>
          <cell r="G575">
            <v>0</v>
          </cell>
          <cell r="H575">
            <v>0</v>
          </cell>
          <cell r="I575">
            <v>3</v>
          </cell>
        </row>
        <row r="576">
          <cell r="D576" t="str">
            <v>3/8" Hex BB RS-550 35</v>
          </cell>
          <cell r="E576">
            <v>3</v>
          </cell>
          <cell r="F576">
            <v>1</v>
          </cell>
          <cell r="G576">
            <v>0</v>
          </cell>
          <cell r="H576">
            <v>0</v>
          </cell>
          <cell r="I576">
            <v>1</v>
          </cell>
        </row>
        <row r="577">
          <cell r="D577" t="str">
            <v>3/8" Hex BB RS-550 36</v>
          </cell>
          <cell r="E577">
            <v>3</v>
          </cell>
          <cell r="F577">
            <v>1</v>
          </cell>
          <cell r="G577">
            <v>0</v>
          </cell>
          <cell r="H577">
            <v>0</v>
          </cell>
          <cell r="I577">
            <v>1</v>
          </cell>
        </row>
        <row r="578">
          <cell r="D578" t="str">
            <v>3/8" Hex BB RS-550 40</v>
          </cell>
          <cell r="E578">
            <v>1</v>
          </cell>
          <cell r="F578">
            <v>1</v>
          </cell>
          <cell r="G578">
            <v>0</v>
          </cell>
          <cell r="H578">
            <v>0</v>
          </cell>
          <cell r="I578">
            <v>5</v>
          </cell>
        </row>
        <row r="579">
          <cell r="D579" t="str">
            <v>3/8" Hex BB RS-550 45</v>
          </cell>
          <cell r="E579">
            <v>1</v>
          </cell>
          <cell r="F579">
            <v>1</v>
          </cell>
          <cell r="G579">
            <v>0</v>
          </cell>
          <cell r="H579">
            <v>0</v>
          </cell>
          <cell r="I579">
            <v>4</v>
          </cell>
        </row>
        <row r="580">
          <cell r="D580" t="str">
            <v>3/8" Hex BB RS-550 49</v>
          </cell>
          <cell r="E580">
            <v>1</v>
          </cell>
          <cell r="F580">
            <v>1</v>
          </cell>
          <cell r="G580">
            <v>0</v>
          </cell>
          <cell r="H580">
            <v>0</v>
          </cell>
          <cell r="I580">
            <v>4</v>
          </cell>
        </row>
        <row r="581">
          <cell r="D581" t="str">
            <v>3/8" Hex BB RS-550 50</v>
          </cell>
          <cell r="E581">
            <v>1</v>
          </cell>
          <cell r="F581">
            <v>1</v>
          </cell>
          <cell r="G581">
            <v>0</v>
          </cell>
          <cell r="H581">
            <v>0</v>
          </cell>
          <cell r="I581">
            <v>1</v>
          </cell>
        </row>
        <row r="582">
          <cell r="D582" t="str">
            <v>3/8" Hex BB RS-550 63</v>
          </cell>
          <cell r="E582">
            <v>1</v>
          </cell>
          <cell r="F582">
            <v>0</v>
          </cell>
          <cell r="G582">
            <v>0</v>
          </cell>
          <cell r="H582">
            <v>0</v>
          </cell>
          <cell r="I582">
            <v>1</v>
          </cell>
        </row>
        <row r="583">
          <cell r="D583" t="str">
            <v>3/8" Hex BB RS-550 70</v>
          </cell>
          <cell r="E583">
            <v>1</v>
          </cell>
          <cell r="F583">
            <v>0</v>
          </cell>
          <cell r="G583">
            <v>0</v>
          </cell>
          <cell r="H583">
            <v>0</v>
          </cell>
          <cell r="I583">
            <v>1</v>
          </cell>
        </row>
        <row r="584">
          <cell r="D584" t="str">
            <v>3/8" Hex BB RS-550 81</v>
          </cell>
          <cell r="E584">
            <v>1</v>
          </cell>
          <cell r="F584">
            <v>0</v>
          </cell>
          <cell r="G584">
            <v>0</v>
          </cell>
          <cell r="H584">
            <v>0</v>
          </cell>
          <cell r="I584">
            <v>1</v>
          </cell>
        </row>
        <row r="585">
          <cell r="D585" t="str">
            <v>3/8" Hex BB RS-550 90</v>
          </cell>
          <cell r="E585">
            <v>1</v>
          </cell>
          <cell r="F585">
            <v>0</v>
          </cell>
          <cell r="G585">
            <v>0</v>
          </cell>
          <cell r="H585">
            <v>0</v>
          </cell>
          <cell r="I585">
            <v>1</v>
          </cell>
        </row>
        <row r="586">
          <cell r="D586" t="str">
            <v>3/8" Hex BB RS-550 100</v>
          </cell>
          <cell r="E586">
            <v>1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</row>
        <row r="587">
          <cell r="D587" t="str">
            <v>3/8" Hex BB RS-775 -3</v>
          </cell>
          <cell r="E587">
            <v>1</v>
          </cell>
          <cell r="F587">
            <v>1</v>
          </cell>
          <cell r="G587">
            <v>0</v>
          </cell>
          <cell r="H587">
            <v>0</v>
          </cell>
          <cell r="I587">
            <v>1</v>
          </cell>
        </row>
        <row r="588">
          <cell r="D588" t="str">
            <v>3/8" Hex BB RS-775 -4</v>
          </cell>
          <cell r="E588">
            <v>1</v>
          </cell>
          <cell r="F588">
            <v>1</v>
          </cell>
          <cell r="G588">
            <v>0</v>
          </cell>
          <cell r="H588">
            <v>0</v>
          </cell>
          <cell r="I588">
            <v>1</v>
          </cell>
        </row>
        <row r="589">
          <cell r="D589" t="str">
            <v>3/8" Hex BB RS-775 -5</v>
          </cell>
          <cell r="E589">
            <v>1</v>
          </cell>
          <cell r="F589">
            <v>1</v>
          </cell>
          <cell r="G589">
            <v>0</v>
          </cell>
          <cell r="H589">
            <v>0</v>
          </cell>
          <cell r="I589">
            <v>1</v>
          </cell>
        </row>
        <row r="590">
          <cell r="D590" t="str">
            <v>3/8" Hex BB RS-775 -7</v>
          </cell>
          <cell r="E590">
            <v>1</v>
          </cell>
          <cell r="F590">
            <v>1</v>
          </cell>
          <cell r="G590">
            <v>0</v>
          </cell>
          <cell r="H590">
            <v>0</v>
          </cell>
          <cell r="I590">
            <v>1</v>
          </cell>
        </row>
        <row r="591">
          <cell r="D591" t="str">
            <v>3/8" Hex BB RS-775 -9</v>
          </cell>
          <cell r="E591">
            <v>1</v>
          </cell>
          <cell r="F591">
            <v>1</v>
          </cell>
          <cell r="G591">
            <v>0</v>
          </cell>
          <cell r="H591">
            <v>0</v>
          </cell>
          <cell r="I591">
            <v>1</v>
          </cell>
        </row>
        <row r="592">
          <cell r="D592" t="str">
            <v>3/8" Hex BB RS-775 -10</v>
          </cell>
          <cell r="E592">
            <v>1</v>
          </cell>
          <cell r="F592">
            <v>1</v>
          </cell>
          <cell r="G592">
            <v>0</v>
          </cell>
          <cell r="H592">
            <v>0</v>
          </cell>
          <cell r="I592">
            <v>1</v>
          </cell>
        </row>
        <row r="593">
          <cell r="D593" t="str">
            <v>3/8" Hex BB RS-775 9</v>
          </cell>
          <cell r="E593">
            <v>7</v>
          </cell>
          <cell r="F593">
            <v>3</v>
          </cell>
          <cell r="G593">
            <v>0</v>
          </cell>
          <cell r="H593">
            <v>0</v>
          </cell>
          <cell r="I593">
            <v>10</v>
          </cell>
        </row>
        <row r="594">
          <cell r="D594" t="str">
            <v>3/8" Hex BB RS-775 12</v>
          </cell>
          <cell r="E594">
            <v>5</v>
          </cell>
          <cell r="F594">
            <v>1</v>
          </cell>
          <cell r="G594">
            <v>0</v>
          </cell>
          <cell r="H594">
            <v>0</v>
          </cell>
          <cell r="I594">
            <v>10</v>
          </cell>
        </row>
        <row r="595">
          <cell r="D595" t="str">
            <v>3/8" Hex BB RS-775 15</v>
          </cell>
          <cell r="E595">
            <v>4</v>
          </cell>
          <cell r="F595">
            <v>1</v>
          </cell>
          <cell r="G595">
            <v>0</v>
          </cell>
          <cell r="H595">
            <v>0</v>
          </cell>
          <cell r="I595">
            <v>7</v>
          </cell>
        </row>
        <row r="596">
          <cell r="D596" t="str">
            <v>3/8" Hex BB RS-775 16</v>
          </cell>
          <cell r="E596">
            <v>4</v>
          </cell>
          <cell r="F596">
            <v>1</v>
          </cell>
          <cell r="G596">
            <v>0</v>
          </cell>
          <cell r="H596">
            <v>0</v>
          </cell>
          <cell r="I596">
            <v>7</v>
          </cell>
        </row>
        <row r="597">
          <cell r="D597" t="str">
            <v>3/8" Hex BB RS-775 20</v>
          </cell>
          <cell r="E597">
            <v>3</v>
          </cell>
          <cell r="F597">
            <v>1</v>
          </cell>
          <cell r="G597">
            <v>0</v>
          </cell>
          <cell r="H597">
            <v>0</v>
          </cell>
          <cell r="I597">
            <v>5</v>
          </cell>
        </row>
        <row r="598">
          <cell r="D598" t="str">
            <v>3/8" Hex BB RS-775 21</v>
          </cell>
          <cell r="E598">
            <v>3</v>
          </cell>
          <cell r="F598">
            <v>1</v>
          </cell>
          <cell r="G598">
            <v>0</v>
          </cell>
          <cell r="H598">
            <v>0</v>
          </cell>
          <cell r="I598">
            <v>5</v>
          </cell>
        </row>
        <row r="599">
          <cell r="D599" t="str">
            <v>3/8" Hex BB RS-775 25</v>
          </cell>
          <cell r="E599">
            <v>1</v>
          </cell>
          <cell r="F599">
            <v>1</v>
          </cell>
          <cell r="G599">
            <v>0</v>
          </cell>
          <cell r="H599">
            <v>0</v>
          </cell>
          <cell r="I599">
            <v>5</v>
          </cell>
        </row>
        <row r="600">
          <cell r="D600" t="str">
            <v>3/8" Hex BB RS-775 27</v>
          </cell>
          <cell r="E600">
            <v>1</v>
          </cell>
          <cell r="F600">
            <v>1</v>
          </cell>
          <cell r="G600">
            <v>0</v>
          </cell>
          <cell r="H600">
            <v>0</v>
          </cell>
          <cell r="I600">
            <v>4</v>
          </cell>
        </row>
        <row r="601">
          <cell r="D601" t="str">
            <v>3/8" Hex BB RS-775 28</v>
          </cell>
          <cell r="E601">
            <v>1</v>
          </cell>
          <cell r="F601">
            <v>1</v>
          </cell>
          <cell r="G601">
            <v>0</v>
          </cell>
          <cell r="H601">
            <v>0</v>
          </cell>
          <cell r="I601">
            <v>4</v>
          </cell>
        </row>
        <row r="602">
          <cell r="D602" t="str">
            <v>3/8" Hex BB RS-775 30</v>
          </cell>
          <cell r="E602">
            <v>1</v>
          </cell>
          <cell r="F602">
            <v>1</v>
          </cell>
          <cell r="G602">
            <v>0</v>
          </cell>
          <cell r="H602">
            <v>0</v>
          </cell>
          <cell r="I602">
            <v>4</v>
          </cell>
        </row>
        <row r="603">
          <cell r="D603" t="str">
            <v>3/8" Hex BB RS-775 35</v>
          </cell>
          <cell r="E603">
            <v>1</v>
          </cell>
          <cell r="F603">
            <v>1</v>
          </cell>
          <cell r="G603">
            <v>0</v>
          </cell>
          <cell r="H603">
            <v>0</v>
          </cell>
          <cell r="I603">
            <v>3</v>
          </cell>
        </row>
        <row r="604">
          <cell r="D604" t="str">
            <v>3/8" Hex BB RS-775 36</v>
          </cell>
          <cell r="E604">
            <v>1</v>
          </cell>
          <cell r="F604">
            <v>0</v>
          </cell>
          <cell r="G604">
            <v>0</v>
          </cell>
          <cell r="H604">
            <v>0</v>
          </cell>
          <cell r="I604">
            <v>3</v>
          </cell>
        </row>
        <row r="605">
          <cell r="D605" t="str">
            <v>3/8" Hex BB RS-775 40</v>
          </cell>
          <cell r="E605">
            <v>1</v>
          </cell>
          <cell r="F605">
            <v>0</v>
          </cell>
          <cell r="G605">
            <v>0</v>
          </cell>
          <cell r="H605">
            <v>0</v>
          </cell>
          <cell r="I605">
            <v>3</v>
          </cell>
        </row>
        <row r="606">
          <cell r="D606" t="str">
            <v>3/8" Hex BB RS-775 45</v>
          </cell>
          <cell r="E606">
            <v>1</v>
          </cell>
          <cell r="F606">
            <v>0</v>
          </cell>
          <cell r="G606">
            <v>0</v>
          </cell>
          <cell r="H606">
            <v>0</v>
          </cell>
          <cell r="I606">
            <v>1</v>
          </cell>
        </row>
        <row r="607">
          <cell r="D607" t="str">
            <v>3/8" Hex BB RS-775 49</v>
          </cell>
          <cell r="E607">
            <v>1</v>
          </cell>
          <cell r="F607">
            <v>0</v>
          </cell>
          <cell r="G607">
            <v>0</v>
          </cell>
          <cell r="H607">
            <v>0</v>
          </cell>
          <cell r="I607">
            <v>1</v>
          </cell>
        </row>
        <row r="608">
          <cell r="D608" t="str">
            <v>3/8" Hex BB RS-775 50</v>
          </cell>
          <cell r="E608">
            <v>1</v>
          </cell>
          <cell r="F608">
            <v>0</v>
          </cell>
          <cell r="G608">
            <v>0</v>
          </cell>
          <cell r="H608">
            <v>0</v>
          </cell>
          <cell r="I608">
            <v>1</v>
          </cell>
        </row>
        <row r="609">
          <cell r="D609" t="str">
            <v>3/8" Hex BB RS-775 63</v>
          </cell>
          <cell r="E609">
            <v>1</v>
          </cell>
          <cell r="F609">
            <v>0</v>
          </cell>
          <cell r="G609">
            <v>0</v>
          </cell>
          <cell r="H609">
            <v>0</v>
          </cell>
          <cell r="I609">
            <v>1</v>
          </cell>
        </row>
        <row r="610">
          <cell r="D610" t="str">
            <v>3/8" Hex BB RS-775 70</v>
          </cell>
          <cell r="E610">
            <v>1</v>
          </cell>
          <cell r="F610">
            <v>0</v>
          </cell>
          <cell r="G610">
            <v>0</v>
          </cell>
          <cell r="H610">
            <v>0</v>
          </cell>
          <cell r="I610">
            <v>1</v>
          </cell>
        </row>
        <row r="611">
          <cell r="D611" t="str">
            <v>3/8" Hex BB RS-775 81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1</v>
          </cell>
        </row>
        <row r="612">
          <cell r="D612" t="str">
            <v>3/8" Hex BB RS-775 90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1</v>
          </cell>
        </row>
        <row r="613">
          <cell r="D613" t="str">
            <v>3/8" Hex BB RS-775 100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1</v>
          </cell>
        </row>
        <row r="614">
          <cell r="D614" t="str">
            <v>3/8" Hex BAG Motor -3</v>
          </cell>
          <cell r="E614">
            <v>1</v>
          </cell>
          <cell r="F614">
            <v>1</v>
          </cell>
          <cell r="G614">
            <v>1</v>
          </cell>
          <cell r="H614">
            <v>0</v>
          </cell>
          <cell r="I614">
            <v>1</v>
          </cell>
        </row>
        <row r="615">
          <cell r="D615" t="str">
            <v>3/8" Hex BAG Motor -4</v>
          </cell>
          <cell r="E615">
            <v>1</v>
          </cell>
          <cell r="F615">
            <v>1</v>
          </cell>
          <cell r="G615">
            <v>1</v>
          </cell>
          <cell r="H615">
            <v>0</v>
          </cell>
          <cell r="I615">
            <v>1</v>
          </cell>
        </row>
        <row r="616">
          <cell r="D616" t="str">
            <v>3/8" Hex BAG Motor -5</v>
          </cell>
          <cell r="E616">
            <v>1</v>
          </cell>
          <cell r="F616">
            <v>1</v>
          </cell>
          <cell r="G616">
            <v>0</v>
          </cell>
          <cell r="H616">
            <v>0</v>
          </cell>
          <cell r="I616">
            <v>1</v>
          </cell>
        </row>
        <row r="617">
          <cell r="D617" t="str">
            <v>3/8" Hex BAG Motor -7</v>
          </cell>
          <cell r="E617">
            <v>1</v>
          </cell>
          <cell r="F617">
            <v>1</v>
          </cell>
          <cell r="G617">
            <v>0</v>
          </cell>
          <cell r="H617">
            <v>0</v>
          </cell>
          <cell r="I617">
            <v>1</v>
          </cell>
        </row>
        <row r="618">
          <cell r="D618" t="str">
            <v>3/8" Hex BAG Motor -9</v>
          </cell>
          <cell r="E618">
            <v>1</v>
          </cell>
          <cell r="F618">
            <v>1</v>
          </cell>
          <cell r="G618">
            <v>0</v>
          </cell>
          <cell r="H618">
            <v>0</v>
          </cell>
          <cell r="I618">
            <v>1</v>
          </cell>
        </row>
        <row r="619">
          <cell r="D619" t="str">
            <v>3/8" Hex BAG Motor -10</v>
          </cell>
          <cell r="E619">
            <v>1</v>
          </cell>
          <cell r="F619">
            <v>1</v>
          </cell>
          <cell r="G619">
            <v>0</v>
          </cell>
          <cell r="H619">
            <v>0</v>
          </cell>
          <cell r="I619">
            <v>1</v>
          </cell>
        </row>
        <row r="620">
          <cell r="D620" t="str">
            <v>3/8" Hex BAG Motor 9</v>
          </cell>
          <cell r="E620">
            <v>10</v>
          </cell>
          <cell r="F620">
            <v>5</v>
          </cell>
          <cell r="G620">
            <v>0</v>
          </cell>
          <cell r="H620">
            <v>0</v>
          </cell>
          <cell r="I620">
            <v>9</v>
          </cell>
        </row>
        <row r="621">
          <cell r="D621" t="str">
            <v>3/8" Hex BAG Motor 12</v>
          </cell>
          <cell r="E621">
            <v>10</v>
          </cell>
          <cell r="F621">
            <v>5</v>
          </cell>
          <cell r="G621">
            <v>0</v>
          </cell>
          <cell r="H621">
            <v>0</v>
          </cell>
          <cell r="I621">
            <v>5</v>
          </cell>
        </row>
        <row r="622">
          <cell r="D622" t="str">
            <v>3/8" Hex BAG Motor 15</v>
          </cell>
          <cell r="E622">
            <v>7</v>
          </cell>
          <cell r="F622">
            <v>4</v>
          </cell>
          <cell r="G622">
            <v>0</v>
          </cell>
          <cell r="H622">
            <v>0</v>
          </cell>
          <cell r="I622">
            <v>5</v>
          </cell>
        </row>
        <row r="623">
          <cell r="D623" t="str">
            <v>3/8" Hex BAG Motor 16</v>
          </cell>
          <cell r="E623">
            <v>7</v>
          </cell>
          <cell r="F623">
            <v>3</v>
          </cell>
          <cell r="G623">
            <v>0</v>
          </cell>
          <cell r="H623">
            <v>0</v>
          </cell>
          <cell r="I623">
            <v>5</v>
          </cell>
        </row>
        <row r="624">
          <cell r="D624" t="str">
            <v>3/8" Hex BAG Motor 20</v>
          </cell>
          <cell r="E624">
            <v>5</v>
          </cell>
          <cell r="F624">
            <v>3</v>
          </cell>
          <cell r="G624">
            <v>0</v>
          </cell>
          <cell r="H624">
            <v>0</v>
          </cell>
          <cell r="I624">
            <v>4</v>
          </cell>
        </row>
        <row r="625">
          <cell r="D625" t="str">
            <v>3/8" Hex BAG Motor 21</v>
          </cell>
          <cell r="E625">
            <v>5</v>
          </cell>
          <cell r="F625">
            <v>1</v>
          </cell>
          <cell r="G625">
            <v>0</v>
          </cell>
          <cell r="H625">
            <v>0</v>
          </cell>
          <cell r="I625">
            <v>3</v>
          </cell>
        </row>
        <row r="626">
          <cell r="D626" t="str">
            <v>3/8" Hex BAG Motor 25</v>
          </cell>
          <cell r="E626">
            <v>5</v>
          </cell>
          <cell r="F626">
            <v>1</v>
          </cell>
          <cell r="G626">
            <v>0</v>
          </cell>
          <cell r="H626">
            <v>0</v>
          </cell>
          <cell r="I626">
            <v>3</v>
          </cell>
        </row>
        <row r="627">
          <cell r="D627" t="str">
            <v>3/8" Hex BAG Motor 27</v>
          </cell>
          <cell r="E627">
            <v>4</v>
          </cell>
          <cell r="F627">
            <v>1</v>
          </cell>
          <cell r="G627">
            <v>0</v>
          </cell>
          <cell r="H627">
            <v>0</v>
          </cell>
          <cell r="I627">
            <v>3</v>
          </cell>
        </row>
        <row r="628">
          <cell r="D628" t="str">
            <v>3/8" Hex BAG Motor 28</v>
          </cell>
          <cell r="E628">
            <v>4</v>
          </cell>
          <cell r="F628">
            <v>1</v>
          </cell>
          <cell r="G628">
            <v>0</v>
          </cell>
          <cell r="H628">
            <v>0</v>
          </cell>
          <cell r="I628">
            <v>1</v>
          </cell>
        </row>
        <row r="629">
          <cell r="D629" t="str">
            <v>3/8" Hex BAG Motor 30</v>
          </cell>
          <cell r="E629">
            <v>4</v>
          </cell>
          <cell r="F629">
            <v>1</v>
          </cell>
          <cell r="G629">
            <v>0</v>
          </cell>
          <cell r="H629">
            <v>0</v>
          </cell>
          <cell r="I629">
            <v>1</v>
          </cell>
        </row>
        <row r="630">
          <cell r="D630" t="str">
            <v>3/8" Hex BAG Motor 35</v>
          </cell>
          <cell r="E630">
            <v>3</v>
          </cell>
          <cell r="F630">
            <v>1</v>
          </cell>
          <cell r="G630">
            <v>0</v>
          </cell>
          <cell r="H630">
            <v>0</v>
          </cell>
          <cell r="I630">
            <v>1</v>
          </cell>
        </row>
        <row r="631">
          <cell r="D631" t="str">
            <v>3/8" Hex BAG Motor 36</v>
          </cell>
          <cell r="E631">
            <v>3</v>
          </cell>
          <cell r="F631">
            <v>1</v>
          </cell>
          <cell r="G631">
            <v>0</v>
          </cell>
          <cell r="H631">
            <v>0</v>
          </cell>
          <cell r="I631">
            <v>1</v>
          </cell>
        </row>
        <row r="632">
          <cell r="D632" t="str">
            <v>3/8" Hex BAG Motor 40</v>
          </cell>
          <cell r="E632">
            <v>3</v>
          </cell>
          <cell r="F632">
            <v>1</v>
          </cell>
          <cell r="G632">
            <v>0</v>
          </cell>
          <cell r="H632">
            <v>0</v>
          </cell>
          <cell r="I632">
            <v>1</v>
          </cell>
        </row>
        <row r="633">
          <cell r="D633" t="str">
            <v>3/8" Hex BAG Motor 45</v>
          </cell>
          <cell r="E633">
            <v>1</v>
          </cell>
          <cell r="F633">
            <v>1</v>
          </cell>
          <cell r="G633">
            <v>0</v>
          </cell>
          <cell r="H633">
            <v>0</v>
          </cell>
          <cell r="I633">
            <v>1</v>
          </cell>
        </row>
        <row r="634">
          <cell r="D634" t="str">
            <v>3/8" Hex BAG Motor 49</v>
          </cell>
          <cell r="E634">
            <v>1</v>
          </cell>
          <cell r="F634">
            <v>1</v>
          </cell>
          <cell r="G634">
            <v>0</v>
          </cell>
          <cell r="H634">
            <v>0</v>
          </cell>
          <cell r="I634">
            <v>1</v>
          </cell>
        </row>
        <row r="635">
          <cell r="D635" t="str">
            <v>3/8" Hex BAG Motor 50</v>
          </cell>
          <cell r="E635">
            <v>1</v>
          </cell>
          <cell r="F635">
            <v>1</v>
          </cell>
          <cell r="G635">
            <v>0</v>
          </cell>
          <cell r="H635">
            <v>0</v>
          </cell>
          <cell r="I635">
            <v>1</v>
          </cell>
        </row>
        <row r="636">
          <cell r="D636" t="str">
            <v>3/8" Hex BAG Motor 63</v>
          </cell>
          <cell r="E636">
            <v>1</v>
          </cell>
          <cell r="F636">
            <v>0</v>
          </cell>
          <cell r="G636">
            <v>0</v>
          </cell>
          <cell r="H636">
            <v>0</v>
          </cell>
          <cell r="I636">
            <v>1</v>
          </cell>
        </row>
        <row r="637">
          <cell r="D637" t="str">
            <v>3/8" Hex BAG Motor 70</v>
          </cell>
          <cell r="E637">
            <v>1</v>
          </cell>
          <cell r="F637">
            <v>0</v>
          </cell>
          <cell r="G637">
            <v>0</v>
          </cell>
          <cell r="H637">
            <v>0</v>
          </cell>
          <cell r="I637">
            <v>1</v>
          </cell>
        </row>
        <row r="638">
          <cell r="D638" t="str">
            <v>3/8" Hex BAG Motor 81</v>
          </cell>
          <cell r="E638">
            <v>1</v>
          </cell>
          <cell r="F638">
            <v>0</v>
          </cell>
          <cell r="G638">
            <v>0</v>
          </cell>
          <cell r="H638">
            <v>0</v>
          </cell>
          <cell r="I638">
            <v>1</v>
          </cell>
        </row>
        <row r="639">
          <cell r="D639" t="str">
            <v>3/8" Hex BAG Motor 90</v>
          </cell>
          <cell r="E639">
            <v>1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</row>
        <row r="640">
          <cell r="D640" t="str">
            <v>3/8" Hex BAG Motor 100</v>
          </cell>
          <cell r="E640">
            <v>1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</row>
        <row r="641">
          <cell r="D641" t="str">
            <v>3/8" Hex 775pro -3</v>
          </cell>
          <cell r="E641">
            <v>1</v>
          </cell>
          <cell r="F641">
            <v>1</v>
          </cell>
          <cell r="G641">
            <v>0</v>
          </cell>
          <cell r="H641">
            <v>0</v>
          </cell>
          <cell r="I641">
            <v>1</v>
          </cell>
        </row>
        <row r="642">
          <cell r="D642" t="str">
            <v>3/8" Hex 775pro -4</v>
          </cell>
          <cell r="E642">
            <v>1</v>
          </cell>
          <cell r="F642">
            <v>1</v>
          </cell>
          <cell r="G642">
            <v>0</v>
          </cell>
          <cell r="H642">
            <v>0</v>
          </cell>
          <cell r="I642">
            <v>1</v>
          </cell>
        </row>
        <row r="643">
          <cell r="D643" t="str">
            <v>3/8" Hex 775pro -5</v>
          </cell>
          <cell r="E643">
            <v>1</v>
          </cell>
          <cell r="F643">
            <v>1</v>
          </cell>
          <cell r="G643">
            <v>0</v>
          </cell>
          <cell r="H643">
            <v>0</v>
          </cell>
          <cell r="I643">
            <v>1</v>
          </cell>
        </row>
        <row r="644">
          <cell r="D644" t="str">
            <v>3/8" Hex 775pro -7</v>
          </cell>
          <cell r="E644">
            <v>1</v>
          </cell>
          <cell r="F644">
            <v>1</v>
          </cell>
          <cell r="G644">
            <v>0</v>
          </cell>
          <cell r="H644">
            <v>0</v>
          </cell>
          <cell r="I644">
            <v>1</v>
          </cell>
        </row>
        <row r="645">
          <cell r="D645" t="str">
            <v>3/8" Hex 775pro -9</v>
          </cell>
          <cell r="E645">
            <v>1</v>
          </cell>
          <cell r="F645">
            <v>1</v>
          </cell>
          <cell r="G645">
            <v>0</v>
          </cell>
          <cell r="H645">
            <v>0</v>
          </cell>
          <cell r="I645">
            <v>1</v>
          </cell>
        </row>
        <row r="646">
          <cell r="D646" t="str">
            <v>3/8" Hex 775pro -10</v>
          </cell>
          <cell r="E646">
            <v>1</v>
          </cell>
          <cell r="F646">
            <v>1</v>
          </cell>
          <cell r="G646">
            <v>0</v>
          </cell>
          <cell r="H646">
            <v>0</v>
          </cell>
          <cell r="I646">
            <v>1</v>
          </cell>
        </row>
        <row r="647">
          <cell r="D647" t="str">
            <v>3/8" Hex 775pro 9</v>
          </cell>
          <cell r="E647">
            <v>7</v>
          </cell>
          <cell r="F647">
            <v>4</v>
          </cell>
          <cell r="G647">
            <v>0</v>
          </cell>
          <cell r="H647">
            <v>0</v>
          </cell>
          <cell r="I647">
            <v>5</v>
          </cell>
        </row>
        <row r="648">
          <cell r="D648" t="str">
            <v>3/8" Hex 775pro 12</v>
          </cell>
          <cell r="E648">
            <v>5</v>
          </cell>
          <cell r="F648">
            <v>3</v>
          </cell>
          <cell r="G648">
            <v>0</v>
          </cell>
          <cell r="H648">
            <v>0</v>
          </cell>
          <cell r="I648">
            <v>4</v>
          </cell>
        </row>
        <row r="649">
          <cell r="D649" t="str">
            <v>3/8" Hex 775pro 15</v>
          </cell>
          <cell r="E649">
            <v>5</v>
          </cell>
          <cell r="F649">
            <v>1</v>
          </cell>
          <cell r="G649">
            <v>0</v>
          </cell>
          <cell r="H649">
            <v>0</v>
          </cell>
          <cell r="I649">
            <v>3</v>
          </cell>
        </row>
        <row r="650">
          <cell r="D650" t="str">
            <v>3/8" Hex 775pro 16</v>
          </cell>
          <cell r="E650">
            <v>4</v>
          </cell>
          <cell r="F650">
            <v>1</v>
          </cell>
          <cell r="G650">
            <v>0</v>
          </cell>
          <cell r="H650">
            <v>0</v>
          </cell>
          <cell r="I650">
            <v>3</v>
          </cell>
        </row>
        <row r="651">
          <cell r="D651" t="str">
            <v>3/8" Hex 775pro 20</v>
          </cell>
          <cell r="E651">
            <v>3</v>
          </cell>
          <cell r="F651">
            <v>1</v>
          </cell>
          <cell r="G651">
            <v>0</v>
          </cell>
          <cell r="H651">
            <v>0</v>
          </cell>
          <cell r="I651">
            <v>1</v>
          </cell>
        </row>
        <row r="652">
          <cell r="D652" t="str">
            <v>3/8" Hex 775pro 21</v>
          </cell>
          <cell r="E652">
            <v>3</v>
          </cell>
          <cell r="F652">
            <v>1</v>
          </cell>
          <cell r="G652">
            <v>0</v>
          </cell>
          <cell r="H652">
            <v>0</v>
          </cell>
          <cell r="I652">
            <v>1</v>
          </cell>
        </row>
        <row r="653">
          <cell r="D653" t="str">
            <v>3/8" Hex 775pro 25</v>
          </cell>
          <cell r="E653">
            <v>3</v>
          </cell>
          <cell r="F653">
            <v>1</v>
          </cell>
          <cell r="G653">
            <v>0</v>
          </cell>
          <cell r="H653">
            <v>0</v>
          </cell>
          <cell r="I653">
            <v>1</v>
          </cell>
        </row>
        <row r="654">
          <cell r="D654" t="str">
            <v>3/8" Hex 775pro 27</v>
          </cell>
          <cell r="E654">
            <v>1</v>
          </cell>
          <cell r="F654">
            <v>1</v>
          </cell>
          <cell r="G654">
            <v>0</v>
          </cell>
          <cell r="H654">
            <v>0</v>
          </cell>
          <cell r="I654">
            <v>1</v>
          </cell>
        </row>
        <row r="655">
          <cell r="D655" t="str">
            <v>3/8" Hex 775pro 28</v>
          </cell>
          <cell r="E655">
            <v>1</v>
          </cell>
          <cell r="F655">
            <v>1</v>
          </cell>
          <cell r="G655">
            <v>0</v>
          </cell>
          <cell r="H655">
            <v>0</v>
          </cell>
          <cell r="I655">
            <v>1</v>
          </cell>
        </row>
        <row r="656">
          <cell r="D656" t="str">
            <v>3/8" Hex 775pro 30</v>
          </cell>
          <cell r="E656">
            <v>1</v>
          </cell>
          <cell r="F656">
            <v>1</v>
          </cell>
          <cell r="G656">
            <v>0</v>
          </cell>
          <cell r="H656">
            <v>0</v>
          </cell>
          <cell r="I656">
            <v>1</v>
          </cell>
        </row>
        <row r="657">
          <cell r="D657" t="str">
            <v>3/8" Hex 775pro 35</v>
          </cell>
          <cell r="E657">
            <v>1</v>
          </cell>
          <cell r="F657">
            <v>1</v>
          </cell>
          <cell r="G657">
            <v>0</v>
          </cell>
          <cell r="H657">
            <v>0</v>
          </cell>
          <cell r="I657">
            <v>1</v>
          </cell>
        </row>
        <row r="658">
          <cell r="D658" t="str">
            <v>3/8" Hex 775pro 36</v>
          </cell>
          <cell r="E658">
            <v>1</v>
          </cell>
          <cell r="F658">
            <v>1</v>
          </cell>
          <cell r="G658">
            <v>0</v>
          </cell>
          <cell r="H658">
            <v>0</v>
          </cell>
          <cell r="I658">
            <v>1</v>
          </cell>
        </row>
        <row r="659">
          <cell r="D659" t="str">
            <v>3/8" Hex 775pro 40</v>
          </cell>
          <cell r="E659">
            <v>1</v>
          </cell>
          <cell r="F659">
            <v>0</v>
          </cell>
          <cell r="G659">
            <v>0</v>
          </cell>
          <cell r="H659">
            <v>0</v>
          </cell>
          <cell r="I659">
            <v>1</v>
          </cell>
        </row>
        <row r="660">
          <cell r="D660" t="str">
            <v>3/8" Hex 775pro 45</v>
          </cell>
          <cell r="E660">
            <v>1</v>
          </cell>
          <cell r="F660">
            <v>0</v>
          </cell>
          <cell r="G660">
            <v>0</v>
          </cell>
          <cell r="H660">
            <v>0</v>
          </cell>
          <cell r="I660">
            <v>1</v>
          </cell>
        </row>
        <row r="661">
          <cell r="D661" t="str">
            <v>3/8" Hex 775pro 49</v>
          </cell>
          <cell r="E661">
            <v>1</v>
          </cell>
          <cell r="F661">
            <v>0</v>
          </cell>
          <cell r="G661">
            <v>0</v>
          </cell>
          <cell r="H661">
            <v>0</v>
          </cell>
          <cell r="I661">
            <v>1</v>
          </cell>
        </row>
        <row r="662">
          <cell r="D662" t="str">
            <v>3/8" Hex 775pro 50</v>
          </cell>
          <cell r="E662">
            <v>1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</row>
        <row r="663">
          <cell r="D663" t="str">
            <v>3/8" Hex 775pro 63</v>
          </cell>
          <cell r="E663">
            <v>1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</row>
        <row r="664">
          <cell r="D664" t="str">
            <v>3/8" Hex 775pro 70</v>
          </cell>
          <cell r="E664">
            <v>1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</row>
        <row r="665">
          <cell r="D665" t="str">
            <v>3/8" Hex 775pro 81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</row>
        <row r="666">
          <cell r="D666" t="str">
            <v>3/8" Hex 775pro 90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</row>
        <row r="667">
          <cell r="D667" t="str">
            <v>3/8" Hex 775pro 100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</row>
        <row r="668">
          <cell r="D668" t="str">
            <v>3/8" Hex Mini CIM -3</v>
          </cell>
          <cell r="E668">
            <v>1</v>
          </cell>
          <cell r="I668">
            <v>0</v>
          </cell>
        </row>
        <row r="669">
          <cell r="D669" t="str">
            <v>3/8" Hex Mini CIM -4</v>
          </cell>
          <cell r="E669">
            <v>1</v>
          </cell>
          <cell r="I669">
            <v>0</v>
          </cell>
        </row>
        <row r="670">
          <cell r="D670" t="str">
            <v>3/8" Hex Mini CIM -5</v>
          </cell>
          <cell r="E670">
            <v>1</v>
          </cell>
          <cell r="I670">
            <v>0</v>
          </cell>
        </row>
        <row r="671">
          <cell r="D671" t="str">
            <v>3/8" Hex Mini CIM -7</v>
          </cell>
          <cell r="E671">
            <v>1</v>
          </cell>
          <cell r="I671">
            <v>0</v>
          </cell>
        </row>
        <row r="672">
          <cell r="D672" t="str">
            <v>3/8" Hex Mini CIM -9</v>
          </cell>
          <cell r="E672">
            <v>1</v>
          </cell>
          <cell r="I672">
            <v>0</v>
          </cell>
        </row>
        <row r="673">
          <cell r="D673" t="str">
            <v>3/8" Hex Mini CIM -10</v>
          </cell>
          <cell r="E673">
            <v>1</v>
          </cell>
          <cell r="I673">
            <v>0</v>
          </cell>
        </row>
        <row r="674">
          <cell r="D674" t="str">
            <v>3/8" Hex Mini CIM 9</v>
          </cell>
          <cell r="E674">
            <v>4</v>
          </cell>
          <cell r="I674">
            <v>0</v>
          </cell>
        </row>
        <row r="675">
          <cell r="D675" t="str">
            <v>3/8" Hex Mini CIM 12</v>
          </cell>
          <cell r="E675">
            <v>3</v>
          </cell>
          <cell r="I675">
            <v>0</v>
          </cell>
        </row>
        <row r="676">
          <cell r="D676" t="str">
            <v>3/8" Hex Mini CIM 15</v>
          </cell>
          <cell r="E676">
            <v>1</v>
          </cell>
          <cell r="I676">
            <v>0</v>
          </cell>
        </row>
        <row r="677">
          <cell r="D677" t="str">
            <v>3/8" Hex Mini CIM 16</v>
          </cell>
          <cell r="E677">
            <v>1</v>
          </cell>
          <cell r="I677">
            <v>0</v>
          </cell>
        </row>
        <row r="678">
          <cell r="D678" t="str">
            <v>3/8" Hex Mini CIM 20</v>
          </cell>
          <cell r="E678">
            <v>1</v>
          </cell>
          <cell r="I678">
            <v>0</v>
          </cell>
        </row>
        <row r="679">
          <cell r="D679" t="str">
            <v>3/8" Hex Mini CIM 21</v>
          </cell>
          <cell r="E679">
            <v>1</v>
          </cell>
          <cell r="I679">
            <v>0</v>
          </cell>
        </row>
        <row r="680">
          <cell r="D680" t="str">
            <v>3/8" Hex Mini CIM 25</v>
          </cell>
          <cell r="E680">
            <v>1</v>
          </cell>
          <cell r="I680">
            <v>0</v>
          </cell>
        </row>
        <row r="681">
          <cell r="D681" t="str">
            <v>3/8" Hex Mini CIM 27</v>
          </cell>
          <cell r="E681">
            <v>1</v>
          </cell>
          <cell r="I681">
            <v>0</v>
          </cell>
        </row>
        <row r="682">
          <cell r="D682" t="str">
            <v>3/8" Hex Mini CIM 28</v>
          </cell>
          <cell r="E682">
            <v>1</v>
          </cell>
          <cell r="I682">
            <v>0</v>
          </cell>
        </row>
        <row r="683">
          <cell r="D683" t="str">
            <v>3/8" Hex Mini CIM 30</v>
          </cell>
          <cell r="E683">
            <v>1</v>
          </cell>
          <cell r="I683">
            <v>0</v>
          </cell>
        </row>
        <row r="684">
          <cell r="D684" t="str">
            <v>3/8" Hex Mini CIM 35</v>
          </cell>
          <cell r="E684">
            <v>1</v>
          </cell>
          <cell r="I684">
            <v>0</v>
          </cell>
        </row>
        <row r="685">
          <cell r="D685" t="str">
            <v>3/8" Hex Mini CIM 36</v>
          </cell>
          <cell r="E685">
            <v>1</v>
          </cell>
          <cell r="I685">
            <v>0</v>
          </cell>
        </row>
        <row r="686">
          <cell r="D686" t="str">
            <v>3/8" Hex Mini CIM 40</v>
          </cell>
          <cell r="E686">
            <v>0</v>
          </cell>
          <cell r="I686">
            <v>0</v>
          </cell>
        </row>
        <row r="687">
          <cell r="D687" t="str">
            <v>3/8" Hex Mini CIM 45</v>
          </cell>
          <cell r="E687">
            <v>0</v>
          </cell>
          <cell r="I687">
            <v>0</v>
          </cell>
        </row>
        <row r="688">
          <cell r="D688" t="str">
            <v>3/8" Hex Mini CIM 49</v>
          </cell>
          <cell r="E688">
            <v>0</v>
          </cell>
          <cell r="I688">
            <v>0</v>
          </cell>
        </row>
        <row r="689">
          <cell r="D689" t="str">
            <v>3/8" Hex Mini CIM 50</v>
          </cell>
          <cell r="E689">
            <v>0</v>
          </cell>
          <cell r="I689">
            <v>0</v>
          </cell>
        </row>
        <row r="690">
          <cell r="D690" t="str">
            <v>3/8" Hex Mini CIM 63</v>
          </cell>
          <cell r="E690">
            <v>0</v>
          </cell>
          <cell r="I690">
            <v>0</v>
          </cell>
        </row>
        <row r="691">
          <cell r="D691" t="str">
            <v>3/8" Hex Mini CIM 70</v>
          </cell>
          <cell r="E691">
            <v>0</v>
          </cell>
          <cell r="I691">
            <v>0</v>
          </cell>
        </row>
        <row r="692">
          <cell r="D692" t="str">
            <v>3/8" Hex Mini CIM 81</v>
          </cell>
          <cell r="E692">
            <v>0</v>
          </cell>
          <cell r="I692">
            <v>0</v>
          </cell>
        </row>
        <row r="693">
          <cell r="D693" t="str">
            <v>3/8" Hex Mini CIM 90</v>
          </cell>
          <cell r="E693">
            <v>0</v>
          </cell>
          <cell r="I693">
            <v>0</v>
          </cell>
        </row>
        <row r="694">
          <cell r="D694" t="str">
            <v>3/8" Hex Mini CIM 100</v>
          </cell>
          <cell r="E694">
            <v>0</v>
          </cell>
          <cell r="I694">
            <v>0</v>
          </cell>
        </row>
        <row r="695">
          <cell r="D695" t="str">
            <v>3/8" Hex CIM -3</v>
          </cell>
          <cell r="E695">
            <v>1</v>
          </cell>
          <cell r="I695">
            <v>0</v>
          </cell>
        </row>
        <row r="696">
          <cell r="D696" t="str">
            <v>3/8" Hex CIM -4</v>
          </cell>
          <cell r="E696">
            <v>1</v>
          </cell>
          <cell r="I696">
            <v>0</v>
          </cell>
        </row>
        <row r="697">
          <cell r="D697" t="str">
            <v>3/8" Hex CIM -5</v>
          </cell>
          <cell r="E697">
            <v>1</v>
          </cell>
          <cell r="I697">
            <v>0</v>
          </cell>
        </row>
        <row r="698">
          <cell r="D698" t="str">
            <v>3/8" Hex CIM -7</v>
          </cell>
          <cell r="E698">
            <v>1</v>
          </cell>
          <cell r="I698">
            <v>0</v>
          </cell>
        </row>
        <row r="699">
          <cell r="D699" t="str">
            <v>3/8" Hex CIM -9</v>
          </cell>
          <cell r="E699">
            <v>1</v>
          </cell>
          <cell r="I699">
            <v>0</v>
          </cell>
        </row>
        <row r="700">
          <cell r="D700" t="str">
            <v>3/8" Hex CIM -10</v>
          </cell>
          <cell r="E700">
            <v>1</v>
          </cell>
          <cell r="I700">
            <v>0</v>
          </cell>
        </row>
        <row r="701">
          <cell r="D701" t="str">
            <v>3/8" Hex CIM 9</v>
          </cell>
          <cell r="E701">
            <v>1</v>
          </cell>
          <cell r="I701">
            <v>0</v>
          </cell>
        </row>
        <row r="702">
          <cell r="D702" t="str">
            <v>3/8" Hex CIM 12</v>
          </cell>
          <cell r="E702">
            <v>1</v>
          </cell>
          <cell r="I702">
            <v>0</v>
          </cell>
        </row>
        <row r="703">
          <cell r="D703" t="str">
            <v>3/8" Hex CIM 15</v>
          </cell>
          <cell r="E703">
            <v>1</v>
          </cell>
          <cell r="I703">
            <v>0</v>
          </cell>
        </row>
        <row r="704">
          <cell r="D704" t="str">
            <v>3/8" Hex CIM 16</v>
          </cell>
          <cell r="E704">
            <v>1</v>
          </cell>
          <cell r="I704">
            <v>0</v>
          </cell>
        </row>
        <row r="705">
          <cell r="D705" t="str">
            <v>3/8" Hex CIM 20</v>
          </cell>
          <cell r="E705">
            <v>1</v>
          </cell>
          <cell r="I705">
            <v>0</v>
          </cell>
        </row>
        <row r="706">
          <cell r="D706" t="str">
            <v>3/8" Hex CIM 21</v>
          </cell>
          <cell r="E706">
            <v>1</v>
          </cell>
          <cell r="I706">
            <v>0</v>
          </cell>
        </row>
        <row r="707">
          <cell r="D707" t="str">
            <v>3/8" Hex CIM 25</v>
          </cell>
          <cell r="E707">
            <v>0</v>
          </cell>
          <cell r="I707">
            <v>0</v>
          </cell>
        </row>
        <row r="708">
          <cell r="D708" t="str">
            <v>3/8" Hex CIM 27</v>
          </cell>
          <cell r="E708">
            <v>0</v>
          </cell>
          <cell r="I708">
            <v>0</v>
          </cell>
        </row>
        <row r="709">
          <cell r="D709" t="str">
            <v>3/8" Hex CIM 28</v>
          </cell>
          <cell r="E709">
            <v>0</v>
          </cell>
          <cell r="I709">
            <v>0</v>
          </cell>
        </row>
        <row r="710">
          <cell r="D710" t="str">
            <v>3/8" Hex CIM 30</v>
          </cell>
          <cell r="E710">
            <v>0</v>
          </cell>
          <cell r="I710">
            <v>0</v>
          </cell>
        </row>
        <row r="711">
          <cell r="D711" t="str">
            <v>3/8" Hex CIM 35</v>
          </cell>
          <cell r="E711">
            <v>0</v>
          </cell>
          <cell r="I711">
            <v>0</v>
          </cell>
        </row>
        <row r="712">
          <cell r="D712" t="str">
            <v>3/8" Hex CIM 36</v>
          </cell>
          <cell r="E712">
            <v>0</v>
          </cell>
          <cell r="I712">
            <v>0</v>
          </cell>
        </row>
        <row r="713">
          <cell r="D713" t="str">
            <v>3/8" Hex CIM 40</v>
          </cell>
          <cell r="E713">
            <v>0</v>
          </cell>
          <cell r="I713">
            <v>0</v>
          </cell>
        </row>
        <row r="714">
          <cell r="D714" t="str">
            <v>3/8" Hex CIM 45</v>
          </cell>
          <cell r="E714">
            <v>0</v>
          </cell>
          <cell r="I714">
            <v>0</v>
          </cell>
        </row>
        <row r="715">
          <cell r="D715" t="str">
            <v>3/8" Hex CIM 49</v>
          </cell>
          <cell r="E715">
            <v>0</v>
          </cell>
          <cell r="I715">
            <v>0</v>
          </cell>
        </row>
        <row r="716">
          <cell r="D716" t="str">
            <v>3/8" Hex CIM 50</v>
          </cell>
          <cell r="E716">
            <v>0</v>
          </cell>
          <cell r="I716">
            <v>0</v>
          </cell>
        </row>
        <row r="717">
          <cell r="D717" t="str">
            <v>3/8" Hex CIM 63</v>
          </cell>
          <cell r="E717">
            <v>0</v>
          </cell>
          <cell r="I717">
            <v>0</v>
          </cell>
        </row>
        <row r="718">
          <cell r="D718" t="str">
            <v>3/8" Hex CIM 70</v>
          </cell>
          <cell r="E718">
            <v>0</v>
          </cell>
          <cell r="I718">
            <v>0</v>
          </cell>
        </row>
        <row r="719">
          <cell r="D719" t="str">
            <v>3/8" Hex CIM 81</v>
          </cell>
          <cell r="E719">
            <v>0</v>
          </cell>
          <cell r="I719">
            <v>0</v>
          </cell>
        </row>
        <row r="720">
          <cell r="D720" t="str">
            <v>3/8" Hex CIM 90</v>
          </cell>
          <cell r="E720">
            <v>0</v>
          </cell>
          <cell r="I720">
            <v>0</v>
          </cell>
        </row>
        <row r="721">
          <cell r="D721" t="str">
            <v>3/8" Hex CIM 100</v>
          </cell>
          <cell r="E721">
            <v>0</v>
          </cell>
          <cell r="I721">
            <v>0</v>
          </cell>
        </row>
        <row r="722">
          <cell r="D722" t="str">
            <v>3/8" Hex NEO -3</v>
          </cell>
          <cell r="E722">
            <v>1</v>
          </cell>
          <cell r="I722">
            <v>0</v>
          </cell>
        </row>
        <row r="723">
          <cell r="D723" t="str">
            <v>3/8" Hex NEO -4</v>
          </cell>
          <cell r="E723">
            <v>1</v>
          </cell>
          <cell r="I723">
            <v>0</v>
          </cell>
        </row>
        <row r="724">
          <cell r="D724" t="str">
            <v>3/8" Hex NEO -5</v>
          </cell>
          <cell r="E724">
            <v>1</v>
          </cell>
          <cell r="I724">
            <v>0</v>
          </cell>
        </row>
        <row r="725">
          <cell r="D725" t="str">
            <v>3/8" Hex NEO -7</v>
          </cell>
          <cell r="E725">
            <v>1</v>
          </cell>
          <cell r="I725">
            <v>0</v>
          </cell>
        </row>
        <row r="726">
          <cell r="D726" t="str">
            <v>3/8" Hex NEO -9</v>
          </cell>
          <cell r="E726">
            <v>1</v>
          </cell>
          <cell r="I726">
            <v>0</v>
          </cell>
        </row>
        <row r="727">
          <cell r="D727" t="str">
            <v>3/8" Hex NEO -10</v>
          </cell>
          <cell r="E727">
            <v>1</v>
          </cell>
          <cell r="I727">
            <v>0</v>
          </cell>
        </row>
        <row r="728">
          <cell r="D728" t="str">
            <v>3/8" Hex NEO 9</v>
          </cell>
          <cell r="E728">
            <v>1</v>
          </cell>
          <cell r="I728">
            <v>0</v>
          </cell>
        </row>
        <row r="729">
          <cell r="D729" t="str">
            <v>3/8" Hex NEO 12</v>
          </cell>
          <cell r="E729">
            <v>1</v>
          </cell>
          <cell r="I729">
            <v>0</v>
          </cell>
        </row>
        <row r="730">
          <cell r="D730" t="str">
            <v>3/8" Hex NEO 15</v>
          </cell>
          <cell r="E730">
            <v>1</v>
          </cell>
          <cell r="I730">
            <v>0</v>
          </cell>
        </row>
        <row r="731">
          <cell r="D731" t="str">
            <v>3/8" Hex NEO 16</v>
          </cell>
          <cell r="E731">
            <v>1</v>
          </cell>
          <cell r="I731">
            <v>0</v>
          </cell>
        </row>
        <row r="732">
          <cell r="D732" t="str">
            <v>3/8" Hex NEO 20</v>
          </cell>
          <cell r="E732">
            <v>0</v>
          </cell>
          <cell r="I732">
            <v>0</v>
          </cell>
        </row>
        <row r="733">
          <cell r="D733" t="str">
            <v>3/8" Hex NEO 21</v>
          </cell>
          <cell r="E733">
            <v>0</v>
          </cell>
          <cell r="I733">
            <v>0</v>
          </cell>
        </row>
        <row r="734">
          <cell r="D734" t="str">
            <v>3/8" Hex NEO 25</v>
          </cell>
          <cell r="E734">
            <v>0</v>
          </cell>
          <cell r="I734">
            <v>0</v>
          </cell>
        </row>
        <row r="735">
          <cell r="D735" t="str">
            <v>3/8" Hex NEO 27</v>
          </cell>
          <cell r="E735">
            <v>0</v>
          </cell>
          <cell r="I735">
            <v>0</v>
          </cell>
        </row>
        <row r="736">
          <cell r="D736" t="str">
            <v>3/8" Hex NEO 28</v>
          </cell>
          <cell r="E736">
            <v>0</v>
          </cell>
          <cell r="I736">
            <v>0</v>
          </cell>
        </row>
        <row r="737">
          <cell r="D737" t="str">
            <v>3/8" Hex NEO 30</v>
          </cell>
          <cell r="E737">
            <v>0</v>
          </cell>
          <cell r="I737">
            <v>0</v>
          </cell>
        </row>
        <row r="738">
          <cell r="D738" t="str">
            <v>3/8" Hex NEO 35</v>
          </cell>
          <cell r="E738">
            <v>0</v>
          </cell>
          <cell r="I738">
            <v>0</v>
          </cell>
        </row>
        <row r="739">
          <cell r="D739" t="str">
            <v>3/8" Hex NEO 36</v>
          </cell>
          <cell r="E739">
            <v>0</v>
          </cell>
          <cell r="I739">
            <v>0</v>
          </cell>
        </row>
        <row r="740">
          <cell r="D740" t="str">
            <v>3/8" Hex NEO 40</v>
          </cell>
          <cell r="E740">
            <v>0</v>
          </cell>
          <cell r="I740">
            <v>0</v>
          </cell>
        </row>
        <row r="741">
          <cell r="D741" t="str">
            <v>3/8" Hex NEO 45</v>
          </cell>
          <cell r="E741">
            <v>0</v>
          </cell>
          <cell r="I741">
            <v>0</v>
          </cell>
        </row>
        <row r="742">
          <cell r="D742" t="str">
            <v>3/8" Hex NEO 49</v>
          </cell>
          <cell r="E742">
            <v>0</v>
          </cell>
          <cell r="I742">
            <v>0</v>
          </cell>
        </row>
        <row r="743">
          <cell r="D743" t="str">
            <v>3/8" Hex NEO 50</v>
          </cell>
          <cell r="E743">
            <v>0</v>
          </cell>
          <cell r="I743">
            <v>0</v>
          </cell>
        </row>
        <row r="744">
          <cell r="D744" t="str">
            <v>3/8" Hex NEO 63</v>
          </cell>
          <cell r="E744">
            <v>0</v>
          </cell>
          <cell r="I744">
            <v>0</v>
          </cell>
        </row>
        <row r="745">
          <cell r="D745" t="str">
            <v>3/8" Hex NEO 70</v>
          </cell>
          <cell r="E745">
            <v>0</v>
          </cell>
          <cell r="I745">
            <v>0</v>
          </cell>
        </row>
        <row r="746">
          <cell r="D746" t="str">
            <v>3/8" Hex NEO 81</v>
          </cell>
          <cell r="E746">
            <v>0</v>
          </cell>
          <cell r="I746">
            <v>0</v>
          </cell>
        </row>
        <row r="747">
          <cell r="D747" t="str">
            <v>3/8" Hex NEO 90</v>
          </cell>
          <cell r="E747">
            <v>0</v>
          </cell>
          <cell r="I747">
            <v>0</v>
          </cell>
        </row>
        <row r="748">
          <cell r="D748" t="str">
            <v>3/8" Hex NEO 100</v>
          </cell>
          <cell r="E748">
            <v>0</v>
          </cell>
          <cell r="I748">
            <v>0</v>
          </cell>
        </row>
        <row r="749">
          <cell r="D749" t="str">
            <v>3/8" Hex Falcon 500 -3</v>
          </cell>
          <cell r="E749">
            <v>1</v>
          </cell>
          <cell r="I749">
            <v>0</v>
          </cell>
        </row>
        <row r="750">
          <cell r="D750" t="str">
            <v>3/8" Hex Falcon 500 -4</v>
          </cell>
          <cell r="E750">
            <v>1</v>
          </cell>
          <cell r="I750">
            <v>0</v>
          </cell>
        </row>
        <row r="751">
          <cell r="D751" t="str">
            <v>3/8" Hex Falcon 500 -5</v>
          </cell>
          <cell r="E751">
            <v>1</v>
          </cell>
          <cell r="I751">
            <v>0</v>
          </cell>
        </row>
        <row r="752">
          <cell r="D752" t="str">
            <v>3/8" Hex Falcon 500 -7</v>
          </cell>
          <cell r="E752">
            <v>1</v>
          </cell>
          <cell r="I752">
            <v>0</v>
          </cell>
        </row>
        <row r="753">
          <cell r="D753" t="str">
            <v>3/8" Hex Falcon 500 -9</v>
          </cell>
          <cell r="E753">
            <v>1</v>
          </cell>
          <cell r="I753">
            <v>0</v>
          </cell>
        </row>
        <row r="754">
          <cell r="D754" t="str">
            <v>3/8" Hex Falcon 500 -10</v>
          </cell>
          <cell r="E754">
            <v>1</v>
          </cell>
          <cell r="I754">
            <v>0</v>
          </cell>
        </row>
        <row r="755">
          <cell r="D755" t="str">
            <v>3/8" Hex Falcon 500 9</v>
          </cell>
          <cell r="E755">
            <v>1</v>
          </cell>
          <cell r="I755">
            <v>0</v>
          </cell>
        </row>
        <row r="756">
          <cell r="D756" t="str">
            <v>3/8" Hex Falcon 500 12</v>
          </cell>
          <cell r="E756">
            <v>1</v>
          </cell>
          <cell r="I756">
            <v>0</v>
          </cell>
        </row>
        <row r="757">
          <cell r="D757" t="str">
            <v>3/8" Hex Falcon 500 15</v>
          </cell>
          <cell r="E757">
            <v>0</v>
          </cell>
          <cell r="I757">
            <v>0</v>
          </cell>
        </row>
        <row r="758">
          <cell r="D758" t="str">
            <v>3/8" Hex Falcon 500 16</v>
          </cell>
          <cell r="E758">
            <v>0</v>
          </cell>
          <cell r="I758">
            <v>0</v>
          </cell>
        </row>
        <row r="759">
          <cell r="D759" t="str">
            <v>3/8" Hex Falcon 500 20</v>
          </cell>
          <cell r="E759">
            <v>0</v>
          </cell>
          <cell r="I759">
            <v>0</v>
          </cell>
        </row>
        <row r="760">
          <cell r="D760" t="str">
            <v>3/8" Hex Falcon 500 21</v>
          </cell>
          <cell r="E760">
            <v>0</v>
          </cell>
          <cell r="I760">
            <v>0</v>
          </cell>
        </row>
        <row r="761">
          <cell r="D761" t="str">
            <v>3/8" Hex Falcon 500 25</v>
          </cell>
          <cell r="E761">
            <v>0</v>
          </cell>
          <cell r="I761">
            <v>0</v>
          </cell>
        </row>
        <row r="762">
          <cell r="D762" t="str">
            <v>3/8" Hex Falcon 500 27</v>
          </cell>
          <cell r="E762">
            <v>0</v>
          </cell>
          <cell r="I762">
            <v>0</v>
          </cell>
        </row>
        <row r="763">
          <cell r="D763" t="str">
            <v>3/8" Hex Falcon 500 28</v>
          </cell>
          <cell r="E763">
            <v>0</v>
          </cell>
          <cell r="I763">
            <v>0</v>
          </cell>
        </row>
        <row r="764">
          <cell r="D764" t="str">
            <v>3/8" Hex Falcon 500 30</v>
          </cell>
          <cell r="E764">
            <v>0</v>
          </cell>
          <cell r="I764">
            <v>0</v>
          </cell>
        </row>
        <row r="765">
          <cell r="D765" t="str">
            <v>3/8" Hex Falcon 500 35</v>
          </cell>
          <cell r="E765">
            <v>0</v>
          </cell>
          <cell r="I765">
            <v>0</v>
          </cell>
        </row>
        <row r="766">
          <cell r="D766" t="str">
            <v>3/8" Hex Falcon 500 36</v>
          </cell>
          <cell r="E766">
            <v>0</v>
          </cell>
          <cell r="I766">
            <v>0</v>
          </cell>
        </row>
        <row r="767">
          <cell r="D767" t="str">
            <v>3/8" Hex Falcon 500 40</v>
          </cell>
          <cell r="E767">
            <v>0</v>
          </cell>
          <cell r="I767">
            <v>0</v>
          </cell>
        </row>
        <row r="768">
          <cell r="D768" t="str">
            <v>3/8" Hex Falcon 500 45</v>
          </cell>
          <cell r="E768">
            <v>0</v>
          </cell>
          <cell r="I768">
            <v>0</v>
          </cell>
        </row>
        <row r="769">
          <cell r="D769" t="str">
            <v>3/8" Hex Falcon 500 49</v>
          </cell>
          <cell r="E769">
            <v>0</v>
          </cell>
          <cell r="I769">
            <v>0</v>
          </cell>
        </row>
        <row r="770">
          <cell r="D770" t="str">
            <v>3/8" Hex Falcon 500 50</v>
          </cell>
          <cell r="E770">
            <v>0</v>
          </cell>
          <cell r="I770">
            <v>0</v>
          </cell>
        </row>
        <row r="771">
          <cell r="D771" t="str">
            <v>3/8" Hex Falcon 500 63</v>
          </cell>
          <cell r="E771">
            <v>0</v>
          </cell>
          <cell r="I771">
            <v>0</v>
          </cell>
        </row>
        <row r="772">
          <cell r="D772" t="str">
            <v>3/8" Hex Falcon 500 70</v>
          </cell>
          <cell r="E772">
            <v>0</v>
          </cell>
          <cell r="I772">
            <v>0</v>
          </cell>
        </row>
        <row r="773">
          <cell r="D773" t="str">
            <v>3/8" Hex Falcon 500 81</v>
          </cell>
          <cell r="E773">
            <v>0</v>
          </cell>
          <cell r="I773">
            <v>0</v>
          </cell>
        </row>
        <row r="774">
          <cell r="D774" t="str">
            <v>3/8" Hex Falcon 500 90</v>
          </cell>
          <cell r="E774">
            <v>0</v>
          </cell>
          <cell r="I774">
            <v>0</v>
          </cell>
        </row>
        <row r="775">
          <cell r="D775" t="str">
            <v>3/8" Hex Falcon 500 100</v>
          </cell>
          <cell r="E775">
            <v>0</v>
          </cell>
          <cell r="I775">
            <v>0</v>
          </cell>
        </row>
        <row r="776">
          <cell r="D776" t="str">
            <v>CIM Motor AM 9015 -3</v>
          </cell>
          <cell r="E776">
            <v>1</v>
          </cell>
          <cell r="I776">
            <v>1</v>
          </cell>
        </row>
        <row r="777">
          <cell r="D777" t="str">
            <v>CIM Motor AM 9015 -4</v>
          </cell>
          <cell r="E777">
            <v>1</v>
          </cell>
          <cell r="I777">
            <v>1</v>
          </cell>
        </row>
        <row r="778">
          <cell r="D778" t="str">
            <v>CIM Motor AM 9015 -5</v>
          </cell>
          <cell r="E778">
            <v>1</v>
          </cell>
          <cell r="I778">
            <v>1</v>
          </cell>
        </row>
        <row r="779">
          <cell r="D779" t="str">
            <v>CIM Motor AM 9015 -7</v>
          </cell>
          <cell r="E779">
            <v>1</v>
          </cell>
          <cell r="I779">
            <v>1</v>
          </cell>
        </row>
        <row r="780">
          <cell r="D780" t="str">
            <v>CIM Motor AM 9015 -9</v>
          </cell>
          <cell r="E780">
            <v>1</v>
          </cell>
          <cell r="I780">
            <v>1</v>
          </cell>
        </row>
        <row r="781">
          <cell r="D781" t="str">
            <v>CIM Motor AM 9015 -10</v>
          </cell>
          <cell r="E781">
            <v>1</v>
          </cell>
          <cell r="I781">
            <v>1</v>
          </cell>
        </row>
        <row r="782">
          <cell r="D782" t="str">
            <v>CIM Motor AM 9015 9</v>
          </cell>
          <cell r="E782">
            <v>7</v>
          </cell>
          <cell r="I782">
            <v>7</v>
          </cell>
        </row>
        <row r="783">
          <cell r="D783" t="str">
            <v>CIM Motor AM 9015 12</v>
          </cell>
          <cell r="E783">
            <v>5</v>
          </cell>
          <cell r="I783">
            <v>5</v>
          </cell>
        </row>
        <row r="784">
          <cell r="D784" t="str">
            <v>CIM Motor AM 9015 15</v>
          </cell>
          <cell r="E784">
            <v>4</v>
          </cell>
          <cell r="I784">
            <v>5</v>
          </cell>
        </row>
        <row r="785">
          <cell r="D785" t="str">
            <v>CIM Motor AM 9015 16</v>
          </cell>
          <cell r="E785">
            <v>4</v>
          </cell>
          <cell r="I785">
            <v>5</v>
          </cell>
        </row>
        <row r="786">
          <cell r="D786" t="str">
            <v>CIM Motor AM 9015 20</v>
          </cell>
          <cell r="E786">
            <v>3</v>
          </cell>
          <cell r="I786">
            <v>4</v>
          </cell>
        </row>
        <row r="787">
          <cell r="D787" t="str">
            <v>CIM Motor AM 9015 21</v>
          </cell>
          <cell r="E787">
            <v>3</v>
          </cell>
          <cell r="I787">
            <v>3</v>
          </cell>
        </row>
        <row r="788">
          <cell r="D788" t="str">
            <v>CIM Motor AM 9015 25</v>
          </cell>
          <cell r="E788">
            <v>1</v>
          </cell>
          <cell r="I788">
            <v>3</v>
          </cell>
        </row>
        <row r="789">
          <cell r="D789" t="str">
            <v>CIM Motor AM 9015 27</v>
          </cell>
          <cell r="E789">
            <v>1</v>
          </cell>
          <cell r="I789">
            <v>1</v>
          </cell>
        </row>
        <row r="790">
          <cell r="D790" t="str">
            <v>CIM Motor AM 9015 28</v>
          </cell>
          <cell r="E790">
            <v>1</v>
          </cell>
          <cell r="I790">
            <v>1</v>
          </cell>
        </row>
        <row r="791">
          <cell r="D791" t="str">
            <v>CIM Motor AM 9015 30</v>
          </cell>
          <cell r="E791">
            <v>1</v>
          </cell>
          <cell r="I791">
            <v>1</v>
          </cell>
        </row>
        <row r="792">
          <cell r="D792" t="str">
            <v>CIM Motor AM 9015 35</v>
          </cell>
          <cell r="E792">
            <v>1</v>
          </cell>
          <cell r="I792">
            <v>1</v>
          </cell>
        </row>
        <row r="793">
          <cell r="D793" t="str">
            <v>CIM Motor AM 9015 36</v>
          </cell>
          <cell r="E793">
            <v>1</v>
          </cell>
          <cell r="I793">
            <v>1</v>
          </cell>
        </row>
        <row r="794">
          <cell r="D794" t="str">
            <v>CIM Motor AM 9015 40</v>
          </cell>
          <cell r="E794">
            <v>1</v>
          </cell>
          <cell r="I794">
            <v>1</v>
          </cell>
        </row>
        <row r="795">
          <cell r="D795" t="str">
            <v>CIM Motor AM 9015 45</v>
          </cell>
          <cell r="E795">
            <v>1</v>
          </cell>
          <cell r="I795">
            <v>1</v>
          </cell>
        </row>
        <row r="796">
          <cell r="D796" t="str">
            <v>CIM Motor AM 9015 49</v>
          </cell>
          <cell r="E796">
            <v>1</v>
          </cell>
          <cell r="I796">
            <v>1</v>
          </cell>
        </row>
        <row r="797">
          <cell r="D797" t="str">
            <v>CIM Motor AM 9015 50</v>
          </cell>
          <cell r="E797">
            <v>1</v>
          </cell>
          <cell r="I797">
            <v>1</v>
          </cell>
        </row>
        <row r="798">
          <cell r="D798" t="str">
            <v>CIM Motor AM 9015 63</v>
          </cell>
          <cell r="E798">
            <v>1</v>
          </cell>
          <cell r="I798">
            <v>1</v>
          </cell>
        </row>
        <row r="799">
          <cell r="D799" t="str">
            <v>CIM Motor AM 9015 70</v>
          </cell>
          <cell r="E799">
            <v>0</v>
          </cell>
          <cell r="I799">
            <v>1</v>
          </cell>
        </row>
        <row r="800">
          <cell r="D800" t="str">
            <v>CIM Motor AM 9015 81</v>
          </cell>
          <cell r="E800">
            <v>0</v>
          </cell>
          <cell r="I800">
            <v>0</v>
          </cell>
        </row>
        <row r="801">
          <cell r="D801" t="str">
            <v>CIM Motor AM 9015 90</v>
          </cell>
          <cell r="E801">
            <v>0</v>
          </cell>
          <cell r="I801">
            <v>0</v>
          </cell>
        </row>
        <row r="802">
          <cell r="D802" t="str">
            <v>CIM Motor AM 9015 100</v>
          </cell>
          <cell r="E802">
            <v>0</v>
          </cell>
          <cell r="I802">
            <v>0</v>
          </cell>
        </row>
        <row r="803">
          <cell r="D803" t="str">
            <v>CIM Motor BB RS-550 -3</v>
          </cell>
          <cell r="E803">
            <v>1</v>
          </cell>
          <cell r="F803">
            <v>1</v>
          </cell>
          <cell r="G803">
            <v>0</v>
          </cell>
          <cell r="H803">
            <v>1</v>
          </cell>
          <cell r="I803">
            <v>1</v>
          </cell>
        </row>
        <row r="804">
          <cell r="D804" t="str">
            <v>CIM Motor BB RS-550 -4</v>
          </cell>
          <cell r="E804">
            <v>1</v>
          </cell>
          <cell r="F804">
            <v>1</v>
          </cell>
          <cell r="G804">
            <v>0</v>
          </cell>
          <cell r="H804">
            <v>0</v>
          </cell>
          <cell r="I804">
            <v>1</v>
          </cell>
        </row>
        <row r="805">
          <cell r="D805" t="str">
            <v>CIM Motor BB RS-550 -5</v>
          </cell>
          <cell r="E805">
            <v>1</v>
          </cell>
          <cell r="F805">
            <v>1</v>
          </cell>
          <cell r="G805">
            <v>0</v>
          </cell>
          <cell r="H805">
            <v>0</v>
          </cell>
          <cell r="I805">
            <v>1</v>
          </cell>
        </row>
        <row r="806">
          <cell r="D806" t="str">
            <v>CIM Motor BB RS-550 -7</v>
          </cell>
          <cell r="E806">
            <v>1</v>
          </cell>
          <cell r="F806">
            <v>1</v>
          </cell>
          <cell r="G806">
            <v>0</v>
          </cell>
          <cell r="H806">
            <v>0</v>
          </cell>
          <cell r="I806">
            <v>1</v>
          </cell>
        </row>
        <row r="807">
          <cell r="D807" t="str">
            <v>CIM Motor BB RS-550 -9</v>
          </cell>
          <cell r="E807">
            <v>1</v>
          </cell>
          <cell r="F807">
            <v>1</v>
          </cell>
          <cell r="G807">
            <v>0</v>
          </cell>
          <cell r="H807">
            <v>0</v>
          </cell>
          <cell r="I807">
            <v>1</v>
          </cell>
        </row>
        <row r="808">
          <cell r="D808" t="str">
            <v>CIM Motor BB RS-550 -10</v>
          </cell>
          <cell r="E808">
            <v>1</v>
          </cell>
          <cell r="F808">
            <v>1</v>
          </cell>
          <cell r="G808">
            <v>0</v>
          </cell>
          <cell r="H808">
            <v>0</v>
          </cell>
          <cell r="I808">
            <v>1</v>
          </cell>
        </row>
        <row r="809">
          <cell r="D809" t="str">
            <v>CIM Motor BB RS-550 9</v>
          </cell>
          <cell r="E809">
            <v>5</v>
          </cell>
          <cell r="F809">
            <v>3</v>
          </cell>
          <cell r="G809">
            <v>0</v>
          </cell>
          <cell r="H809">
            <v>0</v>
          </cell>
          <cell r="I809">
            <v>7</v>
          </cell>
        </row>
        <row r="810">
          <cell r="D810" t="str">
            <v>CIM Motor BB RS-550 12</v>
          </cell>
          <cell r="E810">
            <v>4</v>
          </cell>
          <cell r="F810">
            <v>1</v>
          </cell>
          <cell r="G810">
            <v>0</v>
          </cell>
          <cell r="H810">
            <v>0</v>
          </cell>
          <cell r="I810">
            <v>5</v>
          </cell>
        </row>
        <row r="811">
          <cell r="D811" t="str">
            <v>CIM Motor BB RS-550 15</v>
          </cell>
          <cell r="E811">
            <v>3</v>
          </cell>
          <cell r="F811">
            <v>1</v>
          </cell>
          <cell r="G811">
            <v>0</v>
          </cell>
          <cell r="H811">
            <v>0</v>
          </cell>
          <cell r="I811">
            <v>5</v>
          </cell>
        </row>
        <row r="812">
          <cell r="D812" t="str">
            <v>CIM Motor BB RS-550 16</v>
          </cell>
          <cell r="E812">
            <v>3</v>
          </cell>
          <cell r="F812">
            <v>1</v>
          </cell>
          <cell r="G812">
            <v>0</v>
          </cell>
          <cell r="H812">
            <v>0</v>
          </cell>
          <cell r="I812">
            <v>5</v>
          </cell>
        </row>
        <row r="813">
          <cell r="D813" t="str">
            <v>CIM Motor BB RS-550 20</v>
          </cell>
          <cell r="E813">
            <v>1</v>
          </cell>
          <cell r="F813">
            <v>1</v>
          </cell>
          <cell r="G813">
            <v>0</v>
          </cell>
          <cell r="H813">
            <v>0</v>
          </cell>
          <cell r="I813">
            <v>4</v>
          </cell>
        </row>
        <row r="814">
          <cell r="D814" t="str">
            <v>CIM Motor BB RS-550 21</v>
          </cell>
          <cell r="E814">
            <v>1</v>
          </cell>
          <cell r="F814">
            <v>1</v>
          </cell>
          <cell r="G814">
            <v>0</v>
          </cell>
          <cell r="H814">
            <v>0</v>
          </cell>
          <cell r="I814">
            <v>3</v>
          </cell>
        </row>
        <row r="815">
          <cell r="D815" t="str">
            <v>CIM Motor BB RS-550 25</v>
          </cell>
          <cell r="E815">
            <v>1</v>
          </cell>
          <cell r="F815">
            <v>1</v>
          </cell>
          <cell r="G815">
            <v>0</v>
          </cell>
          <cell r="H815">
            <v>0</v>
          </cell>
          <cell r="I815">
            <v>3</v>
          </cell>
        </row>
        <row r="816">
          <cell r="D816" t="str">
            <v>CIM Motor BB RS-550 27</v>
          </cell>
          <cell r="E816">
            <v>1</v>
          </cell>
          <cell r="F816">
            <v>1</v>
          </cell>
          <cell r="G816">
            <v>0</v>
          </cell>
          <cell r="H816">
            <v>0</v>
          </cell>
          <cell r="I816">
            <v>1</v>
          </cell>
        </row>
        <row r="817">
          <cell r="D817" t="str">
            <v>CIM Motor BB RS-550 28</v>
          </cell>
          <cell r="E817">
            <v>1</v>
          </cell>
          <cell r="F817">
            <v>1</v>
          </cell>
          <cell r="G817">
            <v>0</v>
          </cell>
          <cell r="H817">
            <v>0</v>
          </cell>
          <cell r="I817">
            <v>1</v>
          </cell>
        </row>
        <row r="818">
          <cell r="D818" t="str">
            <v>CIM Motor BB RS-550 30</v>
          </cell>
          <cell r="E818">
            <v>1</v>
          </cell>
          <cell r="F818">
            <v>0</v>
          </cell>
          <cell r="G818">
            <v>0</v>
          </cell>
          <cell r="H818">
            <v>0</v>
          </cell>
          <cell r="I818">
            <v>1</v>
          </cell>
        </row>
        <row r="819">
          <cell r="D819" t="str">
            <v>CIM Motor BB RS-550 35</v>
          </cell>
          <cell r="E819">
            <v>1</v>
          </cell>
          <cell r="F819">
            <v>0</v>
          </cell>
          <cell r="G819">
            <v>0</v>
          </cell>
          <cell r="H819">
            <v>0</v>
          </cell>
          <cell r="I819">
            <v>1</v>
          </cell>
        </row>
        <row r="820">
          <cell r="D820" t="str">
            <v>CIM Motor BB RS-550 36</v>
          </cell>
          <cell r="E820">
            <v>1</v>
          </cell>
          <cell r="F820">
            <v>0</v>
          </cell>
          <cell r="G820">
            <v>0</v>
          </cell>
          <cell r="H820">
            <v>0</v>
          </cell>
          <cell r="I820">
            <v>1</v>
          </cell>
        </row>
        <row r="821">
          <cell r="D821" t="str">
            <v>CIM Motor BB RS-550 40</v>
          </cell>
          <cell r="E821">
            <v>1</v>
          </cell>
          <cell r="F821">
            <v>0</v>
          </cell>
          <cell r="G821">
            <v>0</v>
          </cell>
          <cell r="H821">
            <v>0</v>
          </cell>
          <cell r="I821">
            <v>1</v>
          </cell>
        </row>
        <row r="822">
          <cell r="D822" t="str">
            <v>CIM Motor BB RS-550 45</v>
          </cell>
          <cell r="E822">
            <v>1</v>
          </cell>
          <cell r="F822">
            <v>0</v>
          </cell>
          <cell r="G822">
            <v>0</v>
          </cell>
          <cell r="H822">
            <v>0</v>
          </cell>
          <cell r="I822">
            <v>1</v>
          </cell>
        </row>
        <row r="823">
          <cell r="D823" t="str">
            <v>CIM Motor BB RS-550 49</v>
          </cell>
          <cell r="E823">
            <v>1</v>
          </cell>
          <cell r="F823">
            <v>0</v>
          </cell>
          <cell r="G823">
            <v>0</v>
          </cell>
          <cell r="H823">
            <v>0</v>
          </cell>
          <cell r="I823">
            <v>1</v>
          </cell>
        </row>
        <row r="824">
          <cell r="D824" t="str">
            <v>CIM Motor BB RS-550 50</v>
          </cell>
          <cell r="E824">
            <v>1</v>
          </cell>
          <cell r="F824">
            <v>0</v>
          </cell>
          <cell r="G824">
            <v>0</v>
          </cell>
          <cell r="H824">
            <v>0</v>
          </cell>
          <cell r="I824">
            <v>1</v>
          </cell>
        </row>
        <row r="825">
          <cell r="D825" t="str">
            <v>CIM Motor BB RS-550 63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1</v>
          </cell>
        </row>
        <row r="826">
          <cell r="D826" t="str">
            <v>CIM Motor BB RS-550 70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1</v>
          </cell>
        </row>
        <row r="827">
          <cell r="D827" t="str">
            <v>CIM Motor BB RS-550 81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</row>
        <row r="828">
          <cell r="D828" t="str">
            <v>CIM Motor BB RS-550 90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</row>
        <row r="829">
          <cell r="D829" t="str">
            <v>CIM Motor BB RS-550 100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</row>
        <row r="830">
          <cell r="D830" t="str">
            <v>CIM Motor BB RS-775 -3</v>
          </cell>
          <cell r="E830">
            <v>1</v>
          </cell>
          <cell r="F830">
            <v>1</v>
          </cell>
          <cell r="G830">
            <v>0</v>
          </cell>
          <cell r="H830">
            <v>0</v>
          </cell>
          <cell r="I830">
            <v>1</v>
          </cell>
        </row>
        <row r="831">
          <cell r="D831" t="str">
            <v>CIM Motor BB RS-775 -4</v>
          </cell>
          <cell r="E831">
            <v>1</v>
          </cell>
          <cell r="F831">
            <v>1</v>
          </cell>
          <cell r="G831">
            <v>0</v>
          </cell>
          <cell r="H831">
            <v>0</v>
          </cell>
          <cell r="I831">
            <v>1</v>
          </cell>
        </row>
        <row r="832">
          <cell r="D832" t="str">
            <v>CIM Motor BB RS-775 -5</v>
          </cell>
          <cell r="E832">
            <v>1</v>
          </cell>
          <cell r="F832">
            <v>1</v>
          </cell>
          <cell r="G832">
            <v>0</v>
          </cell>
          <cell r="H832">
            <v>0</v>
          </cell>
          <cell r="I832">
            <v>1</v>
          </cell>
        </row>
        <row r="833">
          <cell r="D833" t="str">
            <v>CIM Motor BB RS-775 -7</v>
          </cell>
          <cell r="E833">
            <v>1</v>
          </cell>
          <cell r="F833">
            <v>1</v>
          </cell>
          <cell r="G833">
            <v>0</v>
          </cell>
          <cell r="H833">
            <v>0</v>
          </cell>
          <cell r="I833">
            <v>1</v>
          </cell>
        </row>
        <row r="834">
          <cell r="D834" t="str">
            <v>CIM Motor BB RS-775 -9</v>
          </cell>
          <cell r="E834">
            <v>1</v>
          </cell>
          <cell r="F834">
            <v>1</v>
          </cell>
          <cell r="G834">
            <v>0</v>
          </cell>
          <cell r="H834">
            <v>0</v>
          </cell>
          <cell r="I834">
            <v>1</v>
          </cell>
        </row>
        <row r="835">
          <cell r="D835" t="str">
            <v>CIM Motor BB RS-775 -10</v>
          </cell>
          <cell r="E835">
            <v>1</v>
          </cell>
          <cell r="F835">
            <v>1</v>
          </cell>
          <cell r="G835">
            <v>0</v>
          </cell>
          <cell r="H835">
            <v>0</v>
          </cell>
          <cell r="I835">
            <v>1</v>
          </cell>
        </row>
        <row r="836">
          <cell r="D836" t="str">
            <v>CIM Motor BB RS-775 9</v>
          </cell>
          <cell r="E836">
            <v>4</v>
          </cell>
          <cell r="F836">
            <v>1</v>
          </cell>
          <cell r="G836">
            <v>0</v>
          </cell>
          <cell r="H836">
            <v>0</v>
          </cell>
          <cell r="I836">
            <v>7</v>
          </cell>
        </row>
        <row r="837">
          <cell r="D837" t="str">
            <v>CIM Motor BB RS-775 12</v>
          </cell>
          <cell r="E837">
            <v>3</v>
          </cell>
          <cell r="F837">
            <v>1</v>
          </cell>
          <cell r="G837">
            <v>0</v>
          </cell>
          <cell r="H837">
            <v>0</v>
          </cell>
          <cell r="I837">
            <v>5</v>
          </cell>
        </row>
        <row r="838">
          <cell r="D838" t="str">
            <v>CIM Motor BB RS-775 15</v>
          </cell>
          <cell r="E838">
            <v>1</v>
          </cell>
          <cell r="F838">
            <v>1</v>
          </cell>
          <cell r="G838">
            <v>0</v>
          </cell>
          <cell r="H838">
            <v>0</v>
          </cell>
          <cell r="I838">
            <v>5</v>
          </cell>
        </row>
        <row r="839">
          <cell r="D839" t="str">
            <v>CIM Motor BB RS-775 16</v>
          </cell>
          <cell r="E839">
            <v>1</v>
          </cell>
          <cell r="F839">
            <v>1</v>
          </cell>
          <cell r="G839">
            <v>0</v>
          </cell>
          <cell r="H839">
            <v>0</v>
          </cell>
          <cell r="I839">
            <v>5</v>
          </cell>
        </row>
        <row r="840">
          <cell r="D840" t="str">
            <v>CIM Motor BB RS-775 20</v>
          </cell>
          <cell r="E840">
            <v>1</v>
          </cell>
          <cell r="F840">
            <v>0</v>
          </cell>
          <cell r="G840">
            <v>0</v>
          </cell>
          <cell r="H840">
            <v>0</v>
          </cell>
          <cell r="I840">
            <v>4</v>
          </cell>
        </row>
        <row r="841">
          <cell r="D841" t="str">
            <v>CIM Motor BB RS-775 21</v>
          </cell>
          <cell r="E841">
            <v>1</v>
          </cell>
          <cell r="F841">
            <v>0</v>
          </cell>
          <cell r="G841">
            <v>0</v>
          </cell>
          <cell r="H841">
            <v>0</v>
          </cell>
          <cell r="I841">
            <v>3</v>
          </cell>
        </row>
        <row r="842">
          <cell r="D842" t="str">
            <v>CIM Motor BB RS-775 25</v>
          </cell>
          <cell r="E842">
            <v>1</v>
          </cell>
          <cell r="F842">
            <v>0</v>
          </cell>
          <cell r="G842">
            <v>0</v>
          </cell>
          <cell r="H842">
            <v>0</v>
          </cell>
          <cell r="I842">
            <v>3</v>
          </cell>
        </row>
        <row r="843">
          <cell r="D843" t="str">
            <v>CIM Motor BB RS-775 27</v>
          </cell>
          <cell r="E843">
            <v>1</v>
          </cell>
          <cell r="F843">
            <v>0</v>
          </cell>
          <cell r="G843">
            <v>0</v>
          </cell>
          <cell r="H843">
            <v>0</v>
          </cell>
          <cell r="I843">
            <v>1</v>
          </cell>
        </row>
        <row r="844">
          <cell r="D844" t="str">
            <v>CIM Motor BB RS-775 28</v>
          </cell>
          <cell r="E844">
            <v>1</v>
          </cell>
          <cell r="F844">
            <v>0</v>
          </cell>
          <cell r="G844">
            <v>0</v>
          </cell>
          <cell r="H844">
            <v>0</v>
          </cell>
          <cell r="I844">
            <v>1</v>
          </cell>
        </row>
        <row r="845">
          <cell r="D845" t="str">
            <v>CIM Motor BB RS-775 30</v>
          </cell>
          <cell r="E845">
            <v>1</v>
          </cell>
          <cell r="F845">
            <v>0</v>
          </cell>
          <cell r="G845">
            <v>0</v>
          </cell>
          <cell r="H845">
            <v>0</v>
          </cell>
          <cell r="I845">
            <v>1</v>
          </cell>
        </row>
        <row r="846">
          <cell r="D846" t="str">
            <v>CIM Motor BB RS-775 35</v>
          </cell>
          <cell r="E846">
            <v>1</v>
          </cell>
          <cell r="F846">
            <v>0</v>
          </cell>
          <cell r="G846">
            <v>0</v>
          </cell>
          <cell r="H846">
            <v>0</v>
          </cell>
          <cell r="I846">
            <v>1</v>
          </cell>
        </row>
        <row r="847">
          <cell r="D847" t="str">
            <v>CIM Motor BB RS-775 36</v>
          </cell>
          <cell r="E847">
            <v>1</v>
          </cell>
          <cell r="F847">
            <v>0</v>
          </cell>
          <cell r="G847">
            <v>0</v>
          </cell>
          <cell r="H847">
            <v>0</v>
          </cell>
          <cell r="I847">
            <v>1</v>
          </cell>
        </row>
        <row r="848">
          <cell r="D848" t="str">
            <v>CIM Motor BB RS-775 40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1</v>
          </cell>
        </row>
        <row r="849">
          <cell r="D849" t="str">
            <v>CIM Motor BB RS-775 45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1</v>
          </cell>
        </row>
        <row r="850">
          <cell r="D850" t="str">
            <v>CIM Motor BB RS-775 49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1</v>
          </cell>
        </row>
        <row r="851">
          <cell r="D851" t="str">
            <v>CIM Motor BB RS-775 50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1</v>
          </cell>
        </row>
        <row r="852">
          <cell r="D852" t="str">
            <v>CIM Motor BB RS-775 63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1</v>
          </cell>
        </row>
        <row r="853">
          <cell r="D853" t="str">
            <v>CIM Motor BB RS-775 70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1</v>
          </cell>
        </row>
        <row r="854">
          <cell r="D854" t="str">
            <v>CIM Motor BB RS-775 81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1</v>
          </cell>
        </row>
        <row r="855">
          <cell r="D855" t="str">
            <v>CIM Motor BB RS-775 90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1</v>
          </cell>
        </row>
        <row r="856">
          <cell r="D856" t="str">
            <v>CIM Motor BB RS-775 100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1</v>
          </cell>
        </row>
        <row r="857">
          <cell r="D857" t="str">
            <v>CIM Motor BAG Motor -3</v>
          </cell>
          <cell r="E857">
            <v>1</v>
          </cell>
          <cell r="F857">
            <v>1</v>
          </cell>
          <cell r="G857">
            <v>0</v>
          </cell>
          <cell r="H857">
            <v>0</v>
          </cell>
          <cell r="I857">
            <v>1</v>
          </cell>
        </row>
        <row r="858">
          <cell r="D858" t="str">
            <v>CIM Motor BAG Motor -4</v>
          </cell>
          <cell r="E858">
            <v>1</v>
          </cell>
          <cell r="F858">
            <v>1</v>
          </cell>
          <cell r="G858">
            <v>0</v>
          </cell>
          <cell r="H858">
            <v>0</v>
          </cell>
          <cell r="I858">
            <v>1</v>
          </cell>
        </row>
        <row r="859">
          <cell r="D859" t="str">
            <v>CIM Motor BAG Motor -5</v>
          </cell>
          <cell r="E859">
            <v>1</v>
          </cell>
          <cell r="F859">
            <v>1</v>
          </cell>
          <cell r="G859">
            <v>0</v>
          </cell>
          <cell r="H859">
            <v>0</v>
          </cell>
          <cell r="I859">
            <v>1</v>
          </cell>
        </row>
        <row r="860">
          <cell r="D860" t="str">
            <v>CIM Motor BAG Motor -7</v>
          </cell>
          <cell r="E860">
            <v>1</v>
          </cell>
          <cell r="F860">
            <v>1</v>
          </cell>
          <cell r="G860">
            <v>0</v>
          </cell>
          <cell r="H860">
            <v>0</v>
          </cell>
          <cell r="I860">
            <v>1</v>
          </cell>
        </row>
        <row r="861">
          <cell r="D861" t="str">
            <v>CIM Motor BAG Motor -9</v>
          </cell>
          <cell r="E861">
            <v>1</v>
          </cell>
          <cell r="F861">
            <v>1</v>
          </cell>
          <cell r="G861">
            <v>0</v>
          </cell>
          <cell r="H861">
            <v>0</v>
          </cell>
          <cell r="I861">
            <v>1</v>
          </cell>
        </row>
        <row r="862">
          <cell r="D862" t="str">
            <v>CIM Motor BAG Motor -10</v>
          </cell>
          <cell r="E862">
            <v>1</v>
          </cell>
          <cell r="F862">
            <v>1</v>
          </cell>
          <cell r="G862">
            <v>0</v>
          </cell>
          <cell r="H862">
            <v>0</v>
          </cell>
          <cell r="I862">
            <v>1</v>
          </cell>
        </row>
        <row r="863">
          <cell r="D863" t="str">
            <v>CIM Motor BAG Motor 9</v>
          </cell>
          <cell r="E863">
            <v>7</v>
          </cell>
          <cell r="F863">
            <v>3</v>
          </cell>
          <cell r="G863">
            <v>0</v>
          </cell>
          <cell r="H863">
            <v>0</v>
          </cell>
          <cell r="I863">
            <v>7</v>
          </cell>
        </row>
        <row r="864">
          <cell r="D864" t="str">
            <v>CIM Motor BAG Motor 12</v>
          </cell>
          <cell r="E864">
            <v>5</v>
          </cell>
          <cell r="F864">
            <v>1</v>
          </cell>
          <cell r="G864">
            <v>0</v>
          </cell>
          <cell r="H864">
            <v>0</v>
          </cell>
          <cell r="I864">
            <v>5</v>
          </cell>
        </row>
        <row r="865">
          <cell r="D865" t="str">
            <v>CIM Motor BAG Motor 15</v>
          </cell>
          <cell r="E865">
            <v>4</v>
          </cell>
          <cell r="F865">
            <v>1</v>
          </cell>
          <cell r="G865">
            <v>0</v>
          </cell>
          <cell r="H865">
            <v>0</v>
          </cell>
          <cell r="I865">
            <v>4</v>
          </cell>
        </row>
        <row r="866">
          <cell r="D866" t="str">
            <v>CIM Motor BAG Motor 16</v>
          </cell>
          <cell r="E866">
            <v>4</v>
          </cell>
          <cell r="F866">
            <v>1</v>
          </cell>
          <cell r="G866">
            <v>0</v>
          </cell>
          <cell r="H866">
            <v>0</v>
          </cell>
          <cell r="I866">
            <v>4</v>
          </cell>
        </row>
        <row r="867">
          <cell r="D867" t="str">
            <v>CIM Motor BAG Motor 20</v>
          </cell>
          <cell r="E867">
            <v>3</v>
          </cell>
          <cell r="F867">
            <v>1</v>
          </cell>
          <cell r="G867">
            <v>0</v>
          </cell>
          <cell r="H867">
            <v>0</v>
          </cell>
          <cell r="I867">
            <v>3</v>
          </cell>
        </row>
        <row r="868">
          <cell r="D868" t="str">
            <v>CIM Motor BAG Motor 21</v>
          </cell>
          <cell r="E868">
            <v>3</v>
          </cell>
          <cell r="F868">
            <v>1</v>
          </cell>
          <cell r="G868">
            <v>0</v>
          </cell>
          <cell r="H868">
            <v>0</v>
          </cell>
          <cell r="I868">
            <v>3</v>
          </cell>
        </row>
        <row r="869">
          <cell r="D869" t="str">
            <v>CIM Motor BAG Motor 25</v>
          </cell>
          <cell r="E869">
            <v>1</v>
          </cell>
          <cell r="F869">
            <v>1</v>
          </cell>
          <cell r="G869">
            <v>0</v>
          </cell>
          <cell r="H869">
            <v>0</v>
          </cell>
          <cell r="I869">
            <v>1</v>
          </cell>
        </row>
        <row r="870">
          <cell r="D870" t="str">
            <v>CIM Motor BAG Motor 27</v>
          </cell>
          <cell r="E870">
            <v>1</v>
          </cell>
          <cell r="F870">
            <v>1</v>
          </cell>
          <cell r="G870">
            <v>0</v>
          </cell>
          <cell r="H870">
            <v>0</v>
          </cell>
          <cell r="I870">
            <v>1</v>
          </cell>
        </row>
        <row r="871">
          <cell r="D871" t="str">
            <v>CIM Motor BAG Motor 28</v>
          </cell>
          <cell r="E871">
            <v>1</v>
          </cell>
          <cell r="F871">
            <v>1</v>
          </cell>
          <cell r="G871">
            <v>0</v>
          </cell>
          <cell r="H871">
            <v>0</v>
          </cell>
          <cell r="I871">
            <v>1</v>
          </cell>
        </row>
        <row r="872">
          <cell r="D872" t="str">
            <v>CIM Motor BAG Motor 30</v>
          </cell>
          <cell r="E872">
            <v>1</v>
          </cell>
          <cell r="F872">
            <v>1</v>
          </cell>
          <cell r="G872">
            <v>0</v>
          </cell>
          <cell r="H872">
            <v>0</v>
          </cell>
          <cell r="I872">
            <v>1</v>
          </cell>
        </row>
        <row r="873">
          <cell r="D873" t="str">
            <v>CIM Motor BAG Motor 35</v>
          </cell>
          <cell r="E873">
            <v>1</v>
          </cell>
          <cell r="F873">
            <v>0</v>
          </cell>
          <cell r="G873">
            <v>0</v>
          </cell>
          <cell r="H873">
            <v>0</v>
          </cell>
          <cell r="I873">
            <v>1</v>
          </cell>
        </row>
        <row r="874">
          <cell r="D874" t="str">
            <v>CIM Motor BAG Motor 36</v>
          </cell>
          <cell r="E874">
            <v>1</v>
          </cell>
          <cell r="F874">
            <v>0</v>
          </cell>
          <cell r="G874">
            <v>0</v>
          </cell>
          <cell r="H874">
            <v>0</v>
          </cell>
          <cell r="I874">
            <v>1</v>
          </cell>
        </row>
        <row r="875">
          <cell r="D875" t="str">
            <v>CIM Motor BAG Motor 40</v>
          </cell>
          <cell r="E875">
            <v>1</v>
          </cell>
          <cell r="F875">
            <v>0</v>
          </cell>
          <cell r="G875">
            <v>0</v>
          </cell>
          <cell r="H875">
            <v>0</v>
          </cell>
          <cell r="I875">
            <v>1</v>
          </cell>
        </row>
        <row r="876">
          <cell r="D876" t="str">
            <v>CIM Motor BAG Motor 45</v>
          </cell>
          <cell r="E876">
            <v>1</v>
          </cell>
          <cell r="F876">
            <v>0</v>
          </cell>
          <cell r="G876">
            <v>0</v>
          </cell>
          <cell r="H876">
            <v>0</v>
          </cell>
          <cell r="I876">
            <v>1</v>
          </cell>
        </row>
        <row r="877">
          <cell r="D877" t="str">
            <v>CIM Motor BAG Motor 49</v>
          </cell>
          <cell r="E877">
            <v>1</v>
          </cell>
          <cell r="F877">
            <v>0</v>
          </cell>
          <cell r="G877">
            <v>0</v>
          </cell>
          <cell r="H877">
            <v>0</v>
          </cell>
          <cell r="I877">
            <v>1</v>
          </cell>
        </row>
        <row r="878">
          <cell r="D878" t="str">
            <v>CIM Motor BAG Motor 50</v>
          </cell>
          <cell r="E878">
            <v>1</v>
          </cell>
          <cell r="F878">
            <v>0</v>
          </cell>
          <cell r="G878">
            <v>0</v>
          </cell>
          <cell r="H878">
            <v>0</v>
          </cell>
          <cell r="I878">
            <v>1</v>
          </cell>
        </row>
        <row r="879">
          <cell r="D879" t="str">
            <v>CIM Motor BAG Motor 63</v>
          </cell>
          <cell r="E879">
            <v>1</v>
          </cell>
          <cell r="F879">
            <v>0</v>
          </cell>
          <cell r="G879">
            <v>0</v>
          </cell>
          <cell r="H879">
            <v>0</v>
          </cell>
          <cell r="I879">
            <v>1</v>
          </cell>
        </row>
        <row r="880">
          <cell r="D880" t="str">
            <v>CIM Motor BAG Motor 70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</row>
        <row r="881">
          <cell r="D881" t="str">
            <v>CIM Motor BAG Motor 81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</row>
        <row r="882">
          <cell r="D882" t="str">
            <v>CIM Motor BAG Motor 90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</row>
        <row r="883">
          <cell r="D883" t="str">
            <v>CIM Motor BAG Motor 100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</row>
        <row r="884">
          <cell r="D884" t="str">
            <v>CIM Motor 775pro -3</v>
          </cell>
          <cell r="E884">
            <v>1</v>
          </cell>
          <cell r="F884">
            <v>1</v>
          </cell>
          <cell r="G884">
            <v>0</v>
          </cell>
          <cell r="H884">
            <v>0</v>
          </cell>
          <cell r="I884">
            <v>1</v>
          </cell>
        </row>
        <row r="885">
          <cell r="D885" t="str">
            <v>CIM Motor 775pro -4</v>
          </cell>
          <cell r="E885">
            <v>1</v>
          </cell>
          <cell r="F885">
            <v>1</v>
          </cell>
          <cell r="G885">
            <v>0</v>
          </cell>
          <cell r="H885">
            <v>0</v>
          </cell>
          <cell r="I885">
            <v>1</v>
          </cell>
        </row>
        <row r="886">
          <cell r="D886" t="str">
            <v>CIM Motor 775pro -5</v>
          </cell>
          <cell r="E886">
            <v>1</v>
          </cell>
          <cell r="F886">
            <v>1</v>
          </cell>
          <cell r="G886">
            <v>0</v>
          </cell>
          <cell r="H886">
            <v>0</v>
          </cell>
          <cell r="I886">
            <v>1</v>
          </cell>
        </row>
        <row r="887">
          <cell r="D887" t="str">
            <v>CIM Motor 775pro -7</v>
          </cell>
          <cell r="E887">
            <v>1</v>
          </cell>
          <cell r="F887">
            <v>1</v>
          </cell>
          <cell r="G887">
            <v>0</v>
          </cell>
          <cell r="H887">
            <v>0</v>
          </cell>
          <cell r="I887">
            <v>1</v>
          </cell>
        </row>
        <row r="888">
          <cell r="D888" t="str">
            <v>CIM Motor 775pro -9</v>
          </cell>
          <cell r="E888">
            <v>1</v>
          </cell>
          <cell r="F888">
            <v>1</v>
          </cell>
          <cell r="G888">
            <v>0</v>
          </cell>
          <cell r="H888">
            <v>0</v>
          </cell>
          <cell r="I888">
            <v>1</v>
          </cell>
        </row>
        <row r="889">
          <cell r="D889" t="str">
            <v>CIM Motor 775pro -10</v>
          </cell>
          <cell r="E889">
            <v>1</v>
          </cell>
          <cell r="F889">
            <v>1</v>
          </cell>
          <cell r="G889">
            <v>0</v>
          </cell>
          <cell r="H889">
            <v>0</v>
          </cell>
          <cell r="I889">
            <v>1</v>
          </cell>
        </row>
        <row r="890">
          <cell r="D890" t="str">
            <v>CIM Motor 775pro 9</v>
          </cell>
          <cell r="E890">
            <v>4</v>
          </cell>
          <cell r="F890">
            <v>1</v>
          </cell>
          <cell r="G890">
            <v>0</v>
          </cell>
          <cell r="H890">
            <v>0</v>
          </cell>
          <cell r="I890">
            <v>4</v>
          </cell>
        </row>
        <row r="891">
          <cell r="D891" t="str">
            <v>CIM Motor 775pro 12</v>
          </cell>
          <cell r="E891">
            <v>3</v>
          </cell>
          <cell r="F891">
            <v>1</v>
          </cell>
          <cell r="G891">
            <v>0</v>
          </cell>
          <cell r="H891">
            <v>0</v>
          </cell>
          <cell r="I891">
            <v>3</v>
          </cell>
        </row>
        <row r="892">
          <cell r="D892" t="str">
            <v>CIM Motor 775pro 15</v>
          </cell>
          <cell r="E892">
            <v>1</v>
          </cell>
          <cell r="F892">
            <v>1</v>
          </cell>
          <cell r="G892">
            <v>0</v>
          </cell>
          <cell r="H892">
            <v>0</v>
          </cell>
          <cell r="I892">
            <v>1</v>
          </cell>
        </row>
        <row r="893">
          <cell r="D893" t="str">
            <v>CIM Motor 775pro 16</v>
          </cell>
          <cell r="E893">
            <v>1</v>
          </cell>
          <cell r="F893">
            <v>1</v>
          </cell>
          <cell r="G893">
            <v>0</v>
          </cell>
          <cell r="H893">
            <v>0</v>
          </cell>
          <cell r="I893">
            <v>1</v>
          </cell>
        </row>
        <row r="894">
          <cell r="D894" t="str">
            <v>CIM Motor 775pro 20</v>
          </cell>
          <cell r="E894">
            <v>1</v>
          </cell>
          <cell r="F894">
            <v>1</v>
          </cell>
          <cell r="G894">
            <v>0</v>
          </cell>
          <cell r="H894">
            <v>0</v>
          </cell>
          <cell r="I894">
            <v>1</v>
          </cell>
        </row>
        <row r="895">
          <cell r="D895" t="str">
            <v>CIM Motor 775pro 21</v>
          </cell>
          <cell r="E895">
            <v>1</v>
          </cell>
          <cell r="F895">
            <v>0</v>
          </cell>
          <cell r="G895">
            <v>0</v>
          </cell>
          <cell r="H895">
            <v>0</v>
          </cell>
          <cell r="I895">
            <v>1</v>
          </cell>
        </row>
        <row r="896">
          <cell r="D896" t="str">
            <v>CIM Motor 775pro 25</v>
          </cell>
          <cell r="E896">
            <v>1</v>
          </cell>
          <cell r="F896">
            <v>0</v>
          </cell>
          <cell r="G896">
            <v>0</v>
          </cell>
          <cell r="H896">
            <v>0</v>
          </cell>
          <cell r="I896">
            <v>1</v>
          </cell>
        </row>
        <row r="897">
          <cell r="D897" t="str">
            <v>CIM Motor 775pro 27</v>
          </cell>
          <cell r="E897">
            <v>1</v>
          </cell>
          <cell r="F897">
            <v>0</v>
          </cell>
          <cell r="G897">
            <v>0</v>
          </cell>
          <cell r="H897">
            <v>0</v>
          </cell>
          <cell r="I897">
            <v>1</v>
          </cell>
        </row>
        <row r="898">
          <cell r="D898" t="str">
            <v>CIM Motor 775pro 28</v>
          </cell>
          <cell r="E898">
            <v>1</v>
          </cell>
          <cell r="F898">
            <v>0</v>
          </cell>
          <cell r="G898">
            <v>0</v>
          </cell>
          <cell r="H898">
            <v>0</v>
          </cell>
          <cell r="I898">
            <v>1</v>
          </cell>
        </row>
        <row r="899">
          <cell r="D899" t="str">
            <v>CIM Motor 775pro 30</v>
          </cell>
          <cell r="E899">
            <v>1</v>
          </cell>
          <cell r="F899">
            <v>0</v>
          </cell>
          <cell r="G899">
            <v>0</v>
          </cell>
          <cell r="H899">
            <v>0</v>
          </cell>
          <cell r="I899">
            <v>1</v>
          </cell>
        </row>
        <row r="900">
          <cell r="D900" t="str">
            <v>CIM Motor 775pro 35</v>
          </cell>
          <cell r="E900">
            <v>1</v>
          </cell>
          <cell r="F900">
            <v>0</v>
          </cell>
          <cell r="G900">
            <v>0</v>
          </cell>
          <cell r="H900">
            <v>0</v>
          </cell>
          <cell r="I900">
            <v>1</v>
          </cell>
        </row>
        <row r="901">
          <cell r="D901" t="str">
            <v>CIM Motor 775pro 36</v>
          </cell>
          <cell r="E901">
            <v>1</v>
          </cell>
          <cell r="F901">
            <v>0</v>
          </cell>
          <cell r="G901">
            <v>0</v>
          </cell>
          <cell r="H901">
            <v>0</v>
          </cell>
          <cell r="I901">
            <v>1</v>
          </cell>
        </row>
        <row r="902">
          <cell r="D902" t="str">
            <v>CIM Motor 775pro 40</v>
          </cell>
          <cell r="E902">
            <v>1</v>
          </cell>
          <cell r="F902">
            <v>0</v>
          </cell>
          <cell r="G902">
            <v>0</v>
          </cell>
          <cell r="H902">
            <v>0</v>
          </cell>
          <cell r="I902">
            <v>1</v>
          </cell>
        </row>
        <row r="903">
          <cell r="D903" t="str">
            <v>CIM Motor 775pro 45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</row>
        <row r="904">
          <cell r="D904" t="str">
            <v>CIM Motor 775pro 49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</row>
        <row r="905">
          <cell r="D905" t="str">
            <v>CIM Motor 775pro 50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</row>
        <row r="906">
          <cell r="D906" t="str">
            <v>CIM Motor 775pro 63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</row>
        <row r="907">
          <cell r="D907" t="str">
            <v>CIM Motor 775pro 70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</row>
        <row r="908">
          <cell r="D908" t="str">
            <v>CIM Motor 775pro 81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</row>
        <row r="909">
          <cell r="D909" t="str">
            <v>CIM Motor 775pro 90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</row>
        <row r="910">
          <cell r="D910" t="str">
            <v>CIM Motor 775pro 100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</row>
        <row r="911">
          <cell r="D911" t="str">
            <v>CIM Motor Mini CIM -3</v>
          </cell>
          <cell r="E911">
            <v>1</v>
          </cell>
          <cell r="I911">
            <v>0</v>
          </cell>
        </row>
        <row r="912">
          <cell r="D912" t="str">
            <v>CIM Motor Mini CIM -4</v>
          </cell>
          <cell r="E912">
            <v>1</v>
          </cell>
          <cell r="I912">
            <v>0</v>
          </cell>
        </row>
        <row r="913">
          <cell r="D913" t="str">
            <v>CIM Motor Mini CIM -5</v>
          </cell>
          <cell r="E913">
            <v>1</v>
          </cell>
          <cell r="I913">
            <v>0</v>
          </cell>
        </row>
        <row r="914">
          <cell r="D914" t="str">
            <v>CIM Motor Mini CIM -7</v>
          </cell>
          <cell r="E914">
            <v>1</v>
          </cell>
          <cell r="I914">
            <v>0</v>
          </cell>
        </row>
        <row r="915">
          <cell r="D915" t="str">
            <v>CIM Motor Mini CIM -9</v>
          </cell>
          <cell r="E915">
            <v>1</v>
          </cell>
          <cell r="I915">
            <v>0</v>
          </cell>
        </row>
        <row r="916">
          <cell r="D916" t="str">
            <v>CIM Motor Mini CIM -10</v>
          </cell>
          <cell r="E916">
            <v>1</v>
          </cell>
          <cell r="I916">
            <v>0</v>
          </cell>
        </row>
        <row r="917">
          <cell r="D917" t="str">
            <v>CIM Motor Mini CIM 9</v>
          </cell>
          <cell r="E917">
            <v>1</v>
          </cell>
          <cell r="I917">
            <v>0</v>
          </cell>
        </row>
        <row r="918">
          <cell r="D918" t="str">
            <v>CIM Motor Mini CIM 12</v>
          </cell>
          <cell r="E918">
            <v>1</v>
          </cell>
          <cell r="I918">
            <v>0</v>
          </cell>
        </row>
        <row r="919">
          <cell r="D919" t="str">
            <v>CIM Motor Mini CIM 15</v>
          </cell>
          <cell r="E919">
            <v>1</v>
          </cell>
          <cell r="I919">
            <v>0</v>
          </cell>
        </row>
        <row r="920">
          <cell r="D920" t="str">
            <v>CIM Motor Mini CIM 16</v>
          </cell>
          <cell r="E920">
            <v>1</v>
          </cell>
          <cell r="I920">
            <v>0</v>
          </cell>
        </row>
        <row r="921">
          <cell r="D921" t="str">
            <v>CIM Motor Mini CIM 20</v>
          </cell>
          <cell r="E921">
            <v>1</v>
          </cell>
          <cell r="I921">
            <v>0</v>
          </cell>
        </row>
        <row r="922">
          <cell r="D922" t="str">
            <v>CIM Motor Mini CIM 21</v>
          </cell>
          <cell r="E922">
            <v>0</v>
          </cell>
          <cell r="I922">
            <v>0</v>
          </cell>
        </row>
        <row r="923">
          <cell r="D923" t="str">
            <v>CIM Motor Mini CIM 25</v>
          </cell>
          <cell r="E923">
            <v>0</v>
          </cell>
          <cell r="I923">
            <v>0</v>
          </cell>
        </row>
        <row r="924">
          <cell r="D924" t="str">
            <v>CIM Motor Mini CIM 27</v>
          </cell>
          <cell r="E924">
            <v>0</v>
          </cell>
          <cell r="I924">
            <v>0</v>
          </cell>
        </row>
        <row r="925">
          <cell r="D925" t="str">
            <v>CIM Motor Mini CIM 28</v>
          </cell>
          <cell r="E925">
            <v>0</v>
          </cell>
          <cell r="I925">
            <v>0</v>
          </cell>
        </row>
        <row r="926">
          <cell r="D926" t="str">
            <v>CIM Motor Mini CIM 30</v>
          </cell>
          <cell r="E926">
            <v>0</v>
          </cell>
          <cell r="I926">
            <v>0</v>
          </cell>
        </row>
        <row r="927">
          <cell r="D927" t="str">
            <v>CIM Motor Mini CIM 35</v>
          </cell>
          <cell r="E927">
            <v>0</v>
          </cell>
          <cell r="I927">
            <v>0</v>
          </cell>
        </row>
        <row r="928">
          <cell r="D928" t="str">
            <v>CIM Motor Mini CIM 36</v>
          </cell>
          <cell r="E928">
            <v>0</v>
          </cell>
          <cell r="I928">
            <v>0</v>
          </cell>
        </row>
        <row r="929">
          <cell r="D929" t="str">
            <v>CIM Motor Mini CIM 40</v>
          </cell>
          <cell r="E929">
            <v>0</v>
          </cell>
          <cell r="I929">
            <v>0</v>
          </cell>
        </row>
        <row r="930">
          <cell r="D930" t="str">
            <v>CIM Motor Mini CIM 45</v>
          </cell>
          <cell r="E930">
            <v>0</v>
          </cell>
          <cell r="I930">
            <v>0</v>
          </cell>
        </row>
        <row r="931">
          <cell r="D931" t="str">
            <v>CIM Motor Mini CIM 49</v>
          </cell>
          <cell r="E931">
            <v>0</v>
          </cell>
          <cell r="I931">
            <v>0</v>
          </cell>
        </row>
        <row r="932">
          <cell r="D932" t="str">
            <v>CIM Motor Mini CIM 50</v>
          </cell>
          <cell r="E932">
            <v>0</v>
          </cell>
          <cell r="I932">
            <v>0</v>
          </cell>
        </row>
        <row r="933">
          <cell r="D933" t="str">
            <v>CIM Motor Mini CIM 63</v>
          </cell>
          <cell r="E933">
            <v>0</v>
          </cell>
          <cell r="I933">
            <v>0</v>
          </cell>
        </row>
        <row r="934">
          <cell r="D934" t="str">
            <v>CIM Motor Mini CIM 70</v>
          </cell>
          <cell r="E934">
            <v>0</v>
          </cell>
          <cell r="I934">
            <v>0</v>
          </cell>
        </row>
        <row r="935">
          <cell r="D935" t="str">
            <v>CIM Motor Mini CIM 81</v>
          </cell>
          <cell r="E935">
            <v>0</v>
          </cell>
          <cell r="I935">
            <v>0</v>
          </cell>
        </row>
        <row r="936">
          <cell r="D936" t="str">
            <v>CIM Motor Mini CIM 90</v>
          </cell>
          <cell r="E936">
            <v>0</v>
          </cell>
          <cell r="I936">
            <v>0</v>
          </cell>
        </row>
        <row r="937">
          <cell r="D937" t="str">
            <v>CIM Motor Mini CIM 100</v>
          </cell>
          <cell r="E937">
            <v>0</v>
          </cell>
          <cell r="I937">
            <v>0</v>
          </cell>
        </row>
        <row r="938">
          <cell r="D938" t="str">
            <v>CIM Motor CIM -3</v>
          </cell>
          <cell r="E938">
            <v>1</v>
          </cell>
          <cell r="I938">
            <v>0</v>
          </cell>
        </row>
        <row r="939">
          <cell r="D939" t="str">
            <v>CIM Motor CIM -4</v>
          </cell>
          <cell r="E939">
            <v>1</v>
          </cell>
          <cell r="I939">
            <v>0</v>
          </cell>
        </row>
        <row r="940">
          <cell r="D940" t="str">
            <v>CIM Motor CIM -5</v>
          </cell>
          <cell r="E940">
            <v>1</v>
          </cell>
          <cell r="I940">
            <v>0</v>
          </cell>
        </row>
        <row r="941">
          <cell r="D941" t="str">
            <v>CIM Motor CIM -7</v>
          </cell>
          <cell r="E941">
            <v>1</v>
          </cell>
          <cell r="I941">
            <v>0</v>
          </cell>
        </row>
        <row r="942">
          <cell r="D942" t="str">
            <v>CIM Motor CIM -9</v>
          </cell>
          <cell r="E942">
            <v>1</v>
          </cell>
          <cell r="I942">
            <v>0</v>
          </cell>
        </row>
        <row r="943">
          <cell r="D943" t="str">
            <v>CIM Motor CIM -10</v>
          </cell>
          <cell r="E943">
            <v>1</v>
          </cell>
          <cell r="I943">
            <v>0</v>
          </cell>
        </row>
        <row r="944">
          <cell r="D944" t="str">
            <v>CIM Motor CIM 9</v>
          </cell>
          <cell r="E944">
            <v>1</v>
          </cell>
          <cell r="I944">
            <v>0</v>
          </cell>
        </row>
        <row r="945">
          <cell r="D945" t="str">
            <v>CIM Motor CIM 12</v>
          </cell>
          <cell r="E945">
            <v>0</v>
          </cell>
          <cell r="I945">
            <v>0</v>
          </cell>
        </row>
        <row r="946">
          <cell r="D946" t="str">
            <v>CIM Motor CIM 15</v>
          </cell>
          <cell r="E946">
            <v>0</v>
          </cell>
          <cell r="I946">
            <v>0</v>
          </cell>
        </row>
        <row r="947">
          <cell r="D947" t="str">
            <v>CIM Motor CIM 16</v>
          </cell>
          <cell r="E947">
            <v>0</v>
          </cell>
          <cell r="I947">
            <v>0</v>
          </cell>
        </row>
        <row r="948">
          <cell r="D948" t="str">
            <v>CIM Motor CIM 20</v>
          </cell>
          <cell r="E948">
            <v>0</v>
          </cell>
          <cell r="I948">
            <v>0</v>
          </cell>
        </row>
        <row r="949">
          <cell r="D949" t="str">
            <v>CIM Motor CIM 21</v>
          </cell>
          <cell r="E949">
            <v>0</v>
          </cell>
          <cell r="I949">
            <v>0</v>
          </cell>
        </row>
        <row r="950">
          <cell r="D950" t="str">
            <v>CIM Motor CIM 25</v>
          </cell>
          <cell r="E950">
            <v>0</v>
          </cell>
          <cell r="I950">
            <v>0</v>
          </cell>
        </row>
        <row r="951">
          <cell r="D951" t="str">
            <v>CIM Motor CIM 27</v>
          </cell>
          <cell r="E951">
            <v>0</v>
          </cell>
          <cell r="I951">
            <v>0</v>
          </cell>
        </row>
        <row r="952">
          <cell r="D952" t="str">
            <v>CIM Motor CIM 28</v>
          </cell>
          <cell r="E952">
            <v>0</v>
          </cell>
          <cell r="I952">
            <v>0</v>
          </cell>
        </row>
        <row r="953">
          <cell r="D953" t="str">
            <v>CIM Motor CIM 30</v>
          </cell>
          <cell r="E953">
            <v>0</v>
          </cell>
          <cell r="I953">
            <v>0</v>
          </cell>
        </row>
        <row r="954">
          <cell r="D954" t="str">
            <v>CIM Motor CIM 35</v>
          </cell>
          <cell r="E954">
            <v>0</v>
          </cell>
          <cell r="I954">
            <v>0</v>
          </cell>
        </row>
        <row r="955">
          <cell r="D955" t="str">
            <v>CIM Motor CIM 36</v>
          </cell>
          <cell r="E955">
            <v>0</v>
          </cell>
          <cell r="I955">
            <v>0</v>
          </cell>
        </row>
        <row r="956">
          <cell r="D956" t="str">
            <v>CIM Motor CIM 40</v>
          </cell>
          <cell r="E956">
            <v>0</v>
          </cell>
          <cell r="I956">
            <v>0</v>
          </cell>
        </row>
        <row r="957">
          <cell r="D957" t="str">
            <v>CIM Motor CIM 45</v>
          </cell>
          <cell r="E957">
            <v>0</v>
          </cell>
          <cell r="I957">
            <v>0</v>
          </cell>
        </row>
        <row r="958">
          <cell r="D958" t="str">
            <v>CIM Motor CIM 49</v>
          </cell>
          <cell r="E958">
            <v>0</v>
          </cell>
          <cell r="I958">
            <v>0</v>
          </cell>
        </row>
        <row r="959">
          <cell r="D959" t="str">
            <v>CIM Motor CIM 50</v>
          </cell>
          <cell r="E959">
            <v>0</v>
          </cell>
          <cell r="I959">
            <v>0</v>
          </cell>
        </row>
        <row r="960">
          <cell r="D960" t="str">
            <v>CIM Motor CIM 63</v>
          </cell>
          <cell r="E960">
            <v>0</v>
          </cell>
          <cell r="I960">
            <v>0</v>
          </cell>
        </row>
        <row r="961">
          <cell r="D961" t="str">
            <v>CIM Motor CIM 70</v>
          </cell>
          <cell r="E961">
            <v>0</v>
          </cell>
          <cell r="I961">
            <v>0</v>
          </cell>
        </row>
        <row r="962">
          <cell r="D962" t="str">
            <v>CIM Motor CIM 81</v>
          </cell>
          <cell r="E962">
            <v>0</v>
          </cell>
          <cell r="I962">
            <v>0</v>
          </cell>
        </row>
        <row r="963">
          <cell r="D963" t="str">
            <v>CIM Motor CIM 90</v>
          </cell>
          <cell r="E963">
            <v>0</v>
          </cell>
          <cell r="I963">
            <v>0</v>
          </cell>
        </row>
        <row r="964">
          <cell r="D964" t="str">
            <v>CIM Motor CIM 100</v>
          </cell>
          <cell r="E964">
            <v>0</v>
          </cell>
          <cell r="I964">
            <v>0</v>
          </cell>
        </row>
        <row r="965">
          <cell r="D965" t="str">
            <v>CIM Motor NEO -3</v>
          </cell>
          <cell r="E965">
            <v>1</v>
          </cell>
          <cell r="I965">
            <v>0</v>
          </cell>
        </row>
        <row r="966">
          <cell r="D966" t="str">
            <v>CIM Motor NEO -4</v>
          </cell>
          <cell r="E966">
            <v>1</v>
          </cell>
          <cell r="I966">
            <v>0</v>
          </cell>
        </row>
        <row r="967">
          <cell r="D967" t="str">
            <v>CIM Motor NEO -5</v>
          </cell>
          <cell r="E967">
            <v>1</v>
          </cell>
          <cell r="I967">
            <v>0</v>
          </cell>
        </row>
        <row r="968">
          <cell r="D968" t="str">
            <v>CIM Motor NEO -7</v>
          </cell>
          <cell r="E968">
            <v>1</v>
          </cell>
          <cell r="I968">
            <v>0</v>
          </cell>
        </row>
        <row r="969">
          <cell r="D969" t="str">
            <v>CIM Motor NEO -9</v>
          </cell>
          <cell r="E969">
            <v>1</v>
          </cell>
          <cell r="I969">
            <v>0</v>
          </cell>
        </row>
        <row r="970">
          <cell r="D970" t="str">
            <v>CIM Motor NEO -10</v>
          </cell>
          <cell r="E970">
            <v>1</v>
          </cell>
          <cell r="I970">
            <v>0</v>
          </cell>
        </row>
        <row r="971">
          <cell r="D971" t="str">
            <v>CIM Motor NEO 9</v>
          </cell>
          <cell r="E971">
            <v>0</v>
          </cell>
          <cell r="I971">
            <v>0</v>
          </cell>
        </row>
        <row r="972">
          <cell r="D972" t="str">
            <v>CIM Motor NEO 12</v>
          </cell>
          <cell r="E972">
            <v>0</v>
          </cell>
          <cell r="I972">
            <v>0</v>
          </cell>
        </row>
        <row r="973">
          <cell r="D973" t="str">
            <v>CIM Motor NEO 15</v>
          </cell>
          <cell r="E973">
            <v>0</v>
          </cell>
          <cell r="I973">
            <v>0</v>
          </cell>
        </row>
        <row r="974">
          <cell r="D974" t="str">
            <v>CIM Motor NEO 16</v>
          </cell>
          <cell r="E974">
            <v>0</v>
          </cell>
          <cell r="I974">
            <v>0</v>
          </cell>
        </row>
        <row r="975">
          <cell r="D975" t="str">
            <v>CIM Motor NEO 20</v>
          </cell>
          <cell r="E975">
            <v>0</v>
          </cell>
          <cell r="I975">
            <v>0</v>
          </cell>
        </row>
        <row r="976">
          <cell r="D976" t="str">
            <v>CIM Motor NEO 21</v>
          </cell>
          <cell r="E976">
            <v>0</v>
          </cell>
          <cell r="I976">
            <v>0</v>
          </cell>
        </row>
        <row r="977">
          <cell r="D977" t="str">
            <v>CIM Motor NEO 25</v>
          </cell>
          <cell r="E977">
            <v>0</v>
          </cell>
          <cell r="I977">
            <v>0</v>
          </cell>
        </row>
        <row r="978">
          <cell r="D978" t="str">
            <v>CIM Motor NEO 27</v>
          </cell>
          <cell r="E978">
            <v>0</v>
          </cell>
          <cell r="I978">
            <v>0</v>
          </cell>
        </row>
        <row r="979">
          <cell r="D979" t="str">
            <v>CIM Motor NEO 28</v>
          </cell>
          <cell r="E979">
            <v>0</v>
          </cell>
          <cell r="I979">
            <v>0</v>
          </cell>
        </row>
        <row r="980">
          <cell r="D980" t="str">
            <v>CIM Motor NEO 30</v>
          </cell>
          <cell r="E980">
            <v>0</v>
          </cell>
          <cell r="I980">
            <v>0</v>
          </cell>
        </row>
        <row r="981">
          <cell r="D981" t="str">
            <v>CIM Motor NEO 35</v>
          </cell>
          <cell r="E981">
            <v>0</v>
          </cell>
          <cell r="I981">
            <v>0</v>
          </cell>
        </row>
        <row r="982">
          <cell r="D982" t="str">
            <v>CIM Motor NEO 36</v>
          </cell>
          <cell r="E982">
            <v>0</v>
          </cell>
          <cell r="I982">
            <v>0</v>
          </cell>
        </row>
        <row r="983">
          <cell r="D983" t="str">
            <v>CIM Motor NEO 40</v>
          </cell>
          <cell r="E983">
            <v>0</v>
          </cell>
          <cell r="I983">
            <v>0</v>
          </cell>
        </row>
        <row r="984">
          <cell r="D984" t="str">
            <v>CIM Motor NEO 45</v>
          </cell>
          <cell r="E984">
            <v>0</v>
          </cell>
          <cell r="I984">
            <v>0</v>
          </cell>
        </row>
        <row r="985">
          <cell r="D985" t="str">
            <v>CIM Motor NEO 49</v>
          </cell>
          <cell r="E985">
            <v>0</v>
          </cell>
          <cell r="I985">
            <v>0</v>
          </cell>
        </row>
        <row r="986">
          <cell r="D986" t="str">
            <v>CIM Motor NEO 50</v>
          </cell>
          <cell r="E986">
            <v>0</v>
          </cell>
          <cell r="I986">
            <v>0</v>
          </cell>
        </row>
        <row r="987">
          <cell r="D987" t="str">
            <v>CIM Motor NEO 63</v>
          </cell>
          <cell r="E987">
            <v>0</v>
          </cell>
          <cell r="I987">
            <v>0</v>
          </cell>
        </row>
        <row r="988">
          <cell r="D988" t="str">
            <v>CIM Motor NEO 70</v>
          </cell>
          <cell r="E988">
            <v>0</v>
          </cell>
          <cell r="I988">
            <v>0</v>
          </cell>
        </row>
        <row r="989">
          <cell r="D989" t="str">
            <v>CIM Motor NEO 81</v>
          </cell>
          <cell r="E989">
            <v>0</v>
          </cell>
          <cell r="I989">
            <v>0</v>
          </cell>
        </row>
        <row r="990">
          <cell r="D990" t="str">
            <v>CIM Motor NEO 90</v>
          </cell>
          <cell r="E990">
            <v>0</v>
          </cell>
          <cell r="I990">
            <v>0</v>
          </cell>
        </row>
        <row r="991">
          <cell r="D991" t="str">
            <v>CIM Motor NEO 100</v>
          </cell>
          <cell r="E991">
            <v>0</v>
          </cell>
          <cell r="I991">
            <v>0</v>
          </cell>
        </row>
        <row r="992">
          <cell r="D992" t="str">
            <v>CIM Motor Falcon 500 -3</v>
          </cell>
          <cell r="E992">
            <v>1</v>
          </cell>
          <cell r="I992">
            <v>0</v>
          </cell>
        </row>
        <row r="993">
          <cell r="D993" t="str">
            <v>CIM Motor Falcon 500 -4</v>
          </cell>
          <cell r="E993">
            <v>1</v>
          </cell>
          <cell r="I993">
            <v>0</v>
          </cell>
        </row>
        <row r="994">
          <cell r="D994" t="str">
            <v>CIM Motor Falcon 500 -5</v>
          </cell>
          <cell r="E994">
            <v>1</v>
          </cell>
          <cell r="I994">
            <v>0</v>
          </cell>
        </row>
        <row r="995">
          <cell r="D995" t="str">
            <v>CIM Motor Falcon 500 -7</v>
          </cell>
          <cell r="E995">
            <v>1</v>
          </cell>
          <cell r="I995">
            <v>0</v>
          </cell>
        </row>
        <row r="996">
          <cell r="D996" t="str">
            <v>CIM Motor Falcon 500 -9</v>
          </cell>
          <cell r="E996">
            <v>1</v>
          </cell>
          <cell r="I996">
            <v>0</v>
          </cell>
        </row>
        <row r="997">
          <cell r="D997" t="str">
            <v>CIM Motor Falcon 500 -10</v>
          </cell>
          <cell r="E997">
            <v>1</v>
          </cell>
          <cell r="I997">
            <v>0</v>
          </cell>
        </row>
        <row r="998">
          <cell r="D998" t="str">
            <v>CIM Motor Falcon 500 9</v>
          </cell>
          <cell r="E998">
            <v>0</v>
          </cell>
          <cell r="I998">
            <v>0</v>
          </cell>
        </row>
        <row r="999">
          <cell r="D999" t="str">
            <v>CIM Motor Falcon 500 12</v>
          </cell>
          <cell r="E999">
            <v>0</v>
          </cell>
          <cell r="I999">
            <v>0</v>
          </cell>
        </row>
        <row r="1000">
          <cell r="D1000" t="str">
            <v>CIM Motor Falcon 500 15</v>
          </cell>
          <cell r="E1000">
            <v>0</v>
          </cell>
          <cell r="I1000">
            <v>0</v>
          </cell>
        </row>
        <row r="1001">
          <cell r="D1001" t="str">
            <v>CIM Motor Falcon 500 16</v>
          </cell>
          <cell r="E1001">
            <v>0</v>
          </cell>
          <cell r="I1001">
            <v>0</v>
          </cell>
        </row>
        <row r="1002">
          <cell r="D1002" t="str">
            <v>CIM Motor Falcon 500 20</v>
          </cell>
          <cell r="E1002">
            <v>0</v>
          </cell>
          <cell r="I1002">
            <v>0</v>
          </cell>
        </row>
        <row r="1003">
          <cell r="D1003" t="str">
            <v>CIM Motor Falcon 500 21</v>
          </cell>
          <cell r="E1003">
            <v>0</v>
          </cell>
          <cell r="I1003">
            <v>0</v>
          </cell>
        </row>
        <row r="1004">
          <cell r="D1004" t="str">
            <v>CIM Motor Falcon 500 25</v>
          </cell>
          <cell r="E1004">
            <v>0</v>
          </cell>
          <cell r="I1004">
            <v>0</v>
          </cell>
        </row>
        <row r="1005">
          <cell r="D1005" t="str">
            <v>CIM Motor Falcon 500 27</v>
          </cell>
          <cell r="E1005">
            <v>0</v>
          </cell>
          <cell r="I1005">
            <v>0</v>
          </cell>
        </row>
        <row r="1006">
          <cell r="D1006" t="str">
            <v>CIM Motor Falcon 500 28</v>
          </cell>
          <cell r="E1006">
            <v>0</v>
          </cell>
          <cell r="I1006">
            <v>0</v>
          </cell>
        </row>
        <row r="1007">
          <cell r="D1007" t="str">
            <v>CIM Motor Falcon 500 30</v>
          </cell>
          <cell r="E1007">
            <v>0</v>
          </cell>
          <cell r="I1007">
            <v>0</v>
          </cell>
        </row>
        <row r="1008">
          <cell r="D1008" t="str">
            <v>CIM Motor Falcon 500 35</v>
          </cell>
          <cell r="E1008">
            <v>0</v>
          </cell>
          <cell r="I1008">
            <v>0</v>
          </cell>
        </row>
        <row r="1009">
          <cell r="D1009" t="str">
            <v>CIM Motor Falcon 500 36</v>
          </cell>
          <cell r="E1009">
            <v>0</v>
          </cell>
          <cell r="I1009">
            <v>0</v>
          </cell>
        </row>
        <row r="1010">
          <cell r="D1010" t="str">
            <v>CIM Motor Falcon 500 40</v>
          </cell>
          <cell r="E1010">
            <v>0</v>
          </cell>
          <cell r="I1010">
            <v>0</v>
          </cell>
        </row>
        <row r="1011">
          <cell r="D1011" t="str">
            <v>CIM Motor Falcon 500 45</v>
          </cell>
          <cell r="E1011">
            <v>0</v>
          </cell>
          <cell r="I1011">
            <v>0</v>
          </cell>
        </row>
        <row r="1012">
          <cell r="D1012" t="str">
            <v>CIM Motor Falcon 500 49</v>
          </cell>
          <cell r="E1012">
            <v>0</v>
          </cell>
          <cell r="I1012">
            <v>0</v>
          </cell>
        </row>
        <row r="1013">
          <cell r="D1013" t="str">
            <v>CIM Motor Falcon 500 50</v>
          </cell>
          <cell r="E1013">
            <v>0</v>
          </cell>
          <cell r="I1013">
            <v>0</v>
          </cell>
        </row>
        <row r="1014">
          <cell r="D1014" t="str">
            <v>CIM Motor Falcon 500 63</v>
          </cell>
          <cell r="E1014">
            <v>0</v>
          </cell>
          <cell r="I1014">
            <v>0</v>
          </cell>
        </row>
        <row r="1015">
          <cell r="D1015" t="str">
            <v>CIM Motor Falcon 500 70</v>
          </cell>
          <cell r="E1015">
            <v>0</v>
          </cell>
          <cell r="I1015">
            <v>0</v>
          </cell>
        </row>
        <row r="1016">
          <cell r="D1016" t="str">
            <v>CIM Motor Falcon 500 81</v>
          </cell>
          <cell r="E1016">
            <v>0</v>
          </cell>
          <cell r="I1016">
            <v>0</v>
          </cell>
        </row>
        <row r="1017">
          <cell r="D1017" t="str">
            <v>CIM Motor Falcon 500 90</v>
          </cell>
          <cell r="E1017">
            <v>0</v>
          </cell>
          <cell r="I1017">
            <v>0</v>
          </cell>
        </row>
        <row r="1018">
          <cell r="D1018" t="str">
            <v>CIM Motor Falcon 500 100</v>
          </cell>
          <cell r="E1018">
            <v>0</v>
          </cell>
          <cell r="I1018">
            <v>0</v>
          </cell>
        </row>
        <row r="1019">
          <cell r="D1019" t="str">
            <v>Female AM 9015 -3</v>
          </cell>
          <cell r="E1019">
            <v>1</v>
          </cell>
          <cell r="I1019">
            <v>1</v>
          </cell>
        </row>
        <row r="1020">
          <cell r="D1020" t="str">
            <v>Female AM 9015 -4</v>
          </cell>
          <cell r="E1020">
            <v>1</v>
          </cell>
          <cell r="I1020">
            <v>1</v>
          </cell>
        </row>
        <row r="1021">
          <cell r="D1021" t="str">
            <v>Female AM 9015 -5</v>
          </cell>
          <cell r="E1021">
            <v>1</v>
          </cell>
          <cell r="I1021">
            <v>1</v>
          </cell>
        </row>
        <row r="1022">
          <cell r="D1022" t="str">
            <v>Female AM 9015 -7</v>
          </cell>
          <cell r="E1022">
            <v>1</v>
          </cell>
          <cell r="I1022">
            <v>1</v>
          </cell>
        </row>
        <row r="1023">
          <cell r="D1023" t="str">
            <v>Female AM 9015 -9</v>
          </cell>
          <cell r="E1023">
            <v>1</v>
          </cell>
          <cell r="I1023">
            <v>1</v>
          </cell>
        </row>
        <row r="1024">
          <cell r="D1024" t="str">
            <v>Female AM 9015 -10</v>
          </cell>
          <cell r="E1024">
            <v>1</v>
          </cell>
          <cell r="I1024">
            <v>1</v>
          </cell>
        </row>
        <row r="1025">
          <cell r="D1025" t="str">
            <v>Female AM 9015 9</v>
          </cell>
          <cell r="E1025">
            <v>10</v>
          </cell>
          <cell r="I1025">
            <v>10</v>
          </cell>
        </row>
        <row r="1026">
          <cell r="D1026" t="str">
            <v>Female AM 9015 12</v>
          </cell>
          <cell r="E1026">
            <v>10</v>
          </cell>
          <cell r="I1026">
            <v>7</v>
          </cell>
        </row>
        <row r="1027">
          <cell r="D1027" t="str">
            <v>Female AM 9015 15</v>
          </cell>
          <cell r="E1027">
            <v>10</v>
          </cell>
          <cell r="I1027">
            <v>5</v>
          </cell>
        </row>
        <row r="1028">
          <cell r="D1028" t="str">
            <v>Female AM 9015 16</v>
          </cell>
          <cell r="E1028">
            <v>10</v>
          </cell>
          <cell r="I1028">
            <v>5</v>
          </cell>
        </row>
        <row r="1029">
          <cell r="D1029" t="str">
            <v>Female AM 9015 20</v>
          </cell>
          <cell r="E1029">
            <v>10</v>
          </cell>
          <cell r="I1029">
            <v>4</v>
          </cell>
        </row>
        <row r="1030">
          <cell r="D1030" t="str">
            <v>Female AM 9015 21</v>
          </cell>
          <cell r="E1030">
            <v>10</v>
          </cell>
          <cell r="I1030">
            <v>4</v>
          </cell>
        </row>
        <row r="1031">
          <cell r="D1031" t="str">
            <v>Female AM 9015 25</v>
          </cell>
          <cell r="E1031">
            <v>7</v>
          </cell>
          <cell r="I1031">
            <v>3</v>
          </cell>
        </row>
        <row r="1032">
          <cell r="D1032" t="str">
            <v>Female AM 9015 27</v>
          </cell>
          <cell r="E1032">
            <v>7</v>
          </cell>
          <cell r="I1032">
            <v>3</v>
          </cell>
        </row>
        <row r="1033">
          <cell r="D1033" t="str">
            <v>Female AM 9015 28</v>
          </cell>
          <cell r="E1033">
            <v>7</v>
          </cell>
          <cell r="I1033">
            <v>3</v>
          </cell>
        </row>
        <row r="1034">
          <cell r="D1034" t="str">
            <v>Female AM 9015 30</v>
          </cell>
          <cell r="E1034">
            <v>7</v>
          </cell>
          <cell r="I1034">
            <v>3</v>
          </cell>
        </row>
        <row r="1035">
          <cell r="D1035" t="str">
            <v>Female AM 9015 35</v>
          </cell>
          <cell r="E1035">
            <v>5</v>
          </cell>
          <cell r="I1035">
            <v>1</v>
          </cell>
        </row>
        <row r="1036">
          <cell r="D1036" t="str">
            <v>Female AM 9015 36</v>
          </cell>
          <cell r="E1036">
            <v>5</v>
          </cell>
          <cell r="I1036">
            <v>1</v>
          </cell>
        </row>
        <row r="1037">
          <cell r="D1037" t="str">
            <v>Female AM 9015 40</v>
          </cell>
          <cell r="E1037">
            <v>5</v>
          </cell>
          <cell r="I1037">
            <v>1</v>
          </cell>
        </row>
        <row r="1038">
          <cell r="D1038" t="str">
            <v>Female AM 9015 45</v>
          </cell>
          <cell r="E1038">
            <v>5</v>
          </cell>
          <cell r="I1038">
            <v>1</v>
          </cell>
        </row>
        <row r="1039">
          <cell r="D1039" t="str">
            <v>Female AM 9015 49</v>
          </cell>
          <cell r="E1039">
            <v>5</v>
          </cell>
          <cell r="I1039">
            <v>1</v>
          </cell>
        </row>
        <row r="1040">
          <cell r="D1040" t="str">
            <v>Female AM 9015 50</v>
          </cell>
          <cell r="E1040">
            <v>5</v>
          </cell>
          <cell r="I1040">
            <v>1</v>
          </cell>
        </row>
        <row r="1041">
          <cell r="D1041" t="str">
            <v>Female AM 9015 63</v>
          </cell>
          <cell r="E1041">
            <v>5</v>
          </cell>
          <cell r="I1041">
            <v>1</v>
          </cell>
        </row>
        <row r="1042">
          <cell r="D1042" t="str">
            <v>Female AM 9015 70</v>
          </cell>
          <cell r="E1042">
            <v>4</v>
          </cell>
          <cell r="I1042">
            <v>1</v>
          </cell>
        </row>
        <row r="1043">
          <cell r="D1043" t="str">
            <v>Female AM 9015 81</v>
          </cell>
          <cell r="E1043">
            <v>4</v>
          </cell>
          <cell r="I1043">
            <v>1</v>
          </cell>
        </row>
        <row r="1044">
          <cell r="D1044" t="str">
            <v>Female AM 9015 90</v>
          </cell>
          <cell r="E1044">
            <v>3</v>
          </cell>
          <cell r="I1044">
            <v>1</v>
          </cell>
        </row>
        <row r="1045">
          <cell r="D1045" t="str">
            <v>Female AM 9015 100</v>
          </cell>
          <cell r="E1045">
            <v>3</v>
          </cell>
          <cell r="I1045">
            <v>0</v>
          </cell>
        </row>
        <row r="1046">
          <cell r="D1046" t="str">
            <v>Female BB RS-550 -3</v>
          </cell>
          <cell r="E1046">
            <v>1</v>
          </cell>
          <cell r="F1046">
            <v>1</v>
          </cell>
          <cell r="G1046">
            <v>1</v>
          </cell>
          <cell r="H1046">
            <v>1</v>
          </cell>
          <cell r="I1046">
            <v>1</v>
          </cell>
        </row>
        <row r="1047">
          <cell r="D1047" t="str">
            <v>Female BB RS-550 -4</v>
          </cell>
          <cell r="E1047">
            <v>1</v>
          </cell>
          <cell r="F1047">
            <v>1</v>
          </cell>
          <cell r="G1047">
            <v>1</v>
          </cell>
          <cell r="H1047">
            <v>1</v>
          </cell>
          <cell r="I1047">
            <v>1</v>
          </cell>
        </row>
        <row r="1048">
          <cell r="D1048" t="str">
            <v>Female BB RS-550 -5</v>
          </cell>
          <cell r="E1048">
            <v>1</v>
          </cell>
          <cell r="F1048">
            <v>1</v>
          </cell>
          <cell r="G1048">
            <v>1</v>
          </cell>
          <cell r="H1048">
            <v>1</v>
          </cell>
          <cell r="I1048">
            <v>1</v>
          </cell>
        </row>
        <row r="1049">
          <cell r="D1049" t="str">
            <v>Female BB RS-550 -7</v>
          </cell>
          <cell r="E1049">
            <v>1</v>
          </cell>
          <cell r="F1049">
            <v>1</v>
          </cell>
          <cell r="G1049">
            <v>1</v>
          </cell>
          <cell r="H1049">
            <v>0</v>
          </cell>
          <cell r="I1049">
            <v>1</v>
          </cell>
        </row>
        <row r="1050">
          <cell r="D1050" t="str">
            <v>Female BB RS-550 -9</v>
          </cell>
          <cell r="E1050">
            <v>1</v>
          </cell>
          <cell r="F1050">
            <v>1</v>
          </cell>
          <cell r="G1050">
            <v>0</v>
          </cell>
          <cell r="H1050">
            <v>0</v>
          </cell>
          <cell r="I1050">
            <v>1</v>
          </cell>
        </row>
        <row r="1051">
          <cell r="D1051" t="str">
            <v>Female BB RS-550 -10</v>
          </cell>
          <cell r="E1051">
            <v>1</v>
          </cell>
          <cell r="F1051">
            <v>1</v>
          </cell>
          <cell r="G1051">
            <v>0</v>
          </cell>
          <cell r="H1051">
            <v>0</v>
          </cell>
          <cell r="I1051">
            <v>1</v>
          </cell>
        </row>
        <row r="1052">
          <cell r="D1052" t="str">
            <v>Female BB RS-550 9</v>
          </cell>
          <cell r="E1052">
            <v>10</v>
          </cell>
          <cell r="F1052">
            <v>10</v>
          </cell>
          <cell r="G1052">
            <v>1</v>
          </cell>
          <cell r="H1052">
            <v>0</v>
          </cell>
          <cell r="I1052">
            <v>10</v>
          </cell>
        </row>
        <row r="1053">
          <cell r="D1053" t="str">
            <v>Female BB RS-550 12</v>
          </cell>
          <cell r="E1053">
            <v>10</v>
          </cell>
          <cell r="F1053">
            <v>7</v>
          </cell>
          <cell r="G1053">
            <v>0</v>
          </cell>
          <cell r="H1053">
            <v>0</v>
          </cell>
          <cell r="I1053">
            <v>7</v>
          </cell>
        </row>
        <row r="1054">
          <cell r="D1054" t="str">
            <v>Female BB RS-550 15</v>
          </cell>
          <cell r="E1054">
            <v>10</v>
          </cell>
          <cell r="F1054">
            <v>5</v>
          </cell>
          <cell r="G1054">
            <v>0</v>
          </cell>
          <cell r="H1054">
            <v>0</v>
          </cell>
          <cell r="I1054">
            <v>5</v>
          </cell>
        </row>
        <row r="1055">
          <cell r="D1055" t="str">
            <v>Female BB RS-550 16</v>
          </cell>
          <cell r="E1055">
            <v>10</v>
          </cell>
          <cell r="F1055">
            <v>5</v>
          </cell>
          <cell r="G1055">
            <v>0</v>
          </cell>
          <cell r="H1055">
            <v>0</v>
          </cell>
          <cell r="I1055">
            <v>5</v>
          </cell>
        </row>
        <row r="1056">
          <cell r="D1056" t="str">
            <v>Female BB RS-550 20</v>
          </cell>
          <cell r="E1056">
            <v>9</v>
          </cell>
          <cell r="F1056">
            <v>5</v>
          </cell>
          <cell r="G1056">
            <v>0</v>
          </cell>
          <cell r="H1056">
            <v>0</v>
          </cell>
          <cell r="I1056">
            <v>4</v>
          </cell>
        </row>
        <row r="1057">
          <cell r="D1057" t="str">
            <v>Female BB RS-550 21</v>
          </cell>
          <cell r="E1057">
            <v>9</v>
          </cell>
          <cell r="F1057">
            <v>5</v>
          </cell>
          <cell r="G1057">
            <v>0</v>
          </cell>
          <cell r="H1057">
            <v>0</v>
          </cell>
          <cell r="I1057">
            <v>4</v>
          </cell>
        </row>
        <row r="1058">
          <cell r="D1058" t="str">
            <v>Female BB RS-550 25</v>
          </cell>
          <cell r="E1058">
            <v>7</v>
          </cell>
          <cell r="F1058">
            <v>5</v>
          </cell>
          <cell r="G1058">
            <v>0</v>
          </cell>
          <cell r="H1058">
            <v>0</v>
          </cell>
          <cell r="I1058">
            <v>3</v>
          </cell>
        </row>
        <row r="1059">
          <cell r="D1059" t="str">
            <v>Female BB RS-550 27</v>
          </cell>
          <cell r="E1059">
            <v>7</v>
          </cell>
          <cell r="F1059">
            <v>5</v>
          </cell>
          <cell r="G1059">
            <v>0</v>
          </cell>
          <cell r="H1059">
            <v>0</v>
          </cell>
          <cell r="I1059">
            <v>3</v>
          </cell>
        </row>
        <row r="1060">
          <cell r="D1060" t="str">
            <v>Female BB RS-550 28</v>
          </cell>
          <cell r="E1060">
            <v>7</v>
          </cell>
          <cell r="F1060">
            <v>5</v>
          </cell>
          <cell r="G1060">
            <v>0</v>
          </cell>
          <cell r="H1060">
            <v>0</v>
          </cell>
          <cell r="I1060">
            <v>3</v>
          </cell>
        </row>
        <row r="1061">
          <cell r="D1061" t="str">
            <v>Female BB RS-550 30</v>
          </cell>
          <cell r="E1061">
            <v>5</v>
          </cell>
          <cell r="F1061">
            <v>5</v>
          </cell>
          <cell r="G1061">
            <v>0</v>
          </cell>
          <cell r="H1061">
            <v>0</v>
          </cell>
          <cell r="I1061">
            <v>3</v>
          </cell>
        </row>
        <row r="1062">
          <cell r="D1062" t="str">
            <v>Female BB RS-550 35</v>
          </cell>
          <cell r="E1062">
            <v>5</v>
          </cell>
          <cell r="F1062">
            <v>4</v>
          </cell>
          <cell r="G1062">
            <v>0</v>
          </cell>
          <cell r="H1062">
            <v>0</v>
          </cell>
          <cell r="I1062">
            <v>1</v>
          </cell>
        </row>
        <row r="1063">
          <cell r="D1063" t="str">
            <v>Female BB RS-550 36</v>
          </cell>
          <cell r="E1063">
            <v>5</v>
          </cell>
          <cell r="F1063">
            <v>4</v>
          </cell>
          <cell r="G1063">
            <v>0</v>
          </cell>
          <cell r="H1063">
            <v>0</v>
          </cell>
          <cell r="I1063">
            <v>1</v>
          </cell>
        </row>
        <row r="1064">
          <cell r="D1064" t="str">
            <v>Female BB RS-550 40</v>
          </cell>
          <cell r="E1064">
            <v>5</v>
          </cell>
          <cell r="F1064">
            <v>3</v>
          </cell>
          <cell r="G1064">
            <v>0</v>
          </cell>
          <cell r="H1064">
            <v>0</v>
          </cell>
          <cell r="I1064">
            <v>1</v>
          </cell>
        </row>
        <row r="1065">
          <cell r="D1065" t="str">
            <v>Female BB RS-550 45</v>
          </cell>
          <cell r="E1065">
            <v>5</v>
          </cell>
          <cell r="F1065">
            <v>3</v>
          </cell>
          <cell r="G1065">
            <v>0</v>
          </cell>
          <cell r="H1065">
            <v>0</v>
          </cell>
          <cell r="I1065">
            <v>1</v>
          </cell>
        </row>
        <row r="1066">
          <cell r="D1066" t="str">
            <v>Female BB RS-550 49</v>
          </cell>
          <cell r="E1066">
            <v>5</v>
          </cell>
          <cell r="F1066">
            <v>3</v>
          </cell>
          <cell r="G1066">
            <v>0</v>
          </cell>
          <cell r="H1066">
            <v>0</v>
          </cell>
          <cell r="I1066">
            <v>1</v>
          </cell>
        </row>
        <row r="1067">
          <cell r="D1067" t="str">
            <v>Female BB RS-550 50</v>
          </cell>
          <cell r="E1067">
            <v>5</v>
          </cell>
          <cell r="F1067">
            <v>3</v>
          </cell>
          <cell r="G1067">
            <v>0</v>
          </cell>
          <cell r="H1067">
            <v>0</v>
          </cell>
          <cell r="I1067">
            <v>1</v>
          </cell>
        </row>
        <row r="1068">
          <cell r="D1068" t="str">
            <v>Female BB RS-550 63</v>
          </cell>
          <cell r="E1068">
            <v>4</v>
          </cell>
          <cell r="F1068">
            <v>1</v>
          </cell>
          <cell r="G1068">
            <v>0</v>
          </cell>
          <cell r="H1068">
            <v>0</v>
          </cell>
          <cell r="I1068">
            <v>1</v>
          </cell>
        </row>
        <row r="1069">
          <cell r="D1069" t="str">
            <v>Female BB RS-550 70</v>
          </cell>
          <cell r="E1069">
            <v>4</v>
          </cell>
          <cell r="F1069">
            <v>1</v>
          </cell>
          <cell r="G1069">
            <v>0</v>
          </cell>
          <cell r="H1069">
            <v>0</v>
          </cell>
          <cell r="I1069">
            <v>1</v>
          </cell>
        </row>
        <row r="1070">
          <cell r="D1070" t="str">
            <v>Female BB RS-550 81</v>
          </cell>
          <cell r="E1070">
            <v>3</v>
          </cell>
          <cell r="F1070">
            <v>1</v>
          </cell>
          <cell r="G1070">
            <v>0</v>
          </cell>
          <cell r="H1070">
            <v>0</v>
          </cell>
          <cell r="I1070">
            <v>1</v>
          </cell>
        </row>
        <row r="1071">
          <cell r="D1071" t="str">
            <v>Female BB RS-550 90</v>
          </cell>
          <cell r="E1071">
            <v>3</v>
          </cell>
          <cell r="F1071">
            <v>1</v>
          </cell>
          <cell r="G1071">
            <v>0</v>
          </cell>
          <cell r="H1071">
            <v>0</v>
          </cell>
          <cell r="I1071">
            <v>1</v>
          </cell>
        </row>
        <row r="1072">
          <cell r="D1072" t="str">
            <v>Female BB RS-550 100</v>
          </cell>
          <cell r="E1072">
            <v>3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</row>
        <row r="1073">
          <cell r="D1073" t="str">
            <v>Female BB RS-775 -3</v>
          </cell>
          <cell r="E1073">
            <v>1</v>
          </cell>
          <cell r="F1073">
            <v>1</v>
          </cell>
          <cell r="G1073">
            <v>1</v>
          </cell>
          <cell r="H1073">
            <v>0</v>
          </cell>
          <cell r="I1073">
            <v>1</v>
          </cell>
        </row>
        <row r="1074">
          <cell r="D1074" t="str">
            <v>Female BB RS-775 -4</v>
          </cell>
          <cell r="E1074">
            <v>1</v>
          </cell>
          <cell r="F1074">
            <v>1</v>
          </cell>
          <cell r="G1074">
            <v>1</v>
          </cell>
          <cell r="H1074">
            <v>0</v>
          </cell>
          <cell r="I1074">
            <v>1</v>
          </cell>
        </row>
        <row r="1075">
          <cell r="D1075" t="str">
            <v>Female BB RS-775 -5</v>
          </cell>
          <cell r="E1075">
            <v>1</v>
          </cell>
          <cell r="F1075">
            <v>1</v>
          </cell>
          <cell r="G1075">
            <v>1</v>
          </cell>
          <cell r="H1075">
            <v>0</v>
          </cell>
          <cell r="I1075">
            <v>1</v>
          </cell>
        </row>
        <row r="1076">
          <cell r="D1076" t="str">
            <v>Female BB RS-775 -7</v>
          </cell>
          <cell r="E1076">
            <v>1</v>
          </cell>
          <cell r="F1076">
            <v>1</v>
          </cell>
          <cell r="G1076">
            <v>0</v>
          </cell>
          <cell r="H1076">
            <v>0</v>
          </cell>
          <cell r="I1076">
            <v>1</v>
          </cell>
        </row>
        <row r="1077">
          <cell r="D1077" t="str">
            <v>Female BB RS-775 -9</v>
          </cell>
          <cell r="E1077">
            <v>1</v>
          </cell>
          <cell r="F1077">
            <v>1</v>
          </cell>
          <cell r="G1077">
            <v>0</v>
          </cell>
          <cell r="H1077">
            <v>0</v>
          </cell>
          <cell r="I1077">
            <v>1</v>
          </cell>
        </row>
        <row r="1078">
          <cell r="D1078" t="str">
            <v>Female BB RS-775 -10</v>
          </cell>
          <cell r="E1078">
            <v>1</v>
          </cell>
          <cell r="F1078">
            <v>1</v>
          </cell>
          <cell r="G1078">
            <v>0</v>
          </cell>
          <cell r="H1078">
            <v>0</v>
          </cell>
          <cell r="I1078">
            <v>1</v>
          </cell>
        </row>
        <row r="1079">
          <cell r="D1079" t="str">
            <v>Female BB RS-775 9</v>
          </cell>
          <cell r="E1079">
            <v>10</v>
          </cell>
          <cell r="F1079">
            <v>5</v>
          </cell>
          <cell r="G1079">
            <v>0</v>
          </cell>
          <cell r="H1079">
            <v>0</v>
          </cell>
          <cell r="I1079">
            <v>10</v>
          </cell>
        </row>
        <row r="1080">
          <cell r="D1080" t="str">
            <v>Female BB RS-775 12</v>
          </cell>
          <cell r="E1080">
            <v>10</v>
          </cell>
          <cell r="F1080">
            <v>5</v>
          </cell>
          <cell r="G1080">
            <v>0</v>
          </cell>
          <cell r="H1080">
            <v>0</v>
          </cell>
          <cell r="I1080">
            <v>10</v>
          </cell>
        </row>
        <row r="1081">
          <cell r="D1081" t="str">
            <v>Female BB RS-775 15</v>
          </cell>
          <cell r="E1081">
            <v>10</v>
          </cell>
          <cell r="F1081">
            <v>5</v>
          </cell>
          <cell r="G1081">
            <v>0</v>
          </cell>
          <cell r="H1081">
            <v>0</v>
          </cell>
          <cell r="I1081">
            <v>7</v>
          </cell>
        </row>
        <row r="1082">
          <cell r="D1082" t="str">
            <v>Female BB RS-775 16</v>
          </cell>
          <cell r="E1082">
            <v>10</v>
          </cell>
          <cell r="F1082">
            <v>5</v>
          </cell>
          <cell r="G1082">
            <v>0</v>
          </cell>
          <cell r="H1082">
            <v>0</v>
          </cell>
          <cell r="I1082">
            <v>7</v>
          </cell>
        </row>
        <row r="1083">
          <cell r="D1083" t="str">
            <v>Female BB RS-775 20</v>
          </cell>
          <cell r="E1083">
            <v>10</v>
          </cell>
          <cell r="F1083">
            <v>4</v>
          </cell>
          <cell r="G1083">
            <v>0</v>
          </cell>
          <cell r="H1083">
            <v>0</v>
          </cell>
          <cell r="I1083">
            <v>5</v>
          </cell>
        </row>
        <row r="1084">
          <cell r="D1084" t="str">
            <v>Female BB RS-775 21</v>
          </cell>
          <cell r="E1084">
            <v>10</v>
          </cell>
          <cell r="F1084">
            <v>4</v>
          </cell>
          <cell r="G1084">
            <v>0</v>
          </cell>
          <cell r="H1084">
            <v>0</v>
          </cell>
          <cell r="I1084">
            <v>5</v>
          </cell>
        </row>
        <row r="1085">
          <cell r="D1085" t="str">
            <v>Female BB RS-775 25</v>
          </cell>
          <cell r="E1085">
            <v>7</v>
          </cell>
          <cell r="F1085">
            <v>3</v>
          </cell>
          <cell r="G1085">
            <v>0</v>
          </cell>
          <cell r="H1085">
            <v>0</v>
          </cell>
          <cell r="I1085">
            <v>5</v>
          </cell>
        </row>
        <row r="1086">
          <cell r="D1086" t="str">
            <v>Female BB RS-775 27</v>
          </cell>
          <cell r="E1086">
            <v>7</v>
          </cell>
          <cell r="F1086">
            <v>3</v>
          </cell>
          <cell r="G1086">
            <v>0</v>
          </cell>
          <cell r="H1086">
            <v>0</v>
          </cell>
          <cell r="I1086">
            <v>4</v>
          </cell>
        </row>
        <row r="1087">
          <cell r="D1087" t="str">
            <v>Female BB RS-775 28</v>
          </cell>
          <cell r="E1087">
            <v>7</v>
          </cell>
          <cell r="F1087">
            <v>3</v>
          </cell>
          <cell r="G1087">
            <v>0</v>
          </cell>
          <cell r="H1087">
            <v>0</v>
          </cell>
          <cell r="I1087">
            <v>4</v>
          </cell>
        </row>
        <row r="1088">
          <cell r="D1088" t="str">
            <v>Female BB RS-775 30</v>
          </cell>
          <cell r="E1088">
            <v>7</v>
          </cell>
          <cell r="F1088">
            <v>3</v>
          </cell>
          <cell r="G1088">
            <v>0</v>
          </cell>
          <cell r="H1088">
            <v>0</v>
          </cell>
          <cell r="I1088">
            <v>4</v>
          </cell>
        </row>
        <row r="1089">
          <cell r="D1089" t="str">
            <v>Female BB RS-775 35</v>
          </cell>
          <cell r="E1089">
            <v>5</v>
          </cell>
          <cell r="F1089">
            <v>1</v>
          </cell>
          <cell r="G1089">
            <v>0</v>
          </cell>
          <cell r="H1089">
            <v>0</v>
          </cell>
          <cell r="I1089">
            <v>3</v>
          </cell>
        </row>
        <row r="1090">
          <cell r="D1090" t="str">
            <v>Female BB RS-775 36</v>
          </cell>
          <cell r="E1090">
            <v>5</v>
          </cell>
          <cell r="F1090">
            <v>1</v>
          </cell>
          <cell r="G1090">
            <v>0</v>
          </cell>
          <cell r="H1090">
            <v>0</v>
          </cell>
          <cell r="I1090">
            <v>3</v>
          </cell>
        </row>
        <row r="1091">
          <cell r="D1091" t="str">
            <v>Female BB RS-775 40</v>
          </cell>
          <cell r="E1091">
            <v>5</v>
          </cell>
          <cell r="F1091">
            <v>1</v>
          </cell>
          <cell r="G1091">
            <v>0</v>
          </cell>
          <cell r="H1091">
            <v>0</v>
          </cell>
          <cell r="I1091">
            <v>3</v>
          </cell>
        </row>
        <row r="1092">
          <cell r="D1092" t="str">
            <v>Female BB RS-775 45</v>
          </cell>
          <cell r="E1092">
            <v>5</v>
          </cell>
          <cell r="F1092">
            <v>1</v>
          </cell>
          <cell r="G1092">
            <v>0</v>
          </cell>
          <cell r="H1092">
            <v>0</v>
          </cell>
          <cell r="I1092">
            <v>1</v>
          </cell>
        </row>
        <row r="1093">
          <cell r="D1093" t="str">
            <v>Female BB RS-775 49</v>
          </cell>
          <cell r="E1093">
            <v>5</v>
          </cell>
          <cell r="F1093">
            <v>1</v>
          </cell>
          <cell r="G1093">
            <v>0</v>
          </cell>
          <cell r="H1093">
            <v>0</v>
          </cell>
          <cell r="I1093">
            <v>1</v>
          </cell>
        </row>
        <row r="1094">
          <cell r="D1094" t="str">
            <v>Female BB RS-775 50</v>
          </cell>
          <cell r="E1094">
            <v>5</v>
          </cell>
          <cell r="F1094">
            <v>1</v>
          </cell>
          <cell r="G1094">
            <v>0</v>
          </cell>
          <cell r="H1094">
            <v>0</v>
          </cell>
          <cell r="I1094">
            <v>1</v>
          </cell>
        </row>
        <row r="1095">
          <cell r="D1095" t="str">
            <v>Female BB RS-775 63</v>
          </cell>
          <cell r="E1095">
            <v>5</v>
          </cell>
          <cell r="F1095">
            <v>0</v>
          </cell>
          <cell r="G1095">
            <v>0</v>
          </cell>
          <cell r="H1095">
            <v>0</v>
          </cell>
          <cell r="I1095">
            <v>1</v>
          </cell>
        </row>
        <row r="1096">
          <cell r="D1096" t="str">
            <v>Female BB RS-775 70</v>
          </cell>
          <cell r="E1096">
            <v>4</v>
          </cell>
          <cell r="F1096">
            <v>0</v>
          </cell>
          <cell r="G1096">
            <v>0</v>
          </cell>
          <cell r="H1096">
            <v>0</v>
          </cell>
          <cell r="I1096">
            <v>1</v>
          </cell>
        </row>
        <row r="1097">
          <cell r="D1097" t="str">
            <v>Female BB RS-775 81</v>
          </cell>
          <cell r="E1097">
            <v>4</v>
          </cell>
          <cell r="F1097">
            <v>0</v>
          </cell>
          <cell r="G1097">
            <v>0</v>
          </cell>
          <cell r="H1097">
            <v>0</v>
          </cell>
          <cell r="I1097">
            <v>1</v>
          </cell>
        </row>
        <row r="1098">
          <cell r="D1098" t="str">
            <v>Female BB RS-775 90</v>
          </cell>
          <cell r="E1098">
            <v>3</v>
          </cell>
          <cell r="F1098">
            <v>0</v>
          </cell>
          <cell r="G1098">
            <v>0</v>
          </cell>
          <cell r="H1098">
            <v>0</v>
          </cell>
          <cell r="I1098">
            <v>1</v>
          </cell>
        </row>
        <row r="1099">
          <cell r="D1099" t="str">
            <v>Female BB RS-775 100</v>
          </cell>
          <cell r="E1099">
            <v>3</v>
          </cell>
          <cell r="F1099">
            <v>0</v>
          </cell>
          <cell r="G1099">
            <v>0</v>
          </cell>
          <cell r="H1099">
            <v>0</v>
          </cell>
          <cell r="I1099">
            <v>1</v>
          </cell>
        </row>
        <row r="1100">
          <cell r="D1100" t="str">
            <v>Female BAG Motor -3</v>
          </cell>
          <cell r="E1100">
            <v>1</v>
          </cell>
          <cell r="F1100">
            <v>1</v>
          </cell>
          <cell r="G1100">
            <v>1</v>
          </cell>
          <cell r="H1100">
            <v>0</v>
          </cell>
          <cell r="I1100">
            <v>1</v>
          </cell>
        </row>
        <row r="1101">
          <cell r="D1101" t="str">
            <v>Female BAG Motor -4</v>
          </cell>
          <cell r="E1101">
            <v>1</v>
          </cell>
          <cell r="F1101">
            <v>1</v>
          </cell>
          <cell r="G1101">
            <v>1</v>
          </cell>
          <cell r="H1101">
            <v>0</v>
          </cell>
          <cell r="I1101">
            <v>1</v>
          </cell>
        </row>
        <row r="1102">
          <cell r="D1102" t="str">
            <v>Female BAG Motor -5</v>
          </cell>
          <cell r="E1102">
            <v>1</v>
          </cell>
          <cell r="F1102">
            <v>1</v>
          </cell>
          <cell r="G1102">
            <v>1</v>
          </cell>
          <cell r="H1102">
            <v>0</v>
          </cell>
          <cell r="I1102">
            <v>1</v>
          </cell>
        </row>
        <row r="1103">
          <cell r="D1103" t="str">
            <v>Female BAG Motor -7</v>
          </cell>
          <cell r="E1103">
            <v>1</v>
          </cell>
          <cell r="F1103">
            <v>1</v>
          </cell>
          <cell r="G1103">
            <v>1</v>
          </cell>
          <cell r="H1103">
            <v>0</v>
          </cell>
          <cell r="I1103">
            <v>1</v>
          </cell>
        </row>
        <row r="1104">
          <cell r="D1104" t="str">
            <v>Female BAG Motor -9</v>
          </cell>
          <cell r="E1104">
            <v>1</v>
          </cell>
          <cell r="F1104">
            <v>1</v>
          </cell>
          <cell r="G1104">
            <v>0</v>
          </cell>
          <cell r="H1104">
            <v>0</v>
          </cell>
          <cell r="I1104">
            <v>1</v>
          </cell>
        </row>
        <row r="1105">
          <cell r="D1105" t="str">
            <v>Female BAG Motor -10</v>
          </cell>
          <cell r="E1105">
            <v>1</v>
          </cell>
          <cell r="F1105">
            <v>1</v>
          </cell>
          <cell r="G1105">
            <v>0</v>
          </cell>
          <cell r="H1105">
            <v>0</v>
          </cell>
          <cell r="I1105">
            <v>1</v>
          </cell>
        </row>
        <row r="1106">
          <cell r="D1106" t="str">
            <v>Female BAG Motor 9</v>
          </cell>
          <cell r="E1106">
            <v>10</v>
          </cell>
          <cell r="F1106">
            <v>10</v>
          </cell>
          <cell r="G1106">
            <v>1</v>
          </cell>
          <cell r="H1106">
            <v>0</v>
          </cell>
          <cell r="I1106">
            <v>9</v>
          </cell>
        </row>
        <row r="1107">
          <cell r="D1107" t="str">
            <v>Female BAG Motor 12</v>
          </cell>
          <cell r="E1107">
            <v>10</v>
          </cell>
          <cell r="F1107">
            <v>9</v>
          </cell>
          <cell r="G1107">
            <v>1</v>
          </cell>
          <cell r="H1107">
            <v>0</v>
          </cell>
          <cell r="I1107">
            <v>5</v>
          </cell>
        </row>
        <row r="1108">
          <cell r="D1108" t="str">
            <v>Female BAG Motor 15</v>
          </cell>
          <cell r="E1108">
            <v>10</v>
          </cell>
          <cell r="F1108">
            <v>7</v>
          </cell>
          <cell r="G1108">
            <v>0</v>
          </cell>
          <cell r="H1108">
            <v>0</v>
          </cell>
          <cell r="I1108">
            <v>5</v>
          </cell>
        </row>
        <row r="1109">
          <cell r="D1109" t="str">
            <v>Female BAG Motor 16</v>
          </cell>
          <cell r="E1109">
            <v>10</v>
          </cell>
          <cell r="F1109">
            <v>5</v>
          </cell>
          <cell r="G1109">
            <v>0</v>
          </cell>
          <cell r="H1109">
            <v>0</v>
          </cell>
          <cell r="I1109">
            <v>5</v>
          </cell>
        </row>
        <row r="1110">
          <cell r="D1110" t="str">
            <v>Female BAG Motor 20</v>
          </cell>
          <cell r="E1110">
            <v>9</v>
          </cell>
          <cell r="F1110">
            <v>5</v>
          </cell>
          <cell r="G1110">
            <v>0</v>
          </cell>
          <cell r="H1110">
            <v>0</v>
          </cell>
          <cell r="I1110">
            <v>4</v>
          </cell>
        </row>
        <row r="1111">
          <cell r="D1111" t="str">
            <v>Female BAG Motor 21</v>
          </cell>
          <cell r="E1111">
            <v>9</v>
          </cell>
          <cell r="F1111">
            <v>5</v>
          </cell>
          <cell r="G1111">
            <v>0</v>
          </cell>
          <cell r="H1111">
            <v>0</v>
          </cell>
          <cell r="I1111">
            <v>3</v>
          </cell>
        </row>
        <row r="1112">
          <cell r="D1112" t="str">
            <v>Female BAG Motor 25</v>
          </cell>
          <cell r="E1112">
            <v>7</v>
          </cell>
          <cell r="F1112">
            <v>5</v>
          </cell>
          <cell r="G1112">
            <v>0</v>
          </cell>
          <cell r="H1112">
            <v>0</v>
          </cell>
          <cell r="I1112">
            <v>3</v>
          </cell>
        </row>
        <row r="1113">
          <cell r="D1113" t="str">
            <v>Female BAG Motor 27</v>
          </cell>
          <cell r="E1113">
            <v>7</v>
          </cell>
          <cell r="F1113">
            <v>5</v>
          </cell>
          <cell r="G1113">
            <v>0</v>
          </cell>
          <cell r="H1113">
            <v>0</v>
          </cell>
          <cell r="I1113">
            <v>3</v>
          </cell>
        </row>
        <row r="1114">
          <cell r="D1114" t="str">
            <v>Female BAG Motor 28</v>
          </cell>
          <cell r="E1114">
            <v>7</v>
          </cell>
          <cell r="F1114">
            <v>5</v>
          </cell>
          <cell r="G1114">
            <v>0</v>
          </cell>
          <cell r="H1114">
            <v>0</v>
          </cell>
          <cell r="I1114">
            <v>1</v>
          </cell>
        </row>
        <row r="1115">
          <cell r="D1115" t="str">
            <v>Female BAG Motor 30</v>
          </cell>
          <cell r="E1115">
            <v>5</v>
          </cell>
          <cell r="F1115">
            <v>5</v>
          </cell>
          <cell r="G1115">
            <v>0</v>
          </cell>
          <cell r="H1115">
            <v>0</v>
          </cell>
          <cell r="I1115">
            <v>1</v>
          </cell>
        </row>
        <row r="1116">
          <cell r="D1116" t="str">
            <v>Female BAG Motor 35</v>
          </cell>
          <cell r="E1116">
            <v>5</v>
          </cell>
          <cell r="F1116">
            <v>4</v>
          </cell>
          <cell r="G1116">
            <v>0</v>
          </cell>
          <cell r="H1116">
            <v>0</v>
          </cell>
          <cell r="I1116">
            <v>1</v>
          </cell>
        </row>
        <row r="1117">
          <cell r="D1117" t="str">
            <v>Female BAG Motor 36</v>
          </cell>
          <cell r="E1117">
            <v>5</v>
          </cell>
          <cell r="F1117">
            <v>4</v>
          </cell>
          <cell r="G1117">
            <v>0</v>
          </cell>
          <cell r="H1117">
            <v>0</v>
          </cell>
          <cell r="I1117">
            <v>1</v>
          </cell>
        </row>
        <row r="1118">
          <cell r="D1118" t="str">
            <v>Female BAG Motor 40</v>
          </cell>
          <cell r="E1118">
            <v>5</v>
          </cell>
          <cell r="F1118">
            <v>4</v>
          </cell>
          <cell r="G1118">
            <v>0</v>
          </cell>
          <cell r="H1118">
            <v>0</v>
          </cell>
          <cell r="I1118">
            <v>1</v>
          </cell>
        </row>
        <row r="1119">
          <cell r="D1119" t="str">
            <v>Female BAG Motor 45</v>
          </cell>
          <cell r="E1119">
            <v>5</v>
          </cell>
          <cell r="F1119">
            <v>3</v>
          </cell>
          <cell r="G1119">
            <v>0</v>
          </cell>
          <cell r="H1119">
            <v>0</v>
          </cell>
          <cell r="I1119">
            <v>1</v>
          </cell>
        </row>
        <row r="1120">
          <cell r="D1120" t="str">
            <v>Female BAG Motor 49</v>
          </cell>
          <cell r="E1120">
            <v>5</v>
          </cell>
          <cell r="F1120">
            <v>3</v>
          </cell>
          <cell r="G1120">
            <v>0</v>
          </cell>
          <cell r="H1120">
            <v>0</v>
          </cell>
          <cell r="I1120">
            <v>1</v>
          </cell>
        </row>
        <row r="1121">
          <cell r="D1121" t="str">
            <v>Female BAG Motor 50</v>
          </cell>
          <cell r="E1121">
            <v>5</v>
          </cell>
          <cell r="F1121">
            <v>3</v>
          </cell>
          <cell r="G1121">
            <v>0</v>
          </cell>
          <cell r="H1121">
            <v>0</v>
          </cell>
          <cell r="I1121">
            <v>1</v>
          </cell>
        </row>
        <row r="1122">
          <cell r="D1122" t="str">
            <v>Female BAG Motor 63</v>
          </cell>
          <cell r="E1122">
            <v>4</v>
          </cell>
          <cell r="F1122">
            <v>1</v>
          </cell>
          <cell r="G1122">
            <v>0</v>
          </cell>
          <cell r="H1122">
            <v>0</v>
          </cell>
          <cell r="I1122">
            <v>1</v>
          </cell>
        </row>
        <row r="1123">
          <cell r="D1123" t="str">
            <v>Female BAG Motor 70</v>
          </cell>
          <cell r="E1123">
            <v>4</v>
          </cell>
          <cell r="F1123">
            <v>1</v>
          </cell>
          <cell r="G1123">
            <v>0</v>
          </cell>
          <cell r="H1123">
            <v>0</v>
          </cell>
          <cell r="I1123">
            <v>1</v>
          </cell>
        </row>
        <row r="1124">
          <cell r="D1124" t="str">
            <v>Female BAG Motor 81</v>
          </cell>
          <cell r="E1124">
            <v>3</v>
          </cell>
          <cell r="F1124">
            <v>1</v>
          </cell>
          <cell r="G1124">
            <v>0</v>
          </cell>
          <cell r="H1124">
            <v>0</v>
          </cell>
          <cell r="I1124">
            <v>1</v>
          </cell>
        </row>
        <row r="1125">
          <cell r="D1125" t="str">
            <v>Female BAG Motor 90</v>
          </cell>
          <cell r="E1125">
            <v>3</v>
          </cell>
          <cell r="F1125">
            <v>1</v>
          </cell>
          <cell r="G1125">
            <v>0</v>
          </cell>
          <cell r="H1125">
            <v>0</v>
          </cell>
          <cell r="I1125">
            <v>0</v>
          </cell>
        </row>
        <row r="1126">
          <cell r="D1126" t="str">
            <v>Female BAG Motor 100</v>
          </cell>
          <cell r="E1126">
            <v>3</v>
          </cell>
          <cell r="F1126">
            <v>1</v>
          </cell>
          <cell r="G1126">
            <v>0</v>
          </cell>
          <cell r="H1126">
            <v>0</v>
          </cell>
          <cell r="I1126">
            <v>0</v>
          </cell>
        </row>
        <row r="1127">
          <cell r="D1127" t="str">
            <v>Female 775pro -3</v>
          </cell>
          <cell r="E1127">
            <v>1</v>
          </cell>
          <cell r="F1127">
            <v>1</v>
          </cell>
          <cell r="G1127">
            <v>1</v>
          </cell>
          <cell r="H1127">
            <v>0</v>
          </cell>
          <cell r="I1127">
            <v>1</v>
          </cell>
        </row>
        <row r="1128">
          <cell r="D1128" t="str">
            <v>Female 775pro -4</v>
          </cell>
          <cell r="E1128">
            <v>1</v>
          </cell>
          <cell r="F1128">
            <v>1</v>
          </cell>
          <cell r="G1128">
            <v>1</v>
          </cell>
          <cell r="H1128">
            <v>0</v>
          </cell>
          <cell r="I1128">
            <v>1</v>
          </cell>
        </row>
        <row r="1129">
          <cell r="D1129" t="str">
            <v>Female 775pro -5</v>
          </cell>
          <cell r="E1129">
            <v>1</v>
          </cell>
          <cell r="F1129">
            <v>1</v>
          </cell>
          <cell r="G1129">
            <v>1</v>
          </cell>
          <cell r="H1129">
            <v>0</v>
          </cell>
          <cell r="I1129">
            <v>1</v>
          </cell>
        </row>
        <row r="1130">
          <cell r="D1130" t="str">
            <v>Female 775pro -7</v>
          </cell>
          <cell r="E1130">
            <v>1</v>
          </cell>
          <cell r="F1130">
            <v>1</v>
          </cell>
          <cell r="G1130">
            <v>0</v>
          </cell>
          <cell r="H1130">
            <v>0</v>
          </cell>
          <cell r="I1130">
            <v>1</v>
          </cell>
        </row>
        <row r="1131">
          <cell r="D1131" t="str">
            <v>Female 775pro -9</v>
          </cell>
          <cell r="E1131">
            <v>1</v>
          </cell>
          <cell r="F1131">
            <v>1</v>
          </cell>
          <cell r="G1131">
            <v>0</v>
          </cell>
          <cell r="H1131">
            <v>0</v>
          </cell>
          <cell r="I1131">
            <v>1</v>
          </cell>
        </row>
        <row r="1132">
          <cell r="D1132" t="str">
            <v>Female 775pro -10</v>
          </cell>
          <cell r="E1132">
            <v>1</v>
          </cell>
          <cell r="F1132">
            <v>1</v>
          </cell>
          <cell r="G1132">
            <v>0</v>
          </cell>
          <cell r="H1132">
            <v>0</v>
          </cell>
          <cell r="I1132">
            <v>1</v>
          </cell>
        </row>
        <row r="1133">
          <cell r="D1133" t="str">
            <v>Female 775pro 9</v>
          </cell>
          <cell r="E1133">
            <v>10</v>
          </cell>
          <cell r="F1133">
            <v>7</v>
          </cell>
          <cell r="G1133">
            <v>0</v>
          </cell>
          <cell r="H1133">
            <v>0</v>
          </cell>
          <cell r="I1133">
            <v>5</v>
          </cell>
        </row>
        <row r="1134">
          <cell r="D1134" t="str">
            <v>Female 775pro 12</v>
          </cell>
          <cell r="E1134">
            <v>10</v>
          </cell>
          <cell r="F1134">
            <v>5</v>
          </cell>
          <cell r="G1134">
            <v>0</v>
          </cell>
          <cell r="H1134">
            <v>0</v>
          </cell>
          <cell r="I1134">
            <v>4</v>
          </cell>
        </row>
        <row r="1135">
          <cell r="D1135" t="str">
            <v>Female 775pro 15</v>
          </cell>
          <cell r="E1135">
            <v>9</v>
          </cell>
          <cell r="F1135">
            <v>5</v>
          </cell>
          <cell r="G1135">
            <v>0</v>
          </cell>
          <cell r="H1135">
            <v>0</v>
          </cell>
          <cell r="I1135">
            <v>3</v>
          </cell>
        </row>
        <row r="1136">
          <cell r="D1136" t="str">
            <v>Female 775pro 16</v>
          </cell>
          <cell r="E1136">
            <v>7</v>
          </cell>
          <cell r="F1136">
            <v>5</v>
          </cell>
          <cell r="G1136">
            <v>0</v>
          </cell>
          <cell r="H1136">
            <v>0</v>
          </cell>
          <cell r="I1136">
            <v>3</v>
          </cell>
        </row>
        <row r="1137">
          <cell r="D1137" t="str">
            <v>Female 775pro 20</v>
          </cell>
          <cell r="E1137">
            <v>5</v>
          </cell>
          <cell r="F1137">
            <v>5</v>
          </cell>
          <cell r="G1137">
            <v>0</v>
          </cell>
          <cell r="H1137">
            <v>0</v>
          </cell>
          <cell r="I1137">
            <v>1</v>
          </cell>
        </row>
        <row r="1138">
          <cell r="D1138" t="str">
            <v>Female 775pro 21</v>
          </cell>
          <cell r="E1138">
            <v>5</v>
          </cell>
          <cell r="F1138">
            <v>5</v>
          </cell>
          <cell r="G1138">
            <v>0</v>
          </cell>
          <cell r="H1138">
            <v>0</v>
          </cell>
          <cell r="I1138">
            <v>1</v>
          </cell>
        </row>
        <row r="1139">
          <cell r="D1139" t="str">
            <v>Female 775pro 25</v>
          </cell>
          <cell r="E1139">
            <v>5</v>
          </cell>
          <cell r="F1139">
            <v>4</v>
          </cell>
          <cell r="G1139">
            <v>0</v>
          </cell>
          <cell r="H1139">
            <v>0</v>
          </cell>
          <cell r="I1139">
            <v>1</v>
          </cell>
        </row>
        <row r="1140">
          <cell r="D1140" t="str">
            <v>Female 775pro 27</v>
          </cell>
          <cell r="E1140">
            <v>5</v>
          </cell>
          <cell r="F1140">
            <v>4</v>
          </cell>
          <cell r="G1140">
            <v>0</v>
          </cell>
          <cell r="H1140">
            <v>0</v>
          </cell>
          <cell r="I1140">
            <v>1</v>
          </cell>
        </row>
        <row r="1141">
          <cell r="D1141" t="str">
            <v>Female 775pro 28</v>
          </cell>
          <cell r="E1141">
            <v>5</v>
          </cell>
          <cell r="F1141">
            <v>3</v>
          </cell>
          <cell r="G1141">
            <v>0</v>
          </cell>
          <cell r="H1141">
            <v>0</v>
          </cell>
          <cell r="I1141">
            <v>1</v>
          </cell>
        </row>
        <row r="1142">
          <cell r="D1142" t="str">
            <v>Female 775pro 30</v>
          </cell>
          <cell r="E1142">
            <v>5</v>
          </cell>
          <cell r="F1142">
            <v>3</v>
          </cell>
          <cell r="G1142">
            <v>0</v>
          </cell>
          <cell r="H1142">
            <v>0</v>
          </cell>
          <cell r="I1142">
            <v>1</v>
          </cell>
        </row>
        <row r="1143">
          <cell r="D1143" t="str">
            <v>Female 775pro 35</v>
          </cell>
          <cell r="E1143">
            <v>5</v>
          </cell>
          <cell r="F1143">
            <v>3</v>
          </cell>
          <cell r="G1143">
            <v>0</v>
          </cell>
          <cell r="H1143">
            <v>0</v>
          </cell>
          <cell r="I1143">
            <v>1</v>
          </cell>
        </row>
        <row r="1144">
          <cell r="D1144" t="str">
            <v>Female 775pro 36</v>
          </cell>
          <cell r="E1144">
            <v>5</v>
          </cell>
          <cell r="F1144">
            <v>3</v>
          </cell>
          <cell r="G1144">
            <v>0</v>
          </cell>
          <cell r="H1144">
            <v>0</v>
          </cell>
          <cell r="I1144">
            <v>1</v>
          </cell>
        </row>
        <row r="1145">
          <cell r="D1145" t="str">
            <v>Female 775pro 40</v>
          </cell>
          <cell r="E1145">
            <v>5</v>
          </cell>
          <cell r="F1145">
            <v>1</v>
          </cell>
          <cell r="G1145">
            <v>0</v>
          </cell>
          <cell r="H1145">
            <v>0</v>
          </cell>
          <cell r="I1145">
            <v>1</v>
          </cell>
        </row>
        <row r="1146">
          <cell r="D1146" t="str">
            <v>Female 775pro 45</v>
          </cell>
          <cell r="E1146">
            <v>4</v>
          </cell>
          <cell r="F1146">
            <v>1</v>
          </cell>
          <cell r="G1146">
            <v>0</v>
          </cell>
          <cell r="H1146">
            <v>0</v>
          </cell>
          <cell r="I1146">
            <v>1</v>
          </cell>
        </row>
        <row r="1147">
          <cell r="D1147" t="str">
            <v>Female 775pro 49</v>
          </cell>
          <cell r="E1147">
            <v>4</v>
          </cell>
          <cell r="F1147">
            <v>1</v>
          </cell>
          <cell r="G1147">
            <v>0</v>
          </cell>
          <cell r="H1147">
            <v>0</v>
          </cell>
          <cell r="I1147">
            <v>1</v>
          </cell>
        </row>
        <row r="1148">
          <cell r="D1148" t="str">
            <v>Female 775pro 50</v>
          </cell>
          <cell r="E1148">
            <v>4</v>
          </cell>
          <cell r="F1148">
            <v>1</v>
          </cell>
          <cell r="G1148">
            <v>0</v>
          </cell>
          <cell r="H1148">
            <v>0</v>
          </cell>
          <cell r="I1148">
            <v>0</v>
          </cell>
        </row>
        <row r="1149">
          <cell r="D1149" t="str">
            <v>Female 775pro 63</v>
          </cell>
          <cell r="E1149">
            <v>3</v>
          </cell>
          <cell r="F1149">
            <v>1</v>
          </cell>
          <cell r="G1149">
            <v>0</v>
          </cell>
          <cell r="H1149">
            <v>0</v>
          </cell>
          <cell r="I1149">
            <v>0</v>
          </cell>
        </row>
        <row r="1150">
          <cell r="D1150" t="str">
            <v>Female 775pro 70</v>
          </cell>
          <cell r="E1150">
            <v>3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</row>
        <row r="1151">
          <cell r="D1151" t="str">
            <v>Female 775pro 81</v>
          </cell>
          <cell r="E1151">
            <v>1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</row>
        <row r="1152">
          <cell r="D1152" t="str">
            <v>Female 775pro 90</v>
          </cell>
          <cell r="E1152">
            <v>1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</row>
        <row r="1153">
          <cell r="D1153" t="str">
            <v>Female 775pro 100</v>
          </cell>
          <cell r="E1153">
            <v>1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</row>
        <row r="1154">
          <cell r="D1154" t="str">
            <v>Female Mini CIM -3</v>
          </cell>
          <cell r="E1154">
            <v>1</v>
          </cell>
          <cell r="I1154">
            <v>0</v>
          </cell>
        </row>
        <row r="1155">
          <cell r="D1155" t="str">
            <v>Female Mini CIM -4</v>
          </cell>
          <cell r="E1155">
            <v>1</v>
          </cell>
          <cell r="I1155">
            <v>0</v>
          </cell>
        </row>
        <row r="1156">
          <cell r="D1156" t="str">
            <v>Female Mini CIM -5</v>
          </cell>
          <cell r="E1156">
            <v>1</v>
          </cell>
          <cell r="I1156">
            <v>0</v>
          </cell>
        </row>
        <row r="1157">
          <cell r="D1157" t="str">
            <v>Female Mini CIM -7</v>
          </cell>
          <cell r="E1157">
            <v>1</v>
          </cell>
          <cell r="I1157">
            <v>0</v>
          </cell>
        </row>
        <row r="1158">
          <cell r="D1158" t="str">
            <v>Female Mini CIM -9</v>
          </cell>
          <cell r="E1158">
            <v>1</v>
          </cell>
          <cell r="I1158">
            <v>0</v>
          </cell>
        </row>
        <row r="1159">
          <cell r="D1159" t="str">
            <v>Female Mini CIM -10</v>
          </cell>
          <cell r="E1159">
            <v>1</v>
          </cell>
          <cell r="I1159">
            <v>0</v>
          </cell>
        </row>
        <row r="1160">
          <cell r="D1160" t="str">
            <v>Female Mini CIM 9</v>
          </cell>
          <cell r="E1160">
            <v>7</v>
          </cell>
          <cell r="I1160">
            <v>0</v>
          </cell>
        </row>
        <row r="1161">
          <cell r="D1161" t="str">
            <v>Female Mini CIM 12</v>
          </cell>
          <cell r="E1161">
            <v>5</v>
          </cell>
          <cell r="I1161">
            <v>0</v>
          </cell>
        </row>
        <row r="1162">
          <cell r="D1162" t="str">
            <v>Female Mini CIM 15</v>
          </cell>
          <cell r="E1162">
            <v>5</v>
          </cell>
          <cell r="I1162">
            <v>0</v>
          </cell>
        </row>
        <row r="1163">
          <cell r="D1163" t="str">
            <v>Female Mini CIM 16</v>
          </cell>
          <cell r="E1163">
            <v>5</v>
          </cell>
          <cell r="I1163">
            <v>0</v>
          </cell>
        </row>
        <row r="1164">
          <cell r="D1164" t="str">
            <v>Female Mini CIM 20</v>
          </cell>
          <cell r="E1164">
            <v>5</v>
          </cell>
          <cell r="I1164">
            <v>0</v>
          </cell>
        </row>
        <row r="1165">
          <cell r="D1165" t="str">
            <v>Female Mini CIM 21</v>
          </cell>
          <cell r="E1165">
            <v>5</v>
          </cell>
          <cell r="I1165">
            <v>0</v>
          </cell>
        </row>
        <row r="1166">
          <cell r="D1166" t="str">
            <v>Female Mini CIM 25</v>
          </cell>
          <cell r="E1166">
            <v>4</v>
          </cell>
          <cell r="I1166">
            <v>0</v>
          </cell>
        </row>
        <row r="1167">
          <cell r="D1167" t="str">
            <v>Female Mini CIM 27</v>
          </cell>
          <cell r="E1167">
            <v>4</v>
          </cell>
          <cell r="I1167">
            <v>0</v>
          </cell>
        </row>
        <row r="1168">
          <cell r="D1168" t="str">
            <v>Female Mini CIM 28</v>
          </cell>
          <cell r="E1168">
            <v>3</v>
          </cell>
          <cell r="I1168">
            <v>0</v>
          </cell>
        </row>
        <row r="1169">
          <cell r="D1169" t="str">
            <v>Female Mini CIM 30</v>
          </cell>
          <cell r="E1169">
            <v>3</v>
          </cell>
          <cell r="I1169">
            <v>0</v>
          </cell>
        </row>
        <row r="1170">
          <cell r="D1170" t="str">
            <v>Female Mini CIM 35</v>
          </cell>
          <cell r="E1170">
            <v>3</v>
          </cell>
          <cell r="I1170">
            <v>0</v>
          </cell>
        </row>
        <row r="1171">
          <cell r="D1171" t="str">
            <v>Female Mini CIM 36</v>
          </cell>
          <cell r="E1171">
            <v>3</v>
          </cell>
          <cell r="I1171">
            <v>0</v>
          </cell>
        </row>
        <row r="1172">
          <cell r="D1172" t="str">
            <v>Female Mini CIM 40</v>
          </cell>
          <cell r="E1172">
            <v>1</v>
          </cell>
          <cell r="I1172">
            <v>0</v>
          </cell>
        </row>
        <row r="1173">
          <cell r="D1173" t="str">
            <v>Female Mini CIM 45</v>
          </cell>
          <cell r="E1173">
            <v>1</v>
          </cell>
          <cell r="I1173">
            <v>0</v>
          </cell>
        </row>
        <row r="1174">
          <cell r="D1174" t="str">
            <v>Female Mini CIM 49</v>
          </cell>
          <cell r="E1174">
            <v>1</v>
          </cell>
          <cell r="I1174">
            <v>0</v>
          </cell>
        </row>
        <row r="1175">
          <cell r="D1175" t="str">
            <v>Female Mini CIM 50</v>
          </cell>
          <cell r="E1175">
            <v>1</v>
          </cell>
          <cell r="I1175">
            <v>0</v>
          </cell>
        </row>
        <row r="1176">
          <cell r="D1176" t="str">
            <v>Female Mini CIM 63</v>
          </cell>
          <cell r="E1176">
            <v>1</v>
          </cell>
          <cell r="I1176">
            <v>0</v>
          </cell>
        </row>
        <row r="1177">
          <cell r="D1177" t="str">
            <v>Female Mini CIM 70</v>
          </cell>
          <cell r="E1177">
            <v>0</v>
          </cell>
          <cell r="I1177">
            <v>0</v>
          </cell>
        </row>
        <row r="1178">
          <cell r="D1178" t="str">
            <v>Female Mini CIM 81</v>
          </cell>
          <cell r="E1178">
            <v>0</v>
          </cell>
          <cell r="I1178">
            <v>0</v>
          </cell>
        </row>
        <row r="1179">
          <cell r="D1179" t="str">
            <v>Female Mini CIM 90</v>
          </cell>
          <cell r="E1179">
            <v>0</v>
          </cell>
          <cell r="I1179">
            <v>0</v>
          </cell>
        </row>
        <row r="1180">
          <cell r="D1180" t="str">
            <v>Female Mini CIM 100</v>
          </cell>
          <cell r="E1180">
            <v>0</v>
          </cell>
          <cell r="I1180">
            <v>0</v>
          </cell>
        </row>
        <row r="1181">
          <cell r="D1181" t="str">
            <v>Female CIM -3</v>
          </cell>
          <cell r="E1181">
            <v>1</v>
          </cell>
          <cell r="I1181">
            <v>0</v>
          </cell>
        </row>
        <row r="1182">
          <cell r="D1182" t="str">
            <v>Female CIM -4</v>
          </cell>
          <cell r="E1182">
            <v>1</v>
          </cell>
          <cell r="I1182">
            <v>0</v>
          </cell>
        </row>
        <row r="1183">
          <cell r="D1183" t="str">
            <v>Female CIM -5</v>
          </cell>
          <cell r="E1183">
            <v>1</v>
          </cell>
          <cell r="I1183">
            <v>0</v>
          </cell>
        </row>
        <row r="1184">
          <cell r="D1184" t="str">
            <v>Female CIM -7</v>
          </cell>
          <cell r="E1184">
            <v>1</v>
          </cell>
          <cell r="I1184">
            <v>0</v>
          </cell>
        </row>
        <row r="1185">
          <cell r="D1185" t="str">
            <v>Female CIM -9</v>
          </cell>
          <cell r="E1185">
            <v>1</v>
          </cell>
          <cell r="I1185">
            <v>0</v>
          </cell>
        </row>
        <row r="1186">
          <cell r="D1186" t="str">
            <v>Female CIM -10</v>
          </cell>
          <cell r="E1186">
            <v>1</v>
          </cell>
          <cell r="I1186">
            <v>0</v>
          </cell>
        </row>
        <row r="1187">
          <cell r="D1187" t="str">
            <v>Female CIM 9</v>
          </cell>
          <cell r="E1187">
            <v>5</v>
          </cell>
          <cell r="I1187">
            <v>0</v>
          </cell>
        </row>
        <row r="1188">
          <cell r="D1188" t="str">
            <v>Female CIM 12</v>
          </cell>
          <cell r="E1188">
            <v>5</v>
          </cell>
          <cell r="I1188">
            <v>0</v>
          </cell>
        </row>
        <row r="1189">
          <cell r="D1189" t="str">
            <v>Female CIM 15</v>
          </cell>
          <cell r="E1189">
            <v>4</v>
          </cell>
          <cell r="I1189">
            <v>0</v>
          </cell>
        </row>
        <row r="1190">
          <cell r="D1190" t="str">
            <v>Female CIM 16</v>
          </cell>
          <cell r="E1190">
            <v>4</v>
          </cell>
          <cell r="I1190">
            <v>0</v>
          </cell>
        </row>
        <row r="1191">
          <cell r="D1191" t="str">
            <v>Female CIM 20</v>
          </cell>
          <cell r="E1191">
            <v>3</v>
          </cell>
          <cell r="I1191">
            <v>0</v>
          </cell>
        </row>
        <row r="1192">
          <cell r="D1192" t="str">
            <v>Female CIM 21</v>
          </cell>
          <cell r="E1192">
            <v>3</v>
          </cell>
          <cell r="I1192">
            <v>0</v>
          </cell>
        </row>
        <row r="1193">
          <cell r="D1193" t="str">
            <v>Female CIM 25</v>
          </cell>
          <cell r="E1193">
            <v>1</v>
          </cell>
          <cell r="I1193">
            <v>0</v>
          </cell>
        </row>
        <row r="1194">
          <cell r="D1194" t="str">
            <v>Female CIM 27</v>
          </cell>
          <cell r="E1194">
            <v>1</v>
          </cell>
          <cell r="I1194">
            <v>0</v>
          </cell>
        </row>
        <row r="1195">
          <cell r="D1195" t="str">
            <v>Female CIM 28</v>
          </cell>
          <cell r="E1195">
            <v>1</v>
          </cell>
          <cell r="I1195">
            <v>0</v>
          </cell>
        </row>
        <row r="1196">
          <cell r="D1196" t="str">
            <v>Female CIM 30</v>
          </cell>
          <cell r="E1196">
            <v>1</v>
          </cell>
          <cell r="I1196">
            <v>0</v>
          </cell>
        </row>
        <row r="1197">
          <cell r="D1197" t="str">
            <v>Female CIM 35</v>
          </cell>
          <cell r="E1197">
            <v>1</v>
          </cell>
          <cell r="I1197">
            <v>0</v>
          </cell>
        </row>
        <row r="1198">
          <cell r="D1198" t="str">
            <v>Female CIM 36</v>
          </cell>
          <cell r="E1198">
            <v>1</v>
          </cell>
          <cell r="I1198">
            <v>0</v>
          </cell>
        </row>
        <row r="1199">
          <cell r="D1199" t="str">
            <v>Female CIM 40</v>
          </cell>
          <cell r="E1199">
            <v>1</v>
          </cell>
          <cell r="I1199">
            <v>0</v>
          </cell>
        </row>
        <row r="1200">
          <cell r="D1200" t="str">
            <v>Female CIM 45</v>
          </cell>
          <cell r="E1200">
            <v>1</v>
          </cell>
          <cell r="I1200">
            <v>0</v>
          </cell>
        </row>
        <row r="1201">
          <cell r="D1201" t="str">
            <v>Female CIM 49</v>
          </cell>
          <cell r="E1201">
            <v>0</v>
          </cell>
          <cell r="I1201">
            <v>0</v>
          </cell>
        </row>
        <row r="1202">
          <cell r="D1202" t="str">
            <v>Female CIM 50</v>
          </cell>
          <cell r="E1202">
            <v>1</v>
          </cell>
          <cell r="I1202">
            <v>0</v>
          </cell>
        </row>
        <row r="1203">
          <cell r="D1203" t="str">
            <v>Female CIM 63</v>
          </cell>
          <cell r="E1203">
            <v>0</v>
          </cell>
          <cell r="I1203">
            <v>0</v>
          </cell>
        </row>
        <row r="1204">
          <cell r="D1204" t="str">
            <v>Female CIM 70</v>
          </cell>
          <cell r="E1204">
            <v>0</v>
          </cell>
          <cell r="I1204">
            <v>0</v>
          </cell>
        </row>
        <row r="1205">
          <cell r="D1205" t="str">
            <v>Female CIM 81</v>
          </cell>
          <cell r="E1205">
            <v>0</v>
          </cell>
          <cell r="I1205">
            <v>0</v>
          </cell>
        </row>
        <row r="1206">
          <cell r="D1206" t="str">
            <v>Female CIM 90</v>
          </cell>
          <cell r="E1206">
            <v>0</v>
          </cell>
          <cell r="I1206">
            <v>0</v>
          </cell>
        </row>
        <row r="1207">
          <cell r="D1207" t="str">
            <v>Female CIM 100</v>
          </cell>
          <cell r="E1207">
            <v>0</v>
          </cell>
          <cell r="I1207">
            <v>0</v>
          </cell>
        </row>
        <row r="1208">
          <cell r="D1208" t="str">
            <v>Female NEO -3</v>
          </cell>
          <cell r="E1208">
            <v>1</v>
          </cell>
          <cell r="I1208">
            <v>0</v>
          </cell>
        </row>
        <row r="1209">
          <cell r="D1209" t="str">
            <v>Female NEO -4</v>
          </cell>
          <cell r="E1209">
            <v>1</v>
          </cell>
          <cell r="I1209">
            <v>0</v>
          </cell>
        </row>
        <row r="1210">
          <cell r="D1210" t="str">
            <v>Female NEO -5</v>
          </cell>
          <cell r="E1210">
            <v>1</v>
          </cell>
          <cell r="I1210">
            <v>0</v>
          </cell>
        </row>
        <row r="1211">
          <cell r="D1211" t="str">
            <v>Female NEO -7</v>
          </cell>
          <cell r="E1211">
            <v>1</v>
          </cell>
          <cell r="I1211">
            <v>0</v>
          </cell>
        </row>
        <row r="1212">
          <cell r="D1212" t="str">
            <v>Female NEO -9</v>
          </cell>
          <cell r="E1212">
            <v>1</v>
          </cell>
          <cell r="I1212">
            <v>0</v>
          </cell>
        </row>
        <row r="1213">
          <cell r="D1213" t="str">
            <v>Female NEO -10</v>
          </cell>
          <cell r="E1213">
            <v>1</v>
          </cell>
          <cell r="I1213">
            <v>0</v>
          </cell>
        </row>
        <row r="1214">
          <cell r="D1214" t="str">
            <v>Female NEO 9</v>
          </cell>
          <cell r="E1214">
            <v>5</v>
          </cell>
          <cell r="I1214">
            <v>0</v>
          </cell>
        </row>
        <row r="1215">
          <cell r="D1215" t="str">
            <v>Female NEO 12</v>
          </cell>
          <cell r="E1215">
            <v>3</v>
          </cell>
          <cell r="I1215">
            <v>0</v>
          </cell>
        </row>
        <row r="1216">
          <cell r="D1216" t="str">
            <v>Female NEO 15</v>
          </cell>
          <cell r="E1216">
            <v>3</v>
          </cell>
          <cell r="I1216">
            <v>0</v>
          </cell>
        </row>
        <row r="1217">
          <cell r="D1217" t="str">
            <v>Female NEO 16</v>
          </cell>
          <cell r="E1217">
            <v>1</v>
          </cell>
          <cell r="I1217">
            <v>0</v>
          </cell>
        </row>
        <row r="1218">
          <cell r="D1218" t="str">
            <v>Female NEO 20</v>
          </cell>
          <cell r="E1218">
            <v>1</v>
          </cell>
          <cell r="I1218">
            <v>0</v>
          </cell>
        </row>
        <row r="1219">
          <cell r="D1219" t="str">
            <v>Female NEO 21</v>
          </cell>
          <cell r="E1219">
            <v>1</v>
          </cell>
          <cell r="I1219">
            <v>0</v>
          </cell>
        </row>
        <row r="1220">
          <cell r="D1220" t="str">
            <v>Female NEO 25</v>
          </cell>
          <cell r="E1220">
            <v>1</v>
          </cell>
          <cell r="I1220">
            <v>0</v>
          </cell>
        </row>
        <row r="1221">
          <cell r="D1221" t="str">
            <v>Female NEO 27</v>
          </cell>
          <cell r="E1221">
            <v>1</v>
          </cell>
          <cell r="I1221">
            <v>0</v>
          </cell>
        </row>
        <row r="1222">
          <cell r="D1222" t="str">
            <v>Female NEO 28</v>
          </cell>
          <cell r="E1222">
            <v>1</v>
          </cell>
          <cell r="I1222">
            <v>0</v>
          </cell>
        </row>
        <row r="1223">
          <cell r="D1223" t="str">
            <v>Female NEO 30</v>
          </cell>
          <cell r="E1223">
            <v>1</v>
          </cell>
          <cell r="I1223">
            <v>0</v>
          </cell>
        </row>
        <row r="1224">
          <cell r="D1224" t="str">
            <v>Female NEO 35</v>
          </cell>
          <cell r="E1224">
            <v>1</v>
          </cell>
          <cell r="I1224">
            <v>0</v>
          </cell>
        </row>
        <row r="1225">
          <cell r="D1225" t="str">
            <v>Female NEO 36</v>
          </cell>
          <cell r="E1225">
            <v>1</v>
          </cell>
          <cell r="I1225">
            <v>0</v>
          </cell>
        </row>
        <row r="1226">
          <cell r="D1226" t="str">
            <v>Female NEO 40</v>
          </cell>
          <cell r="E1226">
            <v>1</v>
          </cell>
          <cell r="I1226">
            <v>0</v>
          </cell>
        </row>
        <row r="1227">
          <cell r="D1227" t="str">
            <v>Female NEO 45</v>
          </cell>
          <cell r="E1227">
            <v>1</v>
          </cell>
          <cell r="I1227">
            <v>0</v>
          </cell>
        </row>
        <row r="1228">
          <cell r="D1228" t="str">
            <v>Female NEO 49</v>
          </cell>
          <cell r="E1228">
            <v>0</v>
          </cell>
          <cell r="I1228">
            <v>0</v>
          </cell>
        </row>
        <row r="1229">
          <cell r="D1229" t="str">
            <v>Female NEO 50</v>
          </cell>
          <cell r="E1229">
            <v>0</v>
          </cell>
          <cell r="I1229">
            <v>0</v>
          </cell>
        </row>
        <row r="1230">
          <cell r="D1230" t="str">
            <v>Female NEO 63</v>
          </cell>
          <cell r="E1230">
            <v>0</v>
          </cell>
          <cell r="I1230">
            <v>0</v>
          </cell>
        </row>
        <row r="1231">
          <cell r="D1231" t="str">
            <v>Female NEO 70</v>
          </cell>
          <cell r="E1231">
            <v>0</v>
          </cell>
          <cell r="I1231">
            <v>0</v>
          </cell>
        </row>
        <row r="1232">
          <cell r="D1232" t="str">
            <v>Female NEO 81</v>
          </cell>
          <cell r="E1232">
            <v>0</v>
          </cell>
          <cell r="I1232">
            <v>0</v>
          </cell>
        </row>
        <row r="1233">
          <cell r="D1233" t="str">
            <v>Female NEO 90</v>
          </cell>
          <cell r="E1233">
            <v>0</v>
          </cell>
          <cell r="I1233">
            <v>0</v>
          </cell>
        </row>
        <row r="1234">
          <cell r="D1234" t="str">
            <v>Female NEO 100</v>
          </cell>
          <cell r="E1234">
            <v>0</v>
          </cell>
          <cell r="I1234">
            <v>0</v>
          </cell>
        </row>
        <row r="1235">
          <cell r="D1235" t="str">
            <v>Female Falcon 500 -3</v>
          </cell>
          <cell r="E1235">
            <v>1</v>
          </cell>
          <cell r="I1235">
            <v>0</v>
          </cell>
        </row>
        <row r="1236">
          <cell r="D1236" t="str">
            <v>Female Falcon 500 -4</v>
          </cell>
          <cell r="E1236">
            <v>1</v>
          </cell>
          <cell r="I1236">
            <v>0</v>
          </cell>
        </row>
        <row r="1237">
          <cell r="D1237" t="str">
            <v>Female Falcon 500 -5</v>
          </cell>
          <cell r="E1237">
            <v>1</v>
          </cell>
          <cell r="I1237">
            <v>0</v>
          </cell>
        </row>
        <row r="1238">
          <cell r="D1238" t="str">
            <v>Female Falcon 500 -7</v>
          </cell>
          <cell r="E1238">
            <v>1</v>
          </cell>
          <cell r="I1238">
            <v>0</v>
          </cell>
        </row>
        <row r="1239">
          <cell r="D1239" t="str">
            <v>Female Falcon 500 -9</v>
          </cell>
          <cell r="E1239">
            <v>1</v>
          </cell>
          <cell r="I1239">
            <v>0</v>
          </cell>
        </row>
        <row r="1240">
          <cell r="D1240" t="str">
            <v>Female Falcon 500 -10</v>
          </cell>
          <cell r="E1240">
            <v>1</v>
          </cell>
          <cell r="I1240">
            <v>0</v>
          </cell>
        </row>
        <row r="1241">
          <cell r="D1241" t="str">
            <v>Female Falcon 500 9</v>
          </cell>
          <cell r="E1241">
            <v>3</v>
          </cell>
          <cell r="I1241">
            <v>0</v>
          </cell>
        </row>
        <row r="1242">
          <cell r="D1242" t="str">
            <v>Female Falcon 500 12</v>
          </cell>
          <cell r="E1242">
            <v>1</v>
          </cell>
          <cell r="I1242">
            <v>0</v>
          </cell>
        </row>
        <row r="1243">
          <cell r="D1243" t="str">
            <v>Female Falcon 500 15</v>
          </cell>
          <cell r="E1243">
            <v>1</v>
          </cell>
          <cell r="I1243">
            <v>0</v>
          </cell>
        </row>
        <row r="1244">
          <cell r="D1244" t="str">
            <v>Female Falcon 500 16</v>
          </cell>
          <cell r="E1244">
            <v>1</v>
          </cell>
          <cell r="I1244">
            <v>0</v>
          </cell>
        </row>
        <row r="1245">
          <cell r="D1245" t="str">
            <v>Female Falcon 500 20</v>
          </cell>
          <cell r="E1245">
            <v>1</v>
          </cell>
          <cell r="I1245">
            <v>0</v>
          </cell>
        </row>
        <row r="1246">
          <cell r="D1246" t="str">
            <v>Female Falcon 500 21</v>
          </cell>
          <cell r="E1246">
            <v>1</v>
          </cell>
          <cell r="I1246">
            <v>0</v>
          </cell>
        </row>
        <row r="1247">
          <cell r="D1247" t="str">
            <v>Female Falcon 500 25</v>
          </cell>
          <cell r="E1247">
            <v>1</v>
          </cell>
          <cell r="I1247">
            <v>0</v>
          </cell>
        </row>
        <row r="1248">
          <cell r="D1248" t="str">
            <v>Female Falcon 500 27</v>
          </cell>
          <cell r="E1248">
            <v>1</v>
          </cell>
          <cell r="I1248">
            <v>0</v>
          </cell>
        </row>
        <row r="1249">
          <cell r="D1249" t="str">
            <v>Female Falcon 500 28</v>
          </cell>
          <cell r="E1249">
            <v>1</v>
          </cell>
          <cell r="I1249">
            <v>0</v>
          </cell>
        </row>
        <row r="1250">
          <cell r="D1250" t="str">
            <v>Female Falcon 500 30</v>
          </cell>
          <cell r="E1250">
            <v>1</v>
          </cell>
          <cell r="I1250">
            <v>0</v>
          </cell>
        </row>
        <row r="1251">
          <cell r="D1251" t="str">
            <v>Female Falcon 500 35</v>
          </cell>
          <cell r="E1251">
            <v>0</v>
          </cell>
          <cell r="I1251">
            <v>0</v>
          </cell>
        </row>
        <row r="1252">
          <cell r="D1252" t="str">
            <v>Female Falcon 500 36</v>
          </cell>
          <cell r="E1252">
            <v>0</v>
          </cell>
          <cell r="I1252">
            <v>0</v>
          </cell>
        </row>
        <row r="1253">
          <cell r="D1253" t="str">
            <v>Female Falcon 500 40</v>
          </cell>
          <cell r="E1253">
            <v>0</v>
          </cell>
          <cell r="I1253">
            <v>0</v>
          </cell>
        </row>
        <row r="1254">
          <cell r="D1254" t="str">
            <v>Female Falcon 500 45</v>
          </cell>
          <cell r="E1254">
            <v>0</v>
          </cell>
          <cell r="I1254">
            <v>0</v>
          </cell>
        </row>
        <row r="1255">
          <cell r="D1255" t="str">
            <v>Female Falcon 500 49</v>
          </cell>
          <cell r="E1255">
            <v>0</v>
          </cell>
          <cell r="I1255">
            <v>0</v>
          </cell>
        </row>
        <row r="1256">
          <cell r="D1256" t="str">
            <v>Female Falcon 500 50</v>
          </cell>
          <cell r="E1256">
            <v>0</v>
          </cell>
          <cell r="I1256">
            <v>0</v>
          </cell>
        </row>
        <row r="1257">
          <cell r="D1257" t="str">
            <v>Female Falcon 500 63</v>
          </cell>
          <cell r="E1257">
            <v>0</v>
          </cell>
          <cell r="I1257">
            <v>0</v>
          </cell>
        </row>
        <row r="1258">
          <cell r="D1258" t="str">
            <v>Female Falcon 500 70</v>
          </cell>
          <cell r="E1258">
            <v>0</v>
          </cell>
          <cell r="I1258">
            <v>0</v>
          </cell>
        </row>
        <row r="1259">
          <cell r="D1259" t="str">
            <v>Female Falcon 500 81</v>
          </cell>
          <cell r="E1259">
            <v>0</v>
          </cell>
          <cell r="I1259">
            <v>0</v>
          </cell>
        </row>
        <row r="1260">
          <cell r="D1260" t="str">
            <v>Female Falcon 500 90</v>
          </cell>
          <cell r="E1260">
            <v>0</v>
          </cell>
          <cell r="I1260">
            <v>0</v>
          </cell>
        </row>
        <row r="1261">
          <cell r="D1261" t="str">
            <v>Female Falcon 500 100</v>
          </cell>
          <cell r="E1261">
            <v>0</v>
          </cell>
          <cell r="I1261">
            <v>0</v>
          </cell>
        </row>
      </sheetData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P38"/>
  <sheetViews>
    <sheetView tabSelected="1" zoomScaleNormal="100" workbookViewId="0"/>
  </sheetViews>
  <sheetFormatPr defaultColWidth="9.140625" defaultRowHeight="15" x14ac:dyDescent="0.25"/>
  <cols>
    <col min="1" max="1" width="7.140625" style="1" customWidth="1"/>
    <col min="2" max="2" width="3.28515625" style="1" customWidth="1"/>
    <col min="3" max="3" width="27.28515625" style="1" customWidth="1"/>
    <col min="4" max="4" width="14.85546875" style="1" customWidth="1"/>
    <col min="5" max="5" width="9.140625" style="1" customWidth="1"/>
    <col min="11" max="11" width="9.140625" style="23"/>
    <col min="12" max="16384" width="9.140625" style="1"/>
  </cols>
  <sheetData>
    <row r="1" spans="2:16" x14ac:dyDescent="0.25">
      <c r="F1" s="9"/>
      <c r="G1" s="9"/>
      <c r="H1" s="9"/>
      <c r="I1" s="9"/>
      <c r="J1" s="1"/>
    </row>
    <row r="2" spans="2:16" ht="31.5" x14ac:dyDescent="0.25">
      <c r="C2" s="6" t="s">
        <v>6</v>
      </c>
      <c r="F2" s="9"/>
      <c r="G2" s="9"/>
      <c r="H2" s="9"/>
      <c r="I2" s="9"/>
      <c r="J2" s="1"/>
    </row>
    <row r="3" spans="2:16" ht="15.75" thickBot="1" x14ac:dyDescent="0.3">
      <c r="F3" s="9"/>
      <c r="G3" s="9"/>
      <c r="H3" s="9"/>
      <c r="I3" s="9"/>
      <c r="J3" s="1"/>
    </row>
    <row r="4" spans="2:16" ht="15" customHeight="1" x14ac:dyDescent="0.25">
      <c r="B4" s="5" t="b">
        <v>0</v>
      </c>
      <c r="C4" s="1" t="s">
        <v>0</v>
      </c>
      <c r="F4" s="24" t="s">
        <v>25</v>
      </c>
      <c r="G4" s="25"/>
      <c r="H4" s="25"/>
      <c r="I4" s="25"/>
      <c r="J4" s="26"/>
      <c r="M4" s="18"/>
      <c r="N4" s="18"/>
      <c r="O4" s="18"/>
      <c r="P4" s="18"/>
    </row>
    <row r="5" spans="2:16" ht="15" customHeight="1" thickBot="1" x14ac:dyDescent="0.3">
      <c r="F5" s="27"/>
      <c r="G5" s="28"/>
      <c r="H5" s="28"/>
      <c r="I5" s="28"/>
      <c r="J5" s="29"/>
      <c r="L5" s="18" t="s">
        <v>26</v>
      </c>
      <c r="M5" s="18"/>
      <c r="N5" s="18"/>
      <c r="O5" s="18"/>
      <c r="P5" s="18"/>
    </row>
    <row r="6" spans="2:16" x14ac:dyDescent="0.25">
      <c r="F6" s="9"/>
      <c r="G6" s="9"/>
      <c r="H6" s="9"/>
      <c r="I6" s="8"/>
      <c r="J6" s="1"/>
    </row>
    <row r="7" spans="2:16" x14ac:dyDescent="0.25">
      <c r="F7" s="9"/>
      <c r="G7" s="9"/>
      <c r="H7" s="9"/>
      <c r="I7" s="8"/>
      <c r="J7" s="1"/>
    </row>
    <row r="8" spans="2:16" ht="15.75" thickBot="1" x14ac:dyDescent="0.3">
      <c r="F8" s="19" t="s">
        <v>20</v>
      </c>
      <c r="G8" s="20" t="s">
        <v>21</v>
      </c>
      <c r="H8" s="20" t="s">
        <v>22</v>
      </c>
      <c r="I8" s="20" t="s">
        <v>23</v>
      </c>
      <c r="J8" s="21" t="s">
        <v>24</v>
      </c>
    </row>
    <row r="9" spans="2:16" ht="15.75" thickTop="1" x14ac:dyDescent="0.25">
      <c r="C9" s="2" t="s">
        <v>7</v>
      </c>
      <c r="D9" s="7">
        <v>8</v>
      </c>
      <c r="F9" s="13">
        <v>9</v>
      </c>
      <c r="G9" s="14"/>
      <c r="H9" s="14"/>
      <c r="I9" s="14">
        <v>72</v>
      </c>
      <c r="J9" s="15">
        <v>8</v>
      </c>
    </row>
    <row r="10" spans="2:16" x14ac:dyDescent="0.25">
      <c r="C10" s="2" t="s">
        <v>10</v>
      </c>
      <c r="D10" s="3">
        <v>0.01</v>
      </c>
      <c r="F10" s="10">
        <v>14</v>
      </c>
      <c r="G10" s="11">
        <v>54</v>
      </c>
      <c r="H10" s="11">
        <v>28</v>
      </c>
      <c r="I10" s="11">
        <v>58</v>
      </c>
      <c r="J10" s="12">
        <v>7.9897959183673475</v>
      </c>
    </row>
    <row r="11" spans="2:16" x14ac:dyDescent="0.25">
      <c r="F11" s="10">
        <v>13</v>
      </c>
      <c r="G11" s="11">
        <v>54</v>
      </c>
      <c r="H11" s="11">
        <v>28</v>
      </c>
      <c r="I11" s="11">
        <v>54</v>
      </c>
      <c r="J11" s="12">
        <v>8.0109890109890109</v>
      </c>
    </row>
    <row r="12" spans="2:16" x14ac:dyDescent="0.25">
      <c r="C12" s="2" t="s">
        <v>1</v>
      </c>
      <c r="D12" s="4" t="s">
        <v>5</v>
      </c>
      <c r="F12" s="10">
        <v>14</v>
      </c>
      <c r="G12" s="11">
        <v>54</v>
      </c>
      <c r="H12" s="11">
        <v>26</v>
      </c>
      <c r="I12" s="11">
        <v>54</v>
      </c>
      <c r="J12" s="12">
        <v>8.0109890109890109</v>
      </c>
    </row>
    <row r="13" spans="2:16" x14ac:dyDescent="0.25">
      <c r="C13" s="2" t="str">
        <f>"Gear 1 Outside Diam. &gt;= (" &amp; IF($B$4, "mm", "in.") &amp; ")"</f>
        <v>Gear 1 Outside Diam. &gt;= (in.)</v>
      </c>
      <c r="D13" s="17"/>
      <c r="F13" s="10">
        <v>13</v>
      </c>
      <c r="G13" s="11">
        <v>54</v>
      </c>
      <c r="H13" s="11">
        <v>26</v>
      </c>
      <c r="I13" s="11">
        <v>50</v>
      </c>
      <c r="J13" s="12">
        <v>7.9881656804733723</v>
      </c>
    </row>
    <row r="14" spans="2:16" x14ac:dyDescent="0.25">
      <c r="C14" s="2" t="str">
        <f>"Gear 1 Outside Diam. &lt;= (" &amp; IF($B$4, "mm", "in.") &amp; ")"</f>
        <v>Gear 1 Outside Diam. &lt;= (in.)</v>
      </c>
      <c r="D14" s="16"/>
      <c r="F14" s="10">
        <v>14</v>
      </c>
      <c r="G14" s="11">
        <v>54</v>
      </c>
      <c r="H14" s="11">
        <v>30</v>
      </c>
      <c r="I14" s="11">
        <v>62</v>
      </c>
      <c r="J14" s="12">
        <v>7.9714285714285715</v>
      </c>
    </row>
    <row r="15" spans="2:16" x14ac:dyDescent="0.25">
      <c r="F15" s="10">
        <v>13</v>
      </c>
      <c r="G15" s="11">
        <v>54</v>
      </c>
      <c r="H15" s="11">
        <v>30</v>
      </c>
      <c r="I15" s="11">
        <v>58</v>
      </c>
      <c r="J15" s="12">
        <v>8.0307692307692307</v>
      </c>
    </row>
    <row r="16" spans="2:16" x14ac:dyDescent="0.25">
      <c r="C16" s="2" t="str">
        <f>"Gears 1&amp;4 C-C Dist. &gt;= (" &amp; IF($B$4, "mm", "in.") &amp; ")"</f>
        <v>Gears 1&amp;4 C-C Dist. &gt;= (in.)</v>
      </c>
      <c r="D16" s="22">
        <v>1.82</v>
      </c>
      <c r="F16" s="10">
        <v>14</v>
      </c>
      <c r="G16" s="11">
        <v>54</v>
      </c>
      <c r="H16" s="11">
        <v>24</v>
      </c>
      <c r="I16" s="11">
        <v>50</v>
      </c>
      <c r="J16" s="12">
        <v>8.0357142857142865</v>
      </c>
    </row>
    <row r="17" spans="3:10" x14ac:dyDescent="0.25">
      <c r="C17" s="2" t="str">
        <f>"Gears 1&amp;4 C-C Dist. &lt;= (" &amp; IF($B$4, "mm", "in.") &amp; ")"</f>
        <v>Gears 1&amp;4 C-C Dist. &lt;= (in.)</v>
      </c>
      <c r="D17" s="16"/>
      <c r="F17" s="10">
        <v>13</v>
      </c>
      <c r="G17" s="11">
        <v>54</v>
      </c>
      <c r="H17" s="11">
        <v>24</v>
      </c>
      <c r="I17" s="11">
        <v>46</v>
      </c>
      <c r="J17" s="12">
        <v>7.9615384615384608</v>
      </c>
    </row>
    <row r="18" spans="3:10" x14ac:dyDescent="0.25">
      <c r="F18" s="10">
        <v>14</v>
      </c>
      <c r="G18" s="11">
        <v>54</v>
      </c>
      <c r="H18" s="11">
        <v>32</v>
      </c>
      <c r="I18" s="11">
        <v>66</v>
      </c>
      <c r="J18" s="12">
        <v>7.9553571428571432</v>
      </c>
    </row>
    <row r="19" spans="3:10" x14ac:dyDescent="0.25">
      <c r="C19" s="2" t="s">
        <v>2</v>
      </c>
      <c r="D19" s="4" t="s">
        <v>3</v>
      </c>
      <c r="F19" s="10">
        <v>13</v>
      </c>
      <c r="G19" s="11">
        <v>54</v>
      </c>
      <c r="H19" s="11">
        <v>32</v>
      </c>
      <c r="I19" s="11">
        <v>62</v>
      </c>
      <c r="J19" s="12">
        <v>8.0480769230769234</v>
      </c>
    </row>
    <row r="20" spans="3:10" x14ac:dyDescent="0.25">
      <c r="C20" s="2" t="str">
        <f>"Gear 4 Outside Diam. &gt;= (" &amp; IF($B$4, "mm", "in.") &amp; ")"</f>
        <v>Gear 4 Outside Diam. &gt;= (in.)</v>
      </c>
      <c r="D20" s="16"/>
      <c r="F20" s="10">
        <v>14</v>
      </c>
      <c r="G20" s="11">
        <v>54</v>
      </c>
      <c r="H20" s="11">
        <v>34</v>
      </c>
      <c r="I20" s="11">
        <v>70</v>
      </c>
      <c r="J20" s="12">
        <v>7.9411764705882355</v>
      </c>
    </row>
    <row r="21" spans="3:10" x14ac:dyDescent="0.25">
      <c r="C21" s="2" t="str">
        <f>"Gear 4 Outside Diam. &lt;= (" &amp; IF($B$4, "mm", "in.") &amp; ")"</f>
        <v>Gear 4 Outside Diam. &lt;= (in.)</v>
      </c>
      <c r="D21" s="22">
        <v>3.7</v>
      </c>
      <c r="F21" s="10">
        <v>13</v>
      </c>
      <c r="G21" s="11">
        <v>54</v>
      </c>
      <c r="H21" s="11">
        <v>34</v>
      </c>
      <c r="I21" s="11">
        <v>66</v>
      </c>
      <c r="J21" s="12">
        <v>8.0633484162895925</v>
      </c>
    </row>
    <row r="22" spans="3:10" x14ac:dyDescent="0.25">
      <c r="F22" s="10">
        <v>14</v>
      </c>
      <c r="G22" s="11">
        <v>54</v>
      </c>
      <c r="H22" s="11">
        <v>22</v>
      </c>
      <c r="I22" s="11">
        <v>46</v>
      </c>
      <c r="J22" s="12">
        <v>8.0649350649350637</v>
      </c>
    </row>
    <row r="23" spans="3:10" x14ac:dyDescent="0.25">
      <c r="F23" s="10">
        <v>13</v>
      </c>
      <c r="G23" s="11">
        <v>54</v>
      </c>
      <c r="H23" s="11">
        <v>36</v>
      </c>
      <c r="I23" s="11">
        <v>70</v>
      </c>
      <c r="J23" s="12">
        <v>8.0769230769230766</v>
      </c>
    </row>
    <row r="24" spans="3:10" x14ac:dyDescent="0.25">
      <c r="C24" s="2" t="s">
        <v>8</v>
      </c>
      <c r="D24" s="4" t="s">
        <v>9</v>
      </c>
    </row>
    <row r="26" spans="3:10" x14ac:dyDescent="0.25">
      <c r="C26" s="2" t="s">
        <v>11</v>
      </c>
      <c r="D26" s="3" t="s">
        <v>4</v>
      </c>
    </row>
    <row r="28" spans="3:10" x14ac:dyDescent="0.25">
      <c r="C28" s="2" t="str">
        <f>"Gear 2 Outside Diam. &gt;= (" &amp; IF($B$4, "mm", "in.") &amp; ")"</f>
        <v>Gear 2 Outside Diam. &gt;= (in.)</v>
      </c>
      <c r="D28" s="16"/>
    </row>
    <row r="29" spans="3:10" x14ac:dyDescent="0.25">
      <c r="C29" s="2" t="str">
        <f>"Gear 2 Outside Diam. &lt;= (" &amp; IF($B$4, "mm", "in.") &amp; ")"</f>
        <v>Gear 2 Outside Diam. &lt;= (in.)</v>
      </c>
      <c r="D29" s="16"/>
    </row>
    <row r="30" spans="3:10" x14ac:dyDescent="0.25">
      <c r="C30" s="2" t="str">
        <f>"Gears 1&amp;2 C-C Dist. &gt;= (" &amp; IF($B$4, "mm", "in.") &amp; ")"</f>
        <v>Gears 1&amp;2 C-C Dist. &gt;= (in.)</v>
      </c>
      <c r="D30" s="22">
        <v>1.7</v>
      </c>
    </row>
    <row r="31" spans="3:10" x14ac:dyDescent="0.25">
      <c r="C31" s="2" t="str">
        <f>"Gears 1&amp;2 C-C Dist. &lt;= (" &amp; IF($B$4, "mm", "in.") &amp; ")"</f>
        <v>Gears 1&amp;2 C-C Dist. &lt;= (in.)</v>
      </c>
      <c r="D31" s="16"/>
    </row>
    <row r="32" spans="3:10" x14ac:dyDescent="0.25">
      <c r="C32" s="2" t="str">
        <f>"Axle 1 Clearance Diam. (" &amp; IF($B$4, "mm", "in.") &amp; ")"</f>
        <v>Axle 1 Clearance Diam. (in.)</v>
      </c>
      <c r="D32" s="16" t="s">
        <v>13</v>
      </c>
    </row>
    <row r="34" spans="3:4" x14ac:dyDescent="0.25">
      <c r="C34" s="2" t="str">
        <f>"Gear 3 Outside Diam. &gt;= (" &amp; IF($B$4, "mm", "in.") &amp; ")"</f>
        <v>Gear 3 Outside Diam. &gt;= (in.)</v>
      </c>
      <c r="D34" s="16"/>
    </row>
    <row r="35" spans="3:4" x14ac:dyDescent="0.25">
      <c r="C35" s="2" t="str">
        <f>"Gear 3 Outside Diam. &lt;= (" &amp; IF($B$4, "mm", "in.") &amp; ")"</f>
        <v>Gear 3 Outside Diam. &lt;= (in.)</v>
      </c>
      <c r="D35" s="16"/>
    </row>
    <row r="36" spans="3:4" x14ac:dyDescent="0.25">
      <c r="C36" s="2" t="str">
        <f>"Gears 3&amp;4 C-C Dist. &gt;= (" &amp; IF($B$4, "mm", "in.") &amp; ")"</f>
        <v>Gears 3&amp;4 C-C Dist. &gt;= (in.)</v>
      </c>
      <c r="D36" s="22">
        <v>0.99999999999999989</v>
      </c>
    </row>
    <row r="37" spans="3:4" x14ac:dyDescent="0.25">
      <c r="C37" s="2" t="str">
        <f>"Gears 3&amp;4 C-C Dist. &lt;= (" &amp; IF($B$4, "mm", "in.") &amp; ")"</f>
        <v>Gears 3&amp;4 C-C Dist. &lt;= (in.)</v>
      </c>
      <c r="D37" s="16"/>
    </row>
    <row r="38" spans="3:4" x14ac:dyDescent="0.25">
      <c r="C38" s="2" t="str">
        <f>"Axle 4 Clearance Diam. (" &amp; IF($B$4, "mm", "in.") &amp; ")"</f>
        <v>Axle 4 Clearance Diam. (in.)</v>
      </c>
      <c r="D38" s="4" t="s">
        <v>12</v>
      </c>
    </row>
  </sheetData>
  <sheetProtection formatCells="0" formatColumns="0" formatRows="0"/>
  <sortState ref="F9:K23">
    <sortCondition ref="K9"/>
  </sortState>
  <dataConsolidate/>
  <mergeCells count="1">
    <mergeCell ref="F4:J5"/>
  </mergeCells>
  <conditionalFormatting sqref="C26:D38">
    <cfRule type="expression" dxfId="7" priority="2">
      <formula>$D$24="No"</formula>
    </cfRule>
  </conditionalFormatting>
  <conditionalFormatting sqref="F4:J5">
    <cfRule type="expression" dxfId="6" priority="7">
      <formula>NOT(ISBLANK($F$9))</formula>
    </cfRule>
  </conditionalFormatting>
  <conditionalFormatting sqref="F8:J8">
    <cfRule type="expression" dxfId="5" priority="6">
      <formula>ISBLANK($F$9)</formula>
    </cfRule>
  </conditionalFormatting>
  <conditionalFormatting sqref="D13:D14 D16:D17 D20:D21 D28:D31 D34:D37">
    <cfRule type="expression" dxfId="4" priority="5">
      <formula>AND(D13&lt;=0, NOT(ISBLANK(D13)))</formula>
    </cfRule>
  </conditionalFormatting>
  <conditionalFormatting sqref="D9">
    <cfRule type="cellIs" dxfId="3" priority="4" operator="lessThanOrEqual">
      <formula>0</formula>
    </cfRule>
  </conditionalFormatting>
  <conditionalFormatting sqref="D10">
    <cfRule type="cellIs" dxfId="2" priority="3" operator="lessThan">
      <formula>0</formula>
    </cfRule>
  </conditionalFormatting>
  <conditionalFormatting sqref="D9:D10 D12 D19 D26">
    <cfRule type="containsBlanks" dxfId="1" priority="9">
      <formula>LEN(TRIM(D9))=0</formula>
    </cfRule>
  </conditionalFormatting>
  <conditionalFormatting sqref="D9:D10 D13:D14 D16:D17 D20:D21 D28:D31 D34:D37">
    <cfRule type="expression" dxfId="0" priority="1">
      <formula>ISTEXT(D9)</formula>
    </cfRule>
  </conditionalFormatting>
  <dataValidations count="3">
    <dataValidation type="list" allowBlank="1" showInputMessage="1" showErrorMessage="1" sqref="D24">
      <formula1>"Yes,No"</formula1>
    </dataValidation>
    <dataValidation type="list" allowBlank="1" sqref="D38 D32">
      <formula1>"None,Use Bore Diam."</formula1>
    </dataValidation>
    <dataValidation type="list" allowBlank="1" showInputMessage="1" showErrorMessage="1" sqref="D26 D12 D19">
      <formula1>Gear_Types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etric">
              <controlPr locked="0" defaultSize="0" autoFill="0" autoLine="0" autoPict="0" macro="[0]!GearOptions_Metric">
                <anchor moveWithCells="1">
                  <from>
                    <xdr:col>1</xdr:col>
                    <xdr:colOff>0</xdr:colOff>
                    <xdr:row>2</xdr:row>
                    <xdr:rowOff>180975</xdr:rowOff>
                  </from>
                  <to>
                    <xdr:col>2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BA52"/>
  <sheetViews>
    <sheetView topLeftCell="S1" workbookViewId="0"/>
  </sheetViews>
  <sheetFormatPr defaultColWidth="9.140625" defaultRowHeight="15" x14ac:dyDescent="0.25"/>
  <cols>
    <col min="1" max="1" width="9.140625" style="1"/>
    <col min="2" max="2" width="18.7109375" style="1" customWidth="1"/>
    <col min="3" max="3" width="16.85546875" style="1" customWidth="1"/>
    <col min="4" max="4" width="17" style="1" customWidth="1"/>
    <col min="5" max="5" width="15.140625" style="1" customWidth="1"/>
    <col min="6" max="6" width="15" style="1" customWidth="1"/>
    <col min="7" max="7" width="12.28515625" style="1" customWidth="1"/>
    <col min="8" max="9" width="9.140625" style="1"/>
    <col min="10" max="10" width="9.85546875" style="1" customWidth="1"/>
    <col min="11" max="16" width="9.140625" style="1"/>
    <col min="17" max="17" width="11.28515625" style="1" customWidth="1"/>
    <col min="18" max="19" width="22.28515625" style="1" customWidth="1"/>
    <col min="20" max="21" width="9.140625" style="1"/>
    <col min="22" max="31" width="11.42578125" style="1" customWidth="1"/>
    <col min="32" max="32" width="9.140625" style="1"/>
    <col min="33" max="53" width="0" style="1" hidden="1" customWidth="1"/>
    <col min="54" max="16384" width="9.140625" style="1"/>
  </cols>
  <sheetData>
    <row r="2" spans="1:53" ht="31.5" x14ac:dyDescent="0.25">
      <c r="B2" s="6" t="s">
        <v>27</v>
      </c>
      <c r="J2" s="6" t="s">
        <v>28</v>
      </c>
      <c r="Q2" s="6" t="s">
        <v>29</v>
      </c>
      <c r="V2" s="6" t="s">
        <v>73</v>
      </c>
    </row>
    <row r="3" spans="1:53" x14ac:dyDescent="0.25">
      <c r="B3" s="30"/>
    </row>
    <row r="4" spans="1:53" x14ac:dyDescent="0.25">
      <c r="A4" s="30"/>
      <c r="B4" s="30"/>
      <c r="C4" s="45" t="s">
        <v>30</v>
      </c>
      <c r="D4" s="46" t="s">
        <v>31</v>
      </c>
      <c r="E4" s="46" t="s">
        <v>32</v>
      </c>
      <c r="F4" s="46" t="s">
        <v>33</v>
      </c>
      <c r="G4" s="47" t="s">
        <v>34</v>
      </c>
      <c r="J4" s="31"/>
      <c r="K4" s="48" t="s">
        <v>35</v>
      </c>
      <c r="L4" s="49" t="s">
        <v>36</v>
      </c>
      <c r="M4" s="49" t="s">
        <v>37</v>
      </c>
      <c r="N4" s="50" t="s">
        <v>38</v>
      </c>
      <c r="R4" s="51" t="s">
        <v>39</v>
      </c>
      <c r="S4" s="50" t="s">
        <v>40</v>
      </c>
      <c r="V4" s="55">
        <v>0.57699999999999996</v>
      </c>
      <c r="W4" s="55">
        <v>0.433</v>
      </c>
      <c r="X4" s="55">
        <v>0</v>
      </c>
      <c r="Y4" s="55">
        <v>0.315</v>
      </c>
      <c r="Z4" s="55">
        <v>0.19700000000000001</v>
      </c>
      <c r="AA4" s="55">
        <v>0.125</v>
      </c>
      <c r="AB4" s="55">
        <v>0.157</v>
      </c>
      <c r="AC4" s="55">
        <v>0.29299999999999998</v>
      </c>
      <c r="AD4" s="55"/>
      <c r="AE4" s="55"/>
      <c r="AG4" s="52">
        <v>0.57699999999999996</v>
      </c>
      <c r="AH4" s="52">
        <v>0.433</v>
      </c>
      <c r="AI4" s="52">
        <v>0</v>
      </c>
      <c r="AJ4" s="52">
        <v>0.315</v>
      </c>
      <c r="AK4" s="52">
        <v>0.19700000000000001</v>
      </c>
      <c r="AL4" s="52">
        <v>0.125</v>
      </c>
      <c r="AM4" s="52">
        <v>0.157</v>
      </c>
      <c r="AN4" s="52">
        <v>0.29299999999999998</v>
      </c>
      <c r="AO4" s="52"/>
      <c r="AP4" s="52"/>
      <c r="AR4" s="52">
        <v>0.57699999999999996</v>
      </c>
      <c r="AS4" s="52">
        <v>0.433</v>
      </c>
      <c r="AT4" s="52">
        <v>0</v>
      </c>
      <c r="AU4" s="52">
        <v>0.315</v>
      </c>
      <c r="AV4" s="52">
        <v>0.19700000000000001</v>
      </c>
      <c r="AW4" s="52">
        <v>0.125</v>
      </c>
      <c r="AX4" s="52">
        <v>0.157</v>
      </c>
      <c r="AY4" s="52">
        <v>0.29299999999999998</v>
      </c>
      <c r="AZ4" s="52"/>
      <c r="BA4" s="52"/>
    </row>
    <row r="5" spans="1:53" x14ac:dyDescent="0.25">
      <c r="B5" s="32" t="s">
        <v>41</v>
      </c>
      <c r="C5" s="33">
        <v>5330</v>
      </c>
      <c r="D5" s="33">
        <v>2.41</v>
      </c>
      <c r="E5" s="33">
        <v>2.7</v>
      </c>
      <c r="F5" s="33">
        <v>131</v>
      </c>
      <c r="G5" s="34">
        <f>IF(ISBLANK(B5), "", (C5/60*2*PI())*D5/4)</f>
        <v>336.28916760964142</v>
      </c>
      <c r="J5" s="32" t="s">
        <v>42</v>
      </c>
      <c r="K5" s="35">
        <v>6.35</v>
      </c>
      <c r="L5" s="35">
        <v>9</v>
      </c>
      <c r="M5" s="35">
        <v>5.9</v>
      </c>
      <c r="N5" s="36">
        <v>0.31</v>
      </c>
      <c r="Q5" s="37" t="s">
        <v>43</v>
      </c>
      <c r="R5" s="33">
        <v>71700</v>
      </c>
      <c r="S5" s="38">
        <v>26900</v>
      </c>
      <c r="V5" s="56" t="s">
        <v>3</v>
      </c>
      <c r="W5" s="56" t="s">
        <v>4</v>
      </c>
      <c r="X5" s="56" t="s">
        <v>74</v>
      </c>
      <c r="Y5" s="56" t="s">
        <v>75</v>
      </c>
      <c r="Z5" s="56" t="s">
        <v>76</v>
      </c>
      <c r="AA5" s="56" t="s">
        <v>77</v>
      </c>
      <c r="AB5" s="56" t="s">
        <v>78</v>
      </c>
      <c r="AC5" s="56" t="s">
        <v>79</v>
      </c>
      <c r="AD5" s="56"/>
      <c r="AE5" s="56"/>
      <c r="AG5" s="54" t="s">
        <v>3</v>
      </c>
      <c r="AH5" s="54" t="s">
        <v>4</v>
      </c>
      <c r="AI5" s="54" t="s">
        <v>74</v>
      </c>
      <c r="AJ5" s="54" t="s">
        <v>75</v>
      </c>
      <c r="AK5" s="54" t="s">
        <v>76</v>
      </c>
      <c r="AL5" s="54" t="s">
        <v>77</v>
      </c>
      <c r="AM5" s="54" t="s">
        <v>78</v>
      </c>
      <c r="AN5" s="54" t="s">
        <v>79</v>
      </c>
      <c r="AO5" s="54"/>
      <c r="AP5" s="54"/>
      <c r="AR5" s="54" t="s">
        <v>3</v>
      </c>
      <c r="AS5" s="54" t="s">
        <v>4</v>
      </c>
      <c r="AT5" s="54" t="s">
        <v>74</v>
      </c>
      <c r="AU5" s="54" t="s">
        <v>75</v>
      </c>
      <c r="AV5" s="54" t="s">
        <v>76</v>
      </c>
      <c r="AW5" s="54" t="s">
        <v>77</v>
      </c>
      <c r="AX5" s="54" t="s">
        <v>78</v>
      </c>
      <c r="AY5" s="54" t="s">
        <v>79</v>
      </c>
      <c r="AZ5" s="54"/>
      <c r="BA5" s="54"/>
    </row>
    <row r="6" spans="1:53" x14ac:dyDescent="0.25">
      <c r="B6" s="32" t="s">
        <v>44</v>
      </c>
      <c r="C6" s="33">
        <v>5840</v>
      </c>
      <c r="D6" s="33">
        <v>1.41</v>
      </c>
      <c r="E6" s="33">
        <v>3</v>
      </c>
      <c r="F6" s="33">
        <v>89</v>
      </c>
      <c r="G6" s="34">
        <f t="shared" ref="G6:G30" si="0">IF(ISBLANK(B6), "", (C6/60*2*PI())*D6/4)</f>
        <v>215.57608788933157</v>
      </c>
      <c r="J6" s="32" t="s">
        <v>45</v>
      </c>
      <c r="K6" s="35">
        <v>9.5299999999999994</v>
      </c>
      <c r="L6" s="35">
        <v>11.76</v>
      </c>
      <c r="M6" s="35">
        <v>8.94</v>
      </c>
      <c r="N6" s="36">
        <v>0.41</v>
      </c>
      <c r="Q6" s="37" t="s">
        <v>46</v>
      </c>
      <c r="R6" s="33">
        <v>68900</v>
      </c>
      <c r="S6" s="38">
        <v>26000</v>
      </c>
      <c r="V6" s="57">
        <v>18</v>
      </c>
      <c r="W6" s="57">
        <v>14</v>
      </c>
      <c r="X6" s="57">
        <v>48</v>
      </c>
      <c r="Y6" s="58" t="s">
        <v>15</v>
      </c>
      <c r="Z6" s="58" t="s">
        <v>19</v>
      </c>
      <c r="AA6" s="58" t="s">
        <v>19</v>
      </c>
      <c r="AB6" s="58" t="s">
        <v>19</v>
      </c>
      <c r="AC6" s="58" t="s">
        <v>14</v>
      </c>
      <c r="AD6" s="57"/>
      <c r="AE6" s="57"/>
      <c r="AG6" s="44">
        <v>18</v>
      </c>
      <c r="AH6" s="44">
        <v>14</v>
      </c>
      <c r="AI6" s="44">
        <v>48</v>
      </c>
      <c r="AJ6" s="53" t="s">
        <v>15</v>
      </c>
      <c r="AK6" s="53" t="s">
        <v>19</v>
      </c>
      <c r="AL6" s="53" t="s">
        <v>19</v>
      </c>
      <c r="AM6" s="53" t="s">
        <v>19</v>
      </c>
      <c r="AN6" s="53" t="s">
        <v>14</v>
      </c>
      <c r="AO6" s="44"/>
      <c r="AP6" s="44"/>
      <c r="AR6" s="44">
        <v>18</v>
      </c>
      <c r="AS6" s="44">
        <v>14</v>
      </c>
      <c r="AT6" s="44">
        <v>48</v>
      </c>
      <c r="AU6" s="53" t="s">
        <v>15</v>
      </c>
      <c r="AV6" s="53" t="s">
        <v>19</v>
      </c>
      <c r="AW6" s="53" t="s">
        <v>19</v>
      </c>
      <c r="AX6" s="53" t="s">
        <v>19</v>
      </c>
      <c r="AY6" s="53" t="s">
        <v>14</v>
      </c>
      <c r="AZ6" s="44"/>
      <c r="BA6" s="44"/>
    </row>
    <row r="7" spans="1:53" x14ac:dyDescent="0.25">
      <c r="B7" s="32" t="s">
        <v>47</v>
      </c>
      <c r="C7" s="33">
        <v>5676</v>
      </c>
      <c r="D7" s="33">
        <v>2.6</v>
      </c>
      <c r="E7" s="33">
        <v>1.8</v>
      </c>
      <c r="F7" s="33">
        <v>105</v>
      </c>
      <c r="G7" s="34">
        <f t="shared" si="0"/>
        <v>386.35306453847278</v>
      </c>
      <c r="J7" s="32" t="s">
        <v>48</v>
      </c>
      <c r="K7" s="35">
        <v>5</v>
      </c>
      <c r="L7" s="35">
        <v>15</v>
      </c>
      <c r="M7" s="35">
        <v>3</v>
      </c>
      <c r="N7" s="36">
        <v>0</v>
      </c>
      <c r="Q7" s="37" t="s">
        <v>49</v>
      </c>
      <c r="R7" s="33">
        <v>206000</v>
      </c>
      <c r="S7" s="38">
        <v>70000</v>
      </c>
      <c r="V7" s="59">
        <v>20</v>
      </c>
      <c r="W7" s="59">
        <v>16</v>
      </c>
      <c r="X7" s="59">
        <v>54</v>
      </c>
      <c r="Y7" s="60" t="s">
        <v>16</v>
      </c>
      <c r="Z7" s="60" t="s">
        <v>14</v>
      </c>
      <c r="AA7" s="60" t="s">
        <v>14</v>
      </c>
      <c r="AB7" s="60" t="s">
        <v>19</v>
      </c>
      <c r="AC7" s="60" t="s">
        <v>15</v>
      </c>
      <c r="AD7" s="59"/>
      <c r="AE7" s="59"/>
      <c r="AG7" s="40">
        <v>20</v>
      </c>
      <c r="AH7" s="40">
        <v>15</v>
      </c>
      <c r="AI7" s="40">
        <v>50</v>
      </c>
      <c r="AJ7" s="41" t="s">
        <v>16</v>
      </c>
      <c r="AK7" s="41" t="s">
        <v>14</v>
      </c>
      <c r="AL7" s="41" t="s">
        <v>14</v>
      </c>
      <c r="AM7" s="41" t="s">
        <v>19</v>
      </c>
      <c r="AN7" s="41" t="s">
        <v>15</v>
      </c>
      <c r="AO7" s="40"/>
      <c r="AP7" s="40"/>
      <c r="AR7" s="40">
        <v>20</v>
      </c>
      <c r="AS7" s="40">
        <v>16</v>
      </c>
      <c r="AT7" s="40">
        <v>54</v>
      </c>
      <c r="AU7" s="41" t="s">
        <v>16</v>
      </c>
      <c r="AV7" s="41" t="s">
        <v>14</v>
      </c>
      <c r="AW7" s="41" t="s">
        <v>14</v>
      </c>
      <c r="AX7" s="41" t="s">
        <v>19</v>
      </c>
      <c r="AY7" s="41" t="s">
        <v>15</v>
      </c>
      <c r="AZ7" s="40"/>
      <c r="BA7" s="40"/>
    </row>
    <row r="8" spans="1:53" x14ac:dyDescent="0.25">
      <c r="B8" s="32" t="s">
        <v>50</v>
      </c>
      <c r="C8" s="33">
        <v>6380</v>
      </c>
      <c r="D8" s="33">
        <v>4.6900000000000004</v>
      </c>
      <c r="E8" s="33">
        <v>1.5</v>
      </c>
      <c r="F8" s="33">
        <v>257</v>
      </c>
      <c r="G8" s="34">
        <f t="shared" si="0"/>
        <v>783.36136416037095</v>
      </c>
      <c r="J8" s="32" t="s">
        <v>51</v>
      </c>
      <c r="K8" s="35">
        <v>3</v>
      </c>
      <c r="L8" s="35">
        <v>9</v>
      </c>
      <c r="M8" s="35">
        <v>3</v>
      </c>
      <c r="N8" s="36">
        <v>0</v>
      </c>
      <c r="Q8" s="37" t="s">
        <v>52</v>
      </c>
      <c r="R8" s="33">
        <v>193000</v>
      </c>
      <c r="S8" s="38">
        <v>77000</v>
      </c>
      <c r="V8" s="59">
        <v>22</v>
      </c>
      <c r="W8" s="59">
        <v>18</v>
      </c>
      <c r="X8" s="59">
        <v>60</v>
      </c>
      <c r="Y8" s="60" t="s">
        <v>17</v>
      </c>
      <c r="Z8" s="60"/>
      <c r="AA8" s="60"/>
      <c r="AB8" s="60"/>
      <c r="AC8" s="60" t="s">
        <v>16</v>
      </c>
      <c r="AD8" s="59"/>
      <c r="AE8" s="59"/>
      <c r="AG8" s="40">
        <v>22</v>
      </c>
      <c r="AH8" s="40">
        <v>16</v>
      </c>
      <c r="AI8" s="40">
        <v>54</v>
      </c>
      <c r="AJ8" s="41" t="s">
        <v>17</v>
      </c>
      <c r="AK8" s="41"/>
      <c r="AL8" s="41"/>
      <c r="AM8" s="41"/>
      <c r="AN8" s="41" t="s">
        <v>16</v>
      </c>
      <c r="AO8" s="40"/>
      <c r="AP8" s="40"/>
      <c r="AR8" s="40">
        <v>22</v>
      </c>
      <c r="AS8" s="40">
        <v>18</v>
      </c>
      <c r="AT8" s="40">
        <v>60</v>
      </c>
      <c r="AU8" s="41" t="s">
        <v>17</v>
      </c>
      <c r="AV8" s="41"/>
      <c r="AW8" s="41"/>
      <c r="AX8" s="41"/>
      <c r="AY8" s="41" t="s">
        <v>16</v>
      </c>
      <c r="AZ8" s="40"/>
      <c r="BA8" s="40"/>
    </row>
    <row r="9" spans="1:53" x14ac:dyDescent="0.25">
      <c r="B9" s="32" t="s">
        <v>53</v>
      </c>
      <c r="C9" s="33">
        <v>18730</v>
      </c>
      <c r="D9" s="33">
        <v>0.71</v>
      </c>
      <c r="E9" s="33">
        <v>0.7</v>
      </c>
      <c r="F9" s="33">
        <v>134</v>
      </c>
      <c r="G9" s="34">
        <f t="shared" si="0"/>
        <v>348.14867987694288</v>
      </c>
      <c r="J9" s="32"/>
      <c r="K9" s="35"/>
      <c r="L9" s="35"/>
      <c r="M9" s="35"/>
      <c r="N9" s="36"/>
      <c r="Q9" s="37"/>
      <c r="R9" s="33"/>
      <c r="S9" s="38"/>
      <c r="V9" s="59">
        <v>24</v>
      </c>
      <c r="W9" s="59">
        <v>20</v>
      </c>
      <c r="X9" s="59">
        <v>64</v>
      </c>
      <c r="Y9" s="60">
        <v>12</v>
      </c>
      <c r="Z9" s="60"/>
      <c r="AA9" s="60"/>
      <c r="AB9" s="60"/>
      <c r="AC9" s="60" t="s">
        <v>17</v>
      </c>
      <c r="AD9" s="59"/>
      <c r="AE9" s="59"/>
      <c r="AG9" s="40">
        <v>24</v>
      </c>
      <c r="AH9" s="40">
        <v>18</v>
      </c>
      <c r="AI9" s="40">
        <v>60</v>
      </c>
      <c r="AJ9" s="41">
        <v>12</v>
      </c>
      <c r="AK9" s="41"/>
      <c r="AL9" s="41"/>
      <c r="AM9" s="41"/>
      <c r="AN9" s="41" t="s">
        <v>17</v>
      </c>
      <c r="AO9" s="40"/>
      <c r="AP9" s="40"/>
      <c r="AR9" s="40">
        <v>24</v>
      </c>
      <c r="AS9" s="40">
        <v>20</v>
      </c>
      <c r="AT9" s="40">
        <v>64</v>
      </c>
      <c r="AU9" s="41">
        <v>12</v>
      </c>
      <c r="AV9" s="41"/>
      <c r="AW9" s="41"/>
      <c r="AX9" s="41"/>
      <c r="AY9" s="41" t="s">
        <v>17</v>
      </c>
      <c r="AZ9" s="40"/>
      <c r="BA9" s="40"/>
    </row>
    <row r="10" spans="1:53" x14ac:dyDescent="0.25">
      <c r="B10" s="32" t="s">
        <v>54</v>
      </c>
      <c r="C10" s="33">
        <v>21020</v>
      </c>
      <c r="D10" s="33">
        <v>0.7</v>
      </c>
      <c r="E10" s="33">
        <v>3.8</v>
      </c>
      <c r="F10" s="33">
        <v>130</v>
      </c>
      <c r="G10" s="34">
        <f t="shared" si="0"/>
        <v>385.21161920766843</v>
      </c>
      <c r="J10" s="32"/>
      <c r="K10" s="35"/>
      <c r="L10" s="35"/>
      <c r="M10" s="35"/>
      <c r="N10" s="36"/>
      <c r="Q10" s="37"/>
      <c r="R10" s="33"/>
      <c r="S10" s="38"/>
      <c r="V10" s="59">
        <v>26</v>
      </c>
      <c r="W10" s="59">
        <v>22</v>
      </c>
      <c r="X10" s="59">
        <v>66</v>
      </c>
      <c r="Y10" s="60" t="s">
        <v>18</v>
      </c>
      <c r="Z10" s="60"/>
      <c r="AA10" s="60"/>
      <c r="AB10" s="60"/>
      <c r="AC10" s="60">
        <v>12</v>
      </c>
      <c r="AD10" s="59"/>
      <c r="AE10" s="59"/>
      <c r="AG10" s="40">
        <v>25</v>
      </c>
      <c r="AH10" s="40">
        <v>19</v>
      </c>
      <c r="AI10" s="40">
        <v>64</v>
      </c>
      <c r="AJ10" s="41" t="s">
        <v>18</v>
      </c>
      <c r="AK10" s="41"/>
      <c r="AL10" s="41"/>
      <c r="AM10" s="41"/>
      <c r="AN10" s="41">
        <v>12</v>
      </c>
      <c r="AO10" s="40"/>
      <c r="AP10" s="40"/>
      <c r="AR10" s="40">
        <v>26</v>
      </c>
      <c r="AS10" s="40">
        <v>22</v>
      </c>
      <c r="AT10" s="40">
        <v>66</v>
      </c>
      <c r="AU10" s="41" t="s">
        <v>18</v>
      </c>
      <c r="AV10" s="41"/>
      <c r="AW10" s="41"/>
      <c r="AX10" s="41"/>
      <c r="AY10" s="41">
        <v>12</v>
      </c>
      <c r="AZ10" s="40"/>
      <c r="BA10" s="40"/>
    </row>
    <row r="11" spans="1:53" x14ac:dyDescent="0.25">
      <c r="B11" s="32" t="s">
        <v>55</v>
      </c>
      <c r="C11" s="33">
        <v>11000</v>
      </c>
      <c r="D11" s="33">
        <v>0.97</v>
      </c>
      <c r="E11" s="33">
        <v>1.4</v>
      </c>
      <c r="F11" s="33">
        <v>100</v>
      </c>
      <c r="G11" s="34">
        <f t="shared" si="0"/>
        <v>279.33994678169245</v>
      </c>
      <c r="J11" s="32"/>
      <c r="K11" s="35"/>
      <c r="L11" s="35"/>
      <c r="M11" s="35"/>
      <c r="N11" s="36"/>
      <c r="Q11" s="37"/>
      <c r="R11" s="33"/>
      <c r="S11" s="38"/>
      <c r="V11" s="59">
        <v>28</v>
      </c>
      <c r="W11" s="59">
        <v>24</v>
      </c>
      <c r="X11" s="59">
        <v>70</v>
      </c>
      <c r="Y11" s="60">
        <v>14</v>
      </c>
      <c r="Z11" s="60"/>
      <c r="AA11" s="60"/>
      <c r="AB11" s="60"/>
      <c r="AC11" s="60" t="s">
        <v>18</v>
      </c>
      <c r="AD11" s="59"/>
      <c r="AE11" s="59"/>
      <c r="AG11" s="40">
        <v>26</v>
      </c>
      <c r="AH11" s="40">
        <v>20</v>
      </c>
      <c r="AI11" s="40">
        <v>66</v>
      </c>
      <c r="AJ11" s="41">
        <v>14</v>
      </c>
      <c r="AK11" s="41"/>
      <c r="AL11" s="41"/>
      <c r="AM11" s="41"/>
      <c r="AN11" s="41" t="s">
        <v>18</v>
      </c>
      <c r="AO11" s="40"/>
      <c r="AP11" s="40"/>
      <c r="AR11" s="40">
        <v>28</v>
      </c>
      <c r="AS11" s="40">
        <v>24</v>
      </c>
      <c r="AT11" s="40">
        <v>70</v>
      </c>
      <c r="AU11" s="41">
        <v>14</v>
      </c>
      <c r="AV11" s="41"/>
      <c r="AW11" s="41"/>
      <c r="AX11" s="41"/>
      <c r="AY11" s="41" t="s">
        <v>18</v>
      </c>
      <c r="AZ11" s="40"/>
      <c r="BA11" s="40"/>
    </row>
    <row r="12" spans="1:53" x14ac:dyDescent="0.25">
      <c r="B12" s="32" t="s">
        <v>56</v>
      </c>
      <c r="C12" s="33">
        <v>13180</v>
      </c>
      <c r="D12" s="33">
        <v>0.43</v>
      </c>
      <c r="E12" s="33">
        <v>1.8</v>
      </c>
      <c r="F12" s="33">
        <v>53</v>
      </c>
      <c r="G12" s="34">
        <f t="shared" si="0"/>
        <v>148.37218504128995</v>
      </c>
      <c r="V12" s="59">
        <v>30</v>
      </c>
      <c r="W12" s="59">
        <v>26</v>
      </c>
      <c r="X12" s="59">
        <v>72</v>
      </c>
      <c r="Y12" s="60"/>
      <c r="Z12" s="60"/>
      <c r="AA12" s="60"/>
      <c r="AB12" s="60"/>
      <c r="AC12" s="60">
        <v>14</v>
      </c>
      <c r="AD12" s="59"/>
      <c r="AE12" s="59"/>
      <c r="AG12" s="40">
        <v>28</v>
      </c>
      <c r="AH12" s="40">
        <v>21</v>
      </c>
      <c r="AI12" s="40">
        <v>70</v>
      </c>
      <c r="AJ12" s="41">
        <v>15</v>
      </c>
      <c r="AK12" s="41"/>
      <c r="AL12" s="41"/>
      <c r="AM12" s="41"/>
      <c r="AN12" s="41">
        <v>14</v>
      </c>
      <c r="AO12" s="40"/>
      <c r="AP12" s="40"/>
      <c r="AR12" s="40">
        <v>30</v>
      </c>
      <c r="AS12" s="40">
        <v>26</v>
      </c>
      <c r="AT12" s="40">
        <v>72</v>
      </c>
      <c r="AU12" s="41"/>
      <c r="AV12" s="41"/>
      <c r="AW12" s="41"/>
      <c r="AX12" s="41"/>
      <c r="AY12" s="41">
        <v>14</v>
      </c>
      <c r="AZ12" s="40"/>
      <c r="BA12" s="40"/>
    </row>
    <row r="13" spans="1:53" x14ac:dyDescent="0.25">
      <c r="B13" s="32" t="s">
        <v>57</v>
      </c>
      <c r="C13" s="33">
        <v>5800</v>
      </c>
      <c r="D13" s="33">
        <v>0.28000000000000003</v>
      </c>
      <c r="E13" s="33">
        <v>1.6</v>
      </c>
      <c r="F13" s="33">
        <v>18</v>
      </c>
      <c r="G13" s="34">
        <f t="shared" si="0"/>
        <v>42.516220578581873</v>
      </c>
      <c r="J13" s="1" t="s">
        <v>58</v>
      </c>
      <c r="V13" s="59">
        <v>32</v>
      </c>
      <c r="W13" s="59">
        <v>28</v>
      </c>
      <c r="X13" s="61"/>
      <c r="Y13" s="60"/>
      <c r="Z13" s="60"/>
      <c r="AA13" s="60"/>
      <c r="AB13" s="60"/>
      <c r="AC13" s="60"/>
      <c r="AD13" s="59"/>
      <c r="AE13" s="59"/>
      <c r="AG13" s="40">
        <v>29</v>
      </c>
      <c r="AH13" s="40">
        <v>22</v>
      </c>
      <c r="AI13" s="42">
        <v>72</v>
      </c>
      <c r="AJ13" s="41">
        <v>16</v>
      </c>
      <c r="AK13" s="41"/>
      <c r="AL13" s="41"/>
      <c r="AM13" s="41"/>
      <c r="AN13" s="41"/>
      <c r="AO13" s="40"/>
      <c r="AP13" s="40"/>
      <c r="AR13" s="40">
        <v>32</v>
      </c>
      <c r="AS13" s="40">
        <v>28</v>
      </c>
      <c r="AT13" s="42"/>
      <c r="AU13" s="41"/>
      <c r="AV13" s="41"/>
      <c r="AW13" s="41"/>
      <c r="AX13" s="41"/>
      <c r="AY13" s="41"/>
      <c r="AZ13" s="40"/>
      <c r="BA13" s="40"/>
    </row>
    <row r="14" spans="1:53" x14ac:dyDescent="0.25">
      <c r="B14" s="32" t="s">
        <v>59</v>
      </c>
      <c r="C14" s="33">
        <v>14270</v>
      </c>
      <c r="D14" s="33">
        <v>0.36</v>
      </c>
      <c r="E14" s="33">
        <v>3.7</v>
      </c>
      <c r="F14" s="33">
        <v>71</v>
      </c>
      <c r="G14" s="34">
        <f t="shared" si="0"/>
        <v>134.49158150017905</v>
      </c>
      <c r="V14" s="59">
        <v>34</v>
      </c>
      <c r="W14" s="59">
        <v>30</v>
      </c>
      <c r="X14" s="59"/>
      <c r="Y14" s="60"/>
      <c r="Z14" s="60"/>
      <c r="AA14" s="60"/>
      <c r="AB14" s="60"/>
      <c r="AC14" s="60"/>
      <c r="AD14" s="59"/>
      <c r="AE14" s="59"/>
      <c r="AG14" s="40">
        <v>30</v>
      </c>
      <c r="AH14" s="40">
        <v>24</v>
      </c>
      <c r="AI14" s="40"/>
      <c r="AJ14" s="41">
        <v>17</v>
      </c>
      <c r="AK14" s="41"/>
      <c r="AL14" s="41"/>
      <c r="AM14" s="41"/>
      <c r="AN14" s="41"/>
      <c r="AO14" s="40"/>
      <c r="AP14" s="40"/>
      <c r="AR14" s="40">
        <v>34</v>
      </c>
      <c r="AS14" s="40">
        <v>30</v>
      </c>
      <c r="AT14" s="40"/>
      <c r="AU14" s="41"/>
      <c r="AV14" s="41"/>
      <c r="AW14" s="41"/>
      <c r="AX14" s="41"/>
      <c r="AY14" s="41"/>
      <c r="AZ14" s="40"/>
      <c r="BA14" s="40"/>
    </row>
    <row r="15" spans="1:53" x14ac:dyDescent="0.25">
      <c r="B15" s="32" t="s">
        <v>60</v>
      </c>
      <c r="C15" s="33">
        <v>13050</v>
      </c>
      <c r="D15" s="33">
        <v>0.72</v>
      </c>
      <c r="E15" s="33">
        <v>2.7</v>
      </c>
      <c r="F15" s="33">
        <v>97</v>
      </c>
      <c r="G15" s="34">
        <f t="shared" si="0"/>
        <v>245.98670477608078</v>
      </c>
      <c r="V15" s="59">
        <v>36</v>
      </c>
      <c r="W15" s="59">
        <v>32</v>
      </c>
      <c r="X15" s="59"/>
      <c r="Y15" s="60"/>
      <c r="Z15" s="60"/>
      <c r="AA15" s="60"/>
      <c r="AB15" s="60"/>
      <c r="AC15" s="60"/>
      <c r="AD15" s="59"/>
      <c r="AE15" s="59"/>
      <c r="AG15" s="40">
        <v>32</v>
      </c>
      <c r="AH15" s="40">
        <v>26</v>
      </c>
      <c r="AI15" s="40"/>
      <c r="AJ15" s="41">
        <v>35</v>
      </c>
      <c r="AK15" s="41"/>
      <c r="AL15" s="41"/>
      <c r="AM15" s="41"/>
      <c r="AN15" s="41"/>
      <c r="AO15" s="40"/>
      <c r="AP15" s="40"/>
      <c r="AR15" s="40">
        <v>36</v>
      </c>
      <c r="AS15" s="40">
        <v>32</v>
      </c>
      <c r="AT15" s="40"/>
      <c r="AU15" s="41"/>
      <c r="AV15" s="41"/>
      <c r="AW15" s="41"/>
      <c r="AX15" s="41"/>
      <c r="AY15" s="41"/>
      <c r="AZ15" s="40"/>
      <c r="BA15" s="40"/>
    </row>
    <row r="16" spans="1:53" x14ac:dyDescent="0.25">
      <c r="B16" s="32" t="s">
        <v>61</v>
      </c>
      <c r="C16" s="33">
        <v>19000</v>
      </c>
      <c r="D16" s="33">
        <v>0.38</v>
      </c>
      <c r="E16" s="33">
        <v>0.4</v>
      </c>
      <c r="F16" s="33">
        <v>84</v>
      </c>
      <c r="G16" s="34">
        <f t="shared" si="0"/>
        <v>189.01915799098592</v>
      </c>
      <c r="V16" s="59">
        <v>38</v>
      </c>
      <c r="W16" s="59">
        <v>34</v>
      </c>
      <c r="X16" s="59"/>
      <c r="Y16" s="59"/>
      <c r="Z16" s="59"/>
      <c r="AA16" s="59"/>
      <c r="AB16" s="59"/>
      <c r="AC16" s="59"/>
      <c r="AD16" s="59"/>
      <c r="AE16" s="59"/>
      <c r="AG16" s="40">
        <v>34</v>
      </c>
      <c r="AH16" s="40">
        <v>28</v>
      </c>
      <c r="AI16" s="40"/>
      <c r="AJ16" s="40"/>
      <c r="AK16" s="40"/>
      <c r="AL16" s="40"/>
      <c r="AM16" s="40"/>
      <c r="AN16" s="40"/>
      <c r="AO16" s="40"/>
      <c r="AP16" s="40"/>
      <c r="AR16" s="40">
        <v>38</v>
      </c>
      <c r="AS16" s="40">
        <v>34</v>
      </c>
      <c r="AT16" s="40"/>
      <c r="AU16" s="40"/>
      <c r="AV16" s="40"/>
      <c r="AW16" s="40"/>
      <c r="AX16" s="40"/>
      <c r="AY16" s="40"/>
      <c r="AZ16" s="40"/>
      <c r="BA16" s="40"/>
    </row>
    <row r="17" spans="2:53" x14ac:dyDescent="0.25">
      <c r="B17" s="32" t="s">
        <v>62</v>
      </c>
      <c r="C17" s="33">
        <v>410</v>
      </c>
      <c r="D17" s="33">
        <v>4.4000000000000004</v>
      </c>
      <c r="E17" s="33"/>
      <c r="F17" s="33">
        <v>26</v>
      </c>
      <c r="G17" s="34">
        <f t="shared" si="0"/>
        <v>47.228609558966561</v>
      </c>
      <c r="V17" s="59">
        <v>40</v>
      </c>
      <c r="W17" s="59">
        <v>36</v>
      </c>
      <c r="X17" s="59"/>
      <c r="Y17" s="59"/>
      <c r="Z17" s="59"/>
      <c r="AA17" s="59"/>
      <c r="AB17" s="59"/>
      <c r="AC17" s="59"/>
      <c r="AD17" s="59"/>
      <c r="AE17" s="59"/>
      <c r="AG17" s="40">
        <v>35</v>
      </c>
      <c r="AH17" s="40">
        <v>30</v>
      </c>
      <c r="AI17" s="40"/>
      <c r="AJ17" s="40"/>
      <c r="AK17" s="40"/>
      <c r="AL17" s="40"/>
      <c r="AM17" s="40"/>
      <c r="AN17" s="40"/>
      <c r="AO17" s="40"/>
      <c r="AP17" s="40"/>
      <c r="AR17" s="40">
        <v>40</v>
      </c>
      <c r="AS17" s="40">
        <v>36</v>
      </c>
      <c r="AT17" s="40"/>
      <c r="AU17" s="40"/>
      <c r="AV17" s="40"/>
      <c r="AW17" s="40"/>
      <c r="AX17" s="40"/>
      <c r="AY17" s="40"/>
      <c r="AZ17" s="40"/>
      <c r="BA17" s="40"/>
    </row>
    <row r="18" spans="2:53" x14ac:dyDescent="0.25">
      <c r="B18" s="32" t="s">
        <v>63</v>
      </c>
      <c r="C18" s="33">
        <v>100</v>
      </c>
      <c r="D18" s="33">
        <v>7.91</v>
      </c>
      <c r="E18" s="33">
        <v>5</v>
      </c>
      <c r="F18" s="33">
        <v>24</v>
      </c>
      <c r="G18" s="34">
        <f t="shared" si="0"/>
        <v>20.708331574912719</v>
      </c>
      <c r="M18" s="39"/>
      <c r="V18" s="59">
        <v>42</v>
      </c>
      <c r="W18" s="59">
        <v>38</v>
      </c>
      <c r="X18" s="59"/>
      <c r="Y18" s="59"/>
      <c r="Z18" s="59"/>
      <c r="AA18" s="59"/>
      <c r="AB18" s="59"/>
      <c r="AC18" s="59"/>
      <c r="AD18" s="59"/>
      <c r="AE18" s="59"/>
      <c r="AG18" s="40">
        <v>36</v>
      </c>
      <c r="AH18" s="40">
        <v>32</v>
      </c>
      <c r="AI18" s="40"/>
      <c r="AJ18" s="40"/>
      <c r="AK18" s="40"/>
      <c r="AL18" s="40"/>
      <c r="AM18" s="40"/>
      <c r="AN18" s="40"/>
      <c r="AO18" s="40"/>
      <c r="AP18" s="40"/>
      <c r="AR18" s="40">
        <v>42</v>
      </c>
      <c r="AS18" s="40">
        <v>38</v>
      </c>
      <c r="AT18" s="40"/>
      <c r="AU18" s="40"/>
      <c r="AV18" s="40"/>
      <c r="AW18" s="40"/>
      <c r="AX18" s="40"/>
      <c r="AY18" s="40"/>
      <c r="AZ18" s="40"/>
      <c r="BA18" s="40"/>
    </row>
    <row r="19" spans="2:53" x14ac:dyDescent="0.25">
      <c r="B19" s="32" t="s">
        <v>64</v>
      </c>
      <c r="C19" s="33">
        <v>6600</v>
      </c>
      <c r="D19" s="33">
        <v>6.1800000000000001E-2</v>
      </c>
      <c r="E19" s="33">
        <v>2</v>
      </c>
      <c r="F19" s="33">
        <v>11.5</v>
      </c>
      <c r="G19" s="34">
        <f t="shared" si="0"/>
        <v>10.678273429551707</v>
      </c>
      <c r="M19" s="39"/>
      <c r="V19" s="59">
        <v>44</v>
      </c>
      <c r="W19" s="59">
        <v>40</v>
      </c>
      <c r="X19" s="59"/>
      <c r="Y19" s="59"/>
      <c r="Z19" s="59"/>
      <c r="AA19" s="59"/>
      <c r="AB19" s="59"/>
      <c r="AC19" s="59"/>
      <c r="AD19" s="59"/>
      <c r="AE19" s="59"/>
      <c r="AG19" s="40">
        <v>38</v>
      </c>
      <c r="AH19" s="40">
        <v>34</v>
      </c>
      <c r="AI19" s="40"/>
      <c r="AJ19" s="40"/>
      <c r="AK19" s="40"/>
      <c r="AL19" s="40"/>
      <c r="AM19" s="40"/>
      <c r="AN19" s="40"/>
      <c r="AO19" s="40"/>
      <c r="AP19" s="40"/>
      <c r="AR19" s="40">
        <v>44</v>
      </c>
      <c r="AS19" s="40">
        <v>40</v>
      </c>
      <c r="AT19" s="40"/>
      <c r="AU19" s="40"/>
      <c r="AV19" s="40"/>
      <c r="AW19" s="40"/>
      <c r="AX19" s="40"/>
      <c r="AY19" s="40"/>
      <c r="AZ19" s="40"/>
      <c r="BA19" s="40"/>
    </row>
    <row r="20" spans="2:53" x14ac:dyDescent="0.25">
      <c r="B20" s="32" t="s">
        <v>65</v>
      </c>
      <c r="C20" s="33">
        <v>5300</v>
      </c>
      <c r="D20" s="33">
        <v>0.13</v>
      </c>
      <c r="E20" s="33">
        <v>1</v>
      </c>
      <c r="F20" s="33">
        <v>7</v>
      </c>
      <c r="G20" s="34">
        <f t="shared" si="0"/>
        <v>18.037977819361398</v>
      </c>
      <c r="V20" s="59">
        <v>46</v>
      </c>
      <c r="W20" s="59">
        <v>42</v>
      </c>
      <c r="X20" s="59"/>
      <c r="Y20" s="59"/>
      <c r="Z20" s="59"/>
      <c r="AA20" s="59"/>
      <c r="AB20" s="59"/>
      <c r="AC20" s="59"/>
      <c r="AD20" s="59"/>
      <c r="AE20" s="59"/>
      <c r="AG20" s="40">
        <v>40</v>
      </c>
      <c r="AH20" s="40">
        <v>35</v>
      </c>
      <c r="AI20" s="40"/>
      <c r="AJ20" s="40"/>
      <c r="AK20" s="40"/>
      <c r="AL20" s="40"/>
      <c r="AM20" s="40"/>
      <c r="AN20" s="40"/>
      <c r="AO20" s="40"/>
      <c r="AP20" s="40"/>
      <c r="AR20" s="40">
        <v>46</v>
      </c>
      <c r="AS20" s="40">
        <v>42</v>
      </c>
      <c r="AT20" s="40"/>
      <c r="AU20" s="40"/>
      <c r="AV20" s="40"/>
      <c r="AW20" s="40"/>
      <c r="AX20" s="40"/>
      <c r="AY20" s="40"/>
      <c r="AZ20" s="40"/>
      <c r="BA20" s="40"/>
    </row>
    <row r="21" spans="2:53" x14ac:dyDescent="0.25">
      <c r="B21" s="32" t="s">
        <v>66</v>
      </c>
      <c r="C21" s="33">
        <v>24</v>
      </c>
      <c r="D21" s="33">
        <v>22</v>
      </c>
      <c r="E21" s="33">
        <v>3</v>
      </c>
      <c r="F21" s="33">
        <v>12</v>
      </c>
      <c r="G21" s="34">
        <f t="shared" si="0"/>
        <v>13.82300767579509</v>
      </c>
      <c r="V21" s="59">
        <v>48</v>
      </c>
      <c r="W21" s="59">
        <v>44</v>
      </c>
      <c r="X21" s="59"/>
      <c r="Y21" s="59"/>
      <c r="Z21" s="59"/>
      <c r="AA21" s="59"/>
      <c r="AB21" s="59"/>
      <c r="AC21" s="59"/>
      <c r="AD21" s="59"/>
      <c r="AE21" s="59"/>
      <c r="AG21" s="40">
        <v>42</v>
      </c>
      <c r="AH21" s="40">
        <v>36</v>
      </c>
      <c r="AI21" s="40"/>
      <c r="AJ21" s="40"/>
      <c r="AK21" s="40"/>
      <c r="AL21" s="40"/>
      <c r="AM21" s="40"/>
      <c r="AN21" s="40"/>
      <c r="AO21" s="40"/>
      <c r="AP21" s="40"/>
      <c r="AR21" s="40">
        <v>48</v>
      </c>
      <c r="AS21" s="40">
        <v>44</v>
      </c>
      <c r="AT21" s="40"/>
      <c r="AU21" s="40"/>
      <c r="AV21" s="40"/>
      <c r="AW21" s="40"/>
      <c r="AX21" s="40"/>
      <c r="AY21" s="40"/>
      <c r="AZ21" s="40"/>
      <c r="BA21" s="40"/>
    </row>
    <row r="22" spans="2:53" x14ac:dyDescent="0.25">
      <c r="B22" s="32" t="s">
        <v>67</v>
      </c>
      <c r="C22" s="33">
        <v>3084</v>
      </c>
      <c r="D22" s="33">
        <v>0.32</v>
      </c>
      <c r="E22" s="33">
        <v>0.28000000000000003</v>
      </c>
      <c r="F22" s="33">
        <v>6.5</v>
      </c>
      <c r="G22" s="34">
        <f t="shared" si="0"/>
        <v>25.836457983122461</v>
      </c>
      <c r="V22" s="59">
        <v>50</v>
      </c>
      <c r="W22" s="59">
        <v>46</v>
      </c>
      <c r="X22" s="59"/>
      <c r="Y22" s="59"/>
      <c r="Z22" s="59"/>
      <c r="AA22" s="59"/>
      <c r="AB22" s="59"/>
      <c r="AC22" s="59"/>
      <c r="AD22" s="59"/>
      <c r="AE22" s="59"/>
      <c r="AG22" s="40">
        <v>43</v>
      </c>
      <c r="AH22" s="40">
        <v>38</v>
      </c>
      <c r="AI22" s="40"/>
      <c r="AJ22" s="40"/>
      <c r="AK22" s="40"/>
      <c r="AL22" s="40"/>
      <c r="AM22" s="40"/>
      <c r="AN22" s="40"/>
      <c r="AO22" s="40"/>
      <c r="AP22" s="40"/>
      <c r="AR22" s="40">
        <v>50</v>
      </c>
      <c r="AS22" s="40">
        <v>46</v>
      </c>
      <c r="AT22" s="40"/>
      <c r="AU22" s="40"/>
      <c r="AV22" s="40"/>
      <c r="AW22" s="40"/>
      <c r="AX22" s="40"/>
      <c r="AY22" s="40"/>
      <c r="AZ22" s="40"/>
      <c r="BA22" s="40"/>
    </row>
    <row r="23" spans="2:53" x14ac:dyDescent="0.25">
      <c r="B23" s="32" t="s">
        <v>68</v>
      </c>
      <c r="C23" s="33">
        <v>90</v>
      </c>
      <c r="D23" s="33">
        <v>9.24</v>
      </c>
      <c r="E23" s="33">
        <v>1.5</v>
      </c>
      <c r="F23" s="33">
        <v>16.25</v>
      </c>
      <c r="G23" s="34">
        <f t="shared" si="0"/>
        <v>21.771237089377266</v>
      </c>
      <c r="V23" s="59">
        <v>52</v>
      </c>
      <c r="W23" s="59">
        <v>48</v>
      </c>
      <c r="X23" s="59"/>
      <c r="Y23" s="59"/>
      <c r="Z23" s="59"/>
      <c r="AA23" s="59"/>
      <c r="AB23" s="59"/>
      <c r="AC23" s="59"/>
      <c r="AD23" s="59"/>
      <c r="AE23" s="59"/>
      <c r="AG23" s="40">
        <v>44</v>
      </c>
      <c r="AH23" s="40">
        <v>40</v>
      </c>
      <c r="AI23" s="40"/>
      <c r="AJ23" s="40"/>
      <c r="AK23" s="40"/>
      <c r="AL23" s="40"/>
      <c r="AM23" s="40"/>
      <c r="AN23" s="40"/>
      <c r="AO23" s="40"/>
      <c r="AP23" s="40"/>
      <c r="AR23" s="40">
        <v>52</v>
      </c>
      <c r="AS23" s="40">
        <v>48</v>
      </c>
      <c r="AT23" s="40"/>
      <c r="AU23" s="40"/>
      <c r="AV23" s="40"/>
      <c r="AW23" s="40"/>
      <c r="AX23" s="40"/>
      <c r="AY23" s="40"/>
      <c r="AZ23" s="40"/>
      <c r="BA23" s="40"/>
    </row>
    <row r="24" spans="2:53" x14ac:dyDescent="0.25">
      <c r="B24" s="32" t="s">
        <v>69</v>
      </c>
      <c r="C24" s="33">
        <v>5508</v>
      </c>
      <c r="D24" s="33">
        <v>3.82</v>
      </c>
      <c r="E24" s="33">
        <v>8.16</v>
      </c>
      <c r="F24" s="33">
        <v>220</v>
      </c>
      <c r="G24" s="34">
        <f t="shared" si="0"/>
        <v>550.84057269512709</v>
      </c>
      <c r="V24" s="59">
        <v>54</v>
      </c>
      <c r="W24" s="59">
        <v>50</v>
      </c>
      <c r="X24" s="59"/>
      <c r="Y24" s="59"/>
      <c r="Z24" s="59"/>
      <c r="AA24" s="59"/>
      <c r="AB24" s="59"/>
      <c r="AC24" s="59"/>
      <c r="AD24" s="59"/>
      <c r="AE24" s="59"/>
      <c r="AG24" s="40">
        <v>45</v>
      </c>
      <c r="AH24" s="40">
        <v>42</v>
      </c>
      <c r="AI24" s="40"/>
      <c r="AJ24" s="40"/>
      <c r="AK24" s="40"/>
      <c r="AL24" s="40"/>
      <c r="AM24" s="40"/>
      <c r="AN24" s="40"/>
      <c r="AO24" s="40"/>
      <c r="AP24" s="40"/>
      <c r="AR24" s="40">
        <v>54</v>
      </c>
      <c r="AS24" s="40">
        <v>50</v>
      </c>
      <c r="AT24" s="40"/>
      <c r="AU24" s="40"/>
      <c r="AV24" s="40"/>
      <c r="AW24" s="40"/>
      <c r="AX24" s="40"/>
      <c r="AY24" s="40"/>
      <c r="AZ24" s="40"/>
      <c r="BA24" s="40"/>
    </row>
    <row r="25" spans="2:53" x14ac:dyDescent="0.25">
      <c r="B25" s="32" t="s">
        <v>70</v>
      </c>
      <c r="C25" s="33">
        <v>5593</v>
      </c>
      <c r="D25" s="33">
        <v>5.23</v>
      </c>
      <c r="E25" s="33">
        <v>9.6199999999999992</v>
      </c>
      <c r="F25" s="33">
        <v>309</v>
      </c>
      <c r="G25" s="34">
        <f t="shared" si="0"/>
        <v>765.79959942741618</v>
      </c>
      <c r="V25" s="59">
        <v>56</v>
      </c>
      <c r="W25" s="59">
        <v>52</v>
      </c>
      <c r="X25" s="59"/>
      <c r="Y25" s="59"/>
      <c r="Z25" s="59"/>
      <c r="AA25" s="59"/>
      <c r="AB25" s="59"/>
      <c r="AC25" s="59"/>
      <c r="AD25" s="59"/>
      <c r="AE25" s="59"/>
      <c r="AG25" s="40">
        <v>46</v>
      </c>
      <c r="AH25" s="40">
        <v>44</v>
      </c>
      <c r="AI25" s="40"/>
      <c r="AJ25" s="40"/>
      <c r="AK25" s="40"/>
      <c r="AL25" s="40"/>
      <c r="AM25" s="40"/>
      <c r="AN25" s="40"/>
      <c r="AO25" s="40"/>
      <c r="AP25" s="40"/>
      <c r="AR25" s="40">
        <v>56</v>
      </c>
      <c r="AS25" s="40">
        <v>52</v>
      </c>
      <c r="AT25" s="40"/>
      <c r="AU25" s="40"/>
      <c r="AV25" s="40"/>
      <c r="AW25" s="40"/>
      <c r="AX25" s="40"/>
      <c r="AY25" s="40"/>
      <c r="AZ25" s="40"/>
      <c r="BA25" s="40"/>
    </row>
    <row r="26" spans="2:53" x14ac:dyDescent="0.25">
      <c r="B26" s="32" t="s">
        <v>71</v>
      </c>
      <c r="C26" s="33">
        <v>5437</v>
      </c>
      <c r="D26" s="33">
        <v>6.23</v>
      </c>
      <c r="E26" s="33">
        <v>9.15</v>
      </c>
      <c r="F26" s="33">
        <v>351</v>
      </c>
      <c r="G26" s="34">
        <f t="shared" si="0"/>
        <v>886.78023812205663</v>
      </c>
      <c r="V26" s="59">
        <v>58</v>
      </c>
      <c r="W26" s="59">
        <v>54</v>
      </c>
      <c r="X26" s="59"/>
      <c r="Y26" s="59"/>
      <c r="Z26" s="59"/>
      <c r="AA26" s="59"/>
      <c r="AB26" s="59"/>
      <c r="AC26" s="59"/>
      <c r="AD26" s="59"/>
      <c r="AE26" s="59"/>
      <c r="AG26" s="40">
        <v>48</v>
      </c>
      <c r="AH26" s="40">
        <v>46</v>
      </c>
      <c r="AI26" s="40"/>
      <c r="AJ26" s="40"/>
      <c r="AK26" s="40"/>
      <c r="AL26" s="40"/>
      <c r="AM26" s="40"/>
      <c r="AN26" s="40"/>
      <c r="AO26" s="40"/>
      <c r="AP26" s="40"/>
      <c r="AR26" s="40">
        <v>58</v>
      </c>
      <c r="AS26" s="40">
        <v>54</v>
      </c>
      <c r="AT26" s="40"/>
      <c r="AU26" s="40"/>
      <c r="AV26" s="40"/>
      <c r="AW26" s="40"/>
      <c r="AX26" s="40"/>
      <c r="AY26" s="40"/>
      <c r="AZ26" s="40"/>
      <c r="BA26" s="40"/>
    </row>
    <row r="27" spans="2:53" x14ac:dyDescent="0.25">
      <c r="B27" s="32"/>
      <c r="C27" s="33"/>
      <c r="D27" s="33"/>
      <c r="E27" s="33"/>
      <c r="F27" s="33"/>
      <c r="G27" s="34" t="str">
        <f t="shared" si="0"/>
        <v/>
      </c>
      <c r="V27" s="59">
        <v>60</v>
      </c>
      <c r="W27" s="59"/>
      <c r="X27" s="59"/>
      <c r="Y27" s="59"/>
      <c r="Z27" s="59"/>
      <c r="AA27" s="59"/>
      <c r="AB27" s="59"/>
      <c r="AC27" s="59"/>
      <c r="AD27" s="59"/>
      <c r="AE27" s="59"/>
      <c r="AG27" s="40">
        <v>50</v>
      </c>
      <c r="AH27" s="40">
        <v>48</v>
      </c>
      <c r="AI27" s="40"/>
      <c r="AJ27" s="40"/>
      <c r="AK27" s="40"/>
      <c r="AL27" s="40"/>
      <c r="AM27" s="40"/>
      <c r="AN27" s="40"/>
      <c r="AO27" s="40"/>
      <c r="AP27" s="40"/>
      <c r="AR27" s="40">
        <v>60</v>
      </c>
      <c r="AS27" s="40"/>
      <c r="AT27" s="40"/>
      <c r="AU27" s="40"/>
      <c r="AV27" s="40"/>
      <c r="AW27" s="40"/>
      <c r="AX27" s="40"/>
      <c r="AY27" s="40"/>
      <c r="AZ27" s="40"/>
      <c r="BA27" s="40"/>
    </row>
    <row r="28" spans="2:53" x14ac:dyDescent="0.25">
      <c r="B28" s="32"/>
      <c r="C28" s="33"/>
      <c r="D28" s="33"/>
      <c r="E28" s="33"/>
      <c r="F28" s="33"/>
      <c r="G28" s="34" t="str">
        <f t="shared" si="0"/>
        <v/>
      </c>
      <c r="V28" s="59">
        <v>62</v>
      </c>
      <c r="W28" s="59"/>
      <c r="X28" s="59"/>
      <c r="Y28" s="59"/>
      <c r="Z28" s="59"/>
      <c r="AA28" s="59"/>
      <c r="AB28" s="59"/>
      <c r="AC28" s="59"/>
      <c r="AD28" s="59"/>
      <c r="AE28" s="59"/>
      <c r="AG28" s="40">
        <v>52</v>
      </c>
      <c r="AH28" s="40">
        <v>50</v>
      </c>
      <c r="AI28" s="40"/>
      <c r="AJ28" s="40"/>
      <c r="AK28" s="40"/>
      <c r="AL28" s="40"/>
      <c r="AM28" s="40"/>
      <c r="AN28" s="40"/>
      <c r="AO28" s="40"/>
      <c r="AP28" s="40"/>
      <c r="AR28" s="40">
        <v>62</v>
      </c>
      <c r="AS28" s="40"/>
      <c r="AT28" s="40"/>
      <c r="AU28" s="40"/>
      <c r="AV28" s="40"/>
      <c r="AW28" s="40"/>
      <c r="AX28" s="40"/>
      <c r="AY28" s="40"/>
      <c r="AZ28" s="40"/>
      <c r="BA28" s="40"/>
    </row>
    <row r="29" spans="2:53" x14ac:dyDescent="0.25">
      <c r="B29" s="32"/>
      <c r="C29" s="33"/>
      <c r="D29" s="33"/>
      <c r="E29" s="33"/>
      <c r="F29" s="33"/>
      <c r="G29" s="34" t="str">
        <f t="shared" si="0"/>
        <v/>
      </c>
      <c r="V29" s="59">
        <v>64</v>
      </c>
      <c r="W29" s="59"/>
      <c r="X29" s="59"/>
      <c r="Y29" s="59"/>
      <c r="Z29" s="59"/>
      <c r="AA29" s="59"/>
      <c r="AB29" s="59"/>
      <c r="AC29" s="59"/>
      <c r="AD29" s="59"/>
      <c r="AE29" s="59"/>
      <c r="AG29" s="40">
        <v>54</v>
      </c>
      <c r="AH29" s="40">
        <v>52</v>
      </c>
      <c r="AI29" s="40"/>
      <c r="AJ29" s="40"/>
      <c r="AK29" s="40"/>
      <c r="AL29" s="40"/>
      <c r="AM29" s="40"/>
      <c r="AN29" s="40"/>
      <c r="AO29" s="40"/>
      <c r="AP29" s="40"/>
      <c r="AR29" s="40">
        <v>64</v>
      </c>
      <c r="AS29" s="40"/>
      <c r="AT29" s="40"/>
      <c r="AU29" s="40"/>
      <c r="AV29" s="40"/>
      <c r="AW29" s="40"/>
      <c r="AX29" s="40"/>
      <c r="AY29" s="40"/>
      <c r="AZ29" s="40"/>
      <c r="BA29" s="40"/>
    </row>
    <row r="30" spans="2:53" x14ac:dyDescent="0.25">
      <c r="B30" s="32"/>
      <c r="C30" s="33"/>
      <c r="D30" s="33"/>
      <c r="E30" s="33"/>
      <c r="F30" s="33"/>
      <c r="G30" s="34" t="str">
        <f t="shared" si="0"/>
        <v/>
      </c>
      <c r="V30" s="59">
        <v>66</v>
      </c>
      <c r="W30" s="59"/>
      <c r="X30" s="59"/>
      <c r="Y30" s="59"/>
      <c r="Z30" s="59"/>
      <c r="AA30" s="59"/>
      <c r="AB30" s="59"/>
      <c r="AC30" s="59"/>
      <c r="AD30" s="59"/>
      <c r="AE30" s="59"/>
      <c r="AG30" s="40">
        <v>56</v>
      </c>
      <c r="AH30" s="40">
        <v>54</v>
      </c>
      <c r="AI30" s="40"/>
      <c r="AJ30" s="40"/>
      <c r="AK30" s="40"/>
      <c r="AL30" s="40"/>
      <c r="AM30" s="40"/>
      <c r="AN30" s="40"/>
      <c r="AO30" s="40"/>
      <c r="AP30" s="40"/>
      <c r="AR30" s="40">
        <v>66</v>
      </c>
      <c r="AS30" s="40"/>
      <c r="AT30" s="40"/>
      <c r="AU30" s="40"/>
      <c r="AV30" s="40"/>
      <c r="AW30" s="40"/>
      <c r="AX30" s="40"/>
      <c r="AY30" s="40"/>
      <c r="AZ30" s="40"/>
      <c r="BA30" s="40"/>
    </row>
    <row r="31" spans="2:53" x14ac:dyDescent="0.25">
      <c r="V31" s="59">
        <v>68</v>
      </c>
      <c r="W31" s="59"/>
      <c r="X31" s="59"/>
      <c r="Y31" s="59"/>
      <c r="Z31" s="59"/>
      <c r="AA31" s="59"/>
      <c r="AB31" s="59"/>
      <c r="AC31" s="59"/>
      <c r="AD31" s="59"/>
      <c r="AE31" s="59"/>
      <c r="AG31" s="40">
        <v>58</v>
      </c>
      <c r="AH31" s="40"/>
      <c r="AI31" s="40"/>
      <c r="AJ31" s="40"/>
      <c r="AK31" s="40"/>
      <c r="AL31" s="40"/>
      <c r="AM31" s="40"/>
      <c r="AN31" s="40"/>
      <c r="AO31" s="40"/>
      <c r="AP31" s="40"/>
      <c r="AR31" s="40">
        <v>68</v>
      </c>
      <c r="AS31" s="40"/>
      <c r="AT31" s="40"/>
      <c r="AU31" s="40"/>
      <c r="AV31" s="40"/>
      <c r="AW31" s="40"/>
      <c r="AX31" s="40"/>
      <c r="AY31" s="40"/>
      <c r="AZ31" s="40"/>
      <c r="BA31" s="40"/>
    </row>
    <row r="32" spans="2:53" x14ac:dyDescent="0.25">
      <c r="B32" s="1" t="s">
        <v>72</v>
      </c>
      <c r="V32" s="59">
        <v>70</v>
      </c>
      <c r="W32" s="59"/>
      <c r="X32" s="59"/>
      <c r="Y32" s="59"/>
      <c r="Z32" s="59"/>
      <c r="AA32" s="59"/>
      <c r="AB32" s="59"/>
      <c r="AC32" s="59"/>
      <c r="AD32" s="59"/>
      <c r="AE32" s="59"/>
      <c r="AG32" s="40">
        <v>60</v>
      </c>
      <c r="AH32" s="40"/>
      <c r="AI32" s="40"/>
      <c r="AJ32" s="40"/>
      <c r="AK32" s="40"/>
      <c r="AL32" s="40"/>
      <c r="AM32" s="40"/>
      <c r="AN32" s="40"/>
      <c r="AO32" s="40"/>
      <c r="AP32" s="40"/>
      <c r="AR32" s="40">
        <v>70</v>
      </c>
      <c r="AS32" s="40"/>
      <c r="AT32" s="40"/>
      <c r="AU32" s="40"/>
      <c r="AV32" s="40"/>
      <c r="AW32" s="40"/>
      <c r="AX32" s="40"/>
      <c r="AY32" s="40"/>
      <c r="AZ32" s="40"/>
      <c r="BA32" s="40"/>
    </row>
    <row r="33" spans="22:53" x14ac:dyDescent="0.25">
      <c r="V33" s="59">
        <v>72</v>
      </c>
      <c r="W33" s="59"/>
      <c r="X33" s="59"/>
      <c r="Y33" s="59"/>
      <c r="Z33" s="59"/>
      <c r="AA33" s="59"/>
      <c r="AB33" s="59"/>
      <c r="AC33" s="59"/>
      <c r="AD33" s="59"/>
      <c r="AE33" s="59"/>
      <c r="AG33" s="40">
        <v>62</v>
      </c>
      <c r="AH33" s="40"/>
      <c r="AI33" s="40"/>
      <c r="AJ33" s="40"/>
      <c r="AK33" s="40"/>
      <c r="AL33" s="40"/>
      <c r="AM33" s="40"/>
      <c r="AN33" s="40"/>
      <c r="AO33" s="40"/>
      <c r="AP33" s="40"/>
      <c r="AR33" s="40">
        <v>72</v>
      </c>
      <c r="AS33" s="40"/>
      <c r="AT33" s="40"/>
      <c r="AU33" s="40"/>
      <c r="AV33" s="40"/>
      <c r="AW33" s="40"/>
      <c r="AX33" s="40"/>
      <c r="AY33" s="40"/>
      <c r="AZ33" s="40"/>
      <c r="BA33" s="40"/>
    </row>
    <row r="34" spans="22:53" x14ac:dyDescent="0.25">
      <c r="V34" s="59">
        <v>74</v>
      </c>
      <c r="W34" s="59"/>
      <c r="X34" s="59"/>
      <c r="Y34" s="59"/>
      <c r="Z34" s="59"/>
      <c r="AA34" s="59"/>
      <c r="AB34" s="59"/>
      <c r="AC34" s="59"/>
      <c r="AD34" s="59"/>
      <c r="AE34" s="59"/>
      <c r="AG34" s="40">
        <v>64</v>
      </c>
      <c r="AH34" s="40"/>
      <c r="AI34" s="40"/>
      <c r="AJ34" s="40"/>
      <c r="AK34" s="40"/>
      <c r="AL34" s="40"/>
      <c r="AM34" s="40"/>
      <c r="AN34" s="40"/>
      <c r="AO34" s="40"/>
      <c r="AP34" s="40"/>
      <c r="AR34" s="40">
        <v>74</v>
      </c>
      <c r="AS34" s="40"/>
      <c r="AT34" s="40"/>
      <c r="AU34" s="40"/>
      <c r="AV34" s="40"/>
      <c r="AW34" s="40"/>
      <c r="AX34" s="40"/>
      <c r="AY34" s="40"/>
      <c r="AZ34" s="40"/>
      <c r="BA34" s="40"/>
    </row>
    <row r="35" spans="22:53" x14ac:dyDescent="0.25">
      <c r="V35" s="59">
        <v>76</v>
      </c>
      <c r="W35" s="59"/>
      <c r="X35" s="59"/>
      <c r="Y35" s="59"/>
      <c r="Z35" s="59"/>
      <c r="AA35" s="59"/>
      <c r="AB35" s="59"/>
      <c r="AC35" s="59"/>
      <c r="AD35" s="59"/>
      <c r="AE35" s="59"/>
      <c r="AG35" s="40">
        <v>66</v>
      </c>
      <c r="AH35" s="40"/>
      <c r="AI35" s="40"/>
      <c r="AJ35" s="40"/>
      <c r="AK35" s="40"/>
      <c r="AL35" s="40"/>
      <c r="AM35" s="40"/>
      <c r="AN35" s="40"/>
      <c r="AO35" s="40"/>
      <c r="AP35" s="40"/>
      <c r="AR35" s="40">
        <v>76</v>
      </c>
      <c r="AS35" s="40"/>
      <c r="AT35" s="40"/>
      <c r="AU35" s="40"/>
      <c r="AV35" s="40"/>
      <c r="AW35" s="40"/>
      <c r="AX35" s="40"/>
      <c r="AY35" s="40"/>
      <c r="AZ35" s="40"/>
      <c r="BA35" s="40"/>
    </row>
    <row r="36" spans="22:53" x14ac:dyDescent="0.25">
      <c r="V36" s="59">
        <v>78</v>
      </c>
      <c r="W36" s="59"/>
      <c r="X36" s="59"/>
      <c r="Y36" s="59"/>
      <c r="Z36" s="59"/>
      <c r="AA36" s="59"/>
      <c r="AB36" s="59"/>
      <c r="AC36" s="59"/>
      <c r="AD36" s="59"/>
      <c r="AE36" s="59"/>
      <c r="AG36" s="40">
        <v>68</v>
      </c>
      <c r="AH36" s="40"/>
      <c r="AI36" s="40"/>
      <c r="AJ36" s="40"/>
      <c r="AK36" s="40"/>
      <c r="AL36" s="40"/>
      <c r="AM36" s="40"/>
      <c r="AN36" s="40"/>
      <c r="AO36" s="40"/>
      <c r="AP36" s="40"/>
      <c r="AR36" s="40">
        <v>78</v>
      </c>
      <c r="AS36" s="40"/>
      <c r="AT36" s="40"/>
      <c r="AU36" s="40"/>
      <c r="AV36" s="40"/>
      <c r="AW36" s="40"/>
      <c r="AX36" s="40"/>
      <c r="AY36" s="40"/>
      <c r="AZ36" s="40"/>
      <c r="BA36" s="40"/>
    </row>
    <row r="37" spans="22:53" x14ac:dyDescent="0.25">
      <c r="V37" s="59">
        <v>80</v>
      </c>
      <c r="W37" s="59"/>
      <c r="X37" s="59"/>
      <c r="Y37" s="59"/>
      <c r="Z37" s="59"/>
      <c r="AA37" s="59"/>
      <c r="AB37" s="59"/>
      <c r="AC37" s="59"/>
      <c r="AD37" s="59"/>
      <c r="AE37" s="59"/>
      <c r="AG37" s="40">
        <v>70</v>
      </c>
      <c r="AH37" s="40"/>
      <c r="AI37" s="40"/>
      <c r="AJ37" s="40"/>
      <c r="AK37" s="40"/>
      <c r="AL37" s="40"/>
      <c r="AM37" s="40"/>
      <c r="AN37" s="40"/>
      <c r="AO37" s="40"/>
      <c r="AP37" s="40"/>
      <c r="AR37" s="40">
        <v>80</v>
      </c>
      <c r="AS37" s="40"/>
      <c r="AT37" s="40"/>
      <c r="AU37" s="40"/>
      <c r="AV37" s="40"/>
      <c r="AW37" s="40"/>
      <c r="AX37" s="40"/>
      <c r="AY37" s="40"/>
      <c r="AZ37" s="40"/>
      <c r="BA37" s="40"/>
    </row>
    <row r="38" spans="22:53" x14ac:dyDescent="0.25">
      <c r="V38" s="59">
        <v>82</v>
      </c>
      <c r="W38" s="59"/>
      <c r="X38" s="59"/>
      <c r="Y38" s="59"/>
      <c r="Z38" s="59"/>
      <c r="AA38" s="59"/>
      <c r="AB38" s="59"/>
      <c r="AC38" s="59"/>
      <c r="AD38" s="59"/>
      <c r="AE38" s="59"/>
      <c r="AG38" s="40">
        <v>72</v>
      </c>
      <c r="AH38" s="40"/>
      <c r="AI38" s="40"/>
      <c r="AJ38" s="40"/>
      <c r="AK38" s="40"/>
      <c r="AL38" s="40"/>
      <c r="AM38" s="40"/>
      <c r="AN38" s="40"/>
      <c r="AO38" s="40"/>
      <c r="AP38" s="40"/>
      <c r="AR38" s="40">
        <v>82</v>
      </c>
      <c r="AS38" s="40"/>
      <c r="AT38" s="40"/>
      <c r="AU38" s="40"/>
      <c r="AV38" s="40"/>
      <c r="AW38" s="40"/>
      <c r="AX38" s="40"/>
      <c r="AY38" s="40"/>
      <c r="AZ38" s="40"/>
      <c r="BA38" s="40"/>
    </row>
    <row r="39" spans="22:53" x14ac:dyDescent="0.25">
      <c r="V39" s="59">
        <v>84</v>
      </c>
      <c r="W39" s="59"/>
      <c r="X39" s="59"/>
      <c r="Y39" s="59"/>
      <c r="Z39" s="59"/>
      <c r="AA39" s="59"/>
      <c r="AB39" s="59"/>
      <c r="AC39" s="59"/>
      <c r="AD39" s="59"/>
      <c r="AE39" s="59"/>
      <c r="AG39" s="40">
        <v>74</v>
      </c>
      <c r="AH39" s="40"/>
      <c r="AI39" s="40"/>
      <c r="AJ39" s="40"/>
      <c r="AK39" s="40"/>
      <c r="AL39" s="40"/>
      <c r="AM39" s="40"/>
      <c r="AN39" s="40"/>
      <c r="AO39" s="40"/>
      <c r="AP39" s="40"/>
      <c r="AR39" s="40">
        <v>84</v>
      </c>
      <c r="AS39" s="40"/>
      <c r="AT39" s="40"/>
      <c r="AU39" s="40"/>
      <c r="AV39" s="40"/>
      <c r="AW39" s="40"/>
      <c r="AX39" s="40"/>
      <c r="AY39" s="40"/>
      <c r="AZ39" s="40"/>
      <c r="BA39" s="40"/>
    </row>
    <row r="40" spans="22:53" x14ac:dyDescent="0.25">
      <c r="V40" s="59"/>
      <c r="W40" s="59"/>
      <c r="X40" s="59"/>
      <c r="Y40" s="59"/>
      <c r="Z40" s="59"/>
      <c r="AA40" s="59"/>
      <c r="AB40" s="59"/>
      <c r="AC40" s="59"/>
      <c r="AD40" s="59"/>
      <c r="AE40" s="59"/>
      <c r="AG40" s="40">
        <v>76</v>
      </c>
      <c r="AH40" s="40"/>
      <c r="AI40" s="40"/>
      <c r="AJ40" s="40"/>
      <c r="AK40" s="40"/>
      <c r="AL40" s="40"/>
      <c r="AM40" s="40"/>
      <c r="AN40" s="40"/>
      <c r="AO40" s="40"/>
      <c r="AP40" s="40"/>
      <c r="AR40" s="40"/>
      <c r="AS40" s="40"/>
      <c r="AT40" s="40"/>
      <c r="AU40" s="40"/>
      <c r="AV40" s="40"/>
      <c r="AW40" s="40"/>
      <c r="AX40" s="40"/>
      <c r="AY40" s="40"/>
      <c r="AZ40" s="40"/>
      <c r="BA40" s="40"/>
    </row>
    <row r="41" spans="22:53" x14ac:dyDescent="0.25">
      <c r="V41" s="59"/>
      <c r="W41" s="59"/>
      <c r="X41" s="59"/>
      <c r="Y41" s="59"/>
      <c r="Z41" s="59"/>
      <c r="AA41" s="59"/>
      <c r="AB41" s="59"/>
      <c r="AC41" s="59"/>
      <c r="AD41" s="59"/>
      <c r="AE41" s="59"/>
      <c r="AG41" s="40">
        <v>78</v>
      </c>
      <c r="AH41" s="40"/>
      <c r="AI41" s="40"/>
      <c r="AJ41" s="40"/>
      <c r="AK41" s="40"/>
      <c r="AL41" s="40"/>
      <c r="AM41" s="40"/>
      <c r="AN41" s="40"/>
      <c r="AO41" s="40"/>
      <c r="AP41" s="40"/>
      <c r="AR41" s="40"/>
      <c r="AS41" s="40"/>
      <c r="AT41" s="40"/>
      <c r="AU41" s="40"/>
      <c r="AV41" s="40"/>
      <c r="AW41" s="40"/>
      <c r="AX41" s="40"/>
      <c r="AY41" s="40"/>
      <c r="AZ41" s="40"/>
      <c r="BA41" s="40"/>
    </row>
    <row r="42" spans="22:53" x14ac:dyDescent="0.25">
      <c r="V42" s="59"/>
      <c r="W42" s="59"/>
      <c r="X42" s="59"/>
      <c r="Y42" s="59"/>
      <c r="Z42" s="59"/>
      <c r="AA42" s="59"/>
      <c r="AB42" s="59"/>
      <c r="AC42" s="59"/>
      <c r="AD42" s="59"/>
      <c r="AE42" s="59"/>
      <c r="AG42" s="40">
        <v>80</v>
      </c>
      <c r="AH42" s="40"/>
      <c r="AI42" s="40"/>
      <c r="AJ42" s="40"/>
      <c r="AK42" s="40"/>
      <c r="AL42" s="40"/>
      <c r="AM42" s="40"/>
      <c r="AN42" s="40"/>
      <c r="AO42" s="40"/>
      <c r="AP42" s="40"/>
      <c r="AR42" s="40"/>
      <c r="AS42" s="40"/>
      <c r="AT42" s="40"/>
      <c r="AU42" s="40"/>
      <c r="AV42" s="40"/>
      <c r="AW42" s="40"/>
      <c r="AX42" s="40"/>
      <c r="AY42" s="40"/>
      <c r="AZ42" s="40"/>
      <c r="BA42" s="40"/>
    </row>
    <row r="43" spans="22:53" x14ac:dyDescent="0.25">
      <c r="V43" s="59"/>
      <c r="W43" s="59"/>
      <c r="X43" s="59"/>
      <c r="Y43" s="59"/>
      <c r="Z43" s="59"/>
      <c r="AA43" s="59"/>
      <c r="AB43" s="59"/>
      <c r="AC43" s="59"/>
      <c r="AD43" s="59"/>
      <c r="AE43" s="59"/>
      <c r="AG43" s="40">
        <v>82</v>
      </c>
      <c r="AH43" s="40"/>
      <c r="AI43" s="40"/>
      <c r="AJ43" s="40"/>
      <c r="AK43" s="40"/>
      <c r="AL43" s="40"/>
      <c r="AM43" s="40"/>
      <c r="AN43" s="40"/>
      <c r="AO43" s="40"/>
      <c r="AP43" s="40"/>
      <c r="AR43" s="40"/>
      <c r="AS43" s="40"/>
      <c r="AT43" s="40"/>
      <c r="AU43" s="40"/>
      <c r="AV43" s="40"/>
      <c r="AW43" s="40"/>
      <c r="AX43" s="40"/>
      <c r="AY43" s="40"/>
      <c r="AZ43" s="40"/>
      <c r="BA43" s="40"/>
    </row>
    <row r="44" spans="22:53" x14ac:dyDescent="0.25">
      <c r="V44" s="59"/>
      <c r="W44" s="59"/>
      <c r="X44" s="59"/>
      <c r="Y44" s="59"/>
      <c r="Z44" s="59"/>
      <c r="AA44" s="59"/>
      <c r="AB44" s="59"/>
      <c r="AC44" s="59"/>
      <c r="AD44" s="59"/>
      <c r="AE44" s="59"/>
      <c r="AG44" s="40">
        <v>84</v>
      </c>
      <c r="AH44" s="40"/>
      <c r="AI44" s="40"/>
      <c r="AJ44" s="40"/>
      <c r="AK44" s="40"/>
      <c r="AL44" s="40"/>
      <c r="AM44" s="40"/>
      <c r="AN44" s="40"/>
      <c r="AO44" s="40"/>
      <c r="AP44" s="40"/>
      <c r="AR44" s="40"/>
      <c r="AS44" s="40"/>
      <c r="AT44" s="40"/>
      <c r="AU44" s="40"/>
      <c r="AV44" s="40"/>
      <c r="AW44" s="40"/>
      <c r="AX44" s="40"/>
      <c r="AY44" s="40"/>
      <c r="AZ44" s="40"/>
      <c r="BA44" s="40"/>
    </row>
    <row r="45" spans="22:53" x14ac:dyDescent="0.25">
      <c r="V45" s="59"/>
      <c r="W45" s="59"/>
      <c r="X45" s="59"/>
      <c r="Y45" s="59"/>
      <c r="Z45" s="59"/>
      <c r="AA45" s="59"/>
      <c r="AB45" s="59"/>
      <c r="AC45" s="59"/>
      <c r="AD45" s="59"/>
      <c r="AE45" s="59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R45" s="40"/>
      <c r="AS45" s="40"/>
      <c r="AT45" s="40"/>
      <c r="AU45" s="40"/>
      <c r="AV45" s="40"/>
      <c r="AW45" s="40"/>
      <c r="AX45" s="40"/>
      <c r="AY45" s="40"/>
      <c r="AZ45" s="40"/>
      <c r="BA45" s="40"/>
    </row>
    <row r="46" spans="22:53" x14ac:dyDescent="0.25">
      <c r="V46" s="59"/>
      <c r="W46" s="59"/>
      <c r="X46" s="59"/>
      <c r="Y46" s="59"/>
      <c r="Z46" s="59"/>
      <c r="AA46" s="59"/>
      <c r="AB46" s="59"/>
      <c r="AC46" s="59"/>
      <c r="AD46" s="59"/>
      <c r="AE46" s="59"/>
      <c r="AG46" s="40"/>
      <c r="AH46" s="40"/>
      <c r="AI46" s="40"/>
      <c r="AJ46" s="40"/>
      <c r="AK46" s="40"/>
      <c r="AL46" s="40"/>
      <c r="AM46" s="40"/>
      <c r="AN46" s="40"/>
      <c r="AO46" s="40"/>
      <c r="AP46" s="40"/>
      <c r="AR46" s="40"/>
      <c r="AS46" s="40"/>
      <c r="AT46" s="40"/>
      <c r="AU46" s="40"/>
      <c r="AV46" s="40"/>
      <c r="AW46" s="40"/>
      <c r="AX46" s="40"/>
      <c r="AY46" s="40"/>
      <c r="AZ46" s="40"/>
      <c r="BA46" s="40"/>
    </row>
    <row r="47" spans="22:53" x14ac:dyDescent="0.25">
      <c r="V47" s="59"/>
      <c r="W47" s="59"/>
      <c r="X47" s="59"/>
      <c r="Y47" s="59"/>
      <c r="Z47" s="59"/>
      <c r="AA47" s="59"/>
      <c r="AB47" s="59"/>
      <c r="AC47" s="59"/>
      <c r="AD47" s="59"/>
      <c r="AE47" s="59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R47" s="40"/>
      <c r="AS47" s="40"/>
      <c r="AT47" s="40"/>
      <c r="AU47" s="40"/>
      <c r="AV47" s="40"/>
      <c r="AW47" s="40"/>
      <c r="AX47" s="40"/>
      <c r="AY47" s="40"/>
      <c r="AZ47" s="40"/>
      <c r="BA47" s="40"/>
    </row>
    <row r="48" spans="22:53" x14ac:dyDescent="0.25">
      <c r="V48" s="59"/>
      <c r="W48" s="59"/>
      <c r="X48" s="59"/>
      <c r="Y48" s="59"/>
      <c r="Z48" s="59"/>
      <c r="AA48" s="59"/>
      <c r="AB48" s="59"/>
      <c r="AC48" s="59"/>
      <c r="AD48" s="59"/>
      <c r="AE48" s="59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R48" s="40"/>
      <c r="AS48" s="40"/>
      <c r="AT48" s="40"/>
      <c r="AU48" s="40"/>
      <c r="AV48" s="40"/>
      <c r="AW48" s="40"/>
      <c r="AX48" s="40"/>
      <c r="AY48" s="40"/>
      <c r="AZ48" s="40"/>
      <c r="BA48" s="40"/>
    </row>
    <row r="49" spans="22:53" x14ac:dyDescent="0.25">
      <c r="V49" s="59"/>
      <c r="W49" s="59"/>
      <c r="X49" s="59"/>
      <c r="Y49" s="59"/>
      <c r="Z49" s="59"/>
      <c r="AA49" s="59"/>
      <c r="AB49" s="59"/>
      <c r="AC49" s="59"/>
      <c r="AD49" s="59"/>
      <c r="AE49" s="59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R49" s="40"/>
      <c r="AS49" s="40"/>
      <c r="AT49" s="40"/>
      <c r="AU49" s="40"/>
      <c r="AV49" s="40"/>
      <c r="AW49" s="40"/>
      <c r="AX49" s="40"/>
      <c r="AY49" s="40"/>
      <c r="AZ49" s="40"/>
      <c r="BA49" s="40"/>
    </row>
    <row r="50" spans="22:53" x14ac:dyDescent="0.25">
      <c r="V50" s="59"/>
      <c r="W50" s="59"/>
      <c r="X50" s="59"/>
      <c r="Y50" s="59"/>
      <c r="Z50" s="59"/>
      <c r="AA50" s="59"/>
      <c r="AB50" s="59"/>
      <c r="AC50" s="59"/>
      <c r="AD50" s="59"/>
      <c r="AE50" s="59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R50" s="40"/>
      <c r="AS50" s="40"/>
      <c r="AT50" s="40"/>
      <c r="AU50" s="40"/>
      <c r="AV50" s="40"/>
      <c r="AW50" s="40"/>
      <c r="AX50" s="40"/>
      <c r="AY50" s="40"/>
      <c r="AZ50" s="40"/>
      <c r="BA50" s="40"/>
    </row>
    <row r="51" spans="22:53" x14ac:dyDescent="0.25"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R51" s="40"/>
      <c r="AS51" s="40"/>
      <c r="AT51" s="40"/>
      <c r="AU51" s="40"/>
      <c r="AV51" s="40"/>
      <c r="AW51" s="40"/>
      <c r="AX51" s="40"/>
      <c r="AY51" s="40"/>
      <c r="AZ51" s="40"/>
      <c r="BA51" s="40"/>
    </row>
    <row r="52" spans="22:53" x14ac:dyDescent="0.25">
      <c r="V52" s="62"/>
      <c r="W52" s="62"/>
      <c r="X52" s="62"/>
      <c r="Y52" s="62"/>
      <c r="Z52" s="62"/>
      <c r="AA52" s="62"/>
      <c r="AB52" s="62"/>
      <c r="AC52" s="62"/>
      <c r="AD52" s="62"/>
      <c r="AE52" s="62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</row>
  </sheetData>
  <sheetProtection sheet="1" objects="1" scenarios="1" formatCells="0" formatColumns="0" formatRows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locked="0" defaultSize="0" print="0" autoFill="0" autoPict="0" macro="[0]!FillGearsAMVex">
                <anchor moveWithCells="1" sizeWithCells="1">
                  <from>
                    <xdr:col>23</xdr:col>
                    <xdr:colOff>381000</xdr:colOff>
                    <xdr:row>1</xdr:row>
                    <xdr:rowOff>0</xdr:rowOff>
                  </from>
                  <to>
                    <xdr:col>25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locked="0" defaultSize="0" print="0" autoFill="0" autoPict="0" macro="[0]!FillGearsVexOnly">
                <anchor moveWithCells="1" sizeWithCells="1">
                  <from>
                    <xdr:col>25</xdr:col>
                    <xdr:colOff>190500</xdr:colOff>
                    <xdr:row>1</xdr:row>
                    <xdr:rowOff>0</xdr:rowOff>
                  </from>
                  <to>
                    <xdr:col>26</xdr:col>
                    <xdr:colOff>571500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Gear Options Calculator</vt:lpstr>
      <vt:lpstr>Specs</vt:lpstr>
      <vt:lpstr>ChainBelts</vt:lpstr>
      <vt:lpstr>ChainBeltSpecs</vt:lpstr>
      <vt:lpstr>Gear_Types</vt:lpstr>
      <vt:lpstr>Materials</vt:lpstr>
      <vt:lpstr>MaterialSpecs</vt:lpstr>
      <vt:lpstr>Motors</vt:lpstr>
      <vt:lpstr>MotorSpecs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 Meles-Braverman</dc:creator>
  <cp:lastModifiedBy>Ari Meles-Braverman</cp:lastModifiedBy>
  <dcterms:created xsi:type="dcterms:W3CDTF">2020-03-24T21:49:50Z</dcterms:created>
  <dcterms:modified xsi:type="dcterms:W3CDTF">2020-04-05T23:26:40Z</dcterms:modified>
</cp:coreProperties>
</file>