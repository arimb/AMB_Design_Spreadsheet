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25" i="7" l="1"/>
  <c r="L24" i="7"/>
  <c r="L20" i="7"/>
  <c r="L19" i="7"/>
  <c r="I15" i="7"/>
  <c r="I14" i="7"/>
  <c r="D20" i="8" l="1"/>
  <c r="Q8" i="10" l="1"/>
  <c r="Q9" i="10" s="1"/>
  <c r="Q10" i="10" s="1"/>
  <c r="Q11" i="10" s="1"/>
  <c r="Q12" i="10" s="1"/>
  <c r="Q13" i="10" s="1"/>
  <c r="Q14" i="10" s="1"/>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O8" i="10" l="1"/>
  <c r="N8" i="10"/>
  <c r="O16" i="10"/>
  <c r="N16" i="10"/>
  <c r="E45" i="13"/>
  <c r="G13" i="9"/>
  <c r="M33" i="9" s="1"/>
  <c r="M37" i="9" s="1"/>
  <c r="D14" i="9"/>
  <c r="F9" i="9"/>
  <c r="F13" i="9"/>
  <c r="F8" i="9"/>
  <c r="F7" i="9"/>
  <c r="C13" i="9"/>
  <c r="C9" i="9"/>
  <c r="C8" i="9"/>
  <c r="C7" i="9"/>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K13" i="1"/>
  <c r="P16" i="10" l="1"/>
  <c r="Q16" i="10" s="1"/>
  <c r="M17" i="10" s="1"/>
  <c r="P8" i="10"/>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3" i="7"/>
  <c r="I13" i="7"/>
  <c r="G13" i="8"/>
  <c r="P13" i="8"/>
  <c r="J13" i="8"/>
  <c r="M13" i="8"/>
  <c r="L18"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3" i="10" l="1"/>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<sst xmlns="http://schemas.openxmlformats.org/spreadsheetml/2006/main" count="304" uniqueCount="241">
  <si>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</si>
  <si>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</si>
  <si>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</si>
  <si>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</si>
  <si>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</si>
  <si>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</si>
  <si>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</si>
  <si>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</si>
  <si>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</si>
  <si>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</si>
  <si>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</si>
  <si>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</si>
  <si>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</si>
  <si>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</si>
  <si>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</si>
  <si>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</si>
  <si>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</si>
  <si>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</si>
  <si>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</si>
  <si>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</si>
  <si>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</si>
  <si>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</si>
  <si>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</si>
  <si>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</si>
  <si>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</si>
  <si>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</si>
  <si>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</si>
  <si>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</si>
  <si>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</si>
  <si>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</si>
  <si>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</si>
  <si>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</si>
  <si>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</si>
  <si>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</si>
  <si>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</si>
  <si>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</si>
  <si>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</si>
  <si>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</si>
  <si>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</si>
  <si>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</si>
  <si>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</si>
  <si>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</si>
  <si>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</si>
  <si>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</si>
  <si>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</si>
  <si>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</si>
  <si>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</si>
  <si>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</si>
  <si>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</si>
  <si>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</si>
  <si>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</si>
  <si>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</si>
  <si>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</si>
  <si>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</si>
  <si>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</si>
  <si>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</si>
  <si>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</si>
  <si>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</si>
  <si>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</si>
  <si>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</si>
  <si>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</si>
  <si>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</si>
  <si>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</si>
  <si>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</si>
  <si>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</si>
  <si>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</si>
  <si>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</si>
  <si>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</si>
  <si>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</si>
  <si>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</si>
  <si>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</si>
  <si>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</si>
  <si>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</si>
  <si>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</si>
  <si>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</si>
  <si>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</si>
  <si>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</si>
  <si>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</si>
  <si>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</si>
  <si>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</si>
  <si>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</si>
  <si>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</si>
  <si>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</si>
  <si>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</si>
  <si>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</si>
  <si>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</si>
  <si>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</si>
  <si>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</si>
  <si>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</si>
  <si>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</si>
  <si>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</si>
  <si>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</si>
  <si>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</si>
  <si>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</si>
  <si>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</si>
  <si>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</si>
  <si>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</si>
  <si>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</si>
  <si>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</si>
  <si>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</si>
  <si>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</si>
  <si>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</si>
  <si>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</si>
  <si>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</si>
  <si>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</si>
  <si>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</si>
  <si>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</si>
  <si>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</si>
  <si>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</si>
  <si>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</si>
  <si>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</si>
  <si>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</si>
  <si>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</si>
  <si>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</si>
  <si>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</si>
  <si>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</si>
  <si>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</si>
  <si>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</si>
  <si>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</si>
  <si>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</si>
  <si>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</si>
  <si>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</si>
  <si>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</si>
  <si>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</si>
  <si>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</si>
  <si>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</si>
  <si>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</si>
  <si>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</si>
  <si>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</si>
  <si>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</si>
  <si>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</si>
  <si>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</si>
  <si>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</si>
  <si>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</si>
  <si>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</si>
  <si>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</si>
  <si>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</si>
  <si>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</si>
  <si>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</si>
  <si>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</si>
  <si>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</si>
  <si>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</si>
  <si>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</si>
  <si>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</si>
  <si>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</si>
  <si>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</si>
  <si>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</si>
  <si>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</si>
  <si>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</si>
  <si>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</si>
  <si>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</si>
  <si>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</si>
  <si>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</si>
  <si>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</si>
  <si>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</si>
  <si>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</si>
  <si>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</si>
  <si>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</si>
  <si>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</si>
  <si>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</si>
  <si>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</si>
  <si>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</si>
  <si>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</si>
  <si>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</si>
  <si>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</si>
  <si>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</si>
  <si>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</si>
  <si>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</si>
  <si>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</si>
  <si>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</si>
  <si>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</si>
  <si>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</si>
  <si>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</si>
  <si>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</si>
  <si>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</si>
  <si>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</si>
  <si>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</si>
  <si>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</si>
  <si>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</si>
  <si>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</si>
  <si>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</si>
  <si>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</si>
  <si>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</si>
  <si>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</si>
  <si>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</si>
  <si>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</si>
  <si>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</si>
  <si>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</si>
  <si>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</si>
  <si>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</si>
  <si>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</si>
  <si>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</si>
  <si>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</si>
  <si>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</si>
  <si>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</si>
  <si>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</si>
  <si>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</si>
  <si>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</si>
  <si>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</si>
  <si>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</si>
  <si>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</si>
  <si>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</si>
  <si>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</si>
  <si>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</si>
  <si>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</si>
  <si>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</si>
  <si>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</si>
  <si>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</si>
  <si>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</si>
  <si>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</si>
  <si>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</si>
  <si>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</si>
  <si>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</si>
  <si>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</si>
  <si>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</si>
  <si>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</si>
  <si>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</si>
  <si>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</si>
  <si>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</si>
  <si>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</si>
  <si>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</si>
  <si>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</si>
  <si>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</si>
  <si>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</si>
  <si>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</si>
  <si>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</si>
  <si>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</si>
  <si>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</si>
  <si>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</si>
  <si>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</si>
  <si>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</si>
  <si>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</si>
  <si>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</si>
  <si>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</si>
  <si>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</si>
  <si>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</si>
  <si>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</si>
  <si>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</si>
  <si>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</si>
  <si>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</si>
  <si>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4.3</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</si>
</sst>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6">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65452288"/>
        <c:axId val="65454080"/>
      </c:scatterChart>
      <c:valAx>
        <c:axId val="65452288"/>
        <c:scaling>
          <c:orientation val="minMax"/>
        </c:scaling>
        <c:delete val="0"/>
        <c:axPos val="b"/>
        <c:numFmt formatCode="General" sourceLinked="1"/>
        <c:majorTickMark val="out"/>
        <c:minorTickMark val="none"/>
        <c:tickLblPos val="nextTo"/>
        <c:crossAx val="65454080"/>
        <c:crosses val="autoZero"/>
        <c:crossBetween val="midCat"/>
      </c:valAx>
      <c:valAx>
        <c:axId val="65454080"/>
        <c:scaling>
          <c:orientation val="minMax"/>
        </c:scaling>
        <c:delete val="0"/>
        <c:axPos val="l"/>
        <c:majorGridlines/>
        <c:numFmt formatCode="General" sourceLinked="1"/>
        <c:majorTickMark val="out"/>
        <c:minorTickMark val="none"/>
        <c:tickLblPos val="nextTo"/>
        <c:crossAx val="6545228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113864064"/>
        <c:axId val="113866240"/>
      </c:scatterChart>
      <c:valAx>
        <c:axId val="11386406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3866240"/>
        <c:crosses val="autoZero"/>
        <c:crossBetween val="midCat"/>
      </c:valAx>
      <c:valAx>
        <c:axId val="113866240"/>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1386406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13568384"/>
        <c:axId val="115081600"/>
      </c:scatterChart>
      <c:valAx>
        <c:axId val="113568384"/>
        <c:scaling>
          <c:orientation val="minMax"/>
        </c:scaling>
        <c:delete val="1"/>
        <c:axPos val="b"/>
        <c:numFmt formatCode="General" sourceLinked="1"/>
        <c:majorTickMark val="out"/>
        <c:minorTickMark val="none"/>
        <c:tickLblPos val="nextTo"/>
        <c:crossAx val="115081600"/>
        <c:crosses val="autoZero"/>
        <c:crossBetween val="midCat"/>
      </c:valAx>
      <c:valAx>
        <c:axId val="115081600"/>
        <c:scaling>
          <c:orientation val="minMax"/>
        </c:scaling>
        <c:delete val="1"/>
        <c:axPos val="l"/>
        <c:numFmt formatCode="General" sourceLinked="1"/>
        <c:majorTickMark val="out"/>
        <c:minorTickMark val="none"/>
        <c:tickLblPos val="nextTo"/>
        <c:crossAx val="11356838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5" x14ac:dyDescent="0.5">
      <c r="C2" s="82" t="s">
        <v>183</v>
      </c>
    </row>
    <row r="3" spans="2:5" ht="15.75" x14ac:dyDescent="0.25">
      <c r="C3" s="83" t="s">
        <v>240</v>
      </c>
    </row>
    <row r="4" spans="2:5" ht="15.75" x14ac:dyDescent="0.25">
      <c r="C4" s="83" t="s">
        <v>184</v>
      </c>
    </row>
    <row r="5" spans="2:5" x14ac:dyDescent="0.25">
      <c r="D5" s="139" t="s">
        <v>218</v>
      </c>
      <c r="E5" s="140"/>
    </row>
    <row r="6" spans="2:5" ht="15" customHeight="1" x14ac:dyDescent="0.25">
      <c r="C6" s="84" t="s">
        <v>185</v>
      </c>
      <c r="D6" s="141"/>
      <c r="E6" s="142"/>
    </row>
    <row r="7" spans="2:5" ht="15" customHeight="1" x14ac:dyDescent="0.25">
      <c r="B7" s="85" t="s">
        <v>173</v>
      </c>
      <c r="C7" s="81" t="s">
        <v>186</v>
      </c>
      <c r="D7" s="141"/>
      <c r="E7" s="142"/>
    </row>
    <row r="8" spans="2:5" ht="15" customHeight="1" x14ac:dyDescent="0.25">
      <c r="B8" s="113" t="s">
        <v>173</v>
      </c>
      <c r="C8" s="81" t="s">
        <v>187</v>
      </c>
      <c r="D8" s="141"/>
      <c r="E8" s="142"/>
    </row>
    <row r="9" spans="2:5" ht="15" customHeight="1" x14ac:dyDescent="0.25">
      <c r="B9" s="114" t="s">
        <v>173</v>
      </c>
      <c r="C9" s="81" t="s">
        <v>188</v>
      </c>
      <c r="D9" s="141"/>
      <c r="E9" s="142"/>
    </row>
    <row r="10" spans="2:5" ht="15" customHeight="1" x14ac:dyDescent="0.25">
      <c r="B10" s="115" t="s">
        <v>173</v>
      </c>
      <c r="C10" s="86" t="s">
        <v>189</v>
      </c>
      <c r="D10" s="143"/>
      <c r="E10" s="144"/>
    </row>
    <row r="12" spans="2:5" x14ac:dyDescent="0.25">
      <c r="C12" s="87" t="s">
        <v>191</v>
      </c>
    </row>
    <row r="13" spans="2:5" ht="60.75" customHeight="1" x14ac:dyDescent="0.25">
      <c r="C13" s="88" t="s">
        <v>209</v>
      </c>
    </row>
    <row r="14" spans="2:5" x14ac:dyDescent="0.25">
      <c r="C14" s="89"/>
    </row>
    <row r="15" spans="2:5" x14ac:dyDescent="0.25">
      <c r="C15" s="87" t="s">
        <v>204</v>
      </c>
    </row>
    <row r="16" spans="2:5" ht="90" x14ac:dyDescent="0.25">
      <c r="C16" s="88" t="s">
        <v>205</v>
      </c>
    </row>
    <row r="17" spans="3:3" x14ac:dyDescent="0.25">
      <c r="C17" s="89"/>
    </row>
    <row r="18" spans="3:3" x14ac:dyDescent="0.25">
      <c r="C18" s="87" t="s">
        <v>190</v>
      </c>
    </row>
    <row r="19" spans="3:3" ht="75" x14ac:dyDescent="0.25">
      <c r="C19" s="88" t="s">
        <v>208</v>
      </c>
    </row>
    <row r="20" spans="3:3" x14ac:dyDescent="0.25">
      <c r="C20" s="89"/>
    </row>
    <row r="21" spans="3:3" x14ac:dyDescent="0.25">
      <c r="C21" s="87" t="s">
        <v>206</v>
      </c>
    </row>
    <row r="22" spans="3:3" ht="75" x14ac:dyDescent="0.25">
      <c r="C22" s="88" t="s">
        <v>207</v>
      </c>
    </row>
    <row r="23" spans="3:3" x14ac:dyDescent="0.25">
      <c r="C23" s="89"/>
    </row>
    <row r="24" spans="3:3" x14ac:dyDescent="0.25">
      <c r="C24" s="87" t="s">
        <v>98</v>
      </c>
    </row>
    <row r="25" spans="3:3" ht="104.25" customHeight="1" x14ac:dyDescent="0.25">
      <c r="C25" s="88" t="s">
        <v>192</v>
      </c>
    </row>
    <row r="26" spans="3:3" x14ac:dyDescent="0.25">
      <c r="C26" s="89"/>
    </row>
    <row r="27" spans="3:3" x14ac:dyDescent="0.25">
      <c r="C27" s="87" t="s">
        <v>193</v>
      </c>
    </row>
    <row r="28" spans="3:3" ht="105" x14ac:dyDescent="0.25">
      <c r="C28" s="88" t="s">
        <v>194</v>
      </c>
    </row>
    <row r="29" spans="3:3" x14ac:dyDescent="0.25">
      <c r="C29" s="89"/>
    </row>
    <row r="30" spans="3:3" x14ac:dyDescent="0.25">
      <c r="C30" s="87" t="s">
        <v>210</v>
      </c>
    </row>
    <row r="31" spans="3:3" ht="45.75" customHeight="1" x14ac:dyDescent="0.25">
      <c r="C31" s="88" t="s">
        <v>211</v>
      </c>
    </row>
    <row r="32" spans="3:3" x14ac:dyDescent="0.25">
      <c r="C32" s="89"/>
    </row>
    <row r="33" spans="2:3" x14ac:dyDescent="0.25">
      <c r="C33" s="87" t="s">
        <v>217</v>
      </c>
    </row>
    <row r="34" spans="2:3" ht="30" customHeight="1" x14ac:dyDescent="0.25">
      <c r="C34" s="88" t="s">
        <v>212</v>
      </c>
    </row>
    <row r="35" spans="2:3" x14ac:dyDescent="0.25">
      <c r="C35" s="89"/>
    </row>
    <row r="36" spans="2:3" x14ac:dyDescent="0.25">
      <c r="C36" s="87" t="s">
        <v>195</v>
      </c>
    </row>
    <row r="37" spans="2:3" ht="105" x14ac:dyDescent="0.25">
      <c r="C37" s="88" t="s">
        <v>196</v>
      </c>
    </row>
    <row r="38" spans="2:3" x14ac:dyDescent="0.25">
      <c r="C38" s="89"/>
    </row>
    <row r="39" spans="2:3" x14ac:dyDescent="0.25">
      <c r="C39" s="87" t="s">
        <v>213</v>
      </c>
    </row>
    <row r="40" spans="2:3" ht="75" x14ac:dyDescent="0.25">
      <c r="C40" s="88" t="s">
        <v>214</v>
      </c>
    </row>
    <row r="41" spans="2:3" x14ac:dyDescent="0.25">
      <c r="C41" s="89"/>
    </row>
    <row r="43" spans="2:3" x14ac:dyDescent="0.25">
      <c r="C43" s="87" t="s">
        <v>197</v>
      </c>
    </row>
    <row r="44" spans="2:3" x14ac:dyDescent="0.25">
      <c r="C44" s="90" t="s">
        <v>198</v>
      </c>
    </row>
    <row r="45" spans="2:3" x14ac:dyDescent="0.25">
      <c r="C45" s="90" t="s">
        <v>199</v>
      </c>
    </row>
    <row r="46" spans="2:3" x14ac:dyDescent="0.25">
      <c r="C46" s="90" t="s">
        <v>200</v>
      </c>
    </row>
    <row r="47" spans="2:3" x14ac:dyDescent="0.25">
      <c r="B47" s="92"/>
      <c r="C47" s="91" t="s">
        <v>201</v>
      </c>
    </row>
    <row r="48" spans="2:3" x14ac:dyDescent="0.25">
      <c r="B48" s="92"/>
      <c r="C48" s="9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203</v>
      </c>
    </row>
    <row r="4" spans="2:16" x14ac:dyDescent="0.25">
      <c r="B4" s="8" t="b">
        <v>0</v>
      </c>
      <c r="C4" s="1" t="s">
        <v>0</v>
      </c>
    </row>
    <row r="6" spans="2:16" x14ac:dyDescent="0.25">
      <c r="C6" s="154" t="s">
        <v>9</v>
      </c>
      <c r="D6" s="155"/>
      <c r="E6" s="22" t="s">
        <v>34</v>
      </c>
      <c r="G6" s="97"/>
      <c r="H6" s="98" t="s">
        <v>43</v>
      </c>
      <c r="I6" s="98" t="s">
        <v>44</v>
      </c>
      <c r="J6" s="98" t="s">
        <v>45</v>
      </c>
      <c r="K6" s="98" t="s">
        <v>46</v>
      </c>
      <c r="L6" s="98" t="s">
        <v>47</v>
      </c>
      <c r="M6" s="98" t="s">
        <v>48</v>
      </c>
      <c r="N6" s="98" t="s">
        <v>49</v>
      </c>
      <c r="O6" s="98" t="s">
        <v>50</v>
      </c>
      <c r="P6" s="98" t="s">
        <v>51</v>
      </c>
    </row>
    <row r="7" spans="2:16" x14ac:dyDescent="0.25">
      <c r="C7" s="24" t="s">
        <v>1</v>
      </c>
      <c r="D7" s="25">
        <f>VLOOKUP($C$6, MotorSpecs, 2, FALSE)</f>
        <v>18730</v>
      </c>
      <c r="E7" s="26">
        <f>D7*(D14/12)</f>
        <v>17169.166666666664</v>
      </c>
      <c r="G7" s="99" t="s">
        <v>38</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25">
      <c r="C8" s="30" t="s">
        <v>2</v>
      </c>
      <c r="D8" s="31">
        <f>VLOOKUP($C$6, MotorSpecs, 3, FALSE)</f>
        <v>0.71</v>
      </c>
      <c r="E8" s="32">
        <f>D8*D13*(D14/12)*D15</f>
        <v>1.0413333333333332</v>
      </c>
      <c r="G8" s="66" t="s">
        <v>39</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25">
      <c r="C9" s="30" t="s">
        <v>3</v>
      </c>
      <c r="D9" s="33">
        <f>VLOOKUP($C$6, MotorSpecs, 4, FALSE)</f>
        <v>0.7</v>
      </c>
      <c r="E9" s="34">
        <f>D9*D13*(D14/12)</f>
        <v>1.2833333333333332</v>
      </c>
      <c r="G9" s="66" t="s">
        <v>40</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25">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25">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25">
      <c r="G12" s="66" t="s">
        <v>41</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25">
      <c r="C13" s="41" t="s">
        <v>35</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25">
      <c r="C14" s="41" t="s">
        <v>36</v>
      </c>
      <c r="D14" s="11">
        <v>11</v>
      </c>
      <c r="G14" s="67" t="s">
        <v>42</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25">
      <c r="C15" s="41" t="s">
        <v>37</v>
      </c>
      <c r="D15" s="14">
        <v>0.8</v>
      </c>
    </row>
    <row r="17" spans="3:15" x14ac:dyDescent="0.25">
      <c r="C17" s="41" t="str">
        <f>"Radius (" &amp; IF($B$4, "mm", "in") &amp; ")"</f>
        <v>Radius (in)</v>
      </c>
      <c r="D17" s="15">
        <v>1.9999999999999993</v>
      </c>
      <c r="E17" s="3">
        <f>D17/IF($B$4, 25.4, 1)</f>
        <v>1.9999999999999993</v>
      </c>
      <c r="H17" s="22" t="s">
        <v>52</v>
      </c>
      <c r="I17" s="105">
        <f>IF(PRODUCT(I18:I21)&gt;0,PRODUCT(I18:I21),1)/IF(PRODUCT(H18:H21)&gt;0,PRODUCT(H18:H21), 1)</f>
        <v>20</v>
      </c>
    </row>
    <row r="18" spans="3:15" x14ac:dyDescent="0.25">
      <c r="C18" s="41" t="str">
        <f>"Load (" &amp; IF($B$4, "kgf", "lbf") &amp; ")"</f>
        <v>Load (lbf)</v>
      </c>
      <c r="D18" s="16">
        <v>88.2</v>
      </c>
      <c r="E18" s="3">
        <f>D18*IF($B$4, 2.205, 1)</f>
        <v>88.2</v>
      </c>
      <c r="H18" s="17"/>
      <c r="I18" s="18">
        <v>6</v>
      </c>
    </row>
    <row r="19" spans="3:15" x14ac:dyDescent="0.25">
      <c r="H19" s="17">
        <v>18</v>
      </c>
      <c r="I19" s="18">
        <v>60</v>
      </c>
    </row>
    <row r="20" spans="3:15" x14ac:dyDescent="0.25">
      <c r="H20" s="17"/>
      <c r="I20" s="18"/>
    </row>
    <row r="21" spans="3:15" x14ac:dyDescent="0.25">
      <c r="H21" s="17"/>
      <c r="I21" s="18"/>
    </row>
    <row r="23" spans="3:15" ht="15.75" thickBot="1" x14ac:dyDescent="0.3"/>
    <row r="24" spans="3:15" ht="18.75" customHeight="1" x14ac:dyDescent="0.25">
      <c r="D24" s="148" t="s">
        <v>53</v>
      </c>
      <c r="E24" s="149"/>
      <c r="F24" s="149"/>
      <c r="G24" s="149"/>
      <c r="H24" s="149"/>
      <c r="I24" s="149"/>
      <c r="J24" s="149"/>
      <c r="K24" s="149"/>
      <c r="L24" s="149"/>
      <c r="M24" s="149"/>
      <c r="N24" s="149"/>
      <c r="O24" s="150"/>
    </row>
    <row r="25" spans="3:15" ht="75" customHeight="1" x14ac:dyDescent="0.25">
      <c r="D25" s="151" t="s">
        <v>54</v>
      </c>
      <c r="E25" s="152"/>
      <c r="F25" s="152"/>
      <c r="G25" s="152"/>
      <c r="H25" s="152"/>
      <c r="I25" s="152"/>
      <c r="J25" s="152"/>
      <c r="K25" s="152"/>
      <c r="L25" s="152"/>
      <c r="M25" s="152"/>
      <c r="N25" s="152"/>
      <c r="O25" s="153"/>
    </row>
    <row r="26" spans="3:15" ht="72" customHeight="1" x14ac:dyDescent="0.25">
      <c r="D26" s="151" t="s">
        <v>55</v>
      </c>
      <c r="E26" s="152"/>
      <c r="F26" s="152"/>
      <c r="G26" s="152"/>
      <c r="H26" s="152"/>
      <c r="I26" s="152"/>
      <c r="J26" s="152"/>
      <c r="K26" s="152"/>
      <c r="L26" s="152"/>
      <c r="M26" s="152"/>
      <c r="N26" s="152"/>
      <c r="O26" s="153"/>
    </row>
    <row r="27" spans="3:15" ht="73.5" customHeight="1" thickBot="1" x14ac:dyDescent="0.3">
      <c r="D27" s="145" t="s">
        <v>56</v>
      </c>
      <c r="E27" s="146"/>
      <c r="F27" s="146"/>
      <c r="G27" s="146"/>
      <c r="H27" s="146"/>
      <c r="I27" s="146"/>
      <c r="J27" s="146"/>
      <c r="K27" s="146"/>
      <c r="L27" s="146"/>
      <c r="M27" s="146"/>
      <c r="N27" s="146"/>
      <c r="O27" s="14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5" priority="18">
      <formula>$H$9&lt;=0</formula>
    </cfRule>
  </conditionalFormatting>
  <conditionalFormatting sqref="L7:L8 L12:L14">
    <cfRule type="expression" dxfId="74" priority="17">
      <formula>ISERROR($L$7)</formula>
    </cfRule>
  </conditionalFormatting>
  <conditionalFormatting sqref="M7:M10 M12:M14">
    <cfRule type="expression" dxfId="73" priority="16">
      <formula>ISERROR($M$7)</formula>
    </cfRule>
  </conditionalFormatting>
  <conditionalFormatting sqref="N7">
    <cfRule type="expression" dxfId="72" priority="15">
      <formula>$N$9&lt;0</formula>
    </cfRule>
  </conditionalFormatting>
  <conditionalFormatting sqref="P14 O13 N12 M11 L9 D13:D15 D17:D18">
    <cfRule type="containsBlanks" dxfId="71" priority="19">
      <formula>LEN(TRIM(D9))=0</formula>
    </cfRule>
  </conditionalFormatting>
  <conditionalFormatting sqref="O7">
    <cfRule type="expression" dxfId="70" priority="13">
      <formula>ISERROR($O$8)</formula>
    </cfRule>
  </conditionalFormatting>
  <conditionalFormatting sqref="P7">
    <cfRule type="expression" dxfId="69" priority="12">
      <formula>ISERROR($P$7)</formula>
    </cfRule>
  </conditionalFormatting>
  <conditionalFormatting sqref="H18:I21">
    <cfRule type="expression" dxfId="68" priority="11">
      <formula>$I$17=1</formula>
    </cfRule>
  </conditionalFormatting>
  <conditionalFormatting sqref="D14">
    <cfRule type="cellIs" dxfId="67" priority="10" operator="greaterThan">
      <formula>12</formula>
    </cfRule>
  </conditionalFormatting>
  <conditionalFormatting sqref="P14">
    <cfRule type="cellIs" dxfId="66" priority="9" operator="greaterThan">
      <formula>$D$14</formula>
    </cfRule>
  </conditionalFormatting>
  <conditionalFormatting sqref="D15">
    <cfRule type="cellIs" dxfId="65" priority="8" operator="greaterThan">
      <formula>1</formula>
    </cfRule>
  </conditionalFormatting>
  <conditionalFormatting sqref="D13:D15 D17:D18 L9 M11 N12 O13 P14">
    <cfRule type="cellIs" dxfId="64" priority="7" operator="lessThanOrEqual">
      <formula>0</formula>
    </cfRule>
  </conditionalFormatting>
  <conditionalFormatting sqref="N8:N11">
    <cfRule type="expression" dxfId="63" priority="6">
      <formula>$H$9&lt;=0</formula>
    </cfRule>
  </conditionalFormatting>
  <conditionalFormatting sqref="N13:N14">
    <cfRule type="expression" dxfId="62" priority="5">
      <formula>$H$9&lt;=0</formula>
    </cfRule>
  </conditionalFormatting>
  <conditionalFormatting sqref="O8:O12">
    <cfRule type="expression" dxfId="61" priority="4">
      <formula>$H$9&lt;=0</formula>
    </cfRule>
  </conditionalFormatting>
  <conditionalFormatting sqref="O14">
    <cfRule type="expression" dxfId="60" priority="3">
      <formula>$H$9&lt;=0</formula>
    </cfRule>
  </conditionalFormatting>
  <conditionalFormatting sqref="P8:P13">
    <cfRule type="expression" dxfId="59" priority="2">
      <formula>$H$9&lt;=0</formula>
    </cfRule>
  </conditionalFormatting>
  <conditionalFormatting sqref="D13:D15 D17:D18 H18:I21 L9 M11 N12 O13 P14">
    <cfRule type="expression" dxfId="58"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8" t="b">
        <v>0</v>
      </c>
      <c r="C4" s="1" t="s">
        <v>0</v>
      </c>
    </row>
    <row r="6" spans="2:10" x14ac:dyDescent="0.25">
      <c r="C6" s="106" t="str">
        <f>"Diameter (" &amp; IF($B$4,"mm","in") &amp; ")"</f>
        <v>Diameter (in)</v>
      </c>
      <c r="D6" s="112">
        <v>0.375</v>
      </c>
      <c r="G6" s="95" t="s">
        <v>66</v>
      </c>
      <c r="H6" s="107">
        <f>(D7*D8/(PI()*(D6-D7/2)))/((PI()*(D6-D7/2)*D14+D7*D8*COS(0.5*RADIANS(D9)))/(PI()*(D6-D7/2)*COS(0.5*RADIANS(D9))-D14*D7*D8))</f>
        <v>0.41621760320185969</v>
      </c>
    </row>
    <row r="7" spans="2:10" x14ac:dyDescent="0.25">
      <c r="C7" s="106" t="str">
        <f>"Pitch (" &amp; IF($B$4, "mm", "in") &amp; "/rev)"</f>
        <v>Pitch (in/rev)</v>
      </c>
      <c r="D7" s="112">
        <v>0.1</v>
      </c>
      <c r="G7" s="95" t="str">
        <f>"Equivalent Radius (" &amp; IF($B$4, "mm", "in") &amp; ")"</f>
        <v>Equivalent Radius (in)</v>
      </c>
      <c r="H7" s="42">
        <f>D7*D8/(2*PI())</f>
        <v>1.5915494309189534E-2</v>
      </c>
    </row>
    <row r="8" spans="2:10" x14ac:dyDescent="0.25">
      <c r="C8" s="106" t="s">
        <v>58</v>
      </c>
      <c r="D8" s="18">
        <v>1</v>
      </c>
    </row>
    <row r="9" spans="2:10" x14ac:dyDescent="0.25">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25">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25">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25">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x14ac:dyDescent="0.25">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5" t="s">
        <v>67</v>
      </c>
      <c r="H15" s="20">
        <v>5000</v>
      </c>
      <c r="I15" s="109">
        <f>I16*60/$D$7/$D$8*IF($B$4, 1000, 12)</f>
        <v>7200</v>
      </c>
    </row>
    <row r="16" spans="2:10" x14ac:dyDescent="0.25">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25">
      <c r="C19" s="156" t="s">
        <v>69</v>
      </c>
      <c r="D19" s="157"/>
      <c r="E19" s="157"/>
      <c r="F19" s="157"/>
      <c r="G19" s="157"/>
      <c r="H19" s="157"/>
      <c r="I19" s="157"/>
      <c r="J19" s="158"/>
    </row>
    <row r="20" spans="3:10" x14ac:dyDescent="0.25">
      <c r="C20" s="159" t="s">
        <v>70</v>
      </c>
      <c r="D20" s="160"/>
      <c r="E20" s="160"/>
      <c r="F20" s="160"/>
      <c r="G20" s="160"/>
      <c r="H20" s="160"/>
      <c r="I20" s="160"/>
      <c r="J20" s="161"/>
    </row>
    <row r="22" spans="3:10" ht="43.5" customHeight="1" x14ac:dyDescent="0.25">
      <c r="C22" s="156" t="s">
        <v>71</v>
      </c>
      <c r="D22" s="157"/>
      <c r="E22" s="157"/>
      <c r="F22" s="157"/>
      <c r="G22" s="157"/>
      <c r="H22" s="157"/>
      <c r="I22" s="157"/>
      <c r="J22" s="158"/>
    </row>
    <row r="23" spans="3:10" ht="29.25" customHeight="1" x14ac:dyDescent="0.25">
      <c r="C23" s="159" t="s">
        <v>72</v>
      </c>
      <c r="D23" s="160"/>
      <c r="E23" s="160"/>
      <c r="F23" s="160"/>
      <c r="G23" s="160"/>
      <c r="H23" s="160"/>
      <c r="I23" s="160"/>
      <c r="J23" s="161"/>
    </row>
  </sheetData>
  <sheetProtection sheet="1" objects="1" scenarios="1" formatCells="0" formatColumns="0" formatRows="0"/>
  <mergeCells count="4">
    <mergeCell ref="C19:J19"/>
    <mergeCell ref="C20:J20"/>
    <mergeCell ref="C22:J22"/>
    <mergeCell ref="C23:J23"/>
  </mergeCells>
  <conditionalFormatting sqref="J9:J10 J12:J13">
    <cfRule type="expression" dxfId="57" priority="6">
      <formula>$J$9&lt;0</formula>
    </cfRule>
  </conditionalFormatting>
  <conditionalFormatting sqref="I9 I11:I13">
    <cfRule type="expression" dxfId="56" priority="5">
      <formula>$I$9&lt;0</formula>
    </cfRule>
  </conditionalFormatting>
  <conditionalFormatting sqref="H9 I10 I16 H15 D6:D9">
    <cfRule type="cellIs" dxfId="55" priority="4" operator="lessThan">
      <formula>0</formula>
    </cfRule>
  </conditionalFormatting>
  <conditionalFormatting sqref="J11 I10 H9 I16 H15 D6:D9 D11:D13">
    <cfRule type="containsBlanks" dxfId="54" priority="3">
      <formula>LEN(TRIM(D6))=0</formula>
    </cfRule>
  </conditionalFormatting>
  <conditionalFormatting sqref="D9">
    <cfRule type="cellIs" dxfId="53" priority="2" operator="greaterThan">
      <formula>90</formula>
    </cfRule>
  </conditionalFormatting>
  <conditionalFormatting sqref="D6:D9 H9 I10 J11 H15 I16">
    <cfRule type="expression" dxfId="5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6384" width="9.140625" style="1"/>
  </cols>
  <sheetData>
    <row r="2" spans="2:14" ht="31.5" x14ac:dyDescent="0.25">
      <c r="C2" s="2" t="s">
        <v>73</v>
      </c>
    </row>
    <row r="4" spans="2:14" x14ac:dyDescent="0.25">
      <c r="B4" s="8" t="b">
        <v>0</v>
      </c>
      <c r="C4" s="1" t="s">
        <v>0</v>
      </c>
    </row>
    <row r="6" spans="2:14" x14ac:dyDescent="0.25">
      <c r="C6" s="154" t="s">
        <v>6</v>
      </c>
      <c r="D6" s="166"/>
      <c r="E6" s="22" t="s">
        <v>34</v>
      </c>
      <c r="G6" s="95" t="s">
        <v>79</v>
      </c>
      <c r="H6" s="96" t="s">
        <v>80</v>
      </c>
      <c r="I6" s="96" t="s">
        <v>81</v>
      </c>
      <c r="J6" s="23" t="str">
        <f>"C-C dist. (" &amp; IF($B$4, "mm", "in") &amp; ")"</f>
        <v>C-C dist. (in)</v>
      </c>
    </row>
    <row r="7" spans="2:14" x14ac:dyDescent="0.25">
      <c r="C7" s="24" t="s">
        <v>1</v>
      </c>
      <c r="D7" s="25">
        <f>VLOOKUP($C$6, MotorSpecs, 2, FALSE)</f>
        <v>5330</v>
      </c>
      <c r="E7" s="26">
        <f>D7*(D14/12)</f>
        <v>4885.833333333333</v>
      </c>
      <c r="G7" s="27">
        <v>12</v>
      </c>
      <c r="H7" s="28">
        <v>54</v>
      </c>
      <c r="I7" s="28">
        <v>20</v>
      </c>
      <c r="J7" s="29">
        <f>IF(COUNTBLANK(G7:I7)&gt;0, "", ((G7+H7)/(2*I7)+0.003)*IF($B$4, 25.4, 1))</f>
        <v>1.6529999999999998</v>
      </c>
    </row>
    <row r="8" spans="2:14" x14ac:dyDescent="0.25">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25">
      <c r="C9" s="30" t="s">
        <v>3</v>
      </c>
      <c r="D9" s="33">
        <f>VLOOKUP($C$6, MotorSpecs, 4, FALSE)</f>
        <v>2.7</v>
      </c>
      <c r="E9" s="34">
        <f>D9*D13*(D14/12)</f>
        <v>14.850000000000001</v>
      </c>
      <c r="G9" s="27"/>
      <c r="H9" s="28"/>
      <c r="I9" s="28"/>
      <c r="J9" s="29" t="str">
        <f t="shared" si="0"/>
        <v/>
      </c>
    </row>
    <row r="10" spans="2:14" x14ac:dyDescent="0.25">
      <c r="C10" s="30" t="s">
        <v>4</v>
      </c>
      <c r="D10" s="35">
        <f>VLOOKUP($C$6, MotorSpecs, 5, FALSE)</f>
        <v>131</v>
      </c>
      <c r="E10" s="36">
        <f>D10*D13*(D14/12)</f>
        <v>720.5</v>
      </c>
      <c r="G10" s="27"/>
      <c r="H10" s="28"/>
      <c r="I10" s="28"/>
      <c r="J10" s="29" t="str">
        <f t="shared" si="0"/>
        <v/>
      </c>
    </row>
    <row r="11" spans="2:14" x14ac:dyDescent="0.25">
      <c r="C11" s="37" t="s">
        <v>5</v>
      </c>
      <c r="D11" s="38">
        <f>VLOOKUP($C$6, MotorSpecs, 6, FALSE)</f>
        <v>336.28916760964142</v>
      </c>
      <c r="E11" s="39">
        <f>(E7/60*2*PI())*E8/4</f>
        <v>1356.3663093588871</v>
      </c>
    </row>
    <row r="12" spans="2:14" x14ac:dyDescent="0.25">
      <c r="G12" s="164" t="s">
        <v>82</v>
      </c>
      <c r="H12" s="165"/>
      <c r="I12" s="40">
        <f>IF(COUNTBLANK($H$7:$H$10)&lt;4, PRODUCT($H$7:$H$10), 1)/IF(COUNTBLANK($G$7:$G$10)&lt;4, PRODUCT($G$7:$G$10), 1)</f>
        <v>12.5</v>
      </c>
    </row>
    <row r="13" spans="2:14" x14ac:dyDescent="0.25">
      <c r="C13" s="41" t="s">
        <v>84</v>
      </c>
      <c r="D13" s="11">
        <v>6</v>
      </c>
      <c r="G13" s="164" t="str">
        <f>"Adjusted Speed (" &amp; IF($B$4, "m", "ft") &amp; "/s)"</f>
        <v>Adjusted Speed (ft/s)</v>
      </c>
      <c r="H13" s="165"/>
      <c r="I13" s="42">
        <f>I14*$D$16</f>
        <v>6.0715001399693662</v>
      </c>
      <c r="N13" s="43"/>
    </row>
    <row r="14" spans="2:14" x14ac:dyDescent="0.25">
      <c r="C14" s="41" t="s">
        <v>36</v>
      </c>
      <c r="D14" s="11">
        <v>11</v>
      </c>
      <c r="G14" s="164" t="str">
        <f>"Free Speed (" &amp; IF($B$4, "m", "ft") &amp; "/s)"</f>
        <v>Free Speed (ft/s)</v>
      </c>
      <c r="H14" s="165"/>
      <c r="I14" s="42">
        <f>($E$7/60)/I12*((D20/IF($B$4,25.4,1))*PI()/12)/IF($B$4, 3.281, 1)</f>
        <v>6.8219102696285008</v>
      </c>
    </row>
    <row r="15" spans="2:14" x14ac:dyDescent="0.25">
      <c r="C15" s="41" t="s">
        <v>74</v>
      </c>
      <c r="D15" s="14">
        <v>0.8</v>
      </c>
      <c r="G15" s="164" t="s">
        <v>83</v>
      </c>
      <c r="H15" s="165"/>
      <c r="I15" s="44">
        <f>(($E$10-$E$9)/$E$8)*($D$19*IF($B$4,2.205,1))*$D$17*D21/$D$13*((D20/IF($B$4,25.4,1))/2)/I12*4.448*0.0254 + $E$9/$D$13</f>
        <v>33.350043284094035</v>
      </c>
    </row>
    <row r="16" spans="2:14" x14ac:dyDescent="0.25">
      <c r="C16" s="41" t="s">
        <v>75</v>
      </c>
      <c r="D16" s="14">
        <v>0.89</v>
      </c>
    </row>
    <row r="17" spans="3:12" x14ac:dyDescent="0.25">
      <c r="C17" s="41" t="s">
        <v>76</v>
      </c>
      <c r="D17" s="14">
        <v>1</v>
      </c>
      <c r="E17" s="3"/>
      <c r="G17" s="45" t="s">
        <v>79</v>
      </c>
      <c r="H17" s="46" t="s">
        <v>80</v>
      </c>
      <c r="J17" s="167" t="s">
        <v>82</v>
      </c>
      <c r="K17" s="168"/>
      <c r="L17" s="40">
        <f>IF(COUNTBLANK($H$7:$H$10)&lt;4, PRODUCT($H$7:$H$10), 1)*IF(ISBLANK(H18), 1, H18) / (IF(COUNTBLANK($G$7:$G$10)&lt;4, PRODUCT($G$7:$G$10), 1)*IF(ISBLANK(G18), 1, G18))</f>
        <v>15.625</v>
      </c>
    </row>
    <row r="18" spans="3:12" x14ac:dyDescent="0.25">
      <c r="D18" s="5"/>
      <c r="E18" s="3"/>
      <c r="G18" s="47">
        <v>12</v>
      </c>
      <c r="H18" s="48">
        <v>15</v>
      </c>
      <c r="J18" s="167" t="str">
        <f>"Adjusted Speed (" &amp; IF($B$4, "m", "ft") &amp; "/s)"</f>
        <v>Adjusted Speed (ft/s)</v>
      </c>
      <c r="K18" s="168"/>
      <c r="L18" s="42">
        <f>L19*$D$16</f>
        <v>4.8572001119754935</v>
      </c>
    </row>
    <row r="19" spans="3:12" x14ac:dyDescent="0.25">
      <c r="C19" s="41" t="str">
        <f>"Robot Weight  (" &amp; IF($B$4, "kg", "lbs") &amp; ")"</f>
        <v>Robot Weight  (lbs)</v>
      </c>
      <c r="D19" s="49">
        <v>154</v>
      </c>
      <c r="G19" s="50" t="s">
        <v>81</v>
      </c>
      <c r="H19" s="51"/>
      <c r="J19" s="167" t="str">
        <f>"Free Speed (" &amp; IF($B$4, "m", "ft") &amp; "/s)"</f>
        <v>Free Speed (ft/s)</v>
      </c>
      <c r="K19" s="168"/>
      <c r="L19" s="42">
        <f>($E$7/60)/L17*((D20/IF($B$4,25.4,1))*PI()/12)/IF($B$4, 3.281, 1)</f>
        <v>5.4575282157028013</v>
      </c>
    </row>
    <row r="20" spans="3:12" x14ac:dyDescent="0.25">
      <c r="C20" s="41" t="str">
        <f>"Wheel Diam. (" &amp; IF($B$4, "mm", "in") &amp; ")"</f>
        <v>Wheel Diam. (in)</v>
      </c>
      <c r="D20" s="52">
        <v>3.9999999999999987</v>
      </c>
      <c r="G20" s="53" t="str">
        <f>"C-C (" &amp; IF($B$4, "mm", "in") &amp; ")"</f>
        <v>C-C (in)</v>
      </c>
      <c r="H20" s="54" t="str">
        <f>IF(COUNTBLANK(G18:H19)&gt;0, "", ((G18+H18)/(2*H19)+0.003)*IF($B$4, 25.4, 1))</f>
        <v/>
      </c>
      <c r="J20" s="167" t="s">
        <v>83</v>
      </c>
      <c r="K20" s="168"/>
      <c r="L20" s="44">
        <f>(($E$10-$E$9)/$E$8)*($D$19*IF($B$4,2.205,1))*$D$17*D21/$D$13*((D20/IF($B$4,25.4,1))/2)/L17*4.448*0.0254 + $E$9/$D$13</f>
        <v>27.175034627275231</v>
      </c>
    </row>
    <row r="21" spans="3:12" x14ac:dyDescent="0.25">
      <c r="C21" s="41" t="s">
        <v>77</v>
      </c>
      <c r="D21" s="52">
        <v>1</v>
      </c>
    </row>
    <row r="22" spans="3:12" x14ac:dyDescent="0.25">
      <c r="G22" s="45" t="s">
        <v>79</v>
      </c>
      <c r="H22" s="46" t="s">
        <v>80</v>
      </c>
      <c r="J22" s="162" t="s">
        <v>82</v>
      </c>
      <c r="K22" s="163"/>
      <c r="L22" s="40">
        <f>IF(COUNTBLANK($H$7:$H$10)&lt;4, PRODUCT($H$7:$H$10), 1)*IF(ISBLANK(H23), 1, H23) / (IF(COUNTBLANK($G$7:$G$10)&lt;4, PRODUCT($G$7:$G$10), 1)*IF(ISBLANK(G23), 1, G23))</f>
        <v>25</v>
      </c>
    </row>
    <row r="23" spans="3:12" x14ac:dyDescent="0.25">
      <c r="C23" s="55" t="s">
        <v>78</v>
      </c>
      <c r="D23" s="8" t="b">
        <v>0</v>
      </c>
      <c r="G23" s="47"/>
      <c r="H23" s="48">
        <v>2</v>
      </c>
      <c r="J23" s="162" t="str">
        <f>"Adjusted Speed (" &amp; IF($B$4, "m", "ft") &amp; "/s)"</f>
        <v>Adjusted Speed (ft/s)</v>
      </c>
      <c r="K23" s="163"/>
      <c r="L23" s="42">
        <f>L24*$D$16</f>
        <v>3.0357500699846831</v>
      </c>
    </row>
    <row r="24" spans="3:12" x14ac:dyDescent="0.25">
      <c r="C24" s="55" t="s">
        <v>220</v>
      </c>
      <c r="D24" s="8" t="b">
        <v>0</v>
      </c>
      <c r="G24" s="50" t="s">
        <v>81</v>
      </c>
      <c r="H24" s="51"/>
      <c r="J24" s="162" t="str">
        <f>"Free Speed (" &amp; IF($B$4, "m", "ft") &amp; "/s)"</f>
        <v>Free Speed (ft/s)</v>
      </c>
      <c r="K24" s="163"/>
      <c r="L24" s="42">
        <f>($E$7/60)/L22*((IF(D24,D26,D20)/IF($B$4,25.4,1))*PI()/12)/IF($B$4, 3.281, 1)</f>
        <v>3.4109551348142504</v>
      </c>
    </row>
    <row r="25" spans="3:12" x14ac:dyDescent="0.25">
      <c r="G25" s="53" t="str">
        <f>"C-C (" &amp; IF($B$4, "mm", "in") &amp; ")"</f>
        <v>C-C (in)</v>
      </c>
      <c r="H25" s="54" t="str">
        <f>IF(COUNTBLANK(G23:H24)&gt;0, "", ((G23+H23)/(2*H24)+0.003)*IF($B$4, 25.4, 1))</f>
        <v/>
      </c>
      <c r="J25" s="162" t="s">
        <v>83</v>
      </c>
      <c r="K25" s="163"/>
      <c r="L25" s="44">
        <f>(($E$10-$E$9)/$E$8)*($D$19*IF($B$4,2.205,1))*$D$17*IF(D24,D27,D21)/$D$13*((IF(D24,D26,D20)/IF($B$4,25.4,1))/2)/L22*4.448*0.0254 + $E$9/$D$13</f>
        <v>17.912521642047018</v>
      </c>
    </row>
    <row r="26" spans="3:12" x14ac:dyDescent="0.25">
      <c r="C26" s="94" t="str">
        <f>"2nd Wheel Diam. (" &amp; IF($B$4, "mm", "in") &amp; ")"</f>
        <v>2nd Wheel Diam. (in)</v>
      </c>
      <c r="D26" s="52">
        <v>5.9999999999999991</v>
      </c>
    </row>
    <row r="27" spans="3:12" x14ac:dyDescent="0.25">
      <c r="C27" s="94" t="s">
        <v>104</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1" priority="23" operator="greaterThan">
      <formula>12</formula>
    </cfRule>
  </conditionalFormatting>
  <conditionalFormatting sqref="D13:D17 D19:D21">
    <cfRule type="cellIs" dxfId="50" priority="20" operator="lessThanOrEqual">
      <formula>0</formula>
    </cfRule>
  </conditionalFormatting>
  <conditionalFormatting sqref="D15:D17">
    <cfRule type="cellIs" dxfId="49" priority="13" operator="greaterThan">
      <formula>1</formula>
    </cfRule>
  </conditionalFormatting>
  <conditionalFormatting sqref="D13:D17 D19:D21">
    <cfRule type="containsBlanks" dxfId="48" priority="9">
      <formula>LEN(TRIM(D13))=0</formula>
    </cfRule>
  </conditionalFormatting>
  <conditionalFormatting sqref="G7:I10 G18:H18 H19 D26:D27 G23:H23 H24">
    <cfRule type="cellIs" dxfId="47" priority="7" operator="lessThan">
      <formula>0</formula>
    </cfRule>
  </conditionalFormatting>
  <conditionalFormatting sqref="C26:D27">
    <cfRule type="expression" dxfId="46" priority="24">
      <formula>NOT($D$24)</formula>
    </cfRule>
  </conditionalFormatting>
  <conditionalFormatting sqref="G17:L25">
    <cfRule type="expression" dxfId="45" priority="25">
      <formula>NOT($D$23)</formula>
    </cfRule>
  </conditionalFormatting>
  <conditionalFormatting sqref="G12:I15">
    <cfRule type="expression" dxfId="44" priority="2">
      <formula>$D$23</formula>
    </cfRule>
  </conditionalFormatting>
  <conditionalFormatting sqref="D13:D17 D19:D21 G7:I10 G18:H18 H19 G23:H23 H24">
    <cfRule type="expression" dxfId="43"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8" t="b">
        <v>0</v>
      </c>
      <c r="C4" s="1" t="s">
        <v>0</v>
      </c>
    </row>
    <row r="6" spans="2:16" ht="18.75" x14ac:dyDescent="0.25">
      <c r="D6" s="5"/>
      <c r="F6" s="169" t="s">
        <v>90</v>
      </c>
      <c r="G6" s="169"/>
      <c r="I6" s="169" t="s">
        <v>89</v>
      </c>
      <c r="J6" s="169"/>
      <c r="L6" s="169" t="s">
        <v>91</v>
      </c>
      <c r="M6" s="169"/>
      <c r="O6" s="56" t="s">
        <v>92</v>
      </c>
      <c r="P6" s="56"/>
    </row>
    <row r="7" spans="2:16" x14ac:dyDescent="0.25">
      <c r="D7" s="5"/>
    </row>
    <row r="8" spans="2:16" x14ac:dyDescent="0.25">
      <c r="C8" s="95" t="s">
        <v>88</v>
      </c>
      <c r="D8" s="11" t="s">
        <v>226</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25">
      <c r="D9" s="57"/>
      <c r="F9" s="95" t="str">
        <f>"Distance To Support (" &amp; IF($B$4, "mm", "in") &amp; ")"</f>
        <v>Distance To Support (in)</v>
      </c>
      <c r="G9" s="52">
        <v>8</v>
      </c>
      <c r="H9" s="58"/>
      <c r="I9" s="95" t="str">
        <f>"Distance To Support (" &amp; IF($B$4, "mm", "in") &amp; ")"</f>
        <v>Distance To Support (in)</v>
      </c>
      <c r="J9" s="52">
        <v>3</v>
      </c>
      <c r="K9" s="58"/>
      <c r="L9" s="95" t="s">
        <v>225</v>
      </c>
      <c r="M9" s="16">
        <v>0.8</v>
      </c>
      <c r="N9" s="58"/>
      <c r="O9" s="95" t="str">
        <f>"Distance To Support (" &amp; IF($B$4, "mm", "in") &amp; ")"</f>
        <v>Distance To Support (in)</v>
      </c>
      <c r="P9" s="52">
        <v>3</v>
      </c>
    </row>
    <row r="10" spans="2:16" x14ac:dyDescent="0.25">
      <c r="C10" s="95" t="s">
        <v>86</v>
      </c>
      <c r="D10" s="11" t="s">
        <v>87</v>
      </c>
      <c r="F10" s="95" t="str">
        <f>"Dist. Btwn. Supports (" &amp; IF($B$4, "mm", "in") &amp; ")"</f>
        <v>Dist. Btwn. Supports (in)</v>
      </c>
      <c r="G10" s="52">
        <v>20</v>
      </c>
      <c r="I10" s="95" t="str">
        <f>"Length (" &amp; IF($B$4, "mm", "in") &amp; ")"</f>
        <v>Length (in)</v>
      </c>
      <c r="J10" s="52">
        <v>10</v>
      </c>
    </row>
    <row r="11" spans="2:16" x14ac:dyDescent="0.25">
      <c r="C11" s="95" t="str">
        <f>CHOOSE(MATCH($D$10,{"Hex","Round","Round Tube","Square","Rect. Tube"},0), "Size","Diameter","Outside Diam.","Size","║ Size") &amp; " (" &amp; IF($B$4,"mm","in") &amp; ")"</f>
        <v>Size (in)</v>
      </c>
      <c r="D11" s="15">
        <v>0.49999999999999983</v>
      </c>
    </row>
    <row r="12" spans="2:16" x14ac:dyDescent="0.25">
      <c r="C12" s="95" t="str">
        <f>CHOOSE(MATCH($D$10,{"Hex","Round","Round Tube","Square","Rect. Tube"},0), "","","Wall Thick. ("&amp;IF($B$4,"in","mm")&amp;")","","┴ Size ("&amp;IF($B$4,"mm","in")&amp;")")</f>
        <v/>
      </c>
      <c r="D12" s="15">
        <v>0.11811023622047244</v>
      </c>
    </row>
    <row r="13" spans="2:16" x14ac:dyDescent="0.25">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x14ac:dyDescent="0.25">
      <c r="G14" s="57"/>
    </row>
    <row r="15" spans="2:16" ht="15" customHeight="1" x14ac:dyDescent="0.25">
      <c r="C15" s="170" t="s">
        <v>219</v>
      </c>
      <c r="D15" s="171"/>
    </row>
    <row r="16" spans="2:16" ht="15" customHeight="1" x14ac:dyDescent="0.25">
      <c r="C16" s="172"/>
      <c r="D16" s="173"/>
    </row>
    <row r="17" spans="3:4" ht="15" customHeight="1" x14ac:dyDescent="0.25">
      <c r="C17" s="172"/>
      <c r="D17" s="173"/>
    </row>
    <row r="18" spans="3:4" x14ac:dyDescent="0.25">
      <c r="C18" s="174"/>
      <c r="D18" s="175"/>
    </row>
    <row r="20" spans="3:4" x14ac:dyDescent="0.25">
      <c r="C20" s="59" t="s">
        <v>94</v>
      </c>
      <c r="D20" s="60">
        <f>CHOOSE(MATCH($D$10,{"Hex","Round","Round Tube","Square","Rect. Tube"},0), 0.0601*$D$11^4, PI()/64*$D$11^4, PI()/8*$D$11^3*$D$12, $D$11^4/12, $D$11^2*$D$12*$D$13/3)</f>
        <v>3.7562499999999948E-3</v>
      </c>
    </row>
    <row r="21" spans="3:4" x14ac:dyDescent="0.25">
      <c r="C21" s="59" t="s">
        <v>95</v>
      </c>
      <c r="D21" s="60">
        <f>CHOOSE(MATCH($D$10,{"Hex","Round","Round Tube","Square","Rect. Tube"},0), 0.1154*$D$11^4, PI()/32*$D$11^4, PI()/4*$D$11^3*$D$12, 9/64*$D$11^4, (2*$D$13^2*($D$12-$D$13)^2*($D$11-$D$13)^2)/($D$11*$D$13+$D$12*$D$13-2*$D$13^2))</f>
        <v>7.2124999999999906E-3</v>
      </c>
    </row>
    <row r="22" spans="3:4" x14ac:dyDescent="0.25">
      <c r="C22" s="59" t="s">
        <v>96</v>
      </c>
      <c r="D22" s="3">
        <f>VLOOKUP($D$8, MaterialSpecs, 2, 0)*IF($B$4, 1, 145.038)</f>
        <v>10399224.600000001</v>
      </c>
    </row>
    <row r="23" spans="3:4" x14ac:dyDescent="0.25">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2" priority="4">
      <formula>NOT($D$10="Rect. Tube")</formula>
    </cfRule>
  </conditionalFormatting>
  <conditionalFormatting sqref="C12:D13">
    <cfRule type="expression" dxfId="41" priority="7">
      <formula>NOT(OR($D$10="Round Tube", $D$10="Rect. Tube"))</formula>
    </cfRule>
  </conditionalFormatting>
  <conditionalFormatting sqref="D11:D13 G8:G10 J8:J10 M8:M9 P8:P9">
    <cfRule type="cellIs" dxfId="40" priority="8" operator="lessThanOrEqual">
      <formula>0</formula>
    </cfRule>
  </conditionalFormatting>
  <conditionalFormatting sqref="G9">
    <cfRule type="cellIs" dxfId="39" priority="3" operator="greaterThanOrEqual">
      <formula>$G$10</formula>
    </cfRule>
  </conditionalFormatting>
  <conditionalFormatting sqref="D11 G8:G10 J8:J10 M8:M9 P8:P9">
    <cfRule type="expression" dxfId="38" priority="2">
      <formula>ISTEXT(D8)</formula>
    </cfRule>
  </conditionalFormatting>
  <conditionalFormatting sqref="D11">
    <cfRule type="containsBlanks" dxfId="3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8" t="b">
        <v>1</v>
      </c>
      <c r="C4" s="1" t="s">
        <v>0</v>
      </c>
    </row>
    <row r="6" spans="2:16" ht="18.75" x14ac:dyDescent="0.25">
      <c r="C6" s="169" t="s">
        <v>99</v>
      </c>
      <c r="D6" s="169"/>
      <c r="F6" s="169" t="s">
        <v>102</v>
      </c>
      <c r="G6" s="169"/>
      <c r="I6" s="176" t="s">
        <v>99</v>
      </c>
      <c r="J6" s="177"/>
    </row>
    <row r="7" spans="2:16" x14ac:dyDescent="0.25">
      <c r="C7" s="95" t="str">
        <f>"Distance to Target (" &amp; IF($B$4, "m", "ft") &amp; ")"</f>
        <v>Distance to Target (m)</v>
      </c>
      <c r="D7" s="52">
        <v>1.523925632429137</v>
      </c>
      <c r="F7" s="95" t="str">
        <f>"Distance to Target (" &amp; IF($B$4, "m", "ft") &amp; ")"</f>
        <v>Distance to Target (m)</v>
      </c>
      <c r="G7" s="52">
        <v>1.523925632429137</v>
      </c>
    </row>
    <row r="8" spans="2:16" x14ac:dyDescent="0.25">
      <c r="C8" s="95" t="str">
        <f>"Release Height (" &amp; IF($B$4, "m", "ft") &amp; ")"</f>
        <v>Release Height (m)</v>
      </c>
      <c r="D8" s="52">
        <v>0.3047851264858274</v>
      </c>
      <c r="F8" s="95" t="str">
        <f>"Release Height (" &amp; IF($B$4, "m", "ft") &amp; ")"</f>
        <v>Release Height (m)</v>
      </c>
      <c r="G8" s="52">
        <v>0.3047851264858274</v>
      </c>
      <c r="I8" s="58"/>
      <c r="J8" s="58">
        <v>0</v>
      </c>
      <c r="L8" s="58"/>
      <c r="M8" s="58">
        <v>0</v>
      </c>
      <c r="O8" s="58"/>
      <c r="P8" s="58">
        <v>0</v>
      </c>
    </row>
    <row r="9" spans="2:16" x14ac:dyDescent="0.25">
      <c r="C9" s="95" t="str">
        <f>"Release Velocity (" &amp; IF($B$4, "m", "ft") &amp; "/s)"</f>
        <v>Release Velocity (m/s)</v>
      </c>
      <c r="D9" s="52">
        <v>4.5717768972874122</v>
      </c>
      <c r="F9" s="95" t="str">
        <f>"Target Height (" &amp; IF($B$4, "m", "ft") &amp; ")"</f>
        <v>Target Height (m)</v>
      </c>
      <c r="G9" s="52">
        <v>1.2191405059433096</v>
      </c>
      <c r="I9" s="58"/>
      <c r="J9" s="58">
        <v>0</v>
      </c>
      <c r="O9" s="58"/>
      <c r="P9" s="58">
        <v>0</v>
      </c>
    </row>
    <row r="10" spans="2:16" x14ac:dyDescent="0.25">
      <c r="C10" s="95" t="s">
        <v>100</v>
      </c>
      <c r="D10" s="74">
        <v>70</v>
      </c>
      <c r="F10" s="95" t="s">
        <v>103</v>
      </c>
      <c r="G10" s="74">
        <v>-60</v>
      </c>
      <c r="I10" s="61"/>
      <c r="J10" s="58">
        <v>0</v>
      </c>
    </row>
    <row r="11" spans="2:16" x14ac:dyDescent="0.25">
      <c r="D11" s="57"/>
      <c r="G11" s="57"/>
    </row>
    <row r="12" spans="2:16" x14ac:dyDescent="0.25">
      <c r="D12" s="57"/>
      <c r="G12" s="57"/>
    </row>
    <row r="13" spans="2:16" x14ac:dyDescent="0.25">
      <c r="C13" s="95" t="str">
        <f>"Final Height (" &amp; IF($B$4, "m", "ft") &amp; ")"</f>
        <v>Final Height (m)</v>
      </c>
      <c r="D13" s="44">
        <v>10.079807336426413</v>
      </c>
      <c r="F13" s="95" t="str">
        <f>"Release Velocity (" &amp; IF($B$4, "m", "ft") &amp; "/s)"</f>
        <v>Release Velocity (m/s)</v>
      </c>
      <c r="G13" s="44">
        <f>SQRT((IF($B$4, 9.807, 32.174)*G7)/(ABS(TAN(RADIANS(G14))-TAN(RADIANS(G10)))))/COS(RADIANS(G14))</f>
        <v>5.5453881994838294</v>
      </c>
    </row>
    <row r="14" spans="2:16" x14ac:dyDescent="0.25">
      <c r="C14" s="95" t="s">
        <v>101</v>
      </c>
      <c r="D14" s="62">
        <f>DEGREES(ATAN(2*(D13-D8)/D7-TAN(RADIANS(D10))))</f>
        <v>84.335137472670056</v>
      </c>
      <c r="F14" s="95" t="s">
        <v>100</v>
      </c>
      <c r="G14" s="62">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6" priority="6" operator="lessThanOrEqual">
      <formula>0</formula>
    </cfRule>
  </conditionalFormatting>
  <conditionalFormatting sqref="D8 G8">
    <cfRule type="cellIs" dxfId="35" priority="5" operator="lessThan">
      <formula>0</formula>
    </cfRule>
  </conditionalFormatting>
  <conditionalFormatting sqref="D10 G10">
    <cfRule type="cellIs" dxfId="34" priority="3" operator="lessThanOrEqual">
      <formula>-90</formula>
    </cfRule>
    <cfRule type="cellIs" dxfId="33" priority="4" operator="greaterThanOrEqual">
      <formula>90</formula>
    </cfRule>
  </conditionalFormatting>
  <conditionalFormatting sqref="D7:D10 G7:G10">
    <cfRule type="expression" dxfId="32" priority="2">
      <formula>ISTEXT(D7)</formula>
    </cfRule>
  </conditionalFormatting>
  <conditionalFormatting sqref="D7:D10 G7:G10 I6">
    <cfRule type="containsBlanks" dxfId="31"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5" x14ac:dyDescent="0.25">
      <c r="C2" s="2" t="s">
        <v>105</v>
      </c>
    </row>
    <row r="4" spans="2:19" x14ac:dyDescent="0.25">
      <c r="B4" s="8" t="b">
        <v>1</v>
      </c>
      <c r="C4" s="1" t="s">
        <v>0</v>
      </c>
    </row>
    <row r="6" spans="2:19" ht="18.75" x14ac:dyDescent="0.25">
      <c r="F6" s="169" t="s">
        <v>99</v>
      </c>
      <c r="G6" s="169"/>
      <c r="I6" s="169" t="s">
        <v>102</v>
      </c>
      <c r="J6" s="169"/>
    </row>
    <row r="7" spans="2:19" x14ac:dyDescent="0.25">
      <c r="C7" s="95" t="s">
        <v>106</v>
      </c>
      <c r="D7" s="11" t="s">
        <v>30</v>
      </c>
      <c r="F7" s="95" t="s">
        <v>109</v>
      </c>
      <c r="G7" s="11">
        <v>50</v>
      </c>
      <c r="I7" s="95" t="str">
        <f>"Estimated Dist. (" &amp; IF($B$4, "mm", "in") &amp; ")"</f>
        <v>Estimated Dist. (mm)</v>
      </c>
      <c r="J7" s="52">
        <v>70</v>
      </c>
      <c r="M7" s="121" t="s">
        <v>233</v>
      </c>
      <c r="N7" s="122" t="s">
        <v>234</v>
      </c>
      <c r="O7" s="121" t="s">
        <v>228</v>
      </c>
      <c r="P7" s="121" t="s">
        <v>235</v>
      </c>
      <c r="Q7" s="121" t="s">
        <v>236</v>
      </c>
      <c r="R7" s="121" t="s">
        <v>237</v>
      </c>
      <c r="S7" s="123" t="s">
        <v>238</v>
      </c>
    </row>
    <row r="8" spans="2:19" x14ac:dyDescent="0.25">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25">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25">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25">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25">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25">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25">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25">
      <c r="M15" s="120"/>
      <c r="N15" s="120"/>
      <c r="O15" s="120"/>
      <c r="P15" s="120"/>
      <c r="Q15" s="120"/>
      <c r="R15" s="120"/>
      <c r="S15" s="120"/>
    </row>
    <row r="16" spans="2:19" x14ac:dyDescent="0.25">
      <c r="C16" s="178" t="s">
        <v>24</v>
      </c>
      <c r="D16" s="178"/>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25">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25">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25">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25">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25">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25">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8" t="b">
        <v>1</v>
      </c>
      <c r="C4" s="1" t="s">
        <v>0</v>
      </c>
    </row>
    <row r="5" spans="2:10" x14ac:dyDescent="0.25">
      <c r="B5" s="4"/>
    </row>
    <row r="6" spans="2:10" ht="18.75" x14ac:dyDescent="0.25">
      <c r="F6" s="169" t="s">
        <v>120</v>
      </c>
      <c r="G6" s="169"/>
      <c r="I6" s="169" t="s">
        <v>125</v>
      </c>
      <c r="J6" s="169"/>
    </row>
    <row r="7" spans="2:10" x14ac:dyDescent="0.25">
      <c r="C7" s="95" t="s">
        <v>114</v>
      </c>
      <c r="D7" s="11">
        <v>100</v>
      </c>
      <c r="F7" s="95" t="s">
        <v>119</v>
      </c>
      <c r="G7" s="11" t="s">
        <v>121</v>
      </c>
      <c r="I7" s="95" t="s">
        <v>123</v>
      </c>
      <c r="J7" s="11">
        <v>20</v>
      </c>
    </row>
    <row r="8" spans="2:10" x14ac:dyDescent="0.25">
      <c r="C8" s="95" t="s">
        <v>115</v>
      </c>
      <c r="D8" s="11">
        <v>32</v>
      </c>
      <c r="I8" s="95" t="s">
        <v>124</v>
      </c>
      <c r="J8" s="11">
        <v>20</v>
      </c>
    </row>
    <row r="10" spans="2:10" x14ac:dyDescent="0.25">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25">
      <c r="C11" s="95" t="s">
        <v>117</v>
      </c>
      <c r="D11" s="11">
        <v>60</v>
      </c>
      <c r="F11" s="95" t="s">
        <v>122</v>
      </c>
      <c r="G11" s="42" t="b">
        <f>G10&gt;0</f>
        <v>1</v>
      </c>
      <c r="I11" s="95" t="s">
        <v>122</v>
      </c>
      <c r="J11" s="42" t="b">
        <f>J10&gt;0</f>
        <v>1</v>
      </c>
    </row>
    <row r="12" spans="2:10" x14ac:dyDescent="0.25">
      <c r="C12" s="95" t="s">
        <v>118</v>
      </c>
      <c r="D12" s="11">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8" t="b">
        <v>0</v>
      </c>
      <c r="C4" s="1" t="s">
        <v>0</v>
      </c>
    </row>
    <row r="5" spans="2:10" x14ac:dyDescent="0.25">
      <c r="B5" s="4"/>
    </row>
    <row r="6" spans="2:10" x14ac:dyDescent="0.25">
      <c r="C6" s="95" t="s">
        <v>127</v>
      </c>
      <c r="D6" s="49">
        <v>20</v>
      </c>
    </row>
    <row r="8" spans="2:10" x14ac:dyDescent="0.25">
      <c r="C8" s="95" t="s">
        <v>128</v>
      </c>
      <c r="D8" s="72">
        <v>3</v>
      </c>
    </row>
    <row r="9" spans="2:10" x14ac:dyDescent="0.25">
      <c r="C9" s="95" t="str">
        <f>"Desired Distance (" &amp; IF($B$4, "mm", "in") &amp; ")"</f>
        <v>Desired Distance (in)</v>
      </c>
      <c r="D9" s="15">
        <v>2</v>
      </c>
    </row>
    <row r="10" spans="2:10" x14ac:dyDescent="0.25">
      <c r="D10" s="5"/>
      <c r="G10" s="5"/>
      <c r="J10" s="5"/>
    </row>
    <row r="11" spans="2:10" x14ac:dyDescent="0.25">
      <c r="C11" s="95" t="s">
        <v>129</v>
      </c>
      <c r="D11" s="6">
        <f>2*D9/IF($B$4, 25.4, 1)*D6/(D8+1)</f>
        <v>20</v>
      </c>
    </row>
    <row r="12" spans="2:10" x14ac:dyDescent="0.25">
      <c r="C12" s="95" t="str">
        <f>"Pitch Diameter (" &amp; IF($B$4, "mm", "in") &amp; ")"</f>
        <v>Pitch Diameter (in)</v>
      </c>
      <c r="D12" s="7">
        <f>D11/$D$6*IF($B$4, 25.4, 1)</f>
        <v>1</v>
      </c>
    </row>
    <row r="13" spans="2:10" x14ac:dyDescent="0.25">
      <c r="C13" s="95" t="str">
        <f>"Outside Diameter (" &amp; IF($B$4, "mm", "in") &amp; ")"</f>
        <v>Outside Diameter (in)</v>
      </c>
      <c r="D13" s="7">
        <f>(D11+2)/$D$6*IF($B$4, 25.4, 1)</f>
        <v>1.1000000000000001</v>
      </c>
    </row>
    <row r="15" spans="2:10" x14ac:dyDescent="0.25">
      <c r="C15" s="95" t="s">
        <v>130</v>
      </c>
      <c r="D15" s="6">
        <f>D11*D8</f>
        <v>60</v>
      </c>
    </row>
    <row r="16" spans="2:10" x14ac:dyDescent="0.25">
      <c r="C16" s="95" t="str">
        <f>"Pitch Diameter (" &amp; IF($B$4, "mm", "in") &amp; ")"</f>
        <v>Pitch Diameter (in)</v>
      </c>
      <c r="D16" s="7">
        <f>D15/$D$6*IF($B$4, 25.4, 1)</f>
        <v>3</v>
      </c>
    </row>
    <row r="17" spans="3:4" x14ac:dyDescent="0.25">
      <c r="C17" s="95" t="str">
        <f>"Outside Diameter (" &amp; IF($B$4, "mm", "in") &amp; ")"</f>
        <v>Outside Diameter (in)</v>
      </c>
      <c r="D17" s="7">
        <f>(D15+2)/$D$6*IF($B$4, 25.4, 1)</f>
        <v>3.1</v>
      </c>
    </row>
    <row r="19" spans="3:4" ht="14.45" customHeight="1" x14ac:dyDescent="0.25">
      <c r="C19" s="179" t="s">
        <v>131</v>
      </c>
      <c r="D19" s="179"/>
    </row>
    <row r="20" spans="3:4" ht="14.45" customHeight="1" x14ac:dyDescent="0.25">
      <c r="C20" s="180" t="s">
        <v>132</v>
      </c>
      <c r="D20" s="180"/>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8" t="b">
        <v>0</v>
      </c>
      <c r="C4" s="1" t="s">
        <v>0</v>
      </c>
      <c r="G4" s="5"/>
      <c r="H4" s="5"/>
      <c r="I4" s="5"/>
    </row>
    <row r="5" spans="2:17" x14ac:dyDescent="0.25">
      <c r="B5" s="4"/>
      <c r="G5" s="5"/>
      <c r="H5" s="5"/>
      <c r="I5" s="5"/>
    </row>
    <row r="6" spans="2:17" x14ac:dyDescent="0.25">
      <c r="D6" s="65" t="s">
        <v>138</v>
      </c>
      <c r="E6" s="65" t="s">
        <v>139</v>
      </c>
      <c r="F6" s="65" t="s">
        <v>140</v>
      </c>
      <c r="G6" s="65" t="s">
        <v>141</v>
      </c>
      <c r="H6" s="65" t="s">
        <v>142</v>
      </c>
      <c r="I6" s="65" t="s">
        <v>143</v>
      </c>
      <c r="J6" s="65" t="s">
        <v>144</v>
      </c>
      <c r="K6" s="65" t="s">
        <v>145</v>
      </c>
      <c r="N6" s="65" t="s">
        <v>148</v>
      </c>
      <c r="O6" s="65" t="s">
        <v>150</v>
      </c>
      <c r="P6" s="65" t="s">
        <v>149</v>
      </c>
      <c r="Q6" s="65" t="s">
        <v>151</v>
      </c>
    </row>
    <row r="7" spans="2:17" x14ac:dyDescent="0.25">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25">
      <c r="C8" s="66" t="str">
        <f>"Rod Diameter (" &amp; IF($B$4, "mm", "in") &amp; ")"</f>
        <v>Rod Diameter (in)</v>
      </c>
      <c r="D8" s="78">
        <v>0.37499999999999994</v>
      </c>
      <c r="E8" s="9"/>
      <c r="F8" s="9"/>
      <c r="G8" s="9"/>
      <c r="H8" s="9"/>
      <c r="I8" s="9"/>
      <c r="J8" s="9"/>
      <c r="K8" s="9"/>
      <c r="M8" s="66" t="s">
        <v>146</v>
      </c>
      <c r="N8" s="69">
        <v>3</v>
      </c>
      <c r="O8" s="69"/>
      <c r="P8" s="69"/>
      <c r="Q8" s="69"/>
    </row>
    <row r="9" spans="2:17" x14ac:dyDescent="0.25">
      <c r="C9" s="66" t="str">
        <f>"Stroke Length (" &amp; IF($B$4, "mm", "in") &amp; ")"</f>
        <v>Stroke Length (in)</v>
      </c>
      <c r="D9" s="78">
        <v>11.999999999999998</v>
      </c>
      <c r="E9" s="9"/>
      <c r="F9" s="9"/>
      <c r="G9" s="9"/>
      <c r="H9" s="9"/>
      <c r="I9" s="9"/>
      <c r="J9" s="9"/>
      <c r="K9" s="9"/>
      <c r="M9" s="67" t="s">
        <v>147</v>
      </c>
      <c r="N9" s="71">
        <v>120</v>
      </c>
      <c r="O9" s="71"/>
      <c r="P9" s="71"/>
      <c r="Q9" s="71"/>
    </row>
    <row r="10" spans="2:17" x14ac:dyDescent="0.25">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x14ac:dyDescent="0.25">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25">
      <c r="C12" s="66" t="s">
        <v>135</v>
      </c>
      <c r="D12" s="12">
        <v>15</v>
      </c>
      <c r="E12" s="69"/>
      <c r="F12" s="69"/>
      <c r="G12" s="69"/>
      <c r="H12" s="69"/>
      <c r="I12" s="69"/>
      <c r="J12" s="69"/>
      <c r="K12" s="69"/>
      <c r="M12" s="95" t="s">
        <v>152</v>
      </c>
      <c r="N12" s="181" t="s">
        <v>158</v>
      </c>
      <c r="O12" s="182"/>
    </row>
    <row r="13" spans="2:17" x14ac:dyDescent="0.25">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25">
      <c r="C14" s="66" t="s">
        <v>170</v>
      </c>
      <c r="D14" s="69">
        <v>5</v>
      </c>
      <c r="E14" s="69"/>
      <c r="F14" s="69"/>
      <c r="G14" s="69"/>
      <c r="H14" s="69"/>
      <c r="I14" s="69"/>
      <c r="J14" s="69"/>
      <c r="K14" s="69"/>
      <c r="M14" s="95" t="s">
        <v>153</v>
      </c>
      <c r="N14" s="11">
        <v>120</v>
      </c>
    </row>
    <row r="15" spans="2:17" x14ac:dyDescent="0.25">
      <c r="C15" s="66" t="s">
        <v>136</v>
      </c>
      <c r="D15" s="69">
        <v>8</v>
      </c>
      <c r="E15" s="69"/>
      <c r="F15" s="69"/>
      <c r="G15" s="69"/>
      <c r="H15" s="69"/>
      <c r="I15" s="69"/>
      <c r="J15" s="69"/>
      <c r="K15" s="69"/>
      <c r="M15" s="95" t="s">
        <v>154</v>
      </c>
      <c r="N15" s="11">
        <v>95</v>
      </c>
    </row>
    <row r="16" spans="2:17" x14ac:dyDescent="0.25">
      <c r="C16" s="67" t="s">
        <v>137</v>
      </c>
      <c r="D16" s="70">
        <v>140</v>
      </c>
      <c r="E16" s="71"/>
      <c r="F16" s="71"/>
      <c r="G16" s="71"/>
      <c r="H16" s="71"/>
      <c r="I16" s="71"/>
      <c r="J16" s="71"/>
      <c r="K16" s="71"/>
      <c r="M16" s="95" t="s">
        <v>155</v>
      </c>
      <c r="N16" s="44">
        <f>MIN(D42:D192)</f>
        <v>33.320099200506633</v>
      </c>
    </row>
    <row r="17" spans="4:14" x14ac:dyDescent="0.25">
      <c r="D17" s="57"/>
      <c r="M17" s="95" t="s">
        <v>156</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215</v>
      </c>
    </row>
    <row r="3" spans="3:16" x14ac:dyDescent="0.25">
      <c r="K3" s="80" t="s">
        <v>102</v>
      </c>
      <c r="M3" s="118" t="b">
        <v>1</v>
      </c>
      <c r="N3" s="116"/>
      <c r="O3" s="119" t="b">
        <v>1</v>
      </c>
      <c r="P3" s="117"/>
    </row>
    <row r="4" spans="3:16" ht="18.75" x14ac:dyDescent="0.25">
      <c r="C4" s="169" t="s">
        <v>99</v>
      </c>
      <c r="D4" s="169"/>
      <c r="F4" s="169" t="s">
        <v>102</v>
      </c>
      <c r="G4" s="169"/>
      <c r="I4" s="184" t="s">
        <v>232</v>
      </c>
    </row>
    <row r="5" spans="3:16" ht="15" customHeight="1" x14ac:dyDescent="0.25">
      <c r="C5" s="95" t="s">
        <v>171</v>
      </c>
      <c r="D5" s="52">
        <v>40</v>
      </c>
      <c r="F5" s="95" t="s">
        <v>173</v>
      </c>
      <c r="G5" s="52">
        <v>120</v>
      </c>
      <c r="I5" s="185"/>
    </row>
    <row r="6" spans="3:16" x14ac:dyDescent="0.25">
      <c r="C6" s="95" t="s">
        <v>172</v>
      </c>
      <c r="D6" s="52">
        <v>90</v>
      </c>
      <c r="F6" s="95" t="s">
        <v>174</v>
      </c>
      <c r="G6" s="52">
        <v>10</v>
      </c>
      <c r="I6" s="185"/>
    </row>
    <row r="7" spans="3:16" x14ac:dyDescent="0.25">
      <c r="C7" s="95" t="s">
        <v>173</v>
      </c>
      <c r="D7" s="52">
        <v>100</v>
      </c>
      <c r="F7" s="95" t="s">
        <v>175</v>
      </c>
      <c r="G7" s="52">
        <v>100</v>
      </c>
      <c r="I7" s="185"/>
    </row>
    <row r="8" spans="3:16" x14ac:dyDescent="0.25">
      <c r="C8" s="95" t="s">
        <v>174</v>
      </c>
      <c r="D8" s="52">
        <v>20</v>
      </c>
      <c r="F8" s="95" t="s">
        <v>176</v>
      </c>
      <c r="G8" s="52">
        <v>50</v>
      </c>
      <c r="I8" s="186"/>
    </row>
    <row r="9" spans="3:16" ht="15" customHeight="1" x14ac:dyDescent="0.25">
      <c r="C9" s="95" t="s">
        <v>175</v>
      </c>
      <c r="D9" s="52">
        <v>100</v>
      </c>
      <c r="F9" s="95" t="s">
        <v>177</v>
      </c>
      <c r="G9" s="74">
        <v>95</v>
      </c>
      <c r="H9" s="3">
        <f>RADIANS(G9)</f>
        <v>1.6580627893946132</v>
      </c>
    </row>
    <row r="10" spans="3:16" ht="15" customHeight="1" x14ac:dyDescent="0.25">
      <c r="C10" s="95" t="s">
        <v>176</v>
      </c>
      <c r="D10" s="52">
        <v>50</v>
      </c>
      <c r="F10" s="95" t="s">
        <v>178</v>
      </c>
      <c r="G10" s="74">
        <v>-10</v>
      </c>
      <c r="H10" s="3">
        <f>RADIANS(G10)</f>
        <v>-0.17453292519943295</v>
      </c>
      <c r="I10" s="184" t="s">
        <v>181</v>
      </c>
    </row>
    <row r="11" spans="3:16" x14ac:dyDescent="0.25">
      <c r="I11" s="185"/>
    </row>
    <row r="12" spans="3:16" x14ac:dyDescent="0.25">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5"/>
    </row>
    <row r="13" spans="3:16" x14ac:dyDescent="0.25">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86"/>
    </row>
    <row r="30" spans="11:18" x14ac:dyDescent="0.25">
      <c r="K30" s="183" t="s">
        <v>230</v>
      </c>
      <c r="L30" s="183"/>
      <c r="M30" s="183"/>
      <c r="N30" s="183"/>
      <c r="O30" s="183"/>
      <c r="P30" s="183"/>
      <c r="Q30" s="183"/>
      <c r="R30" s="183"/>
    </row>
    <row r="31" spans="11:18" x14ac:dyDescent="0.25">
      <c r="K31" s="1" t="s">
        <v>231</v>
      </c>
    </row>
    <row r="32" spans="11:18" x14ac:dyDescent="0.25">
      <c r="K32" s="1" t="s">
        <v>182</v>
      </c>
    </row>
    <row r="33" spans="11:18" x14ac:dyDescent="0.25">
      <c r="K33" s="3" t="s">
        <v>171</v>
      </c>
      <c r="L33" s="3" t="s">
        <v>172</v>
      </c>
      <c r="M33" s="3" t="s">
        <v>173</v>
      </c>
      <c r="N33" s="3" t="s">
        <v>174</v>
      </c>
      <c r="O33" s="3" t="s">
        <v>179</v>
      </c>
      <c r="P33" s="3" t="s">
        <v>180</v>
      </c>
      <c r="Q33" s="3" t="s">
        <v>228</v>
      </c>
      <c r="R33" s="3" t="s">
        <v>229</v>
      </c>
    </row>
    <row r="34" spans="11:18" x14ac:dyDescent="0.25">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0"/>
  <sheetViews>
    <sheetView workbookViewId="0"/>
  </sheetViews>
  <sheetFormatPr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5" x14ac:dyDescent="0.25">
      <c r="B2" s="2" t="s">
        <v>216</v>
      </c>
      <c r="J2" s="2" t="s">
        <v>24</v>
      </c>
      <c r="Q2" s="2" t="s">
        <v>221</v>
      </c>
    </row>
    <row r="3" spans="1:19" x14ac:dyDescent="0.25">
      <c r="B3" s="126"/>
    </row>
    <row r="4" spans="1:19" x14ac:dyDescent="0.25">
      <c r="A4" s="126"/>
      <c r="B4" s="126"/>
      <c r="C4" s="127" t="s">
        <v>1</v>
      </c>
      <c r="D4" s="128" t="s">
        <v>2</v>
      </c>
      <c r="E4" s="128" t="s">
        <v>3</v>
      </c>
      <c r="F4" s="128" t="s">
        <v>4</v>
      </c>
      <c r="G4" s="129" t="s">
        <v>5</v>
      </c>
      <c r="J4" s="97"/>
      <c r="K4" s="130" t="s">
        <v>25</v>
      </c>
      <c r="L4" s="131" t="s">
        <v>26</v>
      </c>
      <c r="M4" s="131" t="s">
        <v>27</v>
      </c>
      <c r="N4" s="132" t="s">
        <v>28</v>
      </c>
      <c r="R4" s="133" t="s">
        <v>223</v>
      </c>
      <c r="S4" s="132" t="s">
        <v>224</v>
      </c>
    </row>
    <row r="5" spans="1:19" x14ac:dyDescent="0.25">
      <c r="B5" s="75" t="s">
        <v>6</v>
      </c>
      <c r="C5" s="76">
        <v>5330</v>
      </c>
      <c r="D5" s="76">
        <v>2.41</v>
      </c>
      <c r="E5" s="76">
        <v>2.7</v>
      </c>
      <c r="F5" s="76">
        <v>131</v>
      </c>
      <c r="G5" s="134">
        <f>(C5/60*2*PI())*D5/4</f>
        <v>336.28916760964142</v>
      </c>
      <c r="J5" s="75" t="s">
        <v>29</v>
      </c>
      <c r="K5" s="135">
        <v>6.35</v>
      </c>
      <c r="L5" s="135">
        <v>9</v>
      </c>
      <c r="M5" s="135">
        <v>5.9</v>
      </c>
      <c r="N5" s="136">
        <v>0.31</v>
      </c>
      <c r="Q5" s="137" t="s">
        <v>226</v>
      </c>
      <c r="R5" s="76">
        <v>71700</v>
      </c>
      <c r="S5" s="138">
        <v>26900</v>
      </c>
    </row>
    <row r="6" spans="1:19" x14ac:dyDescent="0.25">
      <c r="B6" s="75" t="s">
        <v>7</v>
      </c>
      <c r="C6" s="76">
        <v>5840</v>
      </c>
      <c r="D6" s="76">
        <v>1.41</v>
      </c>
      <c r="E6" s="76">
        <v>3</v>
      </c>
      <c r="F6" s="76">
        <v>89</v>
      </c>
      <c r="G6" s="134">
        <f t="shared" ref="G6:G24" si="0">(C6/60*2*PI())*D6/4</f>
        <v>215.57608788933157</v>
      </c>
      <c r="J6" s="75" t="s">
        <v>30</v>
      </c>
      <c r="K6" s="135">
        <v>9.5299999999999994</v>
      </c>
      <c r="L6" s="135">
        <v>11.76</v>
      </c>
      <c r="M6" s="135">
        <v>8.94</v>
      </c>
      <c r="N6" s="136">
        <v>0.41</v>
      </c>
      <c r="Q6" s="137" t="s">
        <v>227</v>
      </c>
      <c r="R6" s="76">
        <v>68900</v>
      </c>
      <c r="S6" s="138">
        <v>26000</v>
      </c>
    </row>
    <row r="7" spans="1:19" x14ac:dyDescent="0.25">
      <c r="B7" s="75" t="s">
        <v>8</v>
      </c>
      <c r="C7" s="76">
        <v>13180</v>
      </c>
      <c r="D7" s="76">
        <v>0.43</v>
      </c>
      <c r="E7" s="76">
        <v>1.8</v>
      </c>
      <c r="F7" s="76">
        <v>53</v>
      </c>
      <c r="G7" s="134">
        <f t="shared" si="0"/>
        <v>148.37218504128995</v>
      </c>
      <c r="J7" s="75" t="s">
        <v>31</v>
      </c>
      <c r="K7" s="135">
        <v>5</v>
      </c>
      <c r="L7" s="135">
        <v>15</v>
      </c>
      <c r="M7" s="135">
        <v>3</v>
      </c>
      <c r="N7" s="136">
        <v>0</v>
      </c>
      <c r="Q7" s="137" t="s">
        <v>63</v>
      </c>
      <c r="R7" s="76">
        <v>206000</v>
      </c>
      <c r="S7" s="138">
        <v>70000</v>
      </c>
    </row>
    <row r="8" spans="1:19" x14ac:dyDescent="0.25">
      <c r="B8" s="75" t="s">
        <v>9</v>
      </c>
      <c r="C8" s="76">
        <v>18730</v>
      </c>
      <c r="D8" s="76">
        <v>0.71</v>
      </c>
      <c r="E8" s="76">
        <v>0.7</v>
      </c>
      <c r="F8" s="76">
        <v>134</v>
      </c>
      <c r="G8" s="134">
        <f t="shared" si="0"/>
        <v>348.14867987694288</v>
      </c>
      <c r="J8" s="75" t="s">
        <v>32</v>
      </c>
      <c r="K8" s="135">
        <v>3</v>
      </c>
      <c r="L8" s="135">
        <v>9</v>
      </c>
      <c r="M8" s="135">
        <v>3</v>
      </c>
      <c r="N8" s="136">
        <v>0</v>
      </c>
      <c r="Q8" s="137" t="s">
        <v>222</v>
      </c>
      <c r="R8" s="76">
        <v>193000</v>
      </c>
      <c r="S8" s="138">
        <v>77000</v>
      </c>
    </row>
    <row r="9" spans="1:19" x14ac:dyDescent="0.25">
      <c r="B9" s="75" t="s">
        <v>10</v>
      </c>
      <c r="C9" s="76">
        <v>5676</v>
      </c>
      <c r="D9" s="76">
        <v>2.6</v>
      </c>
      <c r="E9" s="76">
        <v>1.8</v>
      </c>
      <c r="F9" s="76">
        <v>105</v>
      </c>
      <c r="G9" s="134">
        <f t="shared" si="0"/>
        <v>386.35306453847278</v>
      </c>
      <c r="J9" s="75"/>
      <c r="K9" s="135"/>
      <c r="L9" s="135"/>
      <c r="M9" s="135"/>
      <c r="N9" s="136"/>
      <c r="Q9" s="137"/>
      <c r="R9" s="76"/>
      <c r="S9" s="138"/>
    </row>
    <row r="10" spans="1:19" x14ac:dyDescent="0.25">
      <c r="B10" s="75" t="s">
        <v>11</v>
      </c>
      <c r="C10" s="76">
        <v>5800</v>
      </c>
      <c r="D10" s="76">
        <v>0.28000000000000003</v>
      </c>
      <c r="E10" s="76">
        <v>1.6</v>
      </c>
      <c r="F10" s="76">
        <v>18</v>
      </c>
      <c r="G10" s="134">
        <f t="shared" si="0"/>
        <v>42.516220578581873</v>
      </c>
      <c r="J10" s="75"/>
      <c r="K10" s="135"/>
      <c r="L10" s="135"/>
      <c r="M10" s="135"/>
      <c r="N10" s="136"/>
      <c r="Q10" s="137"/>
      <c r="R10" s="76"/>
      <c r="S10" s="138"/>
    </row>
    <row r="11" spans="1:19" x14ac:dyDescent="0.25">
      <c r="B11" s="75" t="s">
        <v>12</v>
      </c>
      <c r="C11" s="76">
        <v>14270</v>
      </c>
      <c r="D11" s="76">
        <v>0.36</v>
      </c>
      <c r="E11" s="76">
        <v>3.7</v>
      </c>
      <c r="F11" s="76">
        <v>71</v>
      </c>
      <c r="G11" s="134">
        <f t="shared" si="0"/>
        <v>134.49158150017905</v>
      </c>
      <c r="J11" s="75"/>
      <c r="K11" s="135"/>
      <c r="L11" s="135"/>
      <c r="M11" s="135"/>
      <c r="N11" s="136"/>
      <c r="Q11" s="137"/>
      <c r="R11" s="76"/>
      <c r="S11" s="138"/>
    </row>
    <row r="12" spans="1:19" x14ac:dyDescent="0.25">
      <c r="B12" s="75" t="s">
        <v>13</v>
      </c>
      <c r="C12" s="76">
        <v>5508</v>
      </c>
      <c r="D12" s="76">
        <v>3.82</v>
      </c>
      <c r="E12" s="76">
        <v>8.16</v>
      </c>
      <c r="F12" s="76">
        <v>220</v>
      </c>
      <c r="G12" s="134">
        <f t="shared" si="0"/>
        <v>550.84057269512709</v>
      </c>
    </row>
    <row r="13" spans="1:19" x14ac:dyDescent="0.25">
      <c r="B13" s="75" t="s">
        <v>14</v>
      </c>
      <c r="C13" s="76">
        <v>5593</v>
      </c>
      <c r="D13" s="76">
        <v>5.23</v>
      </c>
      <c r="E13" s="76">
        <v>9.6199999999999992</v>
      </c>
      <c r="F13" s="76">
        <v>309</v>
      </c>
      <c r="G13" s="134">
        <f t="shared" si="0"/>
        <v>765.79959942741618</v>
      </c>
      <c r="J13" s="1" t="s">
        <v>33</v>
      </c>
    </row>
    <row r="14" spans="1:19" x14ac:dyDescent="0.25">
      <c r="B14" s="75" t="s">
        <v>15</v>
      </c>
      <c r="C14" s="76">
        <v>5437</v>
      </c>
      <c r="D14" s="76">
        <v>6.23</v>
      </c>
      <c r="E14" s="76">
        <v>9.15</v>
      </c>
      <c r="F14" s="76">
        <v>351</v>
      </c>
      <c r="G14" s="134">
        <f t="shared" si="0"/>
        <v>886.78023812205663</v>
      </c>
    </row>
    <row r="15" spans="1:19" x14ac:dyDescent="0.25">
      <c r="B15" s="75" t="s">
        <v>16</v>
      </c>
      <c r="C15" s="76">
        <v>13050</v>
      </c>
      <c r="D15" s="76">
        <v>0.72</v>
      </c>
      <c r="E15" s="76">
        <v>2.7</v>
      </c>
      <c r="F15" s="76">
        <v>97</v>
      </c>
      <c r="G15" s="134">
        <f t="shared" si="0"/>
        <v>245.98670477608078</v>
      </c>
    </row>
    <row r="16" spans="1:19" x14ac:dyDescent="0.25">
      <c r="B16" s="75" t="s">
        <v>17</v>
      </c>
      <c r="C16" s="76">
        <v>19000</v>
      </c>
      <c r="D16" s="76">
        <v>0.38</v>
      </c>
      <c r="E16" s="76">
        <v>0.4</v>
      </c>
      <c r="F16" s="76">
        <v>84</v>
      </c>
      <c r="G16" s="134">
        <f t="shared" si="0"/>
        <v>189.01915799098592</v>
      </c>
    </row>
    <row r="17" spans="2:13" x14ac:dyDescent="0.25">
      <c r="B17" s="75" t="s">
        <v>18</v>
      </c>
      <c r="C17" s="76">
        <v>100</v>
      </c>
      <c r="D17" s="76">
        <v>7.91</v>
      </c>
      <c r="E17" s="76">
        <v>5</v>
      </c>
      <c r="F17" s="76">
        <v>24</v>
      </c>
      <c r="G17" s="134">
        <f t="shared" si="0"/>
        <v>20.708331574912719</v>
      </c>
    </row>
    <row r="18" spans="2:13" x14ac:dyDescent="0.25">
      <c r="B18" s="75" t="s">
        <v>19</v>
      </c>
      <c r="C18" s="76">
        <v>6600</v>
      </c>
      <c r="D18" s="76">
        <v>6.1800000000000001E-2</v>
      </c>
      <c r="E18" s="76">
        <v>2</v>
      </c>
      <c r="F18" s="76">
        <v>11.5</v>
      </c>
      <c r="G18" s="134">
        <f t="shared" si="0"/>
        <v>10.678273429551707</v>
      </c>
      <c r="M18" s="4"/>
    </row>
    <row r="19" spans="2:13" x14ac:dyDescent="0.25">
      <c r="B19" s="75" t="s">
        <v>20</v>
      </c>
      <c r="C19" s="76">
        <v>5300</v>
      </c>
      <c r="D19" s="76">
        <v>0.13</v>
      </c>
      <c r="E19" s="76">
        <v>1</v>
      </c>
      <c r="F19" s="76">
        <v>7</v>
      </c>
      <c r="G19" s="134">
        <f t="shared" si="0"/>
        <v>18.037977819361398</v>
      </c>
      <c r="M19" s="4"/>
    </row>
    <row r="20" spans="2:13" x14ac:dyDescent="0.25">
      <c r="B20" s="75" t="s">
        <v>21</v>
      </c>
      <c r="C20" s="76">
        <v>24</v>
      </c>
      <c r="D20" s="76">
        <v>22</v>
      </c>
      <c r="E20" s="76">
        <v>3</v>
      </c>
      <c r="F20" s="76">
        <v>12</v>
      </c>
      <c r="G20" s="134">
        <f t="shared" si="0"/>
        <v>13.82300767579509</v>
      </c>
    </row>
    <row r="21" spans="2:13" x14ac:dyDescent="0.25">
      <c r="B21" s="75" t="s">
        <v>22</v>
      </c>
      <c r="C21" s="76">
        <v>3084</v>
      </c>
      <c r="D21" s="76">
        <v>0.32</v>
      </c>
      <c r="E21" s="76">
        <v>0.28000000000000003</v>
      </c>
      <c r="F21" s="76">
        <v>6.5</v>
      </c>
      <c r="G21" s="134">
        <f t="shared" si="0"/>
        <v>25.836457983122461</v>
      </c>
    </row>
    <row r="22" spans="2:13" x14ac:dyDescent="0.25">
      <c r="B22" s="75" t="s">
        <v>23</v>
      </c>
      <c r="C22" s="76">
        <v>90</v>
      </c>
      <c r="D22" s="76">
        <v>9.24</v>
      </c>
      <c r="E22" s="76">
        <v>1.5</v>
      </c>
      <c r="F22" s="76">
        <v>16.25</v>
      </c>
      <c r="G22" s="134">
        <f t="shared" si="0"/>
        <v>21.771237089377266</v>
      </c>
    </row>
    <row r="23" spans="2:13" x14ac:dyDescent="0.25">
      <c r="B23" s="75"/>
      <c r="C23" s="76"/>
      <c r="D23" s="76"/>
      <c r="E23" s="76"/>
      <c r="F23" s="76"/>
      <c r="G23" s="134">
        <f t="shared" si="0"/>
        <v>0</v>
      </c>
    </row>
    <row r="24" spans="2:13" x14ac:dyDescent="0.25">
      <c r="B24" s="75"/>
      <c r="C24" s="76"/>
      <c r="D24" s="76"/>
      <c r="E24" s="76"/>
      <c r="F24" s="76"/>
      <c r="G24" s="134">
        <f t="shared" si="0"/>
        <v>0</v>
      </c>
    </row>
    <row r="25" spans="2:13" x14ac:dyDescent="0.25">
      <c r="B25" s="75"/>
      <c r="C25" s="76"/>
      <c r="D25" s="76"/>
      <c r="E25" s="76"/>
      <c r="F25" s="76"/>
      <c r="G25" s="134">
        <f t="shared" ref="G25:G27" si="1">(C25/60*2*PI())*D25/4</f>
        <v>0</v>
      </c>
    </row>
    <row r="26" spans="2:13" x14ac:dyDescent="0.25">
      <c r="B26" s="75"/>
      <c r="C26" s="76"/>
      <c r="D26" s="76"/>
      <c r="E26" s="76"/>
      <c r="F26" s="76"/>
      <c r="G26" s="134">
        <f t="shared" si="1"/>
        <v>0</v>
      </c>
    </row>
    <row r="27" spans="2:13" x14ac:dyDescent="0.25">
      <c r="B27" s="75"/>
      <c r="C27" s="76"/>
      <c r="D27" s="76"/>
      <c r="E27" s="76"/>
      <c r="F27" s="76"/>
      <c r="G27" s="134">
        <f t="shared" si="1"/>
        <v>0</v>
      </c>
    </row>
    <row r="30" spans="2:13" x14ac:dyDescent="0.25">
      <c r="B30" s="1" t="s">
        <v>239</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2019-08-17T14:59:50Z</dcterms:modified>
</cp:coreProperties>
</file>