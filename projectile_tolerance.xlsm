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18195" windowHeight="11820"/>
  </bookViews>
  <sheets>
    <sheet name="´ÖÓÎÉÇØÍÐÉ" sheetId="1" r:id="rId1"/>
  </sheets>
  <externalReferences>
    <externalReference r:id="rId2"/>
  </externalReferences>
  <definedNames>
    <definedName name="ChainBelts">[1]Specs!$J$5:$J$11</definedName>
    <definedName name="ChainBeltSpecs">[1]Specs!$J$5:$N$11</definedName>
    <definedName name="Eval_Links_Teeth" localSheetId="0">EVALUATE(CHOOSE(MATCH('[1]§ÌÅÍÒ¦ÉÐØ'!A1048572, {"Nearest","Up","Down"}, 0), "MROUND", "CEILING", "FLOOR") &amp; "(" &amp; 2/'[1]§ÌÅÍÒ¦ÉÐØ'!XEY5*SQRT(('[1]§ÌÅÍÒ¦ÉÐØ'!A1048571-'[1]§ÌÅÍÒ¦ÉÐØ'!XEY8)^2-('[1]§ÌÅÍÒ¦ÉÐØ'!XEY1048574/2-'[1]§ÌÅÍÒ¦ÉÐØ'!XEY1/2)^2)+('[1]§ÌÅÍÒ¦ÉÐØ'!XEY1048573-'[1]§ÌÅÍÒ¦ÉÐØ'!XEY1048576)*ACOS(('[1]§ÌÅÍÒ¦ÉÐØ'!XEY1-'[1]§ÌÅÍÒ¦ÉÐØ'!XEY1048574)/(2*('[1]§ÌÅÍÒ¦ÉÐØ'!A1048571-'[1]§ÌÅÍÒ¦ÉÐØ'!XEY8)))/PI()+'[1]§ÌÅÍÒ¦ÉÐØ'!XEY1048576 &amp; "," &amp; '[1]§ÌÅÍÒ¦ÉÐØ'!A1048573 &amp; ")")</definedName>
    <definedName name="Eval_Links_Teeth">EVALUATE(CHOOSE(MATCH('[1]§ÌÅÍÒ¦ÉÐØ'!A1048572, {"Nearest","Up","Down"}, 0), "MROUND", "CEILING", "FLOOR") &amp; "(" &amp; 2/'[1]§ÌÅÍÒ¦ÉÐØ'!XEY5*SQRT(('[1]§ÌÅÍÒ¦ÉÐØ'!A1048571-'[1]§ÌÅÍÒ¦ÉÐØ'!XEY8)^2-('[1]§ÌÅÍÒ¦ÉÐØ'!XEY1048574/2-'[1]§ÌÅÍÒ¦ÉÐØ'!XEY1/2)^2)+('[1]§ÌÅÍÒ¦ÉÐØ'!XEY1048573-'[1]§ÌÅÍÒ¦ÉÐØ'!XEY1048576)*ACOS(('[1]§ÌÅÍÒ¦ÉÐØ'!XEY1-'[1]§ÌÅÍÒ¦ÉÐØ'!XEY1048574)/(2*('[1]§ÌÅÍÒ¦ÉÐØ'!A1048571-'[1]§ÌÅÍÒ¦ÉÐØ'!XEY8)))/PI()+'[1]§ÌÅÍÒ¦ÉÐØ'!XEY1048576 &amp; "," &amp; '[1]§ÌÅÍÒ¦ÉÐØ'!A1048573 &amp; ")")</definedName>
    <definedName name="Materials">[1]Specs!$Q$5:$Q$11</definedName>
    <definedName name="MaterialSpecs">[1]Specs!$Q$5:$S$11</definedName>
    <definedName name="Motors">[1]Specs!$B$5:$B$28</definedName>
    <definedName name="MotorSpecs">[1]Specs!$B$5:$G$28</definedName>
    <definedName name="VP_180">[1]º´¨ÅØÅ!$I$43:$N$44</definedName>
    <definedName name="VP_90">[1]º´¨ÅØÅ!$I$48:$N$49</definedName>
    <definedName name="VP_Base">[1]º´¨ÅØÅ!$I$3:$N$7</definedName>
    <definedName name="VP_DualMotor">[1]º´¨ÅØÅ!$I$32:$N$39</definedName>
    <definedName name="VP_Encoder">[1]º´¨ÅØÅ!$I$57:$N$58</definedName>
    <definedName name="VP_Load">[1]º´¨ÅØÅ!$D$2:$F$841</definedName>
    <definedName name="VP_Motor">[1]º´¨ÅØÅ!$I$11:$N$18</definedName>
    <definedName name="VP_Ratchet">[1]º´¨ÅØÅ!$I$53:$N$54</definedName>
    <definedName name="VP_Stage">[1]º´¨ÅØÅ!$I$22:$N$28</definedName>
  </definedNames>
  <calcPr calcId="145621"/>
</workbook>
</file>

<file path=xl/calcChain.xml><?xml version="1.0" encoding="utf-8"?>
<calcChain xmlns="http://schemas.openxmlformats.org/spreadsheetml/2006/main">
  <c r="AT119" i="1" l="1"/>
  <c r="AS119" i="1"/>
  <c r="AR119" i="1"/>
  <c r="AQ119" i="1"/>
  <c r="AP119" i="1"/>
  <c r="AO119" i="1"/>
  <c r="AN119" i="1"/>
  <c r="AM119" i="1"/>
  <c r="AL119" i="1"/>
  <c r="AK119" i="1"/>
  <c r="AJ119" i="1"/>
  <c r="AI119" i="1"/>
  <c r="AH119" i="1"/>
  <c r="AG119" i="1"/>
  <c r="AF119" i="1"/>
  <c r="AE119" i="1"/>
  <c r="AD119" i="1"/>
  <c r="AC119" i="1"/>
  <c r="AB119" i="1"/>
  <c r="AA119" i="1"/>
  <c r="Z119" i="1"/>
  <c r="Y119" i="1"/>
  <c r="X119" i="1"/>
  <c r="W119" i="1"/>
  <c r="V119" i="1"/>
  <c r="U119" i="1"/>
  <c r="T119" i="1"/>
  <c r="AT118" i="1"/>
  <c r="AS118" i="1"/>
  <c r="AR118" i="1"/>
  <c r="AQ118" i="1"/>
  <c r="AP118" i="1"/>
  <c r="AO118" i="1"/>
  <c r="AN118" i="1"/>
  <c r="AM118" i="1"/>
  <c r="AL118" i="1"/>
  <c r="AK118" i="1"/>
  <c r="AJ118" i="1"/>
  <c r="AI118" i="1"/>
  <c r="AH118" i="1"/>
  <c r="AG118" i="1"/>
  <c r="AF118" i="1"/>
  <c r="AE118" i="1"/>
  <c r="AD118" i="1"/>
  <c r="AC118" i="1"/>
  <c r="AB118" i="1"/>
  <c r="AA118" i="1"/>
  <c r="Z118" i="1"/>
  <c r="Y118" i="1"/>
  <c r="X118" i="1"/>
  <c r="W118" i="1"/>
  <c r="V118" i="1"/>
  <c r="U118" i="1"/>
  <c r="T118" i="1"/>
  <c r="AT117" i="1"/>
  <c r="AS117" i="1"/>
  <c r="AR117" i="1"/>
  <c r="AQ117" i="1"/>
  <c r="AP117" i="1"/>
  <c r="AO117" i="1"/>
  <c r="AN117" i="1"/>
  <c r="AM117" i="1"/>
  <c r="AL117" i="1"/>
  <c r="AK117" i="1"/>
  <c r="AJ117" i="1"/>
  <c r="AI117" i="1"/>
  <c r="AH117" i="1"/>
  <c r="AG117" i="1"/>
  <c r="AF117" i="1"/>
  <c r="AE117" i="1"/>
  <c r="AD117" i="1"/>
  <c r="AC117" i="1"/>
  <c r="AB117" i="1"/>
  <c r="AA117" i="1"/>
  <c r="Z117" i="1"/>
  <c r="Y117" i="1"/>
  <c r="X117" i="1"/>
  <c r="W117" i="1"/>
  <c r="V117" i="1"/>
  <c r="U117" i="1"/>
  <c r="T117" i="1"/>
  <c r="AT113" i="1"/>
  <c r="AS113" i="1"/>
  <c r="AR113" i="1"/>
  <c r="AQ113" i="1"/>
  <c r="AP113" i="1"/>
  <c r="AO113" i="1"/>
  <c r="AN113" i="1"/>
  <c r="AM113" i="1"/>
  <c r="AL113" i="1"/>
  <c r="AK113" i="1"/>
  <c r="AJ113" i="1"/>
  <c r="AI113" i="1"/>
  <c r="AH113" i="1"/>
  <c r="AG113" i="1"/>
  <c r="AF113" i="1"/>
  <c r="AE113" i="1"/>
  <c r="AD113" i="1"/>
  <c r="AC113" i="1"/>
  <c r="AB113" i="1"/>
  <c r="AA113" i="1"/>
  <c r="Z113" i="1"/>
  <c r="Y113" i="1"/>
  <c r="X113" i="1"/>
  <c r="W113" i="1"/>
  <c r="V113" i="1"/>
  <c r="U113" i="1"/>
  <c r="T113" i="1"/>
  <c r="AT112" i="1"/>
  <c r="AS112" i="1"/>
  <c r="AR112" i="1"/>
  <c r="AQ112" i="1"/>
  <c r="AP112" i="1"/>
  <c r="AO112" i="1"/>
  <c r="AN112" i="1"/>
  <c r="AM112" i="1"/>
  <c r="AL112" i="1"/>
  <c r="AK112" i="1"/>
  <c r="AJ112" i="1"/>
  <c r="AI112" i="1"/>
  <c r="AH112" i="1"/>
  <c r="AG112" i="1"/>
  <c r="AF112" i="1"/>
  <c r="AE112" i="1"/>
  <c r="AD112" i="1"/>
  <c r="AC112" i="1"/>
  <c r="AB112" i="1"/>
  <c r="AA112" i="1"/>
  <c r="Z112" i="1"/>
  <c r="Y112" i="1"/>
  <c r="X112" i="1"/>
  <c r="W112" i="1"/>
  <c r="V112" i="1"/>
  <c r="U112" i="1"/>
  <c r="T112" i="1"/>
  <c r="AT111" i="1"/>
  <c r="AS111" i="1"/>
  <c r="AR111" i="1"/>
  <c r="AQ111" i="1"/>
  <c r="AP111" i="1"/>
  <c r="AO111" i="1"/>
  <c r="AN111" i="1"/>
  <c r="AM111" i="1"/>
  <c r="AL111" i="1"/>
  <c r="AK111" i="1"/>
  <c r="AJ111" i="1"/>
  <c r="AI111" i="1"/>
  <c r="AH111" i="1"/>
  <c r="AG111" i="1"/>
  <c r="AF111" i="1"/>
  <c r="AE111" i="1"/>
  <c r="AD111" i="1"/>
  <c r="AC111" i="1"/>
  <c r="AB111" i="1"/>
  <c r="AA111" i="1"/>
  <c r="Z111" i="1"/>
  <c r="Y111" i="1"/>
  <c r="X111" i="1"/>
  <c r="W111" i="1"/>
  <c r="V111" i="1"/>
  <c r="U111" i="1"/>
  <c r="T111" i="1"/>
  <c r="G18" i="1"/>
  <c r="G16" i="1" s="1"/>
  <c r="F17" i="1"/>
  <c r="C17" i="1"/>
  <c r="F16" i="1"/>
  <c r="D16" i="1"/>
  <c r="D18" i="1" s="1"/>
  <c r="C16" i="1"/>
  <c r="F11" i="1"/>
  <c r="F10" i="1"/>
  <c r="C10" i="1"/>
  <c r="F9" i="1"/>
  <c r="C9" i="1"/>
  <c r="EU8" i="1"/>
  <c r="ET8" i="1"/>
  <c r="EO8" i="1"/>
  <c r="EK8" i="1"/>
  <c r="EJ8" i="1"/>
  <c r="EE8" i="1"/>
  <c r="EF8" i="1" s="1"/>
  <c r="EA8" i="1"/>
  <c r="DZ8" i="1"/>
  <c r="DV8" i="1"/>
  <c r="DU8" i="1"/>
  <c r="DP8" i="1"/>
  <c r="DK8" i="1"/>
  <c r="DL8" i="1" s="1"/>
  <c r="DG8" i="1"/>
  <c r="DF8" i="1"/>
  <c r="DA8" i="1"/>
  <c r="CW8" i="1"/>
  <c r="CV8" i="1"/>
  <c r="CQ8" i="1"/>
  <c r="CR8" i="1" s="1"/>
  <c r="CM8" i="1"/>
  <c r="CL8" i="1"/>
  <c r="CH8" i="1"/>
  <c r="CG8" i="1"/>
  <c r="CB8" i="1"/>
  <c r="BW8" i="1"/>
  <c r="BX8" i="1" s="1"/>
  <c r="BS8" i="1"/>
  <c r="BR8" i="1"/>
  <c r="BM8" i="1"/>
  <c r="BI8" i="1"/>
  <c r="BH8" i="1"/>
  <c r="BC8" i="1"/>
  <c r="BD8" i="1" s="1"/>
  <c r="AY8" i="1"/>
  <c r="AX8" i="1"/>
  <c r="AT8" i="1"/>
  <c r="AS8" i="1"/>
  <c r="AN8" i="1"/>
  <c r="AI8" i="1"/>
  <c r="AJ8" i="1" s="1"/>
  <c r="AE8" i="1"/>
  <c r="AD8" i="1"/>
  <c r="Y8" i="1"/>
  <c r="U8" i="1"/>
  <c r="T8" i="1"/>
  <c r="F8" i="1"/>
  <c r="C8" i="1"/>
  <c r="EV7" i="1"/>
  <c r="EU7" i="1"/>
  <c r="ET7" i="1"/>
  <c r="ET9" i="1" s="1"/>
  <c r="EQ7" i="1"/>
  <c r="EP7" i="1"/>
  <c r="EO7" i="1"/>
  <c r="EL7" i="1"/>
  <c r="EK7" i="1"/>
  <c r="EJ7" i="1"/>
  <c r="EG7" i="1"/>
  <c r="EF7" i="1"/>
  <c r="EE7" i="1"/>
  <c r="EB7" i="1"/>
  <c r="EA7" i="1"/>
  <c r="DZ7" i="1"/>
  <c r="DZ9" i="1" s="1"/>
  <c r="DW7" i="1"/>
  <c r="DV7" i="1"/>
  <c r="DU7" i="1"/>
  <c r="DR7" i="1"/>
  <c r="DQ7" i="1"/>
  <c r="DP7" i="1"/>
  <c r="DM7" i="1"/>
  <c r="DL7" i="1"/>
  <c r="DK7" i="1"/>
  <c r="DK9" i="1" s="1"/>
  <c r="DH7" i="1"/>
  <c r="DG7" i="1"/>
  <c r="DF7" i="1"/>
  <c r="DF9" i="1" s="1"/>
  <c r="DG9" i="1" s="1"/>
  <c r="DC7" i="1"/>
  <c r="DB7" i="1"/>
  <c r="DA7" i="1"/>
  <c r="CX7" i="1"/>
  <c r="CW7" i="1"/>
  <c r="CV7" i="1"/>
  <c r="CV9" i="1" s="1"/>
  <c r="CV10" i="1" s="1"/>
  <c r="CW10" i="1" s="1"/>
  <c r="CS7" i="1"/>
  <c r="CR7" i="1"/>
  <c r="CQ7" i="1"/>
  <c r="CN7" i="1"/>
  <c r="CM7" i="1"/>
  <c r="CL7" i="1"/>
  <c r="CI7" i="1"/>
  <c r="CH7" i="1"/>
  <c r="CG7" i="1"/>
  <c r="CD7" i="1"/>
  <c r="CC7" i="1"/>
  <c r="CB7" i="1"/>
  <c r="BY7" i="1"/>
  <c r="BX7" i="1"/>
  <c r="BW7" i="1"/>
  <c r="BW9" i="1" s="1"/>
  <c r="BX9" i="1" s="1"/>
  <c r="BT7" i="1"/>
  <c r="BS7" i="1"/>
  <c r="BR7" i="1"/>
  <c r="BR9" i="1" s="1"/>
  <c r="BO7" i="1"/>
  <c r="BN7" i="1"/>
  <c r="BM7" i="1"/>
  <c r="BJ7" i="1"/>
  <c r="BI7" i="1"/>
  <c r="BH7" i="1"/>
  <c r="BE7" i="1"/>
  <c r="BD7" i="1"/>
  <c r="BC7" i="1"/>
  <c r="AZ7" i="1"/>
  <c r="AY7" i="1"/>
  <c r="AX7" i="1"/>
  <c r="AU7" i="1"/>
  <c r="AT7" i="1"/>
  <c r="AS7" i="1"/>
  <c r="AP7" i="1"/>
  <c r="AO7" i="1"/>
  <c r="AN7" i="1"/>
  <c r="AK7" i="1"/>
  <c r="AJ7" i="1"/>
  <c r="AI7" i="1"/>
  <c r="AI9" i="1" s="1"/>
  <c r="AI10" i="1" s="1"/>
  <c r="AI11" i="1" s="1"/>
  <c r="AF7" i="1"/>
  <c r="AE7" i="1"/>
  <c r="AD7" i="1"/>
  <c r="AD9" i="1" s="1"/>
  <c r="AE9" i="1" s="1"/>
  <c r="AA7" i="1"/>
  <c r="Z7" i="1"/>
  <c r="Y7" i="1"/>
  <c r="V7" i="1"/>
  <c r="U7" i="1"/>
  <c r="T7" i="1"/>
  <c r="T9" i="1" s="1"/>
  <c r="T10" i="1" s="1"/>
  <c r="U10" i="1" s="1"/>
  <c r="F7" i="1"/>
  <c r="C7" i="1"/>
  <c r="T5" i="1"/>
  <c r="BL7" i="1" l="1"/>
  <c r="CA7" i="1"/>
  <c r="CP7" i="1"/>
  <c r="CZ7" i="1"/>
  <c r="CY7" i="1" s="1"/>
  <c r="CX8" i="1" s="1"/>
  <c r="DO7" i="1"/>
  <c r="EN7" i="1"/>
  <c r="CF7" i="1"/>
  <c r="CE7" i="1" s="1"/>
  <c r="CD8" i="1" s="1"/>
  <c r="X7" i="1"/>
  <c r="W7" i="1" s="1"/>
  <c r="V10" i="1" s="1"/>
  <c r="AM7" i="1"/>
  <c r="AL7" i="1" s="1"/>
  <c r="AK8" i="1" s="1"/>
  <c r="AC7" i="1"/>
  <c r="AB7" i="1" s="1"/>
  <c r="BQ7" i="1"/>
  <c r="BP7" i="1" s="1"/>
  <c r="DE7" i="1"/>
  <c r="DD7" i="1" s="1"/>
  <c r="ES7" i="1"/>
  <c r="ER7" i="1" s="1"/>
  <c r="AA114" i="1"/>
  <c r="AA115" i="1" s="1"/>
  <c r="AI114" i="1"/>
  <c r="AI115" i="1" s="1"/>
  <c r="AQ114" i="1"/>
  <c r="AQ115" i="1" s="1"/>
  <c r="W114" i="1"/>
  <c r="W115" i="1" s="1"/>
  <c r="AE114" i="1"/>
  <c r="AE115" i="1" s="1"/>
  <c r="AM114" i="1"/>
  <c r="AM115" i="1" s="1"/>
  <c r="T114" i="1"/>
  <c r="T115" i="1" s="1"/>
  <c r="AR114" i="1"/>
  <c r="AR115" i="1" s="1"/>
  <c r="X114" i="1"/>
  <c r="X115" i="1" s="1"/>
  <c r="AB114" i="1"/>
  <c r="AB115" i="1" s="1"/>
  <c r="AF114" i="1"/>
  <c r="AF115" i="1" s="1"/>
  <c r="AJ114" i="1"/>
  <c r="AJ115" i="1" s="1"/>
  <c r="AN114" i="1"/>
  <c r="AN115" i="1" s="1"/>
  <c r="V114" i="1"/>
  <c r="V115" i="1" s="1"/>
  <c r="Z114" i="1"/>
  <c r="Z115" i="1" s="1"/>
  <c r="AD114" i="1"/>
  <c r="AD115" i="1" s="1"/>
  <c r="AH114" i="1"/>
  <c r="AH115" i="1" s="1"/>
  <c r="AL114" i="1"/>
  <c r="AL115" i="1" s="1"/>
  <c r="AP114" i="1"/>
  <c r="AP115" i="1" s="1"/>
  <c r="AT114" i="1"/>
  <c r="AT115" i="1" s="1"/>
  <c r="CL9" i="1"/>
  <c r="CM9" i="1" s="1"/>
  <c r="DK10" i="1"/>
  <c r="DK11" i="1" s="1"/>
  <c r="DK12" i="1" s="1"/>
  <c r="DL9" i="1"/>
  <c r="Y9" i="1"/>
  <c r="Z9" i="1" s="1"/>
  <c r="BM9" i="1"/>
  <c r="BM10" i="1" s="1"/>
  <c r="BM11" i="1" s="1"/>
  <c r="DA9" i="1"/>
  <c r="DB9" i="1" s="1"/>
  <c r="EO9" i="1"/>
  <c r="EO10" i="1" s="1"/>
  <c r="EO11" i="1" s="1"/>
  <c r="AJ9" i="1"/>
  <c r="BB7" i="1"/>
  <c r="BA7" i="1" s="1"/>
  <c r="AR7" i="1"/>
  <c r="AQ7" i="1" s="1"/>
  <c r="DT7" i="1"/>
  <c r="DS7" i="1" s="1"/>
  <c r="DR8" i="1" s="1"/>
  <c r="BS9" i="1"/>
  <c r="BR10" i="1"/>
  <c r="CO7" i="1"/>
  <c r="CN8" i="1" s="1"/>
  <c r="AI12" i="1"/>
  <c r="AJ11" i="1"/>
  <c r="DL11" i="1"/>
  <c r="EA9" i="1"/>
  <c r="DZ10" i="1"/>
  <c r="EU9" i="1"/>
  <c r="ET10" i="1"/>
  <c r="AW7" i="1"/>
  <c r="CK7" i="1"/>
  <c r="DY7" i="1"/>
  <c r="BC9" i="1"/>
  <c r="CV11" i="1"/>
  <c r="ED7" i="1"/>
  <c r="BK7" i="1"/>
  <c r="BJ8" i="1" s="1"/>
  <c r="EM7" i="1"/>
  <c r="EL8" i="1" s="1"/>
  <c r="AS9" i="1"/>
  <c r="CG9" i="1"/>
  <c r="DU9" i="1"/>
  <c r="AX9" i="1"/>
  <c r="BH9" i="1"/>
  <c r="CQ9" i="1"/>
  <c r="EJ9" i="1"/>
  <c r="AJ10" i="1"/>
  <c r="EE9" i="1"/>
  <c r="T11" i="1"/>
  <c r="Z8" i="1"/>
  <c r="AO8" i="1"/>
  <c r="BN8" i="1"/>
  <c r="CC8" i="1"/>
  <c r="DB8" i="1"/>
  <c r="DQ8" i="1"/>
  <c r="EP8" i="1"/>
  <c r="U9" i="1"/>
  <c r="AN9" i="1"/>
  <c r="CW9" i="1"/>
  <c r="DP9" i="1"/>
  <c r="AR121" i="1"/>
  <c r="AR120" i="1" s="1"/>
  <c r="AJ121" i="1"/>
  <c r="AJ120" i="1" s="1"/>
  <c r="AB121" i="1"/>
  <c r="AB120" i="1" s="1"/>
  <c r="T121" i="1"/>
  <c r="T120" i="1" s="1"/>
  <c r="AN121" i="1"/>
  <c r="AN120" i="1" s="1"/>
  <c r="AF121" i="1"/>
  <c r="AF120" i="1" s="1"/>
  <c r="X121" i="1"/>
  <c r="X120" i="1" s="1"/>
  <c r="AP121" i="1"/>
  <c r="AP120" i="1" s="1"/>
  <c r="Z121" i="1"/>
  <c r="Z120" i="1" s="1"/>
  <c r="AH121" i="1"/>
  <c r="AH120" i="1" s="1"/>
  <c r="AL121" i="1"/>
  <c r="AL120" i="1" s="1"/>
  <c r="V121" i="1"/>
  <c r="V120" i="1" s="1"/>
  <c r="AT121" i="1"/>
  <c r="AT120" i="1" s="1"/>
  <c r="AD121" i="1"/>
  <c r="AD120" i="1" s="1"/>
  <c r="AH7" i="1"/>
  <c r="BG7" i="1"/>
  <c r="BF7" i="1" s="1"/>
  <c r="BV7" i="1"/>
  <c r="BZ7" i="1"/>
  <c r="BY9" i="1" s="1"/>
  <c r="CU7" i="1"/>
  <c r="CT7" i="1" s="1"/>
  <c r="DJ7" i="1"/>
  <c r="DN7" i="1"/>
  <c r="DM9" i="1" s="1"/>
  <c r="EI7" i="1"/>
  <c r="EH7" i="1" s="1"/>
  <c r="EX7" i="1"/>
  <c r="CB9" i="1"/>
  <c r="AD10" i="1"/>
  <c r="BW10" i="1"/>
  <c r="DF10" i="1"/>
  <c r="U114" i="1"/>
  <c r="Y114" i="1"/>
  <c r="Y115" i="1" s="1"/>
  <c r="AC114" i="1"/>
  <c r="AC115" i="1" s="1"/>
  <c r="AG114" i="1"/>
  <c r="AG115" i="1" s="1"/>
  <c r="AK114" i="1"/>
  <c r="AK115" i="1" s="1"/>
  <c r="AO114" i="1"/>
  <c r="AO115" i="1" s="1"/>
  <c r="AS114" i="1"/>
  <c r="AS115" i="1" s="1"/>
  <c r="U121" i="1"/>
  <c r="U120" i="1" s="1"/>
  <c r="Y121" i="1"/>
  <c r="Y120" i="1" s="1"/>
  <c r="AC121" i="1"/>
  <c r="AC120" i="1" s="1"/>
  <c r="AG121" i="1"/>
  <c r="AG120" i="1" s="1"/>
  <c r="AK121" i="1"/>
  <c r="AK120" i="1" s="1"/>
  <c r="AO121" i="1"/>
  <c r="AO120" i="1" s="1"/>
  <c r="AS121" i="1"/>
  <c r="AS120" i="1" s="1"/>
  <c r="W121" i="1"/>
  <c r="W120" i="1" s="1"/>
  <c r="AA121" i="1"/>
  <c r="AA120" i="1" s="1"/>
  <c r="AE121" i="1"/>
  <c r="AE120" i="1" s="1"/>
  <c r="AI121" i="1"/>
  <c r="AI120" i="1" s="1"/>
  <c r="AM121" i="1"/>
  <c r="AM120" i="1" s="1"/>
  <c r="AQ121" i="1"/>
  <c r="AQ120" i="1" s="1"/>
  <c r="EQ8" i="1" l="1"/>
  <c r="BO8" i="1"/>
  <c r="DA10" i="1"/>
  <c r="DC10" i="1" s="1"/>
  <c r="DC9" i="1"/>
  <c r="EP9" i="1"/>
  <c r="DL10" i="1"/>
  <c r="DC8" i="1"/>
  <c r="AA8" i="1"/>
  <c r="EP10" i="1"/>
  <c r="BO9" i="1"/>
  <c r="EQ9" i="1"/>
  <c r="EQ10" i="1"/>
  <c r="AP8" i="1"/>
  <c r="CX9" i="1"/>
  <c r="BO10" i="1"/>
  <c r="CL10" i="1"/>
  <c r="CN10" i="1" s="1"/>
  <c r="AA9" i="1"/>
  <c r="AK10" i="1"/>
  <c r="BN10" i="1"/>
  <c r="AZ8" i="1"/>
  <c r="Y10" i="1"/>
  <c r="AA10" i="1" s="1"/>
  <c r="BN9" i="1"/>
  <c r="AK9" i="1"/>
  <c r="V8" i="1"/>
  <c r="AK11" i="1"/>
  <c r="CB10" i="1"/>
  <c r="CD9" i="1"/>
  <c r="CC9" i="1"/>
  <c r="DP10" i="1"/>
  <c r="DR9" i="1"/>
  <c r="DQ9" i="1"/>
  <c r="AN10" i="1"/>
  <c r="AP9" i="1"/>
  <c r="AO9" i="1"/>
  <c r="EG9" i="1"/>
  <c r="EF9" i="1"/>
  <c r="EE10" i="1"/>
  <c r="EP11" i="1"/>
  <c r="EQ11" i="1"/>
  <c r="EO12" i="1"/>
  <c r="CS9" i="1"/>
  <c r="CR9" i="1"/>
  <c r="CQ10" i="1"/>
  <c r="DU10" i="1"/>
  <c r="DV9" i="1"/>
  <c r="BU7" i="1"/>
  <c r="BT8" i="1" s="1"/>
  <c r="G17" i="1"/>
  <c r="DM10" i="1"/>
  <c r="AD11" i="1"/>
  <c r="AE10" i="1"/>
  <c r="G19" i="1"/>
  <c r="DB10" i="1"/>
  <c r="CN9" i="1"/>
  <c r="V11" i="1"/>
  <c r="U11" i="1"/>
  <c r="T12" i="1"/>
  <c r="EJ10" i="1"/>
  <c r="EK9" i="1"/>
  <c r="EL9" i="1"/>
  <c r="V9" i="1"/>
  <c r="EW7" i="1"/>
  <c r="EV9" i="1" s="1"/>
  <c r="CS8" i="1"/>
  <c r="BM12" i="1"/>
  <c r="BO11" i="1"/>
  <c r="BN11" i="1"/>
  <c r="AV7" i="1"/>
  <c r="AU8" i="1" s="1"/>
  <c r="DZ11" i="1"/>
  <c r="EA10" i="1"/>
  <c r="BY8" i="1"/>
  <c r="DM12" i="1"/>
  <c r="DL12" i="1"/>
  <c r="DK13" i="1"/>
  <c r="AI13" i="1"/>
  <c r="AK12" i="1"/>
  <c r="AJ12" i="1"/>
  <c r="BW11" i="1"/>
  <c r="BY10" i="1"/>
  <c r="BX10" i="1"/>
  <c r="AY9" i="1"/>
  <c r="AZ9" i="1"/>
  <c r="AX10" i="1"/>
  <c r="CG10" i="1"/>
  <c r="CH9" i="1"/>
  <c r="EC7" i="1"/>
  <c r="EB8" i="1" s="1"/>
  <c r="BE9" i="1"/>
  <c r="BD9" i="1"/>
  <c r="BC10" i="1"/>
  <c r="DM11" i="1"/>
  <c r="U115" i="1"/>
  <c r="D19" i="1" s="1"/>
  <c r="D17" i="1"/>
  <c r="CX11" i="1"/>
  <c r="CV12" i="1"/>
  <c r="CW11" i="1"/>
  <c r="DX7" i="1"/>
  <c r="DW9" i="1" s="1"/>
  <c r="DM8" i="1"/>
  <c r="DF11" i="1"/>
  <c r="DG10" i="1"/>
  <c r="EG8" i="1"/>
  <c r="CX10" i="1"/>
  <c r="BH10" i="1"/>
  <c r="BI9" i="1"/>
  <c r="BJ9" i="1"/>
  <c r="AT9" i="1"/>
  <c r="AS10" i="1"/>
  <c r="BE8" i="1"/>
  <c r="ET11" i="1"/>
  <c r="EU10" i="1"/>
  <c r="CJ7" i="1"/>
  <c r="CI9" i="1" s="1"/>
  <c r="DI7" i="1"/>
  <c r="DH10" i="1" s="1"/>
  <c r="BR11" i="1"/>
  <c r="BS10" i="1"/>
  <c r="AG7" i="1"/>
  <c r="AF9" i="1" s="1"/>
  <c r="BT9" i="1" l="1"/>
  <c r="DA11" i="1"/>
  <c r="CL11" i="1"/>
  <c r="CM11" i="1" s="1"/>
  <c r="CM10" i="1"/>
  <c r="Y11" i="1"/>
  <c r="Z10" i="1"/>
  <c r="AU9" i="1"/>
  <c r="EV10" i="1"/>
  <c r="AT10" i="1"/>
  <c r="AS11" i="1"/>
  <c r="AU10" i="1"/>
  <c r="CH10" i="1"/>
  <c r="CI10" i="1"/>
  <c r="CG11" i="1"/>
  <c r="CR10" i="1"/>
  <c r="CQ11" i="1"/>
  <c r="CS10" i="1"/>
  <c r="EB10" i="1"/>
  <c r="BT10" i="1"/>
  <c r="EB9" i="1"/>
  <c r="DG11" i="1"/>
  <c r="DH11" i="1"/>
  <c r="DF12" i="1"/>
  <c r="DH8" i="1"/>
  <c r="BD10" i="1"/>
  <c r="BC11" i="1"/>
  <c r="BE10" i="1"/>
  <c r="AX11" i="1"/>
  <c r="AZ10" i="1"/>
  <c r="AY10" i="1"/>
  <c r="EB11" i="1"/>
  <c r="DZ12" i="1"/>
  <c r="EA11" i="1"/>
  <c r="BO12" i="1"/>
  <c r="BM13" i="1"/>
  <c r="BN12" i="1"/>
  <c r="T13" i="1"/>
  <c r="U12" i="1"/>
  <c r="V12" i="1"/>
  <c r="EV8" i="1"/>
  <c r="DV10" i="1"/>
  <c r="DU11" i="1"/>
  <c r="DW10" i="1"/>
  <c r="DW8" i="1"/>
  <c r="EF10" i="1"/>
  <c r="EG10" i="1"/>
  <c r="EE11" i="1"/>
  <c r="DR10" i="1"/>
  <c r="DQ10" i="1"/>
  <c r="DP11" i="1"/>
  <c r="CB11" i="1"/>
  <c r="CD10" i="1"/>
  <c r="CC10" i="1"/>
  <c r="BH11" i="1"/>
  <c r="BJ10" i="1"/>
  <c r="BI10" i="1"/>
  <c r="CL12" i="1"/>
  <c r="DK14" i="1"/>
  <c r="DM13" i="1"/>
  <c r="DL13" i="1"/>
  <c r="AF10" i="1"/>
  <c r="Y12" i="1"/>
  <c r="Z11" i="1"/>
  <c r="AA11" i="1"/>
  <c r="ET12" i="1"/>
  <c r="EU11" i="1"/>
  <c r="EV11" i="1"/>
  <c r="DH9" i="1"/>
  <c r="CI8" i="1"/>
  <c r="EK10" i="1"/>
  <c r="EJ11" i="1"/>
  <c r="EL10" i="1"/>
  <c r="AD12" i="1"/>
  <c r="AF11" i="1"/>
  <c r="AE11" i="1"/>
  <c r="BR12" i="1"/>
  <c r="BS11" i="1"/>
  <c r="BT11" i="1"/>
  <c r="AF8" i="1"/>
  <c r="CV13" i="1"/>
  <c r="CW12" i="1"/>
  <c r="CX12" i="1"/>
  <c r="BW12" i="1"/>
  <c r="BX11" i="1"/>
  <c r="BY11" i="1"/>
  <c r="AJ13" i="1"/>
  <c r="AI14" i="1"/>
  <c r="AK13" i="1"/>
  <c r="DA12" i="1"/>
  <c r="DB11" i="1"/>
  <c r="DC11" i="1"/>
  <c r="EQ12" i="1"/>
  <c r="EO13" i="1"/>
  <c r="EP12" i="1"/>
  <c r="AN11" i="1"/>
  <c r="AP10" i="1"/>
  <c r="AO10" i="1"/>
  <c r="CN11" i="1" l="1"/>
  <c r="AA12" i="1"/>
  <c r="Z12" i="1"/>
  <c r="Y13" i="1"/>
  <c r="DZ13" i="1"/>
  <c r="EA12" i="1"/>
  <c r="EB12" i="1"/>
  <c r="CQ12" i="1"/>
  <c r="CR11" i="1"/>
  <c r="CS11" i="1"/>
  <c r="EP13" i="1"/>
  <c r="EO14" i="1"/>
  <c r="EQ13" i="1"/>
  <c r="DC12" i="1"/>
  <c r="DA13" i="1"/>
  <c r="DB12" i="1"/>
  <c r="EV12" i="1"/>
  <c r="EU12" i="1"/>
  <c r="ET13" i="1"/>
  <c r="EE12" i="1"/>
  <c r="EF11" i="1"/>
  <c r="EG11" i="1"/>
  <c r="CV14" i="1"/>
  <c r="CX13" i="1"/>
  <c r="CW13" i="1"/>
  <c r="BR13" i="1"/>
  <c r="BT12" i="1"/>
  <c r="BS12" i="1"/>
  <c r="BJ11" i="1"/>
  <c r="BH12" i="1"/>
  <c r="BI11" i="1"/>
  <c r="DR11" i="1"/>
  <c r="DP12" i="1"/>
  <c r="DQ11" i="1"/>
  <c r="DW11" i="1"/>
  <c r="DV11" i="1"/>
  <c r="DU12" i="1"/>
  <c r="BC12" i="1"/>
  <c r="BD11" i="1"/>
  <c r="BE11" i="1"/>
  <c r="CI11" i="1"/>
  <c r="CG12" i="1"/>
  <c r="CH11" i="1"/>
  <c r="AS12" i="1"/>
  <c r="AU11" i="1"/>
  <c r="AT11" i="1"/>
  <c r="DL14" i="1"/>
  <c r="DK15" i="1"/>
  <c r="DM14" i="1"/>
  <c r="AZ11" i="1"/>
  <c r="AX12" i="1"/>
  <c r="AY11" i="1"/>
  <c r="AF12" i="1"/>
  <c r="AD13" i="1"/>
  <c r="AE12" i="1"/>
  <c r="CL13" i="1"/>
  <c r="CN12" i="1"/>
  <c r="CM12" i="1"/>
  <c r="CD11" i="1"/>
  <c r="CB12" i="1"/>
  <c r="CC11" i="1"/>
  <c r="BN13" i="1"/>
  <c r="BM14" i="1"/>
  <c r="BO13" i="1"/>
  <c r="DH12" i="1"/>
  <c r="DF13" i="1"/>
  <c r="DG12" i="1"/>
  <c r="AP11" i="1"/>
  <c r="AN12" i="1"/>
  <c r="AO11" i="1"/>
  <c r="AJ14" i="1"/>
  <c r="AI15" i="1"/>
  <c r="AK14" i="1"/>
  <c r="BY12" i="1"/>
  <c r="BW13" i="1"/>
  <c r="BX12" i="1"/>
  <c r="EL11" i="1"/>
  <c r="EJ12" i="1"/>
  <c r="EK11" i="1"/>
  <c r="T14" i="1"/>
  <c r="V13" i="1"/>
  <c r="U13" i="1"/>
  <c r="EJ13" i="1" l="1"/>
  <c r="EK12" i="1"/>
  <c r="EL12" i="1"/>
  <c r="AK15" i="1"/>
  <c r="AI16" i="1"/>
  <c r="AJ15" i="1"/>
  <c r="CL14" i="1"/>
  <c r="CN13" i="1"/>
  <c r="CM13" i="1"/>
  <c r="EF12" i="1"/>
  <c r="EG12" i="1"/>
  <c r="EE13" i="1"/>
  <c r="EO15" i="1"/>
  <c r="EP14" i="1"/>
  <c r="EQ14" i="1"/>
  <c r="Z13" i="1"/>
  <c r="Y14" i="1"/>
  <c r="AA13" i="1"/>
  <c r="BX13" i="1"/>
  <c r="BW14" i="1"/>
  <c r="BY13" i="1"/>
  <c r="BO14" i="1"/>
  <c r="BM15" i="1"/>
  <c r="BN14" i="1"/>
  <c r="AX13" i="1"/>
  <c r="AY12" i="1"/>
  <c r="AZ12" i="1"/>
  <c r="CV15" i="1"/>
  <c r="CX14" i="1"/>
  <c r="CW14" i="1"/>
  <c r="ET14" i="1"/>
  <c r="EV13" i="1"/>
  <c r="EU13" i="1"/>
  <c r="DB13" i="1"/>
  <c r="DA14" i="1"/>
  <c r="DC13" i="1"/>
  <c r="AN13" i="1"/>
  <c r="AO12" i="1"/>
  <c r="AP12" i="1"/>
  <c r="DW12" i="1"/>
  <c r="DU13" i="1"/>
  <c r="DV12" i="1"/>
  <c r="DP13" i="1"/>
  <c r="DQ12" i="1"/>
  <c r="DR12" i="1"/>
  <c r="DZ14" i="1"/>
  <c r="EB13" i="1"/>
  <c r="EA13" i="1"/>
  <c r="CB13" i="1"/>
  <c r="CC12" i="1"/>
  <c r="CD12" i="1"/>
  <c r="DM15" i="1"/>
  <c r="DK16" i="1"/>
  <c r="DL15" i="1"/>
  <c r="AU12" i="1"/>
  <c r="AT12" i="1"/>
  <c r="AS13" i="1"/>
  <c r="CQ13" i="1"/>
  <c r="CR12" i="1"/>
  <c r="CS12" i="1"/>
  <c r="T15" i="1"/>
  <c r="V14" i="1"/>
  <c r="U14" i="1"/>
  <c r="DF14" i="1"/>
  <c r="DH13" i="1"/>
  <c r="DG13" i="1"/>
  <c r="AD14" i="1"/>
  <c r="AF13" i="1"/>
  <c r="AE13" i="1"/>
  <c r="CI12" i="1"/>
  <c r="CG13" i="1"/>
  <c r="CH12" i="1"/>
  <c r="BC13" i="1"/>
  <c r="BE12" i="1"/>
  <c r="BD12" i="1"/>
  <c r="BH13" i="1"/>
  <c r="BI12" i="1"/>
  <c r="BJ12" i="1"/>
  <c r="BR14" i="1"/>
  <c r="BT13" i="1"/>
  <c r="BS13" i="1"/>
  <c r="DQ13" i="1" l="1"/>
  <c r="DP14" i="1"/>
  <c r="DR13" i="1"/>
  <c r="CQ14" i="1"/>
  <c r="CS13" i="1"/>
  <c r="CR13" i="1"/>
  <c r="DZ15" i="1"/>
  <c r="EB14" i="1"/>
  <c r="EA14" i="1"/>
  <c r="BC14" i="1"/>
  <c r="BE13" i="1"/>
  <c r="BD13" i="1"/>
  <c r="T16" i="1"/>
  <c r="U15" i="1"/>
  <c r="V15" i="1"/>
  <c r="AT13" i="1"/>
  <c r="AS14" i="1"/>
  <c r="AU13" i="1"/>
  <c r="DM16" i="1"/>
  <c r="DK17" i="1"/>
  <c r="DL16" i="1"/>
  <c r="CB14" i="1"/>
  <c r="CD13" i="1"/>
  <c r="CC13" i="1"/>
  <c r="DV13" i="1"/>
  <c r="DU14" i="1"/>
  <c r="DW13" i="1"/>
  <c r="AO13" i="1"/>
  <c r="AN14" i="1"/>
  <c r="AP13" i="1"/>
  <c r="AX14" i="1"/>
  <c r="AZ13" i="1"/>
  <c r="AY13" i="1"/>
  <c r="Y15" i="1"/>
  <c r="AA14" i="1"/>
  <c r="Z14" i="1"/>
  <c r="EO16" i="1"/>
  <c r="EP15" i="1"/>
  <c r="EQ15" i="1"/>
  <c r="AK16" i="1"/>
  <c r="AI17" i="1"/>
  <c r="AJ16" i="1"/>
  <c r="EJ14" i="1"/>
  <c r="EK13" i="1"/>
  <c r="EL13" i="1"/>
  <c r="BR15" i="1"/>
  <c r="BT14" i="1"/>
  <c r="BS14" i="1"/>
  <c r="CH13" i="1"/>
  <c r="CI13" i="1"/>
  <c r="CG14" i="1"/>
  <c r="AF14" i="1"/>
  <c r="AD15" i="1"/>
  <c r="AE14" i="1"/>
  <c r="DA15" i="1"/>
  <c r="DC14" i="1"/>
  <c r="DB14" i="1"/>
  <c r="ET15" i="1"/>
  <c r="EV14" i="1"/>
  <c r="EU14" i="1"/>
  <c r="BM16" i="1"/>
  <c r="BN15" i="1"/>
  <c r="BO15" i="1"/>
  <c r="CM14" i="1"/>
  <c r="CN14" i="1"/>
  <c r="CL15" i="1"/>
  <c r="BH14" i="1"/>
  <c r="BJ13" i="1"/>
  <c r="BI13" i="1"/>
  <c r="DF15" i="1"/>
  <c r="DG14" i="1"/>
  <c r="DH14" i="1"/>
  <c r="CW15" i="1"/>
  <c r="CX15" i="1"/>
  <c r="CV16" i="1"/>
  <c r="BX14" i="1"/>
  <c r="BW15" i="1"/>
  <c r="BY14" i="1"/>
  <c r="EE14" i="1"/>
  <c r="EG13" i="1"/>
  <c r="EF13" i="1"/>
  <c r="DL17" i="1" l="1"/>
  <c r="DM17" i="1"/>
  <c r="DK18" i="1"/>
  <c r="EF14" i="1"/>
  <c r="EE15" i="1"/>
  <c r="EG14" i="1"/>
  <c r="CX16" i="1"/>
  <c r="CV17" i="1"/>
  <c r="CW16" i="1"/>
  <c r="BH15" i="1"/>
  <c r="BJ14" i="1"/>
  <c r="BI14" i="1"/>
  <c r="DA16" i="1"/>
  <c r="DB15" i="1"/>
  <c r="DC15" i="1"/>
  <c r="CH14" i="1"/>
  <c r="CG15" i="1"/>
  <c r="CI14" i="1"/>
  <c r="EJ15" i="1"/>
  <c r="EL14" i="1"/>
  <c r="EK14" i="1"/>
  <c r="AY14" i="1"/>
  <c r="AX15" i="1"/>
  <c r="AZ14" i="1"/>
  <c r="CR14" i="1"/>
  <c r="CQ15" i="1"/>
  <c r="CS14" i="1"/>
  <c r="DH15" i="1"/>
  <c r="DF16" i="1"/>
  <c r="DG15" i="1"/>
  <c r="CN15" i="1"/>
  <c r="CL16" i="1"/>
  <c r="CM15" i="1"/>
  <c r="EV15" i="1"/>
  <c r="EU15" i="1"/>
  <c r="ET16" i="1"/>
  <c r="BT15" i="1"/>
  <c r="BR16" i="1"/>
  <c r="BS15" i="1"/>
  <c r="Y16" i="1"/>
  <c r="Z15" i="1"/>
  <c r="AA15" i="1"/>
  <c r="DV14" i="1"/>
  <c r="DW14" i="1"/>
  <c r="DU15" i="1"/>
  <c r="CB15" i="1"/>
  <c r="CD14" i="1"/>
  <c r="CC14" i="1"/>
  <c r="BD14" i="1"/>
  <c r="BE14" i="1"/>
  <c r="BC15" i="1"/>
  <c r="EB15" i="1"/>
  <c r="DZ16" i="1"/>
  <c r="EA15" i="1"/>
  <c r="BY15" i="1"/>
  <c r="BW16" i="1"/>
  <c r="BX15" i="1"/>
  <c r="BO16" i="1"/>
  <c r="BM17" i="1"/>
  <c r="BN16" i="1"/>
  <c r="AF15" i="1"/>
  <c r="AD16" i="1"/>
  <c r="AE15" i="1"/>
  <c r="AJ17" i="1"/>
  <c r="AK17" i="1"/>
  <c r="AI18" i="1"/>
  <c r="EQ16" i="1"/>
  <c r="EO17" i="1"/>
  <c r="EP16" i="1"/>
  <c r="AN15" i="1"/>
  <c r="AP14" i="1"/>
  <c r="AO14" i="1"/>
  <c r="AT14" i="1"/>
  <c r="AS15" i="1"/>
  <c r="AU14" i="1"/>
  <c r="V16" i="1"/>
  <c r="T17" i="1"/>
  <c r="U16" i="1"/>
  <c r="DP15" i="1"/>
  <c r="DR14" i="1"/>
  <c r="DQ14" i="1"/>
  <c r="EO18" i="1" l="1"/>
  <c r="EQ17" i="1"/>
  <c r="EP17" i="1"/>
  <c r="BY16" i="1"/>
  <c r="BW17" i="1"/>
  <c r="BX16" i="1"/>
  <c r="Z16" i="1"/>
  <c r="Y17" i="1"/>
  <c r="AA16" i="1"/>
  <c r="ET17" i="1"/>
  <c r="EU16" i="1"/>
  <c r="EV16" i="1"/>
  <c r="CL17" i="1"/>
  <c r="CM16" i="1"/>
  <c r="CN16" i="1"/>
  <c r="CX17" i="1"/>
  <c r="CW17" i="1"/>
  <c r="CV18" i="1"/>
  <c r="BC16" i="1"/>
  <c r="BD15" i="1"/>
  <c r="BE15" i="1"/>
  <c r="DM18" i="1"/>
  <c r="DL18" i="1"/>
  <c r="DK19" i="1"/>
  <c r="AS16" i="1"/>
  <c r="AT15" i="1"/>
  <c r="AU15" i="1"/>
  <c r="AP15" i="1"/>
  <c r="AN16" i="1"/>
  <c r="AO15" i="1"/>
  <c r="AK18" i="1"/>
  <c r="AJ18" i="1"/>
  <c r="AI19" i="1"/>
  <c r="AD17" i="1"/>
  <c r="AE16" i="1"/>
  <c r="AF16" i="1"/>
  <c r="CB16" i="1"/>
  <c r="CC15" i="1"/>
  <c r="CD15" i="1"/>
  <c r="BR17" i="1"/>
  <c r="BS16" i="1"/>
  <c r="BT16" i="1"/>
  <c r="CQ16" i="1"/>
  <c r="CR15" i="1"/>
  <c r="CS15" i="1"/>
  <c r="BH16" i="1"/>
  <c r="BI15" i="1"/>
  <c r="BJ15" i="1"/>
  <c r="DR15" i="1"/>
  <c r="DP16" i="1"/>
  <c r="DQ15" i="1"/>
  <c r="BM18" i="1"/>
  <c r="BO17" i="1"/>
  <c r="BN17" i="1"/>
  <c r="AZ15" i="1"/>
  <c r="AX16" i="1"/>
  <c r="AY15" i="1"/>
  <c r="EJ16" i="1"/>
  <c r="EK15" i="1"/>
  <c r="EL15" i="1"/>
  <c r="V17" i="1"/>
  <c r="U17" i="1"/>
  <c r="T18" i="1"/>
  <c r="DZ17" i="1"/>
  <c r="EA16" i="1"/>
  <c r="EB16" i="1"/>
  <c r="DU16" i="1"/>
  <c r="DV15" i="1"/>
  <c r="DW15" i="1"/>
  <c r="DF17" i="1"/>
  <c r="DG16" i="1"/>
  <c r="DH16" i="1"/>
  <c r="CG16" i="1"/>
  <c r="CH15" i="1"/>
  <c r="CI15" i="1"/>
  <c r="DC16" i="1"/>
  <c r="DA17" i="1"/>
  <c r="DB16" i="1"/>
  <c r="EF15" i="1"/>
  <c r="EG15" i="1"/>
  <c r="EE16" i="1"/>
  <c r="DZ18" i="1" l="1"/>
  <c r="EB17" i="1"/>
  <c r="EA17" i="1"/>
  <c r="BR18" i="1"/>
  <c r="BT17" i="1"/>
  <c r="BS17" i="1"/>
  <c r="DM19" i="1"/>
  <c r="DK20" i="1"/>
  <c r="DL19" i="1"/>
  <c r="Y18" i="1"/>
  <c r="AA17" i="1"/>
  <c r="Z17" i="1"/>
  <c r="CS16" i="1"/>
  <c r="CQ17" i="1"/>
  <c r="CR16" i="1"/>
  <c r="BE16" i="1"/>
  <c r="BC17" i="1"/>
  <c r="BD16" i="1"/>
  <c r="DF18" i="1"/>
  <c r="DH17" i="1"/>
  <c r="DG17" i="1"/>
  <c r="EJ17" i="1"/>
  <c r="EL16" i="1"/>
  <c r="EK16" i="1"/>
  <c r="DP17" i="1"/>
  <c r="DQ16" i="1"/>
  <c r="DR16" i="1"/>
  <c r="BI16" i="1"/>
  <c r="BH17" i="1"/>
  <c r="BJ16" i="1"/>
  <c r="AD18" i="1"/>
  <c r="AF17" i="1"/>
  <c r="AE17" i="1"/>
  <c r="CV19" i="1"/>
  <c r="CX18" i="1"/>
  <c r="CW18" i="1"/>
  <c r="ET18" i="1"/>
  <c r="EV17" i="1"/>
  <c r="EU17" i="1"/>
  <c r="AX17" i="1"/>
  <c r="AY16" i="1"/>
  <c r="AZ16" i="1"/>
  <c r="BM19" i="1"/>
  <c r="BO18" i="1"/>
  <c r="BN18" i="1"/>
  <c r="DV16" i="1"/>
  <c r="DW16" i="1"/>
  <c r="DU17" i="1"/>
  <c r="T19" i="1"/>
  <c r="V18" i="1"/>
  <c r="U18" i="1"/>
  <c r="EG16" i="1"/>
  <c r="EE17" i="1"/>
  <c r="EF16" i="1"/>
  <c r="DA18" i="1"/>
  <c r="DC17" i="1"/>
  <c r="DB17" i="1"/>
  <c r="CH16" i="1"/>
  <c r="CG17" i="1"/>
  <c r="CI16" i="1"/>
  <c r="CB17" i="1"/>
  <c r="CD16" i="1"/>
  <c r="CC16" i="1"/>
  <c r="AK19" i="1"/>
  <c r="AI20" i="1"/>
  <c r="AJ19" i="1"/>
  <c r="AN17" i="1"/>
  <c r="AO16" i="1"/>
  <c r="AP16" i="1"/>
  <c r="AS17" i="1"/>
  <c r="AU16" i="1"/>
  <c r="AT16" i="1"/>
  <c r="CL18" i="1"/>
  <c r="CN17" i="1"/>
  <c r="CM17" i="1"/>
  <c r="BX17" i="1"/>
  <c r="BY17" i="1"/>
  <c r="BW18" i="1"/>
  <c r="EO19" i="1"/>
  <c r="EQ18" i="1"/>
  <c r="EP18" i="1"/>
  <c r="EO20" i="1" l="1"/>
  <c r="EP19" i="1"/>
  <c r="EQ19" i="1"/>
  <c r="CM18" i="1"/>
  <c r="CL19" i="1"/>
  <c r="CN18" i="1"/>
  <c r="AK20" i="1"/>
  <c r="AI21" i="1"/>
  <c r="AJ20" i="1"/>
  <c r="CD17" i="1"/>
  <c r="CC17" i="1"/>
  <c r="CB18" i="1"/>
  <c r="EF17" i="1"/>
  <c r="EG17" i="1"/>
  <c r="EE18" i="1"/>
  <c r="T20" i="1"/>
  <c r="U19" i="1"/>
  <c r="V19" i="1"/>
  <c r="EU18" i="1"/>
  <c r="EV18" i="1"/>
  <c r="ET19" i="1"/>
  <c r="BJ17" i="1"/>
  <c r="BI17" i="1"/>
  <c r="BH18" i="1"/>
  <c r="DR17" i="1"/>
  <c r="DQ17" i="1"/>
  <c r="DP18" i="1"/>
  <c r="BD17" i="1"/>
  <c r="BC18" i="1"/>
  <c r="BE17" i="1"/>
  <c r="EA18" i="1"/>
  <c r="EB18" i="1"/>
  <c r="DZ19" i="1"/>
  <c r="DU18" i="1"/>
  <c r="DW17" i="1"/>
  <c r="DV17" i="1"/>
  <c r="AX18" i="1"/>
  <c r="AZ17" i="1"/>
  <c r="AY17" i="1"/>
  <c r="DM20" i="1"/>
  <c r="DK21" i="1"/>
  <c r="DL20" i="1"/>
  <c r="BS18" i="1"/>
  <c r="BT18" i="1"/>
  <c r="BR19" i="1"/>
  <c r="AP17" i="1"/>
  <c r="AO17" i="1"/>
  <c r="AN18" i="1"/>
  <c r="CG18" i="1"/>
  <c r="CI17" i="1"/>
  <c r="CH17" i="1"/>
  <c r="DA19" i="1"/>
  <c r="DB18" i="1"/>
  <c r="DC18" i="1"/>
  <c r="BM20" i="1"/>
  <c r="BN19" i="1"/>
  <c r="BO19" i="1"/>
  <c r="AE18" i="1"/>
  <c r="AF18" i="1"/>
  <c r="AD19" i="1"/>
  <c r="DG18" i="1"/>
  <c r="DH18" i="1"/>
  <c r="DF19" i="1"/>
  <c r="BY18" i="1"/>
  <c r="BX18" i="1"/>
  <c r="BW19" i="1"/>
  <c r="AS18" i="1"/>
  <c r="AU17" i="1"/>
  <c r="AT17" i="1"/>
  <c r="CV20" i="1"/>
  <c r="CW19" i="1"/>
  <c r="CX19" i="1"/>
  <c r="EL17" i="1"/>
  <c r="EK17" i="1"/>
  <c r="EJ18" i="1"/>
  <c r="CR17" i="1"/>
  <c r="CQ18" i="1"/>
  <c r="CS17" i="1"/>
  <c r="Y19" i="1"/>
  <c r="Z18" i="1"/>
  <c r="AA18" i="1"/>
  <c r="Y20" i="1" l="1"/>
  <c r="Z19" i="1"/>
  <c r="AA19" i="1"/>
  <c r="AS19" i="1"/>
  <c r="AT18" i="1"/>
  <c r="AU18" i="1"/>
  <c r="CS18" i="1"/>
  <c r="CR18" i="1"/>
  <c r="CQ19" i="1"/>
  <c r="CG19" i="1"/>
  <c r="CH18" i="1"/>
  <c r="CI18" i="1"/>
  <c r="BT19" i="1"/>
  <c r="BR20" i="1"/>
  <c r="BS19" i="1"/>
  <c r="DK22" i="1"/>
  <c r="DL21" i="1"/>
  <c r="DM21" i="1"/>
  <c r="AY18" i="1"/>
  <c r="AZ18" i="1"/>
  <c r="AX19" i="1"/>
  <c r="EB19" i="1"/>
  <c r="DZ20" i="1"/>
  <c r="EA19" i="1"/>
  <c r="BE18" i="1"/>
  <c r="BD18" i="1"/>
  <c r="BC19" i="1"/>
  <c r="EV19" i="1"/>
  <c r="ET20" i="1"/>
  <c r="EU19" i="1"/>
  <c r="CN19" i="1"/>
  <c r="CL20" i="1"/>
  <c r="CM19" i="1"/>
  <c r="EO21" i="1"/>
  <c r="EP20" i="1"/>
  <c r="EQ20" i="1"/>
  <c r="AF19" i="1"/>
  <c r="AD20" i="1"/>
  <c r="AE19" i="1"/>
  <c r="DA20" i="1"/>
  <c r="DB19" i="1"/>
  <c r="DC19" i="1"/>
  <c r="AN19" i="1"/>
  <c r="AP18" i="1"/>
  <c r="AO18" i="1"/>
  <c r="BH19" i="1"/>
  <c r="BJ18" i="1"/>
  <c r="BI18" i="1"/>
  <c r="V20" i="1"/>
  <c r="T21" i="1"/>
  <c r="U20" i="1"/>
  <c r="CB19" i="1"/>
  <c r="CD18" i="1"/>
  <c r="CC18" i="1"/>
  <c r="AJ21" i="1"/>
  <c r="AI22" i="1"/>
  <c r="AK21" i="1"/>
  <c r="EJ19" i="1"/>
  <c r="EL18" i="1"/>
  <c r="EK18" i="1"/>
  <c r="DH19" i="1"/>
  <c r="DF20" i="1"/>
  <c r="DG19" i="1"/>
  <c r="BM21" i="1"/>
  <c r="BN20" i="1"/>
  <c r="BO20" i="1"/>
  <c r="DP19" i="1"/>
  <c r="DR18" i="1"/>
  <c r="DQ18" i="1"/>
  <c r="EG18" i="1"/>
  <c r="EF18" i="1"/>
  <c r="EE19" i="1"/>
  <c r="CX20" i="1"/>
  <c r="CV21" i="1"/>
  <c r="CW20" i="1"/>
  <c r="BY19" i="1"/>
  <c r="BW20" i="1"/>
  <c r="BX19" i="1"/>
  <c r="DU19" i="1"/>
  <c r="DV18" i="1"/>
  <c r="DW18" i="1"/>
  <c r="EG19" i="1" l="1"/>
  <c r="EE20" i="1"/>
  <c r="EF19" i="1"/>
  <c r="BM22" i="1"/>
  <c r="BO21" i="1"/>
  <c r="BN21" i="1"/>
  <c r="AI23" i="1"/>
  <c r="AJ22" i="1"/>
  <c r="AK22" i="1"/>
  <c r="DA21" i="1"/>
  <c r="DB20" i="1"/>
  <c r="DC20" i="1"/>
  <c r="DM22" i="1"/>
  <c r="DK23" i="1"/>
  <c r="DL22" i="1"/>
  <c r="AS20" i="1"/>
  <c r="AT19" i="1"/>
  <c r="AU19" i="1"/>
  <c r="DU20" i="1"/>
  <c r="DV19" i="1"/>
  <c r="DW19" i="1"/>
  <c r="DP20" i="1"/>
  <c r="DQ19" i="1"/>
  <c r="DR19" i="1"/>
  <c r="AN20" i="1"/>
  <c r="AO19" i="1"/>
  <c r="AP19" i="1"/>
  <c r="BE19" i="1"/>
  <c r="BC20" i="1"/>
  <c r="BD19" i="1"/>
  <c r="EA20" i="1"/>
  <c r="DZ21" i="1"/>
  <c r="EB20" i="1"/>
  <c r="CX21" i="1"/>
  <c r="CV22" i="1"/>
  <c r="CW21" i="1"/>
  <c r="DF21" i="1"/>
  <c r="DG20" i="1"/>
  <c r="DH20" i="1"/>
  <c r="EL19" i="1"/>
  <c r="EJ20" i="1"/>
  <c r="EK19" i="1"/>
  <c r="V21" i="1"/>
  <c r="U21" i="1"/>
  <c r="T22" i="1"/>
  <c r="BJ19" i="1"/>
  <c r="BH20" i="1"/>
  <c r="BI19" i="1"/>
  <c r="AD21" i="1"/>
  <c r="AE20" i="1"/>
  <c r="AF20" i="1"/>
  <c r="EO22" i="1"/>
  <c r="EQ21" i="1"/>
  <c r="EP21" i="1"/>
  <c r="BR21" i="1"/>
  <c r="BS20" i="1"/>
  <c r="BT20" i="1"/>
  <c r="CG20" i="1"/>
  <c r="CH19" i="1"/>
  <c r="CI19" i="1"/>
  <c r="CB20" i="1"/>
  <c r="CC19" i="1"/>
  <c r="CD19" i="1"/>
  <c r="CL21" i="1"/>
  <c r="CM20" i="1"/>
  <c r="CN20" i="1"/>
  <c r="BY20" i="1"/>
  <c r="BW21" i="1"/>
  <c r="BX20" i="1"/>
  <c r="ET21" i="1"/>
  <c r="EU20" i="1"/>
  <c r="EV20" i="1"/>
  <c r="AZ19" i="1"/>
  <c r="AX20" i="1"/>
  <c r="AY19" i="1"/>
  <c r="CS19" i="1"/>
  <c r="CQ20" i="1"/>
  <c r="CR19" i="1"/>
  <c r="Y21" i="1"/>
  <c r="Z20" i="1"/>
  <c r="AA20" i="1"/>
  <c r="CS20" i="1" l="1"/>
  <c r="CQ21" i="1"/>
  <c r="CR20" i="1"/>
  <c r="CD20" i="1"/>
  <c r="CB21" i="1"/>
  <c r="CC20" i="1"/>
  <c r="BE20" i="1"/>
  <c r="BC21" i="1"/>
  <c r="BD20" i="1"/>
  <c r="AP20" i="1"/>
  <c r="AN21" i="1"/>
  <c r="AO20" i="1"/>
  <c r="BW22" i="1"/>
  <c r="BX21" i="1"/>
  <c r="BY21" i="1"/>
  <c r="CL22" i="1"/>
  <c r="CM21" i="1"/>
  <c r="CN21" i="1"/>
  <c r="EP22" i="1"/>
  <c r="EQ22" i="1"/>
  <c r="EO23" i="1"/>
  <c r="DZ22" i="1"/>
  <c r="EA21" i="1"/>
  <c r="EB21" i="1"/>
  <c r="AS21" i="1"/>
  <c r="AT20" i="1"/>
  <c r="AU20" i="1"/>
  <c r="BM23" i="1"/>
  <c r="BO22" i="1"/>
  <c r="BN22" i="1"/>
  <c r="AD22" i="1"/>
  <c r="AF21" i="1"/>
  <c r="AE21" i="1"/>
  <c r="V22" i="1"/>
  <c r="T23" i="1"/>
  <c r="U22" i="1"/>
  <c r="EJ21" i="1"/>
  <c r="EL20" i="1"/>
  <c r="EK20" i="1"/>
  <c r="DF22" i="1"/>
  <c r="DH21" i="1"/>
  <c r="DG21" i="1"/>
  <c r="Y22" i="1"/>
  <c r="AA21" i="1"/>
  <c r="Z21" i="1"/>
  <c r="BR22" i="1"/>
  <c r="BS21" i="1"/>
  <c r="BT21" i="1"/>
  <c r="BJ20" i="1"/>
  <c r="BH21" i="1"/>
  <c r="BI20" i="1"/>
  <c r="CX22" i="1"/>
  <c r="CV23" i="1"/>
  <c r="CW22" i="1"/>
  <c r="DU21" i="1"/>
  <c r="DV20" i="1"/>
  <c r="DW20" i="1"/>
  <c r="AI24" i="1"/>
  <c r="AJ23" i="1"/>
  <c r="AK23" i="1"/>
  <c r="AX21" i="1"/>
  <c r="AY20" i="1"/>
  <c r="AZ20" i="1"/>
  <c r="ET22" i="1"/>
  <c r="EU21" i="1"/>
  <c r="EV21" i="1"/>
  <c r="CI20" i="1"/>
  <c r="CG21" i="1"/>
  <c r="CH20" i="1"/>
  <c r="DR20" i="1"/>
  <c r="DP21" i="1"/>
  <c r="DQ20" i="1"/>
  <c r="DK24" i="1"/>
  <c r="DL23" i="1"/>
  <c r="DM23" i="1"/>
  <c r="DA22" i="1"/>
  <c r="DC21" i="1"/>
  <c r="DB21" i="1"/>
  <c r="EG20" i="1"/>
  <c r="EF20" i="1"/>
  <c r="EE21" i="1"/>
  <c r="DF23" i="1" l="1"/>
  <c r="DG22" i="1"/>
  <c r="DH22" i="1"/>
  <c r="BO23" i="1"/>
  <c r="BM24" i="1"/>
  <c r="BN23" i="1"/>
  <c r="CL23" i="1"/>
  <c r="CM22" i="1"/>
  <c r="CN22" i="1"/>
  <c r="DR21" i="1"/>
  <c r="DQ21" i="1"/>
  <c r="DP22" i="1"/>
  <c r="DU22" i="1"/>
  <c r="DV21" i="1"/>
  <c r="DW21" i="1"/>
  <c r="Y23" i="1"/>
  <c r="AA22" i="1"/>
  <c r="Z22" i="1"/>
  <c r="V23" i="1"/>
  <c r="T24" i="1"/>
  <c r="U23" i="1"/>
  <c r="AD23" i="1"/>
  <c r="AF22" i="1"/>
  <c r="AE22" i="1"/>
  <c r="AP21" i="1"/>
  <c r="AN22" i="1"/>
  <c r="AO21" i="1"/>
  <c r="AJ24" i="1"/>
  <c r="AK24" i="1"/>
  <c r="AI25" i="1"/>
  <c r="BJ21" i="1"/>
  <c r="BH22" i="1"/>
  <c r="BI21" i="1"/>
  <c r="BR23" i="1"/>
  <c r="BS22" i="1"/>
  <c r="BT22" i="1"/>
  <c r="DZ23" i="1"/>
  <c r="EA22" i="1"/>
  <c r="EB22" i="1"/>
  <c r="CR21" i="1"/>
  <c r="CS21" i="1"/>
  <c r="CQ22" i="1"/>
  <c r="DA23" i="1"/>
  <c r="DB22" i="1"/>
  <c r="DC22" i="1"/>
  <c r="CG22" i="1"/>
  <c r="CI21" i="1"/>
  <c r="CH21" i="1"/>
  <c r="ET23" i="1"/>
  <c r="EU22" i="1"/>
  <c r="EV22" i="1"/>
  <c r="BD21" i="1"/>
  <c r="BC22" i="1"/>
  <c r="BE21" i="1"/>
  <c r="EG21" i="1"/>
  <c r="EE22" i="1"/>
  <c r="EF21" i="1"/>
  <c r="DM24" i="1"/>
  <c r="DK25" i="1"/>
  <c r="DL24" i="1"/>
  <c r="AX22" i="1"/>
  <c r="AY21" i="1"/>
  <c r="AZ21" i="1"/>
  <c r="CX23" i="1"/>
  <c r="CV24" i="1"/>
  <c r="CW23" i="1"/>
  <c r="EK21" i="1"/>
  <c r="EJ22" i="1"/>
  <c r="EL21" i="1"/>
  <c r="AU21" i="1"/>
  <c r="AT21" i="1"/>
  <c r="AS22" i="1"/>
  <c r="EQ23" i="1"/>
  <c r="EO24" i="1"/>
  <c r="EP23" i="1"/>
  <c r="BY22" i="1"/>
  <c r="BW23" i="1"/>
  <c r="BX22" i="1"/>
  <c r="CD21" i="1"/>
  <c r="CC21" i="1"/>
  <c r="CB22" i="1"/>
  <c r="BJ22" i="1" l="1"/>
  <c r="BH23" i="1"/>
  <c r="BI22" i="1"/>
  <c r="AA23" i="1"/>
  <c r="Z23" i="1"/>
  <c r="Y24" i="1"/>
  <c r="DR22" i="1"/>
  <c r="DP23" i="1"/>
  <c r="DQ22" i="1"/>
  <c r="DC23" i="1"/>
  <c r="DA24" i="1"/>
  <c r="DB23" i="1"/>
  <c r="CL24" i="1"/>
  <c r="CN23" i="1"/>
  <c r="CM23" i="1"/>
  <c r="EQ24" i="1"/>
  <c r="EO25" i="1"/>
  <c r="EP24" i="1"/>
  <c r="CI22" i="1"/>
  <c r="CG23" i="1"/>
  <c r="CH22" i="1"/>
  <c r="CS22" i="1"/>
  <c r="CQ23" i="1"/>
  <c r="CR22" i="1"/>
  <c r="BT23" i="1"/>
  <c r="BR24" i="1"/>
  <c r="BS23" i="1"/>
  <c r="AK25" i="1"/>
  <c r="AI26" i="1"/>
  <c r="AJ25" i="1"/>
  <c r="AP22" i="1"/>
  <c r="AO22" i="1"/>
  <c r="AN23" i="1"/>
  <c r="AF23" i="1"/>
  <c r="AD24" i="1"/>
  <c r="AE23" i="1"/>
  <c r="AS23" i="1"/>
  <c r="AU22" i="1"/>
  <c r="AT22" i="1"/>
  <c r="EL22" i="1"/>
  <c r="EJ23" i="1"/>
  <c r="EK22" i="1"/>
  <c r="EG22" i="1"/>
  <c r="EE23" i="1"/>
  <c r="EF22" i="1"/>
  <c r="T25" i="1"/>
  <c r="U24" i="1"/>
  <c r="V24" i="1"/>
  <c r="DM25" i="1"/>
  <c r="DK26" i="1"/>
  <c r="DL25" i="1"/>
  <c r="CD22" i="1"/>
  <c r="CB23" i="1"/>
  <c r="CC22" i="1"/>
  <c r="BW24" i="1"/>
  <c r="BX23" i="1"/>
  <c r="BY23" i="1"/>
  <c r="CV25" i="1"/>
  <c r="CW24" i="1"/>
  <c r="CX24" i="1"/>
  <c r="AX23" i="1"/>
  <c r="AY22" i="1"/>
  <c r="AZ22" i="1"/>
  <c r="BE22" i="1"/>
  <c r="BC23" i="1"/>
  <c r="BD22" i="1"/>
  <c r="EV23" i="1"/>
  <c r="ET24" i="1"/>
  <c r="EU23" i="1"/>
  <c r="DZ24" i="1"/>
  <c r="EA23" i="1"/>
  <c r="EB23" i="1"/>
  <c r="DW22" i="1"/>
  <c r="DU23" i="1"/>
  <c r="DV22" i="1"/>
  <c r="BO24" i="1"/>
  <c r="BM25" i="1"/>
  <c r="BN24" i="1"/>
  <c r="DH23" i="1"/>
  <c r="DF24" i="1"/>
  <c r="DG23" i="1"/>
  <c r="DH24" i="1" l="1"/>
  <c r="DF25" i="1"/>
  <c r="DG24" i="1"/>
  <c r="EE24" i="1"/>
  <c r="EF23" i="1"/>
  <c r="EG23" i="1"/>
  <c r="CI23" i="1"/>
  <c r="CG24" i="1"/>
  <c r="CH23" i="1"/>
  <c r="AF24" i="1"/>
  <c r="AD25" i="1"/>
  <c r="AE24" i="1"/>
  <c r="DC24" i="1"/>
  <c r="DA25" i="1"/>
  <c r="DB24" i="1"/>
  <c r="DW23" i="1"/>
  <c r="DU24" i="1"/>
  <c r="DV23" i="1"/>
  <c r="EB24" i="1"/>
  <c r="DZ25" i="1"/>
  <c r="EA24" i="1"/>
  <c r="CV26" i="1"/>
  <c r="CW25" i="1"/>
  <c r="CX25" i="1"/>
  <c r="DM26" i="1"/>
  <c r="DK27" i="1"/>
  <c r="DL26" i="1"/>
  <c r="T26" i="1"/>
  <c r="U25" i="1"/>
  <c r="V25" i="1"/>
  <c r="BT24" i="1"/>
  <c r="BR25" i="1"/>
  <c r="BS24" i="1"/>
  <c r="AA24" i="1"/>
  <c r="Y25" i="1"/>
  <c r="Z24" i="1"/>
  <c r="BJ23" i="1"/>
  <c r="BH24" i="1"/>
  <c r="BI23" i="1"/>
  <c r="EV24" i="1"/>
  <c r="ET25" i="1"/>
  <c r="EU24" i="1"/>
  <c r="DR23" i="1"/>
  <c r="DP24" i="1"/>
  <c r="DQ23" i="1"/>
  <c r="BW25" i="1"/>
  <c r="BX24" i="1"/>
  <c r="BY24" i="1"/>
  <c r="CQ24" i="1"/>
  <c r="CR23" i="1"/>
  <c r="CS23" i="1"/>
  <c r="BM26" i="1"/>
  <c r="BN25" i="1"/>
  <c r="BO25" i="1"/>
  <c r="BC24" i="1"/>
  <c r="BD23" i="1"/>
  <c r="BE23" i="1"/>
  <c r="AX24" i="1"/>
  <c r="AY23" i="1"/>
  <c r="AZ23" i="1"/>
  <c r="CD23" i="1"/>
  <c r="CB24" i="1"/>
  <c r="CC23" i="1"/>
  <c r="EL23" i="1"/>
  <c r="EJ24" i="1"/>
  <c r="EK23" i="1"/>
  <c r="AU23" i="1"/>
  <c r="AS24" i="1"/>
  <c r="AT23" i="1"/>
  <c r="AP23" i="1"/>
  <c r="AN24" i="1"/>
  <c r="AO23" i="1"/>
  <c r="AK26" i="1"/>
  <c r="AI27" i="1"/>
  <c r="AJ26" i="1"/>
  <c r="EO26" i="1"/>
  <c r="EP25" i="1"/>
  <c r="EQ25" i="1"/>
  <c r="CN24" i="1"/>
  <c r="CL25" i="1"/>
  <c r="CM24" i="1"/>
  <c r="CN25" i="1" l="1"/>
  <c r="CL26" i="1"/>
  <c r="CM25" i="1"/>
  <c r="AU24" i="1"/>
  <c r="AS25" i="1"/>
  <c r="AT24" i="1"/>
  <c r="DP25" i="1"/>
  <c r="DQ24" i="1"/>
  <c r="DR24" i="1"/>
  <c r="BT25" i="1"/>
  <c r="BR26" i="1"/>
  <c r="BS25" i="1"/>
  <c r="V26" i="1"/>
  <c r="T27" i="1"/>
  <c r="U26" i="1"/>
  <c r="EG24" i="1"/>
  <c r="EE25" i="1"/>
  <c r="EF24" i="1"/>
  <c r="Y26" i="1"/>
  <c r="Z25" i="1"/>
  <c r="AA25" i="1"/>
  <c r="AF25" i="1"/>
  <c r="AD26" i="1"/>
  <c r="AE25" i="1"/>
  <c r="AI28" i="1"/>
  <c r="AJ27" i="1"/>
  <c r="AK27" i="1"/>
  <c r="CB25" i="1"/>
  <c r="CC24" i="1"/>
  <c r="CD24" i="1"/>
  <c r="AZ24" i="1"/>
  <c r="AY24" i="1"/>
  <c r="AX25" i="1"/>
  <c r="BY25" i="1"/>
  <c r="BX25" i="1"/>
  <c r="BW26" i="1"/>
  <c r="BH25" i="1"/>
  <c r="BI24" i="1"/>
  <c r="BJ24" i="1"/>
  <c r="DK28" i="1"/>
  <c r="DL27" i="1"/>
  <c r="DM27" i="1"/>
  <c r="CX26" i="1"/>
  <c r="CW26" i="1"/>
  <c r="CV27" i="1"/>
  <c r="DA26" i="1"/>
  <c r="DB25" i="1"/>
  <c r="DC25" i="1"/>
  <c r="DH25" i="1"/>
  <c r="DF26" i="1"/>
  <c r="DG25" i="1"/>
  <c r="EQ26" i="1"/>
  <c r="EO27" i="1"/>
  <c r="EP26" i="1"/>
  <c r="BO26" i="1"/>
  <c r="BM27" i="1"/>
  <c r="BN26" i="1"/>
  <c r="EB25" i="1"/>
  <c r="DZ26" i="1"/>
  <c r="EA25" i="1"/>
  <c r="CI24" i="1"/>
  <c r="CG25" i="1"/>
  <c r="CH24" i="1"/>
  <c r="AN25" i="1"/>
  <c r="AO24" i="1"/>
  <c r="AP24" i="1"/>
  <c r="BE24" i="1"/>
  <c r="BC25" i="1"/>
  <c r="BD24" i="1"/>
  <c r="EJ25" i="1"/>
  <c r="EK24" i="1"/>
  <c r="EL24" i="1"/>
  <c r="CS24" i="1"/>
  <c r="CQ25" i="1"/>
  <c r="CR24" i="1"/>
  <c r="EV25" i="1"/>
  <c r="ET26" i="1"/>
  <c r="EU25" i="1"/>
  <c r="DW24" i="1"/>
  <c r="DU25" i="1"/>
  <c r="DV24" i="1"/>
  <c r="ET27" i="1" l="1"/>
  <c r="EU26" i="1"/>
  <c r="EV26" i="1"/>
  <c r="EQ27" i="1"/>
  <c r="EO28" i="1"/>
  <c r="EP27" i="1"/>
  <c r="CX27" i="1"/>
  <c r="CV28" i="1"/>
  <c r="CW27" i="1"/>
  <c r="BJ25" i="1"/>
  <c r="BH26" i="1"/>
  <c r="BI25" i="1"/>
  <c r="AZ25" i="1"/>
  <c r="AX26" i="1"/>
  <c r="AY25" i="1"/>
  <c r="AK28" i="1"/>
  <c r="AI29" i="1"/>
  <c r="AJ28" i="1"/>
  <c r="EG25" i="1"/>
  <c r="EE26" i="1"/>
  <c r="EF25" i="1"/>
  <c r="AS26" i="1"/>
  <c r="AT25" i="1"/>
  <c r="AU25" i="1"/>
  <c r="DU26" i="1"/>
  <c r="DV25" i="1"/>
  <c r="DW25" i="1"/>
  <c r="BE25" i="1"/>
  <c r="BC26" i="1"/>
  <c r="BD25" i="1"/>
  <c r="AP25" i="1"/>
  <c r="AN26" i="1"/>
  <c r="AO25" i="1"/>
  <c r="BO27" i="1"/>
  <c r="BM28" i="1"/>
  <c r="BN27" i="1"/>
  <c r="DM28" i="1"/>
  <c r="DK29" i="1"/>
  <c r="DL28" i="1"/>
  <c r="BY26" i="1"/>
  <c r="BW27" i="1"/>
  <c r="BX26" i="1"/>
  <c r="CD25" i="1"/>
  <c r="CB26" i="1"/>
  <c r="CC25" i="1"/>
  <c r="DZ27" i="1"/>
  <c r="EA26" i="1"/>
  <c r="EB26" i="1"/>
  <c r="AD27" i="1"/>
  <c r="AE26" i="1"/>
  <c r="AF26" i="1"/>
  <c r="AA26" i="1"/>
  <c r="Y27" i="1"/>
  <c r="Z26" i="1"/>
  <c r="BR27" i="1"/>
  <c r="BS26" i="1"/>
  <c r="BT26" i="1"/>
  <c r="DR25" i="1"/>
  <c r="DP26" i="1"/>
  <c r="DQ25" i="1"/>
  <c r="CS25" i="1"/>
  <c r="CQ26" i="1"/>
  <c r="CR25" i="1"/>
  <c r="EL25" i="1"/>
  <c r="EJ26" i="1"/>
  <c r="EK25" i="1"/>
  <c r="CG26" i="1"/>
  <c r="CH25" i="1"/>
  <c r="CI25" i="1"/>
  <c r="DF27" i="1"/>
  <c r="DG26" i="1"/>
  <c r="DH26" i="1"/>
  <c r="DC26" i="1"/>
  <c r="DA27" i="1"/>
  <c r="DB26" i="1"/>
  <c r="V27" i="1"/>
  <c r="T28" i="1"/>
  <c r="U27" i="1"/>
  <c r="CL27" i="1"/>
  <c r="CM26" i="1"/>
  <c r="CN26" i="1"/>
  <c r="AP26" i="1" l="1"/>
  <c r="AN27" i="1"/>
  <c r="AO26" i="1"/>
  <c r="EG26" i="1"/>
  <c r="EE27" i="1"/>
  <c r="EF26" i="1"/>
  <c r="CI26" i="1"/>
  <c r="CG27" i="1"/>
  <c r="CH26" i="1"/>
  <c r="DR26" i="1"/>
  <c r="DP27" i="1"/>
  <c r="DQ26" i="1"/>
  <c r="BR28" i="1"/>
  <c r="BS27" i="1"/>
  <c r="BT27" i="1"/>
  <c r="BO28" i="1"/>
  <c r="BM29" i="1"/>
  <c r="BN28" i="1"/>
  <c r="BJ26" i="1"/>
  <c r="BH27" i="1"/>
  <c r="BI26" i="1"/>
  <c r="DC27" i="1"/>
  <c r="DA28" i="1"/>
  <c r="DB27" i="1"/>
  <c r="DG27" i="1"/>
  <c r="DH27" i="1"/>
  <c r="DF28" i="1"/>
  <c r="CS26" i="1"/>
  <c r="CQ27" i="1"/>
  <c r="CR26" i="1"/>
  <c r="EB27" i="1"/>
  <c r="DZ28" i="1"/>
  <c r="EA27" i="1"/>
  <c r="DM29" i="1"/>
  <c r="DK30" i="1"/>
  <c r="DL29" i="1"/>
  <c r="AS27" i="1"/>
  <c r="AT26" i="1"/>
  <c r="AU26" i="1"/>
  <c r="AX27" i="1"/>
  <c r="AY26" i="1"/>
  <c r="AZ26" i="1"/>
  <c r="CD26" i="1"/>
  <c r="CB27" i="1"/>
  <c r="CC26" i="1"/>
  <c r="CV29" i="1"/>
  <c r="CW28" i="1"/>
  <c r="CX28" i="1"/>
  <c r="CN27" i="1"/>
  <c r="CL28" i="1"/>
  <c r="CM27" i="1"/>
  <c r="T29" i="1"/>
  <c r="U28" i="1"/>
  <c r="V28" i="1"/>
  <c r="EL26" i="1"/>
  <c r="EJ27" i="1"/>
  <c r="EK26" i="1"/>
  <c r="AA27" i="1"/>
  <c r="Y28" i="1"/>
  <c r="Z27" i="1"/>
  <c r="AD28" i="1"/>
  <c r="AF27" i="1"/>
  <c r="AE27" i="1"/>
  <c r="BW28" i="1"/>
  <c r="BX27" i="1"/>
  <c r="BY27" i="1"/>
  <c r="BE26" i="1"/>
  <c r="BC27" i="1"/>
  <c r="BD26" i="1"/>
  <c r="DU27" i="1"/>
  <c r="DV26" i="1"/>
  <c r="DW26" i="1"/>
  <c r="AK29" i="1"/>
  <c r="AI30" i="1"/>
  <c r="AJ29" i="1"/>
  <c r="EQ28" i="1"/>
  <c r="EO29" i="1"/>
  <c r="EP28" i="1"/>
  <c r="ET28" i="1"/>
  <c r="EU27" i="1"/>
  <c r="EV27" i="1"/>
  <c r="EV28" i="1" l="1"/>
  <c r="ET29" i="1"/>
  <c r="EU28" i="1"/>
  <c r="AA28" i="1"/>
  <c r="Y29" i="1"/>
  <c r="Z28" i="1"/>
  <c r="EO30" i="1"/>
  <c r="EP29" i="1"/>
  <c r="EQ29" i="1"/>
  <c r="AF28" i="1"/>
  <c r="AD29" i="1"/>
  <c r="AE28" i="1"/>
  <c r="AU27" i="1"/>
  <c r="AS28" i="1"/>
  <c r="AT27" i="1"/>
  <c r="CQ28" i="1"/>
  <c r="CR27" i="1"/>
  <c r="CS27" i="1"/>
  <c r="BM30" i="1"/>
  <c r="BN29" i="1"/>
  <c r="BO29" i="1"/>
  <c r="BT28" i="1"/>
  <c r="BR29" i="1"/>
  <c r="BS28" i="1"/>
  <c r="EE28" i="1"/>
  <c r="EF27" i="1"/>
  <c r="EG27" i="1"/>
  <c r="BC28" i="1"/>
  <c r="BD27" i="1"/>
  <c r="BE27" i="1"/>
  <c r="BY28" i="1"/>
  <c r="BW29" i="1"/>
  <c r="BX28" i="1"/>
  <c r="EL27" i="1"/>
  <c r="EJ28" i="1"/>
  <c r="EK27" i="1"/>
  <c r="V29" i="1"/>
  <c r="T30" i="1"/>
  <c r="U29" i="1"/>
  <c r="CD27" i="1"/>
  <c r="CB28" i="1"/>
  <c r="CC27" i="1"/>
  <c r="AZ27" i="1"/>
  <c r="AX28" i="1"/>
  <c r="AY27" i="1"/>
  <c r="EB28" i="1"/>
  <c r="DZ29" i="1"/>
  <c r="EA28" i="1"/>
  <c r="BJ27" i="1"/>
  <c r="BH28" i="1"/>
  <c r="BI27" i="1"/>
  <c r="CI27" i="1"/>
  <c r="CG28" i="1"/>
  <c r="CH27" i="1"/>
  <c r="DM30" i="1"/>
  <c r="DK31" i="1"/>
  <c r="DL30" i="1"/>
  <c r="DH28" i="1"/>
  <c r="DF29" i="1"/>
  <c r="DG28" i="1"/>
  <c r="DC28" i="1"/>
  <c r="DA29" i="1"/>
  <c r="DB28" i="1"/>
  <c r="DR27" i="1"/>
  <c r="DP28" i="1"/>
  <c r="DQ27" i="1"/>
  <c r="AK30" i="1"/>
  <c r="AI31" i="1"/>
  <c r="AJ30" i="1"/>
  <c r="DW27" i="1"/>
  <c r="DV27" i="1"/>
  <c r="DU28" i="1"/>
  <c r="CN28" i="1"/>
  <c r="CL29" i="1"/>
  <c r="CM28" i="1"/>
  <c r="CX29" i="1"/>
  <c r="CV30" i="1"/>
  <c r="CW29" i="1"/>
  <c r="AP27" i="1"/>
  <c r="AN28" i="1"/>
  <c r="AO27" i="1"/>
  <c r="CX30" i="1" l="1"/>
  <c r="CV31" i="1"/>
  <c r="CW30" i="1"/>
  <c r="DP29" i="1"/>
  <c r="DQ28" i="1"/>
  <c r="DR28" i="1"/>
  <c r="CI28" i="1"/>
  <c r="CG29" i="1"/>
  <c r="CH28" i="1"/>
  <c r="CB29" i="1"/>
  <c r="CC28" i="1"/>
  <c r="CD28" i="1"/>
  <c r="EE29" i="1"/>
  <c r="EG28" i="1"/>
  <c r="EF28" i="1"/>
  <c r="Y30" i="1"/>
  <c r="Z29" i="1"/>
  <c r="AA29" i="1"/>
  <c r="AN29" i="1"/>
  <c r="AO28" i="1"/>
  <c r="AP28" i="1"/>
  <c r="DW28" i="1"/>
  <c r="DU29" i="1"/>
  <c r="DV28" i="1"/>
  <c r="AI32" i="1"/>
  <c r="AJ31" i="1"/>
  <c r="AK31" i="1"/>
  <c r="DK32" i="1"/>
  <c r="DL31" i="1"/>
  <c r="DM31" i="1"/>
  <c r="AZ28" i="1"/>
  <c r="AX29" i="1"/>
  <c r="AY28" i="1"/>
  <c r="BY29" i="1"/>
  <c r="BW30" i="1"/>
  <c r="BX29" i="1"/>
  <c r="BE28" i="1"/>
  <c r="BC29" i="1"/>
  <c r="BD28" i="1"/>
  <c r="CQ29" i="1"/>
  <c r="CR28" i="1"/>
  <c r="CS28" i="1"/>
  <c r="DH29" i="1"/>
  <c r="DF30" i="1"/>
  <c r="DG29" i="1"/>
  <c r="EB29" i="1"/>
  <c r="DZ30" i="1"/>
  <c r="EA29" i="1"/>
  <c r="EJ29" i="1"/>
  <c r="EK28" i="1"/>
  <c r="EL28" i="1"/>
  <c r="BT29" i="1"/>
  <c r="BR30" i="1"/>
  <c r="BS29" i="1"/>
  <c r="BM31" i="1"/>
  <c r="BN30" i="1"/>
  <c r="BO30" i="1"/>
  <c r="AF29" i="1"/>
  <c r="AD30" i="1"/>
  <c r="AE29" i="1"/>
  <c r="EO31" i="1"/>
  <c r="EP30" i="1"/>
  <c r="EQ30" i="1"/>
  <c r="CN29" i="1"/>
  <c r="CL30" i="1"/>
  <c r="CM29" i="1"/>
  <c r="DA30" i="1"/>
  <c r="DB29" i="1"/>
  <c r="DC29" i="1"/>
  <c r="BH29" i="1"/>
  <c r="BI28" i="1"/>
  <c r="BJ28" i="1"/>
  <c r="V30" i="1"/>
  <c r="T31" i="1"/>
  <c r="U30" i="1"/>
  <c r="AU28" i="1"/>
  <c r="AS29" i="1"/>
  <c r="AT28" i="1"/>
  <c r="EV29" i="1"/>
  <c r="ET30" i="1"/>
  <c r="EU29" i="1"/>
  <c r="DB30" i="1" l="1"/>
  <c r="DC30" i="1"/>
  <c r="DA31" i="1"/>
  <c r="AS30" i="1"/>
  <c r="AT29" i="1"/>
  <c r="AU29" i="1"/>
  <c r="CL31" i="1"/>
  <c r="CM30" i="1"/>
  <c r="CN30" i="1"/>
  <c r="EQ31" i="1"/>
  <c r="EO32" i="1"/>
  <c r="EP31" i="1"/>
  <c r="BR31" i="1"/>
  <c r="BS30" i="1"/>
  <c r="BT30" i="1"/>
  <c r="EL29" i="1"/>
  <c r="EJ30" i="1"/>
  <c r="EK29" i="1"/>
  <c r="AI33" i="1"/>
  <c r="AJ32" i="1"/>
  <c r="AK32" i="1"/>
  <c r="EG29" i="1"/>
  <c r="EE30" i="1"/>
  <c r="EF29" i="1"/>
  <c r="ET31" i="1"/>
  <c r="EU30" i="1"/>
  <c r="EV30" i="1"/>
  <c r="DF31" i="1"/>
  <c r="DG30" i="1"/>
  <c r="DH30" i="1"/>
  <c r="CS29" i="1"/>
  <c r="CR29" i="1"/>
  <c r="CQ30" i="1"/>
  <c r="AZ29" i="1"/>
  <c r="AX30" i="1"/>
  <c r="AY29" i="1"/>
  <c r="DK33" i="1"/>
  <c r="DL32" i="1"/>
  <c r="DM32" i="1"/>
  <c r="AA30" i="1"/>
  <c r="Y31" i="1"/>
  <c r="Z30" i="1"/>
  <c r="CG30" i="1"/>
  <c r="CH29" i="1"/>
  <c r="CI29" i="1"/>
  <c r="DP30" i="1"/>
  <c r="DQ29" i="1"/>
  <c r="DR29" i="1"/>
  <c r="AD31" i="1"/>
  <c r="AE30" i="1"/>
  <c r="AF30" i="1"/>
  <c r="BO31" i="1"/>
  <c r="BM32" i="1"/>
  <c r="BN31" i="1"/>
  <c r="DZ31" i="1"/>
  <c r="EA30" i="1"/>
  <c r="EB30" i="1"/>
  <c r="BY30" i="1"/>
  <c r="BW31" i="1"/>
  <c r="BX30" i="1"/>
  <c r="DU30" i="1"/>
  <c r="DV29" i="1"/>
  <c r="DW29" i="1"/>
  <c r="AN30" i="1"/>
  <c r="AO29" i="1"/>
  <c r="AP29" i="1"/>
  <c r="V31" i="1"/>
  <c r="T32" i="1"/>
  <c r="U31" i="1"/>
  <c r="BJ29" i="1"/>
  <c r="BH30" i="1"/>
  <c r="BI29" i="1"/>
  <c r="BE29" i="1"/>
  <c r="BC30" i="1"/>
  <c r="BD29" i="1"/>
  <c r="CC29" i="1"/>
  <c r="CD29" i="1"/>
  <c r="CB30" i="1"/>
  <c r="CX31" i="1"/>
  <c r="CV32" i="1"/>
  <c r="CW31" i="1"/>
  <c r="DW30" i="1" l="1"/>
  <c r="DU31" i="1"/>
  <c r="DV30" i="1"/>
  <c r="BO32" i="1"/>
  <c r="BM33" i="1"/>
  <c r="BN32" i="1"/>
  <c r="AF31" i="1"/>
  <c r="AD32" i="1"/>
  <c r="AE31" i="1"/>
  <c r="AA31" i="1"/>
  <c r="Y32" i="1"/>
  <c r="Z31" i="1"/>
  <c r="DM33" i="1"/>
  <c r="DL33" i="1"/>
  <c r="DK34" i="1"/>
  <c r="CS30" i="1"/>
  <c r="CQ31" i="1"/>
  <c r="CR30" i="1"/>
  <c r="EV31" i="1"/>
  <c r="ET32" i="1"/>
  <c r="EU31" i="1"/>
  <c r="EL30" i="1"/>
  <c r="EJ31" i="1"/>
  <c r="EK30" i="1"/>
  <c r="BT31" i="1"/>
  <c r="BR32" i="1"/>
  <c r="BS31" i="1"/>
  <c r="CV33" i="1"/>
  <c r="CW32" i="1"/>
  <c r="CX32" i="1"/>
  <c r="T33" i="1"/>
  <c r="U32" i="1"/>
  <c r="V32" i="1"/>
  <c r="AP30" i="1"/>
  <c r="AN31" i="1"/>
  <c r="AO30" i="1"/>
  <c r="DH31" i="1"/>
  <c r="DF32" i="1"/>
  <c r="DG31" i="1"/>
  <c r="AU30" i="1"/>
  <c r="AS31" i="1"/>
  <c r="AT30" i="1"/>
  <c r="BJ30" i="1"/>
  <c r="BH31" i="1"/>
  <c r="BI30" i="1"/>
  <c r="BW32" i="1"/>
  <c r="BX31" i="1"/>
  <c r="BY31" i="1"/>
  <c r="EB31" i="1"/>
  <c r="DZ32" i="1"/>
  <c r="EA31" i="1"/>
  <c r="CI30" i="1"/>
  <c r="CG31" i="1"/>
  <c r="CH30" i="1"/>
  <c r="AX31" i="1"/>
  <c r="AY30" i="1"/>
  <c r="AZ30" i="1"/>
  <c r="EG30" i="1"/>
  <c r="EE31" i="1"/>
  <c r="EF30" i="1"/>
  <c r="AK33" i="1"/>
  <c r="AI34" i="1"/>
  <c r="AJ33" i="1"/>
  <c r="EQ32" i="1"/>
  <c r="EO33" i="1"/>
  <c r="EP32" i="1"/>
  <c r="CL32" i="1"/>
  <c r="CM31" i="1"/>
  <c r="CN31" i="1"/>
  <c r="DC31" i="1"/>
  <c r="DA32" i="1"/>
  <c r="DB31" i="1"/>
  <c r="CD30" i="1"/>
  <c r="CB31" i="1"/>
  <c r="CC30" i="1"/>
  <c r="BE30" i="1"/>
  <c r="BC31" i="1"/>
  <c r="BD30" i="1"/>
  <c r="DR30" i="1"/>
  <c r="DQ30" i="1"/>
  <c r="DP31" i="1"/>
  <c r="CX33" i="1" l="1"/>
  <c r="CV34" i="1"/>
  <c r="CW33" i="1"/>
  <c r="AF32" i="1"/>
  <c r="AD33" i="1"/>
  <c r="AE32" i="1"/>
  <c r="DC32" i="1"/>
  <c r="DA33" i="1"/>
  <c r="DB32" i="1"/>
  <c r="CN32" i="1"/>
  <c r="CM32" i="1"/>
  <c r="CL33" i="1"/>
  <c r="EE32" i="1"/>
  <c r="EF31" i="1"/>
  <c r="EG31" i="1"/>
  <c r="AZ31" i="1"/>
  <c r="AX32" i="1"/>
  <c r="AY31" i="1"/>
  <c r="AP31" i="1"/>
  <c r="AN32" i="1"/>
  <c r="AO31" i="1"/>
  <c r="V33" i="1"/>
  <c r="T34" i="1"/>
  <c r="U33" i="1"/>
  <c r="EL31" i="1"/>
  <c r="EJ32" i="1"/>
  <c r="EK31" i="1"/>
  <c r="DM34" i="1"/>
  <c r="DK35" i="1"/>
  <c r="DL34" i="1"/>
  <c r="AA32" i="1"/>
  <c r="Y33" i="1"/>
  <c r="Z32" i="1"/>
  <c r="CD31" i="1"/>
  <c r="CB32" i="1"/>
  <c r="CC31" i="1"/>
  <c r="AK34" i="1"/>
  <c r="AI35" i="1"/>
  <c r="AJ34" i="1"/>
  <c r="EB32" i="1"/>
  <c r="DZ33" i="1"/>
  <c r="EA32" i="1"/>
  <c r="BY32" i="1"/>
  <c r="BW33" i="1"/>
  <c r="BX32" i="1"/>
  <c r="DH32" i="1"/>
  <c r="DF33" i="1"/>
  <c r="DG32" i="1"/>
  <c r="BT32" i="1"/>
  <c r="BR33" i="1"/>
  <c r="BS32" i="1"/>
  <c r="DW31" i="1"/>
  <c r="DU32" i="1"/>
  <c r="DV31" i="1"/>
  <c r="BJ31" i="1"/>
  <c r="BH32" i="1"/>
  <c r="BI31" i="1"/>
  <c r="EV32" i="1"/>
  <c r="ET33" i="1"/>
  <c r="EU32" i="1"/>
  <c r="DR31" i="1"/>
  <c r="DP32" i="1"/>
  <c r="DQ31" i="1"/>
  <c r="BC32" i="1"/>
  <c r="BD31" i="1"/>
  <c r="BE31" i="1"/>
  <c r="EO34" i="1"/>
  <c r="EP33" i="1"/>
  <c r="EQ33" i="1"/>
  <c r="CI31" i="1"/>
  <c r="CG32" i="1"/>
  <c r="CH31" i="1"/>
  <c r="AU31" i="1"/>
  <c r="AS32" i="1"/>
  <c r="AT31" i="1"/>
  <c r="CQ32" i="1"/>
  <c r="CR31" i="1"/>
  <c r="CS31" i="1"/>
  <c r="BM34" i="1"/>
  <c r="BN33" i="1"/>
  <c r="BO33" i="1"/>
  <c r="Y34" i="1" l="1"/>
  <c r="Z33" i="1"/>
  <c r="AA33" i="1"/>
  <c r="CN33" i="1"/>
  <c r="CL34" i="1"/>
  <c r="CM33" i="1"/>
  <c r="DA34" i="1"/>
  <c r="DB33" i="1"/>
  <c r="DC33" i="1"/>
  <c r="BO34" i="1"/>
  <c r="BM35" i="1"/>
  <c r="BN34" i="1"/>
  <c r="EQ34" i="1"/>
  <c r="EO35" i="1"/>
  <c r="EP34" i="1"/>
  <c r="EV33" i="1"/>
  <c r="ET34" i="1"/>
  <c r="EU33" i="1"/>
  <c r="CB33" i="1"/>
  <c r="CC32" i="1"/>
  <c r="CD32" i="1"/>
  <c r="V34" i="1"/>
  <c r="T35" i="1"/>
  <c r="U34" i="1"/>
  <c r="AU32" i="1"/>
  <c r="AS33" i="1"/>
  <c r="AT32" i="1"/>
  <c r="DP33" i="1"/>
  <c r="DQ32" i="1"/>
  <c r="DR32" i="1"/>
  <c r="BT33" i="1"/>
  <c r="BR34" i="1"/>
  <c r="BS33" i="1"/>
  <c r="AI36" i="1"/>
  <c r="AJ35" i="1"/>
  <c r="AK35" i="1"/>
  <c r="EJ33" i="1"/>
  <c r="EK32" i="1"/>
  <c r="EL32" i="1"/>
  <c r="CX34" i="1"/>
  <c r="CV35" i="1"/>
  <c r="CW34" i="1"/>
  <c r="CS32" i="1"/>
  <c r="CQ33" i="1"/>
  <c r="CR32" i="1"/>
  <c r="BE32" i="1"/>
  <c r="BC33" i="1"/>
  <c r="BD32" i="1"/>
  <c r="BH33" i="1"/>
  <c r="BI32" i="1"/>
  <c r="BJ32" i="1"/>
  <c r="BY33" i="1"/>
  <c r="BW34" i="1"/>
  <c r="BX33" i="1"/>
  <c r="AN33" i="1"/>
  <c r="AO32" i="1"/>
  <c r="AP32" i="1"/>
  <c r="CI32" i="1"/>
  <c r="CG33" i="1"/>
  <c r="CH32" i="1"/>
  <c r="DH33" i="1"/>
  <c r="DF34" i="1"/>
  <c r="DG33" i="1"/>
  <c r="DW32" i="1"/>
  <c r="DU33" i="1"/>
  <c r="DV32" i="1"/>
  <c r="EB33" i="1"/>
  <c r="DZ34" i="1"/>
  <c r="EA33" i="1"/>
  <c r="DK36" i="1"/>
  <c r="DL35" i="1"/>
  <c r="DM35" i="1"/>
  <c r="AZ32" i="1"/>
  <c r="AX33" i="1"/>
  <c r="AY32" i="1"/>
  <c r="EG32" i="1"/>
  <c r="EE33" i="1"/>
  <c r="EF32" i="1"/>
  <c r="AF33" i="1"/>
  <c r="AD34" i="1"/>
  <c r="AE33" i="1"/>
  <c r="AD35" i="1" l="1"/>
  <c r="AE34" i="1"/>
  <c r="AF34" i="1"/>
  <c r="CS33" i="1"/>
  <c r="CQ34" i="1"/>
  <c r="CR33" i="1"/>
  <c r="BR35" i="1"/>
  <c r="BS34" i="1"/>
  <c r="BT34" i="1"/>
  <c r="DR33" i="1"/>
  <c r="DP34" i="1"/>
  <c r="DQ33" i="1"/>
  <c r="CG34" i="1"/>
  <c r="CH33" i="1"/>
  <c r="CI33" i="1"/>
  <c r="AP33" i="1"/>
  <c r="AN34" i="1"/>
  <c r="AO33" i="1"/>
  <c r="BE33" i="1"/>
  <c r="BC34" i="1"/>
  <c r="BD33" i="1"/>
  <c r="V35" i="1"/>
  <c r="T36" i="1"/>
  <c r="U35" i="1"/>
  <c r="CD33" i="1"/>
  <c r="CB34" i="1"/>
  <c r="CC33" i="1"/>
  <c r="BO35" i="1"/>
  <c r="BM36" i="1"/>
  <c r="BN35" i="1"/>
  <c r="DC34" i="1"/>
  <c r="DA35" i="1"/>
  <c r="DB34" i="1"/>
  <c r="AZ33" i="1"/>
  <c r="AX34" i="1"/>
  <c r="AY33" i="1"/>
  <c r="DM36" i="1"/>
  <c r="DK37" i="1"/>
  <c r="DL36" i="1"/>
  <c r="DF35" i="1"/>
  <c r="DG34" i="1"/>
  <c r="DH34" i="1"/>
  <c r="AK36" i="1"/>
  <c r="AI37" i="1"/>
  <c r="AJ36" i="1"/>
  <c r="AS34" i="1"/>
  <c r="AT33" i="1"/>
  <c r="AU33" i="1"/>
  <c r="EQ35" i="1"/>
  <c r="EO36" i="1"/>
  <c r="EP35" i="1"/>
  <c r="DZ35" i="1"/>
  <c r="EA34" i="1"/>
  <c r="EB34" i="1"/>
  <c r="EG33" i="1"/>
  <c r="EE34" i="1"/>
  <c r="EF33" i="1"/>
  <c r="DU34" i="1"/>
  <c r="DV33" i="1"/>
  <c r="DW33" i="1"/>
  <c r="BY34" i="1"/>
  <c r="BW35" i="1"/>
  <c r="BX34" i="1"/>
  <c r="BH34" i="1"/>
  <c r="BI33" i="1"/>
  <c r="BJ33" i="1"/>
  <c r="CX35" i="1"/>
  <c r="CV36" i="1"/>
  <c r="CW35" i="1"/>
  <c r="EJ34" i="1"/>
  <c r="EK33" i="1"/>
  <c r="EL33" i="1"/>
  <c r="ET35" i="1"/>
  <c r="EU34" i="1"/>
  <c r="EV34" i="1"/>
  <c r="CL35" i="1"/>
  <c r="CM34" i="1"/>
  <c r="CN34" i="1"/>
  <c r="AA34" i="1"/>
  <c r="Y35" i="1"/>
  <c r="Z34" i="1"/>
  <c r="EV35" i="1" l="1"/>
  <c r="ET36" i="1"/>
  <c r="EU35" i="1"/>
  <c r="BO36" i="1"/>
  <c r="BM37" i="1"/>
  <c r="BN36" i="1"/>
  <c r="AP34" i="1"/>
  <c r="AN35" i="1"/>
  <c r="AO34" i="1"/>
  <c r="CG35" i="1"/>
  <c r="CH34" i="1"/>
  <c r="CI34" i="1"/>
  <c r="CS34" i="1"/>
  <c r="CQ35" i="1"/>
  <c r="CR34" i="1"/>
  <c r="AD36" i="1"/>
  <c r="AE35" i="1"/>
  <c r="AF35" i="1"/>
  <c r="AA35" i="1"/>
  <c r="Y36" i="1"/>
  <c r="Z35" i="1"/>
  <c r="CN35" i="1"/>
  <c r="CL36" i="1"/>
  <c r="CM35" i="1"/>
  <c r="CV37" i="1"/>
  <c r="CW36" i="1"/>
  <c r="CX36" i="1"/>
  <c r="BJ34" i="1"/>
  <c r="BH35" i="1"/>
  <c r="BI34" i="1"/>
  <c r="EG34" i="1"/>
  <c r="EE35" i="1"/>
  <c r="EF34" i="1"/>
  <c r="EB35" i="1"/>
  <c r="DZ36" i="1"/>
  <c r="EA35" i="1"/>
  <c r="AK37" i="1"/>
  <c r="AI38" i="1"/>
  <c r="AJ37" i="1"/>
  <c r="DF36" i="1"/>
  <c r="DG35" i="1"/>
  <c r="DH35" i="1"/>
  <c r="DC35" i="1"/>
  <c r="DA36" i="1"/>
  <c r="DB35" i="1"/>
  <c r="BE34" i="1"/>
  <c r="BC35" i="1"/>
  <c r="BD34" i="1"/>
  <c r="AX35" i="1"/>
  <c r="AY34" i="1"/>
  <c r="AZ34" i="1"/>
  <c r="T37" i="1"/>
  <c r="U36" i="1"/>
  <c r="V36" i="1"/>
  <c r="DR34" i="1"/>
  <c r="DP35" i="1"/>
  <c r="DQ34" i="1"/>
  <c r="BT35" i="1"/>
  <c r="BR36" i="1"/>
  <c r="BS35" i="1"/>
  <c r="EL34" i="1"/>
  <c r="EK34" i="1"/>
  <c r="EJ35" i="1"/>
  <c r="BW36" i="1"/>
  <c r="BX35" i="1"/>
  <c r="BY35" i="1"/>
  <c r="DW34" i="1"/>
  <c r="DU35" i="1"/>
  <c r="DV34" i="1"/>
  <c r="EQ36" i="1"/>
  <c r="EO37" i="1"/>
  <c r="EP36" i="1"/>
  <c r="AU34" i="1"/>
  <c r="AS35" i="1"/>
  <c r="AT34" i="1"/>
  <c r="DM37" i="1"/>
  <c r="DK38" i="1"/>
  <c r="DL37" i="1"/>
  <c r="CD34" i="1"/>
  <c r="CB35" i="1"/>
  <c r="CC34" i="1"/>
  <c r="CD35" i="1" l="1"/>
  <c r="CB36" i="1"/>
  <c r="CC35" i="1"/>
  <c r="DR35" i="1"/>
  <c r="DP36" i="1"/>
  <c r="DQ35" i="1"/>
  <c r="AP35" i="1"/>
  <c r="AN36" i="1"/>
  <c r="AO35" i="1"/>
  <c r="EO38" i="1"/>
  <c r="EP37" i="1"/>
  <c r="EQ37" i="1"/>
  <c r="EB36" i="1"/>
  <c r="DZ37" i="1"/>
  <c r="EA36" i="1"/>
  <c r="CN36" i="1"/>
  <c r="CL37" i="1"/>
  <c r="CM36" i="1"/>
  <c r="AU35" i="1"/>
  <c r="AS36" i="1"/>
  <c r="AT35" i="1"/>
  <c r="AI39" i="1"/>
  <c r="AK38" i="1"/>
  <c r="AJ38" i="1"/>
  <c r="CQ36" i="1"/>
  <c r="CR35" i="1"/>
  <c r="CS35" i="1"/>
  <c r="CI35" i="1"/>
  <c r="CG36" i="1"/>
  <c r="CH35" i="1"/>
  <c r="EV36" i="1"/>
  <c r="ET37" i="1"/>
  <c r="EU36" i="1"/>
  <c r="DW35" i="1"/>
  <c r="DU36" i="1"/>
  <c r="DV35" i="1"/>
  <c r="BY36" i="1"/>
  <c r="BW37" i="1"/>
  <c r="BX36" i="1"/>
  <c r="V37" i="1"/>
  <c r="T38" i="1"/>
  <c r="U37" i="1"/>
  <c r="DC36" i="1"/>
  <c r="DA37" i="1"/>
  <c r="DB36" i="1"/>
  <c r="DH36" i="1"/>
  <c r="DF37" i="1"/>
  <c r="DG36" i="1"/>
  <c r="EE36" i="1"/>
  <c r="EF35" i="1"/>
  <c r="EG35" i="1"/>
  <c r="AA36" i="1"/>
  <c r="Y37" i="1"/>
  <c r="Z36" i="1"/>
  <c r="AF36" i="1"/>
  <c r="AE36" i="1"/>
  <c r="AD37" i="1"/>
  <c r="EL35" i="1"/>
  <c r="EJ36" i="1"/>
  <c r="EK35" i="1"/>
  <c r="BT36" i="1"/>
  <c r="BR37" i="1"/>
  <c r="BS36" i="1"/>
  <c r="BC36" i="1"/>
  <c r="BD35" i="1"/>
  <c r="BE35" i="1"/>
  <c r="DK39" i="1"/>
  <c r="DM38" i="1"/>
  <c r="DL38" i="1"/>
  <c r="AZ35" i="1"/>
  <c r="AX36" i="1"/>
  <c r="AY35" i="1"/>
  <c r="BJ35" i="1"/>
  <c r="BH36" i="1"/>
  <c r="BI35" i="1"/>
  <c r="CX37" i="1"/>
  <c r="CV38" i="1"/>
  <c r="CW37" i="1"/>
  <c r="BM38" i="1"/>
  <c r="BN37" i="1"/>
  <c r="BO37" i="1"/>
  <c r="AF37" i="1" l="1"/>
  <c r="AD38" i="1"/>
  <c r="AE37" i="1"/>
  <c r="Y38" i="1"/>
  <c r="Z37" i="1"/>
  <c r="AA37" i="1"/>
  <c r="EE37" i="1"/>
  <c r="EF36" i="1"/>
  <c r="EG36" i="1"/>
  <c r="V38" i="1"/>
  <c r="U38" i="1"/>
  <c r="T39" i="1"/>
  <c r="CI36" i="1"/>
  <c r="CG37" i="1"/>
  <c r="CH36" i="1"/>
  <c r="CS36" i="1"/>
  <c r="CQ37" i="1"/>
  <c r="CR36" i="1"/>
  <c r="CN37" i="1"/>
  <c r="CL38" i="1"/>
  <c r="CM37" i="1"/>
  <c r="DP37" i="1"/>
  <c r="DQ36" i="1"/>
  <c r="DR36" i="1"/>
  <c r="BC37" i="1"/>
  <c r="BD36" i="1"/>
  <c r="BE36" i="1"/>
  <c r="DA38" i="1"/>
  <c r="DB37" i="1"/>
  <c r="DC37" i="1"/>
  <c r="EV37" i="1"/>
  <c r="ET38" i="1"/>
  <c r="EU37" i="1"/>
  <c r="AU36" i="1"/>
  <c r="AS37" i="1"/>
  <c r="AT36" i="1"/>
  <c r="AN37" i="1"/>
  <c r="AO36" i="1"/>
  <c r="AP36" i="1"/>
  <c r="CV39" i="1"/>
  <c r="CX38" i="1"/>
  <c r="CW38" i="1"/>
  <c r="BM39" i="1"/>
  <c r="BO38" i="1"/>
  <c r="BN38" i="1"/>
  <c r="AZ36" i="1"/>
  <c r="AX37" i="1"/>
  <c r="AY36" i="1"/>
  <c r="DM39" i="1"/>
  <c r="DK40" i="1"/>
  <c r="DL39" i="1"/>
  <c r="EJ37" i="1"/>
  <c r="EK36" i="1"/>
  <c r="EL36" i="1"/>
  <c r="DH37" i="1"/>
  <c r="DF38" i="1"/>
  <c r="DG37" i="1"/>
  <c r="DW36" i="1"/>
  <c r="DU37" i="1"/>
  <c r="DV36" i="1"/>
  <c r="BH37" i="1"/>
  <c r="BI36" i="1"/>
  <c r="BJ36" i="1"/>
  <c r="BT37" i="1"/>
  <c r="BR38" i="1"/>
  <c r="BS37" i="1"/>
  <c r="BY37" i="1"/>
  <c r="BW38" i="1"/>
  <c r="BX37" i="1"/>
  <c r="AI40" i="1"/>
  <c r="AJ39" i="1"/>
  <c r="AK39" i="1"/>
  <c r="EB37" i="1"/>
  <c r="DZ38" i="1"/>
  <c r="EA37" i="1"/>
  <c r="EO39" i="1"/>
  <c r="EQ38" i="1"/>
  <c r="EP38" i="1"/>
  <c r="CB37" i="1"/>
  <c r="CC36" i="1"/>
  <c r="CD36" i="1"/>
  <c r="EQ39" i="1" l="1"/>
  <c r="EO40" i="1"/>
  <c r="EP39" i="1"/>
  <c r="CX39" i="1"/>
  <c r="CV40" i="1"/>
  <c r="CW39" i="1"/>
  <c r="ET39" i="1"/>
  <c r="EU38" i="1"/>
  <c r="EV38" i="1"/>
  <c r="DA39" i="1"/>
  <c r="DB38" i="1"/>
  <c r="DC38" i="1"/>
  <c r="V39" i="1"/>
  <c r="T40" i="1"/>
  <c r="U39" i="1"/>
  <c r="DU38" i="1"/>
  <c r="DV37" i="1"/>
  <c r="DW37" i="1"/>
  <c r="AZ37" i="1"/>
  <c r="AX38" i="1"/>
  <c r="AY37" i="1"/>
  <c r="BO39" i="1"/>
  <c r="BM40" i="1"/>
  <c r="BN39" i="1"/>
  <c r="AS38" i="1"/>
  <c r="AT37" i="1"/>
  <c r="AU37" i="1"/>
  <c r="EG37" i="1"/>
  <c r="EF37" i="1"/>
  <c r="EE38" i="1"/>
  <c r="DZ39" i="1"/>
  <c r="EA38" i="1"/>
  <c r="EB38" i="1"/>
  <c r="AI41" i="1"/>
  <c r="AJ40" i="1"/>
  <c r="AK40" i="1"/>
  <c r="DK41" i="1"/>
  <c r="DL40" i="1"/>
  <c r="DM40" i="1"/>
  <c r="DR37" i="1"/>
  <c r="DP38" i="1"/>
  <c r="DQ37" i="1"/>
  <c r="CG38" i="1"/>
  <c r="CH37" i="1"/>
  <c r="CI37" i="1"/>
  <c r="AD39" i="1"/>
  <c r="AE38" i="1"/>
  <c r="AF38" i="1"/>
  <c r="BY38" i="1"/>
  <c r="BX38" i="1"/>
  <c r="BW39" i="1"/>
  <c r="DF39" i="1"/>
  <c r="DG38" i="1"/>
  <c r="DH38" i="1"/>
  <c r="EL37" i="1"/>
  <c r="EJ38" i="1"/>
  <c r="EK37" i="1"/>
  <c r="CL39" i="1"/>
  <c r="CM38" i="1"/>
  <c r="CN38" i="1"/>
  <c r="Y39" i="1"/>
  <c r="Z38" i="1"/>
  <c r="AA38" i="1"/>
  <c r="CB38" i="1"/>
  <c r="CC37" i="1"/>
  <c r="CD37" i="1"/>
  <c r="BR39" i="1"/>
  <c r="BS38" i="1"/>
  <c r="BT38" i="1"/>
  <c r="BJ37" i="1"/>
  <c r="BH38" i="1"/>
  <c r="BI37" i="1"/>
  <c r="AP37" i="1"/>
  <c r="AN38" i="1"/>
  <c r="AO37" i="1"/>
  <c r="BE37" i="1"/>
  <c r="BC38" i="1"/>
  <c r="BD37" i="1"/>
  <c r="CS37" i="1"/>
  <c r="CQ38" i="1"/>
  <c r="CR37" i="1"/>
  <c r="Z39" i="1" l="1"/>
  <c r="Y40" i="1"/>
  <c r="AA39" i="1"/>
  <c r="DR38" i="1"/>
  <c r="DP39" i="1"/>
  <c r="DQ38" i="1"/>
  <c r="DM41" i="1"/>
  <c r="DK42" i="1"/>
  <c r="DL41" i="1"/>
  <c r="AS39" i="1"/>
  <c r="AU38" i="1"/>
  <c r="AT38" i="1"/>
  <c r="CX40" i="1"/>
  <c r="CV41" i="1"/>
  <c r="CW40" i="1"/>
  <c r="CS38" i="1"/>
  <c r="CR38" i="1"/>
  <c r="CQ39" i="1"/>
  <c r="CB39" i="1"/>
  <c r="CD38" i="1"/>
  <c r="CC38" i="1"/>
  <c r="EJ39" i="1"/>
  <c r="EL38" i="1"/>
  <c r="EK38" i="1"/>
  <c r="DF40" i="1"/>
  <c r="DG39" i="1"/>
  <c r="DH39" i="1"/>
  <c r="AX39" i="1"/>
  <c r="AY38" i="1"/>
  <c r="AZ38" i="1"/>
  <c r="DU39" i="1"/>
  <c r="DW38" i="1"/>
  <c r="DV38" i="1"/>
  <c r="BE38" i="1"/>
  <c r="BD38" i="1"/>
  <c r="BC39" i="1"/>
  <c r="BH39" i="1"/>
  <c r="BJ38" i="1"/>
  <c r="BI38" i="1"/>
  <c r="BR40" i="1"/>
  <c r="BS39" i="1"/>
  <c r="BT39" i="1"/>
  <c r="BW40" i="1"/>
  <c r="BX39" i="1"/>
  <c r="BY39" i="1"/>
  <c r="CI38" i="1"/>
  <c r="CH38" i="1"/>
  <c r="CG39" i="1"/>
  <c r="DZ40" i="1"/>
  <c r="EA39" i="1"/>
  <c r="EB39" i="1"/>
  <c r="BO40" i="1"/>
  <c r="BM41" i="1"/>
  <c r="BN40" i="1"/>
  <c r="ET40" i="1"/>
  <c r="EU39" i="1"/>
  <c r="EV39" i="1"/>
  <c r="AP38" i="1"/>
  <c r="AN39" i="1"/>
  <c r="AO38" i="1"/>
  <c r="CL40" i="1"/>
  <c r="CM39" i="1"/>
  <c r="CN39" i="1"/>
  <c r="AD40" i="1"/>
  <c r="AF39" i="1"/>
  <c r="AE39" i="1"/>
  <c r="AK41" i="1"/>
  <c r="AI42" i="1"/>
  <c r="AJ41" i="1"/>
  <c r="EG38" i="1"/>
  <c r="EF38" i="1"/>
  <c r="EE39" i="1"/>
  <c r="V40" i="1"/>
  <c r="T41" i="1"/>
  <c r="U40" i="1"/>
  <c r="DB39" i="1"/>
  <c r="DA40" i="1"/>
  <c r="DC39" i="1"/>
  <c r="EQ40" i="1"/>
  <c r="EO41" i="1"/>
  <c r="EP40" i="1"/>
  <c r="EG39" i="1" l="1"/>
  <c r="EE40" i="1"/>
  <c r="EF39" i="1"/>
  <c r="AK42" i="1"/>
  <c r="AI43" i="1"/>
  <c r="AJ42" i="1"/>
  <c r="AF40" i="1"/>
  <c r="AD41" i="1"/>
  <c r="AE40" i="1"/>
  <c r="CI39" i="1"/>
  <c r="CG40" i="1"/>
  <c r="CH39" i="1"/>
  <c r="BT40" i="1"/>
  <c r="BR41" i="1"/>
  <c r="BS40" i="1"/>
  <c r="BC40" i="1"/>
  <c r="BD39" i="1"/>
  <c r="BE39" i="1"/>
  <c r="AX40" i="1"/>
  <c r="AZ39" i="1"/>
  <c r="AY39" i="1"/>
  <c r="BW41" i="1"/>
  <c r="BX40" i="1"/>
  <c r="BY40" i="1"/>
  <c r="T42" i="1"/>
  <c r="U41" i="1"/>
  <c r="V41" i="1"/>
  <c r="EL39" i="1"/>
  <c r="EJ40" i="1"/>
  <c r="EK39" i="1"/>
  <c r="CS39" i="1"/>
  <c r="CQ40" i="1"/>
  <c r="CR39" i="1"/>
  <c r="CV42" i="1"/>
  <c r="CW41" i="1"/>
  <c r="CX41" i="1"/>
  <c r="AS40" i="1"/>
  <c r="AU39" i="1"/>
  <c r="AT39" i="1"/>
  <c r="AA40" i="1"/>
  <c r="Z40" i="1"/>
  <c r="Y41" i="1"/>
  <c r="EQ41" i="1"/>
  <c r="EO42" i="1"/>
  <c r="EP41" i="1"/>
  <c r="DM42" i="1"/>
  <c r="DK43" i="1"/>
  <c r="DL42" i="1"/>
  <c r="AP39" i="1"/>
  <c r="AO39" i="1"/>
  <c r="AN40" i="1"/>
  <c r="EV40" i="1"/>
  <c r="ET41" i="1"/>
  <c r="EU40" i="1"/>
  <c r="DW39" i="1"/>
  <c r="DU40" i="1"/>
  <c r="DV39" i="1"/>
  <c r="CD39" i="1"/>
  <c r="CC39" i="1"/>
  <c r="CB40" i="1"/>
  <c r="DC40" i="1"/>
  <c r="DA41" i="1"/>
  <c r="DB40" i="1"/>
  <c r="CN40" i="1"/>
  <c r="CL41" i="1"/>
  <c r="CM40" i="1"/>
  <c r="BO41" i="1"/>
  <c r="BM42" i="1"/>
  <c r="BN41" i="1"/>
  <c r="EA40" i="1"/>
  <c r="EB40" i="1"/>
  <c r="DZ41" i="1"/>
  <c r="BJ39" i="1"/>
  <c r="BH40" i="1"/>
  <c r="BI39" i="1"/>
  <c r="DH40" i="1"/>
  <c r="DF41" i="1"/>
  <c r="DG40" i="1"/>
  <c r="DR39" i="1"/>
  <c r="DP40" i="1"/>
  <c r="DQ39" i="1"/>
  <c r="DR40" i="1" l="1"/>
  <c r="DP41" i="1"/>
  <c r="DQ40" i="1"/>
  <c r="CD40" i="1"/>
  <c r="CB41" i="1"/>
  <c r="CC40" i="1"/>
  <c r="DW40" i="1"/>
  <c r="DU41" i="1"/>
  <c r="DV40" i="1"/>
  <c r="AF41" i="1"/>
  <c r="AD42" i="1"/>
  <c r="AE41" i="1"/>
  <c r="AX41" i="1"/>
  <c r="AZ40" i="1"/>
  <c r="AY40" i="1"/>
  <c r="CI40" i="1"/>
  <c r="CG41" i="1"/>
  <c r="CH40" i="1"/>
  <c r="BJ40" i="1"/>
  <c r="BH41" i="1"/>
  <c r="BI40" i="1"/>
  <c r="DC41" i="1"/>
  <c r="DA42" i="1"/>
  <c r="DB41" i="1"/>
  <c r="AA41" i="1"/>
  <c r="Y42" i="1"/>
  <c r="Z41" i="1"/>
  <c r="CV43" i="1"/>
  <c r="CX42" i="1"/>
  <c r="CW42" i="1"/>
  <c r="BW42" i="1"/>
  <c r="BY41" i="1"/>
  <c r="BX41" i="1"/>
  <c r="BT41" i="1"/>
  <c r="BR42" i="1"/>
  <c r="BS41" i="1"/>
  <c r="EE41" i="1"/>
  <c r="EF40" i="1"/>
  <c r="EG40" i="1"/>
  <c r="EB41" i="1"/>
  <c r="EA41" i="1"/>
  <c r="DZ42" i="1"/>
  <c r="BM43" i="1"/>
  <c r="BN42" i="1"/>
  <c r="BO42" i="1"/>
  <c r="EO43" i="1"/>
  <c r="EP42" i="1"/>
  <c r="EQ42" i="1"/>
  <c r="CQ41" i="1"/>
  <c r="CR40" i="1"/>
  <c r="CS40" i="1"/>
  <c r="BC41" i="1"/>
  <c r="BD40" i="1"/>
  <c r="BE40" i="1"/>
  <c r="AP40" i="1"/>
  <c r="AN41" i="1"/>
  <c r="AO40" i="1"/>
  <c r="DM43" i="1"/>
  <c r="DK44" i="1"/>
  <c r="DL43" i="1"/>
  <c r="DH41" i="1"/>
  <c r="DF42" i="1"/>
  <c r="DG41" i="1"/>
  <c r="CN41" i="1"/>
  <c r="CL42" i="1"/>
  <c r="CM41" i="1"/>
  <c r="EV41" i="1"/>
  <c r="ET42" i="1"/>
  <c r="EU41" i="1"/>
  <c r="AU40" i="1"/>
  <c r="AS41" i="1"/>
  <c r="AT40" i="1"/>
  <c r="EL40" i="1"/>
  <c r="EJ41" i="1"/>
  <c r="EK40" i="1"/>
  <c r="U42" i="1"/>
  <c r="T43" i="1"/>
  <c r="V42" i="1"/>
  <c r="AK43" i="1"/>
  <c r="AI44" i="1"/>
  <c r="AJ43" i="1"/>
  <c r="AI45" i="1" l="1"/>
  <c r="AJ44" i="1"/>
  <c r="AK44" i="1"/>
  <c r="AN42" i="1"/>
  <c r="AO41" i="1"/>
  <c r="AP41" i="1"/>
  <c r="BE41" i="1"/>
  <c r="BC42" i="1"/>
  <c r="BD41" i="1"/>
  <c r="DW41" i="1"/>
  <c r="DU42" i="1"/>
  <c r="DV41" i="1"/>
  <c r="AU41" i="1"/>
  <c r="AS42" i="1"/>
  <c r="AT41" i="1"/>
  <c r="DK45" i="1"/>
  <c r="DL44" i="1"/>
  <c r="DM44" i="1"/>
  <c r="BO43" i="1"/>
  <c r="BM44" i="1"/>
  <c r="BN43" i="1"/>
  <c r="AF42" i="1"/>
  <c r="AD43" i="1"/>
  <c r="AE42" i="1"/>
  <c r="EJ42" i="1"/>
  <c r="EK41" i="1"/>
  <c r="EL41" i="1"/>
  <c r="DH42" i="1"/>
  <c r="DF43" i="1"/>
  <c r="DG42" i="1"/>
  <c r="EQ43" i="1"/>
  <c r="EO44" i="1"/>
  <c r="EP43" i="1"/>
  <c r="EB42" i="1"/>
  <c r="DZ43" i="1"/>
  <c r="EA42" i="1"/>
  <c r="Y43" i="1"/>
  <c r="Z42" i="1"/>
  <c r="AA42" i="1"/>
  <c r="DP42" i="1"/>
  <c r="DQ41" i="1"/>
  <c r="DR41" i="1"/>
  <c r="EV42" i="1"/>
  <c r="ET43" i="1"/>
  <c r="EU42" i="1"/>
  <c r="CX43" i="1"/>
  <c r="CV44" i="1"/>
  <c r="CW43" i="1"/>
  <c r="BH42" i="1"/>
  <c r="BI41" i="1"/>
  <c r="BJ41" i="1"/>
  <c r="BT42" i="1"/>
  <c r="BR43" i="1"/>
  <c r="BS42" i="1"/>
  <c r="BY42" i="1"/>
  <c r="BX42" i="1"/>
  <c r="BW43" i="1"/>
  <c r="DA43" i="1"/>
  <c r="DB42" i="1"/>
  <c r="DC42" i="1"/>
  <c r="V43" i="1"/>
  <c r="T44" i="1"/>
  <c r="U43" i="1"/>
  <c r="CN42" i="1"/>
  <c r="CL43" i="1"/>
  <c r="CM42" i="1"/>
  <c r="CS41" i="1"/>
  <c r="CQ42" i="1"/>
  <c r="CR41" i="1"/>
  <c r="EG41" i="1"/>
  <c r="EE42" i="1"/>
  <c r="EF41" i="1"/>
  <c r="CI41" i="1"/>
  <c r="CG42" i="1"/>
  <c r="CH41" i="1"/>
  <c r="AZ41" i="1"/>
  <c r="AX42" i="1"/>
  <c r="AY41" i="1"/>
  <c r="CB42" i="1"/>
  <c r="CC41" i="1"/>
  <c r="CD41" i="1"/>
  <c r="BO44" i="1" l="1"/>
  <c r="BM45" i="1"/>
  <c r="BN44" i="1"/>
  <c r="DM45" i="1"/>
  <c r="DK46" i="1"/>
  <c r="DL45" i="1"/>
  <c r="BE42" i="1"/>
  <c r="BC43" i="1"/>
  <c r="BD42" i="1"/>
  <c r="DU43" i="1"/>
  <c r="DV42" i="1"/>
  <c r="DW42" i="1"/>
  <c r="CG43" i="1"/>
  <c r="CH42" i="1"/>
  <c r="CI42" i="1"/>
  <c r="V44" i="1"/>
  <c r="T45" i="1"/>
  <c r="U44" i="1"/>
  <c r="DC43" i="1"/>
  <c r="DA44" i="1"/>
  <c r="DB43" i="1"/>
  <c r="AS43" i="1"/>
  <c r="AT42" i="1"/>
  <c r="AU42" i="1"/>
  <c r="CS42" i="1"/>
  <c r="CQ43" i="1"/>
  <c r="CR42" i="1"/>
  <c r="ET44" i="1"/>
  <c r="EU43" i="1"/>
  <c r="EV43" i="1"/>
  <c r="DR42" i="1"/>
  <c r="DP43" i="1"/>
  <c r="DQ42" i="1"/>
  <c r="EQ44" i="1"/>
  <c r="EO45" i="1"/>
  <c r="EP44" i="1"/>
  <c r="AP42" i="1"/>
  <c r="AN43" i="1"/>
  <c r="AO42" i="1"/>
  <c r="CD42" i="1"/>
  <c r="CB43" i="1"/>
  <c r="CC42" i="1"/>
  <c r="EG42" i="1"/>
  <c r="EE43" i="1"/>
  <c r="EF42" i="1"/>
  <c r="CX44" i="1"/>
  <c r="CV45" i="1"/>
  <c r="CW44" i="1"/>
  <c r="DZ44" i="1"/>
  <c r="EA43" i="1"/>
  <c r="EB43" i="1"/>
  <c r="AD44" i="1"/>
  <c r="AE43" i="1"/>
  <c r="AF43" i="1"/>
  <c r="AZ42" i="1"/>
  <c r="AX43" i="1"/>
  <c r="AY42" i="1"/>
  <c r="CL44" i="1"/>
  <c r="CM43" i="1"/>
  <c r="CN43" i="1"/>
  <c r="BY43" i="1"/>
  <c r="BW44" i="1"/>
  <c r="BX43" i="1"/>
  <c r="BR44" i="1"/>
  <c r="BS43" i="1"/>
  <c r="BT43" i="1"/>
  <c r="BJ42" i="1"/>
  <c r="BH43" i="1"/>
  <c r="BI42" i="1"/>
  <c r="AA43" i="1"/>
  <c r="Y44" i="1"/>
  <c r="Z43" i="1"/>
  <c r="DF44" i="1"/>
  <c r="DG43" i="1"/>
  <c r="DH43" i="1"/>
  <c r="EL42" i="1"/>
  <c r="EJ43" i="1"/>
  <c r="EK42" i="1"/>
  <c r="AK45" i="1"/>
  <c r="AI46" i="1"/>
  <c r="AJ45" i="1"/>
  <c r="AA44" i="1" l="1"/>
  <c r="Y45" i="1"/>
  <c r="Z44" i="1"/>
  <c r="EL43" i="1"/>
  <c r="EJ44" i="1"/>
  <c r="EK43" i="1"/>
  <c r="DH44" i="1"/>
  <c r="DF45" i="1"/>
  <c r="DG44" i="1"/>
  <c r="EB44" i="1"/>
  <c r="DZ45" i="1"/>
  <c r="EA44" i="1"/>
  <c r="CD43" i="1"/>
  <c r="CB44" i="1"/>
  <c r="CC43" i="1"/>
  <c r="T46" i="1"/>
  <c r="U45" i="1"/>
  <c r="V45" i="1"/>
  <c r="CI43" i="1"/>
  <c r="CG44" i="1"/>
  <c r="CH43" i="1"/>
  <c r="DM46" i="1"/>
  <c r="DK47" i="1"/>
  <c r="DL46" i="1"/>
  <c r="AK46" i="1"/>
  <c r="AI47" i="1"/>
  <c r="AJ46" i="1"/>
  <c r="BJ43" i="1"/>
  <c r="BH44" i="1"/>
  <c r="BI43" i="1"/>
  <c r="BS44" i="1"/>
  <c r="BR45" i="1"/>
  <c r="BT44" i="1"/>
  <c r="AX44" i="1"/>
  <c r="AY43" i="1"/>
  <c r="AZ43" i="1"/>
  <c r="AF44" i="1"/>
  <c r="AD45" i="1"/>
  <c r="AE44" i="1"/>
  <c r="EG43" i="1"/>
  <c r="EE44" i="1"/>
  <c r="EF43" i="1"/>
  <c r="DR43" i="1"/>
  <c r="DP44" i="1"/>
  <c r="DQ43" i="1"/>
  <c r="ET45" i="1"/>
  <c r="EV44" i="1"/>
  <c r="EU44" i="1"/>
  <c r="DC44" i="1"/>
  <c r="DA45" i="1"/>
  <c r="DB44" i="1"/>
  <c r="BE43" i="1"/>
  <c r="BC44" i="1"/>
  <c r="BD43" i="1"/>
  <c r="CV46" i="1"/>
  <c r="CW45" i="1"/>
  <c r="CX45" i="1"/>
  <c r="EQ45" i="1"/>
  <c r="EO46" i="1"/>
  <c r="EP45" i="1"/>
  <c r="BW45" i="1"/>
  <c r="BX44" i="1"/>
  <c r="BY44" i="1"/>
  <c r="CN44" i="1"/>
  <c r="CL45" i="1"/>
  <c r="CM44" i="1"/>
  <c r="AP43" i="1"/>
  <c r="AN44" i="1"/>
  <c r="AO43" i="1"/>
  <c r="CS43" i="1"/>
  <c r="CQ44" i="1"/>
  <c r="CR43" i="1"/>
  <c r="AT43" i="1"/>
  <c r="AU43" i="1"/>
  <c r="AS44" i="1"/>
  <c r="DU44" i="1"/>
  <c r="DW43" i="1"/>
  <c r="DV43" i="1"/>
  <c r="BO45" i="1"/>
  <c r="BM46" i="1"/>
  <c r="BN45" i="1"/>
  <c r="BM47" i="1" l="1"/>
  <c r="BN46" i="1"/>
  <c r="BO46" i="1"/>
  <c r="V46" i="1"/>
  <c r="T47" i="1"/>
  <c r="U46" i="1"/>
  <c r="DH45" i="1"/>
  <c r="DF46" i="1"/>
  <c r="DG45" i="1"/>
  <c r="CQ45" i="1"/>
  <c r="CR44" i="1"/>
  <c r="CS44" i="1"/>
  <c r="CX46" i="1"/>
  <c r="CV47" i="1"/>
  <c r="CW46" i="1"/>
  <c r="DM47" i="1"/>
  <c r="DK48" i="1"/>
  <c r="DL47" i="1"/>
  <c r="EB45" i="1"/>
  <c r="DZ46" i="1"/>
  <c r="EA45" i="1"/>
  <c r="DC45" i="1"/>
  <c r="DA46" i="1"/>
  <c r="DB45" i="1"/>
  <c r="EV45" i="1"/>
  <c r="ET46" i="1"/>
  <c r="EU45" i="1"/>
  <c r="AF45" i="1"/>
  <c r="AD46" i="1"/>
  <c r="AE45" i="1"/>
  <c r="AZ44" i="1"/>
  <c r="AX45" i="1"/>
  <c r="AY44" i="1"/>
  <c r="AK47" i="1"/>
  <c r="AI48" i="1"/>
  <c r="AJ47" i="1"/>
  <c r="CD44" i="1"/>
  <c r="CB45" i="1"/>
  <c r="CC44" i="1"/>
  <c r="AA45" i="1"/>
  <c r="Y46" i="1"/>
  <c r="Z45" i="1"/>
  <c r="DW44" i="1"/>
  <c r="DV44" i="1"/>
  <c r="DU45" i="1"/>
  <c r="AP44" i="1"/>
  <c r="AN45" i="1"/>
  <c r="AO44" i="1"/>
  <c r="DR44" i="1"/>
  <c r="DP45" i="1"/>
  <c r="DQ44" i="1"/>
  <c r="BT45" i="1"/>
  <c r="BR46" i="1"/>
  <c r="BS45" i="1"/>
  <c r="CI44" i="1"/>
  <c r="CG45" i="1"/>
  <c r="CH44" i="1"/>
  <c r="AU44" i="1"/>
  <c r="AT44" i="1"/>
  <c r="AS45" i="1"/>
  <c r="EO47" i="1"/>
  <c r="EP46" i="1"/>
  <c r="EQ46" i="1"/>
  <c r="CN45" i="1"/>
  <c r="CL46" i="1"/>
  <c r="CM45" i="1"/>
  <c r="BY45" i="1"/>
  <c r="BW46" i="1"/>
  <c r="BX45" i="1"/>
  <c r="BC45" i="1"/>
  <c r="BD44" i="1"/>
  <c r="BE44" i="1"/>
  <c r="EE45" i="1"/>
  <c r="EF44" i="1"/>
  <c r="EG44" i="1"/>
  <c r="BJ44" i="1"/>
  <c r="BH45" i="1"/>
  <c r="BI44" i="1"/>
  <c r="EL44" i="1"/>
  <c r="EJ45" i="1"/>
  <c r="EK44" i="1"/>
  <c r="AU45" i="1" l="1"/>
  <c r="AS46" i="1"/>
  <c r="AT45" i="1"/>
  <c r="CI45" i="1"/>
  <c r="CG46" i="1"/>
  <c r="CH45" i="1"/>
  <c r="AZ45" i="1"/>
  <c r="AX46" i="1"/>
  <c r="AY45" i="1"/>
  <c r="AI49" i="1"/>
  <c r="AJ48" i="1"/>
  <c r="AK48" i="1"/>
  <c r="BE45" i="1"/>
  <c r="BC46" i="1"/>
  <c r="BD45" i="1"/>
  <c r="DP46" i="1"/>
  <c r="DQ45" i="1"/>
  <c r="DR45" i="1"/>
  <c r="CB46" i="1"/>
  <c r="CC45" i="1"/>
  <c r="CD45" i="1"/>
  <c r="EV46" i="1"/>
  <c r="ET47" i="1"/>
  <c r="EU46" i="1"/>
  <c r="CX47" i="1"/>
  <c r="CV48" i="1"/>
  <c r="CW47" i="1"/>
  <c r="CR45" i="1"/>
  <c r="CS45" i="1"/>
  <c r="CQ46" i="1"/>
  <c r="EJ46" i="1"/>
  <c r="EK45" i="1"/>
  <c r="EL45" i="1"/>
  <c r="BY46" i="1"/>
  <c r="BW47" i="1"/>
  <c r="BX46" i="1"/>
  <c r="EB46" i="1"/>
  <c r="DZ47" i="1"/>
  <c r="EA46" i="1"/>
  <c r="DH46" i="1"/>
  <c r="DF47" i="1"/>
  <c r="DG46" i="1"/>
  <c r="AN46" i="1"/>
  <c r="AO45" i="1"/>
  <c r="AP45" i="1"/>
  <c r="DA47" i="1"/>
  <c r="DB46" i="1"/>
  <c r="DC46" i="1"/>
  <c r="BH46" i="1"/>
  <c r="BI45" i="1"/>
  <c r="BJ45" i="1"/>
  <c r="EG45" i="1"/>
  <c r="EE46" i="1"/>
  <c r="EF45" i="1"/>
  <c r="CN46" i="1"/>
  <c r="CL47" i="1"/>
  <c r="CM46" i="1"/>
  <c r="EP47" i="1"/>
  <c r="EQ47" i="1"/>
  <c r="EO48" i="1"/>
  <c r="BT46" i="1"/>
  <c r="BR47" i="1"/>
  <c r="BS46" i="1"/>
  <c r="DW45" i="1"/>
  <c r="DU46" i="1"/>
  <c r="DV45" i="1"/>
  <c r="Y47" i="1"/>
  <c r="Z46" i="1"/>
  <c r="AA46" i="1"/>
  <c r="AF46" i="1"/>
  <c r="AD47" i="1"/>
  <c r="AE46" i="1"/>
  <c r="DK49" i="1"/>
  <c r="DL48" i="1"/>
  <c r="DM48" i="1"/>
  <c r="V47" i="1"/>
  <c r="T48" i="1"/>
  <c r="U47" i="1"/>
  <c r="BM48" i="1"/>
  <c r="BO47" i="1"/>
  <c r="BN47" i="1"/>
  <c r="EQ48" i="1" l="1"/>
  <c r="EP48" i="1"/>
  <c r="EO49" i="1"/>
  <c r="CL48" i="1"/>
  <c r="CM47" i="1"/>
  <c r="CN47" i="1"/>
  <c r="BO48" i="1"/>
  <c r="BM49" i="1"/>
  <c r="BN48" i="1"/>
  <c r="AD48" i="1"/>
  <c r="AE47" i="1"/>
  <c r="AF47" i="1"/>
  <c r="AA47" i="1"/>
  <c r="Y48" i="1"/>
  <c r="Z47" i="1"/>
  <c r="AN47" i="1"/>
  <c r="AP46" i="1"/>
  <c r="AO46" i="1"/>
  <c r="BY47" i="1"/>
  <c r="BW48" i="1"/>
  <c r="BX47" i="1"/>
  <c r="EL46" i="1"/>
  <c r="EJ47" i="1"/>
  <c r="EK46" i="1"/>
  <c r="ET48" i="1"/>
  <c r="EU47" i="1"/>
  <c r="EV47" i="1"/>
  <c r="CD46" i="1"/>
  <c r="CB47" i="1"/>
  <c r="CC46" i="1"/>
  <c r="BR48" i="1"/>
  <c r="BS47" i="1"/>
  <c r="BT47" i="1"/>
  <c r="DC47" i="1"/>
  <c r="DA48" i="1"/>
  <c r="DB47" i="1"/>
  <c r="DZ48" i="1"/>
  <c r="EA47" i="1"/>
  <c r="EB47" i="1"/>
  <c r="CS46" i="1"/>
  <c r="CR46" i="1"/>
  <c r="CQ47" i="1"/>
  <c r="CX48" i="1"/>
  <c r="CV49" i="1"/>
  <c r="CW48" i="1"/>
  <c r="BE46" i="1"/>
  <c r="BC47" i="1"/>
  <c r="BD46" i="1"/>
  <c r="AJ49" i="1"/>
  <c r="AI50" i="1"/>
  <c r="AK49" i="1"/>
  <c r="AS47" i="1"/>
  <c r="AT46" i="1"/>
  <c r="AU46" i="1"/>
  <c r="DQ46" i="1"/>
  <c r="DP47" i="1"/>
  <c r="DR46" i="1"/>
  <c r="AZ46" i="1"/>
  <c r="AX47" i="1"/>
  <c r="AY46" i="1"/>
  <c r="V48" i="1"/>
  <c r="T49" i="1"/>
  <c r="U48" i="1"/>
  <c r="DK50" i="1"/>
  <c r="DM49" i="1"/>
  <c r="DL49" i="1"/>
  <c r="DU47" i="1"/>
  <c r="DV46" i="1"/>
  <c r="DW46" i="1"/>
  <c r="EG46" i="1"/>
  <c r="EE47" i="1"/>
  <c r="EF46" i="1"/>
  <c r="BJ46" i="1"/>
  <c r="BH47" i="1"/>
  <c r="BI46" i="1"/>
  <c r="DF48" i="1"/>
  <c r="DG47" i="1"/>
  <c r="DH47" i="1"/>
  <c r="CG47" i="1"/>
  <c r="CH46" i="1"/>
  <c r="CI46" i="1"/>
  <c r="BO49" i="1" l="1"/>
  <c r="BM50" i="1"/>
  <c r="BN49" i="1"/>
  <c r="EG47" i="1"/>
  <c r="EE48" i="1"/>
  <c r="EF47" i="1"/>
  <c r="AX48" i="1"/>
  <c r="AY47" i="1"/>
  <c r="AZ47" i="1"/>
  <c r="EL47" i="1"/>
  <c r="EJ48" i="1"/>
  <c r="EK47" i="1"/>
  <c r="EQ49" i="1"/>
  <c r="EO50" i="1"/>
  <c r="EP49" i="1"/>
  <c r="BJ47" i="1"/>
  <c r="BH48" i="1"/>
  <c r="BI47" i="1"/>
  <c r="T50" i="1"/>
  <c r="U49" i="1"/>
  <c r="V49" i="1"/>
  <c r="AK50" i="1"/>
  <c r="AI51" i="1"/>
  <c r="AJ50" i="1"/>
  <c r="CS47" i="1"/>
  <c r="CQ48" i="1"/>
  <c r="CR47" i="1"/>
  <c r="AA48" i="1"/>
  <c r="Y49" i="1"/>
  <c r="Z48" i="1"/>
  <c r="AF48" i="1"/>
  <c r="AD49" i="1"/>
  <c r="AE48" i="1"/>
  <c r="DH48" i="1"/>
  <c r="DF49" i="1"/>
  <c r="DG48" i="1"/>
  <c r="DM50" i="1"/>
  <c r="DK51" i="1"/>
  <c r="DL50" i="1"/>
  <c r="DR47" i="1"/>
  <c r="DP48" i="1"/>
  <c r="DQ47" i="1"/>
  <c r="AU47" i="1"/>
  <c r="AS48" i="1"/>
  <c r="AT47" i="1"/>
  <c r="CV50" i="1"/>
  <c r="CW49" i="1"/>
  <c r="CX49" i="1"/>
  <c r="BW49" i="1"/>
  <c r="BX48" i="1"/>
  <c r="BY48" i="1"/>
  <c r="AP47" i="1"/>
  <c r="AO47" i="1"/>
  <c r="AN48" i="1"/>
  <c r="CL49" i="1"/>
  <c r="CN48" i="1"/>
  <c r="CM48" i="1"/>
  <c r="CI47" i="1"/>
  <c r="CG48" i="1"/>
  <c r="CH47" i="1"/>
  <c r="DW47" i="1"/>
  <c r="DU48" i="1"/>
  <c r="DV47" i="1"/>
  <c r="BE47" i="1"/>
  <c r="BC48" i="1"/>
  <c r="BD47" i="1"/>
  <c r="DC48" i="1"/>
  <c r="DA49" i="1"/>
  <c r="DB48" i="1"/>
  <c r="BT48" i="1"/>
  <c r="BR49" i="1"/>
  <c r="BS48" i="1"/>
  <c r="EB48" i="1"/>
  <c r="DZ49" i="1"/>
  <c r="EA48" i="1"/>
  <c r="CD47" i="1"/>
  <c r="CB48" i="1"/>
  <c r="CC47" i="1"/>
  <c r="EV48" i="1"/>
  <c r="ET49" i="1"/>
  <c r="EU48" i="1"/>
  <c r="DC49" i="1" l="1"/>
  <c r="DA50" i="1"/>
  <c r="DB49" i="1"/>
  <c r="AU48" i="1"/>
  <c r="AS49" i="1"/>
  <c r="AT48" i="1"/>
  <c r="CI48" i="1"/>
  <c r="CG49" i="1"/>
  <c r="CH48" i="1"/>
  <c r="CN49" i="1"/>
  <c r="CM49" i="1"/>
  <c r="CL50" i="1"/>
  <c r="DH49" i="1"/>
  <c r="DF50" i="1"/>
  <c r="DG49" i="1"/>
  <c r="AK51" i="1"/>
  <c r="AI52" i="1"/>
  <c r="AJ51" i="1"/>
  <c r="V50" i="1"/>
  <c r="T51" i="1"/>
  <c r="U50" i="1"/>
  <c r="EL48" i="1"/>
  <c r="EJ49" i="1"/>
  <c r="EK48" i="1"/>
  <c r="AZ48" i="1"/>
  <c r="AX49" i="1"/>
  <c r="AY48" i="1"/>
  <c r="EB49" i="1"/>
  <c r="DZ50" i="1"/>
  <c r="EA49" i="1"/>
  <c r="DW48" i="1"/>
  <c r="DU49" i="1"/>
  <c r="DV48" i="1"/>
  <c r="AP48" i="1"/>
  <c r="AN49" i="1"/>
  <c r="AO48" i="1"/>
  <c r="CX50" i="1"/>
  <c r="CV51" i="1"/>
  <c r="CW50" i="1"/>
  <c r="DM51" i="1"/>
  <c r="DK52" i="1"/>
  <c r="DL51" i="1"/>
  <c r="CQ49" i="1"/>
  <c r="CR48" i="1"/>
  <c r="CS48" i="1"/>
  <c r="EO51" i="1"/>
  <c r="EP50" i="1"/>
  <c r="EQ50" i="1"/>
  <c r="BM51" i="1"/>
  <c r="BN50" i="1"/>
  <c r="BO50" i="1"/>
  <c r="EV49" i="1"/>
  <c r="ET50" i="1"/>
  <c r="EU49" i="1"/>
  <c r="AF49" i="1"/>
  <c r="AD50" i="1"/>
  <c r="AE49" i="1"/>
  <c r="BT49" i="1"/>
  <c r="BR50" i="1"/>
  <c r="BS49" i="1"/>
  <c r="CD48" i="1"/>
  <c r="CB49" i="1"/>
  <c r="CC48" i="1"/>
  <c r="BC49" i="1"/>
  <c r="BD48" i="1"/>
  <c r="BE48" i="1"/>
  <c r="BY49" i="1"/>
  <c r="BW50" i="1"/>
  <c r="BX49" i="1"/>
  <c r="DR48" i="1"/>
  <c r="DP49" i="1"/>
  <c r="DQ48" i="1"/>
  <c r="AA49" i="1"/>
  <c r="Y50" i="1"/>
  <c r="Z49" i="1"/>
  <c r="BJ48" i="1"/>
  <c r="BH49" i="1"/>
  <c r="BI48" i="1"/>
  <c r="EE49" i="1"/>
  <c r="EF48" i="1"/>
  <c r="EG48" i="1"/>
  <c r="BE49" i="1" l="1"/>
  <c r="BC50" i="1"/>
  <c r="BD49" i="1"/>
  <c r="AF50" i="1"/>
  <c r="AD51" i="1"/>
  <c r="AE50" i="1"/>
  <c r="V51" i="1"/>
  <c r="T52" i="1"/>
  <c r="U51" i="1"/>
  <c r="BT50" i="1"/>
  <c r="BR51" i="1"/>
  <c r="BS50" i="1"/>
  <c r="CS49" i="1"/>
  <c r="CQ50" i="1"/>
  <c r="CR49" i="1"/>
  <c r="AN50" i="1"/>
  <c r="AO49" i="1"/>
  <c r="AP49" i="1"/>
  <c r="EJ50" i="1"/>
  <c r="EK49" i="1"/>
  <c r="EL49" i="1"/>
  <c r="Y51" i="1"/>
  <c r="Z50" i="1"/>
  <c r="AA50" i="1"/>
  <c r="CB50" i="1"/>
  <c r="CC49" i="1"/>
  <c r="CD49" i="1"/>
  <c r="EQ51" i="1"/>
  <c r="EO52" i="1"/>
  <c r="EP51" i="1"/>
  <c r="CX51" i="1"/>
  <c r="CV52" i="1"/>
  <c r="CW51" i="1"/>
  <c r="AZ49" i="1"/>
  <c r="AX50" i="1"/>
  <c r="AY49" i="1"/>
  <c r="DH50" i="1"/>
  <c r="DF51" i="1"/>
  <c r="DG50" i="1"/>
  <c r="DA51" i="1"/>
  <c r="DB50" i="1"/>
  <c r="DC50" i="1"/>
  <c r="BY50" i="1"/>
  <c r="BW51" i="1"/>
  <c r="BX50" i="1"/>
  <c r="DW49" i="1"/>
  <c r="DU50" i="1"/>
  <c r="DV49" i="1"/>
  <c r="CN50" i="1"/>
  <c r="CL51" i="1"/>
  <c r="CM50" i="1"/>
  <c r="CI49" i="1"/>
  <c r="CG50" i="1"/>
  <c r="CH49" i="1"/>
  <c r="EG49" i="1"/>
  <c r="EE50" i="1"/>
  <c r="EF49" i="1"/>
  <c r="DP50" i="1"/>
  <c r="DQ49" i="1"/>
  <c r="DR49" i="1"/>
  <c r="BH50" i="1"/>
  <c r="BI49" i="1"/>
  <c r="BJ49" i="1"/>
  <c r="EV50" i="1"/>
  <c r="ET51" i="1"/>
  <c r="EU50" i="1"/>
  <c r="BO51" i="1"/>
  <c r="BM52" i="1"/>
  <c r="BN51" i="1"/>
  <c r="DK53" i="1"/>
  <c r="DL52" i="1"/>
  <c r="DM52" i="1"/>
  <c r="EB50" i="1"/>
  <c r="DZ51" i="1"/>
  <c r="EA50" i="1"/>
  <c r="AI53" i="1"/>
  <c r="AJ52" i="1"/>
  <c r="AK52" i="1"/>
  <c r="AU49" i="1"/>
  <c r="AS50" i="1"/>
  <c r="AT49" i="1"/>
  <c r="ET52" i="1" l="1"/>
  <c r="EU51" i="1"/>
  <c r="EV51" i="1"/>
  <c r="BI50" i="1"/>
  <c r="BJ50" i="1"/>
  <c r="BH51" i="1"/>
  <c r="CG51" i="1"/>
  <c r="CH50" i="1"/>
  <c r="CI50" i="1"/>
  <c r="EQ52" i="1"/>
  <c r="EO53" i="1"/>
  <c r="EP52" i="1"/>
  <c r="CD50" i="1"/>
  <c r="CB51" i="1"/>
  <c r="CC50" i="1"/>
  <c r="AD52" i="1"/>
  <c r="AE51" i="1"/>
  <c r="AF51" i="1"/>
  <c r="AS51" i="1"/>
  <c r="AT50" i="1"/>
  <c r="AU50" i="1"/>
  <c r="AK53" i="1"/>
  <c r="AI54" i="1"/>
  <c r="AJ53" i="1"/>
  <c r="BO52" i="1"/>
  <c r="BM53" i="1"/>
  <c r="BN52" i="1"/>
  <c r="EG50" i="1"/>
  <c r="EE51" i="1"/>
  <c r="EF50" i="1"/>
  <c r="BY51" i="1"/>
  <c r="BW52" i="1"/>
  <c r="BX51" i="1"/>
  <c r="DC51" i="1"/>
  <c r="DA52" i="1"/>
  <c r="DB51" i="1"/>
  <c r="CX52" i="1"/>
  <c r="CV53" i="1"/>
  <c r="CW52" i="1"/>
  <c r="AP50" i="1"/>
  <c r="AN51" i="1"/>
  <c r="AO50" i="1"/>
  <c r="V52" i="1"/>
  <c r="T53" i="1"/>
  <c r="U52" i="1"/>
  <c r="DU51" i="1"/>
  <c r="DV50" i="1"/>
  <c r="DW50" i="1"/>
  <c r="AZ50" i="1"/>
  <c r="AX51" i="1"/>
  <c r="AY50" i="1"/>
  <c r="EJ51" i="1"/>
  <c r="EL50" i="1"/>
  <c r="EK50" i="1"/>
  <c r="BR52" i="1"/>
  <c r="BS51" i="1"/>
  <c r="BT51" i="1"/>
  <c r="DZ52" i="1"/>
  <c r="EA51" i="1"/>
  <c r="EB51" i="1"/>
  <c r="DM53" i="1"/>
  <c r="DK54" i="1"/>
  <c r="DL53" i="1"/>
  <c r="DR50" i="1"/>
  <c r="DP51" i="1"/>
  <c r="DQ50" i="1"/>
  <c r="CL52" i="1"/>
  <c r="CM51" i="1"/>
  <c r="CN51" i="1"/>
  <c r="DF52" i="1"/>
  <c r="DG51" i="1"/>
  <c r="DH51" i="1"/>
  <c r="AA51" i="1"/>
  <c r="Y52" i="1"/>
  <c r="Z51" i="1"/>
  <c r="CS50" i="1"/>
  <c r="CQ51" i="1"/>
  <c r="CR50" i="1"/>
  <c r="BE50" i="1"/>
  <c r="BC51" i="1"/>
  <c r="BD50" i="1"/>
  <c r="BE51" i="1" l="1"/>
  <c r="BC52" i="1"/>
  <c r="BD51" i="1"/>
  <c r="T54" i="1"/>
  <c r="U53" i="1"/>
  <c r="V53" i="1"/>
  <c r="AD53" i="1"/>
  <c r="AF52" i="1"/>
  <c r="AE52" i="1"/>
  <c r="CN52" i="1"/>
  <c r="CL53" i="1"/>
  <c r="CM52" i="1"/>
  <c r="BT52" i="1"/>
  <c r="BR53" i="1"/>
  <c r="BS52" i="1"/>
  <c r="DC52" i="1"/>
  <c r="DA53" i="1"/>
  <c r="DB52" i="1"/>
  <c r="AK54" i="1"/>
  <c r="AI55" i="1"/>
  <c r="AJ54" i="1"/>
  <c r="AU51" i="1"/>
  <c r="AS52" i="1"/>
  <c r="AT51" i="1"/>
  <c r="EQ53" i="1"/>
  <c r="EO54" i="1"/>
  <c r="EP53" i="1"/>
  <c r="CH51" i="1"/>
  <c r="CG52" i="1"/>
  <c r="CI51" i="1"/>
  <c r="AA52" i="1"/>
  <c r="Y53" i="1"/>
  <c r="Z52" i="1"/>
  <c r="DG52" i="1"/>
  <c r="DH52" i="1"/>
  <c r="DF53" i="1"/>
  <c r="DM54" i="1"/>
  <c r="DK55" i="1"/>
  <c r="DL54" i="1"/>
  <c r="EB52" i="1"/>
  <c r="DZ53" i="1"/>
  <c r="EA52" i="1"/>
  <c r="AX52" i="1"/>
  <c r="AY51" i="1"/>
  <c r="AZ51" i="1"/>
  <c r="DW51" i="1"/>
  <c r="DU52" i="1"/>
  <c r="DV51" i="1"/>
  <c r="CV54" i="1"/>
  <c r="CW53" i="1"/>
  <c r="CX53" i="1"/>
  <c r="BO53" i="1"/>
  <c r="BM54" i="1"/>
  <c r="BN53" i="1"/>
  <c r="CD51" i="1"/>
  <c r="CB52" i="1"/>
  <c r="CC51" i="1"/>
  <c r="BJ51" i="1"/>
  <c r="BI51" i="1"/>
  <c r="BH52" i="1"/>
  <c r="EL51" i="1"/>
  <c r="EK51" i="1"/>
  <c r="EJ52" i="1"/>
  <c r="BW53" i="1"/>
  <c r="BX52" i="1"/>
  <c r="BY52" i="1"/>
  <c r="CS51" i="1"/>
  <c r="CQ52" i="1"/>
  <c r="CR51" i="1"/>
  <c r="DR51" i="1"/>
  <c r="DP52" i="1"/>
  <c r="DQ51" i="1"/>
  <c r="AP51" i="1"/>
  <c r="AN52" i="1"/>
  <c r="AO51" i="1"/>
  <c r="EG51" i="1"/>
  <c r="EE52" i="1"/>
  <c r="EF51" i="1"/>
  <c r="EV52" i="1"/>
  <c r="ET53" i="1"/>
  <c r="EU52" i="1"/>
  <c r="EV53" i="1" l="1"/>
  <c r="ET54" i="1"/>
  <c r="EU53" i="1"/>
  <c r="BY53" i="1"/>
  <c r="BW54" i="1"/>
  <c r="BX53" i="1"/>
  <c r="BJ52" i="1"/>
  <c r="BH53" i="1"/>
  <c r="BI52" i="1"/>
  <c r="CD52" i="1"/>
  <c r="CB53" i="1"/>
  <c r="CC52" i="1"/>
  <c r="AA53" i="1"/>
  <c r="Y54" i="1"/>
  <c r="Z53" i="1"/>
  <c r="AK55" i="1"/>
  <c r="AI56" i="1"/>
  <c r="AJ55" i="1"/>
  <c r="DR52" i="1"/>
  <c r="DP53" i="1"/>
  <c r="DQ52" i="1"/>
  <c r="EL52" i="1"/>
  <c r="EJ53" i="1"/>
  <c r="EK52" i="1"/>
  <c r="DW52" i="1"/>
  <c r="DU53" i="1"/>
  <c r="DV52" i="1"/>
  <c r="AZ52" i="1"/>
  <c r="AX53" i="1"/>
  <c r="AY52" i="1"/>
  <c r="AU52" i="1"/>
  <c r="AS53" i="1"/>
  <c r="AT52" i="1"/>
  <c r="AP52" i="1"/>
  <c r="AN53" i="1"/>
  <c r="AO52" i="1"/>
  <c r="DM55" i="1"/>
  <c r="DK56" i="1"/>
  <c r="DL55" i="1"/>
  <c r="EO55" i="1"/>
  <c r="EP54" i="1"/>
  <c r="EQ54" i="1"/>
  <c r="BT53" i="1"/>
  <c r="BR54" i="1"/>
  <c r="BS53" i="1"/>
  <c r="BC53" i="1"/>
  <c r="BD52" i="1"/>
  <c r="BE52" i="1"/>
  <c r="CQ53" i="1"/>
  <c r="CR52" i="1"/>
  <c r="CS52" i="1"/>
  <c r="DH53" i="1"/>
  <c r="DG53" i="1"/>
  <c r="DF54" i="1"/>
  <c r="V54" i="1"/>
  <c r="T55" i="1"/>
  <c r="U54" i="1"/>
  <c r="CN53" i="1"/>
  <c r="CL54" i="1"/>
  <c r="CM53" i="1"/>
  <c r="AF53" i="1"/>
  <c r="AD54" i="1"/>
  <c r="AE53" i="1"/>
  <c r="EE53" i="1"/>
  <c r="EF52" i="1"/>
  <c r="EG52" i="1"/>
  <c r="BM55" i="1"/>
  <c r="BN54" i="1"/>
  <c r="BO54" i="1"/>
  <c r="CX54" i="1"/>
  <c r="CV55" i="1"/>
  <c r="CW54" i="1"/>
  <c r="EB53" i="1"/>
  <c r="DZ54" i="1"/>
  <c r="EA53" i="1"/>
  <c r="CI52" i="1"/>
  <c r="CG53" i="1"/>
  <c r="CH52" i="1"/>
  <c r="DC53" i="1"/>
  <c r="DA54" i="1"/>
  <c r="DB53" i="1"/>
  <c r="CI53" i="1" l="1"/>
  <c r="CG54" i="1"/>
  <c r="CH53" i="1"/>
  <c r="CS53" i="1"/>
  <c r="CQ54" i="1"/>
  <c r="CR53" i="1"/>
  <c r="AZ53" i="1"/>
  <c r="AX54" i="1"/>
  <c r="AY53" i="1"/>
  <c r="AI57" i="1"/>
  <c r="AJ56" i="1"/>
  <c r="AK56" i="1"/>
  <c r="BY54" i="1"/>
  <c r="BW55" i="1"/>
  <c r="BX54" i="1"/>
  <c r="DA55" i="1"/>
  <c r="DB54" i="1"/>
  <c r="DC54" i="1"/>
  <c r="EF53" i="1"/>
  <c r="EE54" i="1"/>
  <c r="EG53" i="1"/>
  <c r="V55" i="1"/>
  <c r="T56" i="1"/>
  <c r="U55" i="1"/>
  <c r="BT54" i="1"/>
  <c r="BR55" i="1"/>
  <c r="BS54" i="1"/>
  <c r="EQ55" i="1"/>
  <c r="EO56" i="1"/>
  <c r="EP55" i="1"/>
  <c r="AU53" i="1"/>
  <c r="AS54" i="1"/>
  <c r="AT53" i="1"/>
  <c r="DP54" i="1"/>
  <c r="DQ53" i="1"/>
  <c r="DR53" i="1"/>
  <c r="BH54" i="1"/>
  <c r="BI53" i="1"/>
  <c r="BJ53" i="1"/>
  <c r="CX55" i="1"/>
  <c r="CV56" i="1"/>
  <c r="CW55" i="1"/>
  <c r="BO55" i="1"/>
  <c r="BM56" i="1"/>
  <c r="BN55" i="1"/>
  <c r="CN54" i="1"/>
  <c r="CL55" i="1"/>
  <c r="CM54" i="1"/>
  <c r="AN54" i="1"/>
  <c r="AO53" i="1"/>
  <c r="AP53" i="1"/>
  <c r="EJ54" i="1"/>
  <c r="EK53" i="1"/>
  <c r="EL53" i="1"/>
  <c r="CB54" i="1"/>
  <c r="CC53" i="1"/>
  <c r="CD53" i="1"/>
  <c r="EB54" i="1"/>
  <c r="DZ55" i="1"/>
  <c r="EA54" i="1"/>
  <c r="AF54" i="1"/>
  <c r="AD55" i="1"/>
  <c r="AE54" i="1"/>
  <c r="DH54" i="1"/>
  <c r="DF55" i="1"/>
  <c r="DG54" i="1"/>
  <c r="BC54" i="1"/>
  <c r="BE53" i="1"/>
  <c r="BD53" i="1"/>
  <c r="DK57" i="1"/>
  <c r="DL56" i="1"/>
  <c r="DM56" i="1"/>
  <c r="DW53" i="1"/>
  <c r="DU54" i="1"/>
  <c r="DV53" i="1"/>
  <c r="Y55" i="1"/>
  <c r="Z54" i="1"/>
  <c r="AA54" i="1"/>
  <c r="EV54" i="1"/>
  <c r="ET55" i="1"/>
  <c r="EU54" i="1"/>
  <c r="ET56" i="1" l="1"/>
  <c r="EU55" i="1"/>
  <c r="EV55" i="1"/>
  <c r="Z55" i="1"/>
  <c r="AA55" i="1"/>
  <c r="Y56" i="1"/>
  <c r="BE54" i="1"/>
  <c r="BD54" i="1"/>
  <c r="BC55" i="1"/>
  <c r="DZ56" i="1"/>
  <c r="EA55" i="1"/>
  <c r="EB55" i="1"/>
  <c r="CB55" i="1"/>
  <c r="CD54" i="1"/>
  <c r="CC54" i="1"/>
  <c r="CL56" i="1"/>
  <c r="CM55" i="1"/>
  <c r="CN55" i="1"/>
  <c r="V56" i="1"/>
  <c r="T57" i="1"/>
  <c r="U56" i="1"/>
  <c r="DU55" i="1"/>
  <c r="DV54" i="1"/>
  <c r="DW54" i="1"/>
  <c r="DM57" i="1"/>
  <c r="DK58" i="1"/>
  <c r="DL57" i="1"/>
  <c r="AD56" i="1"/>
  <c r="AE55" i="1"/>
  <c r="AF55" i="1"/>
  <c r="DR54" i="1"/>
  <c r="DP55" i="1"/>
  <c r="DQ54" i="1"/>
  <c r="BR56" i="1"/>
  <c r="BS55" i="1"/>
  <c r="BT55" i="1"/>
  <c r="BY55" i="1"/>
  <c r="BW56" i="1"/>
  <c r="BX55" i="1"/>
  <c r="AK57" i="1"/>
  <c r="AI58" i="1"/>
  <c r="AJ57" i="1"/>
  <c r="CG55" i="1"/>
  <c r="CH54" i="1"/>
  <c r="CI54" i="1"/>
  <c r="EL54" i="1"/>
  <c r="EJ55" i="1"/>
  <c r="EK54" i="1"/>
  <c r="BO56" i="1"/>
  <c r="BM57" i="1"/>
  <c r="BN56" i="1"/>
  <c r="AS55" i="1"/>
  <c r="AT54" i="1"/>
  <c r="AU54" i="1"/>
  <c r="EG54" i="1"/>
  <c r="EF54" i="1"/>
  <c r="EE55" i="1"/>
  <c r="DA56" i="1"/>
  <c r="DC55" i="1"/>
  <c r="DB55" i="1"/>
  <c r="AZ54" i="1"/>
  <c r="AX55" i="1"/>
  <c r="AY54" i="1"/>
  <c r="DF56" i="1"/>
  <c r="DG55" i="1"/>
  <c r="DH55" i="1"/>
  <c r="AP54" i="1"/>
  <c r="AN55" i="1"/>
  <c r="AO54" i="1"/>
  <c r="CX56" i="1"/>
  <c r="CV57" i="1"/>
  <c r="CW56" i="1"/>
  <c r="BJ54" i="1"/>
  <c r="BH55" i="1"/>
  <c r="BI54" i="1"/>
  <c r="EQ56" i="1"/>
  <c r="EO57" i="1"/>
  <c r="EP56" i="1"/>
  <c r="CS54" i="1"/>
  <c r="CQ55" i="1"/>
  <c r="CR54" i="1"/>
  <c r="EQ57" i="1" l="1"/>
  <c r="EO58" i="1"/>
  <c r="EP57" i="1"/>
  <c r="EG55" i="1"/>
  <c r="EE56" i="1"/>
  <c r="EF55" i="1"/>
  <c r="AK58" i="1"/>
  <c r="AI59" i="1"/>
  <c r="AJ58" i="1"/>
  <c r="CD55" i="1"/>
  <c r="CB56" i="1"/>
  <c r="CC55" i="1"/>
  <c r="BE55" i="1"/>
  <c r="BC56" i="1"/>
  <c r="BD55" i="1"/>
  <c r="EV56" i="1"/>
  <c r="ET57" i="1"/>
  <c r="EU56" i="1"/>
  <c r="CS55" i="1"/>
  <c r="CQ56" i="1"/>
  <c r="CR55" i="1"/>
  <c r="AP55" i="1"/>
  <c r="AN56" i="1"/>
  <c r="AO55" i="1"/>
  <c r="DH56" i="1"/>
  <c r="DF57" i="1"/>
  <c r="DG56" i="1"/>
  <c r="AU55" i="1"/>
  <c r="AS56" i="1"/>
  <c r="AT55" i="1"/>
  <c r="DR55" i="1"/>
  <c r="DP56" i="1"/>
  <c r="DQ55" i="1"/>
  <c r="AF56" i="1"/>
  <c r="AD57" i="1"/>
  <c r="AE56" i="1"/>
  <c r="T58" i="1"/>
  <c r="U57" i="1"/>
  <c r="V57" i="1"/>
  <c r="CN56" i="1"/>
  <c r="CL57" i="1"/>
  <c r="CM56" i="1"/>
  <c r="CV58" i="1"/>
  <c r="CW57" i="1"/>
  <c r="CX57" i="1"/>
  <c r="EL55" i="1"/>
  <c r="EJ56" i="1"/>
  <c r="EK55" i="1"/>
  <c r="CI55" i="1"/>
  <c r="CG56" i="1"/>
  <c r="CH55" i="1"/>
  <c r="BJ55" i="1"/>
  <c r="BH56" i="1"/>
  <c r="BI55" i="1"/>
  <c r="AX56" i="1"/>
  <c r="AY55" i="1"/>
  <c r="AZ55" i="1"/>
  <c r="DC56" i="1"/>
  <c r="DA57" i="1"/>
  <c r="DB56" i="1"/>
  <c r="BO57" i="1"/>
  <c r="BM58" i="1"/>
  <c r="BN57" i="1"/>
  <c r="BW57" i="1"/>
  <c r="BX56" i="1"/>
  <c r="BY56" i="1"/>
  <c r="BT56" i="1"/>
  <c r="BR57" i="1"/>
  <c r="BS56" i="1"/>
  <c r="DM58" i="1"/>
  <c r="DK59" i="1"/>
  <c r="DL58" i="1"/>
  <c r="DW55" i="1"/>
  <c r="DU56" i="1"/>
  <c r="DV55" i="1"/>
  <c r="EB56" i="1"/>
  <c r="DZ57" i="1"/>
  <c r="EA56" i="1"/>
  <c r="AA56" i="1"/>
  <c r="Y57" i="1"/>
  <c r="Z56" i="1"/>
  <c r="BJ56" i="1" l="1"/>
  <c r="BH57" i="1"/>
  <c r="BI56" i="1"/>
  <c r="CN57" i="1"/>
  <c r="CL58" i="1"/>
  <c r="CM57" i="1"/>
  <c r="V58" i="1"/>
  <c r="U58" i="1"/>
  <c r="T59" i="1"/>
  <c r="AU56" i="1"/>
  <c r="AS57" i="1"/>
  <c r="AT56" i="1"/>
  <c r="EV57" i="1"/>
  <c r="ET58" i="1"/>
  <c r="EU57" i="1"/>
  <c r="EE57" i="1"/>
  <c r="EF56" i="1"/>
  <c r="EG56" i="1"/>
  <c r="AA57" i="1"/>
  <c r="Y58" i="1"/>
  <c r="Z57" i="1"/>
  <c r="BT57" i="1"/>
  <c r="BR58" i="1"/>
  <c r="BS57" i="1"/>
  <c r="BY57" i="1"/>
  <c r="BW58" i="1"/>
  <c r="BX57" i="1"/>
  <c r="DR56" i="1"/>
  <c r="DP57" i="1"/>
  <c r="DQ56" i="1"/>
  <c r="CQ57" i="1"/>
  <c r="CR56" i="1"/>
  <c r="CS56" i="1"/>
  <c r="AK59" i="1"/>
  <c r="AI60" i="1"/>
  <c r="AJ59" i="1"/>
  <c r="EB57" i="1"/>
  <c r="DZ58" i="1"/>
  <c r="EA57" i="1"/>
  <c r="DM59" i="1"/>
  <c r="DK60" i="1"/>
  <c r="DL59" i="1"/>
  <c r="DC57" i="1"/>
  <c r="DA58" i="1"/>
  <c r="DB57" i="1"/>
  <c r="AZ56" i="1"/>
  <c r="AX57" i="1"/>
  <c r="AY56" i="1"/>
  <c r="EL56" i="1"/>
  <c r="EJ57" i="1"/>
  <c r="EK56" i="1"/>
  <c r="CX58" i="1"/>
  <c r="CV59" i="1"/>
  <c r="CW58" i="1"/>
  <c r="AF57" i="1"/>
  <c r="AD58" i="1"/>
  <c r="AE57" i="1"/>
  <c r="AP56" i="1"/>
  <c r="AN57" i="1"/>
  <c r="AO56" i="1"/>
  <c r="CD56" i="1"/>
  <c r="CB57" i="1"/>
  <c r="CC56" i="1"/>
  <c r="DW56" i="1"/>
  <c r="DU57" i="1"/>
  <c r="DV56" i="1"/>
  <c r="BM59" i="1"/>
  <c r="BN58" i="1"/>
  <c r="BO58" i="1"/>
  <c r="CI56" i="1"/>
  <c r="CG57" i="1"/>
  <c r="CH56" i="1"/>
  <c r="DH57" i="1"/>
  <c r="DF58" i="1"/>
  <c r="DG57" i="1"/>
  <c r="BC57" i="1"/>
  <c r="BD56" i="1"/>
  <c r="BE56" i="1"/>
  <c r="EO59" i="1"/>
  <c r="EP58" i="1"/>
  <c r="EQ58" i="1"/>
  <c r="BE57" i="1" l="1"/>
  <c r="BC58" i="1"/>
  <c r="BD57" i="1"/>
  <c r="AF58" i="1"/>
  <c r="AD59" i="1"/>
  <c r="AE58" i="1"/>
  <c r="DA59" i="1"/>
  <c r="DB58" i="1"/>
  <c r="DC58" i="1"/>
  <c r="BO59" i="1"/>
  <c r="BM60" i="1"/>
  <c r="BN59" i="1"/>
  <c r="AZ57" i="1"/>
  <c r="AX58" i="1"/>
  <c r="AY57" i="1"/>
  <c r="CS57" i="1"/>
  <c r="CQ58" i="1"/>
  <c r="CR57" i="1"/>
  <c r="AU57" i="1"/>
  <c r="AS58" i="1"/>
  <c r="AT57" i="1"/>
  <c r="DH58" i="1"/>
  <c r="DF59" i="1"/>
  <c r="DG58" i="1"/>
  <c r="CB58" i="1"/>
  <c r="CC57" i="1"/>
  <c r="CD57" i="1"/>
  <c r="EJ58" i="1"/>
  <c r="EK57" i="1"/>
  <c r="EL57" i="1"/>
  <c r="EB58" i="1"/>
  <c r="DZ59" i="1"/>
  <c r="EA58" i="1"/>
  <c r="BY58" i="1"/>
  <c r="BW59" i="1"/>
  <c r="BX58" i="1"/>
  <c r="EV58" i="1"/>
  <c r="ET59" i="1"/>
  <c r="EU58" i="1"/>
  <c r="BH58" i="1"/>
  <c r="BI57" i="1"/>
  <c r="BJ57" i="1"/>
  <c r="Y59" i="1"/>
  <c r="Z58" i="1"/>
  <c r="AA58" i="1"/>
  <c r="EG57" i="1"/>
  <c r="EE58" i="1"/>
  <c r="EF57" i="1"/>
  <c r="EQ59" i="1"/>
  <c r="EO60" i="1"/>
  <c r="EP59" i="1"/>
  <c r="CI57" i="1"/>
  <c r="CG58" i="1"/>
  <c r="CH57" i="1"/>
  <c r="AN58" i="1"/>
  <c r="AO57" i="1"/>
  <c r="AP57" i="1"/>
  <c r="AI61" i="1"/>
  <c r="AJ60" i="1"/>
  <c r="AK60" i="1"/>
  <c r="BT58" i="1"/>
  <c r="BR59" i="1"/>
  <c r="BS58" i="1"/>
  <c r="DW57" i="1"/>
  <c r="DU58" i="1"/>
  <c r="DV57" i="1"/>
  <c r="CX59" i="1"/>
  <c r="CV60" i="1"/>
  <c r="CW59" i="1"/>
  <c r="DK61" i="1"/>
  <c r="DL60" i="1"/>
  <c r="DM60" i="1"/>
  <c r="DP58" i="1"/>
  <c r="DQ57" i="1"/>
  <c r="DR57" i="1"/>
  <c r="V59" i="1"/>
  <c r="T60" i="1"/>
  <c r="U59" i="1"/>
  <c r="CN58" i="1"/>
  <c r="CL59" i="1"/>
  <c r="CM58" i="1"/>
  <c r="CL60" i="1" l="1"/>
  <c r="CM59" i="1"/>
  <c r="CN59" i="1"/>
  <c r="CX60" i="1"/>
  <c r="CV61" i="1"/>
  <c r="CW60" i="1"/>
  <c r="BJ58" i="1"/>
  <c r="BH59" i="1"/>
  <c r="BI58" i="1"/>
  <c r="DZ60" i="1"/>
  <c r="EA59" i="1"/>
  <c r="EB59" i="1"/>
  <c r="EL58" i="1"/>
  <c r="EJ59" i="1"/>
  <c r="EK58" i="1"/>
  <c r="AS59" i="1"/>
  <c r="AT58" i="1"/>
  <c r="AU58" i="1"/>
  <c r="EG58" i="1"/>
  <c r="EE59" i="1"/>
  <c r="EF58" i="1"/>
  <c r="AA59" i="1"/>
  <c r="Y60" i="1"/>
  <c r="Z59" i="1"/>
  <c r="BY59" i="1"/>
  <c r="BW60" i="1"/>
  <c r="BX59" i="1"/>
  <c r="BO60" i="1"/>
  <c r="BM61" i="1"/>
  <c r="BN60" i="1"/>
  <c r="DC59" i="1"/>
  <c r="DA60" i="1"/>
  <c r="DB59" i="1"/>
  <c r="DM61" i="1"/>
  <c r="DK62" i="1"/>
  <c r="DL61" i="1"/>
  <c r="BR60" i="1"/>
  <c r="BS59" i="1"/>
  <c r="BT59" i="1"/>
  <c r="AK61" i="1"/>
  <c r="AI62" i="1"/>
  <c r="AJ61" i="1"/>
  <c r="EQ60" i="1"/>
  <c r="EO61" i="1"/>
  <c r="EP60" i="1"/>
  <c r="ET60" i="1"/>
  <c r="EU59" i="1"/>
  <c r="EV59" i="1"/>
  <c r="AZ58" i="1"/>
  <c r="AX59" i="1"/>
  <c r="AY58" i="1"/>
  <c r="BE58" i="1"/>
  <c r="BC59" i="1"/>
  <c r="BD58" i="1"/>
  <c r="AP58" i="1"/>
  <c r="AN59" i="1"/>
  <c r="AO58" i="1"/>
  <c r="DF60" i="1"/>
  <c r="DG59" i="1"/>
  <c r="DH59" i="1"/>
  <c r="V60" i="1"/>
  <c r="T61" i="1"/>
  <c r="U60" i="1"/>
  <c r="DR58" i="1"/>
  <c r="DP59" i="1"/>
  <c r="DQ58" i="1"/>
  <c r="DU59" i="1"/>
  <c r="DV58" i="1"/>
  <c r="DW58" i="1"/>
  <c r="CG59" i="1"/>
  <c r="CH58" i="1"/>
  <c r="CI58" i="1"/>
  <c r="CD58" i="1"/>
  <c r="CB59" i="1"/>
  <c r="CC58" i="1"/>
  <c r="CS58" i="1"/>
  <c r="CQ59" i="1"/>
  <c r="CR58" i="1"/>
  <c r="AD60" i="1"/>
  <c r="AE59" i="1"/>
  <c r="AF59" i="1"/>
  <c r="DC60" i="1" l="1"/>
  <c r="DA61" i="1"/>
  <c r="DB60" i="1"/>
  <c r="EG59" i="1"/>
  <c r="EE60" i="1"/>
  <c r="EF59" i="1"/>
  <c r="BJ59" i="1"/>
  <c r="BH60" i="1"/>
  <c r="BI59" i="1"/>
  <c r="DM62" i="1"/>
  <c r="DK63" i="1"/>
  <c r="DL62" i="1"/>
  <c r="CD59" i="1"/>
  <c r="CB60" i="1"/>
  <c r="CC59" i="1"/>
  <c r="CI59" i="1"/>
  <c r="CG60" i="1"/>
  <c r="CH59" i="1"/>
  <c r="T62" i="1"/>
  <c r="U61" i="1"/>
  <c r="V61" i="1"/>
  <c r="DH60" i="1"/>
  <c r="DF61" i="1"/>
  <c r="DG60" i="1"/>
  <c r="AX60" i="1"/>
  <c r="AY59" i="1"/>
  <c r="AZ59" i="1"/>
  <c r="EV60" i="1"/>
  <c r="ET61" i="1"/>
  <c r="EU60" i="1"/>
  <c r="BW61" i="1"/>
  <c r="BX60" i="1"/>
  <c r="BY60" i="1"/>
  <c r="EL59" i="1"/>
  <c r="EJ60" i="1"/>
  <c r="EK59" i="1"/>
  <c r="EB60" i="1"/>
  <c r="DZ61" i="1"/>
  <c r="EA60" i="1"/>
  <c r="AP59" i="1"/>
  <c r="AN60" i="1"/>
  <c r="AO59" i="1"/>
  <c r="EQ61" i="1"/>
  <c r="EO62" i="1"/>
  <c r="EP61" i="1"/>
  <c r="AU59" i="1"/>
  <c r="AS60" i="1"/>
  <c r="AT59" i="1"/>
  <c r="AF60" i="1"/>
  <c r="AD61" i="1"/>
  <c r="AE60" i="1"/>
  <c r="DW59" i="1"/>
  <c r="DV59" i="1"/>
  <c r="DU60" i="1"/>
  <c r="AA60" i="1"/>
  <c r="Y61" i="1"/>
  <c r="Z60" i="1"/>
  <c r="CS59" i="1"/>
  <c r="CQ60" i="1"/>
  <c r="CR59" i="1"/>
  <c r="DR59" i="1"/>
  <c r="DP60" i="1"/>
  <c r="DQ59" i="1"/>
  <c r="BE59" i="1"/>
  <c r="BC60" i="1"/>
  <c r="BD59" i="1"/>
  <c r="AK62" i="1"/>
  <c r="AI63" i="1"/>
  <c r="AJ62" i="1"/>
  <c r="BT60" i="1"/>
  <c r="BS60" i="1"/>
  <c r="BR61" i="1"/>
  <c r="BO61" i="1"/>
  <c r="BM62" i="1"/>
  <c r="BN61" i="1"/>
  <c r="CV62" i="1"/>
  <c r="CW61" i="1"/>
  <c r="CX61" i="1"/>
  <c r="CN60" i="1"/>
  <c r="CL61" i="1"/>
  <c r="CM60" i="1"/>
  <c r="CN61" i="1" l="1"/>
  <c r="CL62" i="1"/>
  <c r="CM61" i="1"/>
  <c r="CX62" i="1"/>
  <c r="CV63" i="1"/>
  <c r="CW62" i="1"/>
  <c r="BT61" i="1"/>
  <c r="BR62" i="1"/>
  <c r="BS61" i="1"/>
  <c r="AK63" i="1"/>
  <c r="AI64" i="1"/>
  <c r="AJ63" i="1"/>
  <c r="EO63" i="1"/>
  <c r="EP62" i="1"/>
  <c r="EQ62" i="1"/>
  <c r="CQ61" i="1"/>
  <c r="CR60" i="1"/>
  <c r="CS60" i="1"/>
  <c r="AU60" i="1"/>
  <c r="AS61" i="1"/>
  <c r="AT60" i="1"/>
  <c r="V62" i="1"/>
  <c r="T63" i="1"/>
  <c r="U62" i="1"/>
  <c r="BM63" i="1"/>
  <c r="BN62" i="1"/>
  <c r="BO62" i="1"/>
  <c r="DR60" i="1"/>
  <c r="DP61" i="1"/>
  <c r="DQ60" i="1"/>
  <c r="DW60" i="1"/>
  <c r="DU61" i="1"/>
  <c r="DV60" i="1"/>
  <c r="AF61" i="1"/>
  <c r="AD62" i="1"/>
  <c r="AE61" i="1"/>
  <c r="EB61" i="1"/>
  <c r="DZ62" i="1"/>
  <c r="EA61" i="1"/>
  <c r="CD60" i="1"/>
  <c r="CB61" i="1"/>
  <c r="CC60" i="1"/>
  <c r="DC61" i="1"/>
  <c r="DA62" i="1"/>
  <c r="DB61" i="1"/>
  <c r="AA61" i="1"/>
  <c r="Y62" i="1"/>
  <c r="Z61" i="1"/>
  <c r="BJ60" i="1"/>
  <c r="BH61" i="1"/>
  <c r="BI60" i="1"/>
  <c r="EL60" i="1"/>
  <c r="EJ61" i="1"/>
  <c r="EK60" i="1"/>
  <c r="BY61" i="1"/>
  <c r="BW62" i="1"/>
  <c r="BX61" i="1"/>
  <c r="DH61" i="1"/>
  <c r="DF62" i="1"/>
  <c r="DG61" i="1"/>
  <c r="DM63" i="1"/>
  <c r="DK64" i="1"/>
  <c r="DL63" i="1"/>
  <c r="BC61" i="1"/>
  <c r="BD60" i="1"/>
  <c r="BE60" i="1"/>
  <c r="AP60" i="1"/>
  <c r="AN61" i="1"/>
  <c r="AO60" i="1"/>
  <c r="EV61" i="1"/>
  <c r="ET62" i="1"/>
  <c r="EU61" i="1"/>
  <c r="AZ60" i="1"/>
  <c r="AX61" i="1"/>
  <c r="AY60" i="1"/>
  <c r="CI60" i="1"/>
  <c r="CG61" i="1"/>
  <c r="CH60" i="1"/>
  <c r="EE61" i="1"/>
  <c r="EF60" i="1"/>
  <c r="EG60" i="1"/>
  <c r="AN62" i="1" l="1"/>
  <c r="AO61" i="1"/>
  <c r="AP61" i="1"/>
  <c r="BE61" i="1"/>
  <c r="BC62" i="1"/>
  <c r="BD61" i="1"/>
  <c r="BY62" i="1"/>
  <c r="BW63" i="1"/>
  <c r="BX62" i="1"/>
  <c r="DW61" i="1"/>
  <c r="DU62" i="1"/>
  <c r="DV61" i="1"/>
  <c r="AU61" i="1"/>
  <c r="AS62" i="1"/>
  <c r="AT61" i="1"/>
  <c r="CS61" i="1"/>
  <c r="CQ62" i="1"/>
  <c r="CR61" i="1"/>
  <c r="BT62" i="1"/>
  <c r="BR63" i="1"/>
  <c r="BS62" i="1"/>
  <c r="DH62" i="1"/>
  <c r="DF63" i="1"/>
  <c r="DG62" i="1"/>
  <c r="AF62" i="1"/>
  <c r="AD63" i="1"/>
  <c r="AE62" i="1"/>
  <c r="T64" i="1"/>
  <c r="V63" i="1"/>
  <c r="U63" i="1"/>
  <c r="AK64" i="1"/>
  <c r="AI65" i="1"/>
  <c r="AJ64" i="1"/>
  <c r="AZ61" i="1"/>
  <c r="AX62" i="1"/>
  <c r="AY61" i="1"/>
  <c r="DM64" i="1"/>
  <c r="DK65" i="1"/>
  <c r="DL64" i="1"/>
  <c r="BH62" i="1"/>
  <c r="BI61" i="1"/>
  <c r="BJ61" i="1"/>
  <c r="EB62" i="1"/>
  <c r="DZ63" i="1"/>
  <c r="EA62" i="1"/>
  <c r="CN62" i="1"/>
  <c r="CL63" i="1"/>
  <c r="CM62" i="1"/>
  <c r="DA63" i="1"/>
  <c r="DB62" i="1"/>
  <c r="DC62" i="1"/>
  <c r="EG61" i="1"/>
  <c r="EE62" i="1"/>
  <c r="EF61" i="1"/>
  <c r="EV62" i="1"/>
  <c r="EU62" i="1"/>
  <c r="ET63" i="1"/>
  <c r="Y63" i="1"/>
  <c r="Z62" i="1"/>
  <c r="AA62" i="1"/>
  <c r="CI61" i="1"/>
  <c r="CG62" i="1"/>
  <c r="CH61" i="1"/>
  <c r="EJ62" i="1"/>
  <c r="EK61" i="1"/>
  <c r="EL61" i="1"/>
  <c r="CB62" i="1"/>
  <c r="CC61" i="1"/>
  <c r="CD61" i="1"/>
  <c r="DP62" i="1"/>
  <c r="DQ61" i="1"/>
  <c r="DR61" i="1"/>
  <c r="BM64" i="1"/>
  <c r="BO63" i="1"/>
  <c r="BN63" i="1"/>
  <c r="EO64" i="1"/>
  <c r="EP63" i="1"/>
  <c r="EQ63" i="1"/>
  <c r="CV64" i="1"/>
  <c r="CX63" i="1"/>
  <c r="CW63" i="1"/>
  <c r="CX64" i="1" l="1"/>
  <c r="CV65" i="1"/>
  <c r="CW64" i="1"/>
  <c r="BM65" i="1"/>
  <c r="BN64" i="1"/>
  <c r="BO64" i="1"/>
  <c r="EV63" i="1"/>
  <c r="EU63" i="1"/>
  <c r="ET64" i="1"/>
  <c r="EG62" i="1"/>
  <c r="EE63" i="1"/>
  <c r="EF62" i="1"/>
  <c r="DA64" i="1"/>
  <c r="DC63" i="1"/>
  <c r="DB63" i="1"/>
  <c r="CS62" i="1"/>
  <c r="CQ63" i="1"/>
  <c r="CR62" i="1"/>
  <c r="BE62" i="1"/>
  <c r="BC63" i="1"/>
  <c r="BD62" i="1"/>
  <c r="AP62" i="1"/>
  <c r="AN63" i="1"/>
  <c r="AO62" i="1"/>
  <c r="EO65" i="1"/>
  <c r="EP64" i="1"/>
  <c r="EQ64" i="1"/>
  <c r="EL62" i="1"/>
  <c r="EJ63" i="1"/>
  <c r="EK62" i="1"/>
  <c r="DZ64" i="1"/>
  <c r="EA63" i="1"/>
  <c r="EB63" i="1"/>
  <c r="BJ62" i="1"/>
  <c r="BH63" i="1"/>
  <c r="BI62" i="1"/>
  <c r="AK65" i="1"/>
  <c r="AI66" i="1"/>
  <c r="AJ65" i="1"/>
  <c r="T65" i="1"/>
  <c r="V64" i="1"/>
  <c r="U64" i="1"/>
  <c r="BS63" i="1"/>
  <c r="BT63" i="1"/>
  <c r="BR64" i="1"/>
  <c r="BY63" i="1"/>
  <c r="BW64" i="1"/>
  <c r="BX63" i="1"/>
  <c r="CD62" i="1"/>
  <c r="CB63" i="1"/>
  <c r="CC62" i="1"/>
  <c r="CL64" i="1"/>
  <c r="CM63" i="1"/>
  <c r="CN63" i="1"/>
  <c r="AZ62" i="1"/>
  <c r="AX63" i="1"/>
  <c r="AY62" i="1"/>
  <c r="DG63" i="1"/>
  <c r="DF64" i="1"/>
  <c r="DH63" i="1"/>
  <c r="DU63" i="1"/>
  <c r="DV62" i="1"/>
  <c r="DW62" i="1"/>
  <c r="DR62" i="1"/>
  <c r="DQ62" i="1"/>
  <c r="DP63" i="1"/>
  <c r="CG63" i="1"/>
  <c r="CH62" i="1"/>
  <c r="CI62" i="1"/>
  <c r="Y64" i="1"/>
  <c r="AA63" i="1"/>
  <c r="Z63" i="1"/>
  <c r="DM65" i="1"/>
  <c r="DK66" i="1"/>
  <c r="DL65" i="1"/>
  <c r="AE63" i="1"/>
  <c r="AF63" i="1"/>
  <c r="AD64" i="1"/>
  <c r="AS63" i="1"/>
  <c r="AT62" i="1"/>
  <c r="AU62" i="1"/>
  <c r="V65" i="1" l="1"/>
  <c r="T66" i="1"/>
  <c r="U65" i="1"/>
  <c r="BM66" i="1"/>
  <c r="BO65" i="1"/>
  <c r="BN65" i="1"/>
  <c r="AS64" i="1"/>
  <c r="AU63" i="1"/>
  <c r="AT63" i="1"/>
  <c r="CG64" i="1"/>
  <c r="CI63" i="1"/>
  <c r="CH63" i="1"/>
  <c r="EG63" i="1"/>
  <c r="EF63" i="1"/>
  <c r="EE64" i="1"/>
  <c r="AD65" i="1"/>
  <c r="AE64" i="1"/>
  <c r="AF64" i="1"/>
  <c r="DK67" i="1"/>
  <c r="DL66" i="1"/>
  <c r="DM66" i="1"/>
  <c r="Y65" i="1"/>
  <c r="AA64" i="1"/>
  <c r="Z64" i="1"/>
  <c r="DP64" i="1"/>
  <c r="DR63" i="1"/>
  <c r="DQ63" i="1"/>
  <c r="CB64" i="1"/>
  <c r="CD63" i="1"/>
  <c r="CC63" i="1"/>
  <c r="AI67" i="1"/>
  <c r="AJ66" i="1"/>
  <c r="AK66" i="1"/>
  <c r="CX65" i="1"/>
  <c r="CV66" i="1"/>
  <c r="CW65" i="1"/>
  <c r="AY63" i="1"/>
  <c r="AZ63" i="1"/>
  <c r="AX64" i="1"/>
  <c r="CN64" i="1"/>
  <c r="CL65" i="1"/>
  <c r="CM64" i="1"/>
  <c r="BC64" i="1"/>
  <c r="BE63" i="1"/>
  <c r="BD63" i="1"/>
  <c r="DH64" i="1"/>
  <c r="DF65" i="1"/>
  <c r="DG64" i="1"/>
  <c r="BY64" i="1"/>
  <c r="BW65" i="1"/>
  <c r="BX64" i="1"/>
  <c r="BJ63" i="1"/>
  <c r="BH64" i="1"/>
  <c r="BI63" i="1"/>
  <c r="EB64" i="1"/>
  <c r="DZ65" i="1"/>
  <c r="EA64" i="1"/>
  <c r="AP63" i="1"/>
  <c r="AN64" i="1"/>
  <c r="AO63" i="1"/>
  <c r="DU64" i="1"/>
  <c r="DW63" i="1"/>
  <c r="DV63" i="1"/>
  <c r="BT64" i="1"/>
  <c r="BR65" i="1"/>
  <c r="BS64" i="1"/>
  <c r="EJ64" i="1"/>
  <c r="EL63" i="1"/>
  <c r="EK63" i="1"/>
  <c r="EQ65" i="1"/>
  <c r="EP65" i="1"/>
  <c r="EO66" i="1"/>
  <c r="CS63" i="1"/>
  <c r="CR63" i="1"/>
  <c r="CQ64" i="1"/>
  <c r="DA65" i="1"/>
  <c r="DB64" i="1"/>
  <c r="DC64" i="1"/>
  <c r="EV64" i="1"/>
  <c r="ET65" i="1"/>
  <c r="EU64" i="1"/>
  <c r="ET66" i="1" l="1"/>
  <c r="EU65" i="1"/>
  <c r="EV65" i="1"/>
  <c r="DC65" i="1"/>
  <c r="DA66" i="1"/>
  <c r="DB65" i="1"/>
  <c r="EQ66" i="1"/>
  <c r="EO67" i="1"/>
  <c r="EP66" i="1"/>
  <c r="DZ66" i="1"/>
  <c r="EA65" i="1"/>
  <c r="EB65" i="1"/>
  <c r="AD66" i="1"/>
  <c r="AE65" i="1"/>
  <c r="AF65" i="1"/>
  <c r="DF66" i="1"/>
  <c r="DG65" i="1"/>
  <c r="DH65" i="1"/>
  <c r="AX65" i="1"/>
  <c r="AY64" i="1"/>
  <c r="AZ64" i="1"/>
  <c r="DK68" i="1"/>
  <c r="DM67" i="1"/>
  <c r="DL67" i="1"/>
  <c r="EG64" i="1"/>
  <c r="EE65" i="1"/>
  <c r="EF64" i="1"/>
  <c r="BY65" i="1"/>
  <c r="BW66" i="1"/>
  <c r="BX65" i="1"/>
  <c r="AA65" i="1"/>
  <c r="Y66" i="1"/>
  <c r="Z65" i="1"/>
  <c r="CG65" i="1"/>
  <c r="CH64" i="1"/>
  <c r="CI64" i="1"/>
  <c r="V66" i="1"/>
  <c r="T67" i="1"/>
  <c r="U66" i="1"/>
  <c r="CD64" i="1"/>
  <c r="CB65" i="1"/>
  <c r="CC64" i="1"/>
  <c r="BO66" i="1"/>
  <c r="BN66" i="1"/>
  <c r="BM67" i="1"/>
  <c r="CS64" i="1"/>
  <c r="CQ65" i="1"/>
  <c r="CR64" i="1"/>
  <c r="EL64" i="1"/>
  <c r="EJ65" i="1"/>
  <c r="EK64" i="1"/>
  <c r="AP64" i="1"/>
  <c r="AO64" i="1"/>
  <c r="AN65" i="1"/>
  <c r="BE64" i="1"/>
  <c r="BC65" i="1"/>
  <c r="BD64" i="1"/>
  <c r="CX66" i="1"/>
  <c r="CV67" i="1"/>
  <c r="CW66" i="1"/>
  <c r="AK67" i="1"/>
  <c r="AJ67" i="1"/>
  <c r="AI68" i="1"/>
  <c r="AS65" i="1"/>
  <c r="AT64" i="1"/>
  <c r="AU64" i="1"/>
  <c r="BR66" i="1"/>
  <c r="BS65" i="1"/>
  <c r="BT65" i="1"/>
  <c r="DU65" i="1"/>
  <c r="DV64" i="1"/>
  <c r="DW64" i="1"/>
  <c r="BJ64" i="1"/>
  <c r="BH65" i="1"/>
  <c r="BI64" i="1"/>
  <c r="CL66" i="1"/>
  <c r="CM65" i="1"/>
  <c r="CN65" i="1"/>
  <c r="DR64" i="1"/>
  <c r="DQ64" i="1"/>
  <c r="DP65" i="1"/>
  <c r="AU65" i="1" l="1"/>
  <c r="AS66" i="1"/>
  <c r="AT65" i="1"/>
  <c r="BE65" i="1"/>
  <c r="BC66" i="1"/>
  <c r="BD65" i="1"/>
  <c r="AA66" i="1"/>
  <c r="Y67" i="1"/>
  <c r="Z66" i="1"/>
  <c r="EQ67" i="1"/>
  <c r="EO68" i="1"/>
  <c r="EP67" i="1"/>
  <c r="BT66" i="1"/>
  <c r="BR67" i="1"/>
  <c r="BS66" i="1"/>
  <c r="AK68" i="1"/>
  <c r="AI69" i="1"/>
  <c r="AJ68" i="1"/>
  <c r="CV68" i="1"/>
  <c r="CW67" i="1"/>
  <c r="CX67" i="1"/>
  <c r="AX66" i="1"/>
  <c r="AY65" i="1"/>
  <c r="AZ65" i="1"/>
  <c r="BJ65" i="1"/>
  <c r="BH66" i="1"/>
  <c r="BI65" i="1"/>
  <c r="DW65" i="1"/>
  <c r="DU66" i="1"/>
  <c r="DV65" i="1"/>
  <c r="AP65" i="1"/>
  <c r="AO65" i="1"/>
  <c r="AN66" i="1"/>
  <c r="EL65" i="1"/>
  <c r="EJ66" i="1"/>
  <c r="EK65" i="1"/>
  <c r="T68" i="1"/>
  <c r="U67" i="1"/>
  <c r="V67" i="1"/>
  <c r="CI65" i="1"/>
  <c r="CG66" i="1"/>
  <c r="CH65" i="1"/>
  <c r="EG65" i="1"/>
  <c r="EE66" i="1"/>
  <c r="EF65" i="1"/>
  <c r="DM68" i="1"/>
  <c r="DL68" i="1"/>
  <c r="DK69" i="1"/>
  <c r="EB66" i="1"/>
  <c r="DZ67" i="1"/>
  <c r="EA66" i="1"/>
  <c r="CL67" i="1"/>
  <c r="CN66" i="1"/>
  <c r="CM66" i="1"/>
  <c r="DH66" i="1"/>
  <c r="DF67" i="1"/>
  <c r="DG66" i="1"/>
  <c r="CS65" i="1"/>
  <c r="CQ66" i="1"/>
  <c r="CR65" i="1"/>
  <c r="DR65" i="1"/>
  <c r="DP66" i="1"/>
  <c r="DQ65" i="1"/>
  <c r="BO67" i="1"/>
  <c r="BM68" i="1"/>
  <c r="BN67" i="1"/>
  <c r="CD65" i="1"/>
  <c r="CB66" i="1"/>
  <c r="CC65" i="1"/>
  <c r="BW67" i="1"/>
  <c r="BX66" i="1"/>
  <c r="BY66" i="1"/>
  <c r="AF66" i="1"/>
  <c r="AD67" i="1"/>
  <c r="AE66" i="1"/>
  <c r="DC66" i="1"/>
  <c r="DA67" i="1"/>
  <c r="DB66" i="1"/>
  <c r="EV66" i="1"/>
  <c r="ET67" i="1"/>
  <c r="EU66" i="1"/>
  <c r="EV67" i="1" l="1"/>
  <c r="ET68" i="1"/>
  <c r="EU67" i="1"/>
  <c r="CD66" i="1"/>
  <c r="CB67" i="1"/>
  <c r="CC66" i="1"/>
  <c r="DH67" i="1"/>
  <c r="DF68" i="1"/>
  <c r="DG67" i="1"/>
  <c r="CN67" i="1"/>
  <c r="CM67" i="1"/>
  <c r="CL68" i="1"/>
  <c r="DM69" i="1"/>
  <c r="DK70" i="1"/>
  <c r="DL69" i="1"/>
  <c r="EE67" i="1"/>
  <c r="EF66" i="1"/>
  <c r="EG66" i="1"/>
  <c r="AA67" i="1"/>
  <c r="Y68" i="1"/>
  <c r="Z67" i="1"/>
  <c r="EL66" i="1"/>
  <c r="EJ67" i="1"/>
  <c r="EK66" i="1"/>
  <c r="CX68" i="1"/>
  <c r="CV69" i="1"/>
  <c r="CW68" i="1"/>
  <c r="EO69" i="1"/>
  <c r="EP68" i="1"/>
  <c r="EQ68" i="1"/>
  <c r="AF67" i="1"/>
  <c r="AD68" i="1"/>
  <c r="AE67" i="1"/>
  <c r="BY67" i="1"/>
  <c r="BW68" i="1"/>
  <c r="BX67" i="1"/>
  <c r="DR66" i="1"/>
  <c r="DP67" i="1"/>
  <c r="DQ66" i="1"/>
  <c r="EB67" i="1"/>
  <c r="DZ68" i="1"/>
  <c r="EA67" i="1"/>
  <c r="BJ66" i="1"/>
  <c r="BH67" i="1"/>
  <c r="BI66" i="1"/>
  <c r="AZ66" i="1"/>
  <c r="AX67" i="1"/>
  <c r="AY66" i="1"/>
  <c r="BT67" i="1"/>
  <c r="BR68" i="1"/>
  <c r="BS67" i="1"/>
  <c r="AU66" i="1"/>
  <c r="AS67" i="1"/>
  <c r="AT66" i="1"/>
  <c r="CQ67" i="1"/>
  <c r="CR66" i="1"/>
  <c r="CS66" i="1"/>
  <c r="DC67" i="1"/>
  <c r="DA68" i="1"/>
  <c r="DB67" i="1"/>
  <c r="BM69" i="1"/>
  <c r="BN68" i="1"/>
  <c r="BO68" i="1"/>
  <c r="CI66" i="1"/>
  <c r="CG67" i="1"/>
  <c r="CH66" i="1"/>
  <c r="V68" i="1"/>
  <c r="T69" i="1"/>
  <c r="U68" i="1"/>
  <c r="AP66" i="1"/>
  <c r="AN67" i="1"/>
  <c r="AO66" i="1"/>
  <c r="DW66" i="1"/>
  <c r="DU67" i="1"/>
  <c r="DV66" i="1"/>
  <c r="AK69" i="1"/>
  <c r="AI70" i="1"/>
  <c r="AJ69" i="1"/>
  <c r="BC67" i="1"/>
  <c r="BD66" i="1"/>
  <c r="BE66" i="1"/>
  <c r="BH68" i="1" l="1"/>
  <c r="BI67" i="1"/>
  <c r="BJ67" i="1"/>
  <c r="AF68" i="1"/>
  <c r="AD69" i="1"/>
  <c r="AE68" i="1"/>
  <c r="EQ69" i="1"/>
  <c r="EO70" i="1"/>
  <c r="EP69" i="1"/>
  <c r="Y69" i="1"/>
  <c r="Z68" i="1"/>
  <c r="AA68" i="1"/>
  <c r="EG67" i="1"/>
  <c r="EE68" i="1"/>
  <c r="EF67" i="1"/>
  <c r="CN68" i="1"/>
  <c r="CL69" i="1"/>
  <c r="CM68" i="1"/>
  <c r="DH68" i="1"/>
  <c r="DF69" i="1"/>
  <c r="DG68" i="1"/>
  <c r="BE67" i="1"/>
  <c r="BC68" i="1"/>
  <c r="BD67" i="1"/>
  <c r="AN68" i="1"/>
  <c r="AO67" i="1"/>
  <c r="AP67" i="1"/>
  <c r="DA69" i="1"/>
  <c r="DB68" i="1"/>
  <c r="DC68" i="1"/>
  <c r="CS67" i="1"/>
  <c r="CQ68" i="1"/>
  <c r="CR67" i="1"/>
  <c r="AZ67" i="1"/>
  <c r="AX68" i="1"/>
  <c r="AY67" i="1"/>
  <c r="BY68" i="1"/>
  <c r="BW69" i="1"/>
  <c r="BX68" i="1"/>
  <c r="EJ68" i="1"/>
  <c r="EK67" i="1"/>
  <c r="EL67" i="1"/>
  <c r="DW67" i="1"/>
  <c r="DU68" i="1"/>
  <c r="DV67" i="1"/>
  <c r="BT68" i="1"/>
  <c r="BR69" i="1"/>
  <c r="BS68" i="1"/>
  <c r="DP68" i="1"/>
  <c r="DQ67" i="1"/>
  <c r="DR67" i="1"/>
  <c r="CX69" i="1"/>
  <c r="CV70" i="1"/>
  <c r="CW69" i="1"/>
  <c r="DK71" i="1"/>
  <c r="DL70" i="1"/>
  <c r="DM70" i="1"/>
  <c r="EV68" i="1"/>
  <c r="ET69" i="1"/>
  <c r="EU68" i="1"/>
  <c r="V69" i="1"/>
  <c r="T70" i="1"/>
  <c r="U69" i="1"/>
  <c r="AI71" i="1"/>
  <c r="AJ70" i="1"/>
  <c r="AK70" i="1"/>
  <c r="CI67" i="1"/>
  <c r="CG68" i="1"/>
  <c r="CH67" i="1"/>
  <c r="BO69" i="1"/>
  <c r="BM70" i="1"/>
  <c r="BN69" i="1"/>
  <c r="AU67" i="1"/>
  <c r="AS68" i="1"/>
  <c r="AT67" i="1"/>
  <c r="EB68" i="1"/>
  <c r="DZ69" i="1"/>
  <c r="EA68" i="1"/>
  <c r="CB68" i="1"/>
  <c r="CC67" i="1"/>
  <c r="CD67" i="1"/>
  <c r="CD68" i="1" l="1"/>
  <c r="CB69" i="1"/>
  <c r="CC68" i="1"/>
  <c r="BO70" i="1"/>
  <c r="BM71" i="1"/>
  <c r="BN70" i="1"/>
  <c r="DZ70" i="1"/>
  <c r="EA69" i="1"/>
  <c r="EB69" i="1"/>
  <c r="CX70" i="1"/>
  <c r="CV71" i="1"/>
  <c r="CW70" i="1"/>
  <c r="DR68" i="1"/>
  <c r="DP69" i="1"/>
  <c r="DQ68" i="1"/>
  <c r="AP68" i="1"/>
  <c r="AN69" i="1"/>
  <c r="AO68" i="1"/>
  <c r="CL70" i="1"/>
  <c r="CM69" i="1"/>
  <c r="CN69" i="1"/>
  <c r="AD70" i="1"/>
  <c r="AE69" i="1"/>
  <c r="AF69" i="1"/>
  <c r="BJ68" i="1"/>
  <c r="BI68" i="1"/>
  <c r="BH69" i="1"/>
  <c r="CG69" i="1"/>
  <c r="CH68" i="1"/>
  <c r="CI68" i="1"/>
  <c r="AK71" i="1"/>
  <c r="AI72" i="1"/>
  <c r="AJ71" i="1"/>
  <c r="DU69" i="1"/>
  <c r="DV68" i="1"/>
  <c r="DW68" i="1"/>
  <c r="EJ69" i="1"/>
  <c r="EL68" i="1"/>
  <c r="EK68" i="1"/>
  <c r="CS68" i="1"/>
  <c r="CQ69" i="1"/>
  <c r="CR68" i="1"/>
  <c r="DC69" i="1"/>
  <c r="DA70" i="1"/>
  <c r="DB69" i="1"/>
  <c r="DF70" i="1"/>
  <c r="DG69" i="1"/>
  <c r="DH69" i="1"/>
  <c r="EQ70" i="1"/>
  <c r="EO71" i="1"/>
  <c r="EP70" i="1"/>
  <c r="ET70" i="1"/>
  <c r="EU69" i="1"/>
  <c r="EV69" i="1"/>
  <c r="DK72" i="1"/>
  <c r="DM71" i="1"/>
  <c r="DL71" i="1"/>
  <c r="BR70" i="1"/>
  <c r="BS69" i="1"/>
  <c r="BT69" i="1"/>
  <c r="AZ68" i="1"/>
  <c r="AX69" i="1"/>
  <c r="AY68" i="1"/>
  <c r="BE68" i="1"/>
  <c r="BC69" i="1"/>
  <c r="BD68" i="1"/>
  <c r="AS69" i="1"/>
  <c r="AT68" i="1"/>
  <c r="AU68" i="1"/>
  <c r="V70" i="1"/>
  <c r="T71" i="1"/>
  <c r="U70" i="1"/>
  <c r="BY69" i="1"/>
  <c r="BW70" i="1"/>
  <c r="BX69" i="1"/>
  <c r="EG68" i="1"/>
  <c r="EE69" i="1"/>
  <c r="EF68" i="1"/>
  <c r="AA69" i="1"/>
  <c r="Y70" i="1"/>
  <c r="Z69" i="1"/>
  <c r="AA70" i="1" l="1"/>
  <c r="Y71" i="1"/>
  <c r="Z70" i="1"/>
  <c r="T72" i="1"/>
  <c r="U71" i="1"/>
  <c r="V71" i="1"/>
  <c r="AU69" i="1"/>
  <c r="AS70" i="1"/>
  <c r="AT69" i="1"/>
  <c r="DM72" i="1"/>
  <c r="DK73" i="1"/>
  <c r="DL72" i="1"/>
  <c r="BJ69" i="1"/>
  <c r="BH70" i="1"/>
  <c r="BI69" i="1"/>
  <c r="CN70" i="1"/>
  <c r="CL71" i="1"/>
  <c r="CM70" i="1"/>
  <c r="CV72" i="1"/>
  <c r="CW71" i="1"/>
  <c r="CX71" i="1"/>
  <c r="EB70" i="1"/>
  <c r="DZ71" i="1"/>
  <c r="EA70" i="1"/>
  <c r="BW71" i="1"/>
  <c r="BX70" i="1"/>
  <c r="BY70" i="1"/>
  <c r="AX70" i="1"/>
  <c r="AY69" i="1"/>
  <c r="AZ69" i="1"/>
  <c r="BT70" i="1"/>
  <c r="BR71" i="1"/>
  <c r="BS70" i="1"/>
  <c r="EO72" i="1"/>
  <c r="EQ71" i="1"/>
  <c r="EP71" i="1"/>
  <c r="DH70" i="1"/>
  <c r="DG70" i="1"/>
  <c r="DF71" i="1"/>
  <c r="DW69" i="1"/>
  <c r="DU70" i="1"/>
  <c r="DV69" i="1"/>
  <c r="AD71" i="1"/>
  <c r="AF70" i="1"/>
  <c r="AE70" i="1"/>
  <c r="DR69" i="1"/>
  <c r="DP70" i="1"/>
  <c r="DQ69" i="1"/>
  <c r="CD69" i="1"/>
  <c r="CB70" i="1"/>
  <c r="CC69" i="1"/>
  <c r="EV70" i="1"/>
  <c r="ET71" i="1"/>
  <c r="EU70" i="1"/>
  <c r="DC70" i="1"/>
  <c r="DA71" i="1"/>
  <c r="DB70" i="1"/>
  <c r="AI73" i="1"/>
  <c r="AK72" i="1"/>
  <c r="AJ72" i="1"/>
  <c r="CI69" i="1"/>
  <c r="CH69" i="1"/>
  <c r="CG70" i="1"/>
  <c r="EG69" i="1"/>
  <c r="EE70" i="1"/>
  <c r="EF69" i="1"/>
  <c r="BE69" i="1"/>
  <c r="BC70" i="1"/>
  <c r="BD69" i="1"/>
  <c r="CS69" i="1"/>
  <c r="CQ70" i="1"/>
  <c r="CR69" i="1"/>
  <c r="EL69" i="1"/>
  <c r="EK69" i="1"/>
  <c r="EJ70" i="1"/>
  <c r="AP69" i="1"/>
  <c r="AN70" i="1"/>
  <c r="AO69" i="1"/>
  <c r="BM72" i="1"/>
  <c r="BO71" i="1"/>
  <c r="BN71" i="1"/>
  <c r="AP70" i="1" l="1"/>
  <c r="AN71" i="1"/>
  <c r="AO70" i="1"/>
  <c r="ET72" i="1"/>
  <c r="EV71" i="1"/>
  <c r="EU71" i="1"/>
  <c r="DW70" i="1"/>
  <c r="DU71" i="1"/>
  <c r="DV70" i="1"/>
  <c r="BY71" i="1"/>
  <c r="BX71" i="1"/>
  <c r="BW72" i="1"/>
  <c r="CL72" i="1"/>
  <c r="CN71" i="1"/>
  <c r="CM71" i="1"/>
  <c r="BC71" i="1"/>
  <c r="BD70" i="1"/>
  <c r="BE70" i="1"/>
  <c r="DA72" i="1"/>
  <c r="DC71" i="1"/>
  <c r="DB71" i="1"/>
  <c r="BR72" i="1"/>
  <c r="BT71" i="1"/>
  <c r="BS71" i="1"/>
  <c r="AZ70" i="1"/>
  <c r="AX71" i="1"/>
  <c r="AY70" i="1"/>
  <c r="AU70" i="1"/>
  <c r="AS71" i="1"/>
  <c r="AT70" i="1"/>
  <c r="V72" i="1"/>
  <c r="T73" i="1"/>
  <c r="U72" i="1"/>
  <c r="EE71" i="1"/>
  <c r="EF70" i="1"/>
  <c r="EG70" i="1"/>
  <c r="BO72" i="1"/>
  <c r="BN72" i="1"/>
  <c r="BM73" i="1"/>
  <c r="EL70" i="1"/>
  <c r="EJ71" i="1"/>
  <c r="EK70" i="1"/>
  <c r="CQ71" i="1"/>
  <c r="CR70" i="1"/>
  <c r="CS70" i="1"/>
  <c r="CI70" i="1"/>
  <c r="CG71" i="1"/>
  <c r="CH70" i="1"/>
  <c r="DR70" i="1"/>
  <c r="DP71" i="1"/>
  <c r="DQ70" i="1"/>
  <c r="AF71" i="1"/>
  <c r="AE71" i="1"/>
  <c r="AD72" i="1"/>
  <c r="DH71" i="1"/>
  <c r="DF72" i="1"/>
  <c r="DG71" i="1"/>
  <c r="EB71" i="1"/>
  <c r="EA71" i="1"/>
  <c r="DZ72" i="1"/>
  <c r="CX72" i="1"/>
  <c r="CW72" i="1"/>
  <c r="CV73" i="1"/>
  <c r="DK74" i="1"/>
  <c r="DL73" i="1"/>
  <c r="DM73" i="1"/>
  <c r="AI74" i="1"/>
  <c r="AJ73" i="1"/>
  <c r="AK73" i="1"/>
  <c r="CD70" i="1"/>
  <c r="CB71" i="1"/>
  <c r="CC70" i="1"/>
  <c r="EO73" i="1"/>
  <c r="EQ72" i="1"/>
  <c r="EP72" i="1"/>
  <c r="BJ70" i="1"/>
  <c r="BH71" i="1"/>
  <c r="BI70" i="1"/>
  <c r="AA71" i="1"/>
  <c r="Y72" i="1"/>
  <c r="Z71" i="1"/>
  <c r="Z72" i="1" l="1"/>
  <c r="Y73" i="1"/>
  <c r="AA72" i="1"/>
  <c r="DK75" i="1"/>
  <c r="DL74" i="1"/>
  <c r="DM74" i="1"/>
  <c r="DZ73" i="1"/>
  <c r="EA72" i="1"/>
  <c r="EB72" i="1"/>
  <c r="DF73" i="1"/>
  <c r="DG72" i="1"/>
  <c r="DH72" i="1"/>
  <c r="V73" i="1"/>
  <c r="U73" i="1"/>
  <c r="T74" i="1"/>
  <c r="BC72" i="1"/>
  <c r="BE71" i="1"/>
  <c r="BD71" i="1"/>
  <c r="DU72" i="1"/>
  <c r="DW71" i="1"/>
  <c r="DV71" i="1"/>
  <c r="ET73" i="1"/>
  <c r="EU72" i="1"/>
  <c r="EV72" i="1"/>
  <c r="CG72" i="1"/>
  <c r="CI71" i="1"/>
  <c r="CH71" i="1"/>
  <c r="CS71" i="1"/>
  <c r="CR71" i="1"/>
  <c r="CQ72" i="1"/>
  <c r="DC72" i="1"/>
  <c r="DA73" i="1"/>
  <c r="DB72" i="1"/>
  <c r="AD73" i="1"/>
  <c r="AF72" i="1"/>
  <c r="AE72" i="1"/>
  <c r="DQ71" i="1"/>
  <c r="DP72" i="1"/>
  <c r="DR71" i="1"/>
  <c r="EE72" i="1"/>
  <c r="EG71" i="1"/>
  <c r="EF71" i="1"/>
  <c r="AZ71" i="1"/>
  <c r="AX72" i="1"/>
  <c r="AY71" i="1"/>
  <c r="BR73" i="1"/>
  <c r="BS72" i="1"/>
  <c r="BT72" i="1"/>
  <c r="AN72" i="1"/>
  <c r="AO71" i="1"/>
  <c r="AP71" i="1"/>
  <c r="BY72" i="1"/>
  <c r="BW73" i="1"/>
  <c r="BX72" i="1"/>
  <c r="CC71" i="1"/>
  <c r="CB72" i="1"/>
  <c r="CD71" i="1"/>
  <c r="AI75" i="1"/>
  <c r="AK74" i="1"/>
  <c r="AJ74" i="1"/>
  <c r="CX73" i="1"/>
  <c r="CV74" i="1"/>
  <c r="CW73" i="1"/>
  <c r="BO73" i="1"/>
  <c r="BM74" i="1"/>
  <c r="BN73" i="1"/>
  <c r="BI71" i="1"/>
  <c r="BJ71" i="1"/>
  <c r="BH72" i="1"/>
  <c r="EO74" i="1"/>
  <c r="EQ73" i="1"/>
  <c r="EP73" i="1"/>
  <c r="EK71" i="1"/>
  <c r="EJ72" i="1"/>
  <c r="EL71" i="1"/>
  <c r="AU71" i="1"/>
  <c r="AS72" i="1"/>
  <c r="AT71" i="1"/>
  <c r="CL73" i="1"/>
  <c r="CM72" i="1"/>
  <c r="CN72" i="1"/>
  <c r="AX73" i="1" l="1"/>
  <c r="AY72" i="1"/>
  <c r="AZ72" i="1"/>
  <c r="DA74" i="1"/>
  <c r="DB73" i="1"/>
  <c r="DC73" i="1"/>
  <c r="DU73" i="1"/>
  <c r="DV72" i="1"/>
  <c r="DW72" i="1"/>
  <c r="T75" i="1"/>
  <c r="U74" i="1"/>
  <c r="V74" i="1"/>
  <c r="DZ74" i="1"/>
  <c r="EB73" i="1"/>
  <c r="EA73" i="1"/>
  <c r="EL72" i="1"/>
  <c r="EJ73" i="1"/>
  <c r="EK72" i="1"/>
  <c r="EQ74" i="1"/>
  <c r="EP74" i="1"/>
  <c r="EO75" i="1"/>
  <c r="CX74" i="1"/>
  <c r="CV75" i="1"/>
  <c r="CW74" i="1"/>
  <c r="AI76" i="1"/>
  <c r="AJ75" i="1"/>
  <c r="AK75" i="1"/>
  <c r="BR74" i="1"/>
  <c r="BS73" i="1"/>
  <c r="BT73" i="1"/>
  <c r="DR72" i="1"/>
  <c r="DQ72" i="1"/>
  <c r="DP73" i="1"/>
  <c r="AF73" i="1"/>
  <c r="AD74" i="1"/>
  <c r="AE73" i="1"/>
  <c r="CS72" i="1"/>
  <c r="CQ73" i="1"/>
  <c r="CR72" i="1"/>
  <c r="ET74" i="1"/>
  <c r="EU73" i="1"/>
  <c r="EV73" i="1"/>
  <c r="DF74" i="1"/>
  <c r="DH73" i="1"/>
  <c r="DG73" i="1"/>
  <c r="Y74" i="1"/>
  <c r="Z73" i="1"/>
  <c r="AA73" i="1"/>
  <c r="CB73" i="1"/>
  <c r="CC72" i="1"/>
  <c r="CD72" i="1"/>
  <c r="EG72" i="1"/>
  <c r="EF72" i="1"/>
  <c r="EE73" i="1"/>
  <c r="BE72" i="1"/>
  <c r="BC73" i="1"/>
  <c r="BD72" i="1"/>
  <c r="DK76" i="1"/>
  <c r="DL75" i="1"/>
  <c r="DM75" i="1"/>
  <c r="CL74" i="1"/>
  <c r="CN73" i="1"/>
  <c r="CM73" i="1"/>
  <c r="AS73" i="1"/>
  <c r="AT72" i="1"/>
  <c r="AU72" i="1"/>
  <c r="BJ72" i="1"/>
  <c r="BH73" i="1"/>
  <c r="BI72" i="1"/>
  <c r="BO74" i="1"/>
  <c r="BN74" i="1"/>
  <c r="BM75" i="1"/>
  <c r="BW74" i="1"/>
  <c r="BX73" i="1"/>
  <c r="BY73" i="1"/>
  <c r="AN73" i="1"/>
  <c r="AP72" i="1"/>
  <c r="AO72" i="1"/>
  <c r="CI72" i="1"/>
  <c r="CH72" i="1"/>
  <c r="CG73" i="1"/>
  <c r="BO75" i="1" l="1"/>
  <c r="BM76" i="1"/>
  <c r="BN75" i="1"/>
  <c r="BJ73" i="1"/>
  <c r="BH74" i="1"/>
  <c r="BI73" i="1"/>
  <c r="AS74" i="1"/>
  <c r="AU73" i="1"/>
  <c r="AT73" i="1"/>
  <c r="EV74" i="1"/>
  <c r="EU74" i="1"/>
  <c r="ET75" i="1"/>
  <c r="BR75" i="1"/>
  <c r="BT74" i="1"/>
  <c r="BS74" i="1"/>
  <c r="DC74" i="1"/>
  <c r="DA75" i="1"/>
  <c r="DB74" i="1"/>
  <c r="DH74" i="1"/>
  <c r="DF75" i="1"/>
  <c r="DG74" i="1"/>
  <c r="AF74" i="1"/>
  <c r="AE74" i="1"/>
  <c r="AD75" i="1"/>
  <c r="CV76" i="1"/>
  <c r="CW75" i="1"/>
  <c r="CX75" i="1"/>
  <c r="DM76" i="1"/>
  <c r="DK77" i="1"/>
  <c r="DL76" i="1"/>
  <c r="EE74" i="1"/>
  <c r="EF73" i="1"/>
  <c r="EG73" i="1"/>
  <c r="AA74" i="1"/>
  <c r="Y75" i="1"/>
  <c r="Z74" i="1"/>
  <c r="CQ74" i="1"/>
  <c r="CR73" i="1"/>
  <c r="CS73" i="1"/>
  <c r="T76" i="1"/>
  <c r="U75" i="1"/>
  <c r="V75" i="1"/>
  <c r="AP73" i="1"/>
  <c r="AN74" i="1"/>
  <c r="AO73" i="1"/>
  <c r="BC74" i="1"/>
  <c r="BD73" i="1"/>
  <c r="BE73" i="1"/>
  <c r="DW73" i="1"/>
  <c r="DV73" i="1"/>
  <c r="DU74" i="1"/>
  <c r="CI73" i="1"/>
  <c r="CH73" i="1"/>
  <c r="CG74" i="1"/>
  <c r="BW75" i="1"/>
  <c r="BY74" i="1"/>
  <c r="BX74" i="1"/>
  <c r="CL75" i="1"/>
  <c r="CM74" i="1"/>
  <c r="CN74" i="1"/>
  <c r="CD73" i="1"/>
  <c r="CB74" i="1"/>
  <c r="CC73" i="1"/>
  <c r="DR73" i="1"/>
  <c r="DQ73" i="1"/>
  <c r="DP74" i="1"/>
  <c r="AK76" i="1"/>
  <c r="AJ76" i="1"/>
  <c r="AI77" i="1"/>
  <c r="EQ75" i="1"/>
  <c r="EO76" i="1"/>
  <c r="EP75" i="1"/>
  <c r="EL73" i="1"/>
  <c r="EK73" i="1"/>
  <c r="EJ74" i="1"/>
  <c r="DZ75" i="1"/>
  <c r="EA74" i="1"/>
  <c r="EB74" i="1"/>
  <c r="AZ73" i="1"/>
  <c r="AX74" i="1"/>
  <c r="AY73" i="1"/>
  <c r="T77" i="1" l="1"/>
  <c r="U76" i="1"/>
  <c r="V76" i="1"/>
  <c r="AF75" i="1"/>
  <c r="AD76" i="1"/>
  <c r="AE75" i="1"/>
  <c r="DH75" i="1"/>
  <c r="DF76" i="1"/>
  <c r="DG75" i="1"/>
  <c r="EV75" i="1"/>
  <c r="ET76" i="1"/>
  <c r="EU75" i="1"/>
  <c r="EL74" i="1"/>
  <c r="EJ75" i="1"/>
  <c r="EK74" i="1"/>
  <c r="EO77" i="1"/>
  <c r="EP76" i="1"/>
  <c r="EQ76" i="1"/>
  <c r="BW76" i="1"/>
  <c r="BX75" i="1"/>
  <c r="BY75" i="1"/>
  <c r="AA75" i="1"/>
  <c r="Y76" i="1"/>
  <c r="Z75" i="1"/>
  <c r="DR74" i="1"/>
  <c r="DP75" i="1"/>
  <c r="DQ74" i="1"/>
  <c r="CD74" i="1"/>
  <c r="CB75" i="1"/>
  <c r="CC74" i="1"/>
  <c r="CN75" i="1"/>
  <c r="CL76" i="1"/>
  <c r="CM75" i="1"/>
  <c r="CI74" i="1"/>
  <c r="CG75" i="1"/>
  <c r="CH74" i="1"/>
  <c r="BC75" i="1"/>
  <c r="BE74" i="1"/>
  <c r="BD74" i="1"/>
  <c r="BM77" i="1"/>
  <c r="BN76" i="1"/>
  <c r="BO76" i="1"/>
  <c r="AX75" i="1"/>
  <c r="AY74" i="1"/>
  <c r="AZ74" i="1"/>
  <c r="EB75" i="1"/>
  <c r="DZ76" i="1"/>
  <c r="EA75" i="1"/>
  <c r="AN75" i="1"/>
  <c r="AO74" i="1"/>
  <c r="AP74" i="1"/>
  <c r="DW74" i="1"/>
  <c r="DU75" i="1"/>
  <c r="DV74" i="1"/>
  <c r="EE75" i="1"/>
  <c r="EF74" i="1"/>
  <c r="EG74" i="1"/>
  <c r="AU74" i="1"/>
  <c r="AS75" i="1"/>
  <c r="AT74" i="1"/>
  <c r="AK77" i="1"/>
  <c r="AI78" i="1"/>
  <c r="AJ77" i="1"/>
  <c r="CQ75" i="1"/>
  <c r="CR74" i="1"/>
  <c r="CS74" i="1"/>
  <c r="DM77" i="1"/>
  <c r="DK78" i="1"/>
  <c r="DL77" i="1"/>
  <c r="CV77" i="1"/>
  <c r="CW76" i="1"/>
  <c r="CX76" i="1"/>
  <c r="DC75" i="1"/>
  <c r="DA76" i="1"/>
  <c r="DB75" i="1"/>
  <c r="BT75" i="1"/>
  <c r="BR76" i="1"/>
  <c r="BS75" i="1"/>
  <c r="BH75" i="1"/>
  <c r="BI74" i="1"/>
  <c r="BJ74" i="1"/>
  <c r="DW75" i="1" l="1"/>
  <c r="DU76" i="1"/>
  <c r="DV75" i="1"/>
  <c r="AN76" i="1"/>
  <c r="AO75" i="1"/>
  <c r="AP75" i="1"/>
  <c r="BE75" i="1"/>
  <c r="BC76" i="1"/>
  <c r="BD75" i="1"/>
  <c r="CB76" i="1"/>
  <c r="CC75" i="1"/>
  <c r="CD75" i="1"/>
  <c r="AF76" i="1"/>
  <c r="AD77" i="1"/>
  <c r="AE76" i="1"/>
  <c r="V77" i="1"/>
  <c r="T78" i="1"/>
  <c r="U77" i="1"/>
  <c r="DK79" i="1"/>
  <c r="DL78" i="1"/>
  <c r="DM78" i="1"/>
  <c r="CS75" i="1"/>
  <c r="CQ76" i="1"/>
  <c r="CR75" i="1"/>
  <c r="BO77" i="1"/>
  <c r="BN77" i="1"/>
  <c r="BM78" i="1"/>
  <c r="CN76" i="1"/>
  <c r="CL77" i="1"/>
  <c r="CM76" i="1"/>
  <c r="EQ77" i="1"/>
  <c r="EO78" i="1"/>
  <c r="EP77" i="1"/>
  <c r="DH76" i="1"/>
  <c r="DF77" i="1"/>
  <c r="DG76" i="1"/>
  <c r="BT76" i="1"/>
  <c r="BR77" i="1"/>
  <c r="BS76" i="1"/>
  <c r="BH76" i="1"/>
  <c r="BI75" i="1"/>
  <c r="BJ75" i="1"/>
  <c r="AU75" i="1"/>
  <c r="AS76" i="1"/>
  <c r="AT75" i="1"/>
  <c r="EG75" i="1"/>
  <c r="EE76" i="1"/>
  <c r="EF75" i="1"/>
  <c r="EB76" i="1"/>
  <c r="DZ77" i="1"/>
  <c r="EA76" i="1"/>
  <c r="AZ75" i="1"/>
  <c r="AX76" i="1"/>
  <c r="AY75" i="1"/>
  <c r="CI75" i="1"/>
  <c r="CG76" i="1"/>
  <c r="CH75" i="1"/>
  <c r="Y77" i="1"/>
  <c r="Z76" i="1"/>
  <c r="AA76" i="1"/>
  <c r="BY76" i="1"/>
  <c r="BW77" i="1"/>
  <c r="BX76" i="1"/>
  <c r="EV76" i="1"/>
  <c r="ET77" i="1"/>
  <c r="EU76" i="1"/>
  <c r="DA77" i="1"/>
  <c r="DB76" i="1"/>
  <c r="DC76" i="1"/>
  <c r="CX77" i="1"/>
  <c r="CV78" i="1"/>
  <c r="CW77" i="1"/>
  <c r="AI79" i="1"/>
  <c r="AJ78" i="1"/>
  <c r="AK78" i="1"/>
  <c r="DP76" i="1"/>
  <c r="DQ75" i="1"/>
  <c r="DR75" i="1"/>
  <c r="EJ76" i="1"/>
  <c r="EK75" i="1"/>
  <c r="EL75" i="1"/>
  <c r="DR76" i="1" l="1"/>
  <c r="DP77" i="1"/>
  <c r="DQ76" i="1"/>
  <c r="AS77" i="1"/>
  <c r="AT76" i="1"/>
  <c r="AU76" i="1"/>
  <c r="BH77" i="1"/>
  <c r="BI76" i="1"/>
  <c r="BJ76" i="1"/>
  <c r="EQ78" i="1"/>
  <c r="EO79" i="1"/>
  <c r="EP78" i="1"/>
  <c r="BE76" i="1"/>
  <c r="BC77" i="1"/>
  <c r="BD76" i="1"/>
  <c r="CX78" i="1"/>
  <c r="CV79" i="1"/>
  <c r="CW78" i="1"/>
  <c r="DC77" i="1"/>
  <c r="DA78" i="1"/>
  <c r="DB77" i="1"/>
  <c r="EG76" i="1"/>
  <c r="EE77" i="1"/>
  <c r="EF76" i="1"/>
  <c r="DF78" i="1"/>
  <c r="DG77" i="1"/>
  <c r="DH77" i="1"/>
  <c r="BO78" i="1"/>
  <c r="BM79" i="1"/>
  <c r="BN78" i="1"/>
  <c r="CS76" i="1"/>
  <c r="CQ77" i="1"/>
  <c r="CR76" i="1"/>
  <c r="DM79" i="1"/>
  <c r="DL79" i="1"/>
  <c r="DK80" i="1"/>
  <c r="BY77" i="1"/>
  <c r="BW78" i="1"/>
  <c r="BX77" i="1"/>
  <c r="AA77" i="1"/>
  <c r="Y78" i="1"/>
  <c r="Z77" i="1"/>
  <c r="DZ78" i="1"/>
  <c r="EA77" i="1"/>
  <c r="EB77" i="1"/>
  <c r="BR78" i="1"/>
  <c r="BS77" i="1"/>
  <c r="BT77" i="1"/>
  <c r="AD78" i="1"/>
  <c r="AE77" i="1"/>
  <c r="AF77" i="1"/>
  <c r="CD76" i="1"/>
  <c r="CB77" i="1"/>
  <c r="CC76" i="1"/>
  <c r="DU77" i="1"/>
  <c r="DV76" i="1"/>
  <c r="DW76" i="1"/>
  <c r="CG77" i="1"/>
  <c r="CH76" i="1"/>
  <c r="CI76" i="1"/>
  <c r="AP76" i="1"/>
  <c r="AO76" i="1"/>
  <c r="AN77" i="1"/>
  <c r="EJ77" i="1"/>
  <c r="EK76" i="1"/>
  <c r="EL76" i="1"/>
  <c r="AK79" i="1"/>
  <c r="AI80" i="1"/>
  <c r="AJ79" i="1"/>
  <c r="ET78" i="1"/>
  <c r="EU77" i="1"/>
  <c r="EV77" i="1"/>
  <c r="AZ76" i="1"/>
  <c r="AX77" i="1"/>
  <c r="AY76" i="1"/>
  <c r="CL78" i="1"/>
  <c r="CM77" i="1"/>
  <c r="CN77" i="1"/>
  <c r="V78" i="1"/>
  <c r="T79" i="1"/>
  <c r="U78" i="1"/>
  <c r="AD79" i="1" l="1"/>
  <c r="AE78" i="1"/>
  <c r="AF78" i="1"/>
  <c r="AA78" i="1"/>
  <c r="Y79" i="1"/>
  <c r="Z78" i="1"/>
  <c r="BO79" i="1"/>
  <c r="BM80" i="1"/>
  <c r="BN79" i="1"/>
  <c r="DF79" i="1"/>
  <c r="DG78" i="1"/>
  <c r="DH78" i="1"/>
  <c r="CV80" i="1"/>
  <c r="CW79" i="1"/>
  <c r="CX79" i="1"/>
  <c r="T80" i="1"/>
  <c r="U79" i="1"/>
  <c r="V79" i="1"/>
  <c r="CN78" i="1"/>
  <c r="CM78" i="1"/>
  <c r="CL79" i="1"/>
  <c r="AK80" i="1"/>
  <c r="AI81" i="1"/>
  <c r="AJ80" i="1"/>
  <c r="EL77" i="1"/>
  <c r="EJ78" i="1"/>
  <c r="EK77" i="1"/>
  <c r="DM80" i="1"/>
  <c r="DK81" i="1"/>
  <c r="DL80" i="1"/>
  <c r="CS77" i="1"/>
  <c r="CQ78" i="1"/>
  <c r="CR77" i="1"/>
  <c r="DC78" i="1"/>
  <c r="DA79" i="1"/>
  <c r="DB78" i="1"/>
  <c r="AS78" i="1"/>
  <c r="AT77" i="1"/>
  <c r="AU77" i="1"/>
  <c r="CD77" i="1"/>
  <c r="CB78" i="1"/>
  <c r="CC77" i="1"/>
  <c r="AP77" i="1"/>
  <c r="AN78" i="1"/>
  <c r="AO77" i="1"/>
  <c r="DU78" i="1"/>
  <c r="DV77" i="1"/>
  <c r="DW77" i="1"/>
  <c r="EB78" i="1"/>
  <c r="DZ79" i="1"/>
  <c r="EA78" i="1"/>
  <c r="EG77" i="1"/>
  <c r="EE78" i="1"/>
  <c r="EF77" i="1"/>
  <c r="EQ79" i="1"/>
  <c r="EO80" i="1"/>
  <c r="EP79" i="1"/>
  <c r="BJ77" i="1"/>
  <c r="BI77" i="1"/>
  <c r="BH78" i="1"/>
  <c r="AX78" i="1"/>
  <c r="AY77" i="1"/>
  <c r="AZ77" i="1"/>
  <c r="ET79" i="1"/>
  <c r="EU78" i="1"/>
  <c r="EV78" i="1"/>
  <c r="CG78" i="1"/>
  <c r="CH77" i="1"/>
  <c r="CI77" i="1"/>
  <c r="BR79" i="1"/>
  <c r="BS78" i="1"/>
  <c r="BT78" i="1"/>
  <c r="BW79" i="1"/>
  <c r="BX78" i="1"/>
  <c r="BY78" i="1"/>
  <c r="BE77" i="1"/>
  <c r="BC78" i="1"/>
  <c r="BD77" i="1"/>
  <c r="DR77" i="1"/>
  <c r="DP78" i="1"/>
  <c r="DQ77" i="1"/>
  <c r="DR78" i="1" l="1"/>
  <c r="DP79" i="1"/>
  <c r="DQ78" i="1"/>
  <c r="EV79" i="1"/>
  <c r="ET80" i="1"/>
  <c r="EU79" i="1"/>
  <c r="BJ78" i="1"/>
  <c r="BH79" i="1"/>
  <c r="BI78" i="1"/>
  <c r="EO81" i="1"/>
  <c r="EP80" i="1"/>
  <c r="EQ80" i="1"/>
  <c r="AP78" i="1"/>
  <c r="AN79" i="1"/>
  <c r="AO78" i="1"/>
  <c r="V80" i="1"/>
  <c r="T81" i="1"/>
  <c r="U80" i="1"/>
  <c r="AK81" i="1"/>
  <c r="AI82" i="1"/>
  <c r="AJ81" i="1"/>
  <c r="BT79" i="1"/>
  <c r="BR80" i="1"/>
  <c r="BS79" i="1"/>
  <c r="EB79" i="1"/>
  <c r="DZ80" i="1"/>
  <c r="EA79" i="1"/>
  <c r="DW78" i="1"/>
  <c r="DU79" i="1"/>
  <c r="DV78" i="1"/>
  <c r="EL78" i="1"/>
  <c r="EJ79" i="1"/>
  <c r="EK78" i="1"/>
  <c r="DH79" i="1"/>
  <c r="DG79" i="1"/>
  <c r="DF80" i="1"/>
  <c r="CQ79" i="1"/>
  <c r="CR78" i="1"/>
  <c r="CS78" i="1"/>
  <c r="BM81" i="1"/>
  <c r="BN80" i="1"/>
  <c r="BO80" i="1"/>
  <c r="CI78" i="1"/>
  <c r="CH78" i="1"/>
  <c r="CG79" i="1"/>
  <c r="DC79" i="1"/>
  <c r="DA80" i="1"/>
  <c r="DB79" i="1"/>
  <c r="BC79" i="1"/>
  <c r="BD78" i="1"/>
  <c r="BE78" i="1"/>
  <c r="BY79" i="1"/>
  <c r="BW80" i="1"/>
  <c r="BX79" i="1"/>
  <c r="AZ78" i="1"/>
  <c r="AX79" i="1"/>
  <c r="AY78" i="1"/>
  <c r="EE79" i="1"/>
  <c r="EF78" i="1"/>
  <c r="EG78" i="1"/>
  <c r="CD78" i="1"/>
  <c r="CB79" i="1"/>
  <c r="CC78" i="1"/>
  <c r="AU78" i="1"/>
  <c r="AS79" i="1"/>
  <c r="AT78" i="1"/>
  <c r="DM81" i="1"/>
  <c r="DK82" i="1"/>
  <c r="DL81" i="1"/>
  <c r="CN79" i="1"/>
  <c r="CL80" i="1"/>
  <c r="CM79" i="1"/>
  <c r="CX80" i="1"/>
  <c r="CV81" i="1"/>
  <c r="CW80" i="1"/>
  <c r="AA79" i="1"/>
  <c r="Y80" i="1"/>
  <c r="Z79" i="1"/>
  <c r="AF79" i="1"/>
  <c r="AD80" i="1"/>
  <c r="AE79" i="1"/>
  <c r="AU79" i="1" l="1"/>
  <c r="AS80" i="1"/>
  <c r="AT79" i="1"/>
  <c r="BY80" i="1"/>
  <c r="BW81" i="1"/>
  <c r="BX80" i="1"/>
  <c r="BC80" i="1"/>
  <c r="BD79" i="1"/>
  <c r="BE79" i="1"/>
  <c r="CI79" i="1"/>
  <c r="CG80" i="1"/>
  <c r="CH79" i="1"/>
  <c r="CQ80" i="1"/>
  <c r="CR79" i="1"/>
  <c r="CS79" i="1"/>
  <c r="DW79" i="1"/>
  <c r="DU80" i="1"/>
  <c r="DV79" i="1"/>
  <c r="V81" i="1"/>
  <c r="T82" i="1"/>
  <c r="U81" i="1"/>
  <c r="EV80" i="1"/>
  <c r="ET81" i="1"/>
  <c r="EU80" i="1"/>
  <c r="AF80" i="1"/>
  <c r="AD81" i="1"/>
  <c r="AE80" i="1"/>
  <c r="DL82" i="1"/>
  <c r="DK83" i="1"/>
  <c r="DM82" i="1"/>
  <c r="AZ79" i="1"/>
  <c r="AX80" i="1"/>
  <c r="AY79" i="1"/>
  <c r="BM82" i="1"/>
  <c r="BN81" i="1"/>
  <c r="BO81" i="1"/>
  <c r="DH80" i="1"/>
  <c r="DF81" i="1"/>
  <c r="DG80" i="1"/>
  <c r="EJ80" i="1"/>
  <c r="EK79" i="1"/>
  <c r="EL79" i="1"/>
  <c r="AI83" i="1"/>
  <c r="AJ82" i="1"/>
  <c r="AK82" i="1"/>
  <c r="BH80" i="1"/>
  <c r="BI79" i="1"/>
  <c r="BJ79" i="1"/>
  <c r="Y81" i="1"/>
  <c r="Z80" i="1"/>
  <c r="AA80" i="1"/>
  <c r="CN80" i="1"/>
  <c r="CL81" i="1"/>
  <c r="CM80" i="1"/>
  <c r="DA81" i="1"/>
  <c r="DB80" i="1"/>
  <c r="DC80" i="1"/>
  <c r="BT80" i="1"/>
  <c r="BR81" i="1"/>
  <c r="BS80" i="1"/>
  <c r="CX81" i="1"/>
  <c r="CV82" i="1"/>
  <c r="CW81" i="1"/>
  <c r="CB80" i="1"/>
  <c r="CC79" i="1"/>
  <c r="CD79" i="1"/>
  <c r="EE80" i="1"/>
  <c r="EF79" i="1"/>
  <c r="EG79" i="1"/>
  <c r="EB80" i="1"/>
  <c r="DZ81" i="1"/>
  <c r="EA80" i="1"/>
  <c r="AN80" i="1"/>
  <c r="AO79" i="1"/>
  <c r="AP79" i="1"/>
  <c r="EO82" i="1"/>
  <c r="EP81" i="1"/>
  <c r="EQ81" i="1"/>
  <c r="DP80" i="1"/>
  <c r="DQ79" i="1"/>
  <c r="DR79" i="1"/>
  <c r="CB81" i="1" l="1"/>
  <c r="CC80" i="1"/>
  <c r="CD80" i="1"/>
  <c r="DZ82" i="1"/>
  <c r="EA81" i="1"/>
  <c r="EB81" i="1"/>
  <c r="EG80" i="1"/>
  <c r="EF80" i="1"/>
  <c r="EE81" i="1"/>
  <c r="BR82" i="1"/>
  <c r="BS81" i="1"/>
  <c r="BT81" i="1"/>
  <c r="DA82" i="1"/>
  <c r="DB81" i="1"/>
  <c r="DC81" i="1"/>
  <c r="AJ83" i="1"/>
  <c r="AI84" i="1"/>
  <c r="AK83" i="1"/>
  <c r="CG81" i="1"/>
  <c r="CH80" i="1"/>
  <c r="CI80" i="1"/>
  <c r="BE80" i="1"/>
  <c r="BC81" i="1"/>
  <c r="BD80" i="1"/>
  <c r="CX82" i="1"/>
  <c r="CW82" i="1"/>
  <c r="CV83" i="1"/>
  <c r="BJ80" i="1"/>
  <c r="BH81" i="1"/>
  <c r="BI80" i="1"/>
  <c r="DF82" i="1"/>
  <c r="DG81" i="1"/>
  <c r="DH81" i="1"/>
  <c r="BO82" i="1"/>
  <c r="BM83" i="1"/>
  <c r="BN82" i="1"/>
  <c r="AD82" i="1"/>
  <c r="AE81" i="1"/>
  <c r="AF81" i="1"/>
  <c r="AS81" i="1"/>
  <c r="AT80" i="1"/>
  <c r="AU80" i="1"/>
  <c r="EO83" i="1"/>
  <c r="EQ82" i="1"/>
  <c r="EP82" i="1"/>
  <c r="EL80" i="1"/>
  <c r="EK80" i="1"/>
  <c r="EJ81" i="1"/>
  <c r="AZ80" i="1"/>
  <c r="AX81" i="1"/>
  <c r="AY80" i="1"/>
  <c r="V82" i="1"/>
  <c r="T83" i="1"/>
  <c r="U82" i="1"/>
  <c r="DP81" i="1"/>
  <c r="DQ80" i="1"/>
  <c r="DR80" i="1"/>
  <c r="ET82" i="1"/>
  <c r="EU81" i="1"/>
  <c r="EV81" i="1"/>
  <c r="AN81" i="1"/>
  <c r="AO80" i="1"/>
  <c r="AP80" i="1"/>
  <c r="CL82" i="1"/>
  <c r="CM81" i="1"/>
  <c r="CN81" i="1"/>
  <c r="Y82" i="1"/>
  <c r="Z81" i="1"/>
  <c r="AA81" i="1"/>
  <c r="DM83" i="1"/>
  <c r="DK84" i="1"/>
  <c r="DL83" i="1"/>
  <c r="DU81" i="1"/>
  <c r="DV80" i="1"/>
  <c r="DW80" i="1"/>
  <c r="CS80" i="1"/>
  <c r="CQ81" i="1"/>
  <c r="CR80" i="1"/>
  <c r="BY81" i="1"/>
  <c r="BW82" i="1"/>
  <c r="BX81" i="1"/>
  <c r="CS81" i="1" l="1"/>
  <c r="CQ82" i="1"/>
  <c r="CR81" i="1"/>
  <c r="DW81" i="1"/>
  <c r="DU82" i="1"/>
  <c r="DV81" i="1"/>
  <c r="AP81" i="1"/>
  <c r="AN82" i="1"/>
  <c r="AO81" i="1"/>
  <c r="U83" i="1"/>
  <c r="T84" i="1"/>
  <c r="V83" i="1"/>
  <c r="AF82" i="1"/>
  <c r="AE82" i="1"/>
  <c r="AD83" i="1"/>
  <c r="BJ81" i="1"/>
  <c r="BH82" i="1"/>
  <c r="BI81" i="1"/>
  <c r="AJ84" i="1"/>
  <c r="AK84" i="1"/>
  <c r="AI85" i="1"/>
  <c r="DA83" i="1"/>
  <c r="DC82" i="1"/>
  <c r="DB82" i="1"/>
  <c r="EG81" i="1"/>
  <c r="EE82" i="1"/>
  <c r="EF81" i="1"/>
  <c r="CD81" i="1"/>
  <c r="CB82" i="1"/>
  <c r="CC81" i="1"/>
  <c r="BX82" i="1"/>
  <c r="BW83" i="1"/>
  <c r="BY82" i="1"/>
  <c r="CM82" i="1"/>
  <c r="CL83" i="1"/>
  <c r="CN82" i="1"/>
  <c r="EL81" i="1"/>
  <c r="EJ82" i="1"/>
  <c r="EK81" i="1"/>
  <c r="AU81" i="1"/>
  <c r="AS82" i="1"/>
  <c r="AT81" i="1"/>
  <c r="DZ83" i="1"/>
  <c r="EA82" i="1"/>
  <c r="EB82" i="1"/>
  <c r="DM84" i="1"/>
  <c r="DK85" i="1"/>
  <c r="DL84" i="1"/>
  <c r="AA82" i="1"/>
  <c r="Z82" i="1"/>
  <c r="Y83" i="1"/>
  <c r="DR81" i="1"/>
  <c r="DP82" i="1"/>
  <c r="DQ81" i="1"/>
  <c r="EO84" i="1"/>
  <c r="EQ83" i="1"/>
  <c r="EP83" i="1"/>
  <c r="BO83" i="1"/>
  <c r="BM84" i="1"/>
  <c r="BN83" i="1"/>
  <c r="DF83" i="1"/>
  <c r="DH82" i="1"/>
  <c r="DG82" i="1"/>
  <c r="CX83" i="1"/>
  <c r="CW83" i="1"/>
  <c r="CV84" i="1"/>
  <c r="BE81" i="1"/>
  <c r="BC82" i="1"/>
  <c r="BD81" i="1"/>
  <c r="CI81" i="1"/>
  <c r="CG82" i="1"/>
  <c r="CH81" i="1"/>
  <c r="ET83" i="1"/>
  <c r="EV82" i="1"/>
  <c r="EU82" i="1"/>
  <c r="AX82" i="1"/>
  <c r="AY81" i="1"/>
  <c r="AZ81" i="1"/>
  <c r="BT82" i="1"/>
  <c r="BR83" i="1"/>
  <c r="BS82" i="1"/>
  <c r="CD82" i="1" l="1"/>
  <c r="CC82" i="1"/>
  <c r="CB83" i="1"/>
  <c r="AI86" i="1"/>
  <c r="AJ85" i="1"/>
  <c r="AK85" i="1"/>
  <c r="BJ82" i="1"/>
  <c r="BH83" i="1"/>
  <c r="BI82" i="1"/>
  <c r="DU83" i="1"/>
  <c r="DW82" i="1"/>
  <c r="DV82" i="1"/>
  <c r="BR84" i="1"/>
  <c r="BS83" i="1"/>
  <c r="BT83" i="1"/>
  <c r="AX83" i="1"/>
  <c r="AY82" i="1"/>
  <c r="AZ82" i="1"/>
  <c r="BC83" i="1"/>
  <c r="BD82" i="1"/>
  <c r="BE82" i="1"/>
  <c r="BY83" i="1"/>
  <c r="BW84" i="1"/>
  <c r="BX83" i="1"/>
  <c r="AP82" i="1"/>
  <c r="AN83" i="1"/>
  <c r="AO82" i="1"/>
  <c r="EU83" i="1"/>
  <c r="ET84" i="1"/>
  <c r="EV83" i="1"/>
  <c r="DF84" i="1"/>
  <c r="DG83" i="1"/>
  <c r="DH83" i="1"/>
  <c r="DR82" i="1"/>
  <c r="DP83" i="1"/>
  <c r="DQ82" i="1"/>
  <c r="AU82" i="1"/>
  <c r="AS83" i="1"/>
  <c r="AT82" i="1"/>
  <c r="CG83" i="1"/>
  <c r="CI82" i="1"/>
  <c r="CH82" i="1"/>
  <c r="BM85" i="1"/>
  <c r="BN84" i="1"/>
  <c r="BO84" i="1"/>
  <c r="EO85" i="1"/>
  <c r="EP84" i="1"/>
  <c r="EQ84" i="1"/>
  <c r="AA83" i="1"/>
  <c r="Z83" i="1"/>
  <c r="Y84" i="1"/>
  <c r="DK86" i="1"/>
  <c r="DL85" i="1"/>
  <c r="DM85" i="1"/>
  <c r="EA83" i="1"/>
  <c r="DZ84" i="1"/>
  <c r="EB83" i="1"/>
  <c r="CM83" i="1"/>
  <c r="CN83" i="1"/>
  <c r="CL84" i="1"/>
  <c r="AD84" i="1"/>
  <c r="AF83" i="1"/>
  <c r="AE83" i="1"/>
  <c r="T85" i="1"/>
  <c r="V84" i="1"/>
  <c r="U84" i="1"/>
  <c r="CV85" i="1"/>
  <c r="CW84" i="1"/>
  <c r="CX84" i="1"/>
  <c r="EJ83" i="1"/>
  <c r="EL82" i="1"/>
  <c r="EK82" i="1"/>
  <c r="EF82" i="1"/>
  <c r="EE83" i="1"/>
  <c r="EG82" i="1"/>
  <c r="DA84" i="1"/>
  <c r="DC83" i="1"/>
  <c r="DB83" i="1"/>
  <c r="CQ83" i="1"/>
  <c r="CR82" i="1"/>
  <c r="CS82" i="1"/>
  <c r="DA85" i="1" l="1"/>
  <c r="DC84" i="1"/>
  <c r="DB84" i="1"/>
  <c r="CG84" i="1"/>
  <c r="CH83" i="1"/>
  <c r="CI83" i="1"/>
  <c r="AX84" i="1"/>
  <c r="AZ83" i="1"/>
  <c r="AY83" i="1"/>
  <c r="BI83" i="1"/>
  <c r="BJ83" i="1"/>
  <c r="BH84" i="1"/>
  <c r="AK86" i="1"/>
  <c r="AI87" i="1"/>
  <c r="AJ86" i="1"/>
  <c r="CS83" i="1"/>
  <c r="CQ84" i="1"/>
  <c r="CR83" i="1"/>
  <c r="CX85" i="1"/>
  <c r="CV86" i="1"/>
  <c r="CW85" i="1"/>
  <c r="AA84" i="1"/>
  <c r="Y85" i="1"/>
  <c r="Z84" i="1"/>
  <c r="BM86" i="1"/>
  <c r="BO85" i="1"/>
  <c r="BN85" i="1"/>
  <c r="DP84" i="1"/>
  <c r="DQ83" i="1"/>
  <c r="DR83" i="1"/>
  <c r="DF85" i="1"/>
  <c r="DG84" i="1"/>
  <c r="DH84" i="1"/>
  <c r="BX84" i="1"/>
  <c r="BY84" i="1"/>
  <c r="BW85" i="1"/>
  <c r="BC84" i="1"/>
  <c r="BE83" i="1"/>
  <c r="BD83" i="1"/>
  <c r="CD83" i="1"/>
  <c r="CB84" i="1"/>
  <c r="CC83" i="1"/>
  <c r="EG83" i="1"/>
  <c r="EF83" i="1"/>
  <c r="EE84" i="1"/>
  <c r="EL83" i="1"/>
  <c r="EK83" i="1"/>
  <c r="EJ84" i="1"/>
  <c r="EO86" i="1"/>
  <c r="EP85" i="1"/>
  <c r="EQ85" i="1"/>
  <c r="AU83" i="1"/>
  <c r="AT83" i="1"/>
  <c r="AS84" i="1"/>
  <c r="AN84" i="1"/>
  <c r="AO83" i="1"/>
  <c r="AP83" i="1"/>
  <c r="DU84" i="1"/>
  <c r="DW83" i="1"/>
  <c r="DV83" i="1"/>
  <c r="V85" i="1"/>
  <c r="T86" i="1"/>
  <c r="U85" i="1"/>
  <c r="CL85" i="1"/>
  <c r="CM84" i="1"/>
  <c r="CN84" i="1"/>
  <c r="DZ85" i="1"/>
  <c r="EA84" i="1"/>
  <c r="EB84" i="1"/>
  <c r="DM86" i="1"/>
  <c r="DK87" i="1"/>
  <c r="DL86" i="1"/>
  <c r="AD85" i="1"/>
  <c r="AE84" i="1"/>
  <c r="AF84" i="1"/>
  <c r="ET85" i="1"/>
  <c r="EU84" i="1"/>
  <c r="EV84" i="1"/>
  <c r="BR85" i="1"/>
  <c r="BT84" i="1"/>
  <c r="BS84" i="1"/>
  <c r="CL86" i="1" l="1"/>
  <c r="CM85" i="1"/>
  <c r="CN85" i="1"/>
  <c r="EJ85" i="1"/>
  <c r="EL84" i="1"/>
  <c r="EK84" i="1"/>
  <c r="BW86" i="1"/>
  <c r="BX85" i="1"/>
  <c r="BY85" i="1"/>
  <c r="DP85" i="1"/>
  <c r="DQ84" i="1"/>
  <c r="DR84" i="1"/>
  <c r="CV87" i="1"/>
  <c r="CW86" i="1"/>
  <c r="CX86" i="1"/>
  <c r="DZ86" i="1"/>
  <c r="EB85" i="1"/>
  <c r="EA85" i="1"/>
  <c r="AP84" i="1"/>
  <c r="AN85" i="1"/>
  <c r="AO84" i="1"/>
  <c r="T87" i="1"/>
  <c r="U86" i="1"/>
  <c r="V86" i="1"/>
  <c r="DW84" i="1"/>
  <c r="DU85" i="1"/>
  <c r="DV84" i="1"/>
  <c r="AS85" i="1"/>
  <c r="AU84" i="1"/>
  <c r="AT84" i="1"/>
  <c r="AI88" i="1"/>
  <c r="AJ87" i="1"/>
  <c r="AK87" i="1"/>
  <c r="EV85" i="1"/>
  <c r="EU85" i="1"/>
  <c r="ET86" i="1"/>
  <c r="BJ84" i="1"/>
  <c r="BI84" i="1"/>
  <c r="BH85" i="1"/>
  <c r="CH84" i="1"/>
  <c r="CI84" i="1"/>
  <c r="CG85" i="1"/>
  <c r="BT85" i="1"/>
  <c r="BR86" i="1"/>
  <c r="BS85" i="1"/>
  <c r="DK88" i="1"/>
  <c r="DL87" i="1"/>
  <c r="DM87" i="1"/>
  <c r="DF86" i="1"/>
  <c r="DG85" i="1"/>
  <c r="DH85" i="1"/>
  <c r="AA85" i="1"/>
  <c r="Y86" i="1"/>
  <c r="Z85" i="1"/>
  <c r="AX85" i="1"/>
  <c r="AY84" i="1"/>
  <c r="AZ84" i="1"/>
  <c r="AD86" i="1"/>
  <c r="AF85" i="1"/>
  <c r="AE85" i="1"/>
  <c r="EQ86" i="1"/>
  <c r="EP86" i="1"/>
  <c r="EO87" i="1"/>
  <c r="EG84" i="1"/>
  <c r="EE85" i="1"/>
  <c r="EF84" i="1"/>
  <c r="CD84" i="1"/>
  <c r="CB85" i="1"/>
  <c r="CC84" i="1"/>
  <c r="BC85" i="1"/>
  <c r="BD84" i="1"/>
  <c r="BE84" i="1"/>
  <c r="BO86" i="1"/>
  <c r="BM87" i="1"/>
  <c r="BN86" i="1"/>
  <c r="CS84" i="1"/>
  <c r="CR84" i="1"/>
  <c r="CQ85" i="1"/>
  <c r="DC85" i="1"/>
  <c r="DA86" i="1"/>
  <c r="DB85" i="1"/>
  <c r="AP85" i="1" l="1"/>
  <c r="AN86" i="1"/>
  <c r="AO85" i="1"/>
  <c r="EB86" i="1"/>
  <c r="DZ87" i="1"/>
  <c r="EA86" i="1"/>
  <c r="EL85" i="1"/>
  <c r="EJ86" i="1"/>
  <c r="EK85" i="1"/>
  <c r="EO88" i="1"/>
  <c r="EP87" i="1"/>
  <c r="EQ87" i="1"/>
  <c r="AZ85" i="1"/>
  <c r="AX86" i="1"/>
  <c r="AY85" i="1"/>
  <c r="BJ85" i="1"/>
  <c r="BH86" i="1"/>
  <c r="BI85" i="1"/>
  <c r="AK88" i="1"/>
  <c r="AJ88" i="1"/>
  <c r="AI89" i="1"/>
  <c r="BX86" i="1"/>
  <c r="BY86" i="1"/>
  <c r="BW87" i="1"/>
  <c r="CQ86" i="1"/>
  <c r="CR85" i="1"/>
  <c r="CS85" i="1"/>
  <c r="BM88" i="1"/>
  <c r="BN87" i="1"/>
  <c r="BO87" i="1"/>
  <c r="BC86" i="1"/>
  <c r="BD85" i="1"/>
  <c r="BE85" i="1"/>
  <c r="AD87" i="1"/>
  <c r="AF86" i="1"/>
  <c r="AE86" i="1"/>
  <c r="DM88" i="1"/>
  <c r="DK89" i="1"/>
  <c r="DL88" i="1"/>
  <c r="CI85" i="1"/>
  <c r="CG86" i="1"/>
  <c r="CH85" i="1"/>
  <c r="DW85" i="1"/>
  <c r="DU86" i="1"/>
  <c r="DV85" i="1"/>
  <c r="T88" i="1"/>
  <c r="V87" i="1"/>
  <c r="U87" i="1"/>
  <c r="DR85" i="1"/>
  <c r="DQ85" i="1"/>
  <c r="DP86" i="1"/>
  <c r="DC86" i="1"/>
  <c r="DA87" i="1"/>
  <c r="DB86" i="1"/>
  <c r="CD85" i="1"/>
  <c r="CB86" i="1"/>
  <c r="CC85" i="1"/>
  <c r="BT86" i="1"/>
  <c r="BR87" i="1"/>
  <c r="BS86" i="1"/>
  <c r="EV86" i="1"/>
  <c r="ET87" i="1"/>
  <c r="EU86" i="1"/>
  <c r="AS86" i="1"/>
  <c r="AT85" i="1"/>
  <c r="AU85" i="1"/>
  <c r="EE86" i="1"/>
  <c r="EF85" i="1"/>
  <c r="EG85" i="1"/>
  <c r="AA86" i="1"/>
  <c r="Y87" i="1"/>
  <c r="Z86" i="1"/>
  <c r="DG86" i="1"/>
  <c r="DH86" i="1"/>
  <c r="DF87" i="1"/>
  <c r="CW87" i="1"/>
  <c r="CX87" i="1"/>
  <c r="CV88" i="1"/>
  <c r="CL87" i="1"/>
  <c r="CM86" i="1"/>
  <c r="CN86" i="1"/>
  <c r="DW86" i="1" l="1"/>
  <c r="DU87" i="1"/>
  <c r="DV86" i="1"/>
  <c r="CN87" i="1"/>
  <c r="CL88" i="1"/>
  <c r="CM87" i="1"/>
  <c r="Y88" i="1"/>
  <c r="Z87" i="1"/>
  <c r="AA87" i="1"/>
  <c r="EE87" i="1"/>
  <c r="EF86" i="1"/>
  <c r="EG86" i="1"/>
  <c r="BT87" i="1"/>
  <c r="BR88" i="1"/>
  <c r="BS87" i="1"/>
  <c r="CX88" i="1"/>
  <c r="CW88" i="1"/>
  <c r="CV89" i="1"/>
  <c r="EV87" i="1"/>
  <c r="ET88" i="1"/>
  <c r="EU87" i="1"/>
  <c r="V88" i="1"/>
  <c r="T89" i="1"/>
  <c r="U88" i="1"/>
  <c r="DK90" i="1"/>
  <c r="DL89" i="1"/>
  <c r="DM89" i="1"/>
  <c r="AF87" i="1"/>
  <c r="AD88" i="1"/>
  <c r="AE87" i="1"/>
  <c r="AZ86" i="1"/>
  <c r="AY86" i="1"/>
  <c r="AX87" i="1"/>
  <c r="EQ88" i="1"/>
  <c r="EO89" i="1"/>
  <c r="EP88" i="1"/>
  <c r="AN87" i="1"/>
  <c r="AO86" i="1"/>
  <c r="AP86" i="1"/>
  <c r="AU86" i="1"/>
  <c r="AS87" i="1"/>
  <c r="AT86" i="1"/>
  <c r="CB87" i="1"/>
  <c r="CC86" i="1"/>
  <c r="CD86" i="1"/>
  <c r="BO88" i="1"/>
  <c r="BN88" i="1"/>
  <c r="BM89" i="1"/>
  <c r="BY87" i="1"/>
  <c r="BX87" i="1"/>
  <c r="BW88" i="1"/>
  <c r="EJ87" i="1"/>
  <c r="EK86" i="1"/>
  <c r="EL86" i="1"/>
  <c r="DH87" i="1"/>
  <c r="DG87" i="1"/>
  <c r="DF88" i="1"/>
  <c r="DP87" i="1"/>
  <c r="DQ86" i="1"/>
  <c r="DR86" i="1"/>
  <c r="BC87" i="1"/>
  <c r="BD86" i="1"/>
  <c r="BE86" i="1"/>
  <c r="DA88" i="1"/>
  <c r="DB87" i="1"/>
  <c r="DC87" i="1"/>
  <c r="CI86" i="1"/>
  <c r="CH86" i="1"/>
  <c r="CG87" i="1"/>
  <c r="CS86" i="1"/>
  <c r="CQ87" i="1"/>
  <c r="CR86" i="1"/>
  <c r="AI90" i="1"/>
  <c r="AJ89" i="1"/>
  <c r="AK89" i="1"/>
  <c r="BH87" i="1"/>
  <c r="BI86" i="1"/>
  <c r="BJ86" i="1"/>
  <c r="EB87" i="1"/>
  <c r="DZ88" i="1"/>
  <c r="EA87" i="1"/>
  <c r="DZ89" i="1" l="1"/>
  <c r="EA88" i="1"/>
  <c r="EB88" i="1"/>
  <c r="EL87" i="1"/>
  <c r="EJ88" i="1"/>
  <c r="EK87" i="1"/>
  <c r="BO89" i="1"/>
  <c r="BM90" i="1"/>
  <c r="BN89" i="1"/>
  <c r="ET89" i="1"/>
  <c r="EU88" i="1"/>
  <c r="EV88" i="1"/>
  <c r="CB88" i="1"/>
  <c r="CC87" i="1"/>
  <c r="CD87" i="1"/>
  <c r="DR87" i="1"/>
  <c r="DP88" i="1"/>
  <c r="DQ87" i="1"/>
  <c r="CX89" i="1"/>
  <c r="CV90" i="1"/>
  <c r="CW89" i="1"/>
  <c r="BR89" i="1"/>
  <c r="BS88" i="1"/>
  <c r="BT88" i="1"/>
  <c r="EF87" i="1"/>
  <c r="EG87" i="1"/>
  <c r="EE88" i="1"/>
  <c r="DU88" i="1"/>
  <c r="DV87" i="1"/>
  <c r="DW87" i="1"/>
  <c r="BJ87" i="1"/>
  <c r="BH88" i="1"/>
  <c r="BI87" i="1"/>
  <c r="DA89" i="1"/>
  <c r="DB88" i="1"/>
  <c r="DC88" i="1"/>
  <c r="CS87" i="1"/>
  <c r="CQ88" i="1"/>
  <c r="CR87" i="1"/>
  <c r="BY88" i="1"/>
  <c r="BW89" i="1"/>
  <c r="BX88" i="1"/>
  <c r="EQ89" i="1"/>
  <c r="EO90" i="1"/>
  <c r="EP89" i="1"/>
  <c r="V89" i="1"/>
  <c r="T90" i="1"/>
  <c r="U89" i="1"/>
  <c r="Y89" i="1"/>
  <c r="Z88" i="1"/>
  <c r="AA88" i="1"/>
  <c r="AK90" i="1"/>
  <c r="AI91" i="1"/>
  <c r="AJ90" i="1"/>
  <c r="CG88" i="1"/>
  <c r="CH87" i="1"/>
  <c r="CI87" i="1"/>
  <c r="BC88" i="1"/>
  <c r="BE87" i="1"/>
  <c r="BD87" i="1"/>
  <c r="DF89" i="1"/>
  <c r="DG88" i="1"/>
  <c r="DH88" i="1"/>
  <c r="AS88" i="1"/>
  <c r="AT87" i="1"/>
  <c r="AU87" i="1"/>
  <c r="AP87" i="1"/>
  <c r="AO87" i="1"/>
  <c r="AN88" i="1"/>
  <c r="AZ87" i="1"/>
  <c r="AX88" i="1"/>
  <c r="AY87" i="1"/>
  <c r="AD89" i="1"/>
  <c r="AE88" i="1"/>
  <c r="AF88" i="1"/>
  <c r="DM90" i="1"/>
  <c r="DL90" i="1"/>
  <c r="DK91" i="1"/>
  <c r="CL89" i="1"/>
  <c r="CM88" i="1"/>
  <c r="CN88" i="1"/>
  <c r="AS89" i="1" l="1"/>
  <c r="AU88" i="1"/>
  <c r="AT88" i="1"/>
  <c r="BH89" i="1"/>
  <c r="BI88" i="1"/>
  <c r="BJ88" i="1"/>
  <c r="DV88" i="1"/>
  <c r="DW88" i="1"/>
  <c r="DU89" i="1"/>
  <c r="BO90" i="1"/>
  <c r="BM91" i="1"/>
  <c r="BN90" i="1"/>
  <c r="AX89" i="1"/>
  <c r="AY88" i="1"/>
  <c r="AZ88" i="1"/>
  <c r="T91" i="1"/>
  <c r="U90" i="1"/>
  <c r="V90" i="1"/>
  <c r="EG88" i="1"/>
  <c r="EF88" i="1"/>
  <c r="EE89" i="1"/>
  <c r="DM91" i="1"/>
  <c r="DK92" i="1"/>
  <c r="DL91" i="1"/>
  <c r="BE88" i="1"/>
  <c r="BC89" i="1"/>
  <c r="BD88" i="1"/>
  <c r="CS88" i="1"/>
  <c r="CQ89" i="1"/>
  <c r="CR88" i="1"/>
  <c r="DA90" i="1"/>
  <c r="DC89" i="1"/>
  <c r="DB89" i="1"/>
  <c r="BR90" i="1"/>
  <c r="BT89" i="1"/>
  <c r="BS89" i="1"/>
  <c r="EU89" i="1"/>
  <c r="EV89" i="1"/>
  <c r="ET90" i="1"/>
  <c r="EQ90" i="1"/>
  <c r="EO91" i="1"/>
  <c r="EP90" i="1"/>
  <c r="CV91" i="1"/>
  <c r="CW90" i="1"/>
  <c r="CX90" i="1"/>
  <c r="CN89" i="1"/>
  <c r="CM89" i="1"/>
  <c r="CL90" i="1"/>
  <c r="CI88" i="1"/>
  <c r="CG89" i="1"/>
  <c r="CH88" i="1"/>
  <c r="AF89" i="1"/>
  <c r="AD90" i="1"/>
  <c r="AE89" i="1"/>
  <c r="AP88" i="1"/>
  <c r="AN89" i="1"/>
  <c r="AO88" i="1"/>
  <c r="DH89" i="1"/>
  <c r="DF90" i="1"/>
  <c r="DG89" i="1"/>
  <c r="AK91" i="1"/>
  <c r="AI92" i="1"/>
  <c r="AJ91" i="1"/>
  <c r="Z89" i="1"/>
  <c r="AA89" i="1"/>
  <c r="Y90" i="1"/>
  <c r="BW90" i="1"/>
  <c r="BX89" i="1"/>
  <c r="BY89" i="1"/>
  <c r="DR88" i="1"/>
  <c r="DP89" i="1"/>
  <c r="DQ88" i="1"/>
  <c r="CB89" i="1"/>
  <c r="CD88" i="1"/>
  <c r="CC88" i="1"/>
  <c r="EJ89" i="1"/>
  <c r="EK88" i="1"/>
  <c r="EL88" i="1"/>
  <c r="DZ90" i="1"/>
  <c r="EA89" i="1"/>
  <c r="EB89" i="1"/>
  <c r="AP89" i="1" l="1"/>
  <c r="AN90" i="1"/>
  <c r="AO89" i="1"/>
  <c r="DZ91" i="1"/>
  <c r="EB90" i="1"/>
  <c r="EA90" i="1"/>
  <c r="DR89" i="1"/>
  <c r="DP90" i="1"/>
  <c r="DQ89" i="1"/>
  <c r="CV92" i="1"/>
  <c r="CW91" i="1"/>
  <c r="CX91" i="1"/>
  <c r="EV90" i="1"/>
  <c r="EU90" i="1"/>
  <c r="ET91" i="1"/>
  <c r="DC90" i="1"/>
  <c r="DA91" i="1"/>
  <c r="DB90" i="1"/>
  <c r="DM92" i="1"/>
  <c r="DK93" i="1"/>
  <c r="DL92" i="1"/>
  <c r="BM92" i="1"/>
  <c r="BN91" i="1"/>
  <c r="BO91" i="1"/>
  <c r="AA90" i="1"/>
  <c r="Z90" i="1"/>
  <c r="Y91" i="1"/>
  <c r="AK92" i="1"/>
  <c r="AI93" i="1"/>
  <c r="AJ92" i="1"/>
  <c r="CG90" i="1"/>
  <c r="CH89" i="1"/>
  <c r="CI89" i="1"/>
  <c r="BT90" i="1"/>
  <c r="BR91" i="1"/>
  <c r="BS90" i="1"/>
  <c r="BC90" i="1"/>
  <c r="BD89" i="1"/>
  <c r="BE89" i="1"/>
  <c r="EL89" i="1"/>
  <c r="EJ90" i="1"/>
  <c r="EK89" i="1"/>
  <c r="CN90" i="1"/>
  <c r="CL91" i="1"/>
  <c r="CM90" i="1"/>
  <c r="T92" i="1"/>
  <c r="U91" i="1"/>
  <c r="V91" i="1"/>
  <c r="BJ89" i="1"/>
  <c r="BI89" i="1"/>
  <c r="BH90" i="1"/>
  <c r="BW91" i="1"/>
  <c r="BX90" i="1"/>
  <c r="BY90" i="1"/>
  <c r="DF91" i="1"/>
  <c r="DG90" i="1"/>
  <c r="DH90" i="1"/>
  <c r="CD89" i="1"/>
  <c r="CB90" i="1"/>
  <c r="CC89" i="1"/>
  <c r="AD91" i="1"/>
  <c r="AE90" i="1"/>
  <c r="AF90" i="1"/>
  <c r="EO92" i="1"/>
  <c r="EP91" i="1"/>
  <c r="EQ91" i="1"/>
  <c r="CQ90" i="1"/>
  <c r="CR89" i="1"/>
  <c r="CS89" i="1"/>
  <c r="EE90" i="1"/>
  <c r="EF89" i="1"/>
  <c r="EG89" i="1"/>
  <c r="AX90" i="1"/>
  <c r="AY89" i="1"/>
  <c r="AZ89" i="1"/>
  <c r="DW89" i="1"/>
  <c r="DV89" i="1"/>
  <c r="DU90" i="1"/>
  <c r="AU89" i="1"/>
  <c r="AS90" i="1"/>
  <c r="AT89" i="1"/>
  <c r="AY90" i="1" l="1"/>
  <c r="AZ90" i="1"/>
  <c r="AX91" i="1"/>
  <c r="AJ93" i="1"/>
  <c r="AI94" i="1"/>
  <c r="AK93" i="1"/>
  <c r="DA92" i="1"/>
  <c r="DB91" i="1"/>
  <c r="DC91" i="1"/>
  <c r="AU90" i="1"/>
  <c r="AS91" i="1"/>
  <c r="AT90" i="1"/>
  <c r="EO93" i="1"/>
  <c r="EQ92" i="1"/>
  <c r="EP92" i="1"/>
  <c r="BX91" i="1"/>
  <c r="BY91" i="1"/>
  <c r="BW92" i="1"/>
  <c r="CN91" i="1"/>
  <c r="CL92" i="1"/>
  <c r="CM91" i="1"/>
  <c r="DK94" i="1"/>
  <c r="DL93" i="1"/>
  <c r="DM93" i="1"/>
  <c r="DP91" i="1"/>
  <c r="DQ90" i="1"/>
  <c r="DR90" i="1"/>
  <c r="EB91" i="1"/>
  <c r="DZ92" i="1"/>
  <c r="EA91" i="1"/>
  <c r="AF91" i="1"/>
  <c r="AD92" i="1"/>
  <c r="AE91" i="1"/>
  <c r="EJ91" i="1"/>
  <c r="EK90" i="1"/>
  <c r="EL90" i="1"/>
  <c r="BE90" i="1"/>
  <c r="BC91" i="1"/>
  <c r="BD90" i="1"/>
  <c r="CQ91" i="1"/>
  <c r="CS90" i="1"/>
  <c r="CR90" i="1"/>
  <c r="CB91" i="1"/>
  <c r="CC90" i="1"/>
  <c r="CD90" i="1"/>
  <c r="DH91" i="1"/>
  <c r="DG91" i="1"/>
  <c r="DF92" i="1"/>
  <c r="BH91" i="1"/>
  <c r="BI90" i="1"/>
  <c r="BJ90" i="1"/>
  <c r="BT91" i="1"/>
  <c r="BR92" i="1"/>
  <c r="BS91" i="1"/>
  <c r="CI90" i="1"/>
  <c r="CH90" i="1"/>
  <c r="CG91" i="1"/>
  <c r="Y92" i="1"/>
  <c r="Z91" i="1"/>
  <c r="AA91" i="1"/>
  <c r="EV91" i="1"/>
  <c r="ET92" i="1"/>
  <c r="EU91" i="1"/>
  <c r="DW90" i="1"/>
  <c r="DU91" i="1"/>
  <c r="DV90" i="1"/>
  <c r="EG90" i="1"/>
  <c r="EE91" i="1"/>
  <c r="EF90" i="1"/>
  <c r="T93" i="1"/>
  <c r="V92" i="1"/>
  <c r="U92" i="1"/>
  <c r="BN92" i="1"/>
  <c r="BO92" i="1"/>
  <c r="BM93" i="1"/>
  <c r="CW92" i="1"/>
  <c r="CX92" i="1"/>
  <c r="CV93" i="1"/>
  <c r="AN91" i="1"/>
  <c r="AO90" i="1"/>
  <c r="AP90" i="1"/>
  <c r="EE92" i="1" l="1"/>
  <c r="EF91" i="1"/>
  <c r="EG91" i="1"/>
  <c r="CL93" i="1"/>
  <c r="CM92" i="1"/>
  <c r="CN92" i="1"/>
  <c r="AO91" i="1"/>
  <c r="AP91" i="1"/>
  <c r="AN92" i="1"/>
  <c r="AS92" i="1"/>
  <c r="AT91" i="1"/>
  <c r="AU91" i="1"/>
  <c r="DC92" i="1"/>
  <c r="DA93" i="1"/>
  <c r="DB92" i="1"/>
  <c r="AZ91" i="1"/>
  <c r="AY91" i="1"/>
  <c r="AX92" i="1"/>
  <c r="CV94" i="1"/>
  <c r="CX93" i="1"/>
  <c r="CW93" i="1"/>
  <c r="T94" i="1"/>
  <c r="V93" i="1"/>
  <c r="U93" i="1"/>
  <c r="EU92" i="1"/>
  <c r="ET93" i="1"/>
  <c r="EV92" i="1"/>
  <c r="AA92" i="1"/>
  <c r="Y93" i="1"/>
  <c r="Z92" i="1"/>
  <c r="BC92" i="1"/>
  <c r="BD91" i="1"/>
  <c r="BE91" i="1"/>
  <c r="EL91" i="1"/>
  <c r="EK91" i="1"/>
  <c r="EJ92" i="1"/>
  <c r="DK95" i="1"/>
  <c r="DL94" i="1"/>
  <c r="DM94" i="1"/>
  <c r="BY92" i="1"/>
  <c r="BX92" i="1"/>
  <c r="BW93" i="1"/>
  <c r="DF93" i="1"/>
  <c r="DG92" i="1"/>
  <c r="DH92" i="1"/>
  <c r="CS91" i="1"/>
  <c r="CQ92" i="1"/>
  <c r="CR91" i="1"/>
  <c r="AD93" i="1"/>
  <c r="AE92" i="1"/>
  <c r="AF92" i="1"/>
  <c r="BM94" i="1"/>
  <c r="BO93" i="1"/>
  <c r="BN93" i="1"/>
  <c r="CD91" i="1"/>
  <c r="CB92" i="1"/>
  <c r="CC91" i="1"/>
  <c r="DU92" i="1"/>
  <c r="DV91" i="1"/>
  <c r="DW91" i="1"/>
  <c r="CG92" i="1"/>
  <c r="CH91" i="1"/>
  <c r="CI91" i="1"/>
  <c r="BR93" i="1"/>
  <c r="BS92" i="1"/>
  <c r="BT92" i="1"/>
  <c r="BJ91" i="1"/>
  <c r="BH92" i="1"/>
  <c r="BI91" i="1"/>
  <c r="DZ93" i="1"/>
  <c r="EA92" i="1"/>
  <c r="EB92" i="1"/>
  <c r="DP92" i="1"/>
  <c r="DR91" i="1"/>
  <c r="DQ91" i="1"/>
  <c r="EQ93" i="1"/>
  <c r="EP93" i="1"/>
  <c r="EO94" i="1"/>
  <c r="AI95" i="1"/>
  <c r="AJ94" i="1"/>
  <c r="AK94" i="1"/>
  <c r="BJ92" i="1" l="1"/>
  <c r="BH93" i="1"/>
  <c r="BI92" i="1"/>
  <c r="BR94" i="1"/>
  <c r="BS93" i="1"/>
  <c r="BT93" i="1"/>
  <c r="CB93" i="1"/>
  <c r="CC92" i="1"/>
  <c r="CD92" i="1"/>
  <c r="CL94" i="1"/>
  <c r="CM93" i="1"/>
  <c r="CN93" i="1"/>
  <c r="BE92" i="1"/>
  <c r="BC93" i="1"/>
  <c r="BD92" i="1"/>
  <c r="EO95" i="1"/>
  <c r="EP94" i="1"/>
  <c r="EQ94" i="1"/>
  <c r="DZ94" i="1"/>
  <c r="EA93" i="1"/>
  <c r="EB93" i="1"/>
  <c r="DU93" i="1"/>
  <c r="DV92" i="1"/>
  <c r="DW92" i="1"/>
  <c r="BX93" i="1"/>
  <c r="BY93" i="1"/>
  <c r="BW94" i="1"/>
  <c r="ET94" i="1"/>
  <c r="EU93" i="1"/>
  <c r="EV93" i="1"/>
  <c r="V94" i="1"/>
  <c r="T95" i="1"/>
  <c r="U94" i="1"/>
  <c r="AX93" i="1"/>
  <c r="AY92" i="1"/>
  <c r="AZ92" i="1"/>
  <c r="DB93" i="1"/>
  <c r="DA94" i="1"/>
  <c r="DC93" i="1"/>
  <c r="AS93" i="1"/>
  <c r="AT92" i="1"/>
  <c r="AU92" i="1"/>
  <c r="BM95" i="1"/>
  <c r="BN94" i="1"/>
  <c r="BO94" i="1"/>
  <c r="EJ93" i="1"/>
  <c r="EL92" i="1"/>
  <c r="EK92" i="1"/>
  <c r="AK95" i="1"/>
  <c r="AI96" i="1"/>
  <c r="AJ95" i="1"/>
  <c r="CS92" i="1"/>
  <c r="CQ93" i="1"/>
  <c r="CR92" i="1"/>
  <c r="DF94" i="1"/>
  <c r="DH93" i="1"/>
  <c r="DG93" i="1"/>
  <c r="CX94" i="1"/>
  <c r="CV95" i="1"/>
  <c r="CW94" i="1"/>
  <c r="DR92" i="1"/>
  <c r="DP93" i="1"/>
  <c r="DQ92" i="1"/>
  <c r="CI92" i="1"/>
  <c r="CG93" i="1"/>
  <c r="CH92" i="1"/>
  <c r="AD94" i="1"/>
  <c r="AF93" i="1"/>
  <c r="AE93" i="1"/>
  <c r="DM95" i="1"/>
  <c r="DL95" i="1"/>
  <c r="DK96" i="1"/>
  <c r="Z93" i="1"/>
  <c r="Y94" i="1"/>
  <c r="AA93" i="1"/>
  <c r="AP92" i="1"/>
  <c r="AO92" i="1"/>
  <c r="AN93" i="1"/>
  <c r="EG92" i="1"/>
  <c r="EE93" i="1"/>
  <c r="EF92" i="1"/>
  <c r="EV94" i="1" l="1"/>
  <c r="ET95" i="1"/>
  <c r="EU94" i="1"/>
  <c r="EQ95" i="1"/>
  <c r="EP95" i="1"/>
  <c r="EO96" i="1"/>
  <c r="BT94" i="1"/>
  <c r="BR95" i="1"/>
  <c r="BS94" i="1"/>
  <c r="AF94" i="1"/>
  <c r="AD95" i="1"/>
  <c r="AE94" i="1"/>
  <c r="CV96" i="1"/>
  <c r="CW95" i="1"/>
  <c r="CX95" i="1"/>
  <c r="DH94" i="1"/>
  <c r="DF95" i="1"/>
  <c r="DG94" i="1"/>
  <c r="BO95" i="1"/>
  <c r="BM96" i="1"/>
  <c r="BN95" i="1"/>
  <c r="BW95" i="1"/>
  <c r="BX94" i="1"/>
  <c r="BY94" i="1"/>
  <c r="EB94" i="1"/>
  <c r="DZ95" i="1"/>
  <c r="EA94" i="1"/>
  <c r="CB94" i="1"/>
  <c r="CD93" i="1"/>
  <c r="CC93" i="1"/>
  <c r="AN94" i="1"/>
  <c r="AP93" i="1"/>
  <c r="AO93" i="1"/>
  <c r="Y95" i="1"/>
  <c r="Z94" i="1"/>
  <c r="AA94" i="1"/>
  <c r="DP94" i="1"/>
  <c r="DR93" i="1"/>
  <c r="DQ93" i="1"/>
  <c r="AI97" i="1"/>
  <c r="AJ96" i="1"/>
  <c r="AK96" i="1"/>
  <c r="EJ94" i="1"/>
  <c r="EK93" i="1"/>
  <c r="EL93" i="1"/>
  <c r="DA95" i="1"/>
  <c r="DB94" i="1"/>
  <c r="DC94" i="1"/>
  <c r="AX94" i="1"/>
  <c r="AZ93" i="1"/>
  <c r="AY93" i="1"/>
  <c r="DU94" i="1"/>
  <c r="DV93" i="1"/>
  <c r="DW93" i="1"/>
  <c r="BD93" i="1"/>
  <c r="BC94" i="1"/>
  <c r="BE93" i="1"/>
  <c r="CN94" i="1"/>
  <c r="CM94" i="1"/>
  <c r="CL95" i="1"/>
  <c r="BH94" i="1"/>
  <c r="BJ93" i="1"/>
  <c r="BI93" i="1"/>
  <c r="EG93" i="1"/>
  <c r="EE94" i="1"/>
  <c r="EF93" i="1"/>
  <c r="DK97" i="1"/>
  <c r="DL96" i="1"/>
  <c r="DM96" i="1"/>
  <c r="AS94" i="1"/>
  <c r="AU93" i="1"/>
  <c r="AT93" i="1"/>
  <c r="T96" i="1"/>
  <c r="U95" i="1"/>
  <c r="V95" i="1"/>
  <c r="CG94" i="1"/>
  <c r="CI93" i="1"/>
  <c r="CH93" i="1"/>
  <c r="CR93" i="1"/>
  <c r="CS93" i="1"/>
  <c r="CQ94" i="1"/>
  <c r="CG95" i="1" l="1"/>
  <c r="CH94" i="1"/>
  <c r="CI94" i="1"/>
  <c r="BM97" i="1"/>
  <c r="BN96" i="1"/>
  <c r="BO96" i="1"/>
  <c r="DK98" i="1"/>
  <c r="DM97" i="1"/>
  <c r="DL97" i="1"/>
  <c r="AP94" i="1"/>
  <c r="AN95" i="1"/>
  <c r="AO94" i="1"/>
  <c r="AS95" i="1"/>
  <c r="AT94" i="1"/>
  <c r="AU94" i="1"/>
  <c r="DC95" i="1"/>
  <c r="DA96" i="1"/>
  <c r="DB95" i="1"/>
  <c r="AA95" i="1"/>
  <c r="Y96" i="1"/>
  <c r="Z95" i="1"/>
  <c r="DZ96" i="1"/>
  <c r="EA95" i="1"/>
  <c r="EB95" i="1"/>
  <c r="BY95" i="1"/>
  <c r="BW96" i="1"/>
  <c r="BX95" i="1"/>
  <c r="EO97" i="1"/>
  <c r="EP96" i="1"/>
  <c r="EQ96" i="1"/>
  <c r="ET96" i="1"/>
  <c r="EU95" i="1"/>
  <c r="EV95" i="1"/>
  <c r="CL96" i="1"/>
  <c r="CM95" i="1"/>
  <c r="CN95" i="1"/>
  <c r="BC95" i="1"/>
  <c r="BD94" i="1"/>
  <c r="BE94" i="1"/>
  <c r="DU95" i="1"/>
  <c r="DV94" i="1"/>
  <c r="DW94" i="1"/>
  <c r="AI98" i="1"/>
  <c r="AK97" i="1"/>
  <c r="AJ97" i="1"/>
  <c r="CD94" i="1"/>
  <c r="CB95" i="1"/>
  <c r="CC94" i="1"/>
  <c r="BR96" i="1"/>
  <c r="BS95" i="1"/>
  <c r="BT95" i="1"/>
  <c r="EL94" i="1"/>
  <c r="EJ95" i="1"/>
  <c r="EK94" i="1"/>
  <c r="AD96" i="1"/>
  <c r="AE95" i="1"/>
  <c r="AF95" i="1"/>
  <c r="CQ95" i="1"/>
  <c r="CR94" i="1"/>
  <c r="CS94" i="1"/>
  <c r="V96" i="1"/>
  <c r="T97" i="1"/>
  <c r="U96" i="1"/>
  <c r="EE95" i="1"/>
  <c r="EF94" i="1"/>
  <c r="EG94" i="1"/>
  <c r="BJ94" i="1"/>
  <c r="BH95" i="1"/>
  <c r="BI94" i="1"/>
  <c r="AZ94" i="1"/>
  <c r="AY94" i="1"/>
  <c r="AX95" i="1"/>
  <c r="DR94" i="1"/>
  <c r="DQ94" i="1"/>
  <c r="DP95" i="1"/>
  <c r="DF96" i="1"/>
  <c r="DG95" i="1"/>
  <c r="DH95" i="1"/>
  <c r="CX96" i="1"/>
  <c r="CV97" i="1"/>
  <c r="CW96" i="1"/>
  <c r="EJ96" i="1" l="1"/>
  <c r="EK95" i="1"/>
  <c r="EL95" i="1"/>
  <c r="BT96" i="1"/>
  <c r="BR97" i="1"/>
  <c r="BS96" i="1"/>
  <c r="BE95" i="1"/>
  <c r="BC96" i="1"/>
  <c r="BD95" i="1"/>
  <c r="DA97" i="1"/>
  <c r="DB96" i="1"/>
  <c r="DC96" i="1"/>
  <c r="AU95" i="1"/>
  <c r="AS96" i="1"/>
  <c r="AT95" i="1"/>
  <c r="CI95" i="1"/>
  <c r="CG96" i="1"/>
  <c r="CH95" i="1"/>
  <c r="CW97" i="1"/>
  <c r="CV98" i="1"/>
  <c r="CX97" i="1"/>
  <c r="DH96" i="1"/>
  <c r="DF97" i="1"/>
  <c r="DG96" i="1"/>
  <c r="AX96" i="1"/>
  <c r="AY95" i="1"/>
  <c r="AZ95" i="1"/>
  <c r="BH96" i="1"/>
  <c r="BI95" i="1"/>
  <c r="BJ95" i="1"/>
  <c r="EG95" i="1"/>
  <c r="EE96" i="1"/>
  <c r="EF95" i="1"/>
  <c r="DW95" i="1"/>
  <c r="DU96" i="1"/>
  <c r="DV95" i="1"/>
  <c r="EO98" i="1"/>
  <c r="EQ97" i="1"/>
  <c r="EP97" i="1"/>
  <c r="Y97" i="1"/>
  <c r="Z96" i="1"/>
  <c r="AA96" i="1"/>
  <c r="BM98" i="1"/>
  <c r="BO97" i="1"/>
  <c r="BN97" i="1"/>
  <c r="DP96" i="1"/>
  <c r="DQ95" i="1"/>
  <c r="DR95" i="1"/>
  <c r="AF96" i="1"/>
  <c r="AD97" i="1"/>
  <c r="AE96" i="1"/>
  <c r="CB96" i="1"/>
  <c r="CC95" i="1"/>
  <c r="CD95" i="1"/>
  <c r="AK98" i="1"/>
  <c r="AI99" i="1"/>
  <c r="AJ98" i="1"/>
  <c r="EV96" i="1"/>
  <c r="ET97" i="1"/>
  <c r="EU96" i="1"/>
  <c r="AN96" i="1"/>
  <c r="AO95" i="1"/>
  <c r="AP95" i="1"/>
  <c r="DM98" i="1"/>
  <c r="DL98" i="1"/>
  <c r="DK99" i="1"/>
  <c r="T98" i="1"/>
  <c r="U97" i="1"/>
  <c r="V97" i="1"/>
  <c r="CS95" i="1"/>
  <c r="CQ96" i="1"/>
  <c r="CR95" i="1"/>
  <c r="CN96" i="1"/>
  <c r="CL97" i="1"/>
  <c r="CM96" i="1"/>
  <c r="BW97" i="1"/>
  <c r="BX96" i="1"/>
  <c r="BY96" i="1"/>
  <c r="EB96" i="1"/>
  <c r="DZ97" i="1"/>
  <c r="EA96" i="1"/>
  <c r="EA97" i="1" l="1"/>
  <c r="DZ98" i="1"/>
  <c r="EB97" i="1"/>
  <c r="BW98" i="1"/>
  <c r="BY97" i="1"/>
  <c r="BX97" i="1"/>
  <c r="CD96" i="1"/>
  <c r="CB97" i="1"/>
  <c r="CC96" i="1"/>
  <c r="BJ96" i="1"/>
  <c r="BH97" i="1"/>
  <c r="BI96" i="1"/>
  <c r="CV99" i="1"/>
  <c r="CW98" i="1"/>
  <c r="CX98" i="1"/>
  <c r="BC97" i="1"/>
  <c r="BD96" i="1"/>
  <c r="BE96" i="1"/>
  <c r="CQ97" i="1"/>
  <c r="CR96" i="1"/>
  <c r="CS96" i="1"/>
  <c r="EU97" i="1"/>
  <c r="EV97" i="1"/>
  <c r="ET98" i="1"/>
  <c r="BO98" i="1"/>
  <c r="BM99" i="1"/>
  <c r="BN98" i="1"/>
  <c r="DU97" i="1"/>
  <c r="DV96" i="1"/>
  <c r="DW96" i="1"/>
  <c r="DG97" i="1"/>
  <c r="DF98" i="1"/>
  <c r="DH97" i="1"/>
  <c r="CM97" i="1"/>
  <c r="CN97" i="1"/>
  <c r="CL98" i="1"/>
  <c r="DK100" i="1"/>
  <c r="DL99" i="1"/>
  <c r="DM99" i="1"/>
  <c r="AE97" i="1"/>
  <c r="AD98" i="1"/>
  <c r="AF97" i="1"/>
  <c r="DR96" i="1"/>
  <c r="DP97" i="1"/>
  <c r="DQ96" i="1"/>
  <c r="AS97" i="1"/>
  <c r="AT96" i="1"/>
  <c r="AU96" i="1"/>
  <c r="DA98" i="1"/>
  <c r="DC97" i="1"/>
  <c r="DB97" i="1"/>
  <c r="AI100" i="1"/>
  <c r="AJ99" i="1"/>
  <c r="AK99" i="1"/>
  <c r="AA97" i="1"/>
  <c r="Y98" i="1"/>
  <c r="Z97" i="1"/>
  <c r="EE97" i="1"/>
  <c r="EF96" i="1"/>
  <c r="EG96" i="1"/>
  <c r="T99" i="1"/>
  <c r="V98" i="1"/>
  <c r="U98" i="1"/>
  <c r="AP96" i="1"/>
  <c r="AN97" i="1"/>
  <c r="AO96" i="1"/>
  <c r="EQ98" i="1"/>
  <c r="EO99" i="1"/>
  <c r="EP98" i="1"/>
  <c r="AZ96" i="1"/>
  <c r="AX97" i="1"/>
  <c r="AY96" i="1"/>
  <c r="CG97" i="1"/>
  <c r="CH96" i="1"/>
  <c r="CI96" i="1"/>
  <c r="BS97" i="1"/>
  <c r="BR98" i="1"/>
  <c r="BT97" i="1"/>
  <c r="EL96" i="1"/>
  <c r="EK96" i="1"/>
  <c r="EJ97" i="1"/>
  <c r="AY97" i="1" l="1"/>
  <c r="AX98" i="1"/>
  <c r="AZ97" i="1"/>
  <c r="EK97" i="1"/>
  <c r="EJ98" i="1"/>
  <c r="EL97" i="1"/>
  <c r="BR99" i="1"/>
  <c r="BS98" i="1"/>
  <c r="BT98" i="1"/>
  <c r="CG98" i="1"/>
  <c r="CI97" i="1"/>
  <c r="CH97" i="1"/>
  <c r="AN98" i="1"/>
  <c r="AO97" i="1"/>
  <c r="AP97" i="1"/>
  <c r="V99" i="1"/>
  <c r="T100" i="1"/>
  <c r="U99" i="1"/>
  <c r="DC98" i="1"/>
  <c r="DA99" i="1"/>
  <c r="DB98" i="1"/>
  <c r="AD99" i="1"/>
  <c r="AE98" i="1"/>
  <c r="AF98" i="1"/>
  <c r="DM100" i="1"/>
  <c r="DK101" i="1"/>
  <c r="DL100" i="1"/>
  <c r="CX99" i="1"/>
  <c r="CV100" i="1"/>
  <c r="CW99" i="1"/>
  <c r="EO100" i="1"/>
  <c r="EP99" i="1"/>
  <c r="EQ99" i="1"/>
  <c r="AA98" i="1"/>
  <c r="Y99" i="1"/>
  <c r="Z98" i="1"/>
  <c r="AK100" i="1"/>
  <c r="AI101" i="1"/>
  <c r="AJ100" i="1"/>
  <c r="DP98" i="1"/>
  <c r="DQ97" i="1"/>
  <c r="DR97" i="1"/>
  <c r="CL99" i="1"/>
  <c r="CM98" i="1"/>
  <c r="CN98" i="1"/>
  <c r="DF99" i="1"/>
  <c r="DG98" i="1"/>
  <c r="DH98" i="1"/>
  <c r="DU98" i="1"/>
  <c r="DW97" i="1"/>
  <c r="DV97" i="1"/>
  <c r="ET99" i="1"/>
  <c r="EU98" i="1"/>
  <c r="EV98" i="1"/>
  <c r="BC98" i="1"/>
  <c r="BE97" i="1"/>
  <c r="BD97" i="1"/>
  <c r="CB98" i="1"/>
  <c r="CC97" i="1"/>
  <c r="CD97" i="1"/>
  <c r="BY98" i="1"/>
  <c r="BW99" i="1"/>
  <c r="BX98" i="1"/>
  <c r="CQ98" i="1"/>
  <c r="CS97" i="1"/>
  <c r="CR97" i="1"/>
  <c r="BI97" i="1"/>
  <c r="BH98" i="1"/>
  <c r="BJ97" i="1"/>
  <c r="EE98" i="1"/>
  <c r="EG97" i="1"/>
  <c r="EF97" i="1"/>
  <c r="AS98" i="1"/>
  <c r="AU97" i="1"/>
  <c r="AT97" i="1"/>
  <c r="BM100" i="1"/>
  <c r="BN99" i="1"/>
  <c r="BO99" i="1"/>
  <c r="DZ99" i="1"/>
  <c r="EA98" i="1"/>
  <c r="EB98" i="1"/>
  <c r="AU98" i="1" l="1"/>
  <c r="AS99" i="1"/>
  <c r="AT98" i="1"/>
  <c r="DW98" i="1"/>
  <c r="DU99" i="1"/>
  <c r="DV98" i="1"/>
  <c r="CV101" i="1"/>
  <c r="CW100" i="1"/>
  <c r="CX100" i="1"/>
  <c r="T101" i="1"/>
  <c r="U100" i="1"/>
  <c r="V100" i="1"/>
  <c r="AN99" i="1"/>
  <c r="AO98" i="1"/>
  <c r="AP98" i="1"/>
  <c r="EJ99" i="1"/>
  <c r="EK98" i="1"/>
  <c r="EL98" i="1"/>
  <c r="BO100" i="1"/>
  <c r="BN100" i="1"/>
  <c r="BM101" i="1"/>
  <c r="BH99" i="1"/>
  <c r="BI98" i="1"/>
  <c r="BJ98" i="1"/>
  <c r="CS98" i="1"/>
  <c r="CQ99" i="1"/>
  <c r="CR98" i="1"/>
  <c r="EV99" i="1"/>
  <c r="ET100" i="1"/>
  <c r="EU99" i="1"/>
  <c r="DP99" i="1"/>
  <c r="DQ98" i="1"/>
  <c r="DR98" i="1"/>
  <c r="DA100" i="1"/>
  <c r="DB99" i="1"/>
  <c r="DC99" i="1"/>
  <c r="EB99" i="1"/>
  <c r="DZ100" i="1"/>
  <c r="EA99" i="1"/>
  <c r="BE98" i="1"/>
  <c r="BC99" i="1"/>
  <c r="BD98" i="1"/>
  <c r="CN99" i="1"/>
  <c r="CL100" i="1"/>
  <c r="CM99" i="1"/>
  <c r="Y100" i="1"/>
  <c r="Z99" i="1"/>
  <c r="AA99" i="1"/>
  <c r="EQ100" i="1"/>
  <c r="EO101" i="1"/>
  <c r="EP100" i="1"/>
  <c r="BT99" i="1"/>
  <c r="BR100" i="1"/>
  <c r="BS99" i="1"/>
  <c r="EG98" i="1"/>
  <c r="EE99" i="1"/>
  <c r="EF98" i="1"/>
  <c r="BW100" i="1"/>
  <c r="BX99" i="1"/>
  <c r="BY99" i="1"/>
  <c r="CB99" i="1"/>
  <c r="CC98" i="1"/>
  <c r="CD98" i="1"/>
  <c r="DH99" i="1"/>
  <c r="DF100" i="1"/>
  <c r="DG99" i="1"/>
  <c r="AI102" i="1"/>
  <c r="AJ101" i="1"/>
  <c r="AK101" i="1"/>
  <c r="DK102" i="1"/>
  <c r="DL101" i="1"/>
  <c r="DM101" i="1"/>
  <c r="AF99" i="1"/>
  <c r="AD100" i="1"/>
  <c r="AE99" i="1"/>
  <c r="CI98" i="1"/>
  <c r="CG99" i="1"/>
  <c r="CH98" i="1"/>
  <c r="AX99" i="1"/>
  <c r="AY98" i="1"/>
  <c r="AZ98" i="1"/>
  <c r="CL101" i="1" l="1"/>
  <c r="CM100" i="1"/>
  <c r="CN100" i="1"/>
  <c r="EL99" i="1"/>
  <c r="EK99" i="1"/>
  <c r="EJ100" i="1"/>
  <c r="AZ99" i="1"/>
  <c r="AX100" i="1"/>
  <c r="AY99" i="1"/>
  <c r="AK102" i="1"/>
  <c r="AI103" i="1"/>
  <c r="AJ102" i="1"/>
  <c r="DR99" i="1"/>
  <c r="DP100" i="1"/>
  <c r="DQ99" i="1"/>
  <c r="CX101" i="1"/>
  <c r="CV102" i="1"/>
  <c r="CW101" i="1"/>
  <c r="AD101" i="1"/>
  <c r="AE100" i="1"/>
  <c r="AF100" i="1"/>
  <c r="DM102" i="1"/>
  <c r="DL102" i="1"/>
  <c r="DK103" i="1"/>
  <c r="BY100" i="1"/>
  <c r="BW101" i="1"/>
  <c r="BX100" i="1"/>
  <c r="EO102" i="1"/>
  <c r="EP101" i="1"/>
  <c r="EQ101" i="1"/>
  <c r="AA100" i="1"/>
  <c r="Y101" i="1"/>
  <c r="Z100" i="1"/>
  <c r="DZ101" i="1"/>
  <c r="EA100" i="1"/>
  <c r="EB100" i="1"/>
  <c r="DC100" i="1"/>
  <c r="DA101" i="1"/>
  <c r="DB100" i="1"/>
  <c r="CQ100" i="1"/>
  <c r="CR99" i="1"/>
  <c r="CS99" i="1"/>
  <c r="BJ99" i="1"/>
  <c r="BH100" i="1"/>
  <c r="BI99" i="1"/>
  <c r="V101" i="1"/>
  <c r="T102" i="1"/>
  <c r="U101" i="1"/>
  <c r="AS100" i="1"/>
  <c r="AT99" i="1"/>
  <c r="AU99" i="1"/>
  <c r="EE100" i="1"/>
  <c r="EF99" i="1"/>
  <c r="EG99" i="1"/>
  <c r="CG100" i="1"/>
  <c r="CH99" i="1"/>
  <c r="CI99" i="1"/>
  <c r="DF101" i="1"/>
  <c r="DG100" i="1"/>
  <c r="DH100" i="1"/>
  <c r="CD99" i="1"/>
  <c r="CB100" i="1"/>
  <c r="CC99" i="1"/>
  <c r="BR101" i="1"/>
  <c r="BS100" i="1"/>
  <c r="BT100" i="1"/>
  <c r="BC100" i="1"/>
  <c r="BD99" i="1"/>
  <c r="BE99" i="1"/>
  <c r="ET101" i="1"/>
  <c r="EU100" i="1"/>
  <c r="EV100" i="1"/>
  <c r="BM102" i="1"/>
  <c r="BN101" i="1"/>
  <c r="BO101" i="1"/>
  <c r="AP99" i="1"/>
  <c r="AO99" i="1"/>
  <c r="AN100" i="1"/>
  <c r="DU100" i="1"/>
  <c r="DV99" i="1"/>
  <c r="DW99" i="1"/>
  <c r="AU100" i="1" l="1"/>
  <c r="AS101" i="1"/>
  <c r="AT100" i="1"/>
  <c r="CV103" i="1"/>
  <c r="CW102" i="1"/>
  <c r="CX102" i="1"/>
  <c r="CN101" i="1"/>
  <c r="CM101" i="1"/>
  <c r="CL102" i="1"/>
  <c r="BT101" i="1"/>
  <c r="BR102" i="1"/>
  <c r="BS101" i="1"/>
  <c r="EG100" i="1"/>
  <c r="EE101" i="1"/>
  <c r="EF100" i="1"/>
  <c r="BH101" i="1"/>
  <c r="BI100" i="1"/>
  <c r="BJ100" i="1"/>
  <c r="CS100" i="1"/>
  <c r="CQ101" i="1"/>
  <c r="CR100" i="1"/>
  <c r="Y102" i="1"/>
  <c r="Z101" i="1"/>
  <c r="AA101" i="1"/>
  <c r="EQ102" i="1"/>
  <c r="EO103" i="1"/>
  <c r="EP102" i="1"/>
  <c r="DL103" i="1"/>
  <c r="DM103" i="1"/>
  <c r="DK104" i="1"/>
  <c r="AX101" i="1"/>
  <c r="AY100" i="1"/>
  <c r="AZ100" i="1"/>
  <c r="BO102" i="1"/>
  <c r="BM103" i="1"/>
  <c r="BN102" i="1"/>
  <c r="DW100" i="1"/>
  <c r="DU101" i="1"/>
  <c r="DV100" i="1"/>
  <c r="BE100" i="1"/>
  <c r="BC101" i="1"/>
  <c r="BD100" i="1"/>
  <c r="CI100" i="1"/>
  <c r="CG101" i="1"/>
  <c r="CH100" i="1"/>
  <c r="T103" i="1"/>
  <c r="U102" i="1"/>
  <c r="V102" i="1"/>
  <c r="AF101" i="1"/>
  <c r="AE101" i="1"/>
  <c r="AD102" i="1"/>
  <c r="AI104" i="1"/>
  <c r="AJ103" i="1"/>
  <c r="AK103" i="1"/>
  <c r="AN101" i="1"/>
  <c r="AO100" i="1"/>
  <c r="AP100" i="1"/>
  <c r="EV101" i="1"/>
  <c r="ET102" i="1"/>
  <c r="EU101" i="1"/>
  <c r="CB101" i="1"/>
  <c r="CC100" i="1"/>
  <c r="CD100" i="1"/>
  <c r="DH101" i="1"/>
  <c r="DF102" i="1"/>
  <c r="DG101" i="1"/>
  <c r="DA102" i="1"/>
  <c r="DB101" i="1"/>
  <c r="DC101" i="1"/>
  <c r="EB101" i="1"/>
  <c r="DZ102" i="1"/>
  <c r="EA101" i="1"/>
  <c r="BW102" i="1"/>
  <c r="BX101" i="1"/>
  <c r="BY101" i="1"/>
  <c r="DP101" i="1"/>
  <c r="DQ100" i="1"/>
  <c r="DR100" i="1"/>
  <c r="EJ101" i="1"/>
  <c r="EK100" i="1"/>
  <c r="EL100" i="1"/>
  <c r="DR101" i="1" l="1"/>
  <c r="DP102" i="1"/>
  <c r="DQ101" i="1"/>
  <c r="AI105" i="1"/>
  <c r="AK104" i="1"/>
  <c r="AJ104" i="1"/>
  <c r="CQ102" i="1"/>
  <c r="CR101" i="1"/>
  <c r="CS101" i="1"/>
  <c r="DZ103" i="1"/>
  <c r="EA102" i="1"/>
  <c r="EB102" i="1"/>
  <c r="DC102" i="1"/>
  <c r="DA103" i="1"/>
  <c r="DB102" i="1"/>
  <c r="BM104" i="1"/>
  <c r="BN103" i="1"/>
  <c r="BO103" i="1"/>
  <c r="BR103" i="1"/>
  <c r="BS102" i="1"/>
  <c r="BT102" i="1"/>
  <c r="V103" i="1"/>
  <c r="T104" i="1"/>
  <c r="U103" i="1"/>
  <c r="DU102" i="1"/>
  <c r="DV101" i="1"/>
  <c r="DW101" i="1"/>
  <c r="DK105" i="1"/>
  <c r="DL104" i="1"/>
  <c r="DM104" i="1"/>
  <c r="EO104" i="1"/>
  <c r="EP103" i="1"/>
  <c r="EQ103" i="1"/>
  <c r="AA102" i="1"/>
  <c r="Y103" i="1"/>
  <c r="Z102" i="1"/>
  <c r="EE102" i="1"/>
  <c r="EF101" i="1"/>
  <c r="EG101" i="1"/>
  <c r="AS102" i="1"/>
  <c r="AT101" i="1"/>
  <c r="AU101" i="1"/>
  <c r="CG102" i="1"/>
  <c r="CH101" i="1"/>
  <c r="CI101" i="1"/>
  <c r="BJ101" i="1"/>
  <c r="BH102" i="1"/>
  <c r="BI101" i="1"/>
  <c r="CV104" i="1"/>
  <c r="CX103" i="1"/>
  <c r="CW103" i="1"/>
  <c r="EL101" i="1"/>
  <c r="EJ102" i="1"/>
  <c r="EK101" i="1"/>
  <c r="ET103" i="1"/>
  <c r="EU102" i="1"/>
  <c r="EV102" i="1"/>
  <c r="AP101" i="1"/>
  <c r="AN102" i="1"/>
  <c r="AO101" i="1"/>
  <c r="AD103" i="1"/>
  <c r="AE102" i="1"/>
  <c r="AF102" i="1"/>
  <c r="AZ101" i="1"/>
  <c r="AX102" i="1"/>
  <c r="AY101" i="1"/>
  <c r="BY102" i="1"/>
  <c r="BW103" i="1"/>
  <c r="BX102" i="1"/>
  <c r="DF103" i="1"/>
  <c r="DG102" i="1"/>
  <c r="DH102" i="1"/>
  <c r="CD101" i="1"/>
  <c r="CB102" i="1"/>
  <c r="CC101" i="1"/>
  <c r="BC102" i="1"/>
  <c r="BD101" i="1"/>
  <c r="BE101" i="1"/>
  <c r="CL103" i="1"/>
  <c r="CM102" i="1"/>
  <c r="CN102" i="1"/>
  <c r="AX103" i="1" l="1"/>
  <c r="AY102" i="1"/>
  <c r="AZ102" i="1"/>
  <c r="AF103" i="1"/>
  <c r="AD104" i="1"/>
  <c r="AE103" i="1"/>
  <c r="EJ103" i="1"/>
  <c r="EK102" i="1"/>
  <c r="EL102" i="1"/>
  <c r="CW104" i="1"/>
  <c r="CX104" i="1"/>
  <c r="CV105" i="1"/>
  <c r="EG102" i="1"/>
  <c r="EE103" i="1"/>
  <c r="EF102" i="1"/>
  <c r="DW102" i="1"/>
  <c r="DU103" i="1"/>
  <c r="DV102" i="1"/>
  <c r="BE102" i="1"/>
  <c r="BD102" i="1"/>
  <c r="BC103" i="1"/>
  <c r="BW104" i="1"/>
  <c r="BX103" i="1"/>
  <c r="BY103" i="1"/>
  <c r="AU102" i="1"/>
  <c r="AS103" i="1"/>
  <c r="AT102" i="1"/>
  <c r="DK106" i="1"/>
  <c r="DM105" i="1"/>
  <c r="DL105" i="1"/>
  <c r="BM105" i="1"/>
  <c r="BO104" i="1"/>
  <c r="BN104" i="1"/>
  <c r="AK105" i="1"/>
  <c r="AI106" i="1"/>
  <c r="AJ105" i="1"/>
  <c r="CN103" i="1"/>
  <c r="CL104" i="1"/>
  <c r="CM103" i="1"/>
  <c r="AN103" i="1"/>
  <c r="AO102" i="1"/>
  <c r="AP102" i="1"/>
  <c r="ET104" i="1"/>
  <c r="EV103" i="1"/>
  <c r="EU103" i="1"/>
  <c r="BH103" i="1"/>
  <c r="BI102" i="1"/>
  <c r="BJ102" i="1"/>
  <c r="CI102" i="1"/>
  <c r="CG103" i="1"/>
  <c r="CH102" i="1"/>
  <c r="Y104" i="1"/>
  <c r="Z103" i="1"/>
  <c r="AA103" i="1"/>
  <c r="EO105" i="1"/>
  <c r="EP104" i="1"/>
  <c r="EQ104" i="1"/>
  <c r="U104" i="1"/>
  <c r="V104" i="1"/>
  <c r="T105" i="1"/>
  <c r="BT103" i="1"/>
  <c r="BR104" i="1"/>
  <c r="BS103" i="1"/>
  <c r="CS102" i="1"/>
  <c r="CQ103" i="1"/>
  <c r="CR102" i="1"/>
  <c r="CB103" i="1"/>
  <c r="CC102" i="1"/>
  <c r="CD102" i="1"/>
  <c r="DF104" i="1"/>
  <c r="DH103" i="1"/>
  <c r="DG103" i="1"/>
  <c r="DA104" i="1"/>
  <c r="DB103" i="1"/>
  <c r="DC103" i="1"/>
  <c r="DZ104" i="1"/>
  <c r="EB103" i="1"/>
  <c r="EA103" i="1"/>
  <c r="DP103" i="1"/>
  <c r="DQ102" i="1"/>
  <c r="DR102" i="1"/>
  <c r="DA105" i="1" l="1"/>
  <c r="DB104" i="1"/>
  <c r="DC104" i="1"/>
  <c r="BC104" i="1"/>
  <c r="BD103" i="1"/>
  <c r="BE103" i="1"/>
  <c r="DU104" i="1"/>
  <c r="DV103" i="1"/>
  <c r="DW103" i="1"/>
  <c r="AD105" i="1"/>
  <c r="AE104" i="1"/>
  <c r="AF104" i="1"/>
  <c r="AZ103" i="1"/>
  <c r="AX104" i="1"/>
  <c r="AY103" i="1"/>
  <c r="EB104" i="1"/>
  <c r="DZ105" i="1"/>
  <c r="EA104" i="1"/>
  <c r="T106" i="1"/>
  <c r="U105" i="1"/>
  <c r="V105" i="1"/>
  <c r="Y105" i="1"/>
  <c r="AA104" i="1"/>
  <c r="Z104" i="1"/>
  <c r="AP103" i="1"/>
  <c r="AN104" i="1"/>
  <c r="AO103" i="1"/>
  <c r="DM106" i="1"/>
  <c r="DK107" i="1"/>
  <c r="DL106" i="1"/>
  <c r="CV106" i="1"/>
  <c r="CW105" i="1"/>
  <c r="CX105" i="1"/>
  <c r="CR103" i="1"/>
  <c r="CS103" i="1"/>
  <c r="CQ104" i="1"/>
  <c r="DP104" i="1"/>
  <c r="DR103" i="1"/>
  <c r="DQ103" i="1"/>
  <c r="CD103" i="1"/>
  <c r="CC103" i="1"/>
  <c r="CB104" i="1"/>
  <c r="EO106" i="1"/>
  <c r="EQ105" i="1"/>
  <c r="EP105" i="1"/>
  <c r="EV104" i="1"/>
  <c r="ET105" i="1"/>
  <c r="EU104" i="1"/>
  <c r="AK106" i="1"/>
  <c r="AJ106" i="1"/>
  <c r="AI107" i="1"/>
  <c r="BM106" i="1"/>
  <c r="BO105" i="1"/>
  <c r="BN105" i="1"/>
  <c r="EJ104" i="1"/>
  <c r="EL103" i="1"/>
  <c r="EK103" i="1"/>
  <c r="DH104" i="1"/>
  <c r="DF105" i="1"/>
  <c r="DG104" i="1"/>
  <c r="BR105" i="1"/>
  <c r="BS104" i="1"/>
  <c r="BT104" i="1"/>
  <c r="CG104" i="1"/>
  <c r="CH103" i="1"/>
  <c r="CI103" i="1"/>
  <c r="BJ103" i="1"/>
  <c r="BH104" i="1"/>
  <c r="BI103" i="1"/>
  <c r="CN104" i="1"/>
  <c r="CL105" i="1"/>
  <c r="CM104" i="1"/>
  <c r="AS104" i="1"/>
  <c r="AT103" i="1"/>
  <c r="AU103" i="1"/>
  <c r="BW105" i="1"/>
  <c r="BY104" i="1"/>
  <c r="BX104" i="1"/>
  <c r="EF103" i="1"/>
  <c r="EG103" i="1"/>
  <c r="EE104" i="1"/>
  <c r="BI104" i="1" l="1"/>
  <c r="BJ104" i="1"/>
  <c r="BH105" i="1"/>
  <c r="CG105" i="1"/>
  <c r="CI104" i="1"/>
  <c r="CH104" i="1"/>
  <c r="CM105" i="1"/>
  <c r="CL106" i="1"/>
  <c r="CN105" i="1"/>
  <c r="DG105" i="1"/>
  <c r="DF106" i="1"/>
  <c r="DH105" i="1"/>
  <c r="EL104" i="1"/>
  <c r="EK104" i="1"/>
  <c r="EJ105" i="1"/>
  <c r="AI108" i="1"/>
  <c r="AJ107" i="1"/>
  <c r="AK107" i="1"/>
  <c r="EU105" i="1"/>
  <c r="ET106" i="1"/>
  <c r="EV105" i="1"/>
  <c r="EQ106" i="1"/>
  <c r="EO107" i="1"/>
  <c r="EP106" i="1"/>
  <c r="CV107" i="1"/>
  <c r="CW106" i="1"/>
  <c r="CX106" i="1"/>
  <c r="T107" i="1"/>
  <c r="V106" i="1"/>
  <c r="U106" i="1"/>
  <c r="DU105" i="1"/>
  <c r="DV104" i="1"/>
  <c r="DW104" i="1"/>
  <c r="CC104" i="1"/>
  <c r="CD104" i="1"/>
  <c r="CB105" i="1"/>
  <c r="AO104" i="1"/>
  <c r="AN105" i="1"/>
  <c r="AP104" i="1"/>
  <c r="AA105" i="1"/>
  <c r="Y106" i="1"/>
  <c r="Z105" i="1"/>
  <c r="AX105" i="1"/>
  <c r="AY104" i="1"/>
  <c r="AZ104" i="1"/>
  <c r="AD106" i="1"/>
  <c r="AE105" i="1"/>
  <c r="AF105" i="1"/>
  <c r="BW106" i="1"/>
  <c r="BY105" i="1"/>
  <c r="BX105" i="1"/>
  <c r="BO106" i="1"/>
  <c r="BM107" i="1"/>
  <c r="BN106" i="1"/>
  <c r="CQ105" i="1"/>
  <c r="CR104" i="1"/>
  <c r="CS104" i="1"/>
  <c r="BC105" i="1"/>
  <c r="BE104" i="1"/>
  <c r="BD104" i="1"/>
  <c r="EE105" i="1"/>
  <c r="EF104" i="1"/>
  <c r="EG104" i="1"/>
  <c r="AS105" i="1"/>
  <c r="AU104" i="1"/>
  <c r="AT104" i="1"/>
  <c r="BS105" i="1"/>
  <c r="BR106" i="1"/>
  <c r="BT105" i="1"/>
  <c r="DR104" i="1"/>
  <c r="DP105" i="1"/>
  <c r="DQ104" i="1"/>
  <c r="DK108" i="1"/>
  <c r="DL107" i="1"/>
  <c r="DM107" i="1"/>
  <c r="EA105" i="1"/>
  <c r="EB105" i="1"/>
  <c r="DZ106" i="1"/>
  <c r="DA106" i="1"/>
  <c r="DC105" i="1"/>
  <c r="DB105" i="1"/>
  <c r="BR107" i="1" l="1"/>
  <c r="BS106" i="1"/>
  <c r="BT106" i="1"/>
  <c r="AS106" i="1"/>
  <c r="AU105" i="1"/>
  <c r="AT105" i="1"/>
  <c r="CB106" i="1"/>
  <c r="CC105" i="1"/>
  <c r="CD105" i="1"/>
  <c r="V107" i="1"/>
  <c r="U107" i="1"/>
  <c r="T108" i="1"/>
  <c r="ET107" i="1"/>
  <c r="EU106" i="1"/>
  <c r="EV106" i="1"/>
  <c r="AK108" i="1"/>
  <c r="AJ108" i="1"/>
  <c r="CL107" i="1"/>
  <c r="CM106" i="1"/>
  <c r="CN106" i="1"/>
  <c r="CQ106" i="1"/>
  <c r="CS105" i="1"/>
  <c r="CR105" i="1"/>
  <c r="AY105" i="1"/>
  <c r="AZ105" i="1"/>
  <c r="AX106" i="1"/>
  <c r="DU106" i="1"/>
  <c r="DW105" i="1"/>
  <c r="DV105" i="1"/>
  <c r="EO108" i="1"/>
  <c r="EP107" i="1"/>
  <c r="EQ107" i="1"/>
  <c r="EJ106" i="1"/>
  <c r="EK105" i="1"/>
  <c r="EL105" i="1"/>
  <c r="DF107" i="1"/>
  <c r="DG106" i="1"/>
  <c r="DH106" i="1"/>
  <c r="BH106" i="1"/>
  <c r="BI105" i="1"/>
  <c r="BJ105" i="1"/>
  <c r="DZ107" i="1"/>
  <c r="EA106" i="1"/>
  <c r="EB106" i="1"/>
  <c r="BC106" i="1"/>
  <c r="BE105" i="1"/>
  <c r="BD105" i="1"/>
  <c r="AD107" i="1"/>
  <c r="AF106" i="1"/>
  <c r="AE106" i="1"/>
  <c r="AO105" i="1"/>
  <c r="AP105" i="1"/>
  <c r="AN106" i="1"/>
  <c r="CG106" i="1"/>
  <c r="CI105" i="1"/>
  <c r="CH105" i="1"/>
  <c r="DC106" i="1"/>
  <c r="DA107" i="1"/>
  <c r="DB106" i="1"/>
  <c r="DP106" i="1"/>
  <c r="DQ105" i="1"/>
  <c r="DR105" i="1"/>
  <c r="DM108" i="1"/>
  <c r="DL108" i="1"/>
  <c r="EE106" i="1"/>
  <c r="EG105" i="1"/>
  <c r="EF105" i="1"/>
  <c r="BM108" i="1"/>
  <c r="BN107" i="1"/>
  <c r="BO107" i="1"/>
  <c r="BY106" i="1"/>
  <c r="BX106" i="1"/>
  <c r="BW107" i="1"/>
  <c r="Y107" i="1"/>
  <c r="Z106" i="1"/>
  <c r="AA106" i="1"/>
  <c r="CX107" i="1"/>
  <c r="CV108" i="1"/>
  <c r="CW107" i="1"/>
  <c r="BO108" i="1" l="1"/>
  <c r="BN108" i="1"/>
  <c r="DP107" i="1"/>
  <c r="DQ106" i="1"/>
  <c r="DR106" i="1"/>
  <c r="DH107" i="1"/>
  <c r="DF108" i="1"/>
  <c r="DG107" i="1"/>
  <c r="U108" i="1"/>
  <c r="V108" i="1"/>
  <c r="AU106" i="1"/>
  <c r="AS107" i="1"/>
  <c r="AT106" i="1"/>
  <c r="CB107" i="1"/>
  <c r="CC106" i="1"/>
  <c r="CD106" i="1"/>
  <c r="CW108" i="1"/>
  <c r="CX108" i="1"/>
  <c r="Y108" i="1"/>
  <c r="Z107" i="1"/>
  <c r="AA107" i="1"/>
  <c r="DA108" i="1"/>
  <c r="DB107" i="1"/>
  <c r="DC107" i="1"/>
  <c r="CI106" i="1"/>
  <c r="CG107" i="1"/>
  <c r="CH106" i="1"/>
  <c r="EB107" i="1"/>
  <c r="DZ108" i="1"/>
  <c r="EA107" i="1"/>
  <c r="EQ108" i="1"/>
  <c r="EP108" i="1"/>
  <c r="AX107" i="1"/>
  <c r="AY106" i="1"/>
  <c r="AZ106" i="1"/>
  <c r="CN107" i="1"/>
  <c r="CL108" i="1"/>
  <c r="CM107" i="1"/>
  <c r="AF107" i="1"/>
  <c r="AD108" i="1"/>
  <c r="AE107" i="1"/>
  <c r="BH107" i="1"/>
  <c r="BI106" i="1"/>
  <c r="BJ106" i="1"/>
  <c r="DW106" i="1"/>
  <c r="DU107" i="1"/>
  <c r="DV106" i="1"/>
  <c r="BW108" i="1"/>
  <c r="BX107" i="1"/>
  <c r="BY107" i="1"/>
  <c r="EG106" i="1"/>
  <c r="EE107" i="1"/>
  <c r="EF106" i="1"/>
  <c r="AN107" i="1"/>
  <c r="AO106" i="1"/>
  <c r="AP106" i="1"/>
  <c r="BE106" i="1"/>
  <c r="BC107" i="1"/>
  <c r="BD106" i="1"/>
  <c r="EJ107" i="1"/>
  <c r="EK106" i="1"/>
  <c r="EL106" i="1"/>
  <c r="CS106" i="1"/>
  <c r="CQ107" i="1"/>
  <c r="CR106" i="1"/>
  <c r="EV107" i="1"/>
  <c r="ET108" i="1"/>
  <c r="EU107" i="1"/>
  <c r="BT107" i="1"/>
  <c r="BR108" i="1"/>
  <c r="BS107" i="1"/>
  <c r="CQ108" i="1" l="1"/>
  <c r="CR107" i="1"/>
  <c r="CS107" i="1"/>
  <c r="EL107" i="1"/>
  <c r="EJ108" i="1"/>
  <c r="EK107" i="1"/>
  <c r="AS108" i="1"/>
  <c r="AT107" i="1"/>
  <c r="AU107" i="1"/>
  <c r="AA108" i="1"/>
  <c r="Z108" i="1"/>
  <c r="DG108" i="1"/>
  <c r="DH108" i="1"/>
  <c r="DR107" i="1"/>
  <c r="DP108" i="1"/>
  <c r="DQ107" i="1"/>
  <c r="BS108" i="1"/>
  <c r="BT108" i="1"/>
  <c r="BC108" i="1"/>
  <c r="BD107" i="1"/>
  <c r="BE107" i="1"/>
  <c r="AP107" i="1"/>
  <c r="AN108" i="1"/>
  <c r="AO107" i="1"/>
  <c r="DU108" i="1"/>
  <c r="DV107" i="1"/>
  <c r="DW107" i="1"/>
  <c r="BJ107" i="1"/>
  <c r="BI107" i="1"/>
  <c r="BH108" i="1"/>
  <c r="CG108" i="1"/>
  <c r="CH107" i="1"/>
  <c r="CI107" i="1"/>
  <c r="DC108" i="1"/>
  <c r="DB108" i="1"/>
  <c r="CD107" i="1"/>
  <c r="CB108" i="1"/>
  <c r="CC107" i="1"/>
  <c r="EE108" i="1"/>
  <c r="EF107" i="1"/>
  <c r="EG107" i="1"/>
  <c r="BY108" i="1"/>
  <c r="BX108" i="1"/>
  <c r="AE108" i="1"/>
  <c r="AF108" i="1"/>
  <c r="EU108" i="1"/>
  <c r="EV108" i="1"/>
  <c r="CM108" i="1"/>
  <c r="CN108" i="1"/>
  <c r="AZ107" i="1"/>
  <c r="AX108" i="1"/>
  <c r="AY107" i="1"/>
  <c r="EA108" i="1"/>
  <c r="EB108" i="1"/>
  <c r="DQ108" i="1" l="1"/>
  <c r="DR108" i="1"/>
  <c r="BI108" i="1"/>
  <c r="BJ108" i="1"/>
  <c r="AY108" i="1"/>
  <c r="AZ108" i="1"/>
  <c r="EG108" i="1"/>
  <c r="EF108" i="1"/>
  <c r="CI108" i="1"/>
  <c r="V5" i="1" s="1"/>
  <c r="CH108" i="1"/>
  <c r="AO108" i="1"/>
  <c r="AP108" i="1"/>
  <c r="BE108" i="1"/>
  <c r="BD108" i="1"/>
  <c r="AU108" i="1"/>
  <c r="AT108" i="1"/>
  <c r="CC108" i="1"/>
  <c r="CD108" i="1"/>
  <c r="DW108" i="1"/>
  <c r="DV108" i="1"/>
  <c r="EK108" i="1"/>
  <c r="EL108" i="1"/>
  <c r="CS108" i="1"/>
  <c r="CR108" i="1"/>
  <c r="EM108" i="1" l="1"/>
  <c r="BA108" i="1"/>
  <c r="DD108" i="1"/>
  <c r="DD103" i="1"/>
  <c r="DD98" i="1"/>
  <c r="DD93" i="1"/>
  <c r="DD87" i="1"/>
  <c r="DD82" i="1"/>
  <c r="DD77" i="1"/>
  <c r="DD71" i="1"/>
  <c r="DD66" i="1"/>
  <c r="DD61" i="1"/>
  <c r="DD55" i="1"/>
  <c r="DD50" i="1"/>
  <c r="DD45" i="1"/>
  <c r="DD39" i="1"/>
  <c r="DD34" i="1"/>
  <c r="DD29" i="1"/>
  <c r="DD23" i="1"/>
  <c r="DD18" i="1"/>
  <c r="DD13" i="1"/>
  <c r="CY108" i="1"/>
  <c r="CY103" i="1"/>
  <c r="CY98" i="1"/>
  <c r="CY92" i="1"/>
  <c r="CY87" i="1"/>
  <c r="CY82" i="1"/>
  <c r="CY76" i="1"/>
  <c r="CY71" i="1"/>
  <c r="CY66" i="1"/>
  <c r="CY60" i="1"/>
  <c r="CY55" i="1"/>
  <c r="CY50" i="1"/>
  <c r="DD107" i="1"/>
  <c r="DD102" i="1"/>
  <c r="DD97" i="1"/>
  <c r="DD91" i="1"/>
  <c r="DD86" i="1"/>
  <c r="DD81" i="1"/>
  <c r="DD75" i="1"/>
  <c r="DD70" i="1"/>
  <c r="DD65" i="1"/>
  <c r="DD59" i="1"/>
  <c r="DD54" i="1"/>
  <c r="DD49" i="1"/>
  <c r="DD43" i="1"/>
  <c r="DD38" i="1"/>
  <c r="DD33" i="1"/>
  <c r="DD27" i="1"/>
  <c r="DD22" i="1"/>
  <c r="DD17" i="1"/>
  <c r="DD11" i="1"/>
  <c r="CY107" i="1"/>
  <c r="CY102" i="1"/>
  <c r="CY96" i="1"/>
  <c r="CY91" i="1"/>
  <c r="CY86" i="1"/>
  <c r="CY80" i="1"/>
  <c r="CY75" i="1"/>
  <c r="CY70" i="1"/>
  <c r="CY64" i="1"/>
  <c r="CY59" i="1"/>
  <c r="CY54" i="1"/>
  <c r="CY48" i="1"/>
  <c r="CY43" i="1"/>
  <c r="CY38" i="1"/>
  <c r="CY34" i="1"/>
  <c r="CY30" i="1"/>
  <c r="CY26" i="1"/>
  <c r="CY22" i="1"/>
  <c r="CY18" i="1"/>
  <c r="CY14" i="1"/>
  <c r="CY10" i="1"/>
  <c r="CT107" i="1"/>
  <c r="CT103" i="1"/>
  <c r="CT99" i="1"/>
  <c r="CT95" i="1"/>
  <c r="CT91" i="1"/>
  <c r="CT87" i="1"/>
  <c r="CT83" i="1"/>
  <c r="CT79" i="1"/>
  <c r="CT75" i="1"/>
  <c r="CT71" i="1"/>
  <c r="CT67" i="1"/>
  <c r="CT63" i="1"/>
  <c r="CT59" i="1"/>
  <c r="CT55" i="1"/>
  <c r="CT51" i="1"/>
  <c r="CT47" i="1"/>
  <c r="CT43" i="1"/>
  <c r="CT39" i="1"/>
  <c r="CT35" i="1"/>
  <c r="CT31" i="1"/>
  <c r="CT27" i="1"/>
  <c r="CT23" i="1"/>
  <c r="CT19" i="1"/>
  <c r="CT15" i="1"/>
  <c r="CT11" i="1"/>
  <c r="CO108" i="1"/>
  <c r="CO104" i="1"/>
  <c r="CO100" i="1"/>
  <c r="CO96" i="1"/>
  <c r="CO92" i="1"/>
  <c r="CO88" i="1"/>
  <c r="CO84" i="1"/>
  <c r="CO80" i="1"/>
  <c r="CO76" i="1"/>
  <c r="CO72" i="1"/>
  <c r="CO68" i="1"/>
  <c r="CO64" i="1"/>
  <c r="CO60" i="1"/>
  <c r="CO56" i="1"/>
  <c r="CO52" i="1"/>
  <c r="CO48" i="1"/>
  <c r="CO44" i="1"/>
  <c r="CO40" i="1"/>
  <c r="CO36" i="1"/>
  <c r="CO32" i="1"/>
  <c r="DD106" i="1"/>
  <c r="DD95" i="1"/>
  <c r="DD85" i="1"/>
  <c r="DD74" i="1"/>
  <c r="DD63" i="1"/>
  <c r="DD53" i="1"/>
  <c r="DD42" i="1"/>
  <c r="DD31" i="1"/>
  <c r="DD21" i="1"/>
  <c r="DD10" i="1"/>
  <c r="CY100" i="1"/>
  <c r="CY90" i="1"/>
  <c r="CY79" i="1"/>
  <c r="CY68" i="1"/>
  <c r="CY58" i="1"/>
  <c r="CY47" i="1"/>
  <c r="CY40" i="1"/>
  <c r="CY35" i="1"/>
  <c r="CY29" i="1"/>
  <c r="CY24" i="1"/>
  <c r="CY19" i="1"/>
  <c r="CY13" i="1"/>
  <c r="CY8" i="1"/>
  <c r="CT104" i="1"/>
  <c r="CT98" i="1"/>
  <c r="CT93" i="1"/>
  <c r="CT88" i="1"/>
  <c r="CT82" i="1"/>
  <c r="CT77" i="1"/>
  <c r="CT72" i="1"/>
  <c r="CT66" i="1"/>
  <c r="CT61" i="1"/>
  <c r="CT56" i="1"/>
  <c r="CT50" i="1"/>
  <c r="CT45" i="1"/>
  <c r="CT40" i="1"/>
  <c r="CT34" i="1"/>
  <c r="CT29" i="1"/>
  <c r="CT24" i="1"/>
  <c r="CT18" i="1"/>
  <c r="CT13" i="1"/>
  <c r="CT8" i="1"/>
  <c r="CO103" i="1"/>
  <c r="CO98" i="1"/>
  <c r="CO93" i="1"/>
  <c r="CO87" i="1"/>
  <c r="CO82" i="1"/>
  <c r="CO77" i="1"/>
  <c r="CO71" i="1"/>
  <c r="CO66" i="1"/>
  <c r="CO61" i="1"/>
  <c r="CO55" i="1"/>
  <c r="CO50" i="1"/>
  <c r="CO45" i="1"/>
  <c r="CO39" i="1"/>
  <c r="CO34" i="1"/>
  <c r="CO29" i="1"/>
  <c r="CO25" i="1"/>
  <c r="CO21" i="1"/>
  <c r="CO17" i="1"/>
  <c r="CO13" i="1"/>
  <c r="CO9" i="1"/>
  <c r="CJ106" i="1"/>
  <c r="CJ102" i="1"/>
  <c r="CJ98" i="1"/>
  <c r="CJ94" i="1"/>
  <c r="CJ90" i="1"/>
  <c r="CJ86" i="1"/>
  <c r="CJ82" i="1"/>
  <c r="CJ78" i="1"/>
  <c r="CJ74" i="1"/>
  <c r="CJ70" i="1"/>
  <c r="CJ66" i="1"/>
  <c r="CJ62" i="1"/>
  <c r="CJ58" i="1"/>
  <c r="CJ54" i="1"/>
  <c r="CJ50" i="1"/>
  <c r="CJ46" i="1"/>
  <c r="CJ42" i="1"/>
  <c r="CJ38" i="1"/>
  <c r="CJ34" i="1"/>
  <c r="CJ30" i="1"/>
  <c r="CJ26" i="1"/>
  <c r="CJ22" i="1"/>
  <c r="CJ18" i="1"/>
  <c r="DD105" i="1"/>
  <c r="DD94" i="1"/>
  <c r="DD83" i="1"/>
  <c r="DD73" i="1"/>
  <c r="DD62" i="1"/>
  <c r="DD51" i="1"/>
  <c r="DD41" i="1"/>
  <c r="DD30" i="1"/>
  <c r="DD19" i="1"/>
  <c r="DD9" i="1"/>
  <c r="CY99" i="1"/>
  <c r="CY88" i="1"/>
  <c r="CY78" i="1"/>
  <c r="CY67" i="1"/>
  <c r="CY56" i="1"/>
  <c r="CY46" i="1"/>
  <c r="CY39" i="1"/>
  <c r="CY33" i="1"/>
  <c r="CY28" i="1"/>
  <c r="CY23" i="1"/>
  <c r="CY17" i="1"/>
  <c r="CY12" i="1"/>
  <c r="CT108" i="1"/>
  <c r="CT102" i="1"/>
  <c r="CT97" i="1"/>
  <c r="CT92" i="1"/>
  <c r="CT86" i="1"/>
  <c r="CT81" i="1"/>
  <c r="CT76" i="1"/>
  <c r="CT70" i="1"/>
  <c r="CT65" i="1"/>
  <c r="CT60" i="1"/>
  <c r="CT54" i="1"/>
  <c r="CT49" i="1"/>
  <c r="CT44" i="1"/>
  <c r="CT38" i="1"/>
  <c r="CT33" i="1"/>
  <c r="CT28" i="1"/>
  <c r="CT22" i="1"/>
  <c r="CT17" i="1"/>
  <c r="CT12" i="1"/>
  <c r="CO107" i="1"/>
  <c r="CO102" i="1"/>
  <c r="CO97" i="1"/>
  <c r="CO91" i="1"/>
  <c r="CO86" i="1"/>
  <c r="CO81" i="1"/>
  <c r="CO75" i="1"/>
  <c r="CO70" i="1"/>
  <c r="CO65" i="1"/>
  <c r="CO59" i="1"/>
  <c r="CO54" i="1"/>
  <c r="CO49" i="1"/>
  <c r="CO43" i="1"/>
  <c r="CO38" i="1"/>
  <c r="CO33" i="1"/>
  <c r="CO28" i="1"/>
  <c r="CO24" i="1"/>
  <c r="CO20" i="1"/>
  <c r="CO16" i="1"/>
  <c r="CO12" i="1"/>
  <c r="CO8" i="1"/>
  <c r="CJ105" i="1"/>
  <c r="CJ101" i="1"/>
  <c r="CJ97" i="1"/>
  <c r="CJ93" i="1"/>
  <c r="CJ89" i="1"/>
  <c r="CJ85" i="1"/>
  <c r="CJ81" i="1"/>
  <c r="CJ77" i="1"/>
  <c r="CJ73" i="1"/>
  <c r="CJ69" i="1"/>
  <c r="CJ65" i="1"/>
  <c r="CJ61" i="1"/>
  <c r="CJ57" i="1"/>
  <c r="CJ53" i="1"/>
  <c r="CJ49" i="1"/>
  <c r="CJ45" i="1"/>
  <c r="CJ41" i="1"/>
  <c r="CJ37" i="1"/>
  <c r="CJ33" i="1"/>
  <c r="CJ29" i="1"/>
  <c r="CJ25" i="1"/>
  <c r="CJ21" i="1"/>
  <c r="CJ17" i="1"/>
  <c r="CJ13" i="1"/>
  <c r="CJ9" i="1"/>
  <c r="CE106" i="1"/>
  <c r="CE102" i="1"/>
  <c r="CE98" i="1"/>
  <c r="CE94" i="1"/>
  <c r="CE90" i="1"/>
  <c r="CE86" i="1"/>
  <c r="CE82" i="1"/>
  <c r="CE78" i="1"/>
  <c r="CE74" i="1"/>
  <c r="CE70" i="1"/>
  <c r="CE66" i="1"/>
  <c r="CE62" i="1"/>
  <c r="CE58" i="1"/>
  <c r="CE54" i="1"/>
  <c r="CE50" i="1"/>
  <c r="CE46" i="1"/>
  <c r="CE42" i="1"/>
  <c r="CE38" i="1"/>
  <c r="CE34" i="1"/>
  <c r="CE30" i="1"/>
  <c r="CE26" i="1"/>
  <c r="CE22" i="1"/>
  <c r="CE18" i="1"/>
  <c r="CE14" i="1"/>
  <c r="CE10" i="1"/>
  <c r="BZ107" i="1"/>
  <c r="BZ103" i="1"/>
  <c r="BZ99" i="1"/>
  <c r="BZ95" i="1"/>
  <c r="BZ91" i="1"/>
  <c r="BZ87" i="1"/>
  <c r="BZ83" i="1"/>
  <c r="BZ79" i="1"/>
  <c r="BZ75" i="1"/>
  <c r="BZ71" i="1"/>
  <c r="BZ67" i="1"/>
  <c r="BZ63" i="1"/>
  <c r="BZ59" i="1"/>
  <c r="BZ55" i="1"/>
  <c r="BZ51" i="1"/>
  <c r="BZ47" i="1"/>
  <c r="BZ43" i="1"/>
  <c r="BZ39" i="1"/>
  <c r="BZ35" i="1"/>
  <c r="BZ31" i="1"/>
  <c r="BZ27" i="1"/>
  <c r="BZ23" i="1"/>
  <c r="BZ19" i="1"/>
  <c r="BZ15" i="1"/>
  <c r="BZ11" i="1"/>
  <c r="BU108" i="1"/>
  <c r="BU104" i="1"/>
  <c r="BU100" i="1"/>
  <c r="BU96" i="1"/>
  <c r="BU92" i="1"/>
  <c r="BU88" i="1"/>
  <c r="BU84" i="1"/>
  <c r="BU80" i="1"/>
  <c r="BU76" i="1"/>
  <c r="BU72" i="1"/>
  <c r="BU68" i="1"/>
  <c r="BU64" i="1"/>
  <c r="BU60" i="1"/>
  <c r="BU56" i="1"/>
  <c r="BU52" i="1"/>
  <c r="BU48" i="1"/>
  <c r="BU44" i="1"/>
  <c r="BU40" i="1"/>
  <c r="BU36" i="1"/>
  <c r="BU32" i="1"/>
  <c r="BU28" i="1"/>
  <c r="BU24" i="1"/>
  <c r="BU20" i="1"/>
  <c r="BU16" i="1"/>
  <c r="BU12" i="1"/>
  <c r="BU8" i="1"/>
  <c r="DD101" i="1"/>
  <c r="DD79" i="1"/>
  <c r="DD58" i="1"/>
  <c r="DD37" i="1"/>
  <c r="DD15" i="1"/>
  <c r="CY95" i="1"/>
  <c r="CY74" i="1"/>
  <c r="CY52" i="1"/>
  <c r="CY37" i="1"/>
  <c r="CY27" i="1"/>
  <c r="CY16" i="1"/>
  <c r="CT106" i="1"/>
  <c r="CT96" i="1"/>
  <c r="CT85" i="1"/>
  <c r="CT74" i="1"/>
  <c r="CT64" i="1"/>
  <c r="CT53" i="1"/>
  <c r="CT42" i="1"/>
  <c r="CT32" i="1"/>
  <c r="CT21" i="1"/>
  <c r="CT10" i="1"/>
  <c r="CO101" i="1"/>
  <c r="CO90" i="1"/>
  <c r="CO79" i="1"/>
  <c r="CO69" i="1"/>
  <c r="CO58" i="1"/>
  <c r="CO47" i="1"/>
  <c r="CO37" i="1"/>
  <c r="CO27" i="1"/>
  <c r="CO19" i="1"/>
  <c r="CO11" i="1"/>
  <c r="CJ104" i="1"/>
  <c r="CJ96" i="1"/>
  <c r="CJ88" i="1"/>
  <c r="CJ80" i="1"/>
  <c r="CJ72" i="1"/>
  <c r="CJ64" i="1"/>
  <c r="CJ56" i="1"/>
  <c r="CJ48" i="1"/>
  <c r="CJ40" i="1"/>
  <c r="CJ32" i="1"/>
  <c r="CJ24" i="1"/>
  <c r="CJ16" i="1"/>
  <c r="CJ11" i="1"/>
  <c r="CE107" i="1"/>
  <c r="CE101" i="1"/>
  <c r="CE96" i="1"/>
  <c r="CE91" i="1"/>
  <c r="CE85" i="1"/>
  <c r="CE80" i="1"/>
  <c r="CE75" i="1"/>
  <c r="CE69" i="1"/>
  <c r="CE64" i="1"/>
  <c r="CE59" i="1"/>
  <c r="CE53" i="1"/>
  <c r="CE48" i="1"/>
  <c r="CE43" i="1"/>
  <c r="CE37" i="1"/>
  <c r="CE32" i="1"/>
  <c r="CE27" i="1"/>
  <c r="CE21" i="1"/>
  <c r="CE16" i="1"/>
  <c r="CE11" i="1"/>
  <c r="BZ106" i="1"/>
  <c r="BZ101" i="1"/>
  <c r="BZ96" i="1"/>
  <c r="BZ90" i="1"/>
  <c r="BZ85" i="1"/>
  <c r="BZ80" i="1"/>
  <c r="BZ74" i="1"/>
  <c r="BZ69" i="1"/>
  <c r="BZ64" i="1"/>
  <c r="BZ58" i="1"/>
  <c r="BZ53" i="1"/>
  <c r="BZ48" i="1"/>
  <c r="BZ42" i="1"/>
  <c r="BZ37" i="1"/>
  <c r="DD99" i="1"/>
  <c r="DD78" i="1"/>
  <c r="DD57" i="1"/>
  <c r="DD35" i="1"/>
  <c r="DD14" i="1"/>
  <c r="CY94" i="1"/>
  <c r="CY72" i="1"/>
  <c r="CY51" i="1"/>
  <c r="CY36" i="1"/>
  <c r="CY25" i="1"/>
  <c r="CY15" i="1"/>
  <c r="CT105" i="1"/>
  <c r="CT94" i="1"/>
  <c r="CT84" i="1"/>
  <c r="CT73" i="1"/>
  <c r="CT62" i="1"/>
  <c r="CT52" i="1"/>
  <c r="CT41" i="1"/>
  <c r="CT30" i="1"/>
  <c r="CT20" i="1"/>
  <c r="CT9" i="1"/>
  <c r="CO99" i="1"/>
  <c r="CO89" i="1"/>
  <c r="CO78" i="1"/>
  <c r="CO67" i="1"/>
  <c r="CO57" i="1"/>
  <c r="CO46" i="1"/>
  <c r="CO35" i="1"/>
  <c r="CO26" i="1"/>
  <c r="CO18" i="1"/>
  <c r="CO10" i="1"/>
  <c r="CJ103" i="1"/>
  <c r="CJ95" i="1"/>
  <c r="CJ87" i="1"/>
  <c r="CJ79" i="1"/>
  <c r="CJ71" i="1"/>
  <c r="CJ63" i="1"/>
  <c r="CJ55" i="1"/>
  <c r="CJ47" i="1"/>
  <c r="CJ39" i="1"/>
  <c r="CJ31" i="1"/>
  <c r="CJ23" i="1"/>
  <c r="CJ15" i="1"/>
  <c r="CJ10" i="1"/>
  <c r="CE105" i="1"/>
  <c r="CE100" i="1"/>
  <c r="CE95" i="1"/>
  <c r="CE89" i="1"/>
  <c r="CE84" i="1"/>
  <c r="CE79" i="1"/>
  <c r="CE73" i="1"/>
  <c r="CE68" i="1"/>
  <c r="CE63" i="1"/>
  <c r="CE57" i="1"/>
  <c r="CE52" i="1"/>
  <c r="CE47" i="1"/>
  <c r="CE41" i="1"/>
  <c r="CE36" i="1"/>
  <c r="CE31" i="1"/>
  <c r="CE25" i="1"/>
  <c r="CE20" i="1"/>
  <c r="CE15" i="1"/>
  <c r="CE9" i="1"/>
  <c r="BZ105" i="1"/>
  <c r="BZ100" i="1"/>
  <c r="BZ94" i="1"/>
  <c r="BZ89" i="1"/>
  <c r="BZ84" i="1"/>
  <c r="BZ78" i="1"/>
  <c r="BZ73" i="1"/>
  <c r="BZ68" i="1"/>
  <c r="BZ62" i="1"/>
  <c r="BZ57" i="1"/>
  <c r="BZ52" i="1"/>
  <c r="BZ46" i="1"/>
  <c r="BZ41" i="1"/>
  <c r="BZ36" i="1"/>
  <c r="BZ30" i="1"/>
  <c r="BZ25" i="1"/>
  <c r="BZ20" i="1"/>
  <c r="BZ14" i="1"/>
  <c r="BZ9" i="1"/>
  <c r="BU105" i="1"/>
  <c r="BU99" i="1"/>
  <c r="BU94" i="1"/>
  <c r="BU89" i="1"/>
  <c r="BU83" i="1"/>
  <c r="BU78" i="1"/>
  <c r="BU73" i="1"/>
  <c r="BU67" i="1"/>
  <c r="BU62" i="1"/>
  <c r="BU57" i="1"/>
  <c r="BU51" i="1"/>
  <c r="BU46" i="1"/>
  <c r="BU41" i="1"/>
  <c r="BU35" i="1"/>
  <c r="BU30" i="1"/>
  <c r="BU25" i="1"/>
  <c r="BU19" i="1"/>
  <c r="BU14" i="1"/>
  <c r="BU9" i="1"/>
  <c r="BP105" i="1"/>
  <c r="BP101" i="1"/>
  <c r="BP97" i="1"/>
  <c r="BP93" i="1"/>
  <c r="BP89" i="1"/>
  <c r="BP85" i="1"/>
  <c r="BP81" i="1"/>
  <c r="BP77" i="1"/>
  <c r="BP73" i="1"/>
  <c r="BP69" i="1"/>
  <c r="BP65" i="1"/>
  <c r="BP61" i="1"/>
  <c r="BP57" i="1"/>
  <c r="BP53" i="1"/>
  <c r="BP49" i="1"/>
  <c r="BP45" i="1"/>
  <c r="BP41" i="1"/>
  <c r="BP37" i="1"/>
  <c r="BP33" i="1"/>
  <c r="BP29" i="1"/>
  <c r="BP25" i="1"/>
  <c r="BP21" i="1"/>
  <c r="BP17" i="1"/>
  <c r="BP13" i="1"/>
  <c r="BP9" i="1"/>
  <c r="DD90" i="1"/>
  <c r="DD69" i="1"/>
  <c r="DD47" i="1"/>
  <c r="DD26" i="1"/>
  <c r="CY106" i="1"/>
  <c r="CY84" i="1"/>
  <c r="CY63" i="1"/>
  <c r="CY44" i="1"/>
  <c r="CY32" i="1"/>
  <c r="CY21" i="1"/>
  <c r="CY11" i="1"/>
  <c r="CT101" i="1"/>
  <c r="CT90" i="1"/>
  <c r="CT80" i="1"/>
  <c r="CT69" i="1"/>
  <c r="CT58" i="1"/>
  <c r="CT48" i="1"/>
  <c r="CT37" i="1"/>
  <c r="CT26" i="1"/>
  <c r="CT16" i="1"/>
  <c r="CO106" i="1"/>
  <c r="CO95" i="1"/>
  <c r="CO85" i="1"/>
  <c r="CO74" i="1"/>
  <c r="CO63" i="1"/>
  <c r="CO53" i="1"/>
  <c r="CO42" i="1"/>
  <c r="CO31" i="1"/>
  <c r="CO23" i="1"/>
  <c r="CO15" i="1"/>
  <c r="CJ108" i="1"/>
  <c r="CJ100" i="1"/>
  <c r="CJ92" i="1"/>
  <c r="CJ84" i="1"/>
  <c r="CJ76" i="1"/>
  <c r="CJ68" i="1"/>
  <c r="CJ60" i="1"/>
  <c r="CJ52" i="1"/>
  <c r="CJ44" i="1"/>
  <c r="CJ36" i="1"/>
  <c r="CJ28" i="1"/>
  <c r="CJ20" i="1"/>
  <c r="CJ14" i="1"/>
  <c r="CJ8" i="1"/>
  <c r="DD89" i="1"/>
  <c r="CY104" i="1"/>
  <c r="CY31" i="1"/>
  <c r="CT89" i="1"/>
  <c r="CT46" i="1"/>
  <c r="CO105" i="1"/>
  <c r="CO62" i="1"/>
  <c r="CO22" i="1"/>
  <c r="CJ91" i="1"/>
  <c r="CJ59" i="1"/>
  <c r="CJ27" i="1"/>
  <c r="CE104" i="1"/>
  <c r="CE93" i="1"/>
  <c r="CE83" i="1"/>
  <c r="CE72" i="1"/>
  <c r="CE61" i="1"/>
  <c r="CE51" i="1"/>
  <c r="CE40" i="1"/>
  <c r="CE29" i="1"/>
  <c r="CE19" i="1"/>
  <c r="CE8" i="1"/>
  <c r="BZ98" i="1"/>
  <c r="BZ88" i="1"/>
  <c r="BZ77" i="1"/>
  <c r="BZ66" i="1"/>
  <c r="BZ56" i="1"/>
  <c r="BZ45" i="1"/>
  <c r="BZ34" i="1"/>
  <c r="BZ28" i="1"/>
  <c r="BZ21" i="1"/>
  <c r="BZ13" i="1"/>
  <c r="BU107" i="1"/>
  <c r="BU101" i="1"/>
  <c r="BU93" i="1"/>
  <c r="BU86" i="1"/>
  <c r="BU79" i="1"/>
  <c r="BU71" i="1"/>
  <c r="BU65" i="1"/>
  <c r="BU58" i="1"/>
  <c r="BU50" i="1"/>
  <c r="BU43" i="1"/>
  <c r="BU37" i="1"/>
  <c r="BU29" i="1"/>
  <c r="BU22" i="1"/>
  <c r="BU15" i="1"/>
  <c r="BP108" i="1"/>
  <c r="BP103" i="1"/>
  <c r="BP98" i="1"/>
  <c r="BP92" i="1"/>
  <c r="BP87" i="1"/>
  <c r="BP82" i="1"/>
  <c r="BP76" i="1"/>
  <c r="BP71" i="1"/>
  <c r="BP66" i="1"/>
  <c r="BP60" i="1"/>
  <c r="BP55" i="1"/>
  <c r="BP50" i="1"/>
  <c r="BP44" i="1"/>
  <c r="BP39" i="1"/>
  <c r="BP34" i="1"/>
  <c r="BP28" i="1"/>
  <c r="BP23" i="1"/>
  <c r="BP18" i="1"/>
  <c r="BP12" i="1"/>
  <c r="BZ102" i="1"/>
  <c r="BZ60" i="1"/>
  <c r="BZ38" i="1"/>
  <c r="BZ22" i="1"/>
  <c r="BZ8" i="1"/>
  <c r="BU95" i="1"/>
  <c r="BU81" i="1"/>
  <c r="BU66" i="1"/>
  <c r="BU53" i="1"/>
  <c r="BU38" i="1"/>
  <c r="BU23" i="1"/>
  <c r="BU10" i="1"/>
  <c r="BP99" i="1"/>
  <c r="BP88" i="1"/>
  <c r="BP78" i="1"/>
  <c r="BP62" i="1"/>
  <c r="BP51" i="1"/>
  <c r="BP40" i="1"/>
  <c r="BP30" i="1"/>
  <c r="BP19" i="1"/>
  <c r="BP8" i="1"/>
  <c r="DD67" i="1"/>
  <c r="CY83" i="1"/>
  <c r="CY20" i="1"/>
  <c r="CT78" i="1"/>
  <c r="CT36" i="1"/>
  <c r="CO94" i="1"/>
  <c r="CO51" i="1"/>
  <c r="CO14" i="1"/>
  <c r="CJ83" i="1"/>
  <c r="CJ51" i="1"/>
  <c r="CJ19" i="1"/>
  <c r="CE103" i="1"/>
  <c r="CE92" i="1"/>
  <c r="CE81" i="1"/>
  <c r="CE71" i="1"/>
  <c r="CE60" i="1"/>
  <c r="CE49" i="1"/>
  <c r="CE39" i="1"/>
  <c r="CE28" i="1"/>
  <c r="CE17" i="1"/>
  <c r="BZ108" i="1"/>
  <c r="BZ97" i="1"/>
  <c r="BZ86" i="1"/>
  <c r="BZ76" i="1"/>
  <c r="BZ65" i="1"/>
  <c r="BZ54" i="1"/>
  <c r="BZ44" i="1"/>
  <c r="BZ33" i="1"/>
  <c r="BZ26" i="1"/>
  <c r="BZ18" i="1"/>
  <c r="BZ12" i="1"/>
  <c r="BU106" i="1"/>
  <c r="BU98" i="1"/>
  <c r="BU91" i="1"/>
  <c r="BU85" i="1"/>
  <c r="BU77" i="1"/>
  <c r="BU70" i="1"/>
  <c r="BU63" i="1"/>
  <c r="BU55" i="1"/>
  <c r="BU49" i="1"/>
  <c r="BU42" i="1"/>
  <c r="BU34" i="1"/>
  <c r="BU27" i="1"/>
  <c r="BU21" i="1"/>
  <c r="BU13" i="1"/>
  <c r="BP107" i="1"/>
  <c r="BP102" i="1"/>
  <c r="BP96" i="1"/>
  <c r="BP91" i="1"/>
  <c r="BP86" i="1"/>
  <c r="BP80" i="1"/>
  <c r="BP75" i="1"/>
  <c r="BP70" i="1"/>
  <c r="BP64" i="1"/>
  <c r="BP59" i="1"/>
  <c r="BP54" i="1"/>
  <c r="BP48" i="1"/>
  <c r="BP43" i="1"/>
  <c r="BP38" i="1"/>
  <c r="BP32" i="1"/>
  <c r="BP27" i="1"/>
  <c r="BP22" i="1"/>
  <c r="BP16" i="1"/>
  <c r="BP11" i="1"/>
  <c r="DD46" i="1"/>
  <c r="CY62" i="1"/>
  <c r="CY9" i="1"/>
  <c r="CT68" i="1"/>
  <c r="CT25" i="1"/>
  <c r="CO83" i="1"/>
  <c r="CO41" i="1"/>
  <c r="CJ107" i="1"/>
  <c r="CJ75" i="1"/>
  <c r="CJ43" i="1"/>
  <c r="CJ12" i="1"/>
  <c r="CE99" i="1"/>
  <c r="CE88" i="1"/>
  <c r="CE77" i="1"/>
  <c r="CE67" i="1"/>
  <c r="CE56" i="1"/>
  <c r="CE45" i="1"/>
  <c r="CE35" i="1"/>
  <c r="CE24" i="1"/>
  <c r="CE13" i="1"/>
  <c r="BZ104" i="1"/>
  <c r="BZ93" i="1"/>
  <c r="BZ82" i="1"/>
  <c r="BZ72" i="1"/>
  <c r="BZ61" i="1"/>
  <c r="BZ50" i="1"/>
  <c r="BZ40" i="1"/>
  <c r="BZ32" i="1"/>
  <c r="BZ24" i="1"/>
  <c r="BZ17" i="1"/>
  <c r="BZ10" i="1"/>
  <c r="BU103" i="1"/>
  <c r="BU97" i="1"/>
  <c r="BU90" i="1"/>
  <c r="BU82" i="1"/>
  <c r="BU75" i="1"/>
  <c r="BU69" i="1"/>
  <c r="BU61" i="1"/>
  <c r="BU54" i="1"/>
  <c r="BU47" i="1"/>
  <c r="BU39" i="1"/>
  <c r="BU33" i="1"/>
  <c r="BU26" i="1"/>
  <c r="BU18" i="1"/>
  <c r="BU11" i="1"/>
  <c r="BP106" i="1"/>
  <c r="BP100" i="1"/>
  <c r="BP95" i="1"/>
  <c r="BP90" i="1"/>
  <c r="BP84" i="1"/>
  <c r="BP79" i="1"/>
  <c r="BP74" i="1"/>
  <c r="BP68" i="1"/>
  <c r="BP63" i="1"/>
  <c r="BP58" i="1"/>
  <c r="BP52" i="1"/>
  <c r="BP47" i="1"/>
  <c r="BP42" i="1"/>
  <c r="BP36" i="1"/>
  <c r="BP31" i="1"/>
  <c r="BP26" i="1"/>
  <c r="BP20" i="1"/>
  <c r="BP15" i="1"/>
  <c r="BP10" i="1"/>
  <c r="DD25" i="1"/>
  <c r="CY42" i="1"/>
  <c r="CT100" i="1"/>
  <c r="CT57" i="1"/>
  <c r="CT14" i="1"/>
  <c r="CO73" i="1"/>
  <c r="CO30" i="1"/>
  <c r="CJ99" i="1"/>
  <c r="CJ67" i="1"/>
  <c r="CJ35" i="1"/>
  <c r="CE108" i="1"/>
  <c r="CE97" i="1"/>
  <c r="CE87" i="1"/>
  <c r="CE76" i="1"/>
  <c r="CE65" i="1"/>
  <c r="CE55" i="1"/>
  <c r="CE44" i="1"/>
  <c r="CE33" i="1"/>
  <c r="CE23" i="1"/>
  <c r="CE12" i="1"/>
  <c r="BZ92" i="1"/>
  <c r="BZ81" i="1"/>
  <c r="BZ70" i="1"/>
  <c r="BZ49" i="1"/>
  <c r="BZ29" i="1"/>
  <c r="BZ16" i="1"/>
  <c r="BU102" i="1"/>
  <c r="BU87" i="1"/>
  <c r="BU74" i="1"/>
  <c r="BU59" i="1"/>
  <c r="BU45" i="1"/>
  <c r="BU31" i="1"/>
  <c r="BU17" i="1"/>
  <c r="BP104" i="1"/>
  <c r="BP94" i="1"/>
  <c r="BP83" i="1"/>
  <c r="BP72" i="1"/>
  <c r="BP67" i="1"/>
  <c r="BP56" i="1"/>
  <c r="BP46" i="1"/>
  <c r="BP35" i="1"/>
  <c r="BP24" i="1"/>
  <c r="BP14" i="1"/>
  <c r="CY41" i="1"/>
  <c r="CY57" i="1"/>
  <c r="CY73" i="1"/>
  <c r="CY89" i="1"/>
  <c r="CY105" i="1"/>
  <c r="DD20" i="1"/>
  <c r="DD36" i="1"/>
  <c r="DD52" i="1"/>
  <c r="DD68" i="1"/>
  <c r="DD84" i="1"/>
  <c r="DD100" i="1"/>
  <c r="CY45" i="1"/>
  <c r="CY61" i="1"/>
  <c r="CY77" i="1"/>
  <c r="CY93" i="1"/>
  <c r="DD8" i="1"/>
  <c r="DD24" i="1"/>
  <c r="DD40" i="1"/>
  <c r="DD56" i="1"/>
  <c r="DD72" i="1"/>
  <c r="DD88" i="1"/>
  <c r="DD104" i="1"/>
  <c r="CY49" i="1"/>
  <c r="CY65" i="1"/>
  <c r="CY81" i="1"/>
  <c r="CY97" i="1"/>
  <c r="DD12" i="1"/>
  <c r="DD28" i="1"/>
  <c r="DD44" i="1"/>
  <c r="DD60" i="1"/>
  <c r="DD76" i="1"/>
  <c r="DD92" i="1"/>
  <c r="CY53" i="1"/>
  <c r="CY69" i="1"/>
  <c r="CY85" i="1"/>
  <c r="CY101" i="1"/>
  <c r="DD16" i="1"/>
  <c r="DD32" i="1"/>
  <c r="DD48" i="1"/>
  <c r="DD64" i="1"/>
  <c r="DD80" i="1"/>
  <c r="DD96" i="1"/>
  <c r="AL8" i="1"/>
  <c r="W10" i="1"/>
  <c r="EM8" i="1"/>
  <c r="BK8" i="1"/>
  <c r="DS8" i="1"/>
  <c r="AB8" i="1"/>
  <c r="AQ8" i="1"/>
  <c r="ER10" i="1"/>
  <c r="AB9" i="1"/>
  <c r="DN9" i="1"/>
  <c r="ER9" i="1"/>
  <c r="ER8" i="1"/>
  <c r="DN8" i="1"/>
  <c r="W8" i="1"/>
  <c r="AL12" i="1"/>
  <c r="DN10" i="1"/>
  <c r="W9" i="1"/>
  <c r="AB10" i="1"/>
  <c r="EC8" i="1"/>
  <c r="DS9" i="1"/>
  <c r="BK9" i="1"/>
  <c r="AL9" i="1"/>
  <c r="BF8" i="1"/>
  <c r="BF9" i="1"/>
  <c r="DX9" i="1"/>
  <c r="ER11" i="1"/>
  <c r="AL11" i="1"/>
  <c r="BA8" i="1"/>
  <c r="DN12" i="1"/>
  <c r="EH9" i="1"/>
  <c r="AQ9" i="1"/>
  <c r="DI10" i="1"/>
  <c r="BA9" i="1"/>
  <c r="EH8" i="1"/>
  <c r="AV8" i="1"/>
  <c r="AL10" i="1"/>
  <c r="EW9" i="1"/>
  <c r="EM9" i="1"/>
  <c r="W11" i="1"/>
  <c r="AG9" i="1"/>
  <c r="DN11" i="1"/>
  <c r="AG8" i="1"/>
  <c r="EC9" i="1"/>
  <c r="AV10" i="1"/>
  <c r="DS10" i="1"/>
  <c r="AQ10" i="1"/>
  <c r="DI9" i="1"/>
  <c r="EC10" i="1"/>
  <c r="DX8" i="1"/>
  <c r="EW10" i="1"/>
  <c r="EM10" i="1"/>
  <c r="DN13" i="1"/>
  <c r="BK10" i="1"/>
  <c r="AV9" i="1"/>
  <c r="EW8" i="1"/>
  <c r="AG10" i="1"/>
  <c r="ER12" i="1"/>
  <c r="AB11" i="1"/>
  <c r="BA10" i="1"/>
  <c r="DX10" i="1"/>
  <c r="EW11" i="1"/>
  <c r="DI8" i="1"/>
  <c r="W12" i="1"/>
  <c r="AL13" i="1"/>
  <c r="EH10" i="1"/>
  <c r="EC11" i="1"/>
  <c r="AG11" i="1"/>
  <c r="BF10" i="1"/>
  <c r="DI11" i="1"/>
  <c r="DX11" i="1"/>
  <c r="AB12" i="1"/>
  <c r="DI12" i="1"/>
  <c r="BK11" i="1"/>
  <c r="BF11" i="1"/>
  <c r="EM11" i="1"/>
  <c r="ER13" i="1"/>
  <c r="AQ11" i="1"/>
  <c r="EC12" i="1"/>
  <c r="W13" i="1"/>
  <c r="AG12" i="1"/>
  <c r="EW12" i="1"/>
  <c r="BA11" i="1"/>
  <c r="DN14" i="1"/>
  <c r="DS11" i="1"/>
  <c r="EH11" i="1"/>
  <c r="AL14" i="1"/>
  <c r="AV11" i="1"/>
  <c r="DI13" i="1"/>
  <c r="AV12" i="1"/>
  <c r="ER14" i="1"/>
  <c r="AG13" i="1"/>
  <c r="W14" i="1"/>
  <c r="DX12" i="1"/>
  <c r="EC13" i="1"/>
  <c r="EH12" i="1"/>
  <c r="DN15" i="1"/>
  <c r="AB13" i="1"/>
  <c r="EW13" i="1"/>
  <c r="AQ12" i="1"/>
  <c r="EM12" i="1"/>
  <c r="BK12" i="1"/>
  <c r="AL15" i="1"/>
  <c r="BA12" i="1"/>
  <c r="DS12" i="1"/>
  <c r="BF12" i="1"/>
  <c r="AQ13" i="1"/>
  <c r="DI14" i="1"/>
  <c r="BA13" i="1"/>
  <c r="AB14" i="1"/>
  <c r="BF13" i="1"/>
  <c r="AV13" i="1"/>
  <c r="BK13" i="1"/>
  <c r="EC14" i="1"/>
  <c r="DX13" i="1"/>
  <c r="DS13" i="1"/>
  <c r="EM13" i="1"/>
  <c r="AG14" i="1"/>
  <c r="EW14" i="1"/>
  <c r="DN16" i="1"/>
  <c r="EH13" i="1"/>
  <c r="AL16" i="1"/>
  <c r="ER15" i="1"/>
  <c r="W15" i="1"/>
  <c r="BF14" i="1"/>
  <c r="AL17" i="1"/>
  <c r="EC15" i="1"/>
  <c r="EM14" i="1"/>
  <c r="ER16" i="1"/>
  <c r="W16" i="1"/>
  <c r="EW15" i="1"/>
  <c r="AG15" i="1"/>
  <c r="DX14" i="1"/>
  <c r="AB15" i="1"/>
  <c r="BK14" i="1"/>
  <c r="EH14" i="1"/>
  <c r="DS14" i="1"/>
  <c r="DI15" i="1"/>
  <c r="AV14" i="1"/>
  <c r="DN17" i="1"/>
  <c r="BA14" i="1"/>
  <c r="AQ14" i="1"/>
  <c r="EC16" i="1"/>
  <c r="AB16" i="1"/>
  <c r="BK15" i="1"/>
  <c r="ER17" i="1"/>
  <c r="AL18" i="1"/>
  <c r="EW16" i="1"/>
  <c r="DN18" i="1"/>
  <c r="EH15" i="1"/>
  <c r="AG16" i="1"/>
  <c r="W17" i="1"/>
  <c r="AV15" i="1"/>
  <c r="DX15" i="1"/>
  <c r="DI16" i="1"/>
  <c r="AQ15" i="1"/>
  <c r="DS15" i="1"/>
  <c r="BF15" i="1"/>
  <c r="EM15" i="1"/>
  <c r="BA15" i="1"/>
  <c r="BA16" i="1"/>
  <c r="ER18" i="1"/>
  <c r="DI17" i="1"/>
  <c r="AV16" i="1"/>
  <c r="AB17" i="1"/>
  <c r="EC17" i="1"/>
  <c r="W18" i="1"/>
  <c r="DS16" i="1"/>
  <c r="AQ16" i="1"/>
  <c r="EW17" i="1"/>
  <c r="EM16" i="1"/>
  <c r="BK16" i="1"/>
  <c r="AL19" i="1"/>
  <c r="BF16" i="1"/>
  <c r="DX16" i="1"/>
  <c r="DN19" i="1"/>
  <c r="EH16" i="1"/>
  <c r="AG17" i="1"/>
  <c r="AQ17" i="1"/>
  <c r="DS17" i="1"/>
  <c r="DI18" i="1"/>
  <c r="EM17" i="1"/>
  <c r="AL20" i="1"/>
  <c r="W19" i="1"/>
  <c r="EC18" i="1"/>
  <c r="AG18" i="1"/>
  <c r="EW18" i="1"/>
  <c r="BF17" i="1"/>
  <c r="DN20" i="1"/>
  <c r="BA17" i="1"/>
  <c r="AV17" i="1"/>
  <c r="ER19" i="1"/>
  <c r="BK17" i="1"/>
  <c r="AB18" i="1"/>
  <c r="EH17" i="1"/>
  <c r="DX17" i="1"/>
  <c r="DN21" i="1"/>
  <c r="DS18" i="1"/>
  <c r="BA18" i="1"/>
  <c r="DX18" i="1"/>
  <c r="BK18" i="1"/>
  <c r="ER20" i="1"/>
  <c r="EC19" i="1"/>
  <c r="EW19" i="1"/>
  <c r="DI19" i="1"/>
  <c r="AQ18" i="1"/>
  <c r="EH18" i="1"/>
  <c r="AL21" i="1"/>
  <c r="AB19" i="1"/>
  <c r="AG19" i="1"/>
  <c r="W20" i="1"/>
  <c r="BF18" i="1"/>
  <c r="AV18" i="1"/>
  <c r="EM18" i="1"/>
  <c r="AV19" i="1"/>
  <c r="DN22" i="1"/>
  <c r="DS19" i="1"/>
  <c r="AL22" i="1"/>
  <c r="DI20" i="1"/>
  <c r="W21" i="1"/>
  <c r="BA19" i="1"/>
  <c r="EW20" i="1"/>
  <c r="BK19" i="1"/>
  <c r="EH19" i="1"/>
  <c r="AQ19" i="1"/>
  <c r="ER21" i="1"/>
  <c r="EM19" i="1"/>
  <c r="AB20" i="1"/>
  <c r="AG20" i="1"/>
  <c r="DX19" i="1"/>
  <c r="BF19" i="1"/>
  <c r="EC20" i="1"/>
  <c r="EW21" i="1"/>
  <c r="AB21" i="1"/>
  <c r="DS20" i="1"/>
  <c r="DI21" i="1"/>
  <c r="AV20" i="1"/>
  <c r="ER22" i="1"/>
  <c r="BA20" i="1"/>
  <c r="EM20" i="1"/>
  <c r="AG21" i="1"/>
  <c r="W22" i="1"/>
  <c r="EH20" i="1"/>
  <c r="BF20" i="1"/>
  <c r="BK20" i="1"/>
  <c r="EC21" i="1"/>
  <c r="AQ20" i="1"/>
  <c r="DN23" i="1"/>
  <c r="AL23" i="1"/>
  <c r="DX20" i="1"/>
  <c r="BF21" i="1"/>
  <c r="AV21" i="1"/>
  <c r="AB22" i="1"/>
  <c r="EC22" i="1"/>
  <c r="DX21" i="1"/>
  <c r="EM21" i="1"/>
  <c r="AQ21" i="1"/>
  <c r="EW22" i="1"/>
  <c r="W23" i="1"/>
  <c r="DS21" i="1"/>
  <c r="DN24" i="1"/>
  <c r="BA21" i="1"/>
  <c r="BK21" i="1"/>
  <c r="DI22" i="1"/>
  <c r="ER23" i="1"/>
  <c r="EH21" i="1"/>
  <c r="AG22" i="1"/>
  <c r="AL24" i="1"/>
  <c r="AV22" i="1"/>
  <c r="EM22" i="1"/>
  <c r="AG23" i="1"/>
  <c r="DI23" i="1"/>
  <c r="AQ22" i="1"/>
  <c r="W24" i="1"/>
  <c r="BF22" i="1"/>
  <c r="EH22" i="1"/>
  <c r="DX22" i="1"/>
  <c r="AL25" i="1"/>
  <c r="BK22" i="1"/>
  <c r="EW23" i="1"/>
  <c r="DS22" i="1"/>
  <c r="DN25" i="1"/>
  <c r="ER24" i="1"/>
  <c r="EC23" i="1"/>
  <c r="BA22" i="1"/>
  <c r="AB23" i="1"/>
  <c r="AQ23" i="1"/>
  <c r="BF23" i="1"/>
  <c r="BA23" i="1"/>
  <c r="AB24" i="1"/>
  <c r="DS23" i="1"/>
  <c r="AL26" i="1"/>
  <c r="ER25" i="1"/>
  <c r="AV23" i="1"/>
  <c r="W25" i="1"/>
  <c r="BK23" i="1"/>
  <c r="EW24" i="1"/>
  <c r="AG24" i="1"/>
  <c r="EC24" i="1"/>
  <c r="EH23" i="1"/>
  <c r="DI24" i="1"/>
  <c r="DX23" i="1"/>
  <c r="DN26" i="1"/>
  <c r="EM23" i="1"/>
  <c r="AQ24" i="1"/>
  <c r="W26" i="1"/>
  <c r="ER26" i="1"/>
  <c r="AG25" i="1"/>
  <c r="BA24" i="1"/>
  <c r="AB25" i="1"/>
  <c r="EM24" i="1"/>
  <c r="BK24" i="1"/>
  <c r="DN27" i="1"/>
  <c r="DS24" i="1"/>
  <c r="EH24" i="1"/>
  <c r="DX24" i="1"/>
  <c r="AL27" i="1"/>
  <c r="DI25" i="1"/>
  <c r="EW25" i="1"/>
  <c r="AV24" i="1"/>
  <c r="BF24" i="1"/>
  <c r="EC25" i="1"/>
  <c r="DS25" i="1"/>
  <c r="W27" i="1"/>
  <c r="EC26" i="1"/>
  <c r="ER27" i="1"/>
  <c r="EH25" i="1"/>
  <c r="BK25" i="1"/>
  <c r="DI26" i="1"/>
  <c r="BF25" i="1"/>
  <c r="AG26" i="1"/>
  <c r="EW26" i="1"/>
  <c r="DN28" i="1"/>
  <c r="EM25" i="1"/>
  <c r="AV25" i="1"/>
  <c r="AQ25" i="1"/>
  <c r="BA25" i="1"/>
  <c r="AB26" i="1"/>
  <c r="AL28" i="1"/>
  <c r="DX25" i="1"/>
  <c r="W28" i="1"/>
  <c r="AL29" i="1"/>
  <c r="EH26" i="1"/>
  <c r="DI27" i="1"/>
  <c r="EC27" i="1"/>
  <c r="AV26" i="1"/>
  <c r="BA26" i="1"/>
  <c r="AQ26" i="1"/>
  <c r="AG27" i="1"/>
  <c r="BF26" i="1"/>
  <c r="BK26" i="1"/>
  <c r="DS26" i="1"/>
  <c r="ER28" i="1"/>
  <c r="AB27" i="1"/>
  <c r="EM26" i="1"/>
  <c r="EW27" i="1"/>
  <c r="DX26" i="1"/>
  <c r="DN29" i="1"/>
  <c r="DX27" i="1"/>
  <c r="BK27" i="1"/>
  <c r="EW28" i="1"/>
  <c r="BF27" i="1"/>
  <c r="BA27" i="1"/>
  <c r="AG28" i="1"/>
  <c r="DN30" i="1"/>
  <c r="DI28" i="1"/>
  <c r="W29" i="1"/>
  <c r="DS27" i="1"/>
  <c r="AQ27" i="1"/>
  <c r="EH27" i="1"/>
  <c r="EM27" i="1"/>
  <c r="AV27" i="1"/>
  <c r="AB28" i="1"/>
  <c r="AL30" i="1"/>
  <c r="ER29" i="1"/>
  <c r="EC28" i="1"/>
  <c r="DN31" i="1"/>
  <c r="BF28" i="1"/>
  <c r="AG29" i="1"/>
  <c r="EW29" i="1"/>
  <c r="BA28" i="1"/>
  <c r="DI29" i="1"/>
  <c r="DX28" i="1"/>
  <c r="AQ28" i="1"/>
  <c r="EC29" i="1"/>
  <c r="ER30" i="1"/>
  <c r="AL31" i="1"/>
  <c r="EH28" i="1"/>
  <c r="AV28" i="1"/>
  <c r="AB29" i="1"/>
  <c r="EM28" i="1"/>
  <c r="W30" i="1"/>
  <c r="BK28" i="1"/>
  <c r="DS28" i="1"/>
  <c r="AQ29" i="1"/>
  <c r="BF29" i="1"/>
  <c r="AB30" i="1"/>
  <c r="AV29" i="1"/>
  <c r="DN32" i="1"/>
  <c r="ER31" i="1"/>
  <c r="AG30" i="1"/>
  <c r="BA29" i="1"/>
  <c r="EC30" i="1"/>
  <c r="EM29" i="1"/>
  <c r="W31" i="1"/>
  <c r="EW30" i="1"/>
  <c r="EH29" i="1"/>
  <c r="AL32" i="1"/>
  <c r="BK29" i="1"/>
  <c r="DX29" i="1"/>
  <c r="DS29" i="1"/>
  <c r="DI30" i="1"/>
  <c r="EH30" i="1"/>
  <c r="W32" i="1"/>
  <c r="ER32" i="1"/>
  <c r="BA30" i="1"/>
  <c r="EW31" i="1"/>
  <c r="BF30" i="1"/>
  <c r="AB31" i="1"/>
  <c r="DN33" i="1"/>
  <c r="AV30" i="1"/>
  <c r="DI31" i="1"/>
  <c r="AG31" i="1"/>
  <c r="AL33" i="1"/>
  <c r="DX30" i="1"/>
  <c r="AQ30" i="1"/>
  <c r="DS30" i="1"/>
  <c r="EC31" i="1"/>
  <c r="EM30" i="1"/>
  <c r="BK30" i="1"/>
  <c r="EW32" i="1"/>
  <c r="AL34" i="1"/>
  <c r="DN34" i="1"/>
  <c r="DI32" i="1"/>
  <c r="AQ31" i="1"/>
  <c r="EC32" i="1"/>
  <c r="AV31" i="1"/>
  <c r="EM31" i="1"/>
  <c r="BA31" i="1"/>
  <c r="W33" i="1"/>
  <c r="EH31" i="1"/>
  <c r="ER33" i="1"/>
  <c r="DX31" i="1"/>
  <c r="AG32" i="1"/>
  <c r="BK31" i="1"/>
  <c r="DS31" i="1"/>
  <c r="BF31" i="1"/>
  <c r="AB32" i="1"/>
  <c r="DS32" i="1"/>
  <c r="ER34" i="1"/>
  <c r="AL35" i="1"/>
  <c r="DI33" i="1"/>
  <c r="EM32" i="1"/>
  <c r="BA32" i="1"/>
  <c r="EH32" i="1"/>
  <c r="EW33" i="1"/>
  <c r="AG33" i="1"/>
  <c r="AB33" i="1"/>
  <c r="AQ32" i="1"/>
  <c r="DN35" i="1"/>
  <c r="BF32" i="1"/>
  <c r="EC33" i="1"/>
  <c r="AV32" i="1"/>
  <c r="DX32" i="1"/>
  <c r="W34" i="1"/>
  <c r="BK32" i="1"/>
  <c r="BK33" i="1"/>
  <c r="ER35" i="1"/>
  <c r="AV33" i="1"/>
  <c r="AB34" i="1"/>
  <c r="BF33" i="1"/>
  <c r="DS33" i="1"/>
  <c r="AL36" i="1"/>
  <c r="DI34" i="1"/>
  <c r="DN36" i="1"/>
  <c r="AQ33" i="1"/>
  <c r="EW34" i="1"/>
  <c r="AG34" i="1"/>
  <c r="W35" i="1"/>
  <c r="EM33" i="1"/>
  <c r="EC34" i="1"/>
  <c r="EH33" i="1"/>
  <c r="DX33" i="1"/>
  <c r="BA33" i="1"/>
  <c r="ER36" i="1"/>
  <c r="AV34" i="1"/>
  <c r="BF34" i="1"/>
  <c r="DX34" i="1"/>
  <c r="AB35" i="1"/>
  <c r="DI35" i="1"/>
  <c r="EM34" i="1"/>
  <c r="BA34" i="1"/>
  <c r="AG35" i="1"/>
  <c r="BK34" i="1"/>
  <c r="AL37" i="1"/>
  <c r="EH34" i="1"/>
  <c r="W36" i="1"/>
  <c r="EW35" i="1"/>
  <c r="EC35" i="1"/>
  <c r="DS34" i="1"/>
  <c r="AQ34" i="1"/>
  <c r="DN37" i="1"/>
  <c r="BF35" i="1"/>
  <c r="AB36" i="1"/>
  <c r="BA35" i="1"/>
  <c r="AG36" i="1"/>
  <c r="AV35" i="1"/>
  <c r="DN38" i="1"/>
  <c r="DS35" i="1"/>
  <c r="AL38" i="1"/>
  <c r="DI36" i="1"/>
  <c r="W37" i="1"/>
  <c r="EM35" i="1"/>
  <c r="EH35" i="1"/>
  <c r="AQ35" i="1"/>
  <c r="EC36" i="1"/>
  <c r="ER37" i="1"/>
  <c r="DX35" i="1"/>
  <c r="EW36" i="1"/>
  <c r="BK35" i="1"/>
  <c r="EM36" i="1"/>
  <c r="DN39" i="1"/>
  <c r="DS36" i="1"/>
  <c r="ER38" i="1"/>
  <c r="EW37" i="1"/>
  <c r="EC37" i="1"/>
  <c r="AV36" i="1"/>
  <c r="EH36" i="1"/>
  <c r="DX36" i="1"/>
  <c r="BK36" i="1"/>
  <c r="BF36" i="1"/>
  <c r="AB37" i="1"/>
  <c r="AG37" i="1"/>
  <c r="BA36" i="1"/>
  <c r="DI37" i="1"/>
  <c r="AL39" i="1"/>
  <c r="W38" i="1"/>
  <c r="AQ36" i="1"/>
  <c r="BK37" i="1"/>
  <c r="EC38" i="1"/>
  <c r="BF37" i="1"/>
  <c r="EH37" i="1"/>
  <c r="AV37" i="1"/>
  <c r="DI38" i="1"/>
  <c r="W39" i="1"/>
  <c r="AG38" i="1"/>
  <c r="AB38" i="1"/>
  <c r="BA37" i="1"/>
  <c r="DX37" i="1"/>
  <c r="EW38" i="1"/>
  <c r="DS37" i="1"/>
  <c r="EM37" i="1"/>
  <c r="AQ37" i="1"/>
  <c r="ER39" i="1"/>
  <c r="AL40" i="1"/>
  <c r="DN40" i="1"/>
  <c r="EH38" i="1"/>
  <c r="AG39" i="1"/>
  <c r="AQ38" i="1"/>
  <c r="EC39" i="1"/>
  <c r="DN41" i="1"/>
  <c r="W40" i="1"/>
  <c r="BK38" i="1"/>
  <c r="EW39" i="1"/>
  <c r="BF38" i="1"/>
  <c r="DI39" i="1"/>
  <c r="AB39" i="1"/>
  <c r="BA38" i="1"/>
  <c r="DX38" i="1"/>
  <c r="ER40" i="1"/>
  <c r="EM38" i="1"/>
  <c r="DS38" i="1"/>
  <c r="AL41" i="1"/>
  <c r="AV38" i="1"/>
  <c r="DN42" i="1"/>
  <c r="DI40" i="1"/>
  <c r="BA39" i="1"/>
  <c r="DS39" i="1"/>
  <c r="W41" i="1"/>
  <c r="EM39" i="1"/>
  <c r="BK39" i="1"/>
  <c r="EW40" i="1"/>
  <c r="AL42" i="1"/>
  <c r="EC40" i="1"/>
  <c r="AG40" i="1"/>
  <c r="AQ39" i="1"/>
  <c r="AB40" i="1"/>
  <c r="AV39" i="1"/>
  <c r="DX39" i="1"/>
  <c r="EH39" i="1"/>
  <c r="BF39" i="1"/>
  <c r="ER41" i="1"/>
  <c r="W42" i="1"/>
  <c r="AB41" i="1"/>
  <c r="AV40" i="1"/>
  <c r="AL43" i="1"/>
  <c r="BK40" i="1"/>
  <c r="BF40" i="1"/>
  <c r="DS40" i="1"/>
  <c r="DN43" i="1"/>
  <c r="EW41" i="1"/>
  <c r="DX40" i="1"/>
  <c r="BA40" i="1"/>
  <c r="ER42" i="1"/>
  <c r="AG41" i="1"/>
  <c r="AQ40" i="1"/>
  <c r="DI41" i="1"/>
  <c r="EC41" i="1"/>
  <c r="EM40" i="1"/>
  <c r="EH40" i="1"/>
  <c r="DS41" i="1"/>
  <c r="W43" i="1"/>
  <c r="EH41" i="1"/>
  <c r="EW42" i="1"/>
  <c r="BF41" i="1"/>
  <c r="BA41" i="1"/>
  <c r="AQ41" i="1"/>
  <c r="BK41" i="1"/>
  <c r="DN44" i="1"/>
  <c r="AV41" i="1"/>
  <c r="EC42" i="1"/>
  <c r="AB42" i="1"/>
  <c r="AL44" i="1"/>
  <c r="DX41" i="1"/>
  <c r="AG42" i="1"/>
  <c r="ER43" i="1"/>
  <c r="DI42" i="1"/>
  <c r="EM41" i="1"/>
  <c r="AB43" i="1"/>
  <c r="W44" i="1"/>
  <c r="ER44" i="1"/>
  <c r="BK42" i="1"/>
  <c r="DS42" i="1"/>
  <c r="DN45" i="1"/>
  <c r="EC43" i="1"/>
  <c r="AV42" i="1"/>
  <c r="DI43" i="1"/>
  <c r="EH42" i="1"/>
  <c r="EW43" i="1"/>
  <c r="DX42" i="1"/>
  <c r="AQ42" i="1"/>
  <c r="BA42" i="1"/>
  <c r="BF42" i="1"/>
  <c r="EM42" i="1"/>
  <c r="AL45" i="1"/>
  <c r="AG43" i="1"/>
  <c r="AV43" i="1"/>
  <c r="AG44" i="1"/>
  <c r="EH43" i="1"/>
  <c r="DN46" i="1"/>
  <c r="DS43" i="1"/>
  <c r="W45" i="1"/>
  <c r="BK43" i="1"/>
  <c r="DX43" i="1"/>
  <c r="EM43" i="1"/>
  <c r="EW44" i="1"/>
  <c r="ER45" i="1"/>
  <c r="AL46" i="1"/>
  <c r="BA43" i="1"/>
  <c r="EC44" i="1"/>
  <c r="DI44" i="1"/>
  <c r="AB44" i="1"/>
  <c r="AQ43" i="1"/>
  <c r="BF43" i="1"/>
  <c r="AV44" i="1"/>
  <c r="W46" i="1"/>
  <c r="AB45" i="1"/>
  <c r="EH44" i="1"/>
  <c r="EC45" i="1"/>
  <c r="AL47" i="1"/>
  <c r="AQ44" i="1"/>
  <c r="AG45" i="1"/>
  <c r="ER46" i="1"/>
  <c r="DI45" i="1"/>
  <c r="EW45" i="1"/>
  <c r="DS44" i="1"/>
  <c r="DN47" i="1"/>
  <c r="DX44" i="1"/>
  <c r="BK44" i="1"/>
  <c r="EM44" i="1"/>
  <c r="BA44" i="1"/>
  <c r="BF44" i="1"/>
  <c r="DS45" i="1"/>
  <c r="EW46" i="1"/>
  <c r="BF45" i="1"/>
  <c r="DI46" i="1"/>
  <c r="BK45" i="1"/>
  <c r="EM45" i="1"/>
  <c r="EC46" i="1"/>
  <c r="AB46" i="1"/>
  <c r="AV45" i="1"/>
  <c r="AL48" i="1"/>
  <c r="BA45" i="1"/>
  <c r="W47" i="1"/>
  <c r="AQ45" i="1"/>
  <c r="DX45" i="1"/>
  <c r="DN48" i="1"/>
  <c r="AG46" i="1"/>
  <c r="EH45" i="1"/>
  <c r="ER47" i="1"/>
  <c r="EH46" i="1"/>
  <c r="DN49" i="1"/>
  <c r="AG47" i="1"/>
  <c r="DX46" i="1"/>
  <c r="EC47" i="1"/>
  <c r="AV46" i="1"/>
  <c r="ER48" i="1"/>
  <c r="AL49" i="1"/>
  <c r="BA46" i="1"/>
  <c r="DS46" i="1"/>
  <c r="DI47" i="1"/>
  <c r="W48" i="1"/>
  <c r="EW47" i="1"/>
  <c r="BF46" i="1"/>
  <c r="AB47" i="1"/>
  <c r="AQ46" i="1"/>
  <c r="BK46" i="1"/>
  <c r="EM46" i="1"/>
  <c r="DI48" i="1"/>
  <c r="BF47" i="1"/>
  <c r="BK47" i="1"/>
  <c r="DN50" i="1"/>
  <c r="AV47" i="1"/>
  <c r="EM47" i="1"/>
  <c r="AQ47" i="1"/>
  <c r="EH47" i="1"/>
  <c r="W49" i="1"/>
  <c r="AG48" i="1"/>
  <c r="EC48" i="1"/>
  <c r="DS47" i="1"/>
  <c r="AL50" i="1"/>
  <c r="BA47" i="1"/>
  <c r="ER49" i="1"/>
  <c r="AB48" i="1"/>
  <c r="DX47" i="1"/>
  <c r="EW48" i="1"/>
  <c r="DS48" i="1"/>
  <c r="BK48" i="1"/>
  <c r="EC49" i="1"/>
  <c r="AQ48" i="1"/>
  <c r="DX48" i="1"/>
  <c r="DI49" i="1"/>
  <c r="BF48" i="1"/>
  <c r="EM48" i="1"/>
  <c r="EW49" i="1"/>
  <c r="AL51" i="1"/>
  <c r="EH48" i="1"/>
  <c r="W50" i="1"/>
  <c r="BA48" i="1"/>
  <c r="ER50" i="1"/>
  <c r="AV48" i="1"/>
  <c r="AB49" i="1"/>
  <c r="DN51" i="1"/>
  <c r="AG49" i="1"/>
  <c r="DX49" i="1"/>
  <c r="DI50" i="1"/>
  <c r="EW50" i="1"/>
  <c r="AG50" i="1"/>
  <c r="EH49" i="1"/>
  <c r="DN52" i="1"/>
  <c r="BA49" i="1"/>
  <c r="EM49" i="1"/>
  <c r="DS49" i="1"/>
  <c r="AL52" i="1"/>
  <c r="W51" i="1"/>
  <c r="AQ49" i="1"/>
  <c r="BF49" i="1"/>
  <c r="ER51" i="1"/>
  <c r="AV49" i="1"/>
  <c r="EC50" i="1"/>
  <c r="AB50" i="1"/>
  <c r="BK49" i="1"/>
  <c r="AL53" i="1"/>
  <c r="BK50" i="1"/>
  <c r="DX50" i="1"/>
  <c r="AB51" i="1"/>
  <c r="W52" i="1"/>
  <c r="EC51" i="1"/>
  <c r="ER52" i="1"/>
  <c r="DI51" i="1"/>
  <c r="AQ50" i="1"/>
  <c r="DN53" i="1"/>
  <c r="EW51" i="1"/>
  <c r="BA50" i="1"/>
  <c r="DS50" i="1"/>
  <c r="EH50" i="1"/>
  <c r="EM50" i="1"/>
  <c r="AV50" i="1"/>
  <c r="AG51" i="1"/>
  <c r="BF50" i="1"/>
  <c r="DX51" i="1"/>
  <c r="DN54" i="1"/>
  <c r="EC52" i="1"/>
  <c r="AV51" i="1"/>
  <c r="AB52" i="1"/>
  <c r="DS51" i="1"/>
  <c r="EH51" i="1"/>
  <c r="DI52" i="1"/>
  <c r="W53" i="1"/>
  <c r="ER53" i="1"/>
  <c r="AG52" i="1"/>
  <c r="AQ51" i="1"/>
  <c r="AL54" i="1"/>
  <c r="EM51" i="1"/>
  <c r="BF51" i="1"/>
  <c r="EW52" i="1"/>
  <c r="BA51" i="1"/>
  <c r="BK51" i="1"/>
  <c r="EH52" i="1"/>
  <c r="DI53" i="1"/>
  <c r="AQ52" i="1"/>
  <c r="DN55" i="1"/>
  <c r="DS52" i="1"/>
  <c r="BA52" i="1"/>
  <c r="AG53" i="1"/>
  <c r="ER54" i="1"/>
  <c r="BF52" i="1"/>
  <c r="EM52" i="1"/>
  <c r="DX52" i="1"/>
  <c r="BK52" i="1"/>
  <c r="AB53" i="1"/>
  <c r="EC53" i="1"/>
  <c r="W54" i="1"/>
  <c r="EW53" i="1"/>
  <c r="AL55" i="1"/>
  <c r="AV52" i="1"/>
  <c r="EC54" i="1"/>
  <c r="DI54" i="1"/>
  <c r="AB54" i="1"/>
  <c r="DN56" i="1"/>
  <c r="AV53" i="1"/>
  <c r="AL56" i="1"/>
  <c r="AG54" i="1"/>
  <c r="DS53" i="1"/>
  <c r="EM53" i="1"/>
  <c r="EW54" i="1"/>
  <c r="BA53" i="1"/>
  <c r="EH53" i="1"/>
  <c r="ER55" i="1"/>
  <c r="W55" i="1"/>
  <c r="AQ53" i="1"/>
  <c r="BF53" i="1"/>
  <c r="DX53" i="1"/>
  <c r="BK53" i="1"/>
  <c r="DI55" i="1"/>
  <c r="BA54" i="1"/>
  <c r="AL57" i="1"/>
  <c r="AQ54" i="1"/>
  <c r="BF54" i="1"/>
  <c r="BK54" i="1"/>
  <c r="EM54" i="1"/>
  <c r="W56" i="1"/>
  <c r="AV54" i="1"/>
  <c r="DN57" i="1"/>
  <c r="DX54" i="1"/>
  <c r="EH54" i="1"/>
  <c r="EW55" i="1"/>
  <c r="AG55" i="1"/>
  <c r="AB55" i="1"/>
  <c r="EC55" i="1"/>
  <c r="DS54" i="1"/>
  <c r="ER56" i="1"/>
  <c r="DN58" i="1"/>
  <c r="DI56" i="1"/>
  <c r="BK55" i="1"/>
  <c r="AG56" i="1"/>
  <c r="DS55" i="1"/>
  <c r="AQ55" i="1"/>
  <c r="EW56" i="1"/>
  <c r="W57" i="1"/>
  <c r="EM55" i="1"/>
  <c r="BF55" i="1"/>
  <c r="AV55" i="1"/>
  <c r="BA55" i="1"/>
  <c r="AL58" i="1"/>
  <c r="ER57" i="1"/>
  <c r="AB56" i="1"/>
  <c r="DX55" i="1"/>
  <c r="EC56" i="1"/>
  <c r="EH55" i="1"/>
  <c r="BF56" i="1"/>
  <c r="DI57" i="1"/>
  <c r="DN59" i="1"/>
  <c r="ER58" i="1"/>
  <c r="AB57" i="1"/>
  <c r="EW57" i="1"/>
  <c r="EH56" i="1"/>
  <c r="AV56" i="1"/>
  <c r="AQ56" i="1"/>
  <c r="EC57" i="1"/>
  <c r="DS56" i="1"/>
  <c r="EM56" i="1"/>
  <c r="W58" i="1"/>
  <c r="AL59" i="1"/>
  <c r="BA56" i="1"/>
  <c r="BK56" i="1"/>
  <c r="DX56" i="1"/>
  <c r="AG57" i="1"/>
  <c r="EH57" i="1"/>
  <c r="BA57" i="1"/>
  <c r="AL60" i="1"/>
  <c r="ER59" i="1"/>
  <c r="EC58" i="1"/>
  <c r="AQ57" i="1"/>
  <c r="BK57" i="1"/>
  <c r="AB58" i="1"/>
  <c r="DX57" i="1"/>
  <c r="EM57" i="1"/>
  <c r="DI58" i="1"/>
  <c r="BF57" i="1"/>
  <c r="AG58" i="1"/>
  <c r="EW58" i="1"/>
  <c r="AV57" i="1"/>
  <c r="W59" i="1"/>
  <c r="DN60" i="1"/>
  <c r="DS57" i="1"/>
  <c r="AB59" i="1"/>
  <c r="EM58" i="1"/>
  <c r="EW59" i="1"/>
  <c r="AV58" i="1"/>
  <c r="EH58" i="1"/>
  <c r="DX58" i="1"/>
  <c r="EC59" i="1"/>
  <c r="AQ58" i="1"/>
  <c r="BA58" i="1"/>
  <c r="BF58" i="1"/>
  <c r="DN61" i="1"/>
  <c r="AG59" i="1"/>
  <c r="DS58" i="1"/>
  <c r="AL61" i="1"/>
  <c r="W60" i="1"/>
  <c r="BK58" i="1"/>
  <c r="DI59" i="1"/>
  <c r="ER60" i="1"/>
  <c r="AV59" i="1"/>
  <c r="W61" i="1"/>
  <c r="EW60" i="1"/>
  <c r="AG60" i="1"/>
  <c r="BA59" i="1"/>
  <c r="EM59" i="1"/>
  <c r="EC60" i="1"/>
  <c r="AQ59" i="1"/>
  <c r="DI60" i="1"/>
  <c r="DN62" i="1"/>
  <c r="BF59" i="1"/>
  <c r="EH59" i="1"/>
  <c r="AL62" i="1"/>
  <c r="BK59" i="1"/>
  <c r="DS59" i="1"/>
  <c r="DX59" i="1"/>
  <c r="AB60" i="1"/>
  <c r="ER61" i="1"/>
  <c r="EW61" i="1"/>
  <c r="DN63" i="1"/>
  <c r="BF60" i="1"/>
  <c r="BA60" i="1"/>
  <c r="AV60" i="1"/>
  <c r="AG61" i="1"/>
  <c r="EM60" i="1"/>
  <c r="W62" i="1"/>
  <c r="EH60" i="1"/>
  <c r="AL63" i="1"/>
  <c r="DI61" i="1"/>
  <c r="EC61" i="1"/>
  <c r="AB61" i="1"/>
  <c r="BK60" i="1"/>
  <c r="ER62" i="1"/>
  <c r="AQ60" i="1"/>
  <c r="DS60" i="1"/>
  <c r="DX60" i="1"/>
  <c r="ER63" i="1"/>
  <c r="DN64" i="1"/>
  <c r="EH61" i="1"/>
  <c r="W63" i="1"/>
  <c r="AL64" i="1"/>
  <c r="BK61" i="1"/>
  <c r="EW62" i="1"/>
  <c r="AB62" i="1"/>
  <c r="EC62" i="1"/>
  <c r="EM61" i="1"/>
  <c r="AG62" i="1"/>
  <c r="BF61" i="1"/>
  <c r="AV61" i="1"/>
  <c r="AQ61" i="1"/>
  <c r="DS61" i="1"/>
  <c r="BA61" i="1"/>
  <c r="DI62" i="1"/>
  <c r="DX61" i="1"/>
  <c r="AG63" i="1"/>
  <c r="EM62" i="1"/>
  <c r="AV62" i="1"/>
  <c r="AB63" i="1"/>
  <c r="BF62" i="1"/>
  <c r="DS62" i="1"/>
  <c r="W64" i="1"/>
  <c r="EC63" i="1"/>
  <c r="AL65" i="1"/>
  <c r="BK62" i="1"/>
  <c r="DN65" i="1"/>
  <c r="DX62" i="1"/>
  <c r="EW63" i="1"/>
  <c r="AQ62" i="1"/>
  <c r="BA62" i="1"/>
  <c r="DI63" i="1"/>
  <c r="EH62" i="1"/>
  <c r="ER64" i="1"/>
  <c r="DX63" i="1"/>
  <c r="BK63" i="1"/>
  <c r="AQ63" i="1"/>
  <c r="DN66" i="1"/>
  <c r="EC64" i="1"/>
  <c r="AV63" i="1"/>
  <c r="EM63" i="1"/>
  <c r="EH63" i="1"/>
  <c r="AL66" i="1"/>
  <c r="DI64" i="1"/>
  <c r="BF63" i="1"/>
  <c r="BA63" i="1"/>
  <c r="W65" i="1"/>
  <c r="AB64" i="1"/>
  <c r="DS63" i="1"/>
  <c r="AG64" i="1"/>
  <c r="ER65" i="1"/>
  <c r="EW64" i="1"/>
  <c r="DI65" i="1"/>
  <c r="BA64" i="1"/>
  <c r="AV64" i="1"/>
  <c r="BF64" i="1"/>
  <c r="ER66" i="1"/>
  <c r="AL67" i="1"/>
  <c r="EH64" i="1"/>
  <c r="DN67" i="1"/>
  <c r="W66" i="1"/>
  <c r="DS64" i="1"/>
  <c r="AG65" i="1"/>
  <c r="BK64" i="1"/>
  <c r="DX64" i="1"/>
  <c r="EM64" i="1"/>
  <c r="AB65" i="1"/>
  <c r="EW65" i="1"/>
  <c r="AQ64" i="1"/>
  <c r="EC65" i="1"/>
  <c r="EM65" i="1"/>
  <c r="DX65" i="1"/>
  <c r="DN68" i="1"/>
  <c r="EW66" i="1"/>
  <c r="AQ65" i="1"/>
  <c r="AG66" i="1"/>
  <c r="AL68" i="1"/>
  <c r="EC66" i="1"/>
  <c r="EH65" i="1"/>
  <c r="BF65" i="1"/>
  <c r="ER67" i="1"/>
  <c r="BA65" i="1"/>
  <c r="DS65" i="1"/>
  <c r="DI66" i="1"/>
  <c r="AB66" i="1"/>
  <c r="BK65" i="1"/>
  <c r="AV65" i="1"/>
  <c r="W67" i="1"/>
  <c r="AQ66" i="1"/>
  <c r="DX66" i="1"/>
  <c r="AV66" i="1"/>
  <c r="DN69" i="1"/>
  <c r="AB67" i="1"/>
  <c r="AL69" i="1"/>
  <c r="AG67" i="1"/>
  <c r="BA66" i="1"/>
  <c r="DS66" i="1"/>
  <c r="EC67" i="1"/>
  <c r="W68" i="1"/>
  <c r="DI67" i="1"/>
  <c r="ER68" i="1"/>
  <c r="EW67" i="1"/>
  <c r="EM66" i="1"/>
  <c r="BK66" i="1"/>
  <c r="EH66" i="1"/>
  <c r="BF66" i="1"/>
  <c r="AL70" i="1"/>
  <c r="EH67" i="1"/>
  <c r="EW68" i="1"/>
  <c r="DS67" i="1"/>
  <c r="ER69" i="1"/>
  <c r="AB68" i="1"/>
  <c r="DN70" i="1"/>
  <c r="W69" i="1"/>
  <c r="DI68" i="1"/>
  <c r="EM67" i="1"/>
  <c r="EC68" i="1"/>
  <c r="BA67" i="1"/>
  <c r="DX67" i="1"/>
  <c r="BK67" i="1"/>
  <c r="AV67" i="1"/>
  <c r="BF67" i="1"/>
  <c r="AQ67" i="1"/>
  <c r="AG68" i="1"/>
  <c r="W70" i="1"/>
  <c r="BF68" i="1"/>
  <c r="AG69" i="1"/>
  <c r="AV68" i="1"/>
  <c r="AB69" i="1"/>
  <c r="DI69" i="1"/>
  <c r="EC69" i="1"/>
  <c r="DX68" i="1"/>
  <c r="EH68" i="1"/>
  <c r="BA68" i="1"/>
  <c r="DN71" i="1"/>
  <c r="AQ68" i="1"/>
  <c r="ER70" i="1"/>
  <c r="AL71" i="1"/>
  <c r="BK68" i="1"/>
  <c r="EW69" i="1"/>
  <c r="DS68" i="1"/>
  <c r="EM68" i="1"/>
  <c r="DN72" i="1"/>
  <c r="EH69" i="1"/>
  <c r="DS69" i="1"/>
  <c r="BK69" i="1"/>
  <c r="AV69" i="1"/>
  <c r="EM69" i="1"/>
  <c r="EW70" i="1"/>
  <c r="EC70" i="1"/>
  <c r="BF69" i="1"/>
  <c r="AB70" i="1"/>
  <c r="AG70" i="1"/>
  <c r="W71" i="1"/>
  <c r="AL72" i="1"/>
  <c r="BA69" i="1"/>
  <c r="AQ69" i="1"/>
  <c r="DX69" i="1"/>
  <c r="DI70" i="1"/>
  <c r="ER71" i="1"/>
  <c r="AB71" i="1"/>
  <c r="ER72" i="1"/>
  <c r="AL73" i="1"/>
  <c r="AQ70" i="1"/>
  <c r="EH70" i="1"/>
  <c r="W72" i="1"/>
  <c r="EC71" i="1"/>
  <c r="AG71" i="1"/>
  <c r="DX70" i="1"/>
  <c r="BF70" i="1"/>
  <c r="EW71" i="1"/>
  <c r="EM70" i="1"/>
  <c r="DI71" i="1"/>
  <c r="DN73" i="1"/>
  <c r="DS70" i="1"/>
  <c r="BK70" i="1"/>
  <c r="AV70" i="1"/>
  <c r="BA70" i="1"/>
  <c r="DN74" i="1"/>
  <c r="EW72" i="1"/>
  <c r="BF71" i="1"/>
  <c r="AL74" i="1"/>
  <c r="AG72" i="1"/>
  <c r="DI72" i="1"/>
  <c r="BA71" i="1"/>
  <c r="DS71" i="1"/>
  <c r="W73" i="1"/>
  <c r="DX71" i="1"/>
  <c r="EC72" i="1"/>
  <c r="AQ71" i="1"/>
  <c r="AB72" i="1"/>
  <c r="AV71" i="1"/>
  <c r="EM71" i="1"/>
  <c r="BK71" i="1"/>
  <c r="EH71" i="1"/>
  <c r="ER73" i="1"/>
  <c r="AV72" i="1"/>
  <c r="EH72" i="1"/>
  <c r="W74" i="1"/>
  <c r="BK72" i="1"/>
  <c r="ER74" i="1"/>
  <c r="DX72" i="1"/>
  <c r="EC73" i="1"/>
  <c r="DS72" i="1"/>
  <c r="DN75" i="1"/>
  <c r="AQ72" i="1"/>
  <c r="AL75" i="1"/>
  <c r="EW73" i="1"/>
  <c r="AB73" i="1"/>
  <c r="AG73" i="1"/>
  <c r="BF72" i="1"/>
  <c r="BA72" i="1"/>
  <c r="DI73" i="1"/>
  <c r="EM72" i="1"/>
  <c r="ER75" i="1"/>
  <c r="DS73" i="1"/>
  <c r="BK73" i="1"/>
  <c r="EW74" i="1"/>
  <c r="AQ73" i="1"/>
  <c r="DN76" i="1"/>
  <c r="AV73" i="1"/>
  <c r="AG74" i="1"/>
  <c r="BF73" i="1"/>
  <c r="EC74" i="1"/>
  <c r="EH73" i="1"/>
  <c r="DI74" i="1"/>
  <c r="EM73" i="1"/>
  <c r="W75" i="1"/>
  <c r="BA73" i="1"/>
  <c r="DX73" i="1"/>
  <c r="AB74" i="1"/>
  <c r="AL76" i="1"/>
  <c r="AV74" i="1"/>
  <c r="EM74" i="1"/>
  <c r="BF74" i="1"/>
  <c r="AL77" i="1"/>
  <c r="DI75" i="1"/>
  <c r="EH74" i="1"/>
  <c r="EW75" i="1"/>
  <c r="ER76" i="1"/>
  <c r="DX74" i="1"/>
  <c r="AB75" i="1"/>
  <c r="BA74" i="1"/>
  <c r="W76" i="1"/>
  <c r="AG75" i="1"/>
  <c r="DN77" i="1"/>
  <c r="DS74" i="1"/>
  <c r="EC75" i="1"/>
  <c r="BK74" i="1"/>
  <c r="AQ74" i="1"/>
  <c r="BK75" i="1"/>
  <c r="EW76" i="1"/>
  <c r="DS75" i="1"/>
  <c r="EC76" i="1"/>
  <c r="ER77" i="1"/>
  <c r="DN78" i="1"/>
  <c r="EM75" i="1"/>
  <c r="AQ75" i="1"/>
  <c r="AB76" i="1"/>
  <c r="EH75" i="1"/>
  <c r="DX75" i="1"/>
  <c r="BF75" i="1"/>
  <c r="BA75" i="1"/>
  <c r="DI76" i="1"/>
  <c r="AL78" i="1"/>
  <c r="AG76" i="1"/>
  <c r="W77" i="1"/>
  <c r="AV75" i="1"/>
  <c r="DN79" i="1"/>
  <c r="BK76" i="1"/>
  <c r="ER78" i="1"/>
  <c r="DS76" i="1"/>
  <c r="AG77" i="1"/>
  <c r="AV76" i="1"/>
  <c r="AB77" i="1"/>
  <c r="BA76" i="1"/>
  <c r="EW77" i="1"/>
  <c r="DI77" i="1"/>
  <c r="DX76" i="1"/>
  <c r="EM76" i="1"/>
  <c r="AQ76" i="1"/>
  <c r="W78" i="1"/>
  <c r="EC77" i="1"/>
  <c r="EH76" i="1"/>
  <c r="BF76" i="1"/>
  <c r="AL79" i="1"/>
  <c r="BK77" i="1"/>
  <c r="EM77" i="1"/>
  <c r="DN80" i="1"/>
  <c r="BA77" i="1"/>
  <c r="AG78" i="1"/>
  <c r="AL80" i="1"/>
  <c r="BF77" i="1"/>
  <c r="DI78" i="1"/>
  <c r="ER79" i="1"/>
  <c r="W79" i="1"/>
  <c r="EH77" i="1"/>
  <c r="AB78" i="1"/>
  <c r="AQ77" i="1"/>
  <c r="EW78" i="1"/>
  <c r="EC78" i="1"/>
  <c r="DX77" i="1"/>
  <c r="DS77" i="1"/>
  <c r="AV77" i="1"/>
  <c r="DN81" i="1"/>
  <c r="AL81" i="1"/>
  <c r="AQ78" i="1"/>
  <c r="EH78" i="1"/>
  <c r="EW79" i="1"/>
  <c r="BA78" i="1"/>
  <c r="BK78" i="1"/>
  <c r="DS78" i="1"/>
  <c r="DX78" i="1"/>
  <c r="BF78" i="1"/>
  <c r="DI79" i="1"/>
  <c r="AB79" i="1"/>
  <c r="W80" i="1"/>
  <c r="AG79" i="1"/>
  <c r="EM78" i="1"/>
  <c r="EC79" i="1"/>
  <c r="AV78" i="1"/>
  <c r="ER80" i="1"/>
  <c r="AB80" i="1"/>
  <c r="EC80" i="1"/>
  <c r="DS79" i="1"/>
  <c r="AG80" i="1"/>
  <c r="DX79" i="1"/>
  <c r="BA79" i="1"/>
  <c r="EM79" i="1"/>
  <c r="EH79" i="1"/>
  <c r="BF79" i="1"/>
  <c r="W81" i="1"/>
  <c r="DN82" i="1"/>
  <c r="AL82" i="1"/>
  <c r="AV79" i="1"/>
  <c r="AQ79" i="1"/>
  <c r="ER81" i="1"/>
  <c r="EW80" i="1"/>
  <c r="DI80" i="1"/>
  <c r="BK79" i="1"/>
  <c r="AQ80" i="1"/>
  <c r="EM80" i="1"/>
  <c r="EC81" i="1"/>
  <c r="DI81" i="1"/>
  <c r="BK80" i="1"/>
  <c r="AG81" i="1"/>
  <c r="AV80" i="1"/>
  <c r="AB81" i="1"/>
  <c r="EW81" i="1"/>
  <c r="AL83" i="1"/>
  <c r="EH80" i="1"/>
  <c r="BF80" i="1"/>
  <c r="DS80" i="1"/>
  <c r="W82" i="1"/>
  <c r="DX80" i="1"/>
  <c r="DN83" i="1"/>
  <c r="BA80" i="1"/>
  <c r="ER82" i="1"/>
  <c r="EW82" i="1"/>
  <c r="AQ81" i="1"/>
  <c r="EM81" i="1"/>
  <c r="DS81" i="1"/>
  <c r="W83" i="1"/>
  <c r="BF81" i="1"/>
  <c r="ER83" i="1"/>
  <c r="BK81" i="1"/>
  <c r="DI82" i="1"/>
  <c r="BA81" i="1"/>
  <c r="EH81" i="1"/>
  <c r="AV81" i="1"/>
  <c r="DX81" i="1"/>
  <c r="DN84" i="1"/>
  <c r="AB82" i="1"/>
  <c r="AG82" i="1"/>
  <c r="AL84" i="1"/>
  <c r="EC82" i="1"/>
  <c r="DN85" i="1"/>
  <c r="EC83" i="1"/>
  <c r="AG83" i="1"/>
  <c r="AV82" i="1"/>
  <c r="DX82" i="1"/>
  <c r="AL85" i="1"/>
  <c r="W84" i="1"/>
  <c r="AB83" i="1"/>
  <c r="EM82" i="1"/>
  <c r="EW83" i="1"/>
  <c r="DI83" i="1"/>
  <c r="DS82" i="1"/>
  <c r="BF82" i="1"/>
  <c r="BK82" i="1"/>
  <c r="BA82" i="1"/>
  <c r="AQ82" i="1"/>
  <c r="EH82" i="1"/>
  <c r="ER84" i="1"/>
  <c r="BF83" i="1"/>
  <c r="AL86" i="1"/>
  <c r="DN86" i="1"/>
  <c r="W85" i="1"/>
  <c r="EH83" i="1"/>
  <c r="BA83" i="1"/>
  <c r="DS83" i="1"/>
  <c r="DX83" i="1"/>
  <c r="EW84" i="1"/>
  <c r="EC84" i="1"/>
  <c r="AV83" i="1"/>
  <c r="EM83" i="1"/>
  <c r="AG84" i="1"/>
  <c r="BK83" i="1"/>
  <c r="AQ83" i="1"/>
  <c r="DI84" i="1"/>
  <c r="AB84" i="1"/>
  <c r="ER85" i="1"/>
  <c r="ER86" i="1"/>
  <c r="BF84" i="1"/>
  <c r="W86" i="1"/>
  <c r="AL87" i="1"/>
  <c r="DI85" i="1"/>
  <c r="EC85" i="1"/>
  <c r="BA84" i="1"/>
  <c r="AG85" i="1"/>
  <c r="BK84" i="1"/>
  <c r="EH84" i="1"/>
  <c r="DS84" i="1"/>
  <c r="DX84" i="1"/>
  <c r="AQ84" i="1"/>
  <c r="AV84" i="1"/>
  <c r="AB85" i="1"/>
  <c r="EW85" i="1"/>
  <c r="EM84" i="1"/>
  <c r="DN87" i="1"/>
  <c r="DI86" i="1"/>
  <c r="DN88" i="1"/>
  <c r="EC86" i="1"/>
  <c r="BA85" i="1"/>
  <c r="AL88" i="1"/>
  <c r="DS85" i="1"/>
  <c r="AG86" i="1"/>
  <c r="AV85" i="1"/>
  <c r="AQ85" i="1"/>
  <c r="AB86" i="1"/>
  <c r="W87" i="1"/>
  <c r="EM85" i="1"/>
  <c r="EH85" i="1"/>
  <c r="BK85" i="1"/>
  <c r="EW86" i="1"/>
  <c r="DX85" i="1"/>
  <c r="ER87" i="1"/>
  <c r="BF85" i="1"/>
  <c r="ER88" i="1"/>
  <c r="AG87" i="1"/>
  <c r="W88" i="1"/>
  <c r="BF86" i="1"/>
  <c r="DN89" i="1"/>
  <c r="AV86" i="1"/>
  <c r="EM86" i="1"/>
  <c r="AL89" i="1"/>
  <c r="DX86" i="1"/>
  <c r="EH86" i="1"/>
  <c r="AB87" i="1"/>
  <c r="DI87" i="1"/>
  <c r="EW87" i="1"/>
  <c r="DS86" i="1"/>
  <c r="BK86" i="1"/>
  <c r="EC87" i="1"/>
  <c r="AQ86" i="1"/>
  <c r="BA86" i="1"/>
  <c r="AV87" i="1"/>
  <c r="AL90" i="1"/>
  <c r="BA87" i="1"/>
  <c r="DI88" i="1"/>
  <c r="BK87" i="1"/>
  <c r="EW88" i="1"/>
  <c r="AB88" i="1"/>
  <c r="AQ87" i="1"/>
  <c r="W89" i="1"/>
  <c r="DS87" i="1"/>
  <c r="EH87" i="1"/>
  <c r="BF87" i="1"/>
  <c r="EC88" i="1"/>
  <c r="DX87" i="1"/>
  <c r="AG88" i="1"/>
  <c r="DN90" i="1"/>
  <c r="EM87" i="1"/>
  <c r="ER89" i="1"/>
  <c r="DI89" i="1"/>
  <c r="AG89" i="1"/>
  <c r="DS88" i="1"/>
  <c r="EC89" i="1"/>
  <c r="EH88" i="1"/>
  <c r="BF88" i="1"/>
  <c r="AL91" i="1"/>
  <c r="BK88" i="1"/>
  <c r="AQ88" i="1"/>
  <c r="DN91" i="1"/>
  <c r="ER90" i="1"/>
  <c r="EW89" i="1"/>
  <c r="AB89" i="1"/>
  <c r="BA88" i="1"/>
  <c r="AV88" i="1"/>
  <c r="DX88" i="1"/>
  <c r="W90" i="1"/>
  <c r="EM88" i="1"/>
  <c r="ER91" i="1"/>
  <c r="EH89" i="1"/>
  <c r="DI90" i="1"/>
  <c r="AV89" i="1"/>
  <c r="DN92" i="1"/>
  <c r="EM89" i="1"/>
  <c r="AG90" i="1"/>
  <c r="AL92" i="1"/>
  <c r="BF89" i="1"/>
  <c r="BK89" i="1"/>
  <c r="W91" i="1"/>
  <c r="AB90" i="1"/>
  <c r="BA89" i="1"/>
  <c r="DS89" i="1"/>
  <c r="EW90" i="1"/>
  <c r="EC90" i="1"/>
  <c r="AQ89" i="1"/>
  <c r="DX89" i="1"/>
  <c r="DI91" i="1"/>
  <c r="DX90" i="1"/>
  <c r="DN93" i="1"/>
  <c r="EW91" i="1"/>
  <c r="AG91" i="1"/>
  <c r="EM90" i="1"/>
  <c r="AL93" i="1"/>
  <c r="BF90" i="1"/>
  <c r="EC91" i="1"/>
  <c r="AQ90" i="1"/>
  <c r="BK90" i="1"/>
  <c r="AV90" i="1"/>
  <c r="AB91" i="1"/>
  <c r="ER92" i="1"/>
  <c r="W92" i="1"/>
  <c r="DS90" i="1"/>
  <c r="BA90" i="1"/>
  <c r="EH90" i="1"/>
  <c r="DS91" i="1"/>
  <c r="ER93" i="1"/>
  <c r="BA91" i="1"/>
  <c r="BK91" i="1"/>
  <c r="W93" i="1"/>
  <c r="AQ91" i="1"/>
  <c r="BF91" i="1"/>
  <c r="DI92" i="1"/>
  <c r="EW92" i="1"/>
  <c r="EM91" i="1"/>
  <c r="EC92" i="1"/>
  <c r="AV91" i="1"/>
  <c r="AG92" i="1"/>
  <c r="EH91" i="1"/>
  <c r="AL94" i="1"/>
  <c r="DX91" i="1"/>
  <c r="DN94" i="1"/>
  <c r="AB92" i="1"/>
  <c r="EW93" i="1"/>
  <c r="BK92" i="1"/>
  <c r="AV92" i="1"/>
  <c r="AG93" i="1"/>
  <c r="EM92" i="1"/>
  <c r="DX92" i="1"/>
  <c r="BF92" i="1"/>
  <c r="DN95" i="1"/>
  <c r="AQ92" i="1"/>
  <c r="ER94" i="1"/>
  <c r="BA92" i="1"/>
  <c r="AL95" i="1"/>
  <c r="DI93" i="1"/>
  <c r="W94" i="1"/>
  <c r="DS92" i="1"/>
  <c r="EC93" i="1"/>
  <c r="EH92" i="1"/>
  <c r="AB93" i="1"/>
  <c r="BK93" i="1"/>
  <c r="EW94" i="1"/>
  <c r="DI94" i="1"/>
  <c r="AG94" i="1"/>
  <c r="W95" i="1"/>
  <c r="DS93" i="1"/>
  <c r="EM93" i="1"/>
  <c r="AQ93" i="1"/>
  <c r="DX93" i="1"/>
  <c r="EH93" i="1"/>
  <c r="ER95" i="1"/>
  <c r="DN96" i="1"/>
  <c r="AV93" i="1"/>
  <c r="AB94" i="1"/>
  <c r="BA93" i="1"/>
  <c r="BF93" i="1"/>
  <c r="AL96" i="1"/>
  <c r="EC94" i="1"/>
  <c r="EH94" i="1"/>
  <c r="EM94" i="1"/>
  <c r="DI95" i="1"/>
  <c r="DS94" i="1"/>
  <c r="AB95" i="1"/>
  <c r="EC95" i="1"/>
  <c r="DN97" i="1"/>
  <c r="AQ94" i="1"/>
  <c r="DX94" i="1"/>
  <c r="AL97" i="1"/>
  <c r="BA94" i="1"/>
  <c r="W96" i="1"/>
  <c r="AV94" i="1"/>
  <c r="AG95" i="1"/>
  <c r="ER96" i="1"/>
  <c r="BK94" i="1"/>
  <c r="EW95" i="1"/>
  <c r="BF94" i="1"/>
  <c r="EW96" i="1"/>
  <c r="W97" i="1"/>
  <c r="ER97" i="1"/>
  <c r="AQ95" i="1"/>
  <c r="BF95" i="1"/>
  <c r="DS95" i="1"/>
  <c r="AB96" i="1"/>
  <c r="AV95" i="1"/>
  <c r="BK95" i="1"/>
  <c r="AL98" i="1"/>
  <c r="EM95" i="1"/>
  <c r="DX95" i="1"/>
  <c r="DN98" i="1"/>
  <c r="AG96" i="1"/>
  <c r="EH95" i="1"/>
  <c r="DI96" i="1"/>
  <c r="EC96" i="1"/>
  <c r="BA95" i="1"/>
  <c r="BA96" i="1"/>
  <c r="AQ96" i="1"/>
  <c r="DX96" i="1"/>
  <c r="ER98" i="1"/>
  <c r="EW97" i="1"/>
  <c r="AG97" i="1"/>
  <c r="DI97" i="1"/>
  <c r="EM96" i="1"/>
  <c r="AL99" i="1"/>
  <c r="EH96" i="1"/>
  <c r="BK96" i="1"/>
  <c r="AB97" i="1"/>
  <c r="EC97" i="1"/>
  <c r="AV96" i="1"/>
  <c r="DS96" i="1"/>
  <c r="BF96" i="1"/>
  <c r="W98" i="1"/>
  <c r="DN99" i="1"/>
  <c r="EW98" i="1"/>
  <c r="AL100" i="1"/>
  <c r="AG98" i="1"/>
  <c r="AB98" i="1"/>
  <c r="AQ97" i="1"/>
  <c r="EM97" i="1"/>
  <c r="AV97" i="1"/>
  <c r="ER99" i="1"/>
  <c r="EH97" i="1"/>
  <c r="DS97" i="1"/>
  <c r="DN100" i="1"/>
  <c r="W99" i="1"/>
  <c r="EC98" i="1"/>
  <c r="BA97" i="1"/>
  <c r="BF97" i="1"/>
  <c r="BK97" i="1"/>
  <c r="DI98" i="1"/>
  <c r="DX97" i="1"/>
  <c r="AL101" i="1"/>
  <c r="DN101" i="1"/>
  <c r="BK98" i="1"/>
  <c r="BA98" i="1"/>
  <c r="EH98" i="1"/>
  <c r="BF98" i="1"/>
  <c r="DX98" i="1"/>
  <c r="EC99" i="1"/>
  <c r="AV98" i="1"/>
  <c r="EW99" i="1"/>
  <c r="DI99" i="1"/>
  <c r="ER100" i="1"/>
  <c r="AB99" i="1"/>
  <c r="W100" i="1"/>
  <c r="AG99" i="1"/>
  <c r="AQ98" i="1"/>
  <c r="DS98" i="1"/>
  <c r="EM98" i="1"/>
  <c r="EH99" i="1"/>
  <c r="AQ99" i="1"/>
  <c r="EM99" i="1"/>
  <c r="BF99" i="1"/>
  <c r="AB100" i="1"/>
  <c r="DI100" i="1"/>
  <c r="AV99" i="1"/>
  <c r="AL102" i="1"/>
  <c r="DN102" i="1"/>
  <c r="EW100" i="1"/>
  <c r="W101" i="1"/>
  <c r="DS99" i="1"/>
  <c r="BA99" i="1"/>
  <c r="DX99" i="1"/>
  <c r="ER101" i="1"/>
  <c r="AG100" i="1"/>
  <c r="EC100" i="1"/>
  <c r="BK99" i="1"/>
  <c r="EW101" i="1"/>
  <c r="DN103" i="1"/>
  <c r="BF100" i="1"/>
  <c r="EM100" i="1"/>
  <c r="EH100" i="1"/>
  <c r="BK100" i="1"/>
  <c r="AV100" i="1"/>
  <c r="AB101" i="1"/>
  <c r="AQ100" i="1"/>
  <c r="AG101" i="1"/>
  <c r="DI101" i="1"/>
  <c r="EC101" i="1"/>
  <c r="BA100" i="1"/>
  <c r="DS100" i="1"/>
  <c r="DX100" i="1"/>
  <c r="W102" i="1"/>
  <c r="AL103" i="1"/>
  <c r="ER102" i="1"/>
  <c r="AG102" i="1"/>
  <c r="AQ101" i="1"/>
  <c r="DN104" i="1"/>
  <c r="AL104" i="1"/>
  <c r="EM101" i="1"/>
  <c r="AV101" i="1"/>
  <c r="BF101" i="1"/>
  <c r="AB102" i="1"/>
  <c r="ER103" i="1"/>
  <c r="EH101" i="1"/>
  <c r="BK101" i="1"/>
  <c r="W103" i="1"/>
  <c r="DS101" i="1"/>
  <c r="EC102" i="1"/>
  <c r="DX101" i="1"/>
  <c r="EW102" i="1"/>
  <c r="DI102" i="1"/>
  <c r="BA101" i="1"/>
  <c r="AL105" i="1"/>
  <c r="EH102" i="1"/>
  <c r="AG103" i="1"/>
  <c r="AV102" i="1"/>
  <c r="BF102" i="1"/>
  <c r="ER104" i="1"/>
  <c r="EW103" i="1"/>
  <c r="AQ102" i="1"/>
  <c r="DI103" i="1"/>
  <c r="W104" i="1"/>
  <c r="DS102" i="1"/>
  <c r="BK102" i="1"/>
  <c r="AB103" i="1"/>
  <c r="EM102" i="1"/>
  <c r="BA102" i="1"/>
  <c r="DN105" i="1"/>
  <c r="DX102" i="1"/>
  <c r="EC103" i="1"/>
  <c r="DS103" i="1"/>
  <c r="EM103" i="1"/>
  <c r="AG104" i="1"/>
  <c r="AL106" i="1"/>
  <c r="BK103" i="1"/>
  <c r="DN106" i="1"/>
  <c r="DX103" i="1"/>
  <c r="EC104" i="1"/>
  <c r="W105" i="1"/>
  <c r="ER105" i="1"/>
  <c r="DI104" i="1"/>
  <c r="AQ103" i="1"/>
  <c r="AB104" i="1"/>
  <c r="BA103" i="1"/>
  <c r="EW104" i="1"/>
  <c r="EH103" i="1"/>
  <c r="BF103" i="1"/>
  <c r="AV103" i="1"/>
  <c r="AL107" i="1"/>
  <c r="AB105" i="1"/>
  <c r="BK104" i="1"/>
  <c r="W106" i="1"/>
  <c r="BF104" i="1"/>
  <c r="EW105" i="1"/>
  <c r="DS104" i="1"/>
  <c r="DN107" i="1"/>
  <c r="AG105" i="1"/>
  <c r="ER106" i="1"/>
  <c r="BA104" i="1"/>
  <c r="EH104" i="1"/>
  <c r="DX104" i="1"/>
  <c r="DI105" i="1"/>
  <c r="EC105" i="1"/>
  <c r="EM104" i="1"/>
  <c r="AQ104" i="1"/>
  <c r="AV104" i="1"/>
  <c r="EH105" i="1"/>
  <c r="AQ105" i="1"/>
  <c r="AL108" i="1"/>
  <c r="AG106" i="1"/>
  <c r="EM105" i="1"/>
  <c r="BK105" i="1"/>
  <c r="BF105" i="1"/>
  <c r="AB106" i="1"/>
  <c r="DX105" i="1"/>
  <c r="W107" i="1"/>
  <c r="DI106" i="1"/>
  <c r="EC106" i="1"/>
  <c r="DS105" i="1"/>
  <c r="BA105" i="1"/>
  <c r="EW106" i="1"/>
  <c r="ER107" i="1"/>
  <c r="AV105" i="1"/>
  <c r="DN108" i="1"/>
  <c r="EM106" i="1"/>
  <c r="DS106" i="1"/>
  <c r="EW107" i="1"/>
  <c r="AG107" i="1"/>
  <c r="DX106" i="1"/>
  <c r="BK106" i="1"/>
  <c r="ER108" i="1"/>
  <c r="EH106" i="1"/>
  <c r="W108" i="1"/>
  <c r="AQ106" i="1"/>
  <c r="DI107" i="1"/>
  <c r="BA106" i="1"/>
  <c r="BF106" i="1"/>
  <c r="AB107" i="1"/>
  <c r="EC107" i="1"/>
  <c r="AV106" i="1"/>
  <c r="EH107" i="1"/>
  <c r="DS107" i="1"/>
  <c r="DX107" i="1"/>
  <c r="AQ108" i="1"/>
  <c r="BK108" i="1"/>
  <c r="AV107" i="1"/>
  <c r="AG108" i="1"/>
  <c r="AQ107" i="1"/>
  <c r="EM107" i="1"/>
  <c r="DS108" i="1"/>
  <c r="BF107" i="1"/>
  <c r="AB108" i="1"/>
  <c r="EC108" i="1"/>
  <c r="BF108" i="1"/>
  <c r="DX108" i="1"/>
  <c r="AV108" i="1"/>
  <c r="EH108" i="1"/>
  <c r="DI108" i="1"/>
  <c r="EW108" i="1"/>
  <c r="BA107" i="1"/>
  <c r="BK107" i="1"/>
  <c r="N14" i="1" l="1"/>
  <c r="N15" i="1"/>
</calcChain>
</file>

<file path=xl/sharedStrings.xml><?xml version="1.0" encoding="utf-8"?>
<sst xmlns="http://schemas.openxmlformats.org/spreadsheetml/2006/main" count="16" uniqueCount="12">
  <si>
    <t>Projectile Trajectory Calculator</t>
  </si>
  <si>
    <t>Reverse</t>
  </si>
  <si>
    <t>Metric?</t>
  </si>
  <si>
    <t>Forward</t>
  </si>
  <si>
    <t xml:space="preserve">     ^ Tolerance (%)</t>
  </si>
  <si>
    <t>Release Angle (°)</t>
  </si>
  <si>
    <t>Target Angle (°)</t>
  </si>
  <si>
    <t xml:space="preserve">     ^ Tolerance (°)</t>
  </si>
  <si>
    <t>Final Angle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</si>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</sst>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
    <numFmt numFmtId="165" formatCode="0.0\°"/>
    <numFmt numFmtId="166" formatCode="0.000"/>
    <numFmt numFmtId="167" formatCode="\±0.00"/>
    <numFmt numFmtId="168" formatCode="0.00000"/>
    <numFmt numFmtId="169" formatCode="\±0%"/>
    <numFmt numFmtId="170" formatCode="0\°"/>
    <numFmt numFmtId="171" formatCode="\±0\°"/>
    <numFmt numFmtId="172" formatCode="\±0.0"/>
  </numFmts>
  <fonts count="12" x14ac:knownFonts="1">
    <font>
      <sz val="11"/>
      <color theme="1"/>
      <name val="Calibri"/>
      <family val="2"/>
      <scheme val="minor"/>
    </font>
    <font>
      <sz val="11"/>
      <color theme="1"/>
      <name val="Calibri"/>
      <family val="2"/>
      <scheme val="minor"/>
    </font>
    <font>
      <sz val="11"/>
      <color rgb="FF9C6500"/>
      <name val="Calibri"/>
      <family val="2"/>
      <scheme val="minor"/>
    </font>
    <font>
      <sz val="11"/>
      <color theme="0"/>
      <name val="Calibri"/>
      <family val="2"/>
      <scheme val="minor"/>
    </font>
    <font>
      <b/>
      <sz val="24"/>
      <color theme="1"/>
      <name val="Calibri"/>
      <family val="2"/>
      <scheme val="minor"/>
    </font>
    <font>
      <b/>
      <sz val="14"/>
      <color theme="1"/>
      <name val="Calibri"/>
      <family val="2"/>
      <scheme val="minor"/>
    </font>
    <font>
      <sz val="12"/>
      <color rgb="FFFF0000"/>
      <name val="Calibri"/>
      <family val="2"/>
      <scheme val="minor"/>
    </font>
    <font>
      <sz val="11"/>
      <name val="Calibri"/>
      <family val="2"/>
      <scheme val="minor"/>
    </font>
    <font>
      <sz val="12"/>
      <color theme="1"/>
      <name val="Calibri"/>
      <family val="2"/>
      <scheme val="minor"/>
    </font>
    <font>
      <sz val="11"/>
      <color theme="1"/>
      <name val="Arial"/>
      <family val="2"/>
    </font>
    <font>
      <sz val="11"/>
      <color rgb="FFFF0000"/>
      <name val="Calibri"/>
      <family val="2"/>
      <scheme val="minor"/>
    </font>
    <font>
      <b/>
      <sz val="11"/>
      <color rgb="FFFF0000"/>
      <name val="Calibri"/>
      <family val="2"/>
      <scheme val="minor"/>
    </font>
  </fonts>
  <fills count="6">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5"/>
        <bgColor indexed="64"/>
      </patternFill>
    </fill>
    <fill>
      <patternFill patternType="solid">
        <fgColor rgb="FFFFEB9C"/>
        <bgColor indexed="64"/>
      </patternFill>
    </fill>
  </fills>
  <borders count="1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6">
    <xf numFmtId="0" fontId="0" fillId="0" borderId="0"/>
    <xf numFmtId="9" fontId="1" fillId="0" borderId="0" applyFont="0" applyFill="0" applyBorder="0" applyAlignment="0" applyProtection="0"/>
    <xf numFmtId="0" fontId="7" fillId="4" borderId="0" applyNumberFormat="0" applyBorder="0" applyAlignment="0" applyProtection="0"/>
    <xf numFmtId="0" fontId="2" fillId="5" borderId="0" applyNumberFormat="0" applyBorder="0" applyAlignment="0" applyProtection="0"/>
    <xf numFmtId="0" fontId="8" fillId="0" borderId="0"/>
    <xf numFmtId="0" fontId="9" fillId="0" borderId="0"/>
  </cellStyleXfs>
  <cellXfs count="41">
    <xf numFmtId="0" fontId="0" fillId="0" borderId="0" xfId="0"/>
    <xf numFmtId="0" fontId="0" fillId="0" borderId="0" xfId="0" applyAlignment="1" applyProtection="1">
      <alignment vertical="center"/>
    </xf>
    <xf numFmtId="0" fontId="4" fillId="0" borderId="0" xfId="0" applyFont="1" applyAlignment="1" applyProtection="1">
      <alignment vertical="center"/>
    </xf>
    <xf numFmtId="0" fontId="3" fillId="0" borderId="0" xfId="0" applyFont="1" applyAlignment="1" applyProtection="1">
      <alignment vertical="center"/>
    </xf>
    <xf numFmtId="0" fontId="3" fillId="0" borderId="0" xfId="0" applyFont="1" applyAlignment="1" applyProtection="1">
      <alignment vertical="center"/>
      <protection locked="0"/>
    </xf>
    <xf numFmtId="0" fontId="0" fillId="0" borderId="3" xfId="0" applyBorder="1" applyAlignment="1" applyProtection="1">
      <alignment vertical="center"/>
    </xf>
    <xf numFmtId="164" fontId="0" fillId="2" borderId="4" xfId="0" applyNumberFormat="1" applyFill="1" applyBorder="1" applyAlignment="1" applyProtection="1">
      <alignment vertical="center"/>
      <protection locked="0"/>
    </xf>
    <xf numFmtId="164" fontId="0" fillId="0" borderId="0" xfId="0" applyNumberFormat="1" applyAlignment="1" applyProtection="1">
      <alignment vertical="center"/>
    </xf>
    <xf numFmtId="167" fontId="0" fillId="2" borderId="4" xfId="0" applyNumberFormat="1" applyFill="1" applyBorder="1" applyAlignment="1" applyProtection="1">
      <alignment vertical="center"/>
      <protection locked="0"/>
    </xf>
    <xf numFmtId="168" fontId="0" fillId="0" borderId="0" xfId="0" applyNumberFormat="1" applyAlignment="1" applyProtection="1">
      <alignment vertical="center"/>
    </xf>
    <xf numFmtId="169" fontId="0" fillId="2" borderId="4" xfId="1" applyNumberFormat="1" applyFont="1" applyFill="1" applyBorder="1" applyAlignment="1" applyProtection="1">
      <alignment vertical="center"/>
      <protection locked="0"/>
    </xf>
    <xf numFmtId="170" fontId="0" fillId="2" borderId="4" xfId="0" applyNumberFormat="1" applyFill="1" applyBorder="1" applyAlignment="1" applyProtection="1">
      <alignment vertical="center"/>
      <protection locked="0"/>
    </xf>
    <xf numFmtId="171" fontId="0" fillId="2" borderId="4" xfId="0" applyNumberFormat="1" applyFill="1" applyBorder="1" applyAlignment="1" applyProtection="1">
      <alignment vertical="center"/>
      <protection locked="0"/>
    </xf>
    <xf numFmtId="166" fontId="0" fillId="0" borderId="0" xfId="0" applyNumberFormat="1" applyAlignment="1" applyProtection="1">
      <alignment vertical="center"/>
    </xf>
    <xf numFmtId="164" fontId="0" fillId="3" borderId="4" xfId="0" applyNumberFormat="1" applyFill="1" applyBorder="1" applyAlignment="1" applyProtection="1">
      <alignment vertical="center"/>
    </xf>
    <xf numFmtId="172" fontId="0" fillId="3" borderId="4" xfId="0" applyNumberFormat="1" applyFill="1" applyBorder="1" applyAlignment="1" applyProtection="1">
      <alignment horizontal="right" vertical="center"/>
    </xf>
    <xf numFmtId="169" fontId="0" fillId="3" borderId="4" xfId="1" applyNumberFormat="1" applyFont="1" applyFill="1" applyBorder="1" applyAlignment="1" applyProtection="1">
      <alignment horizontal="right" vertical="center"/>
    </xf>
    <xf numFmtId="170" fontId="0" fillId="3" borderId="4" xfId="0" applyNumberFormat="1" applyFill="1" applyBorder="1" applyAlignment="1" applyProtection="1">
      <alignment vertical="center"/>
    </xf>
    <xf numFmtId="171" fontId="0" fillId="3" borderId="4" xfId="0" applyNumberFormat="1" applyFill="1" applyBorder="1" applyAlignment="1" applyProtection="1">
      <alignment horizontal="right" vertical="center"/>
    </xf>
    <xf numFmtId="2" fontId="0" fillId="0" borderId="0" xfId="0" applyNumberFormat="1" applyAlignment="1" applyProtection="1">
      <alignment vertical="center"/>
    </xf>
    <xf numFmtId="0" fontId="0" fillId="2" borderId="1" xfId="0" applyFill="1" applyBorder="1" applyAlignment="1" applyProtection="1">
      <alignment horizontal="left" vertical="center"/>
      <protection locked="0"/>
    </xf>
    <xf numFmtId="0" fontId="0" fillId="2" borderId="2" xfId="0" applyFill="1" applyBorder="1" applyAlignment="1" applyProtection="1">
      <alignment horizontal="left" vertical="center"/>
      <protection locked="0"/>
    </xf>
    <xf numFmtId="0" fontId="5" fillId="0" borderId="0" xfId="0" applyFont="1" applyAlignment="1" applyProtection="1">
      <alignment horizontal="left" vertical="center"/>
    </xf>
    <xf numFmtId="0" fontId="6" fillId="0" borderId="5"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7" xfId="0" applyFont="1" applyBorder="1" applyAlignment="1" applyProtection="1">
      <alignment horizontal="center" vertical="center" wrapText="1"/>
    </xf>
    <xf numFmtId="0" fontId="6" fillId="0" borderId="8"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9" xfId="0" applyFont="1" applyBorder="1" applyAlignment="1" applyProtection="1">
      <alignment horizontal="center" vertical="center" wrapText="1"/>
    </xf>
    <xf numFmtId="0" fontId="6" fillId="0" borderId="10" xfId="0" applyFont="1" applyBorder="1" applyAlignment="1" applyProtection="1">
      <alignment horizontal="center" vertical="center" wrapText="1"/>
    </xf>
    <xf numFmtId="0" fontId="6" fillId="0" borderId="11" xfId="0" applyFont="1" applyBorder="1" applyAlignment="1" applyProtection="1">
      <alignment horizontal="center" vertical="center" wrapText="1"/>
    </xf>
    <xf numFmtId="0" fontId="6" fillId="0" borderId="12" xfId="0" applyFont="1" applyBorder="1" applyAlignment="1" applyProtection="1">
      <alignment horizontal="center" vertical="center" wrapText="1"/>
    </xf>
    <xf numFmtId="0" fontId="10" fillId="0" borderId="0" xfId="0" applyFont="1" applyAlignment="1" applyProtection="1">
      <alignment vertical="center"/>
    </xf>
    <xf numFmtId="164" fontId="10" fillId="0" borderId="0" xfId="0" applyNumberFormat="1" applyFont="1" applyAlignment="1" applyProtection="1">
      <alignment vertical="center"/>
    </xf>
    <xf numFmtId="165" fontId="10" fillId="0" borderId="0" xfId="0" applyNumberFormat="1" applyFont="1" applyAlignment="1" applyProtection="1">
      <alignment vertical="center"/>
    </xf>
    <xf numFmtId="2" fontId="10" fillId="0" borderId="0" xfId="0" applyNumberFormat="1" applyFont="1" applyAlignment="1" applyProtection="1">
      <alignment vertical="center"/>
    </xf>
    <xf numFmtId="166" fontId="10" fillId="0" borderId="0" xfId="0" applyNumberFormat="1" applyFont="1" applyAlignment="1" applyProtection="1">
      <alignment vertical="center"/>
    </xf>
    <xf numFmtId="164" fontId="11" fillId="0" borderId="0" xfId="0" applyNumberFormat="1" applyFont="1" applyAlignment="1" applyProtection="1">
      <alignment vertical="center"/>
    </xf>
    <xf numFmtId="165" fontId="11" fillId="0" borderId="0" xfId="0" applyNumberFormat="1" applyFont="1" applyAlignment="1" applyProtection="1">
      <alignment vertical="center"/>
    </xf>
    <xf numFmtId="0" fontId="11" fillId="0" borderId="0" xfId="0" applyFont="1" applyAlignment="1" applyProtection="1">
      <alignment vertical="center"/>
    </xf>
    <xf numFmtId="168" fontId="10" fillId="0" borderId="0" xfId="0" applyNumberFormat="1" applyFont="1" applyAlignment="1" applyProtection="1">
      <alignment vertical="center"/>
    </xf>
  </cellXfs>
  <cellStyles count="6">
    <cellStyle name="Bad 2" xfId="2"/>
    <cellStyle name="Neutral 2" xfId="3"/>
    <cellStyle name="Normal" xfId="0" builtinId="0"/>
    <cellStyle name="Normal 2" xfId="4"/>
    <cellStyle name="Normal 3" xfId="5"/>
    <cellStyle name="Percent" xfId="1" builtinId="5"/>
  </cellStyles>
  <dxfs count="30">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0-0189-4BC1-B5D1-A0432456BBCB}"/>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1-0189-4BC1-B5D1-A0432456BBCB}"/>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2-0189-4BC1-B5D1-A0432456BBCB}"/>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3-0189-4BC1-B5D1-A0432456BBCB}"/>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4-0189-4BC1-B5D1-A0432456BBCB}"/>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5-0189-4BC1-B5D1-A0432456BBCB}"/>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6-0189-4BC1-B5D1-A0432456BBCB}"/>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7-0189-4BC1-B5D1-A0432456BBCB}"/>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8-0189-4BC1-B5D1-A0432456BBCB}"/>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9-0189-4BC1-B5D1-A0432456BBCB}"/>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A-0189-4BC1-B5D1-A0432456BBCB}"/>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B-0189-4BC1-B5D1-A0432456BBCB}"/>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C-0189-4BC1-B5D1-A0432456BBCB}"/>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D-0189-4BC1-B5D1-A0432456BBCB}"/>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E-0189-4BC1-B5D1-A0432456BBCB}"/>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F-0189-4BC1-B5D1-A0432456BBCB}"/>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0-0189-4BC1-B5D1-A0432456BBCB}"/>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1-0189-4BC1-B5D1-A0432456BBCB}"/>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2-0189-4BC1-B5D1-A0432456BBCB}"/>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3-0189-4BC1-B5D1-A0432456BBCB}"/>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4-0189-4BC1-B5D1-A0432456BBCB}"/>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5-0189-4BC1-B5D1-A0432456BBCB}"/>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6-0189-4BC1-B5D1-A0432456BBCB}"/>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7-0189-4BC1-B5D1-A0432456BBCB}"/>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8-0189-4BC1-B5D1-A0432456BBCB}"/>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9-0189-4BC1-B5D1-A0432456BBCB}"/>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A-0189-4BC1-B5D1-A0432456BBCB}"/>
            </c:ext>
          </c:extLst>
        </c:ser>
        <c:ser>
          <c:idx val="27"/>
          <c:order val="27"/>
          <c:spPr>
            <a:ln w="19050" cap="rnd">
              <a:noFill/>
              <a:round/>
            </a:ln>
            <a:effectLst/>
          </c:spPr>
          <c:marker>
            <c:symbol val="none"/>
          </c:marker>
          <c:xVal>
            <c:numRef>
              <c:f>´ÖÓÎÉÇØÍÐÉ!$N$14:$N$15</c:f>
              <c:numCache>
                <c:formatCode>General</c:formatCode>
                <c:ptCount val="2"/>
                <c:pt idx="0">
                  <c:v>4.7749685025177477</c:v>
                </c:pt>
                <c:pt idx="1">
                  <c:v>0</c:v>
                </c:pt>
              </c:numCache>
            </c:numRef>
          </c:xVal>
          <c:yVal>
            <c:numRef>
              <c:f>´ÖÓÎÉÇØÍÐÉ!$N$14:$N$15</c:f>
              <c:numCache>
                <c:formatCode>General</c:formatCode>
                <c:ptCount val="2"/>
                <c:pt idx="0">
                  <c:v>4.7749685025177477</c:v>
                </c:pt>
                <c:pt idx="1">
                  <c:v>0</c:v>
                </c:pt>
              </c:numCache>
            </c:numRef>
          </c:yVal>
          <c:smooth val="1"/>
          <c:extLst xmlns:c16r2="http://schemas.microsoft.com/office/drawing/2015/06/chart">
            <c:ext xmlns:c16="http://schemas.microsoft.com/office/drawing/2014/chart" uri="{C3380CC4-5D6E-409C-BE32-E72D297353CC}">
              <c16:uniqueId val="{0000001B-0189-4BC1-B5D1-A0432456BBCB}"/>
            </c:ext>
          </c:extLst>
        </c:ser>
        <c:dLbls>
          <c:showLegendKey val="0"/>
          <c:showVal val="0"/>
          <c:showCatName val="0"/>
          <c:showSerName val="0"/>
          <c:showPercent val="0"/>
          <c:showBubbleSize val="0"/>
        </c:dLbls>
        <c:axId val="107580800"/>
        <c:axId val="107607168"/>
      </c:scatterChart>
      <c:valAx>
        <c:axId val="10758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607168"/>
        <c:crosses val="autoZero"/>
        <c:crossBetween val="midCat"/>
      </c:valAx>
      <c:valAx>
        <c:axId val="107607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0800"/>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B$4"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171450</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 xmlns:a16="http://schemas.microsoft.com/office/drawing/2014/main" id="{D26295D8-749E-4273-A1B7-55C94D568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ÉÇÌÅÒÍ×Ñ¶ÅØÍÓ"/>
      <sheetName val="°ÉÅÈ·ÇÖÉÛ"/>
      <sheetName val="¨ÖÍÚÉØÖÅÍÒ"/>
      <sheetName val="¦ÉÅÑ¦ÉÒÈ"/>
      <sheetName val="´ÖÓÎÉÇØÍÐÉ"/>
      <sheetName val="§ÌÅÍÒ¦ÉÐØ"/>
      <sheetName val="«ÉÅÖ§ÐÉÅÖ"/>
      <sheetName val="¶ÅØÍÓ¨Í×Ø"/>
      <sheetName val="´ÒÉÙÑÅØÍÇ×"/>
      <sheetName val="´ÒÉÙ°ÍÒÏÅËÉ"/>
      <sheetName val="º´¨ÅØÅ"/>
      <sheetName val="ºÉÖ×Å´ÐÅÒÉØÅÖÝ"/>
      <sheetName val="Specs"/>
      <sheetName val="AMB Design Spreadsheet v5"/>
    </sheetNames>
    <definedNames>
      <definedName name="Projectile_Metric"/>
    </definedNames>
    <sheetDataSet>
      <sheetData sheetId="0"/>
      <sheetData sheetId="1"/>
      <sheetData sheetId="2"/>
      <sheetData sheetId="3"/>
      <sheetData sheetId="4"/>
      <sheetData sheetId="5">
        <row r="8">
          <cell r="U8">
            <v>0</v>
          </cell>
        </row>
      </sheetData>
      <sheetData sheetId="6"/>
      <sheetData sheetId="7"/>
      <sheetData sheetId="8"/>
      <sheetData sheetId="9"/>
      <sheetData sheetId="10"/>
      <sheetData sheetId="11">
        <row r="2">
          <cell r="D2" t="str">
            <v>1/2" Hex AM 9015 9</v>
          </cell>
          <cell r="E2">
            <v>10</v>
          </cell>
          <cell r="F2">
            <v>10</v>
          </cell>
        </row>
        <row r="3">
          <cell r="D3" t="str">
            <v>1/2" Hex AM 9015 12</v>
          </cell>
          <cell r="E3">
            <v>10</v>
          </cell>
          <cell r="F3">
            <v>7</v>
          </cell>
          <cell r="I3" t="str">
            <v>1/2" Hex</v>
          </cell>
          <cell r="J3">
            <v>39.99</v>
          </cell>
          <cell r="K3">
            <v>31.979999999999997</v>
          </cell>
          <cell r="L3" t="str">
            <v>217-4973,</v>
          </cell>
          <cell r="M3" t="str">
            <v>217-5823,217-2897,</v>
          </cell>
        </row>
        <row r="4">
          <cell r="D4" t="str">
            <v>1/2" Hex AM 9015 15</v>
          </cell>
          <cell r="E4">
            <v>10</v>
          </cell>
          <cell r="F4">
            <v>5</v>
          </cell>
          <cell r="I4" t="str">
            <v>1/2" Round</v>
          </cell>
          <cell r="J4">
            <v>39.99</v>
          </cell>
          <cell r="K4">
            <v>27.979999999999997</v>
          </cell>
          <cell r="L4" t="str">
            <v>217-4975,</v>
          </cell>
          <cell r="M4" t="str">
            <v>217-5823,217-2895,</v>
          </cell>
        </row>
        <row r="5">
          <cell r="D5" t="str">
            <v>1/2" Hex AM 9015 16</v>
          </cell>
          <cell r="E5">
            <v>10</v>
          </cell>
          <cell r="F5">
            <v>5</v>
          </cell>
          <cell r="I5" t="str">
            <v>3/8" Hex</v>
          </cell>
          <cell r="J5">
            <v>39.99</v>
          </cell>
          <cell r="K5">
            <v>17.989999999999998</v>
          </cell>
          <cell r="L5" t="str">
            <v>217-4974,</v>
          </cell>
          <cell r="M5" t="str">
            <v>217-5823,</v>
          </cell>
        </row>
        <row r="6">
          <cell r="D6" t="str">
            <v>1/2" Hex AM 9015 20</v>
          </cell>
          <cell r="E6">
            <v>10</v>
          </cell>
          <cell r="F6">
            <v>4</v>
          </cell>
          <cell r="I6" t="str">
            <v>CIM Motor</v>
          </cell>
          <cell r="J6">
            <v>39.99</v>
          </cell>
          <cell r="K6">
            <v>27.979999999999997</v>
          </cell>
          <cell r="L6" t="str">
            <v>217-4976,</v>
          </cell>
          <cell r="M6" t="str">
            <v>217-5823,217-2893,</v>
          </cell>
        </row>
        <row r="7">
          <cell r="D7" t="str">
            <v>1/2" Hex AM 9015 21</v>
          </cell>
          <cell r="E7">
            <v>10</v>
          </cell>
          <cell r="F7">
            <v>4</v>
          </cell>
          <cell r="I7" t="str">
            <v>Female</v>
          </cell>
          <cell r="J7">
            <v>44.99</v>
          </cell>
          <cell r="K7">
            <v>24.99</v>
          </cell>
          <cell r="L7" t="str">
            <v>217-6473,</v>
          </cell>
          <cell r="M7" t="str">
            <v>217-5995,</v>
          </cell>
        </row>
        <row r="8">
          <cell r="D8" t="str">
            <v>1/2" Hex AM 9015 25</v>
          </cell>
          <cell r="E8">
            <v>7</v>
          </cell>
          <cell r="F8">
            <v>3</v>
          </cell>
        </row>
        <row r="9">
          <cell r="D9" t="str">
            <v>1/2" Hex AM 9015 27</v>
          </cell>
          <cell r="E9">
            <v>7</v>
          </cell>
          <cell r="F9">
            <v>3</v>
          </cell>
        </row>
        <row r="10">
          <cell r="D10" t="str">
            <v>1/2" Hex AM 9015 28</v>
          </cell>
          <cell r="E10">
            <v>7</v>
          </cell>
          <cell r="F10">
            <v>3</v>
          </cell>
        </row>
        <row r="11">
          <cell r="D11" t="str">
            <v>1/2" Hex AM 9015 30</v>
          </cell>
          <cell r="E11">
            <v>7</v>
          </cell>
          <cell r="F11">
            <v>3</v>
          </cell>
          <cell r="I11" t="str">
            <v>AM 9015</v>
          </cell>
          <cell r="J11">
            <v>0</v>
          </cell>
          <cell r="K11">
            <v>12.98</v>
          </cell>
          <cell r="M11" t="str">
            <v>217-3564,217-4649,</v>
          </cell>
        </row>
        <row r="12">
          <cell r="D12" t="str">
            <v>1/2" Hex AM 9015 35</v>
          </cell>
          <cell r="E12">
            <v>5</v>
          </cell>
          <cell r="F12">
            <v>1</v>
          </cell>
          <cell r="I12" t="str">
            <v>NeveRest</v>
          </cell>
          <cell r="J12">
            <v>0</v>
          </cell>
          <cell r="K12">
            <v>0</v>
          </cell>
        </row>
        <row r="13">
          <cell r="D13" t="str">
            <v>1/2" Hex AM 9015 36</v>
          </cell>
          <cell r="E13">
            <v>5</v>
          </cell>
          <cell r="F13">
            <v>1</v>
          </cell>
          <cell r="I13" t="str">
            <v>BB RS-550</v>
          </cell>
          <cell r="J13">
            <v>0</v>
          </cell>
          <cell r="K13">
            <v>0</v>
          </cell>
        </row>
        <row r="14">
          <cell r="D14" t="str">
            <v>1/2" Hex AM 9015 40</v>
          </cell>
          <cell r="E14">
            <v>5</v>
          </cell>
          <cell r="F14">
            <v>1</v>
          </cell>
          <cell r="I14" t="str">
            <v>BB RS-775</v>
          </cell>
          <cell r="J14">
            <v>0</v>
          </cell>
          <cell r="K14">
            <v>12.98</v>
          </cell>
          <cell r="M14" t="str">
            <v>217-3564,217-4649,</v>
          </cell>
        </row>
        <row r="15">
          <cell r="D15" t="str">
            <v>1/2" Hex AM 9015 45</v>
          </cell>
          <cell r="E15">
            <v>5</v>
          </cell>
          <cell r="F15">
            <v>1</v>
          </cell>
          <cell r="I15" t="str">
            <v>BAG</v>
          </cell>
          <cell r="J15">
            <v>0</v>
          </cell>
          <cell r="K15">
            <v>12.98</v>
          </cell>
          <cell r="M15" t="str">
            <v>217-3564,217-4649,</v>
          </cell>
        </row>
        <row r="16">
          <cell r="D16" t="str">
            <v>1/2" Hex AM 9015 49</v>
          </cell>
          <cell r="E16">
            <v>5</v>
          </cell>
          <cell r="F16">
            <v>1</v>
          </cell>
          <cell r="I16" t="str">
            <v>Mini CIM</v>
          </cell>
          <cell r="J16">
            <v>4.99</v>
          </cell>
          <cell r="K16">
            <v>11.98</v>
          </cell>
          <cell r="L16" t="str">
            <v>217-4018,</v>
          </cell>
          <cell r="M16" t="str">
            <v>217-4018,</v>
          </cell>
        </row>
        <row r="17">
          <cell r="D17" t="str">
            <v>1/2" Hex AM 9015 50</v>
          </cell>
          <cell r="E17">
            <v>5</v>
          </cell>
          <cell r="F17">
            <v>1</v>
          </cell>
          <cell r="I17" t="str">
            <v>CIM</v>
          </cell>
          <cell r="J17">
            <v>4.99</v>
          </cell>
          <cell r="K17">
            <v>11.98</v>
          </cell>
          <cell r="L17" t="str">
            <v>217-4018,</v>
          </cell>
          <cell r="M17" t="str">
            <v>217-4018,</v>
          </cell>
        </row>
        <row r="18">
          <cell r="D18" t="str">
            <v>1/2" Hex AM 9015 63</v>
          </cell>
          <cell r="E18">
            <v>5</v>
          </cell>
          <cell r="F18">
            <v>1</v>
          </cell>
          <cell r="I18" t="str">
            <v>775pro</v>
          </cell>
          <cell r="J18">
            <v>0</v>
          </cell>
          <cell r="K18">
            <v>12.98</v>
          </cell>
          <cell r="M18" t="str">
            <v>217-3564,217-4649,</v>
          </cell>
        </row>
        <row r="19">
          <cell r="D19" t="str">
            <v>1/2" Hex AM 9015 70</v>
          </cell>
          <cell r="E19">
            <v>4</v>
          </cell>
          <cell r="F19">
            <v>1</v>
          </cell>
        </row>
        <row r="20">
          <cell r="D20" t="str">
            <v>1/2" Hex AM 9015 81</v>
          </cell>
          <cell r="E20">
            <v>4</v>
          </cell>
          <cell r="F20">
            <v>1</v>
          </cell>
        </row>
        <row r="21">
          <cell r="D21" t="str">
            <v>1/2" Hex AM 9015 90</v>
          </cell>
          <cell r="E21">
            <v>3</v>
          </cell>
          <cell r="F21">
            <v>1</v>
          </cell>
        </row>
        <row r="22">
          <cell r="D22" t="str">
            <v>1/2" Hex AM 9015 100</v>
          </cell>
          <cell r="E22">
            <v>3</v>
          </cell>
          <cell r="F22">
            <v>0</v>
          </cell>
          <cell r="I22" t="str">
            <v>None</v>
          </cell>
          <cell r="J22">
            <v>0</v>
          </cell>
          <cell r="K22">
            <v>0</v>
          </cell>
        </row>
        <row r="23">
          <cell r="D23" t="str">
            <v>1/2" Hex NeveRest 9</v>
          </cell>
          <cell r="E23">
            <v>10</v>
          </cell>
          <cell r="F23">
            <v>10</v>
          </cell>
          <cell r="I23" t="str">
            <v>3 : 1</v>
          </cell>
          <cell r="J23">
            <v>24.98</v>
          </cell>
          <cell r="K23">
            <v>16.98</v>
          </cell>
          <cell r="L23" t="str">
            <v>217-2816,217-2817,</v>
          </cell>
          <cell r="M23" t="str">
            <v>217-5832,217-2817,</v>
          </cell>
        </row>
        <row r="24">
          <cell r="D24" t="str">
            <v>1/2" Hex NeveRest 12</v>
          </cell>
          <cell r="E24">
            <v>10</v>
          </cell>
          <cell r="F24">
            <v>10</v>
          </cell>
          <cell r="I24" t="str">
            <v>4 : 1</v>
          </cell>
          <cell r="J24">
            <v>24.98</v>
          </cell>
          <cell r="K24">
            <v>16.98</v>
          </cell>
          <cell r="L24" t="str">
            <v>217-2816,217-2818,</v>
          </cell>
          <cell r="M24" t="str">
            <v>217-5832,217-2818,</v>
          </cell>
        </row>
        <row r="25">
          <cell r="D25" t="str">
            <v>1/2" Hex NeveRest 15</v>
          </cell>
          <cell r="E25">
            <v>10</v>
          </cell>
          <cell r="F25">
            <v>10</v>
          </cell>
          <cell r="I25" t="str">
            <v>5 : 1</v>
          </cell>
          <cell r="J25">
            <v>24.98</v>
          </cell>
          <cell r="K25">
            <v>16.98</v>
          </cell>
          <cell r="L25" t="str">
            <v>217-2816,217-2819,</v>
          </cell>
          <cell r="M25" t="str">
            <v>217-5832,217-2819,</v>
          </cell>
        </row>
        <row r="26">
          <cell r="D26" t="str">
            <v>1/2" Hex NeveRest 16</v>
          </cell>
          <cell r="E26">
            <v>10</v>
          </cell>
          <cell r="F26">
            <v>10</v>
          </cell>
          <cell r="I26" t="str">
            <v>7 : 1</v>
          </cell>
          <cell r="J26">
            <v>24.98</v>
          </cell>
          <cell r="K26">
            <v>16.98</v>
          </cell>
          <cell r="L26" t="str">
            <v>217-2816,217-3102,</v>
          </cell>
          <cell r="M26" t="str">
            <v>217-5832,217-3102,</v>
          </cell>
        </row>
        <row r="27">
          <cell r="D27" t="str">
            <v>1/2" Hex NeveRest 20</v>
          </cell>
          <cell r="E27">
            <v>10</v>
          </cell>
          <cell r="F27">
            <v>10</v>
          </cell>
          <cell r="I27" t="str">
            <v>9 : 1</v>
          </cell>
          <cell r="J27">
            <v>24.98</v>
          </cell>
          <cell r="K27">
            <v>16.98</v>
          </cell>
          <cell r="L27" t="str">
            <v>217-2816,217-3106,</v>
          </cell>
          <cell r="M27" t="str">
            <v>217-5832,217-3106,</v>
          </cell>
        </row>
        <row r="28">
          <cell r="D28" t="str">
            <v>1/2" Hex NeveRest 21</v>
          </cell>
          <cell r="E28">
            <v>9</v>
          </cell>
          <cell r="F28">
            <v>9</v>
          </cell>
          <cell r="I28" t="str">
            <v>10 : 1</v>
          </cell>
          <cell r="J28">
            <v>24.98</v>
          </cell>
          <cell r="K28">
            <v>16.98</v>
          </cell>
          <cell r="L28" t="str">
            <v>217-2816,217-2820,</v>
          </cell>
          <cell r="M28" t="str">
            <v>217-5832,217-2820,</v>
          </cell>
        </row>
        <row r="29">
          <cell r="D29" t="str">
            <v>1/2" Hex NeveRest 25</v>
          </cell>
          <cell r="E29">
            <v>7</v>
          </cell>
          <cell r="F29">
            <v>7</v>
          </cell>
        </row>
        <row r="30">
          <cell r="D30" t="str">
            <v>1/2" Hex NeveRest 27</v>
          </cell>
          <cell r="E30">
            <v>7</v>
          </cell>
          <cell r="F30">
            <v>7</v>
          </cell>
        </row>
        <row r="31">
          <cell r="D31" t="str">
            <v>1/2" Hex NeveRest 28</v>
          </cell>
          <cell r="E31">
            <v>7</v>
          </cell>
          <cell r="F31">
            <v>7</v>
          </cell>
        </row>
        <row r="32">
          <cell r="D32" t="str">
            <v>1/2" Hex NeveRest 30</v>
          </cell>
          <cell r="E32">
            <v>5</v>
          </cell>
          <cell r="F32">
            <v>5</v>
          </cell>
          <cell r="I32" t="str">
            <v>None</v>
          </cell>
          <cell r="J32">
            <v>0</v>
          </cell>
        </row>
        <row r="33">
          <cell r="D33" t="str">
            <v>1/2" Hex NeveRest 35</v>
          </cell>
          <cell r="E33">
            <v>5</v>
          </cell>
          <cell r="F33">
            <v>5</v>
          </cell>
          <cell r="I33" t="str">
            <v>DM Nyl 1:1</v>
          </cell>
          <cell r="J33">
            <v>41.97</v>
          </cell>
          <cell r="L33" t="str">
            <v>217-6342,217-2701,217-6432,</v>
          </cell>
          <cell r="M33" t="str">
            <v>217-6342,217-2701,217-6432,</v>
          </cell>
          <cell r="N33" t="str">
            <v>217-6342,217-2701,217-6432,</v>
          </cell>
        </row>
        <row r="34">
          <cell r="D34" t="str">
            <v>1/2" Hex NeveRest 36</v>
          </cell>
          <cell r="E34">
            <v>5</v>
          </cell>
          <cell r="F34">
            <v>5</v>
          </cell>
          <cell r="I34" t="str">
            <v>DM Nyl 3.75:1</v>
          </cell>
          <cell r="J34">
            <v>42.97</v>
          </cell>
          <cell r="L34" t="str">
            <v>217-6342,217-3210,217-6367,</v>
          </cell>
          <cell r="M34" t="str">
            <v>217-6342,217-3210,217-6362,</v>
          </cell>
          <cell r="N34" t="str">
            <v>217-6342,217-3210,217-6368,</v>
          </cell>
        </row>
        <row r="35">
          <cell r="D35" t="str">
            <v>1/2" Hex NeveRest 40</v>
          </cell>
          <cell r="E35">
            <v>5</v>
          </cell>
          <cell r="F35">
            <v>5</v>
          </cell>
          <cell r="I35" t="str">
            <v>DM Nyl 5.33:1</v>
          </cell>
          <cell r="J35">
            <v>42.97</v>
          </cell>
          <cell r="L35" t="str">
            <v>217-6342,217-5455,217-6333,</v>
          </cell>
          <cell r="M35" t="str">
            <v>217-6342,217-5455,217-6285,</v>
          </cell>
          <cell r="N35" t="str">
            <v>217-6342,217-5455,217-6339,</v>
          </cell>
        </row>
        <row r="36">
          <cell r="D36" t="str">
            <v>1/2" Hex NeveRest 45</v>
          </cell>
          <cell r="E36">
            <v>5</v>
          </cell>
          <cell r="F36">
            <v>4</v>
          </cell>
          <cell r="I36" t="str">
            <v>DM Al 1:1</v>
          </cell>
          <cell r="J36">
            <v>56.97</v>
          </cell>
          <cell r="L36" t="str">
            <v>217-6417,217-2701,217-6432,</v>
          </cell>
          <cell r="M36" t="str">
            <v>217-6417,217-2701,217-6432,</v>
          </cell>
          <cell r="N36" t="str">
            <v>217-6417,217-2701,217-6432,</v>
          </cell>
        </row>
        <row r="37">
          <cell r="D37" t="str">
            <v>1/2" Hex NeveRest 49</v>
          </cell>
          <cell r="E37">
            <v>5</v>
          </cell>
          <cell r="F37">
            <v>4</v>
          </cell>
          <cell r="I37" t="str">
            <v>DM Al 3.75:1</v>
          </cell>
          <cell r="J37">
            <v>57.97</v>
          </cell>
          <cell r="L37" t="str">
            <v>217-6417,217-3210,217-6367,</v>
          </cell>
          <cell r="M37" t="str">
            <v>217-6417,217-3210,217-6362,</v>
          </cell>
          <cell r="N37" t="str">
            <v>217-6417,217-3210,217-6368,</v>
          </cell>
        </row>
        <row r="38">
          <cell r="D38" t="str">
            <v>1/2" Hex NeveRest 50</v>
          </cell>
          <cell r="E38">
            <v>5</v>
          </cell>
          <cell r="F38">
            <v>4</v>
          </cell>
          <cell r="I38" t="str">
            <v>DM Al 5.33:1</v>
          </cell>
          <cell r="J38">
            <v>57.97</v>
          </cell>
          <cell r="L38" t="str">
            <v>217-6417,217-5455,217-6333,</v>
          </cell>
          <cell r="M38" t="str">
            <v>217-6417,217-5455,217-6285,</v>
          </cell>
          <cell r="N38" t="str">
            <v>217-6417,217-5455,217-6339,</v>
          </cell>
        </row>
        <row r="39">
          <cell r="D39" t="str">
            <v>1/2" Hex NeveRest 63</v>
          </cell>
          <cell r="E39">
            <v>4</v>
          </cell>
          <cell r="F39">
            <v>3</v>
          </cell>
          <cell r="I39" t="str">
            <v>Dual Motor</v>
          </cell>
          <cell r="J39">
            <v>14.98</v>
          </cell>
          <cell r="L39" t="str">
            <v>217-3141,</v>
          </cell>
        </row>
        <row r="40">
          <cell r="D40" t="str">
            <v>1/2" Hex NeveRest 70</v>
          </cell>
          <cell r="E40">
            <v>4</v>
          </cell>
          <cell r="F40">
            <v>1</v>
          </cell>
        </row>
        <row r="41">
          <cell r="D41" t="str">
            <v>1/2" Hex NeveRest 81</v>
          </cell>
          <cell r="E41">
            <v>3</v>
          </cell>
          <cell r="F41">
            <v>1</v>
          </cell>
        </row>
        <row r="42">
          <cell r="D42" t="str">
            <v>1/2" Hex NeveRest 90</v>
          </cell>
          <cell r="E42">
            <v>3</v>
          </cell>
          <cell r="F42">
            <v>1</v>
          </cell>
        </row>
        <row r="43">
          <cell r="D43" t="str">
            <v>1/2" Hex NeveRest 100</v>
          </cell>
          <cell r="E43">
            <v>3</v>
          </cell>
          <cell r="F43">
            <v>1</v>
          </cell>
          <cell r="I43" t="str">
            <v>Yes</v>
          </cell>
          <cell r="J43">
            <v>67.95</v>
          </cell>
          <cell r="L43" t="str">
            <v>217-6011,217-6043,217-5882,217-5875,217-5870,</v>
          </cell>
          <cell r="M43" t="str">
            <v>217-6011,217-6043,217-5882,217-5875,217-5871,</v>
          </cell>
          <cell r="N43" t="str">
            <v>217-6011,217-6043,217-5882,217-5875,217-5872,</v>
          </cell>
        </row>
        <row r="44">
          <cell r="D44" t="str">
            <v>1/2" Hex BB RS-550 9</v>
          </cell>
          <cell r="E44">
            <v>10</v>
          </cell>
          <cell r="F44">
            <v>10</v>
          </cell>
          <cell r="I44" t="str">
            <v>No</v>
          </cell>
          <cell r="J44">
            <v>0</v>
          </cell>
        </row>
        <row r="45">
          <cell r="D45" t="str">
            <v>1/2" Hex BB RS-550 12</v>
          </cell>
          <cell r="E45">
            <v>10</v>
          </cell>
          <cell r="F45">
            <v>7</v>
          </cell>
        </row>
        <row r="46">
          <cell r="D46" t="str">
            <v>1/2" Hex BB RS-550 15</v>
          </cell>
          <cell r="E46">
            <v>10</v>
          </cell>
          <cell r="F46">
            <v>5</v>
          </cell>
        </row>
        <row r="47">
          <cell r="D47" t="str">
            <v>1/2" Hex BB RS-550 16</v>
          </cell>
          <cell r="E47">
            <v>10</v>
          </cell>
          <cell r="F47">
            <v>5</v>
          </cell>
        </row>
        <row r="48">
          <cell r="D48" t="str">
            <v>1/2" Hex BB RS-550 20</v>
          </cell>
          <cell r="E48">
            <v>10</v>
          </cell>
          <cell r="F48">
            <v>4</v>
          </cell>
          <cell r="I48" t="str">
            <v>Yes</v>
          </cell>
          <cell r="J48">
            <v>84.99</v>
          </cell>
          <cell r="L48" t="str">
            <v>217-6293,</v>
          </cell>
        </row>
        <row r="49">
          <cell r="D49" t="str">
            <v>1/2" Hex BB RS-550 21</v>
          </cell>
          <cell r="E49">
            <v>9</v>
          </cell>
          <cell r="F49">
            <v>4</v>
          </cell>
          <cell r="I49" t="str">
            <v>No</v>
          </cell>
          <cell r="J49">
            <v>0</v>
          </cell>
        </row>
        <row r="50">
          <cell r="D50" t="str">
            <v>1/2" Hex BB RS-550 25</v>
          </cell>
          <cell r="E50">
            <v>7</v>
          </cell>
          <cell r="F50">
            <v>3</v>
          </cell>
        </row>
        <row r="51">
          <cell r="D51" t="str">
            <v>1/2" Hex BB RS-550 27</v>
          </cell>
          <cell r="E51">
            <v>7</v>
          </cell>
          <cell r="F51">
            <v>3</v>
          </cell>
        </row>
        <row r="52">
          <cell r="D52" t="str">
            <v>1/2" Hex BB RS-550 28</v>
          </cell>
          <cell r="E52">
            <v>7</v>
          </cell>
          <cell r="F52">
            <v>3</v>
          </cell>
        </row>
        <row r="53">
          <cell r="D53" t="str">
            <v>1/2" Hex BB RS-550 30</v>
          </cell>
          <cell r="E53">
            <v>5</v>
          </cell>
          <cell r="F53">
            <v>3</v>
          </cell>
          <cell r="I53" t="str">
            <v>Yes</v>
          </cell>
          <cell r="J53">
            <v>14.99</v>
          </cell>
          <cell r="L53" t="str">
            <v>217-6048,</v>
          </cell>
        </row>
        <row r="54">
          <cell r="D54" t="str">
            <v>1/2" Hex BB RS-550 35</v>
          </cell>
          <cell r="E54">
            <v>5</v>
          </cell>
          <cell r="F54">
            <v>1</v>
          </cell>
          <cell r="I54" t="str">
            <v>No</v>
          </cell>
          <cell r="J54">
            <v>0</v>
          </cell>
        </row>
        <row r="55">
          <cell r="D55" t="str">
            <v>1/2" Hex BB RS-550 36</v>
          </cell>
          <cell r="E55">
            <v>5</v>
          </cell>
          <cell r="F55">
            <v>1</v>
          </cell>
        </row>
        <row r="56">
          <cell r="D56" t="str">
            <v>1/2" Hex BB RS-550 40</v>
          </cell>
          <cell r="E56">
            <v>5</v>
          </cell>
          <cell r="F56">
            <v>5</v>
          </cell>
        </row>
        <row r="57">
          <cell r="D57" t="str">
            <v>1/2" Hex BB RS-550 45</v>
          </cell>
          <cell r="E57">
            <v>5</v>
          </cell>
          <cell r="F57">
            <v>4</v>
          </cell>
          <cell r="I57" t="str">
            <v>Yes</v>
          </cell>
          <cell r="J57">
            <v>49.99</v>
          </cell>
          <cell r="L57" t="str">
            <v>217-5046,</v>
          </cell>
        </row>
        <row r="58">
          <cell r="D58" t="str">
            <v>1/2" Hex BB RS-550 49</v>
          </cell>
          <cell r="E58">
            <v>5</v>
          </cell>
          <cell r="F58">
            <v>4</v>
          </cell>
          <cell r="I58" t="str">
            <v>No</v>
          </cell>
          <cell r="J58">
            <v>0</v>
          </cell>
        </row>
        <row r="59">
          <cell r="D59" t="str">
            <v>1/2" Hex BB RS-550 50</v>
          </cell>
          <cell r="E59">
            <v>5</v>
          </cell>
          <cell r="F59">
            <v>1</v>
          </cell>
        </row>
        <row r="60">
          <cell r="D60" t="str">
            <v>1/2" Hex BB RS-550 63</v>
          </cell>
          <cell r="E60">
            <v>4</v>
          </cell>
          <cell r="F60">
            <v>1</v>
          </cell>
        </row>
        <row r="61">
          <cell r="D61" t="str">
            <v>1/2" Hex BB RS-550 70</v>
          </cell>
          <cell r="E61">
            <v>4</v>
          </cell>
          <cell r="F61">
            <v>1</v>
          </cell>
        </row>
        <row r="62">
          <cell r="D62" t="str">
            <v>1/2" Hex BB RS-550 81</v>
          </cell>
          <cell r="E62">
            <v>3</v>
          </cell>
          <cell r="F62">
            <v>1</v>
          </cell>
        </row>
        <row r="63">
          <cell r="D63" t="str">
            <v>1/2" Hex BB RS-550 90</v>
          </cell>
          <cell r="E63">
            <v>3</v>
          </cell>
          <cell r="F63">
            <v>1</v>
          </cell>
        </row>
        <row r="64">
          <cell r="D64" t="str">
            <v>1/2" Hex BB RS-550 100</v>
          </cell>
          <cell r="E64">
            <v>3</v>
          </cell>
          <cell r="F64">
            <v>0</v>
          </cell>
        </row>
        <row r="65">
          <cell r="D65" t="str">
            <v>1/2" Hex BB RS-775 9</v>
          </cell>
          <cell r="E65">
            <v>10</v>
          </cell>
          <cell r="F65">
            <v>10</v>
          </cell>
        </row>
        <row r="66">
          <cell r="D66" t="str">
            <v>1/2" Hex BB RS-775 12</v>
          </cell>
          <cell r="E66">
            <v>10</v>
          </cell>
          <cell r="F66">
            <v>10</v>
          </cell>
        </row>
        <row r="67">
          <cell r="D67" t="str">
            <v>1/2" Hex BB RS-775 15</v>
          </cell>
          <cell r="E67">
            <v>7</v>
          </cell>
          <cell r="F67">
            <v>7</v>
          </cell>
        </row>
        <row r="68">
          <cell r="D68" t="str">
            <v>1/2" Hex BB RS-775 16</v>
          </cell>
          <cell r="E68">
            <v>7</v>
          </cell>
          <cell r="F68">
            <v>7</v>
          </cell>
        </row>
        <row r="69">
          <cell r="D69" t="str">
            <v>1/2" Hex BB RS-775 20</v>
          </cell>
          <cell r="E69">
            <v>5</v>
          </cell>
          <cell r="F69">
            <v>5</v>
          </cell>
        </row>
        <row r="70">
          <cell r="D70" t="str">
            <v>1/2" Hex BB RS-775 21</v>
          </cell>
          <cell r="E70">
            <v>5</v>
          </cell>
          <cell r="F70">
            <v>5</v>
          </cell>
        </row>
        <row r="71">
          <cell r="D71" t="str">
            <v>1/2" Hex BB RS-775 25</v>
          </cell>
          <cell r="E71">
            <v>5</v>
          </cell>
          <cell r="F71">
            <v>5</v>
          </cell>
        </row>
        <row r="72">
          <cell r="D72" t="str">
            <v>1/2" Hex BB RS-775 27</v>
          </cell>
          <cell r="E72">
            <v>5</v>
          </cell>
          <cell r="F72">
            <v>4</v>
          </cell>
        </row>
        <row r="73">
          <cell r="D73" t="str">
            <v>1/2" Hex BB RS-775 28</v>
          </cell>
          <cell r="E73">
            <v>5</v>
          </cell>
          <cell r="F73">
            <v>4</v>
          </cell>
        </row>
        <row r="74">
          <cell r="D74" t="str">
            <v>1/2" Hex BB RS-775 30</v>
          </cell>
          <cell r="E74">
            <v>5</v>
          </cell>
          <cell r="F74">
            <v>4</v>
          </cell>
        </row>
        <row r="75">
          <cell r="D75" t="str">
            <v>1/2" Hex BB RS-775 35</v>
          </cell>
          <cell r="E75">
            <v>5</v>
          </cell>
          <cell r="F75">
            <v>3</v>
          </cell>
        </row>
        <row r="76">
          <cell r="D76" t="str">
            <v>1/2" Hex BB RS-775 36</v>
          </cell>
          <cell r="E76">
            <v>5</v>
          </cell>
          <cell r="F76">
            <v>3</v>
          </cell>
        </row>
        <row r="77">
          <cell r="D77" t="str">
            <v>1/2" Hex BB RS-775 40</v>
          </cell>
          <cell r="E77">
            <v>4</v>
          </cell>
          <cell r="F77">
            <v>3</v>
          </cell>
        </row>
        <row r="78">
          <cell r="D78" t="str">
            <v>1/2" Hex BB RS-775 45</v>
          </cell>
          <cell r="E78">
            <v>4</v>
          </cell>
          <cell r="F78">
            <v>1</v>
          </cell>
        </row>
        <row r="79">
          <cell r="D79" t="str">
            <v>1/2" Hex BB RS-775 49</v>
          </cell>
          <cell r="E79">
            <v>4</v>
          </cell>
          <cell r="F79">
            <v>1</v>
          </cell>
        </row>
        <row r="80">
          <cell r="D80" t="str">
            <v>1/2" Hex BB RS-775 50</v>
          </cell>
          <cell r="E80">
            <v>3</v>
          </cell>
          <cell r="F80">
            <v>1</v>
          </cell>
        </row>
        <row r="81">
          <cell r="D81" t="str">
            <v>1/2" Hex BB RS-775 63</v>
          </cell>
          <cell r="E81">
            <v>3</v>
          </cell>
          <cell r="F81">
            <v>1</v>
          </cell>
        </row>
        <row r="82">
          <cell r="D82" t="str">
            <v>1/2" Hex BB RS-775 70</v>
          </cell>
          <cell r="E82">
            <v>1</v>
          </cell>
          <cell r="F82">
            <v>1</v>
          </cell>
        </row>
        <row r="83">
          <cell r="D83" t="str">
            <v>1/2" Hex BB RS-775 81</v>
          </cell>
          <cell r="E83">
            <v>1</v>
          </cell>
          <cell r="F83">
            <v>1</v>
          </cell>
        </row>
        <row r="84">
          <cell r="D84" t="str">
            <v>1/2" Hex BB RS-775 90</v>
          </cell>
          <cell r="E84">
            <v>1</v>
          </cell>
          <cell r="F84">
            <v>1</v>
          </cell>
        </row>
        <row r="85">
          <cell r="D85" t="str">
            <v>1/2" Hex BB RS-775 100</v>
          </cell>
          <cell r="E85">
            <v>1</v>
          </cell>
          <cell r="F85">
            <v>1</v>
          </cell>
        </row>
        <row r="86">
          <cell r="D86" t="str">
            <v>1/2" Hex BAG 9</v>
          </cell>
          <cell r="E86">
            <v>10</v>
          </cell>
          <cell r="F86">
            <v>9</v>
          </cell>
        </row>
        <row r="87">
          <cell r="D87" t="str">
            <v>1/2" Hex BAG 12</v>
          </cell>
          <cell r="E87">
            <v>10</v>
          </cell>
          <cell r="F87">
            <v>5</v>
          </cell>
        </row>
        <row r="88">
          <cell r="D88" t="str">
            <v>1/2" Hex BAG 15</v>
          </cell>
          <cell r="E88">
            <v>10</v>
          </cell>
          <cell r="F88">
            <v>5</v>
          </cell>
        </row>
        <row r="89">
          <cell r="D89" t="str">
            <v>1/2" Hex BAG 16</v>
          </cell>
          <cell r="E89">
            <v>10</v>
          </cell>
          <cell r="F89">
            <v>5</v>
          </cell>
        </row>
        <row r="90">
          <cell r="D90" t="str">
            <v>1/2" Hex BAG 20</v>
          </cell>
          <cell r="E90">
            <v>10</v>
          </cell>
          <cell r="F90">
            <v>4</v>
          </cell>
        </row>
        <row r="91">
          <cell r="D91" t="str">
            <v>1/2" Hex BAG 21</v>
          </cell>
          <cell r="E91">
            <v>10</v>
          </cell>
          <cell r="F91">
            <v>3</v>
          </cell>
        </row>
        <row r="92">
          <cell r="D92" t="str">
            <v>1/2" Hex BAG 25</v>
          </cell>
          <cell r="E92">
            <v>7</v>
          </cell>
          <cell r="F92">
            <v>3</v>
          </cell>
        </row>
        <row r="93">
          <cell r="D93" t="str">
            <v>1/2" Hex BAG 27</v>
          </cell>
          <cell r="E93">
            <v>7</v>
          </cell>
          <cell r="F93">
            <v>3</v>
          </cell>
        </row>
        <row r="94">
          <cell r="D94" t="str">
            <v>1/2" Hex BAG 28</v>
          </cell>
          <cell r="E94">
            <v>7</v>
          </cell>
          <cell r="F94">
            <v>1</v>
          </cell>
        </row>
        <row r="95">
          <cell r="D95" t="str">
            <v>1/2" Hex BAG 30</v>
          </cell>
          <cell r="E95">
            <v>7</v>
          </cell>
          <cell r="F95">
            <v>1</v>
          </cell>
        </row>
        <row r="96">
          <cell r="D96" t="str">
            <v>1/2" Hex BAG 35</v>
          </cell>
          <cell r="E96">
            <v>5</v>
          </cell>
          <cell r="F96">
            <v>1</v>
          </cell>
        </row>
        <row r="97">
          <cell r="D97" t="str">
            <v>1/2" Hex BAG 36</v>
          </cell>
          <cell r="E97">
            <v>5</v>
          </cell>
          <cell r="F97">
            <v>1</v>
          </cell>
        </row>
        <row r="98">
          <cell r="D98" t="str">
            <v>1/2" Hex BAG 40</v>
          </cell>
          <cell r="E98">
            <v>5</v>
          </cell>
          <cell r="F98">
            <v>1</v>
          </cell>
        </row>
        <row r="99">
          <cell r="D99" t="str">
            <v>1/2" Hex BAG 45</v>
          </cell>
          <cell r="E99">
            <v>5</v>
          </cell>
          <cell r="F99">
            <v>1</v>
          </cell>
        </row>
        <row r="100">
          <cell r="D100" t="str">
            <v>1/2" Hex BAG 49</v>
          </cell>
          <cell r="E100">
            <v>5</v>
          </cell>
          <cell r="F100">
            <v>1</v>
          </cell>
        </row>
        <row r="101">
          <cell r="D101" t="str">
            <v>1/2" Hex BAG 50</v>
          </cell>
          <cell r="E101">
            <v>5</v>
          </cell>
          <cell r="F101">
            <v>1</v>
          </cell>
        </row>
        <row r="102">
          <cell r="D102" t="str">
            <v>1/2" Hex BAG 63</v>
          </cell>
          <cell r="E102">
            <v>5</v>
          </cell>
          <cell r="F102">
            <v>1</v>
          </cell>
        </row>
        <row r="103">
          <cell r="D103" t="str">
            <v>1/2" Hex BAG 70</v>
          </cell>
          <cell r="E103">
            <v>4</v>
          </cell>
          <cell r="F103">
            <v>1</v>
          </cell>
        </row>
        <row r="104">
          <cell r="D104" t="str">
            <v>1/2" Hex BAG 81</v>
          </cell>
          <cell r="E104">
            <v>4</v>
          </cell>
          <cell r="F104">
            <v>1</v>
          </cell>
        </row>
        <row r="105">
          <cell r="D105" t="str">
            <v>1/2" Hex BAG 90</v>
          </cell>
          <cell r="E105">
            <v>3</v>
          </cell>
          <cell r="F105">
            <v>0</v>
          </cell>
        </row>
        <row r="106">
          <cell r="D106" t="str">
            <v>1/2" Hex BAG 100</v>
          </cell>
          <cell r="E106">
            <v>3</v>
          </cell>
          <cell r="F106">
            <v>0</v>
          </cell>
        </row>
        <row r="107">
          <cell r="D107" t="str">
            <v>1/2" Hex Mini CIM 9</v>
          </cell>
          <cell r="E107">
            <v>7</v>
          </cell>
          <cell r="F107">
            <v>0</v>
          </cell>
        </row>
        <row r="108">
          <cell r="D108" t="str">
            <v>1/2" Hex Mini CIM 12</v>
          </cell>
          <cell r="E108">
            <v>5</v>
          </cell>
          <cell r="F108">
            <v>0</v>
          </cell>
        </row>
        <row r="109">
          <cell r="D109" t="str">
            <v>1/2" Hex Mini CIM 15</v>
          </cell>
          <cell r="E109">
            <v>5</v>
          </cell>
          <cell r="F109">
            <v>0</v>
          </cell>
        </row>
        <row r="110">
          <cell r="D110" t="str">
            <v>1/2" Hex Mini CIM 16</v>
          </cell>
          <cell r="E110">
            <v>5</v>
          </cell>
          <cell r="F110">
            <v>0</v>
          </cell>
        </row>
        <row r="111">
          <cell r="D111" t="str">
            <v>1/2" Hex Mini CIM 20</v>
          </cell>
          <cell r="E111">
            <v>5</v>
          </cell>
          <cell r="F111">
            <v>0</v>
          </cell>
        </row>
        <row r="112">
          <cell r="D112" t="str">
            <v>1/2" Hex Mini CIM 21</v>
          </cell>
          <cell r="E112">
            <v>5</v>
          </cell>
          <cell r="F112">
            <v>0</v>
          </cell>
        </row>
        <row r="113">
          <cell r="D113" t="str">
            <v>1/2" Hex Mini CIM 25</v>
          </cell>
          <cell r="E113">
            <v>4</v>
          </cell>
          <cell r="F113">
            <v>0</v>
          </cell>
        </row>
        <row r="114">
          <cell r="D114" t="str">
            <v>1/2" Hex Mini CIM 27</v>
          </cell>
          <cell r="E114">
            <v>4</v>
          </cell>
          <cell r="F114">
            <v>0</v>
          </cell>
        </row>
        <row r="115">
          <cell r="D115" t="str">
            <v>1/2" Hex Mini CIM 28</v>
          </cell>
          <cell r="E115">
            <v>3</v>
          </cell>
          <cell r="F115">
            <v>0</v>
          </cell>
        </row>
        <row r="116">
          <cell r="D116" t="str">
            <v>1/2" Hex Mini CIM 30</v>
          </cell>
          <cell r="E116">
            <v>3</v>
          </cell>
          <cell r="F116">
            <v>0</v>
          </cell>
        </row>
        <row r="117">
          <cell r="D117" t="str">
            <v>1/2" Hex Mini CIM 35</v>
          </cell>
          <cell r="E117">
            <v>3</v>
          </cell>
          <cell r="F117">
            <v>0</v>
          </cell>
        </row>
        <row r="118">
          <cell r="D118" t="str">
            <v>1/2" Hex Mini CIM 36</v>
          </cell>
          <cell r="E118">
            <v>1</v>
          </cell>
          <cell r="F118">
            <v>0</v>
          </cell>
        </row>
        <row r="119">
          <cell r="D119" t="str">
            <v>1/2" Hex Mini CIM 40</v>
          </cell>
          <cell r="E119">
            <v>1</v>
          </cell>
          <cell r="F119">
            <v>0</v>
          </cell>
        </row>
        <row r="120">
          <cell r="D120" t="str">
            <v>1/2" Hex Mini CIM 45</v>
          </cell>
          <cell r="E120">
            <v>1</v>
          </cell>
          <cell r="F120">
            <v>0</v>
          </cell>
        </row>
        <row r="121">
          <cell r="D121" t="str">
            <v>1/2" Hex Mini CIM 49</v>
          </cell>
          <cell r="E121">
            <v>1</v>
          </cell>
          <cell r="F121">
            <v>0</v>
          </cell>
        </row>
        <row r="122">
          <cell r="D122" t="str">
            <v>1/2" Hex Mini CIM 50</v>
          </cell>
          <cell r="E122">
            <v>1</v>
          </cell>
          <cell r="F122">
            <v>0</v>
          </cell>
        </row>
        <row r="123">
          <cell r="D123" t="str">
            <v>1/2" Hex Mini CIM 63</v>
          </cell>
          <cell r="E123">
            <v>1</v>
          </cell>
          <cell r="F123">
            <v>0</v>
          </cell>
        </row>
        <row r="124">
          <cell r="D124" t="str">
            <v>1/2" Hex Mini CIM 70</v>
          </cell>
          <cell r="E124">
            <v>0</v>
          </cell>
          <cell r="F124">
            <v>0</v>
          </cell>
        </row>
        <row r="125">
          <cell r="D125" t="str">
            <v>1/2" Hex Mini CIM 81</v>
          </cell>
          <cell r="E125">
            <v>0</v>
          </cell>
          <cell r="F125">
            <v>0</v>
          </cell>
        </row>
        <row r="126">
          <cell r="D126" t="str">
            <v>1/2" Hex Mini CIM 90</v>
          </cell>
          <cell r="E126">
            <v>0</v>
          </cell>
          <cell r="F126">
            <v>0</v>
          </cell>
        </row>
        <row r="127">
          <cell r="D127" t="str">
            <v>1/2" Hex Mini CIM 100</v>
          </cell>
          <cell r="E127">
            <v>0</v>
          </cell>
          <cell r="F127">
            <v>0</v>
          </cell>
        </row>
        <row r="128">
          <cell r="D128" t="str">
            <v>1/2" Hex CIM 9</v>
          </cell>
          <cell r="E128">
            <v>5</v>
          </cell>
          <cell r="F128">
            <v>0</v>
          </cell>
        </row>
        <row r="129">
          <cell r="D129" t="str">
            <v>1/2" Hex CIM 12</v>
          </cell>
          <cell r="E129">
            <v>5</v>
          </cell>
          <cell r="F129">
            <v>0</v>
          </cell>
        </row>
        <row r="130">
          <cell r="D130" t="str">
            <v>1/2" Hex CIM 15</v>
          </cell>
          <cell r="E130">
            <v>4</v>
          </cell>
          <cell r="F130">
            <v>0</v>
          </cell>
        </row>
        <row r="131">
          <cell r="D131" t="str">
            <v>1/2" Hex CIM 16</v>
          </cell>
          <cell r="E131">
            <v>4</v>
          </cell>
          <cell r="F131">
            <v>0</v>
          </cell>
        </row>
        <row r="132">
          <cell r="D132" t="str">
            <v>1/2" Hex CIM 20</v>
          </cell>
          <cell r="E132">
            <v>3</v>
          </cell>
          <cell r="F132">
            <v>0</v>
          </cell>
        </row>
        <row r="133">
          <cell r="D133" t="str">
            <v>1/2" Hex CIM 21</v>
          </cell>
          <cell r="E133">
            <v>3</v>
          </cell>
          <cell r="F133">
            <v>0</v>
          </cell>
        </row>
        <row r="134">
          <cell r="D134" t="str">
            <v>1/2" Hex CIM 25</v>
          </cell>
          <cell r="E134">
            <v>1</v>
          </cell>
          <cell r="F134">
            <v>0</v>
          </cell>
        </row>
        <row r="135">
          <cell r="D135" t="str">
            <v>1/2" Hex CIM 27</v>
          </cell>
          <cell r="E135">
            <v>1</v>
          </cell>
          <cell r="F135">
            <v>0</v>
          </cell>
        </row>
        <row r="136">
          <cell r="D136" t="str">
            <v>1/2" Hex CIM 28</v>
          </cell>
          <cell r="E136">
            <v>1</v>
          </cell>
          <cell r="F136">
            <v>0</v>
          </cell>
        </row>
        <row r="137">
          <cell r="D137" t="str">
            <v>1/2" Hex CIM 30</v>
          </cell>
          <cell r="E137">
            <v>1</v>
          </cell>
          <cell r="F137">
            <v>0</v>
          </cell>
        </row>
        <row r="138">
          <cell r="D138" t="str">
            <v>1/2" Hex CIM 35</v>
          </cell>
          <cell r="E138">
            <v>1</v>
          </cell>
          <cell r="F138">
            <v>0</v>
          </cell>
        </row>
        <row r="139">
          <cell r="D139" t="str">
            <v>1/2" Hex CIM 36</v>
          </cell>
          <cell r="E139">
            <v>1</v>
          </cell>
          <cell r="F139">
            <v>0</v>
          </cell>
        </row>
        <row r="140">
          <cell r="D140" t="str">
            <v>1/2" Hex CIM 40</v>
          </cell>
          <cell r="E140">
            <v>1</v>
          </cell>
          <cell r="F140">
            <v>0</v>
          </cell>
        </row>
        <row r="141">
          <cell r="D141" t="str">
            <v>1/2" Hex CIM 45</v>
          </cell>
          <cell r="E141">
            <v>0</v>
          </cell>
          <cell r="F141">
            <v>0</v>
          </cell>
        </row>
        <row r="142">
          <cell r="D142" t="str">
            <v>1/2" Hex CIM 49</v>
          </cell>
          <cell r="E142">
            <v>0</v>
          </cell>
          <cell r="F142">
            <v>0</v>
          </cell>
        </row>
        <row r="143">
          <cell r="D143" t="str">
            <v>1/2" Hex CIM 50</v>
          </cell>
          <cell r="E143">
            <v>0</v>
          </cell>
          <cell r="F143">
            <v>0</v>
          </cell>
        </row>
        <row r="144">
          <cell r="D144" t="str">
            <v>1/2" Hex CIM 63</v>
          </cell>
          <cell r="E144">
            <v>0</v>
          </cell>
          <cell r="F144">
            <v>0</v>
          </cell>
        </row>
        <row r="145">
          <cell r="D145" t="str">
            <v>1/2" Hex CIM 70</v>
          </cell>
          <cell r="E145">
            <v>0</v>
          </cell>
          <cell r="F145">
            <v>0</v>
          </cell>
        </row>
        <row r="146">
          <cell r="D146" t="str">
            <v>1/2" Hex CIM 81</v>
          </cell>
          <cell r="E146">
            <v>0</v>
          </cell>
          <cell r="F146">
            <v>0</v>
          </cell>
        </row>
        <row r="147">
          <cell r="D147" t="str">
            <v>1/2" Hex CIM 90</v>
          </cell>
          <cell r="E147">
            <v>0</v>
          </cell>
          <cell r="F147">
            <v>0</v>
          </cell>
        </row>
        <row r="148">
          <cell r="D148" t="str">
            <v>1/2" Hex CIM 100</v>
          </cell>
          <cell r="E148">
            <v>0</v>
          </cell>
          <cell r="F148">
            <v>0</v>
          </cell>
        </row>
        <row r="149">
          <cell r="D149" t="str">
            <v>1/2" Hex 775pro 9</v>
          </cell>
          <cell r="E149">
            <v>10</v>
          </cell>
          <cell r="F149">
            <v>5</v>
          </cell>
        </row>
        <row r="150">
          <cell r="D150" t="str">
            <v>1/2" Hex 775pro 12</v>
          </cell>
          <cell r="E150">
            <v>10</v>
          </cell>
          <cell r="F150">
            <v>4</v>
          </cell>
        </row>
        <row r="151">
          <cell r="D151" t="str">
            <v>1/2" Hex 775pro 15</v>
          </cell>
          <cell r="E151">
            <v>10</v>
          </cell>
          <cell r="F151">
            <v>3</v>
          </cell>
        </row>
        <row r="152">
          <cell r="D152" t="str">
            <v>1/2" Hex 775pro 16</v>
          </cell>
          <cell r="E152">
            <v>10</v>
          </cell>
          <cell r="F152">
            <v>3</v>
          </cell>
        </row>
        <row r="153">
          <cell r="D153" t="str">
            <v>1/2" Hex 775pro 20</v>
          </cell>
          <cell r="E153">
            <v>10</v>
          </cell>
          <cell r="F153">
            <v>1</v>
          </cell>
        </row>
        <row r="154">
          <cell r="D154" t="str">
            <v>1/2" Hex 775pro 21</v>
          </cell>
          <cell r="E154">
            <v>10</v>
          </cell>
          <cell r="F154">
            <v>1</v>
          </cell>
        </row>
        <row r="155">
          <cell r="D155" t="str">
            <v>1/2" Hex 775pro 25</v>
          </cell>
          <cell r="E155">
            <v>7</v>
          </cell>
          <cell r="F155">
            <v>1</v>
          </cell>
        </row>
        <row r="156">
          <cell r="D156" t="str">
            <v>1/2" Hex 775pro 27</v>
          </cell>
          <cell r="E156">
            <v>7</v>
          </cell>
          <cell r="F156">
            <v>1</v>
          </cell>
        </row>
        <row r="157">
          <cell r="D157" t="str">
            <v>1/2" Hex 775pro 28</v>
          </cell>
          <cell r="E157">
            <v>7</v>
          </cell>
          <cell r="F157">
            <v>1</v>
          </cell>
        </row>
        <row r="158">
          <cell r="D158" t="str">
            <v>1/2" Hex 775pro 30</v>
          </cell>
          <cell r="E158">
            <v>7</v>
          </cell>
          <cell r="F158">
            <v>1</v>
          </cell>
        </row>
        <row r="159">
          <cell r="D159" t="str">
            <v>1/2" Hex 775pro 35</v>
          </cell>
          <cell r="E159">
            <v>5</v>
          </cell>
          <cell r="F159">
            <v>1</v>
          </cell>
        </row>
        <row r="160">
          <cell r="D160" t="str">
            <v>1/2" Hex 775pro 36</v>
          </cell>
          <cell r="E160">
            <v>5</v>
          </cell>
          <cell r="F160">
            <v>1</v>
          </cell>
        </row>
        <row r="161">
          <cell r="D161" t="str">
            <v>1/2" Hex 775pro 40</v>
          </cell>
          <cell r="E161">
            <v>5</v>
          </cell>
          <cell r="F161">
            <v>1</v>
          </cell>
        </row>
        <row r="162">
          <cell r="D162" t="str">
            <v>1/2" Hex 775pro 45</v>
          </cell>
          <cell r="E162">
            <v>4</v>
          </cell>
          <cell r="F162">
            <v>1</v>
          </cell>
        </row>
        <row r="163">
          <cell r="D163" t="str">
            <v>1/2" Hex 775pro 49</v>
          </cell>
          <cell r="E163">
            <v>4</v>
          </cell>
          <cell r="F163">
            <v>1</v>
          </cell>
        </row>
        <row r="164">
          <cell r="D164" t="str">
            <v>1/2" Hex 775pro 50</v>
          </cell>
          <cell r="E164">
            <v>4</v>
          </cell>
          <cell r="F164">
            <v>0</v>
          </cell>
        </row>
        <row r="165">
          <cell r="D165" t="str">
            <v>1/2" Hex 775pro 63</v>
          </cell>
          <cell r="E165">
            <v>3</v>
          </cell>
          <cell r="F165">
            <v>0</v>
          </cell>
        </row>
        <row r="166">
          <cell r="D166" t="str">
            <v>1/2" Hex 775pro 70</v>
          </cell>
          <cell r="E166">
            <v>3</v>
          </cell>
          <cell r="F166">
            <v>0</v>
          </cell>
        </row>
        <row r="167">
          <cell r="D167" t="str">
            <v>1/2" Hex 775pro 81</v>
          </cell>
          <cell r="E167">
            <v>1</v>
          </cell>
          <cell r="F167">
            <v>0</v>
          </cell>
        </row>
        <row r="168">
          <cell r="D168" t="str">
            <v>1/2" Hex 775pro 90</v>
          </cell>
          <cell r="E168">
            <v>1</v>
          </cell>
          <cell r="F168">
            <v>0</v>
          </cell>
        </row>
        <row r="169">
          <cell r="D169" t="str">
            <v>1/2" Hex 775pro 100</v>
          </cell>
          <cell r="E169">
            <v>1</v>
          </cell>
          <cell r="F169">
            <v>0</v>
          </cell>
        </row>
        <row r="170">
          <cell r="D170" t="str">
            <v>1/2" Round AM 9015 9</v>
          </cell>
          <cell r="E170">
            <v>10</v>
          </cell>
          <cell r="F170">
            <v>10</v>
          </cell>
        </row>
        <row r="171">
          <cell r="D171" t="str">
            <v>1/2" Round AM 9015 12</v>
          </cell>
          <cell r="E171">
            <v>10</v>
          </cell>
          <cell r="F171">
            <v>7</v>
          </cell>
        </row>
        <row r="172">
          <cell r="D172" t="str">
            <v>1/2" Round AM 9015 15</v>
          </cell>
          <cell r="E172">
            <v>10</v>
          </cell>
          <cell r="F172">
            <v>5</v>
          </cell>
        </row>
        <row r="173">
          <cell r="D173" t="str">
            <v>1/2" Round AM 9015 16</v>
          </cell>
          <cell r="E173">
            <v>10</v>
          </cell>
          <cell r="F173">
            <v>5</v>
          </cell>
        </row>
        <row r="174">
          <cell r="D174" t="str">
            <v>1/2" Round AM 9015 20</v>
          </cell>
          <cell r="E174">
            <v>10</v>
          </cell>
          <cell r="F174">
            <v>4</v>
          </cell>
        </row>
        <row r="175">
          <cell r="D175" t="str">
            <v>1/2" Round AM 9015 21</v>
          </cell>
          <cell r="E175">
            <v>10</v>
          </cell>
          <cell r="F175">
            <v>4</v>
          </cell>
        </row>
        <row r="176">
          <cell r="D176" t="str">
            <v>1/2" Round AM 9015 25</v>
          </cell>
          <cell r="E176">
            <v>7</v>
          </cell>
          <cell r="F176">
            <v>3</v>
          </cell>
        </row>
        <row r="177">
          <cell r="D177" t="str">
            <v>1/2" Round AM 9015 27</v>
          </cell>
          <cell r="E177">
            <v>7</v>
          </cell>
          <cell r="F177">
            <v>3</v>
          </cell>
        </row>
        <row r="178">
          <cell r="D178" t="str">
            <v>1/2" Round AM 9015 28</v>
          </cell>
          <cell r="E178">
            <v>7</v>
          </cell>
          <cell r="F178">
            <v>3</v>
          </cell>
        </row>
        <row r="179">
          <cell r="D179" t="str">
            <v>1/2" Round AM 9015 30</v>
          </cell>
          <cell r="E179">
            <v>7</v>
          </cell>
          <cell r="F179">
            <v>3</v>
          </cell>
        </row>
        <row r="180">
          <cell r="D180" t="str">
            <v>1/2" Round AM 9015 35</v>
          </cell>
          <cell r="E180">
            <v>5</v>
          </cell>
          <cell r="F180">
            <v>1</v>
          </cell>
        </row>
        <row r="181">
          <cell r="D181" t="str">
            <v>1/2" Round AM 9015 36</v>
          </cell>
          <cell r="E181">
            <v>5</v>
          </cell>
          <cell r="F181">
            <v>1</v>
          </cell>
        </row>
        <row r="182">
          <cell r="D182" t="str">
            <v>1/2" Round AM 9015 40</v>
          </cell>
          <cell r="E182">
            <v>5</v>
          </cell>
          <cell r="F182">
            <v>1</v>
          </cell>
        </row>
        <row r="183">
          <cell r="D183" t="str">
            <v>1/2" Round AM 9015 45</v>
          </cell>
          <cell r="E183">
            <v>5</v>
          </cell>
          <cell r="F183">
            <v>1</v>
          </cell>
        </row>
        <row r="184">
          <cell r="D184" t="str">
            <v>1/2" Round AM 9015 49</v>
          </cell>
          <cell r="E184">
            <v>5</v>
          </cell>
          <cell r="F184">
            <v>1</v>
          </cell>
        </row>
        <row r="185">
          <cell r="D185" t="str">
            <v>1/2" Round AM 9015 50</v>
          </cell>
          <cell r="E185">
            <v>5</v>
          </cell>
          <cell r="F185">
            <v>1</v>
          </cell>
        </row>
        <row r="186">
          <cell r="D186" t="str">
            <v>1/2" Round AM 9015 63</v>
          </cell>
          <cell r="E186">
            <v>4</v>
          </cell>
          <cell r="F186">
            <v>1</v>
          </cell>
        </row>
        <row r="187">
          <cell r="D187" t="str">
            <v>1/2" Round AM 9015 70</v>
          </cell>
          <cell r="E187">
            <v>4</v>
          </cell>
          <cell r="F187">
            <v>1</v>
          </cell>
        </row>
        <row r="188">
          <cell r="D188" t="str">
            <v>1/2" Round AM 9015 81</v>
          </cell>
          <cell r="E188">
            <v>3</v>
          </cell>
          <cell r="F188">
            <v>1</v>
          </cell>
        </row>
        <row r="189">
          <cell r="D189" t="str">
            <v>1/2" Round AM 9015 90</v>
          </cell>
          <cell r="E189">
            <v>3</v>
          </cell>
          <cell r="F189">
            <v>1</v>
          </cell>
        </row>
        <row r="190">
          <cell r="D190" t="str">
            <v>1/2" Round AM 9015 100</v>
          </cell>
          <cell r="E190">
            <v>1</v>
          </cell>
          <cell r="F190">
            <v>0</v>
          </cell>
        </row>
        <row r="191">
          <cell r="D191" t="str">
            <v>1/2" Round NeveRest 9</v>
          </cell>
          <cell r="E191">
            <v>10</v>
          </cell>
          <cell r="F191">
            <v>10</v>
          </cell>
        </row>
        <row r="192">
          <cell r="D192" t="str">
            <v>1/2" Round NeveRest 12</v>
          </cell>
          <cell r="E192">
            <v>10</v>
          </cell>
          <cell r="F192">
            <v>10</v>
          </cell>
        </row>
        <row r="193">
          <cell r="D193" t="str">
            <v>1/2" Round NeveRest 15</v>
          </cell>
          <cell r="E193">
            <v>10</v>
          </cell>
          <cell r="F193">
            <v>10</v>
          </cell>
        </row>
        <row r="194">
          <cell r="D194" t="str">
            <v>1/2" Round NeveRest 16</v>
          </cell>
          <cell r="E194">
            <v>10</v>
          </cell>
          <cell r="F194">
            <v>10</v>
          </cell>
        </row>
        <row r="195">
          <cell r="D195" t="str">
            <v>1/2" Round NeveRest 20</v>
          </cell>
          <cell r="E195">
            <v>10</v>
          </cell>
          <cell r="F195">
            <v>10</v>
          </cell>
        </row>
        <row r="196">
          <cell r="D196" t="str">
            <v>1/2" Round NeveRest 21</v>
          </cell>
          <cell r="E196">
            <v>9</v>
          </cell>
          <cell r="F196">
            <v>9</v>
          </cell>
        </row>
        <row r="197">
          <cell r="D197" t="str">
            <v>1/2" Round NeveRest 25</v>
          </cell>
          <cell r="E197">
            <v>7</v>
          </cell>
          <cell r="F197">
            <v>7</v>
          </cell>
        </row>
        <row r="198">
          <cell r="D198" t="str">
            <v>1/2" Round NeveRest 27</v>
          </cell>
          <cell r="E198">
            <v>7</v>
          </cell>
          <cell r="F198">
            <v>7</v>
          </cell>
        </row>
        <row r="199">
          <cell r="D199" t="str">
            <v>1/2" Round NeveRest 28</v>
          </cell>
          <cell r="E199">
            <v>7</v>
          </cell>
          <cell r="F199">
            <v>7</v>
          </cell>
        </row>
        <row r="200">
          <cell r="D200" t="str">
            <v>1/2" Round NeveRest 30</v>
          </cell>
          <cell r="E200">
            <v>5</v>
          </cell>
          <cell r="F200">
            <v>5</v>
          </cell>
        </row>
        <row r="201">
          <cell r="D201" t="str">
            <v>1/2" Round NeveRest 35</v>
          </cell>
          <cell r="E201">
            <v>5</v>
          </cell>
          <cell r="F201">
            <v>5</v>
          </cell>
        </row>
        <row r="202">
          <cell r="D202" t="str">
            <v>1/2" Round NeveRest 36</v>
          </cell>
          <cell r="E202">
            <v>5</v>
          </cell>
          <cell r="F202">
            <v>5</v>
          </cell>
        </row>
        <row r="203">
          <cell r="D203" t="str">
            <v>1/2" Round NeveRest 40</v>
          </cell>
          <cell r="E203">
            <v>5</v>
          </cell>
          <cell r="F203">
            <v>5</v>
          </cell>
        </row>
        <row r="204">
          <cell r="D204" t="str">
            <v>1/2" Round NeveRest 45</v>
          </cell>
          <cell r="E204">
            <v>5</v>
          </cell>
          <cell r="F204">
            <v>4</v>
          </cell>
        </row>
        <row r="205">
          <cell r="D205" t="str">
            <v>1/2" Round NeveRest 49</v>
          </cell>
          <cell r="E205">
            <v>5</v>
          </cell>
          <cell r="F205">
            <v>4</v>
          </cell>
        </row>
        <row r="206">
          <cell r="D206" t="str">
            <v>1/2" Round NeveRest 50</v>
          </cell>
          <cell r="E206">
            <v>5</v>
          </cell>
          <cell r="F206">
            <v>4</v>
          </cell>
        </row>
        <row r="207">
          <cell r="D207" t="str">
            <v>1/2" Round NeveRest 63</v>
          </cell>
          <cell r="E207">
            <v>4</v>
          </cell>
          <cell r="F207">
            <v>3</v>
          </cell>
        </row>
        <row r="208">
          <cell r="D208" t="str">
            <v>1/2" Round NeveRest 70</v>
          </cell>
          <cell r="E208">
            <v>3</v>
          </cell>
          <cell r="F208">
            <v>1</v>
          </cell>
        </row>
        <row r="209">
          <cell r="D209" t="str">
            <v>1/2" Round NeveRest 81</v>
          </cell>
          <cell r="E209">
            <v>3</v>
          </cell>
          <cell r="F209">
            <v>1</v>
          </cell>
        </row>
        <row r="210">
          <cell r="D210" t="str">
            <v>1/2" Round NeveRest 90</v>
          </cell>
          <cell r="E210">
            <v>1</v>
          </cell>
          <cell r="F210">
            <v>1</v>
          </cell>
        </row>
        <row r="211">
          <cell r="D211" t="str">
            <v>1/2" Round NeveRest 100</v>
          </cell>
          <cell r="E211">
            <v>1</v>
          </cell>
          <cell r="F211">
            <v>1</v>
          </cell>
        </row>
        <row r="212">
          <cell r="D212" t="str">
            <v>1/2" Round BB RS-550 9</v>
          </cell>
          <cell r="E212">
            <v>10</v>
          </cell>
          <cell r="F212">
            <v>10</v>
          </cell>
        </row>
        <row r="213">
          <cell r="D213" t="str">
            <v>1/2" Round BB RS-550 12</v>
          </cell>
          <cell r="E213">
            <v>10</v>
          </cell>
          <cell r="F213">
            <v>7</v>
          </cell>
        </row>
        <row r="214">
          <cell r="D214" t="str">
            <v>1/2" Round BB RS-550 15</v>
          </cell>
          <cell r="E214">
            <v>10</v>
          </cell>
          <cell r="F214">
            <v>5</v>
          </cell>
        </row>
        <row r="215">
          <cell r="D215" t="str">
            <v>1/2" Round BB RS-550 16</v>
          </cell>
          <cell r="E215">
            <v>10</v>
          </cell>
          <cell r="F215">
            <v>5</v>
          </cell>
        </row>
        <row r="216">
          <cell r="D216" t="str">
            <v>1/2" Round BB RS-550 20</v>
          </cell>
          <cell r="E216">
            <v>10</v>
          </cell>
          <cell r="F216">
            <v>4</v>
          </cell>
        </row>
        <row r="217">
          <cell r="D217" t="str">
            <v>1/2" Round BB RS-550 21</v>
          </cell>
          <cell r="E217">
            <v>9</v>
          </cell>
          <cell r="F217">
            <v>4</v>
          </cell>
        </row>
        <row r="218">
          <cell r="D218" t="str">
            <v>1/2" Round BB RS-550 25</v>
          </cell>
          <cell r="E218">
            <v>7</v>
          </cell>
          <cell r="F218">
            <v>3</v>
          </cell>
        </row>
        <row r="219">
          <cell r="D219" t="str">
            <v>1/2" Round BB RS-550 27</v>
          </cell>
          <cell r="E219">
            <v>7</v>
          </cell>
          <cell r="F219">
            <v>3</v>
          </cell>
        </row>
        <row r="220">
          <cell r="D220" t="str">
            <v>1/2" Round BB RS-550 28</v>
          </cell>
          <cell r="E220">
            <v>7</v>
          </cell>
          <cell r="F220">
            <v>3</v>
          </cell>
        </row>
        <row r="221">
          <cell r="D221" t="str">
            <v>1/2" Round BB RS-550 30</v>
          </cell>
          <cell r="E221">
            <v>5</v>
          </cell>
          <cell r="F221">
            <v>3</v>
          </cell>
        </row>
        <row r="222">
          <cell r="D222" t="str">
            <v>1/2" Round BB RS-550 35</v>
          </cell>
          <cell r="E222">
            <v>5</v>
          </cell>
          <cell r="F222">
            <v>1</v>
          </cell>
        </row>
        <row r="223">
          <cell r="D223" t="str">
            <v>1/2" Round BB RS-550 36</v>
          </cell>
          <cell r="E223">
            <v>5</v>
          </cell>
          <cell r="F223">
            <v>1</v>
          </cell>
        </row>
        <row r="224">
          <cell r="D224" t="str">
            <v>1/2" Round BB RS-550 40</v>
          </cell>
          <cell r="E224">
            <v>5</v>
          </cell>
          <cell r="F224">
            <v>1</v>
          </cell>
        </row>
        <row r="225">
          <cell r="D225" t="str">
            <v>1/2" Round BB RS-550 45</v>
          </cell>
          <cell r="E225">
            <v>5</v>
          </cell>
          <cell r="F225">
            <v>1</v>
          </cell>
        </row>
        <row r="226">
          <cell r="D226" t="str">
            <v>1/2" Round BB RS-550 49</v>
          </cell>
          <cell r="E226">
            <v>5</v>
          </cell>
          <cell r="F226">
            <v>1</v>
          </cell>
        </row>
        <row r="227">
          <cell r="D227" t="str">
            <v>1/2" Round BB RS-550 50</v>
          </cell>
          <cell r="E227">
            <v>5</v>
          </cell>
          <cell r="F227">
            <v>1</v>
          </cell>
        </row>
        <row r="228">
          <cell r="D228" t="str">
            <v>1/2" Round BB RS-550 63</v>
          </cell>
          <cell r="E228">
            <v>4</v>
          </cell>
          <cell r="F228">
            <v>1</v>
          </cell>
        </row>
        <row r="229">
          <cell r="D229" t="str">
            <v>1/2" Round BB RS-550 70</v>
          </cell>
          <cell r="E229">
            <v>3</v>
          </cell>
          <cell r="F229">
            <v>1</v>
          </cell>
        </row>
        <row r="230">
          <cell r="D230" t="str">
            <v>1/2" Round BB RS-550 81</v>
          </cell>
          <cell r="E230">
            <v>3</v>
          </cell>
          <cell r="F230">
            <v>1</v>
          </cell>
        </row>
        <row r="231">
          <cell r="D231" t="str">
            <v>1/2" Round BB RS-550 90</v>
          </cell>
          <cell r="E231">
            <v>1</v>
          </cell>
          <cell r="F231">
            <v>1</v>
          </cell>
        </row>
        <row r="232">
          <cell r="D232" t="str">
            <v>1/2" Round BB RS-550 100</v>
          </cell>
          <cell r="E232">
            <v>1</v>
          </cell>
          <cell r="F232">
            <v>0</v>
          </cell>
        </row>
        <row r="233">
          <cell r="D233" t="str">
            <v>1/2" Round BB RS-775 9</v>
          </cell>
          <cell r="E233">
            <v>10</v>
          </cell>
          <cell r="F233">
            <v>10</v>
          </cell>
        </row>
        <row r="234">
          <cell r="D234" t="str">
            <v>1/2" Round BB RS-775 12</v>
          </cell>
          <cell r="E234">
            <v>10</v>
          </cell>
          <cell r="F234">
            <v>10</v>
          </cell>
        </row>
        <row r="235">
          <cell r="D235" t="str">
            <v>1/2" Round BB RS-775 15</v>
          </cell>
          <cell r="E235">
            <v>7</v>
          </cell>
          <cell r="F235">
            <v>7</v>
          </cell>
        </row>
        <row r="236">
          <cell r="D236" t="str">
            <v>1/2" Round BB RS-775 16</v>
          </cell>
          <cell r="E236">
            <v>7</v>
          </cell>
          <cell r="F236">
            <v>7</v>
          </cell>
        </row>
        <row r="237">
          <cell r="D237" t="str">
            <v>1/2" Round BB RS-775 20</v>
          </cell>
          <cell r="E237">
            <v>5</v>
          </cell>
          <cell r="F237">
            <v>5</v>
          </cell>
        </row>
        <row r="238">
          <cell r="D238" t="str">
            <v>1/2" Round BB RS-775 21</v>
          </cell>
          <cell r="E238">
            <v>5</v>
          </cell>
          <cell r="F238">
            <v>5</v>
          </cell>
        </row>
        <row r="239">
          <cell r="D239" t="str">
            <v>1/2" Round BB RS-775 25</v>
          </cell>
          <cell r="E239">
            <v>5</v>
          </cell>
          <cell r="F239">
            <v>5</v>
          </cell>
        </row>
        <row r="240">
          <cell r="D240" t="str">
            <v>1/2" Round BB RS-775 27</v>
          </cell>
          <cell r="E240">
            <v>5</v>
          </cell>
          <cell r="F240">
            <v>4</v>
          </cell>
        </row>
        <row r="241">
          <cell r="D241" t="str">
            <v>1/2" Round BB RS-775 28</v>
          </cell>
          <cell r="E241">
            <v>5</v>
          </cell>
          <cell r="F241">
            <v>4</v>
          </cell>
        </row>
        <row r="242">
          <cell r="D242" t="str">
            <v>1/2" Round BB RS-775 30</v>
          </cell>
          <cell r="E242">
            <v>5</v>
          </cell>
          <cell r="F242">
            <v>4</v>
          </cell>
        </row>
        <row r="243">
          <cell r="D243" t="str">
            <v>1/2" Round BB RS-775 35</v>
          </cell>
          <cell r="E243">
            <v>4</v>
          </cell>
          <cell r="F243">
            <v>3</v>
          </cell>
        </row>
        <row r="244">
          <cell r="D244" t="str">
            <v>1/2" Round BB RS-775 36</v>
          </cell>
          <cell r="E244">
            <v>4</v>
          </cell>
          <cell r="F244">
            <v>3</v>
          </cell>
        </row>
        <row r="245">
          <cell r="D245" t="str">
            <v>1/2" Round BB RS-775 40</v>
          </cell>
          <cell r="E245">
            <v>4</v>
          </cell>
          <cell r="F245">
            <v>3</v>
          </cell>
        </row>
        <row r="246">
          <cell r="D246" t="str">
            <v>1/2" Round BB RS-775 45</v>
          </cell>
          <cell r="E246">
            <v>3</v>
          </cell>
          <cell r="F246">
            <v>1</v>
          </cell>
        </row>
        <row r="247">
          <cell r="D247" t="str">
            <v>1/2" Round BB RS-775 49</v>
          </cell>
          <cell r="E247">
            <v>3</v>
          </cell>
          <cell r="F247">
            <v>1</v>
          </cell>
        </row>
        <row r="248">
          <cell r="D248" t="str">
            <v>1/2" Round BB RS-775 50</v>
          </cell>
          <cell r="E248">
            <v>3</v>
          </cell>
          <cell r="F248">
            <v>1</v>
          </cell>
        </row>
        <row r="249">
          <cell r="D249" t="str">
            <v>1/2" Round BB RS-775 63</v>
          </cell>
          <cell r="E249">
            <v>1</v>
          </cell>
          <cell r="F249">
            <v>1</v>
          </cell>
        </row>
        <row r="250">
          <cell r="D250" t="str">
            <v>1/2" Round BB RS-775 70</v>
          </cell>
          <cell r="E250">
            <v>1</v>
          </cell>
          <cell r="F250">
            <v>1</v>
          </cell>
        </row>
        <row r="251">
          <cell r="D251" t="str">
            <v>1/2" Round BB RS-775 81</v>
          </cell>
          <cell r="E251">
            <v>1</v>
          </cell>
          <cell r="F251">
            <v>1</v>
          </cell>
        </row>
        <row r="252">
          <cell r="D252" t="str">
            <v>1/2" Round BB RS-775 90</v>
          </cell>
          <cell r="E252">
            <v>1</v>
          </cell>
          <cell r="F252">
            <v>1</v>
          </cell>
        </row>
        <row r="253">
          <cell r="D253" t="str">
            <v>1/2" Round BB RS-775 100</v>
          </cell>
          <cell r="E253">
            <v>1</v>
          </cell>
          <cell r="F253">
            <v>1</v>
          </cell>
        </row>
        <row r="254">
          <cell r="D254" t="str">
            <v>1/2" Round BAG 9</v>
          </cell>
          <cell r="E254">
            <v>10</v>
          </cell>
          <cell r="F254">
            <v>9</v>
          </cell>
        </row>
        <row r="255">
          <cell r="D255" t="str">
            <v>1/2" Round BAG 12</v>
          </cell>
          <cell r="E255">
            <v>10</v>
          </cell>
          <cell r="F255">
            <v>5</v>
          </cell>
        </row>
        <row r="256">
          <cell r="D256" t="str">
            <v>1/2" Round BAG 15</v>
          </cell>
          <cell r="E256">
            <v>10</v>
          </cell>
          <cell r="F256">
            <v>5</v>
          </cell>
        </row>
        <row r="257">
          <cell r="D257" t="str">
            <v>1/2" Round BAG 16</v>
          </cell>
          <cell r="E257">
            <v>10</v>
          </cell>
          <cell r="F257">
            <v>5</v>
          </cell>
        </row>
        <row r="258">
          <cell r="D258" t="str">
            <v>1/2" Round BAG 20</v>
          </cell>
          <cell r="E258">
            <v>10</v>
          </cell>
          <cell r="F258">
            <v>4</v>
          </cell>
        </row>
        <row r="259">
          <cell r="D259" t="str">
            <v>1/2" Round BAG 21</v>
          </cell>
          <cell r="E259">
            <v>10</v>
          </cell>
          <cell r="F259">
            <v>3</v>
          </cell>
        </row>
        <row r="260">
          <cell r="D260" t="str">
            <v>1/2" Round BAG 25</v>
          </cell>
          <cell r="E260">
            <v>7</v>
          </cell>
          <cell r="F260">
            <v>3</v>
          </cell>
        </row>
        <row r="261">
          <cell r="D261" t="str">
            <v>1/2" Round BAG 27</v>
          </cell>
          <cell r="E261">
            <v>7</v>
          </cell>
          <cell r="F261">
            <v>3</v>
          </cell>
        </row>
        <row r="262">
          <cell r="D262" t="str">
            <v>1/2" Round BAG 28</v>
          </cell>
          <cell r="E262">
            <v>7</v>
          </cell>
          <cell r="F262">
            <v>1</v>
          </cell>
        </row>
        <row r="263">
          <cell r="D263" t="str">
            <v>1/2" Round BAG 30</v>
          </cell>
          <cell r="E263">
            <v>7</v>
          </cell>
          <cell r="F263">
            <v>1</v>
          </cell>
        </row>
        <row r="264">
          <cell r="D264" t="str">
            <v>1/2" Round BAG 35</v>
          </cell>
          <cell r="E264">
            <v>5</v>
          </cell>
          <cell r="F264">
            <v>1</v>
          </cell>
        </row>
        <row r="265">
          <cell r="D265" t="str">
            <v>1/2" Round BAG 36</v>
          </cell>
          <cell r="E265">
            <v>5</v>
          </cell>
          <cell r="F265">
            <v>1</v>
          </cell>
        </row>
        <row r="266">
          <cell r="D266" t="str">
            <v>1/2" Round BAG 40</v>
          </cell>
          <cell r="E266">
            <v>5</v>
          </cell>
          <cell r="F266">
            <v>1</v>
          </cell>
        </row>
        <row r="267">
          <cell r="D267" t="str">
            <v>1/2" Round BAG 45</v>
          </cell>
          <cell r="E267">
            <v>5</v>
          </cell>
          <cell r="F267">
            <v>1</v>
          </cell>
        </row>
        <row r="268">
          <cell r="D268" t="str">
            <v>1/2" Round BAG 49</v>
          </cell>
          <cell r="E268">
            <v>5</v>
          </cell>
          <cell r="F268">
            <v>1</v>
          </cell>
        </row>
        <row r="269">
          <cell r="D269" t="str">
            <v>1/2" Round BAG 50</v>
          </cell>
          <cell r="E269">
            <v>5</v>
          </cell>
          <cell r="F269">
            <v>1</v>
          </cell>
        </row>
        <row r="270">
          <cell r="D270" t="str">
            <v>1/2" Round BAG 63</v>
          </cell>
          <cell r="E270">
            <v>4</v>
          </cell>
          <cell r="F270">
            <v>1</v>
          </cell>
        </row>
        <row r="271">
          <cell r="D271" t="str">
            <v>1/2" Round BAG 70</v>
          </cell>
          <cell r="E271">
            <v>4</v>
          </cell>
          <cell r="F271">
            <v>1</v>
          </cell>
        </row>
        <row r="272">
          <cell r="D272" t="str">
            <v>1/2" Round BAG 81</v>
          </cell>
          <cell r="E272">
            <v>3</v>
          </cell>
          <cell r="F272">
            <v>1</v>
          </cell>
        </row>
        <row r="273">
          <cell r="D273" t="str">
            <v>1/2" Round BAG 90</v>
          </cell>
          <cell r="E273">
            <v>3</v>
          </cell>
          <cell r="F273">
            <v>0</v>
          </cell>
        </row>
        <row r="274">
          <cell r="D274" t="str">
            <v>1/2" Round BAG 100</v>
          </cell>
          <cell r="E274">
            <v>1</v>
          </cell>
          <cell r="F274">
            <v>0</v>
          </cell>
        </row>
        <row r="275">
          <cell r="D275" t="str">
            <v>1/2" Round Mini CIM 9</v>
          </cell>
          <cell r="E275">
            <v>7</v>
          </cell>
          <cell r="F275">
            <v>0</v>
          </cell>
        </row>
        <row r="276">
          <cell r="D276" t="str">
            <v>1/2" Round Mini CIM 12</v>
          </cell>
          <cell r="E276">
            <v>5</v>
          </cell>
          <cell r="F276">
            <v>0</v>
          </cell>
        </row>
        <row r="277">
          <cell r="D277" t="str">
            <v>1/2" Round Mini CIM 15</v>
          </cell>
          <cell r="E277">
            <v>5</v>
          </cell>
          <cell r="F277">
            <v>0</v>
          </cell>
        </row>
        <row r="278">
          <cell r="D278" t="str">
            <v>1/2" Round Mini CIM 16</v>
          </cell>
          <cell r="E278">
            <v>5</v>
          </cell>
          <cell r="F278">
            <v>0</v>
          </cell>
        </row>
        <row r="279">
          <cell r="D279" t="str">
            <v>1/2" Round Mini CIM 20</v>
          </cell>
          <cell r="E279">
            <v>4</v>
          </cell>
          <cell r="F279">
            <v>0</v>
          </cell>
        </row>
        <row r="280">
          <cell r="D280" t="str">
            <v>1/2" Round Mini CIM 21</v>
          </cell>
          <cell r="E280">
            <v>4</v>
          </cell>
          <cell r="F280">
            <v>0</v>
          </cell>
        </row>
        <row r="281">
          <cell r="D281" t="str">
            <v>1/2" Round Mini CIM 25</v>
          </cell>
          <cell r="E281">
            <v>3</v>
          </cell>
          <cell r="F281">
            <v>0</v>
          </cell>
        </row>
        <row r="282">
          <cell r="D282" t="str">
            <v>1/2" Round Mini CIM 27</v>
          </cell>
          <cell r="E282">
            <v>3</v>
          </cell>
          <cell r="F282">
            <v>0</v>
          </cell>
        </row>
        <row r="283">
          <cell r="D283" t="str">
            <v>1/2" Round Mini CIM 28</v>
          </cell>
          <cell r="E283">
            <v>3</v>
          </cell>
          <cell r="F283">
            <v>0</v>
          </cell>
        </row>
        <row r="284">
          <cell r="D284" t="str">
            <v>1/2" Round Mini CIM 30</v>
          </cell>
          <cell r="E284">
            <v>3</v>
          </cell>
          <cell r="F284">
            <v>0</v>
          </cell>
        </row>
        <row r="285">
          <cell r="D285" t="str">
            <v>1/2" Round Mini CIM 35</v>
          </cell>
          <cell r="E285">
            <v>1</v>
          </cell>
          <cell r="F285">
            <v>0</v>
          </cell>
        </row>
        <row r="286">
          <cell r="D286" t="str">
            <v>1/2" Round Mini CIM 36</v>
          </cell>
          <cell r="E286">
            <v>1</v>
          </cell>
          <cell r="F286">
            <v>0</v>
          </cell>
        </row>
        <row r="287">
          <cell r="D287" t="str">
            <v>1/2" Round Mini CIM 40</v>
          </cell>
          <cell r="E287">
            <v>1</v>
          </cell>
          <cell r="F287">
            <v>0</v>
          </cell>
        </row>
        <row r="288">
          <cell r="D288" t="str">
            <v>1/2" Round Mini CIM 45</v>
          </cell>
          <cell r="E288">
            <v>1</v>
          </cell>
          <cell r="F288">
            <v>0</v>
          </cell>
        </row>
        <row r="289">
          <cell r="D289" t="str">
            <v>1/2" Round Mini CIM 49</v>
          </cell>
          <cell r="E289">
            <v>1</v>
          </cell>
          <cell r="F289">
            <v>0</v>
          </cell>
        </row>
        <row r="290">
          <cell r="D290" t="str">
            <v>1/2" Round Mini CIM 50</v>
          </cell>
          <cell r="E290">
            <v>1</v>
          </cell>
          <cell r="F290">
            <v>0</v>
          </cell>
        </row>
        <row r="291">
          <cell r="D291" t="str">
            <v>1/2" Round Mini CIM 63</v>
          </cell>
          <cell r="E291">
            <v>1</v>
          </cell>
          <cell r="F291">
            <v>0</v>
          </cell>
        </row>
        <row r="292">
          <cell r="D292" t="str">
            <v>1/2" Round Mini CIM 70</v>
          </cell>
          <cell r="E292">
            <v>0</v>
          </cell>
          <cell r="F292">
            <v>0</v>
          </cell>
        </row>
        <row r="293">
          <cell r="D293" t="str">
            <v>1/2" Round Mini CIM 81</v>
          </cell>
          <cell r="E293">
            <v>0</v>
          </cell>
          <cell r="F293">
            <v>0</v>
          </cell>
        </row>
        <row r="294">
          <cell r="D294" t="str">
            <v>1/2" Round Mini CIM 90</v>
          </cell>
          <cell r="E294">
            <v>0</v>
          </cell>
          <cell r="F294">
            <v>0</v>
          </cell>
        </row>
        <row r="295">
          <cell r="D295" t="str">
            <v>1/2" Round Mini CIM 100</v>
          </cell>
          <cell r="E295">
            <v>0</v>
          </cell>
          <cell r="F295">
            <v>0</v>
          </cell>
        </row>
        <row r="296">
          <cell r="D296" t="str">
            <v>1/2" Round CIM 9</v>
          </cell>
          <cell r="E296">
            <v>5</v>
          </cell>
          <cell r="F296">
            <v>0</v>
          </cell>
        </row>
        <row r="297">
          <cell r="D297" t="str">
            <v>1/2" Round CIM 12</v>
          </cell>
          <cell r="E297">
            <v>4</v>
          </cell>
          <cell r="F297">
            <v>0</v>
          </cell>
        </row>
        <row r="298">
          <cell r="D298" t="str">
            <v>1/2" Round CIM 15</v>
          </cell>
          <cell r="E298">
            <v>3</v>
          </cell>
          <cell r="F298">
            <v>0</v>
          </cell>
        </row>
        <row r="299">
          <cell r="D299" t="str">
            <v>1/2" Round CIM 16</v>
          </cell>
          <cell r="E299">
            <v>3</v>
          </cell>
          <cell r="F299">
            <v>0</v>
          </cell>
        </row>
        <row r="300">
          <cell r="D300" t="str">
            <v>1/2" Round CIM 20</v>
          </cell>
          <cell r="E300">
            <v>1</v>
          </cell>
          <cell r="F300">
            <v>0</v>
          </cell>
        </row>
        <row r="301">
          <cell r="D301" t="str">
            <v>1/2" Round CIM 21</v>
          </cell>
          <cell r="E301">
            <v>1</v>
          </cell>
          <cell r="F301">
            <v>0</v>
          </cell>
        </row>
        <row r="302">
          <cell r="D302" t="str">
            <v>1/2" Round CIM 25</v>
          </cell>
          <cell r="E302">
            <v>1</v>
          </cell>
          <cell r="F302">
            <v>0</v>
          </cell>
        </row>
        <row r="303">
          <cell r="D303" t="str">
            <v>1/2" Round CIM 27</v>
          </cell>
          <cell r="E303">
            <v>1</v>
          </cell>
          <cell r="F303">
            <v>0</v>
          </cell>
        </row>
        <row r="304">
          <cell r="D304" t="str">
            <v>1/2" Round CIM 28</v>
          </cell>
          <cell r="E304">
            <v>1</v>
          </cell>
          <cell r="F304">
            <v>0</v>
          </cell>
        </row>
        <row r="305">
          <cell r="D305" t="str">
            <v>1/2" Round CIM 30</v>
          </cell>
          <cell r="E305">
            <v>1</v>
          </cell>
          <cell r="F305">
            <v>0</v>
          </cell>
        </row>
        <row r="306">
          <cell r="D306" t="str">
            <v>1/2" Round CIM 35</v>
          </cell>
          <cell r="E306">
            <v>1</v>
          </cell>
          <cell r="F306">
            <v>0</v>
          </cell>
        </row>
        <row r="307">
          <cell r="D307" t="str">
            <v>1/2" Round CIM 36</v>
          </cell>
          <cell r="E307">
            <v>1</v>
          </cell>
          <cell r="F307">
            <v>0</v>
          </cell>
        </row>
        <row r="308">
          <cell r="D308" t="str">
            <v>1/2" Round CIM 40</v>
          </cell>
          <cell r="E308">
            <v>1</v>
          </cell>
          <cell r="F308">
            <v>0</v>
          </cell>
        </row>
        <row r="309">
          <cell r="D309" t="str">
            <v>1/2" Round CIM 45</v>
          </cell>
          <cell r="E309">
            <v>1</v>
          </cell>
          <cell r="F309">
            <v>0</v>
          </cell>
        </row>
        <row r="310">
          <cell r="D310" t="str">
            <v>1/2" Round CIM 49</v>
          </cell>
          <cell r="E310">
            <v>0</v>
          </cell>
          <cell r="F310">
            <v>0</v>
          </cell>
        </row>
        <row r="311">
          <cell r="D311" t="str">
            <v>1/2" Round CIM 50</v>
          </cell>
          <cell r="E311">
            <v>1</v>
          </cell>
          <cell r="F311">
            <v>0</v>
          </cell>
        </row>
        <row r="312">
          <cell r="D312" t="str">
            <v>1/2" Round CIM 63</v>
          </cell>
          <cell r="E312">
            <v>0</v>
          </cell>
          <cell r="F312">
            <v>0</v>
          </cell>
        </row>
        <row r="313">
          <cell r="D313" t="str">
            <v>1/2" Round CIM 70</v>
          </cell>
          <cell r="E313">
            <v>0</v>
          </cell>
          <cell r="F313">
            <v>0</v>
          </cell>
        </row>
        <row r="314">
          <cell r="D314" t="str">
            <v>1/2" Round CIM 81</v>
          </cell>
          <cell r="E314">
            <v>0</v>
          </cell>
          <cell r="F314">
            <v>0</v>
          </cell>
        </row>
        <row r="315">
          <cell r="D315" t="str">
            <v>1/2" Round CIM 90</v>
          </cell>
          <cell r="E315">
            <v>0</v>
          </cell>
          <cell r="F315">
            <v>0</v>
          </cell>
        </row>
        <row r="316">
          <cell r="D316" t="str">
            <v>1/2" Round CIM 100</v>
          </cell>
          <cell r="E316">
            <v>0</v>
          </cell>
          <cell r="F316">
            <v>0</v>
          </cell>
        </row>
        <row r="317">
          <cell r="D317" t="str">
            <v>1/2" Round 775pro 9</v>
          </cell>
          <cell r="E317">
            <v>10</v>
          </cell>
          <cell r="F317">
            <v>5</v>
          </cell>
        </row>
        <row r="318">
          <cell r="D318" t="str">
            <v>1/2" Round 775pro 12</v>
          </cell>
          <cell r="E318">
            <v>10</v>
          </cell>
          <cell r="F318">
            <v>4</v>
          </cell>
        </row>
        <row r="319">
          <cell r="D319" t="str">
            <v>1/2" Round 775pro 15</v>
          </cell>
          <cell r="E319">
            <v>10</v>
          </cell>
          <cell r="F319">
            <v>3</v>
          </cell>
        </row>
        <row r="320">
          <cell r="D320" t="str">
            <v>1/2" Round 775pro 16</v>
          </cell>
          <cell r="E320">
            <v>10</v>
          </cell>
          <cell r="F320">
            <v>3</v>
          </cell>
        </row>
        <row r="321">
          <cell r="D321" t="str">
            <v>1/2" Round 775pro 20</v>
          </cell>
          <cell r="E321">
            <v>9</v>
          </cell>
          <cell r="F321">
            <v>1</v>
          </cell>
        </row>
        <row r="322">
          <cell r="D322" t="str">
            <v>1/2" Round 775pro 21</v>
          </cell>
          <cell r="E322">
            <v>7</v>
          </cell>
          <cell r="F322">
            <v>1</v>
          </cell>
        </row>
        <row r="323">
          <cell r="D323" t="str">
            <v>1/2" Round 775pro 25</v>
          </cell>
          <cell r="E323">
            <v>7</v>
          </cell>
          <cell r="F323">
            <v>1</v>
          </cell>
        </row>
        <row r="324">
          <cell r="D324" t="str">
            <v>1/2" Round 775pro 27</v>
          </cell>
          <cell r="E324">
            <v>5</v>
          </cell>
          <cell r="F324">
            <v>1</v>
          </cell>
        </row>
        <row r="325">
          <cell r="D325" t="str">
            <v>1/2" Round 775pro 28</v>
          </cell>
          <cell r="E325">
            <v>5</v>
          </cell>
          <cell r="F325">
            <v>1</v>
          </cell>
        </row>
        <row r="326">
          <cell r="D326" t="str">
            <v>1/2" Round 775pro 30</v>
          </cell>
          <cell r="E326">
            <v>5</v>
          </cell>
          <cell r="F326">
            <v>1</v>
          </cell>
        </row>
        <row r="327">
          <cell r="D327" t="str">
            <v>1/2" Round 775pro 35</v>
          </cell>
          <cell r="E327">
            <v>5</v>
          </cell>
          <cell r="F327">
            <v>1</v>
          </cell>
        </row>
        <row r="328">
          <cell r="D328" t="str">
            <v>1/2" Round 775pro 36</v>
          </cell>
          <cell r="E328">
            <v>5</v>
          </cell>
          <cell r="F328">
            <v>1</v>
          </cell>
        </row>
        <row r="329">
          <cell r="D329" t="str">
            <v>1/2" Round 775pro 40</v>
          </cell>
          <cell r="E329">
            <v>4</v>
          </cell>
          <cell r="F329">
            <v>1</v>
          </cell>
        </row>
        <row r="330">
          <cell r="D330" t="str">
            <v>1/2" Round 775pro 45</v>
          </cell>
          <cell r="E330">
            <v>4</v>
          </cell>
          <cell r="F330">
            <v>1</v>
          </cell>
        </row>
        <row r="331">
          <cell r="D331" t="str">
            <v>1/2" Round 775pro 49</v>
          </cell>
          <cell r="E331">
            <v>3</v>
          </cell>
          <cell r="F331">
            <v>1</v>
          </cell>
        </row>
        <row r="332">
          <cell r="D332" t="str">
            <v>1/2" Round 775pro 50</v>
          </cell>
          <cell r="E332">
            <v>3</v>
          </cell>
          <cell r="F332">
            <v>0</v>
          </cell>
        </row>
        <row r="333">
          <cell r="D333" t="str">
            <v>1/2" Round 775pro 63</v>
          </cell>
          <cell r="E333">
            <v>1</v>
          </cell>
          <cell r="F333">
            <v>0</v>
          </cell>
        </row>
        <row r="334">
          <cell r="D334" t="str">
            <v>1/2" Round 775pro 70</v>
          </cell>
          <cell r="E334">
            <v>1</v>
          </cell>
          <cell r="F334">
            <v>0</v>
          </cell>
        </row>
        <row r="335">
          <cell r="D335" t="str">
            <v>1/2" Round 775pro 81</v>
          </cell>
          <cell r="E335">
            <v>1</v>
          </cell>
          <cell r="F335">
            <v>0</v>
          </cell>
        </row>
        <row r="336">
          <cell r="D336" t="str">
            <v>1/2" Round 775pro 90</v>
          </cell>
          <cell r="E336">
            <v>1</v>
          </cell>
          <cell r="F336">
            <v>0</v>
          </cell>
        </row>
        <row r="337">
          <cell r="D337" t="str">
            <v>1/2" Round 775pro 100</v>
          </cell>
          <cell r="E337">
            <v>1</v>
          </cell>
          <cell r="F337">
            <v>0</v>
          </cell>
        </row>
        <row r="338">
          <cell r="D338" t="str">
            <v>3/8" Hex AM 9015 9</v>
          </cell>
          <cell r="E338">
            <v>10</v>
          </cell>
          <cell r="F338">
            <v>10</v>
          </cell>
        </row>
        <row r="339">
          <cell r="D339" t="str">
            <v>3/8" Hex AM 9015 12</v>
          </cell>
          <cell r="E339">
            <v>10</v>
          </cell>
          <cell r="F339">
            <v>7</v>
          </cell>
        </row>
        <row r="340">
          <cell r="D340" t="str">
            <v>3/8" Hex AM 9015 15</v>
          </cell>
          <cell r="E340">
            <v>7</v>
          </cell>
          <cell r="F340">
            <v>5</v>
          </cell>
        </row>
        <row r="341">
          <cell r="D341" t="str">
            <v>3/8" Hex AM 9015 16</v>
          </cell>
          <cell r="E341">
            <v>7</v>
          </cell>
          <cell r="F341">
            <v>5</v>
          </cell>
        </row>
        <row r="342">
          <cell r="D342" t="str">
            <v>3/8" Hex AM 9015 20</v>
          </cell>
          <cell r="E342">
            <v>5</v>
          </cell>
          <cell r="F342">
            <v>4</v>
          </cell>
        </row>
        <row r="343">
          <cell r="D343" t="str">
            <v>3/8" Hex AM 9015 21</v>
          </cell>
          <cell r="E343">
            <v>5</v>
          </cell>
          <cell r="F343">
            <v>4</v>
          </cell>
        </row>
        <row r="344">
          <cell r="D344" t="str">
            <v>3/8" Hex AM 9015 25</v>
          </cell>
          <cell r="E344">
            <v>5</v>
          </cell>
          <cell r="F344">
            <v>3</v>
          </cell>
        </row>
        <row r="345">
          <cell r="D345" t="str">
            <v>3/8" Hex AM 9015 27</v>
          </cell>
          <cell r="E345">
            <v>4</v>
          </cell>
          <cell r="F345">
            <v>3</v>
          </cell>
        </row>
        <row r="346">
          <cell r="D346" t="str">
            <v>3/8" Hex AM 9015 28</v>
          </cell>
          <cell r="E346">
            <v>4</v>
          </cell>
          <cell r="F346">
            <v>3</v>
          </cell>
        </row>
        <row r="347">
          <cell r="D347" t="str">
            <v>3/8" Hex AM 9015 30</v>
          </cell>
          <cell r="E347">
            <v>4</v>
          </cell>
          <cell r="F347">
            <v>3</v>
          </cell>
        </row>
        <row r="348">
          <cell r="D348" t="str">
            <v>3/8" Hex AM 9015 35</v>
          </cell>
          <cell r="E348">
            <v>3</v>
          </cell>
          <cell r="F348">
            <v>1</v>
          </cell>
        </row>
        <row r="349">
          <cell r="D349" t="str">
            <v>3/8" Hex AM 9015 36</v>
          </cell>
          <cell r="E349">
            <v>3</v>
          </cell>
          <cell r="F349">
            <v>1</v>
          </cell>
        </row>
        <row r="350">
          <cell r="D350" t="str">
            <v>3/8" Hex AM 9015 40</v>
          </cell>
          <cell r="E350">
            <v>3</v>
          </cell>
          <cell r="F350">
            <v>1</v>
          </cell>
        </row>
        <row r="351">
          <cell r="D351" t="str">
            <v>3/8" Hex AM 9015 45</v>
          </cell>
          <cell r="E351">
            <v>1</v>
          </cell>
          <cell r="F351">
            <v>1</v>
          </cell>
        </row>
        <row r="352">
          <cell r="D352" t="str">
            <v>3/8" Hex AM 9015 49</v>
          </cell>
          <cell r="E352">
            <v>1</v>
          </cell>
          <cell r="F352">
            <v>1</v>
          </cell>
        </row>
        <row r="353">
          <cell r="D353" t="str">
            <v>3/8" Hex AM 9015 50</v>
          </cell>
          <cell r="E353">
            <v>1</v>
          </cell>
          <cell r="F353">
            <v>1</v>
          </cell>
        </row>
        <row r="354">
          <cell r="D354" t="str">
            <v>3/8" Hex AM 9015 63</v>
          </cell>
          <cell r="E354">
            <v>1</v>
          </cell>
          <cell r="F354">
            <v>1</v>
          </cell>
        </row>
        <row r="355">
          <cell r="D355" t="str">
            <v>3/8" Hex AM 9015 70</v>
          </cell>
          <cell r="E355">
            <v>1</v>
          </cell>
          <cell r="F355">
            <v>1</v>
          </cell>
        </row>
        <row r="356">
          <cell r="D356" t="str">
            <v>3/8" Hex AM 9015 81</v>
          </cell>
          <cell r="E356">
            <v>1</v>
          </cell>
          <cell r="F356">
            <v>1</v>
          </cell>
        </row>
        <row r="357">
          <cell r="D357" t="str">
            <v>3/8" Hex AM 9015 90</v>
          </cell>
          <cell r="E357">
            <v>1</v>
          </cell>
          <cell r="F357">
            <v>1</v>
          </cell>
        </row>
        <row r="358">
          <cell r="D358" t="str">
            <v>3/8" Hex AM 9015 100</v>
          </cell>
          <cell r="E358">
            <v>1</v>
          </cell>
          <cell r="F358">
            <v>0</v>
          </cell>
        </row>
        <row r="359">
          <cell r="D359" t="str">
            <v>3/8" Hex NeveRest 9</v>
          </cell>
          <cell r="E359">
            <v>10</v>
          </cell>
          <cell r="F359">
            <v>10</v>
          </cell>
        </row>
        <row r="360">
          <cell r="D360" t="str">
            <v>3/8" Hex NeveRest 12</v>
          </cell>
          <cell r="E360">
            <v>10</v>
          </cell>
          <cell r="F360">
            <v>10</v>
          </cell>
        </row>
        <row r="361">
          <cell r="D361" t="str">
            <v>3/8" Hex NeveRest 15</v>
          </cell>
          <cell r="E361">
            <v>7</v>
          </cell>
          <cell r="F361">
            <v>10</v>
          </cell>
        </row>
        <row r="362">
          <cell r="D362" t="str">
            <v>3/8" Hex NeveRest 16</v>
          </cell>
          <cell r="E362">
            <v>7</v>
          </cell>
          <cell r="F362">
            <v>10</v>
          </cell>
        </row>
        <row r="363">
          <cell r="D363" t="str">
            <v>3/8" Hex NeveRest 20</v>
          </cell>
          <cell r="E363">
            <v>5</v>
          </cell>
          <cell r="F363">
            <v>10</v>
          </cell>
        </row>
        <row r="364">
          <cell r="D364" t="str">
            <v>3/8" Hex NeveRest 21</v>
          </cell>
          <cell r="E364">
            <v>5</v>
          </cell>
          <cell r="F364">
            <v>9</v>
          </cell>
        </row>
        <row r="365">
          <cell r="D365" t="str">
            <v>3/8" Hex NeveRest 25</v>
          </cell>
          <cell r="E365">
            <v>5</v>
          </cell>
          <cell r="F365">
            <v>7</v>
          </cell>
        </row>
        <row r="366">
          <cell r="D366" t="str">
            <v>3/8" Hex NeveRest 27</v>
          </cell>
          <cell r="E366">
            <v>4</v>
          </cell>
          <cell r="F366">
            <v>7</v>
          </cell>
        </row>
        <row r="367">
          <cell r="D367" t="str">
            <v>3/8" Hex NeveRest 28</v>
          </cell>
          <cell r="E367">
            <v>4</v>
          </cell>
          <cell r="F367">
            <v>7</v>
          </cell>
        </row>
        <row r="368">
          <cell r="D368" t="str">
            <v>3/8" Hex NeveRest 30</v>
          </cell>
          <cell r="E368">
            <v>4</v>
          </cell>
          <cell r="F368">
            <v>5</v>
          </cell>
        </row>
        <row r="369">
          <cell r="D369" t="str">
            <v>3/8" Hex NeveRest 35</v>
          </cell>
          <cell r="E369">
            <v>3</v>
          </cell>
          <cell r="F369">
            <v>5</v>
          </cell>
        </row>
        <row r="370">
          <cell r="D370" t="str">
            <v>3/8" Hex NeveRest 36</v>
          </cell>
          <cell r="E370">
            <v>3</v>
          </cell>
          <cell r="F370">
            <v>5</v>
          </cell>
        </row>
        <row r="371">
          <cell r="D371" t="str">
            <v>3/8" Hex NeveRest 40</v>
          </cell>
          <cell r="E371">
            <v>3</v>
          </cell>
          <cell r="F371">
            <v>5</v>
          </cell>
        </row>
        <row r="372">
          <cell r="D372" t="str">
            <v>3/8" Hex NeveRest 45</v>
          </cell>
          <cell r="E372">
            <v>1</v>
          </cell>
          <cell r="F372">
            <v>4</v>
          </cell>
        </row>
        <row r="373">
          <cell r="D373" t="str">
            <v>3/8" Hex NeveRest 49</v>
          </cell>
          <cell r="E373">
            <v>1</v>
          </cell>
          <cell r="F373">
            <v>4</v>
          </cell>
        </row>
        <row r="374">
          <cell r="D374" t="str">
            <v>3/8" Hex NeveRest 50</v>
          </cell>
          <cell r="E374">
            <v>1</v>
          </cell>
          <cell r="F374">
            <v>4</v>
          </cell>
        </row>
        <row r="375">
          <cell r="D375" t="str">
            <v>3/8" Hex NeveRest 63</v>
          </cell>
          <cell r="E375">
            <v>1</v>
          </cell>
          <cell r="F375">
            <v>3</v>
          </cell>
        </row>
        <row r="376">
          <cell r="D376" t="str">
            <v>3/8" Hex NeveRest 70</v>
          </cell>
          <cell r="E376">
            <v>1</v>
          </cell>
          <cell r="F376">
            <v>1</v>
          </cell>
        </row>
        <row r="377">
          <cell r="D377" t="str">
            <v>3/8" Hex NeveRest 81</v>
          </cell>
          <cell r="E377">
            <v>1</v>
          </cell>
          <cell r="F377">
            <v>1</v>
          </cell>
        </row>
        <row r="378">
          <cell r="D378" t="str">
            <v>3/8" Hex NeveRest 90</v>
          </cell>
          <cell r="E378">
            <v>1</v>
          </cell>
          <cell r="F378">
            <v>1</v>
          </cell>
        </row>
        <row r="379">
          <cell r="D379" t="str">
            <v>3/8" Hex NeveRest 100</v>
          </cell>
          <cell r="E379">
            <v>1</v>
          </cell>
          <cell r="F379">
            <v>1</v>
          </cell>
        </row>
        <row r="380">
          <cell r="D380" t="str">
            <v>3/8" Hex BB RS-550 9</v>
          </cell>
          <cell r="E380">
            <v>10</v>
          </cell>
          <cell r="F380">
            <v>10</v>
          </cell>
        </row>
        <row r="381">
          <cell r="D381" t="str">
            <v>3/8" Hex BB RS-550 12</v>
          </cell>
          <cell r="E381">
            <v>10</v>
          </cell>
          <cell r="F381">
            <v>7</v>
          </cell>
        </row>
        <row r="382">
          <cell r="D382" t="str">
            <v>3/8" Hex BB RS-550 15</v>
          </cell>
          <cell r="E382">
            <v>7</v>
          </cell>
          <cell r="F382">
            <v>5</v>
          </cell>
        </row>
        <row r="383">
          <cell r="D383" t="str">
            <v>3/8" Hex BB RS-550 16</v>
          </cell>
          <cell r="E383">
            <v>7</v>
          </cell>
          <cell r="F383">
            <v>5</v>
          </cell>
        </row>
        <row r="384">
          <cell r="D384" t="str">
            <v>3/8" Hex BB RS-550 20</v>
          </cell>
          <cell r="E384">
            <v>5</v>
          </cell>
          <cell r="F384">
            <v>4</v>
          </cell>
        </row>
        <row r="385">
          <cell r="D385" t="str">
            <v>3/8" Hex BB RS-550 21</v>
          </cell>
          <cell r="E385">
            <v>5</v>
          </cell>
          <cell r="F385">
            <v>4</v>
          </cell>
        </row>
        <row r="386">
          <cell r="D386" t="str">
            <v>3/8" Hex BB RS-550 25</v>
          </cell>
          <cell r="E386">
            <v>5</v>
          </cell>
          <cell r="F386">
            <v>3</v>
          </cell>
        </row>
        <row r="387">
          <cell r="D387" t="str">
            <v>3/8" Hex BB RS-550 27</v>
          </cell>
          <cell r="E387">
            <v>4</v>
          </cell>
          <cell r="F387">
            <v>3</v>
          </cell>
        </row>
        <row r="388">
          <cell r="D388" t="str">
            <v>3/8" Hex BB RS-550 28</v>
          </cell>
          <cell r="E388">
            <v>4</v>
          </cell>
          <cell r="F388">
            <v>3</v>
          </cell>
        </row>
        <row r="389">
          <cell r="D389" t="str">
            <v>3/8" Hex BB RS-550 30</v>
          </cell>
          <cell r="E389">
            <v>4</v>
          </cell>
          <cell r="F389">
            <v>3</v>
          </cell>
        </row>
        <row r="390">
          <cell r="D390" t="str">
            <v>3/8" Hex BB RS-550 35</v>
          </cell>
          <cell r="E390">
            <v>3</v>
          </cell>
          <cell r="F390">
            <v>1</v>
          </cell>
        </row>
        <row r="391">
          <cell r="D391" t="str">
            <v>3/8" Hex BB RS-550 36</v>
          </cell>
          <cell r="E391">
            <v>3</v>
          </cell>
          <cell r="F391">
            <v>1</v>
          </cell>
        </row>
        <row r="392">
          <cell r="D392" t="str">
            <v>3/8" Hex BB RS-550 40</v>
          </cell>
          <cell r="E392">
            <v>3</v>
          </cell>
          <cell r="F392">
            <v>5</v>
          </cell>
        </row>
        <row r="393">
          <cell r="D393" t="str">
            <v>3/8" Hex BB RS-550 45</v>
          </cell>
          <cell r="E393">
            <v>1</v>
          </cell>
          <cell r="F393">
            <v>4</v>
          </cell>
        </row>
        <row r="394">
          <cell r="D394" t="str">
            <v>3/8" Hex BB RS-550 49</v>
          </cell>
          <cell r="E394">
            <v>1</v>
          </cell>
          <cell r="F394">
            <v>4</v>
          </cell>
        </row>
        <row r="395">
          <cell r="D395" t="str">
            <v>3/8" Hex BB RS-550 50</v>
          </cell>
          <cell r="E395">
            <v>1</v>
          </cell>
          <cell r="F395">
            <v>1</v>
          </cell>
        </row>
        <row r="396">
          <cell r="D396" t="str">
            <v>3/8" Hex BB RS-550 63</v>
          </cell>
          <cell r="E396">
            <v>1</v>
          </cell>
          <cell r="F396">
            <v>1</v>
          </cell>
        </row>
        <row r="397">
          <cell r="D397" t="str">
            <v>3/8" Hex BB RS-550 70</v>
          </cell>
          <cell r="E397">
            <v>1</v>
          </cell>
          <cell r="F397">
            <v>1</v>
          </cell>
        </row>
        <row r="398">
          <cell r="D398" t="str">
            <v>3/8" Hex BB RS-550 81</v>
          </cell>
          <cell r="E398">
            <v>1</v>
          </cell>
          <cell r="F398">
            <v>1</v>
          </cell>
        </row>
        <row r="399">
          <cell r="D399" t="str">
            <v>3/8" Hex BB RS-550 90</v>
          </cell>
          <cell r="E399">
            <v>1</v>
          </cell>
          <cell r="F399">
            <v>1</v>
          </cell>
        </row>
        <row r="400">
          <cell r="D400" t="str">
            <v>3/8" Hex BB RS-550 100</v>
          </cell>
          <cell r="E400">
            <v>1</v>
          </cell>
          <cell r="F400">
            <v>0</v>
          </cell>
        </row>
        <row r="401">
          <cell r="D401" t="str">
            <v>3/8" Hex BB RS-775 9</v>
          </cell>
          <cell r="E401">
            <v>7</v>
          </cell>
          <cell r="F401">
            <v>10</v>
          </cell>
        </row>
        <row r="402">
          <cell r="D402" t="str">
            <v>3/8" Hex BB RS-775 12</v>
          </cell>
          <cell r="E402">
            <v>5</v>
          </cell>
          <cell r="F402">
            <v>10</v>
          </cell>
        </row>
        <row r="403">
          <cell r="D403" t="str">
            <v>3/8" Hex BB RS-775 15</v>
          </cell>
          <cell r="E403">
            <v>4</v>
          </cell>
          <cell r="F403">
            <v>7</v>
          </cell>
        </row>
        <row r="404">
          <cell r="D404" t="str">
            <v>3/8" Hex BB RS-775 16</v>
          </cell>
          <cell r="E404">
            <v>4</v>
          </cell>
          <cell r="F404">
            <v>7</v>
          </cell>
        </row>
        <row r="405">
          <cell r="D405" t="str">
            <v>3/8" Hex BB RS-775 20</v>
          </cell>
          <cell r="E405">
            <v>3</v>
          </cell>
          <cell r="F405">
            <v>5</v>
          </cell>
        </row>
        <row r="406">
          <cell r="D406" t="str">
            <v>3/8" Hex BB RS-775 21</v>
          </cell>
          <cell r="E406">
            <v>3</v>
          </cell>
          <cell r="F406">
            <v>5</v>
          </cell>
        </row>
        <row r="407">
          <cell r="D407" t="str">
            <v>3/8" Hex BB RS-775 25</v>
          </cell>
          <cell r="E407">
            <v>1</v>
          </cell>
          <cell r="F407">
            <v>5</v>
          </cell>
        </row>
        <row r="408">
          <cell r="D408" t="str">
            <v>3/8" Hex BB RS-775 27</v>
          </cell>
          <cell r="E408">
            <v>1</v>
          </cell>
          <cell r="F408">
            <v>4</v>
          </cell>
        </row>
        <row r="409">
          <cell r="D409" t="str">
            <v>3/8" Hex BB RS-775 28</v>
          </cell>
          <cell r="E409">
            <v>1</v>
          </cell>
          <cell r="F409">
            <v>4</v>
          </cell>
        </row>
        <row r="410">
          <cell r="D410" t="str">
            <v>3/8" Hex BB RS-775 30</v>
          </cell>
          <cell r="E410">
            <v>1</v>
          </cell>
          <cell r="F410">
            <v>4</v>
          </cell>
        </row>
        <row r="411">
          <cell r="D411" t="str">
            <v>3/8" Hex BB RS-775 35</v>
          </cell>
          <cell r="E411">
            <v>1</v>
          </cell>
          <cell r="F411">
            <v>3</v>
          </cell>
        </row>
        <row r="412">
          <cell r="D412" t="str">
            <v>3/8" Hex BB RS-775 36</v>
          </cell>
          <cell r="E412">
            <v>1</v>
          </cell>
          <cell r="F412">
            <v>3</v>
          </cell>
        </row>
        <row r="413">
          <cell r="D413" t="str">
            <v>3/8" Hex BB RS-775 40</v>
          </cell>
          <cell r="E413">
            <v>1</v>
          </cell>
          <cell r="F413">
            <v>3</v>
          </cell>
        </row>
        <row r="414">
          <cell r="D414" t="str">
            <v>3/8" Hex BB RS-775 45</v>
          </cell>
          <cell r="E414">
            <v>1</v>
          </cell>
          <cell r="F414">
            <v>1</v>
          </cell>
        </row>
        <row r="415">
          <cell r="D415" t="str">
            <v>3/8" Hex BB RS-775 49</v>
          </cell>
          <cell r="E415">
            <v>1</v>
          </cell>
          <cell r="F415">
            <v>1</v>
          </cell>
        </row>
        <row r="416">
          <cell r="D416" t="str">
            <v>3/8" Hex BB RS-775 50</v>
          </cell>
          <cell r="E416">
            <v>1</v>
          </cell>
          <cell r="F416">
            <v>1</v>
          </cell>
        </row>
        <row r="417">
          <cell r="D417" t="str">
            <v>3/8" Hex BB RS-775 63</v>
          </cell>
          <cell r="E417">
            <v>1</v>
          </cell>
          <cell r="F417">
            <v>1</v>
          </cell>
        </row>
        <row r="418">
          <cell r="D418" t="str">
            <v>3/8" Hex BB RS-775 70</v>
          </cell>
          <cell r="E418">
            <v>1</v>
          </cell>
          <cell r="F418">
            <v>1</v>
          </cell>
        </row>
        <row r="419">
          <cell r="D419" t="str">
            <v>3/8" Hex BB RS-775 81</v>
          </cell>
          <cell r="E419">
            <v>0</v>
          </cell>
          <cell r="F419">
            <v>1</v>
          </cell>
        </row>
        <row r="420">
          <cell r="D420" t="str">
            <v>3/8" Hex BB RS-775 90</v>
          </cell>
          <cell r="E420">
            <v>0</v>
          </cell>
          <cell r="F420">
            <v>1</v>
          </cell>
        </row>
        <row r="421">
          <cell r="D421" t="str">
            <v>3/8" Hex BB RS-775 100</v>
          </cell>
          <cell r="E421">
            <v>0</v>
          </cell>
          <cell r="F421">
            <v>1</v>
          </cell>
        </row>
        <row r="422">
          <cell r="D422" t="str">
            <v>3/8" Hex BAG 9</v>
          </cell>
          <cell r="E422">
            <v>10</v>
          </cell>
          <cell r="F422">
            <v>9</v>
          </cell>
        </row>
        <row r="423">
          <cell r="D423" t="str">
            <v>3/8" Hex BAG 12</v>
          </cell>
          <cell r="E423">
            <v>10</v>
          </cell>
          <cell r="F423">
            <v>5</v>
          </cell>
        </row>
        <row r="424">
          <cell r="D424" t="str">
            <v>3/8" Hex BAG 15</v>
          </cell>
          <cell r="E424">
            <v>7</v>
          </cell>
          <cell r="F424">
            <v>5</v>
          </cell>
        </row>
        <row r="425">
          <cell r="D425" t="str">
            <v>3/8" Hex BAG 16</v>
          </cell>
          <cell r="E425">
            <v>7</v>
          </cell>
          <cell r="F425">
            <v>5</v>
          </cell>
        </row>
        <row r="426">
          <cell r="D426" t="str">
            <v>3/8" Hex BAG 20</v>
          </cell>
          <cell r="E426">
            <v>5</v>
          </cell>
          <cell r="F426">
            <v>4</v>
          </cell>
        </row>
        <row r="427">
          <cell r="D427" t="str">
            <v>3/8" Hex BAG 21</v>
          </cell>
          <cell r="E427">
            <v>5</v>
          </cell>
          <cell r="F427">
            <v>3</v>
          </cell>
        </row>
        <row r="428">
          <cell r="D428" t="str">
            <v>3/8" Hex BAG 25</v>
          </cell>
          <cell r="E428">
            <v>5</v>
          </cell>
          <cell r="F428">
            <v>3</v>
          </cell>
        </row>
        <row r="429">
          <cell r="D429" t="str">
            <v>3/8" Hex BAG 27</v>
          </cell>
          <cell r="E429">
            <v>4</v>
          </cell>
          <cell r="F429">
            <v>3</v>
          </cell>
        </row>
        <row r="430">
          <cell r="D430" t="str">
            <v>3/8" Hex BAG 28</v>
          </cell>
          <cell r="E430">
            <v>4</v>
          </cell>
          <cell r="F430">
            <v>1</v>
          </cell>
        </row>
        <row r="431">
          <cell r="D431" t="str">
            <v>3/8" Hex BAG 30</v>
          </cell>
          <cell r="E431">
            <v>4</v>
          </cell>
          <cell r="F431">
            <v>1</v>
          </cell>
        </row>
        <row r="432">
          <cell r="D432" t="str">
            <v>3/8" Hex BAG 35</v>
          </cell>
          <cell r="E432">
            <v>3</v>
          </cell>
          <cell r="F432">
            <v>1</v>
          </cell>
        </row>
        <row r="433">
          <cell r="D433" t="str">
            <v>3/8" Hex BAG 36</v>
          </cell>
          <cell r="E433">
            <v>3</v>
          </cell>
          <cell r="F433">
            <v>1</v>
          </cell>
        </row>
        <row r="434">
          <cell r="D434" t="str">
            <v>3/8" Hex BAG 40</v>
          </cell>
          <cell r="E434">
            <v>3</v>
          </cell>
          <cell r="F434">
            <v>1</v>
          </cell>
        </row>
        <row r="435">
          <cell r="D435" t="str">
            <v>3/8" Hex BAG 45</v>
          </cell>
          <cell r="E435">
            <v>1</v>
          </cell>
          <cell r="F435">
            <v>1</v>
          </cell>
        </row>
        <row r="436">
          <cell r="D436" t="str">
            <v>3/8" Hex BAG 49</v>
          </cell>
          <cell r="E436">
            <v>1</v>
          </cell>
          <cell r="F436">
            <v>1</v>
          </cell>
        </row>
        <row r="437">
          <cell r="D437" t="str">
            <v>3/8" Hex BAG 50</v>
          </cell>
          <cell r="E437">
            <v>1</v>
          </cell>
          <cell r="F437">
            <v>1</v>
          </cell>
        </row>
        <row r="438">
          <cell r="D438" t="str">
            <v>3/8" Hex BAG 63</v>
          </cell>
          <cell r="E438">
            <v>1</v>
          </cell>
          <cell r="F438">
            <v>1</v>
          </cell>
        </row>
        <row r="439">
          <cell r="D439" t="str">
            <v>3/8" Hex BAG 70</v>
          </cell>
          <cell r="E439">
            <v>1</v>
          </cell>
          <cell r="F439">
            <v>1</v>
          </cell>
        </row>
        <row r="440">
          <cell r="D440" t="str">
            <v>3/8" Hex BAG 81</v>
          </cell>
          <cell r="E440">
            <v>1</v>
          </cell>
          <cell r="F440">
            <v>1</v>
          </cell>
        </row>
        <row r="441">
          <cell r="D441" t="str">
            <v>3/8" Hex BAG 90</v>
          </cell>
          <cell r="E441">
            <v>1</v>
          </cell>
          <cell r="F441">
            <v>0</v>
          </cell>
        </row>
        <row r="442">
          <cell r="D442" t="str">
            <v>3/8" Hex BAG 100</v>
          </cell>
          <cell r="E442">
            <v>1</v>
          </cell>
          <cell r="F442">
            <v>0</v>
          </cell>
        </row>
        <row r="443">
          <cell r="D443" t="str">
            <v>3/8" Hex Mini CIM 9</v>
          </cell>
          <cell r="E443">
            <v>4</v>
          </cell>
          <cell r="F443">
            <v>0</v>
          </cell>
        </row>
        <row r="444">
          <cell r="D444" t="str">
            <v>3/8" Hex Mini CIM 12</v>
          </cell>
          <cell r="E444">
            <v>3</v>
          </cell>
          <cell r="F444">
            <v>0</v>
          </cell>
        </row>
        <row r="445">
          <cell r="D445" t="str">
            <v>3/8" Hex Mini CIM 15</v>
          </cell>
          <cell r="E445">
            <v>1</v>
          </cell>
          <cell r="F445">
            <v>0</v>
          </cell>
        </row>
        <row r="446">
          <cell r="D446" t="str">
            <v>3/8" Hex Mini CIM 16</v>
          </cell>
          <cell r="E446">
            <v>1</v>
          </cell>
          <cell r="F446">
            <v>0</v>
          </cell>
        </row>
        <row r="447">
          <cell r="D447" t="str">
            <v>3/8" Hex Mini CIM 20</v>
          </cell>
          <cell r="E447">
            <v>1</v>
          </cell>
          <cell r="F447">
            <v>0</v>
          </cell>
        </row>
        <row r="448">
          <cell r="D448" t="str">
            <v>3/8" Hex Mini CIM 21</v>
          </cell>
          <cell r="E448">
            <v>1</v>
          </cell>
          <cell r="F448">
            <v>0</v>
          </cell>
        </row>
        <row r="449">
          <cell r="D449" t="str">
            <v>3/8" Hex Mini CIM 25</v>
          </cell>
          <cell r="E449">
            <v>1</v>
          </cell>
          <cell r="F449">
            <v>0</v>
          </cell>
        </row>
        <row r="450">
          <cell r="D450" t="str">
            <v>3/8" Hex Mini CIM 27</v>
          </cell>
          <cell r="E450">
            <v>1</v>
          </cell>
          <cell r="F450">
            <v>0</v>
          </cell>
        </row>
        <row r="451">
          <cell r="D451" t="str">
            <v>3/8" Hex Mini CIM 28</v>
          </cell>
          <cell r="E451">
            <v>1</v>
          </cell>
          <cell r="F451">
            <v>0</v>
          </cell>
        </row>
        <row r="452">
          <cell r="D452" t="str">
            <v>3/8" Hex Mini CIM 30</v>
          </cell>
          <cell r="E452">
            <v>1</v>
          </cell>
          <cell r="F452">
            <v>0</v>
          </cell>
        </row>
        <row r="453">
          <cell r="D453" t="str">
            <v>3/8" Hex Mini CIM 35</v>
          </cell>
          <cell r="E453">
            <v>1</v>
          </cell>
          <cell r="F453">
            <v>0</v>
          </cell>
        </row>
        <row r="454">
          <cell r="D454" t="str">
            <v>3/8" Hex Mini CIM 36</v>
          </cell>
          <cell r="E454">
            <v>1</v>
          </cell>
          <cell r="F454">
            <v>0</v>
          </cell>
        </row>
        <row r="455">
          <cell r="D455" t="str">
            <v>3/8" Hex Mini CIM 40</v>
          </cell>
          <cell r="E455">
            <v>1</v>
          </cell>
          <cell r="F455">
            <v>0</v>
          </cell>
        </row>
        <row r="456">
          <cell r="D456" t="str">
            <v>3/8" Hex Mini CIM 45</v>
          </cell>
          <cell r="E456">
            <v>0</v>
          </cell>
          <cell r="F456">
            <v>0</v>
          </cell>
        </row>
        <row r="457">
          <cell r="D457" t="str">
            <v>3/8" Hex Mini CIM 49</v>
          </cell>
          <cell r="E457">
            <v>0</v>
          </cell>
          <cell r="F457">
            <v>0</v>
          </cell>
        </row>
        <row r="458">
          <cell r="D458" t="str">
            <v>3/8" Hex Mini CIM 50</v>
          </cell>
          <cell r="E458">
            <v>0</v>
          </cell>
          <cell r="F458">
            <v>0</v>
          </cell>
        </row>
        <row r="459">
          <cell r="D459" t="str">
            <v>3/8" Hex Mini CIM 63</v>
          </cell>
          <cell r="E459">
            <v>0</v>
          </cell>
          <cell r="F459">
            <v>0</v>
          </cell>
        </row>
        <row r="460">
          <cell r="D460" t="str">
            <v>3/8" Hex Mini CIM 70</v>
          </cell>
          <cell r="E460">
            <v>0</v>
          </cell>
          <cell r="F460">
            <v>0</v>
          </cell>
        </row>
        <row r="461">
          <cell r="D461" t="str">
            <v>3/8" Hex Mini CIM 81</v>
          </cell>
          <cell r="E461">
            <v>0</v>
          </cell>
          <cell r="F461">
            <v>0</v>
          </cell>
        </row>
        <row r="462">
          <cell r="D462" t="str">
            <v>3/8" Hex Mini CIM 90</v>
          </cell>
          <cell r="E462">
            <v>0</v>
          </cell>
          <cell r="F462">
            <v>0</v>
          </cell>
        </row>
        <row r="463">
          <cell r="D463" t="str">
            <v>3/8" Hex Mini CIM 100</v>
          </cell>
          <cell r="E463">
            <v>0</v>
          </cell>
          <cell r="F463">
            <v>0</v>
          </cell>
        </row>
        <row r="464">
          <cell r="D464" t="str">
            <v>3/8" Hex CIM 9</v>
          </cell>
          <cell r="E464">
            <v>1</v>
          </cell>
          <cell r="F464">
            <v>0</v>
          </cell>
        </row>
        <row r="465">
          <cell r="D465" t="str">
            <v>3/8" Hex CIM 12</v>
          </cell>
          <cell r="E465">
            <v>1</v>
          </cell>
          <cell r="F465">
            <v>0</v>
          </cell>
        </row>
        <row r="466">
          <cell r="D466" t="str">
            <v>3/8" Hex CIM 15</v>
          </cell>
          <cell r="E466">
            <v>1</v>
          </cell>
          <cell r="F466">
            <v>0</v>
          </cell>
        </row>
        <row r="467">
          <cell r="D467" t="str">
            <v>3/8" Hex CIM 16</v>
          </cell>
          <cell r="E467">
            <v>1</v>
          </cell>
          <cell r="F467">
            <v>0</v>
          </cell>
        </row>
        <row r="468">
          <cell r="D468" t="str">
            <v>3/8" Hex CIM 20</v>
          </cell>
          <cell r="E468">
            <v>1</v>
          </cell>
          <cell r="F468">
            <v>0</v>
          </cell>
        </row>
        <row r="469">
          <cell r="D469" t="str">
            <v>3/8" Hex CIM 21</v>
          </cell>
          <cell r="E469">
            <v>1</v>
          </cell>
          <cell r="F469">
            <v>0</v>
          </cell>
        </row>
        <row r="470">
          <cell r="D470" t="str">
            <v>3/8" Hex CIM 25</v>
          </cell>
          <cell r="E470">
            <v>0</v>
          </cell>
          <cell r="F470">
            <v>0</v>
          </cell>
        </row>
        <row r="471">
          <cell r="D471" t="str">
            <v>3/8" Hex CIM 27</v>
          </cell>
          <cell r="E471">
            <v>0</v>
          </cell>
          <cell r="F471">
            <v>0</v>
          </cell>
        </row>
        <row r="472">
          <cell r="D472" t="str">
            <v>3/8" Hex CIM 28</v>
          </cell>
          <cell r="E472">
            <v>0</v>
          </cell>
          <cell r="F472">
            <v>0</v>
          </cell>
        </row>
        <row r="473">
          <cell r="D473" t="str">
            <v>3/8" Hex CIM 30</v>
          </cell>
          <cell r="E473">
            <v>0</v>
          </cell>
          <cell r="F473">
            <v>0</v>
          </cell>
        </row>
        <row r="474">
          <cell r="D474" t="str">
            <v>3/8" Hex CIM 35</v>
          </cell>
          <cell r="E474">
            <v>0</v>
          </cell>
          <cell r="F474">
            <v>0</v>
          </cell>
        </row>
        <row r="475">
          <cell r="D475" t="str">
            <v>3/8" Hex CIM 36</v>
          </cell>
          <cell r="E475">
            <v>0</v>
          </cell>
          <cell r="F475">
            <v>0</v>
          </cell>
        </row>
        <row r="476">
          <cell r="D476" t="str">
            <v>3/8" Hex CIM 40</v>
          </cell>
          <cell r="E476">
            <v>0</v>
          </cell>
          <cell r="F476">
            <v>0</v>
          </cell>
        </row>
        <row r="477">
          <cell r="D477" t="str">
            <v>3/8" Hex CIM 45</v>
          </cell>
          <cell r="E477">
            <v>0</v>
          </cell>
          <cell r="F477">
            <v>0</v>
          </cell>
        </row>
        <row r="478">
          <cell r="D478" t="str">
            <v>3/8" Hex CIM 49</v>
          </cell>
          <cell r="E478">
            <v>0</v>
          </cell>
          <cell r="F478">
            <v>0</v>
          </cell>
        </row>
        <row r="479">
          <cell r="D479" t="str">
            <v>3/8" Hex CIM 50</v>
          </cell>
          <cell r="E479">
            <v>0</v>
          </cell>
          <cell r="F479">
            <v>0</v>
          </cell>
        </row>
        <row r="480">
          <cell r="D480" t="str">
            <v>3/8" Hex CIM 63</v>
          </cell>
          <cell r="E480">
            <v>0</v>
          </cell>
          <cell r="F480">
            <v>0</v>
          </cell>
        </row>
        <row r="481">
          <cell r="D481" t="str">
            <v>3/8" Hex CIM 70</v>
          </cell>
          <cell r="E481">
            <v>0</v>
          </cell>
          <cell r="F481">
            <v>0</v>
          </cell>
        </row>
        <row r="482">
          <cell r="D482" t="str">
            <v>3/8" Hex CIM 81</v>
          </cell>
          <cell r="E482">
            <v>0</v>
          </cell>
          <cell r="F482">
            <v>0</v>
          </cell>
        </row>
        <row r="483">
          <cell r="D483" t="str">
            <v>3/8" Hex CIM 90</v>
          </cell>
          <cell r="E483">
            <v>0</v>
          </cell>
          <cell r="F483">
            <v>0</v>
          </cell>
        </row>
        <row r="484">
          <cell r="D484" t="str">
            <v>3/8" Hex CIM 100</v>
          </cell>
          <cell r="E484">
            <v>0</v>
          </cell>
          <cell r="F484">
            <v>0</v>
          </cell>
        </row>
        <row r="485">
          <cell r="D485" t="str">
            <v>3/8" Hex 775pro 9</v>
          </cell>
          <cell r="E485">
            <v>7</v>
          </cell>
          <cell r="F485">
            <v>5</v>
          </cell>
        </row>
        <row r="486">
          <cell r="D486" t="str">
            <v>3/8" Hex 775pro 12</v>
          </cell>
          <cell r="E486">
            <v>5</v>
          </cell>
          <cell r="F486">
            <v>4</v>
          </cell>
        </row>
        <row r="487">
          <cell r="D487" t="str">
            <v>3/8" Hex 775pro 15</v>
          </cell>
          <cell r="E487">
            <v>5</v>
          </cell>
          <cell r="F487">
            <v>3</v>
          </cell>
        </row>
        <row r="488">
          <cell r="D488" t="str">
            <v>3/8" Hex 775pro 16</v>
          </cell>
          <cell r="E488">
            <v>4</v>
          </cell>
          <cell r="F488">
            <v>3</v>
          </cell>
        </row>
        <row r="489">
          <cell r="D489" t="str">
            <v>3/8" Hex 775pro 20</v>
          </cell>
          <cell r="E489">
            <v>3</v>
          </cell>
          <cell r="F489">
            <v>1</v>
          </cell>
        </row>
        <row r="490">
          <cell r="D490" t="str">
            <v>3/8" Hex 775pro 21</v>
          </cell>
          <cell r="E490">
            <v>3</v>
          </cell>
          <cell r="F490">
            <v>1</v>
          </cell>
        </row>
        <row r="491">
          <cell r="D491" t="str">
            <v>3/8" Hex 775pro 25</v>
          </cell>
          <cell r="E491">
            <v>3</v>
          </cell>
          <cell r="F491">
            <v>1</v>
          </cell>
        </row>
        <row r="492">
          <cell r="D492" t="str">
            <v>3/8" Hex 775pro 27</v>
          </cell>
          <cell r="E492">
            <v>1</v>
          </cell>
          <cell r="F492">
            <v>1</v>
          </cell>
        </row>
        <row r="493">
          <cell r="D493" t="str">
            <v>3/8" Hex 775pro 28</v>
          </cell>
          <cell r="E493">
            <v>1</v>
          </cell>
          <cell r="F493">
            <v>1</v>
          </cell>
        </row>
        <row r="494">
          <cell r="D494" t="str">
            <v>3/8" Hex 775pro 30</v>
          </cell>
          <cell r="E494">
            <v>1</v>
          </cell>
          <cell r="F494">
            <v>1</v>
          </cell>
        </row>
        <row r="495">
          <cell r="D495" t="str">
            <v>3/8" Hex 775pro 35</v>
          </cell>
          <cell r="E495">
            <v>1</v>
          </cell>
          <cell r="F495">
            <v>1</v>
          </cell>
        </row>
        <row r="496">
          <cell r="D496" t="str">
            <v>3/8" Hex 775pro 36</v>
          </cell>
          <cell r="E496">
            <v>1</v>
          </cell>
          <cell r="F496">
            <v>1</v>
          </cell>
        </row>
        <row r="497">
          <cell r="D497" t="str">
            <v>3/8" Hex 775pro 40</v>
          </cell>
          <cell r="E497">
            <v>1</v>
          </cell>
          <cell r="F497">
            <v>1</v>
          </cell>
        </row>
        <row r="498">
          <cell r="D498" t="str">
            <v>3/8" Hex 775pro 45</v>
          </cell>
          <cell r="E498">
            <v>1</v>
          </cell>
          <cell r="F498">
            <v>1</v>
          </cell>
        </row>
        <row r="499">
          <cell r="D499" t="str">
            <v>3/8" Hex 775pro 49</v>
          </cell>
          <cell r="E499">
            <v>1</v>
          </cell>
          <cell r="F499">
            <v>1</v>
          </cell>
        </row>
        <row r="500">
          <cell r="D500" t="str">
            <v>3/8" Hex 775pro 50</v>
          </cell>
          <cell r="E500">
            <v>1</v>
          </cell>
          <cell r="F500">
            <v>0</v>
          </cell>
        </row>
        <row r="501">
          <cell r="D501" t="str">
            <v>3/8" Hex 775pro 63</v>
          </cell>
          <cell r="E501">
            <v>1</v>
          </cell>
          <cell r="F501">
            <v>0</v>
          </cell>
        </row>
        <row r="502">
          <cell r="D502" t="str">
            <v>3/8" Hex 775pro 70</v>
          </cell>
          <cell r="E502">
            <v>1</v>
          </cell>
          <cell r="F502">
            <v>0</v>
          </cell>
        </row>
        <row r="503">
          <cell r="D503" t="str">
            <v>3/8" Hex 775pro 81</v>
          </cell>
          <cell r="E503">
            <v>0</v>
          </cell>
          <cell r="F503">
            <v>0</v>
          </cell>
        </row>
        <row r="504">
          <cell r="D504" t="str">
            <v>3/8" Hex 775pro 90</v>
          </cell>
          <cell r="E504">
            <v>0</v>
          </cell>
          <cell r="F504">
            <v>0</v>
          </cell>
        </row>
        <row r="505">
          <cell r="D505" t="str">
            <v>3/8" Hex 775pro 100</v>
          </cell>
          <cell r="E505">
            <v>0</v>
          </cell>
          <cell r="F505">
            <v>0</v>
          </cell>
        </row>
        <row r="506">
          <cell r="D506" t="str">
            <v>CIM Motor AM 9015 9</v>
          </cell>
          <cell r="E506">
            <v>7</v>
          </cell>
          <cell r="F506">
            <v>7</v>
          </cell>
        </row>
        <row r="507">
          <cell r="D507" t="str">
            <v>CIM Motor AM 9015 12</v>
          </cell>
          <cell r="E507">
            <v>5</v>
          </cell>
          <cell r="F507">
            <v>5</v>
          </cell>
        </row>
        <row r="508">
          <cell r="D508" t="str">
            <v>CIM Motor AM 9015 15</v>
          </cell>
          <cell r="E508">
            <v>4</v>
          </cell>
          <cell r="F508">
            <v>5</v>
          </cell>
        </row>
        <row r="509">
          <cell r="D509" t="str">
            <v>CIM Motor AM 9015 16</v>
          </cell>
          <cell r="E509">
            <v>4</v>
          </cell>
          <cell r="F509">
            <v>5</v>
          </cell>
        </row>
        <row r="510">
          <cell r="D510" t="str">
            <v>CIM Motor AM 9015 20</v>
          </cell>
          <cell r="E510">
            <v>3</v>
          </cell>
          <cell r="F510">
            <v>4</v>
          </cell>
        </row>
        <row r="511">
          <cell r="D511" t="str">
            <v>CIM Motor AM 9015 21</v>
          </cell>
          <cell r="E511">
            <v>3</v>
          </cell>
          <cell r="F511">
            <v>3</v>
          </cell>
        </row>
        <row r="512">
          <cell r="D512" t="str">
            <v>CIM Motor AM 9015 25</v>
          </cell>
          <cell r="E512">
            <v>1</v>
          </cell>
          <cell r="F512">
            <v>3</v>
          </cell>
        </row>
        <row r="513">
          <cell r="D513" t="str">
            <v>CIM Motor AM 9015 27</v>
          </cell>
          <cell r="E513">
            <v>1</v>
          </cell>
          <cell r="F513">
            <v>1</v>
          </cell>
        </row>
        <row r="514">
          <cell r="D514" t="str">
            <v>CIM Motor AM 9015 28</v>
          </cell>
          <cell r="E514">
            <v>1</v>
          </cell>
          <cell r="F514">
            <v>1</v>
          </cell>
        </row>
        <row r="515">
          <cell r="D515" t="str">
            <v>CIM Motor AM 9015 30</v>
          </cell>
          <cell r="E515">
            <v>1</v>
          </cell>
          <cell r="F515">
            <v>1</v>
          </cell>
        </row>
        <row r="516">
          <cell r="D516" t="str">
            <v>CIM Motor AM 9015 35</v>
          </cell>
          <cell r="E516">
            <v>1</v>
          </cell>
          <cell r="F516">
            <v>1</v>
          </cell>
        </row>
        <row r="517">
          <cell r="D517" t="str">
            <v>CIM Motor AM 9015 36</v>
          </cell>
          <cell r="E517">
            <v>1</v>
          </cell>
          <cell r="F517">
            <v>1</v>
          </cell>
        </row>
        <row r="518">
          <cell r="D518" t="str">
            <v>CIM Motor AM 9015 40</v>
          </cell>
          <cell r="E518">
            <v>1</v>
          </cell>
          <cell r="F518">
            <v>1</v>
          </cell>
        </row>
        <row r="519">
          <cell r="D519" t="str">
            <v>CIM Motor AM 9015 45</v>
          </cell>
          <cell r="E519">
            <v>1</v>
          </cell>
          <cell r="F519">
            <v>1</v>
          </cell>
        </row>
        <row r="520">
          <cell r="D520" t="str">
            <v>CIM Motor AM 9015 49</v>
          </cell>
          <cell r="E520">
            <v>1</v>
          </cell>
          <cell r="F520">
            <v>1</v>
          </cell>
        </row>
        <row r="521">
          <cell r="D521" t="str">
            <v>CIM Motor AM 9015 50</v>
          </cell>
          <cell r="E521">
            <v>1</v>
          </cell>
          <cell r="F521">
            <v>1</v>
          </cell>
        </row>
        <row r="522">
          <cell r="D522" t="str">
            <v>CIM Motor AM 9015 63</v>
          </cell>
          <cell r="E522">
            <v>1</v>
          </cell>
          <cell r="F522">
            <v>1</v>
          </cell>
        </row>
        <row r="523">
          <cell r="D523" t="str">
            <v>CIM Motor AM 9015 70</v>
          </cell>
          <cell r="E523">
            <v>0</v>
          </cell>
          <cell r="F523">
            <v>1</v>
          </cell>
        </row>
        <row r="524">
          <cell r="D524" t="str">
            <v>CIM Motor AM 9015 81</v>
          </cell>
          <cell r="E524">
            <v>0</v>
          </cell>
          <cell r="F524">
            <v>0</v>
          </cell>
        </row>
        <row r="525">
          <cell r="D525" t="str">
            <v>CIM Motor AM 9015 90</v>
          </cell>
          <cell r="E525">
            <v>0</v>
          </cell>
          <cell r="F525">
            <v>0</v>
          </cell>
        </row>
        <row r="526">
          <cell r="D526" t="str">
            <v>CIM Motor AM 9015 100</v>
          </cell>
          <cell r="E526">
            <v>0</v>
          </cell>
          <cell r="F526">
            <v>0</v>
          </cell>
        </row>
        <row r="527">
          <cell r="D527" t="str">
            <v>CIM Motor NeveRest 9</v>
          </cell>
          <cell r="E527">
            <v>5</v>
          </cell>
          <cell r="F527">
            <v>10</v>
          </cell>
        </row>
        <row r="528">
          <cell r="D528" t="str">
            <v>CIM Motor NeveRest 12</v>
          </cell>
          <cell r="E528">
            <v>4</v>
          </cell>
          <cell r="F528">
            <v>10</v>
          </cell>
        </row>
        <row r="529">
          <cell r="D529" t="str">
            <v>CIM Motor NeveRest 15</v>
          </cell>
          <cell r="E529">
            <v>3</v>
          </cell>
          <cell r="F529">
            <v>10</v>
          </cell>
        </row>
        <row r="530">
          <cell r="D530" t="str">
            <v>CIM Motor NeveRest 16</v>
          </cell>
          <cell r="E530">
            <v>3</v>
          </cell>
          <cell r="F530">
            <v>10</v>
          </cell>
        </row>
        <row r="531">
          <cell r="D531" t="str">
            <v>CIM Motor NeveRest 20</v>
          </cell>
          <cell r="E531">
            <v>1</v>
          </cell>
          <cell r="F531">
            <v>7</v>
          </cell>
        </row>
        <row r="532">
          <cell r="D532" t="str">
            <v>CIM Motor NeveRest 21</v>
          </cell>
          <cell r="E532">
            <v>1</v>
          </cell>
          <cell r="F532">
            <v>7</v>
          </cell>
        </row>
        <row r="533">
          <cell r="D533" t="str">
            <v>CIM Motor NeveRest 25</v>
          </cell>
          <cell r="E533">
            <v>1</v>
          </cell>
          <cell r="F533">
            <v>5</v>
          </cell>
        </row>
        <row r="534">
          <cell r="D534" t="str">
            <v>CIM Motor NeveRest 27</v>
          </cell>
          <cell r="E534">
            <v>1</v>
          </cell>
          <cell r="F534">
            <v>5</v>
          </cell>
        </row>
        <row r="535">
          <cell r="D535" t="str">
            <v>CIM Motor NeveRest 28</v>
          </cell>
          <cell r="E535">
            <v>1</v>
          </cell>
          <cell r="F535">
            <v>5</v>
          </cell>
        </row>
        <row r="536">
          <cell r="D536" t="str">
            <v>CIM Motor NeveRest 30</v>
          </cell>
          <cell r="E536">
            <v>1</v>
          </cell>
          <cell r="F536">
            <v>5</v>
          </cell>
        </row>
        <row r="537">
          <cell r="D537" t="str">
            <v>CIM Motor NeveRest 35</v>
          </cell>
          <cell r="E537">
            <v>1</v>
          </cell>
          <cell r="F537">
            <v>4</v>
          </cell>
        </row>
        <row r="538">
          <cell r="D538" t="str">
            <v>CIM Motor NeveRest 36</v>
          </cell>
          <cell r="E538">
            <v>1</v>
          </cell>
          <cell r="F538">
            <v>4</v>
          </cell>
        </row>
        <row r="539">
          <cell r="D539" t="str">
            <v>CIM Motor NeveRest 40</v>
          </cell>
          <cell r="E539">
            <v>1</v>
          </cell>
          <cell r="F539">
            <v>4</v>
          </cell>
        </row>
        <row r="540">
          <cell r="D540" t="str">
            <v>CIM Motor NeveRest 45</v>
          </cell>
          <cell r="E540">
            <v>1</v>
          </cell>
          <cell r="F540">
            <v>3</v>
          </cell>
        </row>
        <row r="541">
          <cell r="D541" t="str">
            <v>CIM Motor NeveRest 49</v>
          </cell>
          <cell r="E541">
            <v>1</v>
          </cell>
          <cell r="F541">
            <v>3</v>
          </cell>
        </row>
        <row r="542">
          <cell r="D542" t="str">
            <v>CIM Motor NeveRest 50</v>
          </cell>
          <cell r="E542">
            <v>1</v>
          </cell>
          <cell r="F542">
            <v>3</v>
          </cell>
        </row>
        <row r="543">
          <cell r="D543" t="str">
            <v>CIM Motor NeveRest 63</v>
          </cell>
          <cell r="E543">
            <v>0</v>
          </cell>
          <cell r="F543">
            <v>1</v>
          </cell>
        </row>
        <row r="544">
          <cell r="D544" t="str">
            <v>CIM Motor NeveRest 70</v>
          </cell>
          <cell r="E544">
            <v>0</v>
          </cell>
          <cell r="F544">
            <v>1</v>
          </cell>
        </row>
        <row r="545">
          <cell r="D545" t="str">
            <v>CIM Motor NeveRest 81</v>
          </cell>
          <cell r="E545">
            <v>0</v>
          </cell>
          <cell r="F545">
            <v>1</v>
          </cell>
        </row>
        <row r="546">
          <cell r="D546" t="str">
            <v>CIM Motor NeveRest 90</v>
          </cell>
          <cell r="E546">
            <v>0</v>
          </cell>
          <cell r="F546">
            <v>1</v>
          </cell>
        </row>
        <row r="547">
          <cell r="D547" t="str">
            <v>CIM Motor NeveRest 100</v>
          </cell>
          <cell r="E547">
            <v>0</v>
          </cell>
          <cell r="F547">
            <v>1</v>
          </cell>
        </row>
        <row r="548">
          <cell r="D548" t="str">
            <v>CIM Motor BB RS-550 9</v>
          </cell>
          <cell r="E548">
            <v>5</v>
          </cell>
          <cell r="F548">
            <v>7</v>
          </cell>
        </row>
        <row r="549">
          <cell r="D549" t="str">
            <v>CIM Motor BB RS-550 12</v>
          </cell>
          <cell r="E549">
            <v>4</v>
          </cell>
          <cell r="F549">
            <v>5</v>
          </cell>
        </row>
        <row r="550">
          <cell r="D550" t="str">
            <v>CIM Motor BB RS-550 15</v>
          </cell>
          <cell r="E550">
            <v>3</v>
          </cell>
          <cell r="F550">
            <v>5</v>
          </cell>
        </row>
        <row r="551">
          <cell r="D551" t="str">
            <v>CIM Motor BB RS-550 16</v>
          </cell>
          <cell r="E551">
            <v>3</v>
          </cell>
          <cell r="F551">
            <v>5</v>
          </cell>
        </row>
        <row r="552">
          <cell r="D552" t="str">
            <v>CIM Motor BB RS-550 20</v>
          </cell>
          <cell r="E552">
            <v>1</v>
          </cell>
          <cell r="F552">
            <v>4</v>
          </cell>
        </row>
        <row r="553">
          <cell r="D553" t="str">
            <v>CIM Motor BB RS-550 21</v>
          </cell>
          <cell r="E553">
            <v>1</v>
          </cell>
          <cell r="F553">
            <v>3</v>
          </cell>
        </row>
        <row r="554">
          <cell r="D554" t="str">
            <v>CIM Motor BB RS-550 25</v>
          </cell>
          <cell r="E554">
            <v>1</v>
          </cell>
          <cell r="F554">
            <v>3</v>
          </cell>
        </row>
        <row r="555">
          <cell r="D555" t="str">
            <v>CIM Motor BB RS-550 27</v>
          </cell>
          <cell r="E555">
            <v>1</v>
          </cell>
          <cell r="F555">
            <v>1</v>
          </cell>
        </row>
        <row r="556">
          <cell r="D556" t="str">
            <v>CIM Motor BB RS-550 28</v>
          </cell>
          <cell r="E556">
            <v>1</v>
          </cell>
          <cell r="F556">
            <v>1</v>
          </cell>
        </row>
        <row r="557">
          <cell r="D557" t="str">
            <v>CIM Motor BB RS-550 30</v>
          </cell>
          <cell r="E557">
            <v>1</v>
          </cell>
          <cell r="F557">
            <v>1</v>
          </cell>
        </row>
        <row r="558">
          <cell r="D558" t="str">
            <v>CIM Motor BB RS-550 35</v>
          </cell>
          <cell r="E558">
            <v>1</v>
          </cell>
          <cell r="F558">
            <v>1</v>
          </cell>
        </row>
        <row r="559">
          <cell r="D559" t="str">
            <v>CIM Motor BB RS-550 36</v>
          </cell>
          <cell r="E559">
            <v>1</v>
          </cell>
          <cell r="F559">
            <v>1</v>
          </cell>
        </row>
        <row r="560">
          <cell r="D560" t="str">
            <v>CIM Motor BB RS-550 40</v>
          </cell>
          <cell r="E560">
            <v>1</v>
          </cell>
          <cell r="F560">
            <v>1</v>
          </cell>
        </row>
        <row r="561">
          <cell r="D561" t="str">
            <v>CIM Motor BB RS-550 45</v>
          </cell>
          <cell r="E561">
            <v>1</v>
          </cell>
          <cell r="F561">
            <v>1</v>
          </cell>
        </row>
        <row r="562">
          <cell r="D562" t="str">
            <v>CIM Motor BB RS-550 49</v>
          </cell>
          <cell r="E562">
            <v>1</v>
          </cell>
          <cell r="F562">
            <v>1</v>
          </cell>
        </row>
        <row r="563">
          <cell r="D563" t="str">
            <v>CIM Motor BB RS-550 50</v>
          </cell>
          <cell r="E563">
            <v>1</v>
          </cell>
          <cell r="F563">
            <v>1</v>
          </cell>
        </row>
        <row r="564">
          <cell r="D564" t="str">
            <v>CIM Motor BB RS-550 63</v>
          </cell>
          <cell r="E564">
            <v>0</v>
          </cell>
          <cell r="F564">
            <v>1</v>
          </cell>
        </row>
        <row r="565">
          <cell r="D565" t="str">
            <v>CIM Motor BB RS-550 70</v>
          </cell>
          <cell r="E565">
            <v>0</v>
          </cell>
          <cell r="F565">
            <v>1</v>
          </cell>
        </row>
        <row r="566">
          <cell r="D566" t="str">
            <v>CIM Motor BB RS-550 81</v>
          </cell>
          <cell r="E566">
            <v>0</v>
          </cell>
          <cell r="F566">
            <v>0</v>
          </cell>
        </row>
        <row r="567">
          <cell r="D567" t="str">
            <v>CIM Motor BB RS-550 90</v>
          </cell>
          <cell r="E567">
            <v>0</v>
          </cell>
          <cell r="F567">
            <v>0</v>
          </cell>
        </row>
        <row r="568">
          <cell r="D568" t="str">
            <v>CIM Motor BB RS-550 100</v>
          </cell>
          <cell r="E568">
            <v>0</v>
          </cell>
          <cell r="F568">
            <v>0</v>
          </cell>
        </row>
        <row r="569">
          <cell r="D569" t="str">
            <v>CIM Motor BB RS-775 9</v>
          </cell>
          <cell r="E569">
            <v>4</v>
          </cell>
          <cell r="F569">
            <v>7</v>
          </cell>
        </row>
        <row r="570">
          <cell r="D570" t="str">
            <v>CIM Motor BB RS-775 12</v>
          </cell>
          <cell r="E570">
            <v>3</v>
          </cell>
          <cell r="F570">
            <v>5</v>
          </cell>
        </row>
        <row r="571">
          <cell r="D571" t="str">
            <v>CIM Motor BB RS-775 15</v>
          </cell>
          <cell r="E571">
            <v>1</v>
          </cell>
          <cell r="F571">
            <v>5</v>
          </cell>
        </row>
        <row r="572">
          <cell r="D572" t="str">
            <v>CIM Motor BB RS-775 16</v>
          </cell>
          <cell r="E572">
            <v>1</v>
          </cell>
          <cell r="F572">
            <v>5</v>
          </cell>
        </row>
        <row r="573">
          <cell r="D573" t="str">
            <v>CIM Motor BB RS-775 20</v>
          </cell>
          <cell r="E573">
            <v>1</v>
          </cell>
          <cell r="F573">
            <v>4</v>
          </cell>
        </row>
        <row r="574">
          <cell r="D574" t="str">
            <v>CIM Motor BB RS-775 21</v>
          </cell>
          <cell r="E574">
            <v>1</v>
          </cell>
          <cell r="F574">
            <v>3</v>
          </cell>
        </row>
        <row r="575">
          <cell r="D575" t="str">
            <v>CIM Motor BB RS-775 25</v>
          </cell>
          <cell r="E575">
            <v>1</v>
          </cell>
          <cell r="F575">
            <v>3</v>
          </cell>
        </row>
        <row r="576">
          <cell r="D576" t="str">
            <v>CIM Motor BB RS-775 27</v>
          </cell>
          <cell r="E576">
            <v>1</v>
          </cell>
          <cell r="F576">
            <v>1</v>
          </cell>
        </row>
        <row r="577">
          <cell r="D577" t="str">
            <v>CIM Motor BB RS-775 28</v>
          </cell>
          <cell r="E577">
            <v>1</v>
          </cell>
          <cell r="F577">
            <v>1</v>
          </cell>
        </row>
        <row r="578">
          <cell r="D578" t="str">
            <v>CIM Motor BB RS-775 30</v>
          </cell>
          <cell r="E578">
            <v>1</v>
          </cell>
          <cell r="F578">
            <v>1</v>
          </cell>
        </row>
        <row r="579">
          <cell r="D579" t="str">
            <v>CIM Motor BB RS-775 35</v>
          </cell>
          <cell r="E579">
            <v>1</v>
          </cell>
          <cell r="F579">
            <v>1</v>
          </cell>
        </row>
        <row r="580">
          <cell r="D580" t="str">
            <v>CIM Motor BB RS-775 36</v>
          </cell>
          <cell r="E580">
            <v>1</v>
          </cell>
          <cell r="F580">
            <v>1</v>
          </cell>
        </row>
        <row r="581">
          <cell r="D581" t="str">
            <v>CIM Motor BB RS-775 40</v>
          </cell>
          <cell r="E581">
            <v>0</v>
          </cell>
          <cell r="F581">
            <v>1</v>
          </cell>
        </row>
        <row r="582">
          <cell r="D582" t="str">
            <v>CIM Motor BB RS-775 45</v>
          </cell>
          <cell r="E582">
            <v>0</v>
          </cell>
          <cell r="F582">
            <v>1</v>
          </cell>
        </row>
        <row r="583">
          <cell r="D583" t="str">
            <v>CIM Motor BB RS-775 49</v>
          </cell>
          <cell r="E583">
            <v>0</v>
          </cell>
          <cell r="F583">
            <v>1</v>
          </cell>
        </row>
        <row r="584">
          <cell r="D584" t="str">
            <v>CIM Motor BB RS-775 50</v>
          </cell>
          <cell r="E584">
            <v>0</v>
          </cell>
          <cell r="F584">
            <v>1</v>
          </cell>
        </row>
        <row r="585">
          <cell r="D585" t="str">
            <v>CIM Motor BB RS-775 63</v>
          </cell>
          <cell r="E585">
            <v>0</v>
          </cell>
          <cell r="F585">
            <v>1</v>
          </cell>
        </row>
        <row r="586">
          <cell r="D586" t="str">
            <v>CIM Motor BB RS-775 70</v>
          </cell>
          <cell r="E586">
            <v>0</v>
          </cell>
          <cell r="F586">
            <v>1</v>
          </cell>
        </row>
        <row r="587">
          <cell r="D587" t="str">
            <v>CIM Motor BB RS-775 81</v>
          </cell>
          <cell r="E587">
            <v>0</v>
          </cell>
          <cell r="F587">
            <v>1</v>
          </cell>
        </row>
        <row r="588">
          <cell r="D588" t="str">
            <v>CIM Motor BB RS-775 90</v>
          </cell>
          <cell r="E588">
            <v>0</v>
          </cell>
          <cell r="F588">
            <v>1</v>
          </cell>
        </row>
        <row r="589">
          <cell r="D589" t="str">
            <v>CIM Motor BB RS-775 100</v>
          </cell>
          <cell r="E589">
            <v>0</v>
          </cell>
          <cell r="F589">
            <v>1</v>
          </cell>
        </row>
        <row r="590">
          <cell r="D590" t="str">
            <v>CIM Motor BAG 9</v>
          </cell>
          <cell r="E590">
            <v>7</v>
          </cell>
          <cell r="F590">
            <v>7</v>
          </cell>
        </row>
        <row r="591">
          <cell r="D591" t="str">
            <v>CIM Motor BAG 12</v>
          </cell>
          <cell r="E591">
            <v>5</v>
          </cell>
          <cell r="F591">
            <v>5</v>
          </cell>
        </row>
        <row r="592">
          <cell r="D592" t="str">
            <v>CIM Motor BAG 15</v>
          </cell>
          <cell r="E592">
            <v>4</v>
          </cell>
          <cell r="F592">
            <v>4</v>
          </cell>
        </row>
        <row r="593">
          <cell r="D593" t="str">
            <v>CIM Motor BAG 16</v>
          </cell>
          <cell r="E593">
            <v>4</v>
          </cell>
          <cell r="F593">
            <v>4</v>
          </cell>
        </row>
        <row r="594">
          <cell r="D594" t="str">
            <v>CIM Motor BAG 20</v>
          </cell>
          <cell r="E594">
            <v>3</v>
          </cell>
          <cell r="F594">
            <v>3</v>
          </cell>
        </row>
        <row r="595">
          <cell r="D595" t="str">
            <v>CIM Motor BAG 21</v>
          </cell>
          <cell r="E595">
            <v>3</v>
          </cell>
          <cell r="F595">
            <v>3</v>
          </cell>
        </row>
        <row r="596">
          <cell r="D596" t="str">
            <v>CIM Motor BAG 25</v>
          </cell>
          <cell r="E596">
            <v>1</v>
          </cell>
          <cell r="F596">
            <v>1</v>
          </cell>
        </row>
        <row r="597">
          <cell r="D597" t="str">
            <v>CIM Motor BAG 27</v>
          </cell>
          <cell r="E597">
            <v>1</v>
          </cell>
          <cell r="F597">
            <v>1</v>
          </cell>
        </row>
        <row r="598">
          <cell r="D598" t="str">
            <v>CIM Motor BAG 28</v>
          </cell>
          <cell r="E598">
            <v>1</v>
          </cell>
          <cell r="F598">
            <v>1</v>
          </cell>
        </row>
        <row r="599">
          <cell r="D599" t="str">
            <v>CIM Motor BAG 30</v>
          </cell>
          <cell r="E599">
            <v>1</v>
          </cell>
          <cell r="F599">
            <v>1</v>
          </cell>
        </row>
        <row r="600">
          <cell r="D600" t="str">
            <v>CIM Motor BAG 35</v>
          </cell>
          <cell r="E600">
            <v>1</v>
          </cell>
          <cell r="F600">
            <v>1</v>
          </cell>
        </row>
        <row r="601">
          <cell r="D601" t="str">
            <v>CIM Motor BAG 36</v>
          </cell>
          <cell r="E601">
            <v>1</v>
          </cell>
          <cell r="F601">
            <v>1</v>
          </cell>
        </row>
        <row r="602">
          <cell r="D602" t="str">
            <v>CIM Motor BAG 40</v>
          </cell>
          <cell r="E602">
            <v>1</v>
          </cell>
          <cell r="F602">
            <v>1</v>
          </cell>
        </row>
        <row r="603">
          <cell r="D603" t="str">
            <v>CIM Motor BAG 45</v>
          </cell>
          <cell r="E603">
            <v>1</v>
          </cell>
          <cell r="F603">
            <v>1</v>
          </cell>
        </row>
        <row r="604">
          <cell r="D604" t="str">
            <v>CIM Motor BAG 49</v>
          </cell>
          <cell r="E604">
            <v>1</v>
          </cell>
          <cell r="F604">
            <v>1</v>
          </cell>
        </row>
        <row r="605">
          <cell r="D605" t="str">
            <v>CIM Motor BAG 50</v>
          </cell>
          <cell r="E605">
            <v>1</v>
          </cell>
          <cell r="F605">
            <v>1</v>
          </cell>
        </row>
        <row r="606">
          <cell r="D606" t="str">
            <v>CIM Motor BAG 63</v>
          </cell>
          <cell r="E606">
            <v>1</v>
          </cell>
          <cell r="F606">
            <v>1</v>
          </cell>
        </row>
        <row r="607">
          <cell r="D607" t="str">
            <v>CIM Motor BAG 70</v>
          </cell>
          <cell r="E607">
            <v>1</v>
          </cell>
          <cell r="F607">
            <v>0</v>
          </cell>
        </row>
        <row r="608">
          <cell r="D608" t="str">
            <v>CIM Motor BAG 81</v>
          </cell>
          <cell r="E608">
            <v>1</v>
          </cell>
          <cell r="F608">
            <v>0</v>
          </cell>
        </row>
        <row r="609">
          <cell r="D609" t="str">
            <v>CIM Motor BAG 90</v>
          </cell>
          <cell r="E609">
            <v>1</v>
          </cell>
          <cell r="F609">
            <v>0</v>
          </cell>
        </row>
        <row r="610">
          <cell r="D610" t="str">
            <v>CIM Motor BAG 100</v>
          </cell>
          <cell r="E610">
            <v>1</v>
          </cell>
          <cell r="F610">
            <v>0</v>
          </cell>
        </row>
        <row r="611">
          <cell r="D611" t="str">
            <v>CIM Motor Mini CIM 9</v>
          </cell>
          <cell r="E611">
            <v>1</v>
          </cell>
          <cell r="F611">
            <v>0</v>
          </cell>
        </row>
        <row r="612">
          <cell r="D612" t="str">
            <v>CIM Motor Mini CIM 12</v>
          </cell>
          <cell r="E612">
            <v>1</v>
          </cell>
          <cell r="F612">
            <v>0</v>
          </cell>
        </row>
        <row r="613">
          <cell r="D613" t="str">
            <v>CIM Motor Mini CIM 15</v>
          </cell>
          <cell r="E613">
            <v>1</v>
          </cell>
          <cell r="F613">
            <v>0</v>
          </cell>
        </row>
        <row r="614">
          <cell r="D614" t="str">
            <v>CIM Motor Mini CIM 16</v>
          </cell>
          <cell r="E614">
            <v>1</v>
          </cell>
          <cell r="F614">
            <v>0</v>
          </cell>
        </row>
        <row r="615">
          <cell r="D615" t="str">
            <v>CIM Motor Mini CIM 20</v>
          </cell>
          <cell r="E615">
            <v>1</v>
          </cell>
          <cell r="F615">
            <v>0</v>
          </cell>
        </row>
        <row r="616">
          <cell r="D616" t="str">
            <v>CIM Motor Mini CIM 21</v>
          </cell>
          <cell r="E616">
            <v>1</v>
          </cell>
          <cell r="F616">
            <v>0</v>
          </cell>
        </row>
        <row r="617">
          <cell r="D617" t="str">
            <v>CIM Motor Mini CIM 25</v>
          </cell>
          <cell r="E617">
            <v>1</v>
          </cell>
          <cell r="F617">
            <v>0</v>
          </cell>
        </row>
        <row r="618">
          <cell r="D618" t="str">
            <v>CIM Motor Mini CIM 27</v>
          </cell>
          <cell r="E618">
            <v>1</v>
          </cell>
          <cell r="F618">
            <v>0</v>
          </cell>
        </row>
        <row r="619">
          <cell r="D619" t="str">
            <v>CIM Motor Mini CIM 28</v>
          </cell>
          <cell r="E619">
            <v>1</v>
          </cell>
          <cell r="F619">
            <v>0</v>
          </cell>
        </row>
        <row r="620">
          <cell r="D620" t="str">
            <v>CIM Motor Mini CIM 30</v>
          </cell>
          <cell r="E620">
            <v>1</v>
          </cell>
          <cell r="F620">
            <v>0</v>
          </cell>
        </row>
        <row r="621">
          <cell r="D621" t="str">
            <v>CIM Motor Mini CIM 35</v>
          </cell>
          <cell r="E621">
            <v>0</v>
          </cell>
          <cell r="F621">
            <v>0</v>
          </cell>
        </row>
        <row r="622">
          <cell r="D622" t="str">
            <v>CIM Motor Mini CIM 36</v>
          </cell>
          <cell r="E622">
            <v>0</v>
          </cell>
          <cell r="F622">
            <v>0</v>
          </cell>
        </row>
        <row r="623">
          <cell r="D623" t="str">
            <v>CIM Motor Mini CIM 40</v>
          </cell>
          <cell r="E623">
            <v>0</v>
          </cell>
          <cell r="F623">
            <v>0</v>
          </cell>
        </row>
        <row r="624">
          <cell r="D624" t="str">
            <v>CIM Motor Mini CIM 45</v>
          </cell>
          <cell r="E624">
            <v>0</v>
          </cell>
          <cell r="F624">
            <v>0</v>
          </cell>
        </row>
        <row r="625">
          <cell r="D625" t="str">
            <v>CIM Motor Mini CIM 49</v>
          </cell>
          <cell r="E625">
            <v>0</v>
          </cell>
          <cell r="F625">
            <v>0</v>
          </cell>
        </row>
        <row r="626">
          <cell r="D626" t="str">
            <v>CIM Motor Mini CIM 50</v>
          </cell>
          <cell r="E626">
            <v>0</v>
          </cell>
          <cell r="F626">
            <v>0</v>
          </cell>
        </row>
        <row r="627">
          <cell r="D627" t="str">
            <v>CIM Motor Mini CIM 63</v>
          </cell>
          <cell r="E627">
            <v>0</v>
          </cell>
          <cell r="F627">
            <v>0</v>
          </cell>
        </row>
        <row r="628">
          <cell r="D628" t="str">
            <v>CIM Motor Mini CIM 70</v>
          </cell>
          <cell r="E628">
            <v>0</v>
          </cell>
          <cell r="F628">
            <v>0</v>
          </cell>
        </row>
        <row r="629">
          <cell r="D629" t="str">
            <v>CIM Motor Mini CIM 81</v>
          </cell>
          <cell r="E629">
            <v>0</v>
          </cell>
          <cell r="F629">
            <v>0</v>
          </cell>
        </row>
        <row r="630">
          <cell r="D630" t="str">
            <v>CIM Motor Mini CIM 90</v>
          </cell>
          <cell r="E630">
            <v>0</v>
          </cell>
          <cell r="F630">
            <v>0</v>
          </cell>
        </row>
        <row r="631">
          <cell r="D631" t="str">
            <v>CIM Motor Mini CIM 100</v>
          </cell>
          <cell r="E631">
            <v>0</v>
          </cell>
          <cell r="F631">
            <v>0</v>
          </cell>
        </row>
        <row r="632">
          <cell r="D632" t="str">
            <v>CIM Motor CIM 9</v>
          </cell>
          <cell r="E632">
            <v>1</v>
          </cell>
          <cell r="F632">
            <v>0</v>
          </cell>
        </row>
        <row r="633">
          <cell r="D633" t="str">
            <v>CIM Motor CIM 12</v>
          </cell>
          <cell r="E633">
            <v>1</v>
          </cell>
          <cell r="F633">
            <v>0</v>
          </cell>
        </row>
        <row r="634">
          <cell r="D634" t="str">
            <v>CIM Motor CIM 15</v>
          </cell>
          <cell r="E634">
            <v>0</v>
          </cell>
          <cell r="F634">
            <v>0</v>
          </cell>
        </row>
        <row r="635">
          <cell r="D635" t="str">
            <v>CIM Motor CIM 16</v>
          </cell>
          <cell r="E635">
            <v>0</v>
          </cell>
          <cell r="F635">
            <v>0</v>
          </cell>
        </row>
        <row r="636">
          <cell r="D636" t="str">
            <v>CIM Motor CIM 20</v>
          </cell>
          <cell r="E636">
            <v>0</v>
          </cell>
          <cell r="F636">
            <v>0</v>
          </cell>
        </row>
        <row r="637">
          <cell r="D637" t="str">
            <v>CIM Motor CIM 21</v>
          </cell>
          <cell r="E637">
            <v>0</v>
          </cell>
          <cell r="F637">
            <v>0</v>
          </cell>
        </row>
        <row r="638">
          <cell r="D638" t="str">
            <v>CIM Motor CIM 25</v>
          </cell>
          <cell r="E638">
            <v>0</v>
          </cell>
          <cell r="F638">
            <v>0</v>
          </cell>
        </row>
        <row r="639">
          <cell r="D639" t="str">
            <v>CIM Motor CIM 27</v>
          </cell>
          <cell r="E639">
            <v>0</v>
          </cell>
          <cell r="F639">
            <v>0</v>
          </cell>
        </row>
        <row r="640">
          <cell r="D640" t="str">
            <v>CIM Motor CIM 28</v>
          </cell>
          <cell r="E640">
            <v>0</v>
          </cell>
          <cell r="F640">
            <v>0</v>
          </cell>
        </row>
        <row r="641">
          <cell r="D641" t="str">
            <v>CIM Motor CIM 30</v>
          </cell>
          <cell r="E641">
            <v>0</v>
          </cell>
          <cell r="F641">
            <v>0</v>
          </cell>
        </row>
        <row r="642">
          <cell r="D642" t="str">
            <v>CIM Motor CIM 35</v>
          </cell>
          <cell r="E642">
            <v>0</v>
          </cell>
          <cell r="F642">
            <v>0</v>
          </cell>
        </row>
        <row r="643">
          <cell r="D643" t="str">
            <v>CIM Motor CIM 36</v>
          </cell>
          <cell r="E643">
            <v>0</v>
          </cell>
          <cell r="F643">
            <v>0</v>
          </cell>
        </row>
        <row r="644">
          <cell r="D644" t="str">
            <v>CIM Motor CIM 40</v>
          </cell>
          <cell r="E644">
            <v>0</v>
          </cell>
          <cell r="F644">
            <v>0</v>
          </cell>
        </row>
        <row r="645">
          <cell r="D645" t="str">
            <v>CIM Motor CIM 45</v>
          </cell>
          <cell r="E645">
            <v>0</v>
          </cell>
          <cell r="F645">
            <v>0</v>
          </cell>
        </row>
        <row r="646">
          <cell r="D646" t="str">
            <v>CIM Motor CIM 49</v>
          </cell>
          <cell r="E646">
            <v>0</v>
          </cell>
          <cell r="F646">
            <v>0</v>
          </cell>
        </row>
        <row r="647">
          <cell r="D647" t="str">
            <v>CIM Motor CIM 50</v>
          </cell>
          <cell r="E647">
            <v>0</v>
          </cell>
          <cell r="F647">
            <v>0</v>
          </cell>
        </row>
        <row r="648">
          <cell r="D648" t="str">
            <v>CIM Motor CIM 63</v>
          </cell>
          <cell r="E648">
            <v>0</v>
          </cell>
          <cell r="F648">
            <v>0</v>
          </cell>
        </row>
        <row r="649">
          <cell r="D649" t="str">
            <v>CIM Motor CIM 70</v>
          </cell>
          <cell r="E649">
            <v>0</v>
          </cell>
          <cell r="F649">
            <v>0</v>
          </cell>
        </row>
        <row r="650">
          <cell r="D650" t="str">
            <v>CIM Motor CIM 81</v>
          </cell>
          <cell r="E650">
            <v>0</v>
          </cell>
          <cell r="F650">
            <v>0</v>
          </cell>
        </row>
        <row r="651">
          <cell r="D651" t="str">
            <v>CIM Motor CIM 90</v>
          </cell>
          <cell r="E651">
            <v>0</v>
          </cell>
          <cell r="F651">
            <v>0</v>
          </cell>
        </row>
        <row r="652">
          <cell r="D652" t="str">
            <v>CIM Motor CIM 100</v>
          </cell>
          <cell r="E652">
            <v>0</v>
          </cell>
          <cell r="F652">
            <v>0</v>
          </cell>
        </row>
        <row r="653">
          <cell r="D653" t="str">
            <v>CIM Motor 775pro 9</v>
          </cell>
          <cell r="E653">
            <v>4</v>
          </cell>
          <cell r="F653">
            <v>4</v>
          </cell>
        </row>
        <row r="654">
          <cell r="D654" t="str">
            <v>CIM Motor 775pro 12</v>
          </cell>
          <cell r="E654">
            <v>3</v>
          </cell>
          <cell r="F654">
            <v>3</v>
          </cell>
        </row>
        <row r="655">
          <cell r="D655" t="str">
            <v>CIM Motor 775pro 15</v>
          </cell>
          <cell r="E655">
            <v>1</v>
          </cell>
          <cell r="F655">
            <v>1</v>
          </cell>
        </row>
        <row r="656">
          <cell r="D656" t="str">
            <v>CIM Motor 775pro 16</v>
          </cell>
          <cell r="E656">
            <v>1</v>
          </cell>
          <cell r="F656">
            <v>1</v>
          </cell>
        </row>
        <row r="657">
          <cell r="D657" t="str">
            <v>CIM Motor 775pro 20</v>
          </cell>
          <cell r="E657">
            <v>1</v>
          </cell>
          <cell r="F657">
            <v>1</v>
          </cell>
        </row>
        <row r="658">
          <cell r="D658" t="str">
            <v>CIM Motor 775pro 21</v>
          </cell>
          <cell r="E658">
            <v>1</v>
          </cell>
          <cell r="F658">
            <v>1</v>
          </cell>
        </row>
        <row r="659">
          <cell r="D659" t="str">
            <v>CIM Motor 775pro 25</v>
          </cell>
          <cell r="E659">
            <v>1</v>
          </cell>
          <cell r="F659">
            <v>1</v>
          </cell>
        </row>
        <row r="660">
          <cell r="D660" t="str">
            <v>CIM Motor 775pro 27</v>
          </cell>
          <cell r="E660">
            <v>1</v>
          </cell>
          <cell r="F660">
            <v>1</v>
          </cell>
        </row>
        <row r="661">
          <cell r="D661" t="str">
            <v>CIM Motor 775pro 28</v>
          </cell>
          <cell r="E661">
            <v>1</v>
          </cell>
          <cell r="F661">
            <v>1</v>
          </cell>
        </row>
        <row r="662">
          <cell r="D662" t="str">
            <v>CIM Motor 775pro 30</v>
          </cell>
          <cell r="E662">
            <v>1</v>
          </cell>
          <cell r="F662">
            <v>1</v>
          </cell>
        </row>
        <row r="663">
          <cell r="D663" t="str">
            <v>CIM Motor 775pro 35</v>
          </cell>
          <cell r="E663">
            <v>1</v>
          </cell>
          <cell r="F663">
            <v>1</v>
          </cell>
        </row>
        <row r="664">
          <cell r="D664" t="str">
            <v>CIM Motor 775pro 36</v>
          </cell>
          <cell r="E664">
            <v>1</v>
          </cell>
          <cell r="F664">
            <v>1</v>
          </cell>
        </row>
        <row r="665">
          <cell r="D665" t="str">
            <v>CIM Motor 775pro 40</v>
          </cell>
          <cell r="E665">
            <v>1</v>
          </cell>
          <cell r="F665">
            <v>1</v>
          </cell>
        </row>
        <row r="666">
          <cell r="D666" t="str">
            <v>CIM Motor 775pro 45</v>
          </cell>
          <cell r="E666">
            <v>0</v>
          </cell>
          <cell r="F666">
            <v>0</v>
          </cell>
        </row>
        <row r="667">
          <cell r="D667" t="str">
            <v>CIM Motor 775pro 49</v>
          </cell>
          <cell r="E667">
            <v>0</v>
          </cell>
          <cell r="F667">
            <v>0</v>
          </cell>
        </row>
        <row r="668">
          <cell r="D668" t="str">
            <v>CIM Motor 775pro 50</v>
          </cell>
          <cell r="E668">
            <v>0</v>
          </cell>
          <cell r="F668">
            <v>0</v>
          </cell>
        </row>
        <row r="669">
          <cell r="D669" t="str">
            <v>CIM Motor 775pro 63</v>
          </cell>
          <cell r="E669">
            <v>0</v>
          </cell>
          <cell r="F669">
            <v>0</v>
          </cell>
        </row>
        <row r="670">
          <cell r="D670" t="str">
            <v>CIM Motor 775pro 70</v>
          </cell>
          <cell r="E670">
            <v>0</v>
          </cell>
          <cell r="F670">
            <v>0</v>
          </cell>
        </row>
        <row r="671">
          <cell r="D671" t="str">
            <v>CIM Motor 775pro 81</v>
          </cell>
          <cell r="E671">
            <v>0</v>
          </cell>
          <cell r="F671">
            <v>0</v>
          </cell>
        </row>
        <row r="672">
          <cell r="D672" t="str">
            <v>CIM Motor 775pro 90</v>
          </cell>
          <cell r="E672">
            <v>0</v>
          </cell>
          <cell r="F672">
            <v>0</v>
          </cell>
        </row>
        <row r="673">
          <cell r="D673" t="str">
            <v>CIM Motor 775pro 100</v>
          </cell>
          <cell r="E673">
            <v>0</v>
          </cell>
          <cell r="F673">
            <v>0</v>
          </cell>
        </row>
        <row r="674">
          <cell r="D674" t="str">
            <v>Female AM 9015 9</v>
          </cell>
          <cell r="E674">
            <v>10</v>
          </cell>
          <cell r="F674">
            <v>10</v>
          </cell>
        </row>
        <row r="675">
          <cell r="D675" t="str">
            <v>Female AM 9015 12</v>
          </cell>
          <cell r="E675">
            <v>10</v>
          </cell>
          <cell r="F675">
            <v>7</v>
          </cell>
        </row>
        <row r="676">
          <cell r="D676" t="str">
            <v>Female AM 9015 15</v>
          </cell>
          <cell r="E676">
            <v>10</v>
          </cell>
          <cell r="F676">
            <v>5</v>
          </cell>
        </row>
        <row r="677">
          <cell r="D677" t="str">
            <v>Female AM 9015 16</v>
          </cell>
          <cell r="E677">
            <v>10</v>
          </cell>
          <cell r="F677">
            <v>5</v>
          </cell>
        </row>
        <row r="678">
          <cell r="D678" t="str">
            <v>Female AM 9015 20</v>
          </cell>
          <cell r="E678">
            <v>10</v>
          </cell>
          <cell r="F678">
            <v>4</v>
          </cell>
        </row>
        <row r="679">
          <cell r="D679" t="str">
            <v>Female AM 9015 21</v>
          </cell>
          <cell r="E679">
            <v>10</v>
          </cell>
          <cell r="F679">
            <v>4</v>
          </cell>
        </row>
        <row r="680">
          <cell r="D680" t="str">
            <v>Female AM 9015 25</v>
          </cell>
          <cell r="E680">
            <v>7</v>
          </cell>
          <cell r="F680">
            <v>3</v>
          </cell>
        </row>
        <row r="681">
          <cell r="D681" t="str">
            <v>Female AM 9015 27</v>
          </cell>
          <cell r="E681">
            <v>7</v>
          </cell>
          <cell r="F681">
            <v>3</v>
          </cell>
        </row>
        <row r="682">
          <cell r="D682" t="str">
            <v>Female AM 9015 28</v>
          </cell>
          <cell r="E682">
            <v>7</v>
          </cell>
          <cell r="F682">
            <v>3</v>
          </cell>
        </row>
        <row r="683">
          <cell r="D683" t="str">
            <v>Female AM 9015 30</v>
          </cell>
          <cell r="E683">
            <v>7</v>
          </cell>
          <cell r="F683">
            <v>3</v>
          </cell>
        </row>
        <row r="684">
          <cell r="D684" t="str">
            <v>Female AM 9015 35</v>
          </cell>
          <cell r="E684">
            <v>5</v>
          </cell>
          <cell r="F684">
            <v>1</v>
          </cell>
        </row>
        <row r="685">
          <cell r="D685" t="str">
            <v>Female AM 9015 36</v>
          </cell>
          <cell r="E685">
            <v>5</v>
          </cell>
          <cell r="F685">
            <v>1</v>
          </cell>
        </row>
        <row r="686">
          <cell r="D686" t="str">
            <v>Female AM 9015 40</v>
          </cell>
          <cell r="E686">
            <v>5</v>
          </cell>
          <cell r="F686">
            <v>1</v>
          </cell>
        </row>
        <row r="687">
          <cell r="D687" t="str">
            <v>Female AM 9015 45</v>
          </cell>
          <cell r="E687">
            <v>5</v>
          </cell>
          <cell r="F687">
            <v>1</v>
          </cell>
        </row>
        <row r="688">
          <cell r="D688" t="str">
            <v>Female AM 9015 49</v>
          </cell>
          <cell r="E688">
            <v>5</v>
          </cell>
          <cell r="F688">
            <v>1</v>
          </cell>
        </row>
        <row r="689">
          <cell r="D689" t="str">
            <v>Female AM 9015 50</v>
          </cell>
          <cell r="E689">
            <v>5</v>
          </cell>
          <cell r="F689">
            <v>1</v>
          </cell>
        </row>
        <row r="690">
          <cell r="D690" t="str">
            <v>Female AM 9015 63</v>
          </cell>
          <cell r="E690">
            <v>5</v>
          </cell>
          <cell r="F690">
            <v>1</v>
          </cell>
        </row>
        <row r="691">
          <cell r="D691" t="str">
            <v>Female AM 9015 70</v>
          </cell>
          <cell r="E691">
            <v>4</v>
          </cell>
          <cell r="F691">
            <v>1</v>
          </cell>
        </row>
        <row r="692">
          <cell r="D692" t="str">
            <v>Female AM 9015 81</v>
          </cell>
          <cell r="E692">
            <v>4</v>
          </cell>
          <cell r="F692">
            <v>1</v>
          </cell>
        </row>
        <row r="693">
          <cell r="D693" t="str">
            <v>Female AM 9015 90</v>
          </cell>
          <cell r="E693">
            <v>3</v>
          </cell>
          <cell r="F693">
            <v>1</v>
          </cell>
        </row>
        <row r="694">
          <cell r="D694" t="str">
            <v>Female AM 9015 100</v>
          </cell>
          <cell r="E694">
            <v>3</v>
          </cell>
          <cell r="F694">
            <v>0</v>
          </cell>
        </row>
        <row r="695">
          <cell r="D695" t="str">
            <v>Female NeveRest 9</v>
          </cell>
          <cell r="E695">
            <v>10</v>
          </cell>
          <cell r="F695">
            <v>10</v>
          </cell>
        </row>
        <row r="696">
          <cell r="D696" t="str">
            <v>Female NeveRest 12</v>
          </cell>
          <cell r="E696">
            <v>10</v>
          </cell>
          <cell r="F696">
            <v>10</v>
          </cell>
        </row>
        <row r="697">
          <cell r="D697" t="str">
            <v>Female NeveRest 15</v>
          </cell>
          <cell r="E697">
            <v>10</v>
          </cell>
          <cell r="F697">
            <v>10</v>
          </cell>
        </row>
        <row r="698">
          <cell r="D698" t="str">
            <v>Female NeveRest 16</v>
          </cell>
          <cell r="E698">
            <v>10</v>
          </cell>
          <cell r="F698">
            <v>10</v>
          </cell>
        </row>
        <row r="699">
          <cell r="D699" t="str">
            <v>Female NeveRest 20</v>
          </cell>
          <cell r="E699">
            <v>10</v>
          </cell>
          <cell r="F699">
            <v>10</v>
          </cell>
        </row>
        <row r="700">
          <cell r="D700" t="str">
            <v>Female NeveRest 21</v>
          </cell>
          <cell r="E700">
            <v>9</v>
          </cell>
          <cell r="F700">
            <v>9</v>
          </cell>
        </row>
        <row r="701">
          <cell r="D701" t="str">
            <v>Female NeveRest 25</v>
          </cell>
          <cell r="E701">
            <v>7</v>
          </cell>
          <cell r="F701">
            <v>7</v>
          </cell>
        </row>
        <row r="702">
          <cell r="D702" t="str">
            <v>Female NeveRest 27</v>
          </cell>
          <cell r="E702">
            <v>7</v>
          </cell>
          <cell r="F702">
            <v>7</v>
          </cell>
        </row>
        <row r="703">
          <cell r="D703" t="str">
            <v>Female NeveRest 28</v>
          </cell>
          <cell r="E703">
            <v>7</v>
          </cell>
          <cell r="F703">
            <v>7</v>
          </cell>
        </row>
        <row r="704">
          <cell r="D704" t="str">
            <v>Female NeveRest 30</v>
          </cell>
          <cell r="E704">
            <v>5</v>
          </cell>
          <cell r="F704">
            <v>5</v>
          </cell>
        </row>
        <row r="705">
          <cell r="D705" t="str">
            <v>Female NeveRest 35</v>
          </cell>
          <cell r="E705">
            <v>5</v>
          </cell>
          <cell r="F705">
            <v>5</v>
          </cell>
        </row>
        <row r="706">
          <cell r="D706" t="str">
            <v>Female NeveRest 36</v>
          </cell>
          <cell r="E706">
            <v>5</v>
          </cell>
          <cell r="F706">
            <v>5</v>
          </cell>
        </row>
        <row r="707">
          <cell r="D707" t="str">
            <v>Female NeveRest 40</v>
          </cell>
          <cell r="E707">
            <v>5</v>
          </cell>
          <cell r="F707">
            <v>5</v>
          </cell>
        </row>
        <row r="708">
          <cell r="D708" t="str">
            <v>Female NeveRest 45</v>
          </cell>
          <cell r="E708">
            <v>5</v>
          </cell>
          <cell r="F708">
            <v>4</v>
          </cell>
        </row>
        <row r="709">
          <cell r="D709" t="str">
            <v>Female NeveRest 49</v>
          </cell>
          <cell r="E709">
            <v>5</v>
          </cell>
          <cell r="F709">
            <v>4</v>
          </cell>
        </row>
        <row r="710">
          <cell r="D710" t="str">
            <v>Female NeveRest 50</v>
          </cell>
          <cell r="E710">
            <v>5</v>
          </cell>
          <cell r="F710">
            <v>4</v>
          </cell>
        </row>
        <row r="711">
          <cell r="D711" t="str">
            <v>Female NeveRest 63</v>
          </cell>
          <cell r="E711">
            <v>4</v>
          </cell>
          <cell r="F711">
            <v>3</v>
          </cell>
        </row>
        <row r="712">
          <cell r="D712" t="str">
            <v>Female NeveRest 70</v>
          </cell>
          <cell r="E712">
            <v>4</v>
          </cell>
          <cell r="F712">
            <v>1</v>
          </cell>
        </row>
        <row r="713">
          <cell r="D713" t="str">
            <v>Female NeveRest 81</v>
          </cell>
          <cell r="E713">
            <v>3</v>
          </cell>
          <cell r="F713">
            <v>1</v>
          </cell>
        </row>
        <row r="714">
          <cell r="D714" t="str">
            <v>Female NeveRest 90</v>
          </cell>
          <cell r="E714">
            <v>3</v>
          </cell>
          <cell r="F714">
            <v>1</v>
          </cell>
        </row>
        <row r="715">
          <cell r="D715" t="str">
            <v>Female NeveRest 100</v>
          </cell>
          <cell r="E715">
            <v>3</v>
          </cell>
          <cell r="F715">
            <v>1</v>
          </cell>
        </row>
        <row r="716">
          <cell r="D716" t="str">
            <v>Female BB RS-550 9</v>
          </cell>
          <cell r="E716">
            <v>10</v>
          </cell>
          <cell r="F716">
            <v>10</v>
          </cell>
        </row>
        <row r="717">
          <cell r="D717" t="str">
            <v>Female BB RS-550 12</v>
          </cell>
          <cell r="E717">
            <v>10</v>
          </cell>
          <cell r="F717">
            <v>7</v>
          </cell>
        </row>
        <row r="718">
          <cell r="D718" t="str">
            <v>Female BB RS-550 15</v>
          </cell>
          <cell r="E718">
            <v>10</v>
          </cell>
          <cell r="F718">
            <v>5</v>
          </cell>
        </row>
        <row r="719">
          <cell r="D719" t="str">
            <v>Female BB RS-550 16</v>
          </cell>
          <cell r="E719">
            <v>10</v>
          </cell>
          <cell r="F719">
            <v>5</v>
          </cell>
        </row>
        <row r="720">
          <cell r="D720" t="str">
            <v>Female BB RS-550 20</v>
          </cell>
          <cell r="E720">
            <v>10</v>
          </cell>
          <cell r="F720">
            <v>4</v>
          </cell>
        </row>
        <row r="721">
          <cell r="D721" t="str">
            <v>Female BB RS-550 21</v>
          </cell>
          <cell r="E721">
            <v>9</v>
          </cell>
          <cell r="F721">
            <v>4</v>
          </cell>
        </row>
        <row r="722">
          <cell r="D722" t="str">
            <v>Female BB RS-550 25</v>
          </cell>
          <cell r="E722">
            <v>7</v>
          </cell>
          <cell r="F722">
            <v>3</v>
          </cell>
        </row>
        <row r="723">
          <cell r="D723" t="str">
            <v>Female BB RS-550 27</v>
          </cell>
          <cell r="E723">
            <v>7</v>
          </cell>
          <cell r="F723">
            <v>3</v>
          </cell>
        </row>
        <row r="724">
          <cell r="D724" t="str">
            <v>Female BB RS-550 28</v>
          </cell>
          <cell r="E724">
            <v>7</v>
          </cell>
          <cell r="F724">
            <v>3</v>
          </cell>
        </row>
        <row r="725">
          <cell r="D725" t="str">
            <v>Female BB RS-550 30</v>
          </cell>
          <cell r="E725">
            <v>5</v>
          </cell>
          <cell r="F725">
            <v>3</v>
          </cell>
        </row>
        <row r="726">
          <cell r="D726" t="str">
            <v>Female BB RS-550 35</v>
          </cell>
          <cell r="E726">
            <v>5</v>
          </cell>
          <cell r="F726">
            <v>1</v>
          </cell>
        </row>
        <row r="727">
          <cell r="D727" t="str">
            <v>Female BB RS-550 36</v>
          </cell>
          <cell r="E727">
            <v>5</v>
          </cell>
          <cell r="F727">
            <v>1</v>
          </cell>
        </row>
        <row r="728">
          <cell r="D728" t="str">
            <v>Female BB RS-550 40</v>
          </cell>
          <cell r="E728">
            <v>5</v>
          </cell>
          <cell r="F728">
            <v>1</v>
          </cell>
        </row>
        <row r="729">
          <cell r="D729" t="str">
            <v>Female BB RS-550 45</v>
          </cell>
          <cell r="E729">
            <v>5</v>
          </cell>
          <cell r="F729">
            <v>1</v>
          </cell>
        </row>
        <row r="730">
          <cell r="D730" t="str">
            <v>Female BB RS-550 49</v>
          </cell>
          <cell r="E730">
            <v>5</v>
          </cell>
          <cell r="F730">
            <v>1</v>
          </cell>
        </row>
        <row r="731">
          <cell r="D731" t="str">
            <v>Female BB RS-550 50</v>
          </cell>
          <cell r="E731">
            <v>5</v>
          </cell>
          <cell r="F731">
            <v>1</v>
          </cell>
        </row>
        <row r="732">
          <cell r="D732" t="str">
            <v>Female BB RS-550 63</v>
          </cell>
          <cell r="E732">
            <v>4</v>
          </cell>
          <cell r="F732">
            <v>1</v>
          </cell>
        </row>
        <row r="733">
          <cell r="D733" t="str">
            <v>Female BB RS-550 70</v>
          </cell>
          <cell r="E733">
            <v>4</v>
          </cell>
          <cell r="F733">
            <v>1</v>
          </cell>
        </row>
        <row r="734">
          <cell r="D734" t="str">
            <v>Female BB RS-550 81</v>
          </cell>
          <cell r="E734">
            <v>3</v>
          </cell>
          <cell r="F734">
            <v>1</v>
          </cell>
        </row>
        <row r="735">
          <cell r="D735" t="str">
            <v>Female BB RS-550 90</v>
          </cell>
          <cell r="E735">
            <v>3</v>
          </cell>
          <cell r="F735">
            <v>1</v>
          </cell>
        </row>
        <row r="736">
          <cell r="D736" t="str">
            <v>Female BB RS-550 100</v>
          </cell>
          <cell r="E736">
            <v>3</v>
          </cell>
          <cell r="F736">
            <v>0</v>
          </cell>
        </row>
        <row r="737">
          <cell r="D737" t="str">
            <v>Female BB RS-775 9</v>
          </cell>
          <cell r="E737">
            <v>10</v>
          </cell>
          <cell r="F737">
            <v>10</v>
          </cell>
        </row>
        <row r="738">
          <cell r="D738" t="str">
            <v>Female BB RS-775 12</v>
          </cell>
          <cell r="E738">
            <v>10</v>
          </cell>
          <cell r="F738">
            <v>10</v>
          </cell>
        </row>
        <row r="739">
          <cell r="D739" t="str">
            <v>Female BB RS-775 15</v>
          </cell>
          <cell r="E739">
            <v>7</v>
          </cell>
          <cell r="F739">
            <v>7</v>
          </cell>
        </row>
        <row r="740">
          <cell r="D740" t="str">
            <v>Female BB RS-775 16</v>
          </cell>
          <cell r="E740">
            <v>7</v>
          </cell>
          <cell r="F740">
            <v>7</v>
          </cell>
        </row>
        <row r="741">
          <cell r="D741" t="str">
            <v>Female BB RS-775 20</v>
          </cell>
          <cell r="E741">
            <v>5</v>
          </cell>
          <cell r="F741">
            <v>5</v>
          </cell>
        </row>
        <row r="742">
          <cell r="D742" t="str">
            <v>Female BB RS-775 21</v>
          </cell>
          <cell r="E742">
            <v>5</v>
          </cell>
          <cell r="F742">
            <v>5</v>
          </cell>
        </row>
        <row r="743">
          <cell r="D743" t="str">
            <v>Female BB RS-775 25</v>
          </cell>
          <cell r="E743">
            <v>5</v>
          </cell>
          <cell r="F743">
            <v>5</v>
          </cell>
        </row>
        <row r="744">
          <cell r="D744" t="str">
            <v>Female BB RS-775 27</v>
          </cell>
          <cell r="E744">
            <v>5</v>
          </cell>
          <cell r="F744">
            <v>4</v>
          </cell>
        </row>
        <row r="745">
          <cell r="D745" t="str">
            <v>Female BB RS-775 28</v>
          </cell>
          <cell r="E745">
            <v>5</v>
          </cell>
          <cell r="F745">
            <v>4</v>
          </cell>
        </row>
        <row r="746">
          <cell r="D746" t="str">
            <v>Female BB RS-775 30</v>
          </cell>
          <cell r="E746">
            <v>5</v>
          </cell>
          <cell r="F746">
            <v>4</v>
          </cell>
        </row>
        <row r="747">
          <cell r="D747" t="str">
            <v>Female BB RS-775 35</v>
          </cell>
          <cell r="E747">
            <v>5</v>
          </cell>
          <cell r="F747">
            <v>3</v>
          </cell>
        </row>
        <row r="748">
          <cell r="D748" t="str">
            <v>Female BB RS-775 36</v>
          </cell>
          <cell r="E748">
            <v>5</v>
          </cell>
          <cell r="F748">
            <v>3</v>
          </cell>
        </row>
        <row r="749">
          <cell r="D749" t="str">
            <v>Female BB RS-775 40</v>
          </cell>
          <cell r="E749">
            <v>4</v>
          </cell>
          <cell r="F749">
            <v>3</v>
          </cell>
        </row>
        <row r="750">
          <cell r="D750" t="str">
            <v>Female BB RS-775 45</v>
          </cell>
          <cell r="E750">
            <v>4</v>
          </cell>
          <cell r="F750">
            <v>1</v>
          </cell>
        </row>
        <row r="751">
          <cell r="D751" t="str">
            <v>Female BB RS-775 49</v>
          </cell>
          <cell r="E751">
            <v>4</v>
          </cell>
          <cell r="F751">
            <v>1</v>
          </cell>
        </row>
        <row r="752">
          <cell r="D752" t="str">
            <v>Female BB RS-775 50</v>
          </cell>
          <cell r="E752">
            <v>3</v>
          </cell>
          <cell r="F752">
            <v>1</v>
          </cell>
        </row>
        <row r="753">
          <cell r="D753" t="str">
            <v>Female BB RS-775 63</v>
          </cell>
          <cell r="E753">
            <v>3</v>
          </cell>
          <cell r="F753">
            <v>1</v>
          </cell>
        </row>
        <row r="754">
          <cell r="D754" t="str">
            <v>Female BB RS-775 70</v>
          </cell>
          <cell r="E754">
            <v>1</v>
          </cell>
          <cell r="F754">
            <v>1</v>
          </cell>
        </row>
        <row r="755">
          <cell r="D755" t="str">
            <v>Female BB RS-775 81</v>
          </cell>
          <cell r="E755">
            <v>1</v>
          </cell>
          <cell r="F755">
            <v>1</v>
          </cell>
        </row>
        <row r="756">
          <cell r="D756" t="str">
            <v>Female BB RS-775 90</v>
          </cell>
          <cell r="E756">
            <v>1</v>
          </cell>
          <cell r="F756">
            <v>1</v>
          </cell>
        </row>
        <row r="757">
          <cell r="D757" t="str">
            <v>Female BB RS-775 100</v>
          </cell>
          <cell r="E757">
            <v>1</v>
          </cell>
          <cell r="F757">
            <v>1</v>
          </cell>
        </row>
        <row r="758">
          <cell r="D758" t="str">
            <v>Female BAG 9</v>
          </cell>
          <cell r="E758">
            <v>10</v>
          </cell>
          <cell r="F758">
            <v>9</v>
          </cell>
        </row>
        <row r="759">
          <cell r="D759" t="str">
            <v>Female BAG 12</v>
          </cell>
          <cell r="E759">
            <v>10</v>
          </cell>
          <cell r="F759">
            <v>5</v>
          </cell>
        </row>
        <row r="760">
          <cell r="D760" t="str">
            <v>Female BAG 15</v>
          </cell>
          <cell r="E760">
            <v>10</v>
          </cell>
          <cell r="F760">
            <v>5</v>
          </cell>
        </row>
        <row r="761">
          <cell r="D761" t="str">
            <v>Female BAG 16</v>
          </cell>
          <cell r="E761">
            <v>10</v>
          </cell>
          <cell r="F761">
            <v>5</v>
          </cell>
        </row>
        <row r="762">
          <cell r="D762" t="str">
            <v>Female BAG 20</v>
          </cell>
          <cell r="E762">
            <v>10</v>
          </cell>
          <cell r="F762">
            <v>4</v>
          </cell>
        </row>
        <row r="763">
          <cell r="D763" t="str">
            <v>Female BAG 21</v>
          </cell>
          <cell r="E763">
            <v>10</v>
          </cell>
          <cell r="F763">
            <v>3</v>
          </cell>
        </row>
        <row r="764">
          <cell r="D764" t="str">
            <v>Female BAG 25</v>
          </cell>
          <cell r="E764">
            <v>7</v>
          </cell>
          <cell r="F764">
            <v>3</v>
          </cell>
        </row>
        <row r="765">
          <cell r="D765" t="str">
            <v>Female BAG 27</v>
          </cell>
          <cell r="E765">
            <v>7</v>
          </cell>
          <cell r="F765">
            <v>3</v>
          </cell>
        </row>
        <row r="766">
          <cell r="D766" t="str">
            <v>Female BAG 28</v>
          </cell>
          <cell r="E766">
            <v>7</v>
          </cell>
          <cell r="F766">
            <v>1</v>
          </cell>
        </row>
        <row r="767">
          <cell r="D767" t="str">
            <v>Female BAG 30</v>
          </cell>
          <cell r="E767">
            <v>7</v>
          </cell>
          <cell r="F767">
            <v>1</v>
          </cell>
        </row>
        <row r="768">
          <cell r="D768" t="str">
            <v>Female BAG 35</v>
          </cell>
          <cell r="E768">
            <v>5</v>
          </cell>
          <cell r="F768">
            <v>1</v>
          </cell>
        </row>
        <row r="769">
          <cell r="D769" t="str">
            <v>Female BAG 36</v>
          </cell>
          <cell r="E769">
            <v>5</v>
          </cell>
          <cell r="F769">
            <v>1</v>
          </cell>
        </row>
        <row r="770">
          <cell r="D770" t="str">
            <v>Female BAG 40</v>
          </cell>
          <cell r="E770">
            <v>5</v>
          </cell>
          <cell r="F770">
            <v>1</v>
          </cell>
        </row>
        <row r="771">
          <cell r="D771" t="str">
            <v>Female BAG 45</v>
          </cell>
          <cell r="E771">
            <v>5</v>
          </cell>
          <cell r="F771">
            <v>1</v>
          </cell>
        </row>
        <row r="772">
          <cell r="D772" t="str">
            <v>Female BAG 49</v>
          </cell>
          <cell r="E772">
            <v>5</v>
          </cell>
          <cell r="F772">
            <v>1</v>
          </cell>
        </row>
        <row r="773">
          <cell r="D773" t="str">
            <v>Female BAG 50</v>
          </cell>
          <cell r="E773">
            <v>5</v>
          </cell>
          <cell r="F773">
            <v>1</v>
          </cell>
        </row>
        <row r="774">
          <cell r="D774" t="str">
            <v>Female BAG 63</v>
          </cell>
          <cell r="E774">
            <v>5</v>
          </cell>
          <cell r="F774">
            <v>1</v>
          </cell>
        </row>
        <row r="775">
          <cell r="D775" t="str">
            <v>Female BAG 70</v>
          </cell>
          <cell r="E775">
            <v>4</v>
          </cell>
          <cell r="F775">
            <v>1</v>
          </cell>
        </row>
        <row r="776">
          <cell r="D776" t="str">
            <v>Female BAG 81</v>
          </cell>
          <cell r="E776">
            <v>4</v>
          </cell>
          <cell r="F776">
            <v>1</v>
          </cell>
        </row>
        <row r="777">
          <cell r="D777" t="str">
            <v>Female BAG 90</v>
          </cell>
          <cell r="E777">
            <v>3</v>
          </cell>
          <cell r="F777">
            <v>0</v>
          </cell>
        </row>
        <row r="778">
          <cell r="D778" t="str">
            <v>Female BAG 100</v>
          </cell>
          <cell r="E778">
            <v>3</v>
          </cell>
          <cell r="F778">
            <v>0</v>
          </cell>
        </row>
        <row r="779">
          <cell r="D779" t="str">
            <v>Female Mini CIM 9</v>
          </cell>
          <cell r="E779">
            <v>7</v>
          </cell>
          <cell r="F779">
            <v>0</v>
          </cell>
        </row>
        <row r="780">
          <cell r="D780" t="str">
            <v>Female Mini CIM 12</v>
          </cell>
          <cell r="E780">
            <v>5</v>
          </cell>
          <cell r="F780">
            <v>0</v>
          </cell>
        </row>
        <row r="781">
          <cell r="D781" t="str">
            <v>Female Mini CIM 15</v>
          </cell>
          <cell r="E781">
            <v>5</v>
          </cell>
          <cell r="F781">
            <v>0</v>
          </cell>
        </row>
        <row r="782">
          <cell r="D782" t="str">
            <v>Female Mini CIM 16</v>
          </cell>
          <cell r="E782">
            <v>5</v>
          </cell>
          <cell r="F782">
            <v>0</v>
          </cell>
        </row>
        <row r="783">
          <cell r="D783" t="str">
            <v>Female Mini CIM 20</v>
          </cell>
          <cell r="E783">
            <v>5</v>
          </cell>
          <cell r="F783">
            <v>0</v>
          </cell>
        </row>
        <row r="784">
          <cell r="D784" t="str">
            <v>Female Mini CIM 21</v>
          </cell>
          <cell r="E784">
            <v>5</v>
          </cell>
          <cell r="F784">
            <v>0</v>
          </cell>
        </row>
        <row r="785">
          <cell r="D785" t="str">
            <v>Female Mini CIM 25</v>
          </cell>
          <cell r="E785">
            <v>4</v>
          </cell>
          <cell r="F785">
            <v>0</v>
          </cell>
        </row>
        <row r="786">
          <cell r="D786" t="str">
            <v>Female Mini CIM 27</v>
          </cell>
          <cell r="E786">
            <v>4</v>
          </cell>
          <cell r="F786">
            <v>0</v>
          </cell>
        </row>
        <row r="787">
          <cell r="D787" t="str">
            <v>Female Mini CIM 28</v>
          </cell>
          <cell r="E787">
            <v>3</v>
          </cell>
          <cell r="F787">
            <v>0</v>
          </cell>
        </row>
        <row r="788">
          <cell r="D788" t="str">
            <v>Female Mini CIM 30</v>
          </cell>
          <cell r="E788">
            <v>3</v>
          </cell>
          <cell r="F788">
            <v>0</v>
          </cell>
        </row>
        <row r="789">
          <cell r="D789" t="str">
            <v>Female Mini CIM 35</v>
          </cell>
          <cell r="E789">
            <v>3</v>
          </cell>
          <cell r="F789">
            <v>0</v>
          </cell>
        </row>
        <row r="790">
          <cell r="D790" t="str">
            <v>Female Mini CIM 36</v>
          </cell>
          <cell r="E790">
            <v>1</v>
          </cell>
          <cell r="F790">
            <v>0</v>
          </cell>
        </row>
        <row r="791">
          <cell r="D791" t="str">
            <v>Female Mini CIM 40</v>
          </cell>
          <cell r="E791">
            <v>1</v>
          </cell>
          <cell r="F791">
            <v>0</v>
          </cell>
        </row>
        <row r="792">
          <cell r="D792" t="str">
            <v>Female Mini CIM 45</v>
          </cell>
          <cell r="E792">
            <v>1</v>
          </cell>
          <cell r="F792">
            <v>0</v>
          </cell>
        </row>
        <row r="793">
          <cell r="D793" t="str">
            <v>Female Mini CIM 49</v>
          </cell>
          <cell r="E793">
            <v>1</v>
          </cell>
          <cell r="F793">
            <v>0</v>
          </cell>
        </row>
        <row r="794">
          <cell r="D794" t="str">
            <v>Female Mini CIM 50</v>
          </cell>
          <cell r="E794">
            <v>1</v>
          </cell>
          <cell r="F794">
            <v>0</v>
          </cell>
        </row>
        <row r="795">
          <cell r="D795" t="str">
            <v>Female Mini CIM 63</v>
          </cell>
          <cell r="E795">
            <v>1</v>
          </cell>
          <cell r="F795">
            <v>0</v>
          </cell>
        </row>
        <row r="796">
          <cell r="D796" t="str">
            <v>Female Mini CIM 70</v>
          </cell>
          <cell r="E796">
            <v>0</v>
          </cell>
          <cell r="F796">
            <v>0</v>
          </cell>
        </row>
        <row r="797">
          <cell r="D797" t="str">
            <v>Female Mini CIM 81</v>
          </cell>
          <cell r="E797">
            <v>0</v>
          </cell>
          <cell r="F797">
            <v>0</v>
          </cell>
        </row>
        <row r="798">
          <cell r="D798" t="str">
            <v>Female Mini CIM 90</v>
          </cell>
          <cell r="E798">
            <v>0</v>
          </cell>
          <cell r="F798">
            <v>0</v>
          </cell>
        </row>
        <row r="799">
          <cell r="D799" t="str">
            <v>Female Mini CIM 100</v>
          </cell>
          <cell r="E799">
            <v>0</v>
          </cell>
          <cell r="F799">
            <v>0</v>
          </cell>
        </row>
        <row r="800">
          <cell r="D800" t="str">
            <v>Female CIM 9</v>
          </cell>
          <cell r="E800">
            <v>5</v>
          </cell>
          <cell r="F800">
            <v>0</v>
          </cell>
        </row>
        <row r="801">
          <cell r="D801" t="str">
            <v>Female CIM 12</v>
          </cell>
          <cell r="E801">
            <v>5</v>
          </cell>
          <cell r="F801">
            <v>0</v>
          </cell>
        </row>
        <row r="802">
          <cell r="D802" t="str">
            <v>Female CIM 15</v>
          </cell>
          <cell r="E802">
            <v>4</v>
          </cell>
          <cell r="F802">
            <v>0</v>
          </cell>
        </row>
        <row r="803">
          <cell r="D803" t="str">
            <v>Female CIM 16</v>
          </cell>
          <cell r="E803">
            <v>4</v>
          </cell>
          <cell r="F803">
            <v>0</v>
          </cell>
        </row>
        <row r="804">
          <cell r="D804" t="str">
            <v>Female CIM 20</v>
          </cell>
          <cell r="E804">
            <v>3</v>
          </cell>
          <cell r="F804">
            <v>0</v>
          </cell>
        </row>
        <row r="805">
          <cell r="D805" t="str">
            <v>Female CIM 21</v>
          </cell>
          <cell r="E805">
            <v>3</v>
          </cell>
          <cell r="F805">
            <v>0</v>
          </cell>
        </row>
        <row r="806">
          <cell r="D806" t="str">
            <v>Female CIM 25</v>
          </cell>
          <cell r="E806">
            <v>1</v>
          </cell>
          <cell r="F806">
            <v>0</v>
          </cell>
        </row>
        <row r="807">
          <cell r="D807" t="str">
            <v>Female CIM 27</v>
          </cell>
          <cell r="E807">
            <v>1</v>
          </cell>
          <cell r="F807">
            <v>0</v>
          </cell>
        </row>
        <row r="808">
          <cell r="D808" t="str">
            <v>Female CIM 28</v>
          </cell>
          <cell r="E808">
            <v>1</v>
          </cell>
          <cell r="F808">
            <v>0</v>
          </cell>
        </row>
        <row r="809">
          <cell r="D809" t="str">
            <v>Female CIM 30</v>
          </cell>
          <cell r="E809">
            <v>1</v>
          </cell>
          <cell r="F809">
            <v>0</v>
          </cell>
        </row>
        <row r="810">
          <cell r="D810" t="str">
            <v>Female CIM 35</v>
          </cell>
          <cell r="E810">
            <v>1</v>
          </cell>
          <cell r="F810">
            <v>0</v>
          </cell>
        </row>
        <row r="811">
          <cell r="D811" t="str">
            <v>Female CIM 36</v>
          </cell>
          <cell r="E811">
            <v>1</v>
          </cell>
          <cell r="F811">
            <v>0</v>
          </cell>
        </row>
        <row r="812">
          <cell r="D812" t="str">
            <v>Female CIM 40</v>
          </cell>
          <cell r="E812">
            <v>1</v>
          </cell>
          <cell r="F812">
            <v>0</v>
          </cell>
        </row>
        <row r="813">
          <cell r="D813" t="str">
            <v>Female CIM 45</v>
          </cell>
          <cell r="E813">
            <v>0</v>
          </cell>
          <cell r="F813">
            <v>0</v>
          </cell>
        </row>
        <row r="814">
          <cell r="D814" t="str">
            <v>Female CIM 49</v>
          </cell>
          <cell r="E814">
            <v>0</v>
          </cell>
          <cell r="F814">
            <v>0</v>
          </cell>
        </row>
        <row r="815">
          <cell r="D815" t="str">
            <v>Female CIM 50</v>
          </cell>
          <cell r="E815">
            <v>0</v>
          </cell>
          <cell r="F815">
            <v>0</v>
          </cell>
        </row>
        <row r="816">
          <cell r="D816" t="str">
            <v>Female CIM 63</v>
          </cell>
          <cell r="E816">
            <v>0</v>
          </cell>
          <cell r="F816">
            <v>0</v>
          </cell>
        </row>
        <row r="817">
          <cell r="D817" t="str">
            <v>Female CIM 70</v>
          </cell>
          <cell r="E817">
            <v>0</v>
          </cell>
          <cell r="F817">
            <v>0</v>
          </cell>
        </row>
        <row r="818">
          <cell r="D818" t="str">
            <v>Female CIM 81</v>
          </cell>
          <cell r="E818">
            <v>0</v>
          </cell>
          <cell r="F818">
            <v>0</v>
          </cell>
        </row>
        <row r="819">
          <cell r="D819" t="str">
            <v>Female CIM 90</v>
          </cell>
          <cell r="E819">
            <v>0</v>
          </cell>
          <cell r="F819">
            <v>0</v>
          </cell>
        </row>
        <row r="820">
          <cell r="D820" t="str">
            <v>Female CIM 100</v>
          </cell>
          <cell r="E820">
            <v>0</v>
          </cell>
          <cell r="F820">
            <v>0</v>
          </cell>
        </row>
        <row r="821">
          <cell r="D821" t="str">
            <v>Female 775pro 9</v>
          </cell>
          <cell r="E821">
            <v>10</v>
          </cell>
          <cell r="F821">
            <v>5</v>
          </cell>
        </row>
        <row r="822">
          <cell r="D822" t="str">
            <v>Female 775pro 12</v>
          </cell>
          <cell r="E822">
            <v>10</v>
          </cell>
          <cell r="F822">
            <v>4</v>
          </cell>
        </row>
        <row r="823">
          <cell r="D823" t="str">
            <v>Female 775pro 15</v>
          </cell>
          <cell r="E823">
            <v>10</v>
          </cell>
          <cell r="F823">
            <v>3</v>
          </cell>
        </row>
        <row r="824">
          <cell r="D824" t="str">
            <v>Female 775pro 16</v>
          </cell>
          <cell r="E824">
            <v>10</v>
          </cell>
          <cell r="F824">
            <v>3</v>
          </cell>
        </row>
        <row r="825">
          <cell r="D825" t="str">
            <v>Female 775pro 20</v>
          </cell>
          <cell r="E825">
            <v>10</v>
          </cell>
          <cell r="F825">
            <v>1</v>
          </cell>
        </row>
        <row r="826">
          <cell r="D826" t="str">
            <v>Female 775pro 21</v>
          </cell>
          <cell r="E826">
            <v>10</v>
          </cell>
          <cell r="F826">
            <v>1</v>
          </cell>
        </row>
        <row r="827">
          <cell r="D827" t="str">
            <v>Female 775pro 25</v>
          </cell>
          <cell r="E827">
            <v>7</v>
          </cell>
          <cell r="F827">
            <v>1</v>
          </cell>
        </row>
        <row r="828">
          <cell r="D828" t="str">
            <v>Female 775pro 27</v>
          </cell>
          <cell r="E828">
            <v>7</v>
          </cell>
          <cell r="F828">
            <v>1</v>
          </cell>
        </row>
        <row r="829">
          <cell r="D829" t="str">
            <v>Female 775pro 28</v>
          </cell>
          <cell r="E829">
            <v>7</v>
          </cell>
          <cell r="F829">
            <v>1</v>
          </cell>
        </row>
        <row r="830">
          <cell r="D830" t="str">
            <v>Female 775pro 30</v>
          </cell>
          <cell r="E830">
            <v>7</v>
          </cell>
          <cell r="F830">
            <v>1</v>
          </cell>
        </row>
        <row r="831">
          <cell r="D831" t="str">
            <v>Female 775pro 35</v>
          </cell>
          <cell r="E831">
            <v>5</v>
          </cell>
          <cell r="F831">
            <v>1</v>
          </cell>
        </row>
        <row r="832">
          <cell r="D832" t="str">
            <v>Female 775pro 36</v>
          </cell>
          <cell r="E832">
            <v>5</v>
          </cell>
          <cell r="F832">
            <v>1</v>
          </cell>
        </row>
        <row r="833">
          <cell r="D833" t="str">
            <v>Female 775pro 40</v>
          </cell>
          <cell r="E833">
            <v>5</v>
          </cell>
          <cell r="F833">
            <v>1</v>
          </cell>
        </row>
        <row r="834">
          <cell r="D834" t="str">
            <v>Female 775pro 45</v>
          </cell>
          <cell r="E834">
            <v>4</v>
          </cell>
          <cell r="F834">
            <v>1</v>
          </cell>
        </row>
        <row r="835">
          <cell r="D835" t="str">
            <v>Female 775pro 49</v>
          </cell>
          <cell r="E835">
            <v>4</v>
          </cell>
          <cell r="F835">
            <v>1</v>
          </cell>
        </row>
        <row r="836">
          <cell r="D836" t="str">
            <v>Female 775pro 50</v>
          </cell>
          <cell r="E836">
            <v>4</v>
          </cell>
          <cell r="F836">
            <v>0</v>
          </cell>
        </row>
        <row r="837">
          <cell r="D837" t="str">
            <v>Female 775pro 63</v>
          </cell>
          <cell r="E837">
            <v>3</v>
          </cell>
          <cell r="F837">
            <v>0</v>
          </cell>
        </row>
        <row r="838">
          <cell r="D838" t="str">
            <v>Female 775pro 70</v>
          </cell>
          <cell r="E838">
            <v>3</v>
          </cell>
          <cell r="F838">
            <v>0</v>
          </cell>
        </row>
        <row r="839">
          <cell r="D839" t="str">
            <v>Female 775pro 81</v>
          </cell>
          <cell r="E839">
            <v>1</v>
          </cell>
          <cell r="F839">
            <v>0</v>
          </cell>
        </row>
        <row r="840">
          <cell r="D840" t="str">
            <v>Female 775pro 90</v>
          </cell>
          <cell r="E840">
            <v>1</v>
          </cell>
          <cell r="F840">
            <v>0</v>
          </cell>
        </row>
        <row r="841">
          <cell r="D841" t="str">
            <v>Female 775pro 100</v>
          </cell>
          <cell r="E841">
            <v>1</v>
          </cell>
          <cell r="F841">
            <v>0</v>
          </cell>
        </row>
      </sheetData>
      <sheetData sheetId="12"/>
      <sheetData sheetId="13">
        <row r="5">
          <cell r="B5" t="str">
            <v>CIM</v>
          </cell>
          <cell r="C5">
            <v>5330</v>
          </cell>
          <cell r="D5">
            <v>2.41</v>
          </cell>
          <cell r="E5">
            <v>2.7</v>
          </cell>
          <cell r="F5">
            <v>131</v>
          </cell>
          <cell r="G5">
            <v>336.28916760964142</v>
          </cell>
          <cell r="J5" t="str">
            <v>#25 Chain</v>
          </cell>
          <cell r="K5">
            <v>6.35</v>
          </cell>
          <cell r="L5">
            <v>9</v>
          </cell>
          <cell r="M5">
            <v>5.9</v>
          </cell>
          <cell r="N5">
            <v>0.31</v>
          </cell>
          <cell r="Q5" t="str">
            <v>7075-T6 Al</v>
          </cell>
          <cell r="R5">
            <v>71700</v>
          </cell>
          <cell r="S5">
            <v>26900</v>
          </cell>
        </row>
        <row r="6">
          <cell r="B6" t="str">
            <v>Mini CIM</v>
          </cell>
          <cell r="C6">
            <v>5840</v>
          </cell>
          <cell r="D6">
            <v>1.41</v>
          </cell>
          <cell r="E6">
            <v>3</v>
          </cell>
          <cell r="F6">
            <v>89</v>
          </cell>
          <cell r="G6">
            <v>215.57608788933157</v>
          </cell>
          <cell r="J6" t="str">
            <v>#35 Chain</v>
          </cell>
          <cell r="K6">
            <v>9.5299999999999994</v>
          </cell>
          <cell r="L6">
            <v>11.76</v>
          </cell>
          <cell r="M6">
            <v>8.94</v>
          </cell>
          <cell r="N6">
            <v>0.41</v>
          </cell>
          <cell r="Q6" t="str">
            <v>6061-T6 Al</v>
          </cell>
          <cell r="R6">
            <v>68900</v>
          </cell>
          <cell r="S6">
            <v>26000</v>
          </cell>
        </row>
        <row r="7">
          <cell r="B7" t="str">
            <v>NEO</v>
          </cell>
          <cell r="C7">
            <v>5676</v>
          </cell>
          <cell r="D7">
            <v>2.6</v>
          </cell>
          <cell r="E7">
            <v>1.8</v>
          </cell>
          <cell r="F7">
            <v>105</v>
          </cell>
          <cell r="G7">
            <v>386.35306453847278</v>
          </cell>
          <cell r="J7" t="str">
            <v>5mm HTD</v>
          </cell>
          <cell r="K7">
            <v>5</v>
          </cell>
          <cell r="L7">
            <v>15</v>
          </cell>
          <cell r="M7">
            <v>3</v>
          </cell>
          <cell r="N7">
            <v>0</v>
          </cell>
          <cell r="Q7" t="str">
            <v>Steel</v>
          </cell>
          <cell r="R7">
            <v>206000</v>
          </cell>
          <cell r="S7">
            <v>70000</v>
          </cell>
        </row>
        <row r="8">
          <cell r="B8" t="str">
            <v>BAG Motor</v>
          </cell>
          <cell r="C8">
            <v>13180</v>
          </cell>
          <cell r="D8">
            <v>0.43</v>
          </cell>
          <cell r="E8">
            <v>1.8</v>
          </cell>
          <cell r="F8">
            <v>53</v>
          </cell>
          <cell r="G8">
            <v>148.37218504128995</v>
          </cell>
          <cell r="J8" t="str">
            <v>3mm GT2</v>
          </cell>
          <cell r="K8">
            <v>3</v>
          </cell>
          <cell r="L8">
            <v>9</v>
          </cell>
          <cell r="M8">
            <v>3</v>
          </cell>
          <cell r="N8">
            <v>0</v>
          </cell>
          <cell r="Q8" t="str">
            <v>Stainless</v>
          </cell>
          <cell r="R8">
            <v>193000</v>
          </cell>
          <cell r="S8">
            <v>77000</v>
          </cell>
        </row>
        <row r="9">
          <cell r="B9" t="str">
            <v>775pro</v>
          </cell>
          <cell r="C9">
            <v>18730</v>
          </cell>
          <cell r="D9">
            <v>0.71</v>
          </cell>
          <cell r="E9">
            <v>0.7</v>
          </cell>
          <cell r="F9">
            <v>134</v>
          </cell>
          <cell r="G9">
            <v>348.14867987694288</v>
          </cell>
        </row>
        <row r="10">
          <cell r="B10" t="str">
            <v>Redline</v>
          </cell>
          <cell r="C10">
            <v>21020</v>
          </cell>
          <cell r="D10">
            <v>0.7</v>
          </cell>
          <cell r="E10">
            <v>3.8</v>
          </cell>
          <cell r="F10">
            <v>130</v>
          </cell>
          <cell r="G10">
            <v>385.21161920766843</v>
          </cell>
        </row>
        <row r="11">
          <cell r="B11" t="str">
            <v>AM 775</v>
          </cell>
          <cell r="C11">
            <v>5800</v>
          </cell>
          <cell r="D11">
            <v>0.28000000000000003</v>
          </cell>
          <cell r="E11">
            <v>1.6</v>
          </cell>
          <cell r="F11">
            <v>18</v>
          </cell>
          <cell r="G11">
            <v>42.516220578581873</v>
          </cell>
        </row>
        <row r="12">
          <cell r="B12" t="str">
            <v>AM 9015</v>
          </cell>
          <cell r="C12">
            <v>14270</v>
          </cell>
          <cell r="D12">
            <v>0.36</v>
          </cell>
          <cell r="E12">
            <v>3.7</v>
          </cell>
          <cell r="F12">
            <v>71</v>
          </cell>
          <cell r="G12">
            <v>134.49158150017905</v>
          </cell>
        </row>
        <row r="13">
          <cell r="B13" t="str">
            <v>CIM + Mini</v>
          </cell>
          <cell r="C13">
            <v>5508</v>
          </cell>
          <cell r="D13">
            <v>3.82</v>
          </cell>
          <cell r="E13">
            <v>8.16</v>
          </cell>
          <cell r="F13">
            <v>220</v>
          </cell>
          <cell r="G13">
            <v>550.84057269512709</v>
          </cell>
        </row>
        <row r="14">
          <cell r="B14" t="str">
            <v>CIM + 2 Mini</v>
          </cell>
          <cell r="C14">
            <v>5593</v>
          </cell>
          <cell r="D14">
            <v>5.23</v>
          </cell>
          <cell r="E14">
            <v>9.6199999999999992</v>
          </cell>
          <cell r="F14">
            <v>309</v>
          </cell>
          <cell r="G14">
            <v>765.79959942741618</v>
          </cell>
        </row>
        <row r="15">
          <cell r="B15" t="str">
            <v>2 CIM + Mini</v>
          </cell>
          <cell r="C15">
            <v>5437</v>
          </cell>
          <cell r="D15">
            <v>6.23</v>
          </cell>
          <cell r="E15">
            <v>9.15</v>
          </cell>
          <cell r="F15">
            <v>351</v>
          </cell>
          <cell r="G15">
            <v>886.78023812205663</v>
          </cell>
        </row>
        <row r="16">
          <cell r="B16" t="str">
            <v>BB RS-775</v>
          </cell>
          <cell r="C16">
            <v>13050</v>
          </cell>
          <cell r="D16">
            <v>0.72</v>
          </cell>
          <cell r="E16">
            <v>2.7</v>
          </cell>
          <cell r="F16">
            <v>97</v>
          </cell>
          <cell r="G16">
            <v>245.98670477608078</v>
          </cell>
        </row>
        <row r="17">
          <cell r="B17" t="str">
            <v>BB RS-550</v>
          </cell>
          <cell r="C17">
            <v>19000</v>
          </cell>
          <cell r="D17">
            <v>0.38</v>
          </cell>
          <cell r="E17">
            <v>0.4</v>
          </cell>
          <cell r="F17">
            <v>84</v>
          </cell>
          <cell r="G17">
            <v>189.01915799098592</v>
          </cell>
        </row>
        <row r="18">
          <cell r="B18" t="str">
            <v>Snowblower</v>
          </cell>
          <cell r="C18">
            <v>100</v>
          </cell>
          <cell r="D18">
            <v>7.91</v>
          </cell>
          <cell r="E18">
            <v>5</v>
          </cell>
          <cell r="F18">
            <v>24</v>
          </cell>
          <cell r="G18">
            <v>20.708331574912719</v>
          </cell>
        </row>
        <row r="19">
          <cell r="B19" t="str">
            <v>NeveRest</v>
          </cell>
          <cell r="C19">
            <v>6600</v>
          </cell>
          <cell r="D19">
            <v>6.1800000000000001E-2</v>
          </cell>
          <cell r="E19">
            <v>2</v>
          </cell>
          <cell r="F19">
            <v>11.5</v>
          </cell>
          <cell r="G19">
            <v>10.678273429551707</v>
          </cell>
        </row>
        <row r="20">
          <cell r="B20" t="str">
            <v>Throttle Motor</v>
          </cell>
          <cell r="C20">
            <v>5300</v>
          </cell>
          <cell r="D20">
            <v>0.13</v>
          </cell>
          <cell r="E20">
            <v>1</v>
          </cell>
          <cell r="F20">
            <v>7</v>
          </cell>
          <cell r="G20">
            <v>18.037977819361398</v>
          </cell>
        </row>
        <row r="21">
          <cell r="B21" t="str">
            <v>Bosch Motor</v>
          </cell>
          <cell r="C21">
            <v>24</v>
          </cell>
          <cell r="D21">
            <v>22</v>
          </cell>
          <cell r="E21">
            <v>3</v>
          </cell>
          <cell r="F21">
            <v>12</v>
          </cell>
          <cell r="G21">
            <v>13.82300767579509</v>
          </cell>
        </row>
        <row r="22">
          <cell r="B22" t="str">
            <v>Dynamo</v>
          </cell>
          <cell r="C22">
            <v>3084</v>
          </cell>
          <cell r="D22">
            <v>0.32</v>
          </cell>
          <cell r="E22">
            <v>0.28000000000000003</v>
          </cell>
          <cell r="F22">
            <v>6.5</v>
          </cell>
          <cell r="G22">
            <v>25.836457983122461</v>
          </cell>
        </row>
        <row r="23">
          <cell r="B23" t="str">
            <v>Window Motor</v>
          </cell>
          <cell r="C23">
            <v>90</v>
          </cell>
          <cell r="D23">
            <v>9.24</v>
          </cell>
          <cell r="E23">
            <v>1.5</v>
          </cell>
          <cell r="F23">
            <v>16.25</v>
          </cell>
          <cell r="G23">
            <v>21.771237089377266</v>
          </cell>
        </row>
        <row r="24">
          <cell r="G24">
            <v>0</v>
          </cell>
        </row>
        <row r="25">
          <cell r="G25">
            <v>0</v>
          </cell>
        </row>
        <row r="26">
          <cell r="G26">
            <v>0</v>
          </cell>
        </row>
        <row r="27">
          <cell r="G27">
            <v>0</v>
          </cell>
        </row>
        <row r="28">
          <cell r="G28">
            <v>0</v>
          </cell>
        </row>
      </sheetData>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EZ121"/>
  <sheetViews>
    <sheetView tabSelected="1"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9" width="9.140625" style="1"/>
    <col min="20" max="154" width="9.140625" style="32" hidden="1" customWidth="1"/>
    <col min="155" max="16384" width="9.140625" style="1"/>
  </cols>
  <sheetData>
    <row r="2" spans="2:156" ht="31.5" x14ac:dyDescent="0.25">
      <c r="C2" s="2" t="s">
        <v>0</v>
      </c>
    </row>
    <row r="3" spans="2:156" x14ac:dyDescent="0.25">
      <c r="I3" s="20" t="s">
        <v>1</v>
      </c>
      <c r="J3" s="21"/>
    </row>
    <row r="4" spans="2:156" x14ac:dyDescent="0.25">
      <c r="B4" s="4" t="b">
        <v>1</v>
      </c>
      <c r="C4" s="1" t="s">
        <v>2</v>
      </c>
      <c r="V4" s="33"/>
      <c r="W4" s="34"/>
      <c r="Y4" s="35"/>
      <c r="Z4" s="34"/>
    </row>
    <row r="5" spans="2:156" x14ac:dyDescent="0.25">
      <c r="T5" s="32">
        <f>IF($I$3="Forward",D7,G7)</f>
        <v>0.29999999999999993</v>
      </c>
      <c r="V5" s="37">
        <f>MAX(CI8:CI108)*2</f>
        <v>9.5499370050354955</v>
      </c>
      <c r="W5" s="34"/>
      <c r="Y5" s="35"/>
      <c r="Z5" s="34"/>
    </row>
    <row r="6" spans="2:156" ht="18.75" x14ac:dyDescent="0.25">
      <c r="C6" s="22" t="s">
        <v>3</v>
      </c>
      <c r="D6" s="22"/>
      <c r="F6" s="22" t="s">
        <v>1</v>
      </c>
      <c r="G6" s="22"/>
    </row>
    <row r="7" spans="2:156" x14ac:dyDescent="0.25">
      <c r="C7" s="5" t="str">
        <f>"Release Height (" &amp; IF($B$4, "m", "ft") &amp; ")"</f>
        <v>Release Height (m)</v>
      </c>
      <c r="D7" s="6">
        <v>0.2</v>
      </c>
      <c r="F7" s="5" t="str">
        <f>"Release Height (" &amp; IF($B$4, "m", "ft") &amp; ")"</f>
        <v>Release Height (m)</v>
      </c>
      <c r="G7" s="6">
        <v>0.29999999999999993</v>
      </c>
      <c r="T7" s="33">
        <f>IF($I$3="Forward", $D$8-$D$9, $G$8-$G$9)</f>
        <v>1.9999999999999998</v>
      </c>
      <c r="U7" s="33">
        <f>$G$10-$G$11</f>
        <v>2.5</v>
      </c>
      <c r="V7" s="33">
        <f>$G$12-$G$13</f>
        <v>-80</v>
      </c>
      <c r="W7" s="33">
        <f>IF($I$3="Forward", $D$10*(1-$D$11), SQRT((IF($B$4, 9.807, 32.174)*T7)/(ABS(TAN(RADIANS(X7))-TAN(RADIANS(V7)))))/COS(RADIANS(X7)))</f>
        <v>9.5489346835634272</v>
      </c>
      <c r="X7" s="34">
        <f>IF($I$3="Forward", $D$12-$D$13, DEGREES(ATAN(2*(U7-$T$5)/T7-TAN(RADIANS(V7)))))</f>
        <v>82.759695716411017</v>
      </c>
      <c r="Y7" s="33">
        <f>IF($I$3="Forward", $D$8, $G$8)</f>
        <v>1.9999999999999998</v>
      </c>
      <c r="Z7" s="33">
        <f>$G$10-$G$11</f>
        <v>2.5</v>
      </c>
      <c r="AA7" s="33">
        <f>$G$12-$G$13</f>
        <v>-80</v>
      </c>
      <c r="AB7" s="33">
        <f>IF($I$3="Forward", $D$10*(1-$D$11), SQRT((IF($B$4, 9.807, 32.174)*Y7)/(ABS(TAN(RADIANS(AC7))-TAN(RADIANS(AA7)))))/COS(RADIANS(AC7)))</f>
        <v>9.5489346835634272</v>
      </c>
      <c r="AC7" s="34">
        <f>IF($I$3="Forward", $D$12-$D$13, DEGREES(ATAN(2*(Z7-$T$5)/Y7-TAN(RADIANS(AA7)))))</f>
        <v>82.759695716411017</v>
      </c>
      <c r="AD7" s="33">
        <f>IF($I$3="Forward", $D$8+$D$9, $G$8+$G$9)</f>
        <v>1.9999999999999998</v>
      </c>
      <c r="AE7" s="33">
        <f>$G$10-$G$11</f>
        <v>2.5</v>
      </c>
      <c r="AF7" s="33">
        <f>$G$12-$G$13</f>
        <v>-80</v>
      </c>
      <c r="AG7" s="33">
        <f>IF($I$3="Forward", $D$10*(1-$D$11), SQRT((IF($B$4, 9.807, 32.174)*AD7)/(ABS(TAN(RADIANS(AH7))-TAN(RADIANS(AF7)))))/COS(RADIANS(AH7)))</f>
        <v>9.5489346835634272</v>
      </c>
      <c r="AH7" s="34">
        <f>IF($I$3="Forward", $D$12-$D$13, DEGREES(ATAN(2*(AE7-$T$5)/AD7-TAN(RADIANS(AF7)))))</f>
        <v>82.759695716411017</v>
      </c>
      <c r="AI7" s="33">
        <f>IF($I$3="Forward", $D$8-$D$9, $G$8-$G$9)</f>
        <v>1.9999999999999998</v>
      </c>
      <c r="AJ7" s="33">
        <f>$G$10</f>
        <v>2.5</v>
      </c>
      <c r="AK7" s="33">
        <f>$G$12-$G$13</f>
        <v>-80</v>
      </c>
      <c r="AL7" s="33">
        <f>IF($I$3="Forward", $D$10, SQRT((IF($B$4, 9.807, 32.174)*AI7)/(ABS(TAN(RADIANS(AM7))-TAN(RADIANS(AK7)))))/COS(RADIANS(AM7)))</f>
        <v>9.5489346835634272</v>
      </c>
      <c r="AM7" s="34">
        <f>IF($I$3="Forward", $D$12-$D$13, DEGREES(ATAN(2*(AJ7-$T$5)/AI7-TAN(RADIANS(AK7)))))</f>
        <v>82.759695716411017</v>
      </c>
      <c r="AN7" s="33">
        <f>IF($I$3="Forward", $D$8, $G$8)</f>
        <v>1.9999999999999998</v>
      </c>
      <c r="AO7" s="33">
        <f>$G$10</f>
        <v>2.5</v>
      </c>
      <c r="AP7" s="33">
        <f>$G$12-$G$13</f>
        <v>-80</v>
      </c>
      <c r="AQ7" s="33">
        <f>IF($I$3="Forward", $D$10, SQRT((IF($B$4, 9.807, 32.174)*AN7)/(ABS(TAN(RADIANS(AR7))-TAN(RADIANS(AP7)))))/COS(RADIANS(AR7)))</f>
        <v>9.5489346835634272</v>
      </c>
      <c r="AR7" s="34">
        <f>IF($I$3="Forward", $D$12-$D$13, DEGREES(ATAN(2*(AO7-$T$5)/AN7-TAN(RADIANS(AP7)))))</f>
        <v>82.759695716411017</v>
      </c>
      <c r="AS7" s="33">
        <f>IF($I$3="Forward", $D$8+$D$9, $G$8+$G$9)</f>
        <v>1.9999999999999998</v>
      </c>
      <c r="AT7" s="33">
        <f>$G$10</f>
        <v>2.5</v>
      </c>
      <c r="AU7" s="33">
        <f>$G$12-$G$13</f>
        <v>-80</v>
      </c>
      <c r="AV7" s="33">
        <f>IF($I$3="Forward", $D$10, SQRT((IF($B$4, 9.807, 32.174)*AS7)/(ABS(TAN(RADIANS(AW7))-TAN(RADIANS(AU7)))))/COS(RADIANS(AW7)))</f>
        <v>9.5489346835634272</v>
      </c>
      <c r="AW7" s="34">
        <f>IF($I$3="Forward", $D$12-$D$13, DEGREES(ATAN(2*(AT7-$T$5)/AS7-TAN(RADIANS(AU7)))))</f>
        <v>82.759695716411017</v>
      </c>
      <c r="AX7" s="33">
        <f>IF($I$3="Forward", $D$8-$D$9, $G$8-$G$9)</f>
        <v>1.9999999999999998</v>
      </c>
      <c r="AY7" s="33">
        <f>$G$10+$G$11</f>
        <v>2.5</v>
      </c>
      <c r="AZ7" s="33">
        <f>$G$12-$G$13</f>
        <v>-80</v>
      </c>
      <c r="BA7" s="33">
        <f>IF($I$3="Forward", $D$10*(1+$D$11), SQRT((IF($B$4, 9.807, 32.174)*AX7)/(ABS(TAN(RADIANS(BB7))-TAN(RADIANS(AZ7)))))/COS(RADIANS(BB7)))</f>
        <v>9.5489346835634272</v>
      </c>
      <c r="BB7" s="34">
        <f>IF($I$3="Forward", $D$12-$D$13, DEGREES(ATAN(2*(AY7-$T$5)/AX7-TAN(RADIANS(AZ7)))))</f>
        <v>82.759695716411017</v>
      </c>
      <c r="BC7" s="33">
        <f>IF($I$3="Forward", $D$8, $G$8)</f>
        <v>1.9999999999999998</v>
      </c>
      <c r="BD7" s="33">
        <f>$G$10+$G$11</f>
        <v>2.5</v>
      </c>
      <c r="BE7" s="33">
        <f>$G$12-$G$13</f>
        <v>-80</v>
      </c>
      <c r="BF7" s="33">
        <f>IF($I$3="Forward", $D$10*(1+$D$11), SQRT((IF($B$4, 9.807, 32.174)*BC7)/(ABS(TAN(RADIANS(BG7))-TAN(RADIANS(BE7)))))/COS(RADIANS(BG7)))</f>
        <v>9.5489346835634272</v>
      </c>
      <c r="BG7" s="34">
        <f>IF($I$3="Forward", $D$12-$D$13, DEGREES(ATAN(2*(BD7-$T$5)/BC7-TAN(RADIANS(BE7)))))</f>
        <v>82.759695716411017</v>
      </c>
      <c r="BH7" s="33">
        <f>IF($I$3="Forward", $D$8+$D$9, $G$8+$G$9)</f>
        <v>1.9999999999999998</v>
      </c>
      <c r="BI7" s="33">
        <f>$G$10+$G$11</f>
        <v>2.5</v>
      </c>
      <c r="BJ7" s="33">
        <f>$G$12-$G$13</f>
        <v>-80</v>
      </c>
      <c r="BK7" s="33">
        <f>IF($I$3="Forward", $D$10*(1+$D$11), SQRT((IF($B$4, 9.807, 32.174)*BH7)/(ABS(TAN(RADIANS(BL7))-TAN(RADIANS(BJ7)))))/COS(RADIANS(BL7)))</f>
        <v>9.5489346835634272</v>
      </c>
      <c r="BL7" s="34">
        <f>IF($I$3="Forward", $D$12-$D$13, DEGREES(ATAN(2*(BI7-$T$5)/BH7-TAN(RADIANS(BJ7)))))</f>
        <v>82.759695716411017</v>
      </c>
      <c r="BM7" s="33">
        <f>IF($I$3="Forward", $D$8-$D$9, $G$8-$G$9)</f>
        <v>1.9999999999999998</v>
      </c>
      <c r="BN7" s="33">
        <f>$G$10-$G$11</f>
        <v>2.5</v>
      </c>
      <c r="BO7" s="33">
        <f>$G$12</f>
        <v>-80</v>
      </c>
      <c r="BP7" s="33">
        <f>IF($I$3="Forward", $D$10*(1-$D$11), SQRT((IF($B$4, 9.807, 32.174)*BM7)/(ABS(TAN(RADIANS(BQ7))-TAN(RADIANS(BO7)))))/COS(RADIANS(BQ7)))</f>
        <v>9.5489346835634272</v>
      </c>
      <c r="BQ7" s="34">
        <f>IF($I$3="Forward", $D$12, DEGREES(ATAN(2*(BN7-$T$5)/BM7-TAN(RADIANS(BO7)))))</f>
        <v>82.759695716411017</v>
      </c>
      <c r="BR7" s="33">
        <f>IF($I$3="Forward", $D$8, $G$8)</f>
        <v>1.9999999999999998</v>
      </c>
      <c r="BS7" s="33">
        <f>$G$10-$G$11</f>
        <v>2.5</v>
      </c>
      <c r="BT7" s="33">
        <f>$G$12</f>
        <v>-80</v>
      </c>
      <c r="BU7" s="33">
        <f>IF($I$3="Forward", $D$10*(1-$D$11), SQRT((IF($B$4, 9.807, 32.174)*BR7)/(ABS(TAN(RADIANS(BV7))-TAN(RADIANS(BT7)))))/COS(RADIANS(BV7)))</f>
        <v>9.5489346835634272</v>
      </c>
      <c r="BV7" s="34">
        <f>IF($I$3="Forward", $D$12, DEGREES(ATAN(2*(BS7-$T$5)/BR7-TAN(RADIANS(BT7)))))</f>
        <v>82.759695716411017</v>
      </c>
      <c r="BW7" s="33">
        <f>IF($I$3="Forward", $D$8+$D$9, $G$8+$G$9)</f>
        <v>1.9999999999999998</v>
      </c>
      <c r="BX7" s="33">
        <f>$G$10-$G$11</f>
        <v>2.5</v>
      </c>
      <c r="BY7" s="33">
        <f>$G$12</f>
        <v>-80</v>
      </c>
      <c r="BZ7" s="33">
        <f>IF($I$3="Forward", $D$10*(1-$D$11), SQRT((IF($B$4, 9.807, 32.174)*BW7)/(ABS(TAN(RADIANS(CA7))-TAN(RADIANS(BY7)))))/COS(RADIANS(CA7)))</f>
        <v>9.5489346835634272</v>
      </c>
      <c r="CA7" s="34">
        <f>IF($I$3="Forward", $D$12, DEGREES(ATAN(2*(BX7-$T$5)/BW7-TAN(RADIANS(BY7)))))</f>
        <v>82.759695716411017</v>
      </c>
      <c r="CB7" s="33">
        <f>IF($I$3="Forward", $D$8-$D$9, $G$8-$G$9)</f>
        <v>1.9999999999999998</v>
      </c>
      <c r="CC7" s="33">
        <f>$G$10</f>
        <v>2.5</v>
      </c>
      <c r="CD7" s="33">
        <f>$G$12</f>
        <v>-80</v>
      </c>
      <c r="CE7" s="33">
        <f>IF($I$3="Forward", $D$10, SQRT((IF($B$4, 9.807, 32.174)*CB7)/(ABS(TAN(RADIANS(CF7))-TAN(RADIANS(CD7)))))/COS(RADIANS(CF7)))</f>
        <v>9.5489346835634272</v>
      </c>
      <c r="CF7" s="34">
        <f>IF($I$3="Forward", $D$12, DEGREES(ATAN(2*(CC7-$T$5)/CB7-TAN(RADIANS(CD7)))))</f>
        <v>82.759695716411017</v>
      </c>
      <c r="CG7" s="37">
        <f>IF($I$3="Forward", $D$8, $G$8)</f>
        <v>1.9999999999999998</v>
      </c>
      <c r="CH7" s="37">
        <f>$G$10</f>
        <v>2.5</v>
      </c>
      <c r="CI7" s="37">
        <f>$G$12</f>
        <v>-80</v>
      </c>
      <c r="CJ7" s="37">
        <f>IF($I$3="Forward", $D$10, SQRT((IF($B$4, 9.807, 32.174)*CG7)/(ABS(TAN(RADIANS(CK7))-TAN(RADIANS(CI7)))))/COS(RADIANS(CK7)))</f>
        <v>9.5489346835634272</v>
      </c>
      <c r="CK7" s="38">
        <f>IF($I$3="Forward", $D$12, DEGREES(ATAN(2*(CH7-$T$5)/CG7-TAN(RADIANS(CI7)))))</f>
        <v>82.759695716411017</v>
      </c>
      <c r="CL7" s="33">
        <f>IF($I$3="Forward", $D$8+$D$9, $G$8+$G$9)</f>
        <v>1.9999999999999998</v>
      </c>
      <c r="CM7" s="33">
        <f>$G$10</f>
        <v>2.5</v>
      </c>
      <c r="CN7" s="33">
        <f>$G$12</f>
        <v>-80</v>
      </c>
      <c r="CO7" s="33">
        <f>IF($I$3="Forward", $D$10, SQRT((IF($B$4, 9.807, 32.174)*CL7)/(ABS(TAN(RADIANS(CP7))-TAN(RADIANS(CN7)))))/COS(RADIANS(CP7)))</f>
        <v>9.5489346835634272</v>
      </c>
      <c r="CP7" s="34">
        <f>IF($I$3="Forward", $D$12, DEGREES(ATAN(2*(CM7-$T$5)/CL7-TAN(RADIANS(CN7)))))</f>
        <v>82.759695716411017</v>
      </c>
      <c r="CQ7" s="33">
        <f>IF($I$3="Forward", $D$8-$D$9, $G$8-$G$9)</f>
        <v>1.9999999999999998</v>
      </c>
      <c r="CR7" s="33">
        <f>$G$10+$G$11</f>
        <v>2.5</v>
      </c>
      <c r="CS7" s="33">
        <f>$G$12</f>
        <v>-80</v>
      </c>
      <c r="CT7" s="33">
        <f>IF($I$3="Forward", $D$10*(1+$D$11), SQRT((IF($B$4, 9.807, 32.174)*CQ7)/(ABS(TAN(RADIANS(CU7))-TAN(RADIANS(CS7)))))/COS(RADIANS(CU7)))</f>
        <v>9.5489346835634272</v>
      </c>
      <c r="CU7" s="34">
        <f>IF($I$3="Forward", $D$12, DEGREES(ATAN(2*(CR7-$T$5)/CQ7-TAN(RADIANS(CS7)))))</f>
        <v>82.759695716411017</v>
      </c>
      <c r="CV7" s="33">
        <f>IF($I$3="Forward", $D$8, $G$8)</f>
        <v>1.9999999999999998</v>
      </c>
      <c r="CW7" s="33">
        <f>$G$10+$G$11</f>
        <v>2.5</v>
      </c>
      <c r="CX7" s="33">
        <f>$G$12</f>
        <v>-80</v>
      </c>
      <c r="CY7" s="33">
        <f>IF($I$3="Forward", $D$10*(1+$D$11), SQRT((IF($B$4, 9.807, 32.174)*CV7)/(ABS(TAN(RADIANS(CZ7))-TAN(RADIANS(CX7)))))/COS(RADIANS(CZ7)))</f>
        <v>9.5489346835634272</v>
      </c>
      <c r="CZ7" s="34">
        <f>IF($I$3="Forward", $D$12, DEGREES(ATAN(2*(CW7-$T$5)/CV7-TAN(RADIANS(CX7)))))</f>
        <v>82.759695716411017</v>
      </c>
      <c r="DA7" s="33">
        <f>IF($I$3="Forward", $D$8+$D$9, $G$8+$G$9)</f>
        <v>1.9999999999999998</v>
      </c>
      <c r="DB7" s="33">
        <f>$G$10+$G$11</f>
        <v>2.5</v>
      </c>
      <c r="DC7" s="33">
        <f>$G$12</f>
        <v>-80</v>
      </c>
      <c r="DD7" s="33">
        <f>IF($I$3="Forward", $D$10*(1+$D$11), SQRT((IF($B$4, 9.807, 32.174)*DA7)/(ABS(TAN(RADIANS(DE7))-TAN(RADIANS(DC7)))))/COS(RADIANS(DE7)))</f>
        <v>9.5489346835634272</v>
      </c>
      <c r="DE7" s="34">
        <f>IF($I$3="Forward", $D$12, DEGREES(ATAN(2*(DB7-$T$5)/DA7-TAN(RADIANS(DC7)))))</f>
        <v>82.759695716411017</v>
      </c>
      <c r="DF7" s="33">
        <f>IF($I$3="Forward", $D$8-$D$9, $G$8-$G$9)</f>
        <v>1.9999999999999998</v>
      </c>
      <c r="DG7" s="33">
        <f>$G$10-$G$11</f>
        <v>2.5</v>
      </c>
      <c r="DH7" s="33">
        <f>$G$12+$G$13</f>
        <v>-80</v>
      </c>
      <c r="DI7" s="33">
        <f>IF($I$3="Forward", $D$10*(1-$D$11), SQRT((IF($B$4, 9.807, 32.174)*DF7)/(ABS(TAN(RADIANS(DJ7))-TAN(RADIANS(DH7)))))/COS(RADIANS(DJ7)))</f>
        <v>9.5489346835634272</v>
      </c>
      <c r="DJ7" s="34">
        <f>IF($I$3="Forward", $D$12+$D$13, DEGREES(ATAN(2*(DG7-$T$5)/DF7-TAN(RADIANS(DH7)))))</f>
        <v>82.759695716411017</v>
      </c>
      <c r="DK7" s="33">
        <f>IF($I$3="Forward", $D$8, $G$8)</f>
        <v>1.9999999999999998</v>
      </c>
      <c r="DL7" s="33">
        <f>$G$10-$G$11</f>
        <v>2.5</v>
      </c>
      <c r="DM7" s="33">
        <f>$G$12+$G$13</f>
        <v>-80</v>
      </c>
      <c r="DN7" s="33">
        <f>IF($I$3="Forward", $D$10*(1-$D$11), SQRT((IF($B$4, 9.807, 32.174)*DK7)/(ABS(TAN(RADIANS(DO7))-TAN(RADIANS(DM7)))))/COS(RADIANS(DO7)))</f>
        <v>9.5489346835634272</v>
      </c>
      <c r="DO7" s="34">
        <f>IF($I$3="Forward", $D$12+$D$13, DEGREES(ATAN(2*(DL7-$T$5)/DK7-TAN(RADIANS(DM7)))))</f>
        <v>82.759695716411017</v>
      </c>
      <c r="DP7" s="33">
        <f>IF($I$3="Forward", $D$8+$D$9, $G$8+$G$9)</f>
        <v>1.9999999999999998</v>
      </c>
      <c r="DQ7" s="33">
        <f>$G$10-$G$11</f>
        <v>2.5</v>
      </c>
      <c r="DR7" s="33">
        <f>$G$12+$G$13</f>
        <v>-80</v>
      </c>
      <c r="DS7" s="33">
        <f>IF($I$3="Forward", $D$10*(1-$D$11), SQRT((IF($B$4, 9.807, 32.174)*DP7)/(ABS(TAN(RADIANS(DT7))-TAN(RADIANS(DR7)))))/COS(RADIANS(DT7)))</f>
        <v>9.5489346835634272</v>
      </c>
      <c r="DT7" s="34">
        <f>IF($I$3="Forward", $D$12+$D$13, DEGREES(ATAN(2*(DQ7-$T$5)/DP7-TAN(RADIANS(DR7)))))</f>
        <v>82.759695716411017</v>
      </c>
      <c r="DU7" s="33">
        <f>IF($I$3="Forward", $D$8-$D$9, $G$8-$G$9)</f>
        <v>1.9999999999999998</v>
      </c>
      <c r="DV7" s="33">
        <f>$G$10</f>
        <v>2.5</v>
      </c>
      <c r="DW7" s="33">
        <f>$G$12+$G$13</f>
        <v>-80</v>
      </c>
      <c r="DX7" s="33">
        <f>IF($I$3="Forward", $D$10, SQRT((IF($B$4, 9.807, 32.174)*DU7)/(ABS(TAN(RADIANS(DY7))-TAN(RADIANS(DW7)))))/COS(RADIANS(DY7)))</f>
        <v>9.5489346835634272</v>
      </c>
      <c r="DY7" s="34">
        <f>IF($I$3="Forward", $D$12+$D$13, DEGREES(ATAN(2*(DV7-$T$5)/DU7-TAN(RADIANS(DW7)))))</f>
        <v>82.759695716411017</v>
      </c>
      <c r="DZ7" s="33">
        <f>IF($I$3="Forward", $D$8, $G$8)</f>
        <v>1.9999999999999998</v>
      </c>
      <c r="EA7" s="33">
        <f>$G$10</f>
        <v>2.5</v>
      </c>
      <c r="EB7" s="33">
        <f>$G$12+$G$13</f>
        <v>-80</v>
      </c>
      <c r="EC7" s="33">
        <f>IF($I$3="Forward", $D$10, SQRT((IF($B$4, 9.807, 32.174)*DZ7)/(ABS(TAN(RADIANS(ED7))-TAN(RADIANS(EB7)))))/COS(RADIANS(ED7)))</f>
        <v>9.5489346835634272</v>
      </c>
      <c r="ED7" s="34">
        <f>IF($I$3="Forward", $D$12+$D$13, DEGREES(ATAN(2*(EA7-$T$5)/DZ7-TAN(RADIANS(EB7)))))</f>
        <v>82.759695716411017</v>
      </c>
      <c r="EE7" s="33">
        <f>IF($I$3="Forward", $D$8+$D$9, $G$8+$G$9)</f>
        <v>1.9999999999999998</v>
      </c>
      <c r="EF7" s="33">
        <f>$G$10</f>
        <v>2.5</v>
      </c>
      <c r="EG7" s="33">
        <f>$G$12+$G$13</f>
        <v>-80</v>
      </c>
      <c r="EH7" s="33">
        <f>IF($I$3="Forward", $D$10, SQRT((IF($B$4, 9.807, 32.174)*EE7)/(ABS(TAN(RADIANS(EI7))-TAN(RADIANS(EG7)))))/COS(RADIANS(EI7)))</f>
        <v>9.5489346835634272</v>
      </c>
      <c r="EI7" s="34">
        <f>IF($I$3="Forward", $D$12+$D$13, DEGREES(ATAN(2*(EF7-$T$5)/EE7-TAN(RADIANS(EG7)))))</f>
        <v>82.759695716411017</v>
      </c>
      <c r="EJ7" s="33">
        <f>IF($I$3="Forward", $D$8-$D$9, $G$8-$G$9)</f>
        <v>1.9999999999999998</v>
      </c>
      <c r="EK7" s="33">
        <f>$G$10+$G$11</f>
        <v>2.5</v>
      </c>
      <c r="EL7" s="33">
        <f>$G$12+$G$13</f>
        <v>-80</v>
      </c>
      <c r="EM7" s="33">
        <f>IF($I$3="Forward", $D$10*(1+$D$11), SQRT((IF($B$4, 9.807, 32.174)*EJ7)/(ABS(TAN(RADIANS(EN7))-TAN(RADIANS(EL7)))))/COS(RADIANS(EN7)))</f>
        <v>9.5489346835634272</v>
      </c>
      <c r="EN7" s="34">
        <f>IF($I$3="Forward", $D$12+$D$13, DEGREES(ATAN(2*(EK7-$T$5)/EJ7-TAN(RADIANS(EL7)))))</f>
        <v>82.759695716411017</v>
      </c>
      <c r="EO7" s="33">
        <f>IF($I$3="Forward", $D$8, $G$8)</f>
        <v>1.9999999999999998</v>
      </c>
      <c r="EP7" s="33">
        <f>$G$10+$G$11</f>
        <v>2.5</v>
      </c>
      <c r="EQ7" s="33">
        <f>$G$12+$G$13</f>
        <v>-80</v>
      </c>
      <c r="ER7" s="33">
        <f>IF($I$3="Forward", $D$10*(1+$D$11), SQRT((IF($B$4, 9.807, 32.174)*EO7)/(ABS(TAN(RADIANS(ES7))-TAN(RADIANS(EQ7)))))/COS(RADIANS(ES7)))</f>
        <v>9.5489346835634272</v>
      </c>
      <c r="ES7" s="34">
        <f>IF($I$3="Forward", $D$12+$D$13, DEGREES(ATAN(2*(EP7-$T$5)/EO7-TAN(RADIANS(EQ7)))))</f>
        <v>82.759695716411017</v>
      </c>
      <c r="ET7" s="33">
        <f>IF($I$3="Forward", $D$8+$D$9, $G$8+$G$9)</f>
        <v>1.9999999999999998</v>
      </c>
      <c r="EU7" s="33">
        <f>$G$10+$G$11</f>
        <v>2.5</v>
      </c>
      <c r="EV7" s="33">
        <f>$G$12+$G$13</f>
        <v>-80</v>
      </c>
      <c r="EW7" s="33">
        <f>IF($I$3="Forward", $D$10*(1+$D$11), SQRT((IF($B$4, 9.807, 32.174)*ET7)/(ABS(TAN(RADIANS(EX7))-TAN(RADIANS(EV7)))))/COS(RADIANS(EX7)))</f>
        <v>9.5489346835634272</v>
      </c>
      <c r="EX7" s="34">
        <f>IF($I$3="Forward", $D$12+$D$13, DEGREES(ATAN(2*(EU7-$T$5)/ET7-TAN(RADIANS(EV7)))))</f>
        <v>82.759695716411017</v>
      </c>
    </row>
    <row r="8" spans="2:156" x14ac:dyDescent="0.25">
      <c r="C8" s="5" t="str">
        <f>"Distance to Target (" &amp; IF($B$4, "m", "ft") &amp; ")"</f>
        <v>Distance to Target (m)</v>
      </c>
      <c r="D8" s="6">
        <v>10</v>
      </c>
      <c r="F8" s="5" t="str">
        <f>"Distance to Target (" &amp; IF($B$4, "m", "ft") &amp; ")"</f>
        <v>Distance to Target (m)</v>
      </c>
      <c r="G8" s="6">
        <v>1.9999999999999998</v>
      </c>
      <c r="I8" s="7"/>
      <c r="J8" s="7">
        <v>0</v>
      </c>
      <c r="L8" s="7"/>
      <c r="M8" s="7"/>
      <c r="O8" s="7"/>
      <c r="P8" s="7"/>
      <c r="T8" s="32">
        <f>0</f>
        <v>0</v>
      </c>
      <c r="U8" s="36">
        <f>T8+IF($I$3="Forward", $D$9, $G$9)</f>
        <v>0</v>
      </c>
      <c r="V8" s="32">
        <f t="shared" ref="V8:V71" si="0">T8*TAN(RADIANS(X$7))-(IF($B$4, 9.807, 32.174)*T8^2)/(2*W$7^2*COS(RADIANS(X$7))^2)+$D$7</f>
        <v>0.2</v>
      </c>
      <c r="W8" s="40">
        <f>MIN($V$5,V8)</f>
        <v>0.2</v>
      </c>
      <c r="Y8" s="32">
        <f>0</f>
        <v>0</v>
      </c>
      <c r="Z8" s="32">
        <f>Y8</f>
        <v>0</v>
      </c>
      <c r="AA8" s="32">
        <f t="shared" ref="AA8:AA71" si="1">Y8*TAN(RADIANS(AC$7))-(IF($B$4, 9.807, 32.174)*Y8^2)/(2*AB$7^2*COS(RADIANS(AC$7))^2)+$D$7</f>
        <v>0.2</v>
      </c>
      <c r="AB8" s="40">
        <f>MIN($V$5,AA8)</f>
        <v>0.2</v>
      </c>
      <c r="AD8" s="32">
        <f>0</f>
        <v>0</v>
      </c>
      <c r="AE8" s="36">
        <f>AD8-IF($I$3="Forward", $D$9, $G$9)</f>
        <v>0</v>
      </c>
      <c r="AF8" s="32">
        <f t="shared" ref="AF8:AF71" si="2">AD8*TAN(RADIANS(AH$7))-(IF($B$4, 9.807, 32.174)*AD8^2)/(2*AG$7^2*COS(RADIANS(AH$7))^2)+$D$7</f>
        <v>0.2</v>
      </c>
      <c r="AG8" s="40">
        <f>MIN($V$5,AF8)</f>
        <v>0.2</v>
      </c>
      <c r="AI8" s="32">
        <f>0</f>
        <v>0</v>
      </c>
      <c r="AJ8" s="36">
        <f>AI8+IF($I$3="Forward", $D$9, $G$9)</f>
        <v>0</v>
      </c>
      <c r="AK8" s="32">
        <f t="shared" ref="AK8:AK71" si="3">AI8*TAN(RADIANS(AM$7))-(IF($B$4, 9.807, 32.174)*AI8^2)/(2*AL$7^2*COS(RADIANS(AM$7))^2)+$D$7</f>
        <v>0.2</v>
      </c>
      <c r="AL8" s="40">
        <f>MIN($V$5,AK8)</f>
        <v>0.2</v>
      </c>
      <c r="AN8" s="32">
        <f>0</f>
        <v>0</v>
      </c>
      <c r="AO8" s="32">
        <f>AN8</f>
        <v>0</v>
      </c>
      <c r="AP8" s="32">
        <f t="shared" ref="AP8:AP71" si="4">AN8*TAN(RADIANS(AR$7))-(IF($B$4, 9.807, 32.174)*AN8^2)/(2*AQ$7^2*COS(RADIANS(AR$7))^2)+$D$7</f>
        <v>0.2</v>
      </c>
      <c r="AQ8" s="40">
        <f>MIN($V$5,AP8)</f>
        <v>0.2</v>
      </c>
      <c r="AS8" s="32">
        <f>0</f>
        <v>0</v>
      </c>
      <c r="AT8" s="36">
        <f>AS8-IF($I$3="Forward", $D$9, $G$9)</f>
        <v>0</v>
      </c>
      <c r="AU8" s="32">
        <f t="shared" ref="AU8:AU71" si="5">AS8*TAN(RADIANS(AW$7))-(IF($B$4, 9.807, 32.174)*AS8^2)/(2*AV$7^2*COS(RADIANS(AW$7))^2)+$D$7</f>
        <v>0.2</v>
      </c>
      <c r="AV8" s="40">
        <f>MIN($V$5,AU8)</f>
        <v>0.2</v>
      </c>
      <c r="AX8" s="32">
        <f>0</f>
        <v>0</v>
      </c>
      <c r="AY8" s="36">
        <f>AX8+IF($I$3="Forward", $D$9, $G$9)</f>
        <v>0</v>
      </c>
      <c r="AZ8" s="32">
        <f t="shared" ref="AZ8:AZ71" si="6">AX8*TAN(RADIANS(BB$7))-(IF($B$4, 9.807, 32.174)*AX8^2)/(2*BA$7^2*COS(RADIANS(BB$7))^2)+$D$7</f>
        <v>0.2</v>
      </c>
      <c r="BA8" s="40">
        <f>MIN($V$5,AZ8)</f>
        <v>0.2</v>
      </c>
      <c r="BC8" s="32">
        <f>0</f>
        <v>0</v>
      </c>
      <c r="BD8" s="32">
        <f>BC8</f>
        <v>0</v>
      </c>
      <c r="BE8" s="32">
        <f t="shared" ref="BE8:BE71" si="7">BC8*TAN(RADIANS(BG$7))-(IF($B$4, 9.807, 32.174)*BC8^2)/(2*BF$7^2*COS(RADIANS(BG$7))^2)+$D$7</f>
        <v>0.2</v>
      </c>
      <c r="BF8" s="40">
        <f>MIN($V$5,BE8)</f>
        <v>0.2</v>
      </c>
      <c r="BH8" s="32">
        <f>0</f>
        <v>0</v>
      </c>
      <c r="BI8" s="36">
        <f>BH8-IF($I$3="Forward", $D$9, $G$9)</f>
        <v>0</v>
      </c>
      <c r="BJ8" s="32">
        <f t="shared" ref="BJ8:BJ71" si="8">BH8*TAN(RADIANS(BL$7))-(IF($B$4, 9.807, 32.174)*BH8^2)/(2*BK$7^2*COS(RADIANS(BL$7))^2)+$D$7</f>
        <v>0.2</v>
      </c>
      <c r="BK8" s="40">
        <f>MIN($V$5,BJ8)</f>
        <v>0.2</v>
      </c>
      <c r="BM8" s="32">
        <f>0</f>
        <v>0</v>
      </c>
      <c r="BN8" s="36">
        <f>BM8+IF($I$3="Forward", $D$9, $G$9)</f>
        <v>0</v>
      </c>
      <c r="BO8" s="32">
        <f t="shared" ref="BO8:BO71" si="9">BM8*TAN(RADIANS(BQ$7))-(IF($B$4, 9.807, 32.174)*BM8^2)/(2*BP$7^2*COS(RADIANS(BQ$7))^2)+$D$7</f>
        <v>0.2</v>
      </c>
      <c r="BP8" s="40">
        <f>MIN($V$5,BO8)</f>
        <v>0.2</v>
      </c>
      <c r="BR8" s="32">
        <f>0</f>
        <v>0</v>
      </c>
      <c r="BS8" s="32">
        <f>BR8</f>
        <v>0</v>
      </c>
      <c r="BT8" s="32">
        <f t="shared" ref="BT8:BT71" si="10">BR8*TAN(RADIANS(BV$7))-(IF($B$4, 9.807, 32.174)*BR8^2)/(2*BU$7^2*COS(RADIANS(BV$7))^2)+$D$7</f>
        <v>0.2</v>
      </c>
      <c r="BU8" s="40">
        <f>MIN($V$5,BT8)</f>
        <v>0.2</v>
      </c>
      <c r="BW8" s="32">
        <f>0</f>
        <v>0</v>
      </c>
      <c r="BX8" s="36">
        <f>BW8-IF($I$3="Forward", $D$9, $G$9)</f>
        <v>0</v>
      </c>
      <c r="BY8" s="32">
        <f t="shared" ref="BY8:BY71" si="11">BW8*TAN(RADIANS(CA$7))-(IF($B$4, 9.807, 32.174)*BW8^2)/(2*BZ$7^2*COS(RADIANS(CA$7))^2)+$D$7</f>
        <v>0.2</v>
      </c>
      <c r="BZ8" s="40">
        <f>MIN($V$5,BY8)</f>
        <v>0.2</v>
      </c>
      <c r="CB8" s="32">
        <f>0</f>
        <v>0</v>
      </c>
      <c r="CC8" s="36">
        <f>CB8+IF($I$3="Forward", $D$9, $G$9)</f>
        <v>0</v>
      </c>
      <c r="CD8" s="32">
        <f t="shared" ref="CD8:CD71" si="12">CB8*TAN(RADIANS(CF$7))-(IF($B$4, 9.807, 32.174)*CB8^2)/(2*CE$7^2*COS(RADIANS(CF$7))^2)+$D$7</f>
        <v>0.2</v>
      </c>
      <c r="CE8" s="40">
        <f>MIN($V$5,CD8)</f>
        <v>0.2</v>
      </c>
      <c r="CG8" s="39">
        <f>0</f>
        <v>0</v>
      </c>
      <c r="CH8" s="39">
        <f>CG8</f>
        <v>0</v>
      </c>
      <c r="CI8" s="39">
        <f t="shared" ref="CI8:CI71" si="13">CG8*TAN(RADIANS(CK$7))-(IF($B$4, 9.807, 32.174)*CG8^2)/(2*CJ$7^2*COS(RADIANS(CK$7))^2)+$D$7</f>
        <v>0.2</v>
      </c>
      <c r="CJ8" s="40">
        <f>MIN($V$5,CI8)</f>
        <v>0.2</v>
      </c>
      <c r="CK8" s="39"/>
      <c r="CL8" s="32">
        <f>0</f>
        <v>0</v>
      </c>
      <c r="CM8" s="36">
        <f>CL8-IF($I$3="Forward", $D$9, $G$9)</f>
        <v>0</v>
      </c>
      <c r="CN8" s="32">
        <f t="shared" ref="CN8:CN71" si="14">CL8*TAN(RADIANS(CP$7))-(IF($B$4, 9.807, 32.174)*CL8^2)/(2*CO$7^2*COS(RADIANS(CP$7))^2)+$D$7</f>
        <v>0.2</v>
      </c>
      <c r="CO8" s="40">
        <f>MIN($V$5,CN8)</f>
        <v>0.2</v>
      </c>
      <c r="CQ8" s="32">
        <f>0</f>
        <v>0</v>
      </c>
      <c r="CR8" s="36">
        <f>CQ8+IF($I$3="Forward", $D$9, $G$9)</f>
        <v>0</v>
      </c>
      <c r="CS8" s="32">
        <f t="shared" ref="CS8:CS71" si="15">CQ8*TAN(RADIANS(CU$7))-(IF($B$4, 9.807, 32.174)*CQ8^2)/(2*CT$7^2*COS(RADIANS(CU$7))^2)+$D$7</f>
        <v>0.2</v>
      </c>
      <c r="CT8" s="40">
        <f>MIN($V$5,CS8)</f>
        <v>0.2</v>
      </c>
      <c r="CV8" s="32">
        <f>0</f>
        <v>0</v>
      </c>
      <c r="CW8" s="32">
        <f>CV8</f>
        <v>0</v>
      </c>
      <c r="CX8" s="32">
        <f t="shared" ref="CX8:CX71" si="16">CV8*TAN(RADIANS(CZ$7))-(IF($B$4, 9.807, 32.174)*CV8^2)/(2*CY$7^2*COS(RADIANS(CZ$7))^2)+$D$7</f>
        <v>0.2</v>
      </c>
      <c r="CY8" s="40">
        <f>MIN($V$5,CX8)</f>
        <v>0.2</v>
      </c>
      <c r="DA8" s="32">
        <f>0</f>
        <v>0</v>
      </c>
      <c r="DB8" s="36">
        <f>DA8-IF($I$3="Forward", $D$9, $G$9)</f>
        <v>0</v>
      </c>
      <c r="DC8" s="32">
        <f t="shared" ref="DC8:DC71" si="17">DA8*TAN(RADIANS(DE$7))-(IF($B$4, 9.807, 32.174)*DA8^2)/(2*DD$7^2*COS(RADIANS(DE$7))^2)+$D$7</f>
        <v>0.2</v>
      </c>
      <c r="DD8" s="40">
        <f>MIN($V$5,DC8)</f>
        <v>0.2</v>
      </c>
      <c r="DF8" s="32">
        <f>0</f>
        <v>0</v>
      </c>
      <c r="DG8" s="36">
        <f>DF8+IF($I$3="Forward", $D$9, $G$9)</f>
        <v>0</v>
      </c>
      <c r="DH8" s="32">
        <f t="shared" ref="DH8:DH71" si="18">DF8*TAN(RADIANS(DJ$7))-(IF($B$4, 9.807, 32.174)*DF8^2)/(2*DI$7^2*COS(RADIANS(DJ$7))^2)+$D$7</f>
        <v>0.2</v>
      </c>
      <c r="DI8" s="40">
        <f>MIN($V$5,DH8)</f>
        <v>0.2</v>
      </c>
      <c r="DK8" s="32">
        <f>0</f>
        <v>0</v>
      </c>
      <c r="DL8" s="32">
        <f>DK8</f>
        <v>0</v>
      </c>
      <c r="DM8" s="32">
        <f t="shared" ref="DM8:DM71" si="19">DK8*TAN(RADIANS(DO$7))-(IF($B$4, 9.807, 32.174)*DK8^2)/(2*DN$7^2*COS(RADIANS(DO$7))^2)+$D$7</f>
        <v>0.2</v>
      </c>
      <c r="DN8" s="40">
        <f>MIN($V$5,DM8)</f>
        <v>0.2</v>
      </c>
      <c r="DP8" s="32">
        <f>0</f>
        <v>0</v>
      </c>
      <c r="DQ8" s="36">
        <f>DP8-IF($I$3="Forward", $D$9, $G$9)</f>
        <v>0</v>
      </c>
      <c r="DR8" s="32">
        <f t="shared" ref="DR8:DR71" si="20">DP8*TAN(RADIANS(DT$7))-(IF($B$4, 9.807, 32.174)*DP8^2)/(2*DS$7^2*COS(RADIANS(DT$7))^2)+$D$7</f>
        <v>0.2</v>
      </c>
      <c r="DS8" s="40">
        <f>MIN($V$5,DR8)</f>
        <v>0.2</v>
      </c>
      <c r="DU8" s="32">
        <f>0</f>
        <v>0</v>
      </c>
      <c r="DV8" s="36">
        <f>DU8+IF($I$3="Forward", $D$9, $G$9)</f>
        <v>0</v>
      </c>
      <c r="DW8" s="32">
        <f t="shared" ref="DW8:DW71" si="21">DU8*TAN(RADIANS(DY$7))-(IF($B$4, 9.807, 32.174)*DU8^2)/(2*DX$7^2*COS(RADIANS(DY$7))^2)+$D$7</f>
        <v>0.2</v>
      </c>
      <c r="DX8" s="40">
        <f>MIN($V$5,DW8)</f>
        <v>0.2</v>
      </c>
      <c r="DZ8" s="32">
        <f>0</f>
        <v>0</v>
      </c>
      <c r="EA8" s="32">
        <f>DZ8</f>
        <v>0</v>
      </c>
      <c r="EB8" s="32">
        <f t="shared" ref="EB8:EB71" si="22">DZ8*TAN(RADIANS(ED$7))-(IF($B$4, 9.807, 32.174)*DZ8^2)/(2*EC$7^2*COS(RADIANS(ED$7))^2)+$D$7</f>
        <v>0.2</v>
      </c>
      <c r="EC8" s="40">
        <f>MIN($V$5,EB8)</f>
        <v>0.2</v>
      </c>
      <c r="EE8" s="32">
        <f>0</f>
        <v>0</v>
      </c>
      <c r="EF8" s="36">
        <f>EE8-IF($I$3="Forward", $D$9, $G$9)</f>
        <v>0</v>
      </c>
      <c r="EG8" s="32">
        <f t="shared" ref="EG8:EG71" si="23">EE8*TAN(RADIANS(EI$7))-(IF($B$4, 9.807, 32.174)*EE8^2)/(2*EH$7^2*COS(RADIANS(EI$7))^2)+$D$7</f>
        <v>0.2</v>
      </c>
      <c r="EH8" s="40">
        <f>MIN($V$5,EG8)</f>
        <v>0.2</v>
      </c>
      <c r="EJ8" s="32">
        <f>0</f>
        <v>0</v>
      </c>
      <c r="EK8" s="36">
        <f>EJ8+IF($I$3="Forward", $D$9, $G$9)</f>
        <v>0</v>
      </c>
      <c r="EL8" s="32">
        <f t="shared" ref="EL8:EL71" si="24">EJ8*TAN(RADIANS(EN$7))-(IF($B$4, 9.807, 32.174)*EJ8^2)/(2*EM$7^2*COS(RADIANS(EN$7))^2)+$D$7</f>
        <v>0.2</v>
      </c>
      <c r="EM8" s="40">
        <f>MIN($V$5,EL8)</f>
        <v>0.2</v>
      </c>
      <c r="EO8" s="32">
        <f>0</f>
        <v>0</v>
      </c>
      <c r="EP8" s="32">
        <f>EO8</f>
        <v>0</v>
      </c>
      <c r="EQ8" s="32">
        <f t="shared" ref="EQ8:EQ71" si="25">EO8*TAN(RADIANS(ES$7))-(IF($B$4, 9.807, 32.174)*EO8^2)/(2*ER$7^2*COS(RADIANS(ES$7))^2)+$D$7</f>
        <v>0.2</v>
      </c>
      <c r="ER8" s="40">
        <f>MIN($V$5,EQ8)</f>
        <v>0.2</v>
      </c>
      <c r="ET8" s="32">
        <f>0</f>
        <v>0</v>
      </c>
      <c r="EU8" s="36">
        <f>ET8-IF($I$3="Forward", $D$9, $G$9)</f>
        <v>0</v>
      </c>
      <c r="EV8" s="32">
        <f t="shared" ref="EV8:EV71" si="26">ET8*TAN(RADIANS(EX$7))-(IF($B$4, 9.807, 32.174)*ET8^2)/(2*EW$7^2*COS(RADIANS(EX$7))^2)+$D$7</f>
        <v>0.2</v>
      </c>
      <c r="EW8" s="40">
        <f>MIN($V$5,EV8)</f>
        <v>0.2</v>
      </c>
      <c r="EZ8" s="7"/>
    </row>
    <row r="9" spans="2:156" x14ac:dyDescent="0.25">
      <c r="C9" s="5" t="str">
        <f>"     ^ Tolerance (" &amp; IF($B$4, "m", "ft") &amp; ")"</f>
        <v xml:space="preserve">     ^ Tolerance (m)</v>
      </c>
      <c r="D9" s="8">
        <v>0</v>
      </c>
      <c r="F9" s="5" t="str">
        <f>"     ^ Tolerance (" &amp; IF($B$4, "m", "ft") &amp; ")"</f>
        <v xml:space="preserve">     ^ Tolerance (m)</v>
      </c>
      <c r="G9" s="8">
        <v>0</v>
      </c>
      <c r="I9" s="7"/>
      <c r="J9" s="7">
        <v>0</v>
      </c>
      <c r="O9" s="7"/>
      <c r="P9" s="7"/>
      <c r="T9" s="32">
        <f t="shared" ref="T9:T72" si="27">T8+T$7/100</f>
        <v>1.9999999999999997E-2</v>
      </c>
      <c r="U9" s="36">
        <f t="shared" ref="U9:U72" si="28">T9+IF($I$3="Forward", $D$9, $G$9)</f>
        <v>1.9999999999999997E-2</v>
      </c>
      <c r="V9" s="32">
        <f t="shared" si="0"/>
        <v>0.35607138002843064</v>
      </c>
      <c r="W9" s="40">
        <f t="shared" ref="W9:W72" si="29">MIN($V$5,V9)</f>
        <v>0.35607138002843064</v>
      </c>
      <c r="Y9" s="32">
        <f t="shared" ref="Y9:Y72" si="30">Y8+Y$7/100</f>
        <v>1.9999999999999997E-2</v>
      </c>
      <c r="Z9" s="32">
        <f t="shared" ref="Z9:Z72" si="31">Y9</f>
        <v>1.9999999999999997E-2</v>
      </c>
      <c r="AA9" s="32">
        <f t="shared" si="1"/>
        <v>0.35607138002843064</v>
      </c>
      <c r="AB9" s="40">
        <f t="shared" ref="AB9:AB72" si="32">MIN($V$5,AA9)</f>
        <v>0.35607138002843064</v>
      </c>
      <c r="AD9" s="32">
        <f t="shared" ref="AD9:AD72" si="33">AD8+AD$7/100</f>
        <v>1.9999999999999997E-2</v>
      </c>
      <c r="AE9" s="36">
        <f t="shared" ref="AE9:AE72" si="34">AD9-IF($I$3="Forward", $D$9, $G$9)</f>
        <v>1.9999999999999997E-2</v>
      </c>
      <c r="AF9" s="32">
        <f t="shared" si="2"/>
        <v>0.35607138002843064</v>
      </c>
      <c r="AG9" s="40">
        <f t="shared" ref="AG9:AG72" si="35">MIN($V$5,AF9)</f>
        <v>0.35607138002843064</v>
      </c>
      <c r="AI9" s="32">
        <f t="shared" ref="AI9:AI72" si="36">AI8+AI$7/100</f>
        <v>1.9999999999999997E-2</v>
      </c>
      <c r="AJ9" s="36">
        <f t="shared" ref="AJ9:AJ72" si="37">AI9+IF($I$3="Forward", $D$9, $G$9)</f>
        <v>1.9999999999999997E-2</v>
      </c>
      <c r="AK9" s="32">
        <f t="shared" si="3"/>
        <v>0.35607138002843064</v>
      </c>
      <c r="AL9" s="40">
        <f t="shared" ref="AL9:AL72" si="38">MIN($V$5,AK9)</f>
        <v>0.35607138002843064</v>
      </c>
      <c r="AN9" s="32">
        <f t="shared" ref="AN9:AN72" si="39">AN8+AN$7/100</f>
        <v>1.9999999999999997E-2</v>
      </c>
      <c r="AO9" s="32">
        <f t="shared" ref="AO9:AO72" si="40">AN9</f>
        <v>1.9999999999999997E-2</v>
      </c>
      <c r="AP9" s="32">
        <f t="shared" si="4"/>
        <v>0.35607138002843064</v>
      </c>
      <c r="AQ9" s="40">
        <f t="shared" ref="AQ9:AQ72" si="41">MIN($V$5,AP9)</f>
        <v>0.35607138002843064</v>
      </c>
      <c r="AS9" s="32">
        <f t="shared" ref="AS9:AS72" si="42">AS8+AS$7/100</f>
        <v>1.9999999999999997E-2</v>
      </c>
      <c r="AT9" s="36">
        <f t="shared" ref="AT9:AT72" si="43">AS9-IF($I$3="Forward", $D$9, $G$9)</f>
        <v>1.9999999999999997E-2</v>
      </c>
      <c r="AU9" s="32">
        <f t="shared" si="5"/>
        <v>0.35607138002843064</v>
      </c>
      <c r="AV9" s="40">
        <f t="shared" ref="AV9:AV72" si="44">MIN($V$5,AU9)</f>
        <v>0.35607138002843064</v>
      </c>
      <c r="AX9" s="32">
        <f t="shared" ref="AX9:AX72" si="45">AX8+AX$7/100</f>
        <v>1.9999999999999997E-2</v>
      </c>
      <c r="AY9" s="36">
        <f t="shared" ref="AY9:AY72" si="46">AX9+IF($I$3="Forward", $D$9, $G$9)</f>
        <v>1.9999999999999997E-2</v>
      </c>
      <c r="AZ9" s="32">
        <f t="shared" si="6"/>
        <v>0.35607138002843064</v>
      </c>
      <c r="BA9" s="40">
        <f t="shared" ref="BA9:BA72" si="47">MIN($V$5,AZ9)</f>
        <v>0.35607138002843064</v>
      </c>
      <c r="BC9" s="32">
        <f t="shared" ref="BC9:BC72" si="48">BC8+BC$7/100</f>
        <v>1.9999999999999997E-2</v>
      </c>
      <c r="BD9" s="32">
        <f t="shared" ref="BD9:BD72" si="49">BC9</f>
        <v>1.9999999999999997E-2</v>
      </c>
      <c r="BE9" s="32">
        <f t="shared" si="7"/>
        <v>0.35607138002843064</v>
      </c>
      <c r="BF9" s="40">
        <f t="shared" ref="BF9:BF72" si="50">MIN($V$5,BE9)</f>
        <v>0.35607138002843064</v>
      </c>
      <c r="BH9" s="32">
        <f t="shared" ref="BH9:BH72" si="51">BH8+BH$7/100</f>
        <v>1.9999999999999997E-2</v>
      </c>
      <c r="BI9" s="36">
        <f t="shared" ref="BI9:BI72" si="52">BH9-IF($I$3="Forward", $D$9, $G$9)</f>
        <v>1.9999999999999997E-2</v>
      </c>
      <c r="BJ9" s="32">
        <f t="shared" si="8"/>
        <v>0.35607138002843064</v>
      </c>
      <c r="BK9" s="40">
        <f t="shared" ref="BK9:BK72" si="53">MIN($V$5,BJ9)</f>
        <v>0.35607138002843064</v>
      </c>
      <c r="BM9" s="32">
        <f t="shared" ref="BM9:BM72" si="54">BM8+BM$7/100</f>
        <v>1.9999999999999997E-2</v>
      </c>
      <c r="BN9" s="36">
        <f t="shared" ref="BN9:BN72" si="55">BM9+IF($I$3="Forward", $D$9, $G$9)</f>
        <v>1.9999999999999997E-2</v>
      </c>
      <c r="BO9" s="32">
        <f t="shared" si="9"/>
        <v>0.35607138002843064</v>
      </c>
      <c r="BP9" s="40">
        <f t="shared" ref="BP9:BP72" si="56">MIN($V$5,BO9)</f>
        <v>0.35607138002843064</v>
      </c>
      <c r="BR9" s="32">
        <f t="shared" ref="BR9:BR72" si="57">BR8+BR$7/100</f>
        <v>1.9999999999999997E-2</v>
      </c>
      <c r="BS9" s="32">
        <f t="shared" ref="BS9:BS72" si="58">BR9</f>
        <v>1.9999999999999997E-2</v>
      </c>
      <c r="BT9" s="32">
        <f t="shared" si="10"/>
        <v>0.35607138002843064</v>
      </c>
      <c r="BU9" s="40">
        <f t="shared" ref="BU9:BU72" si="59">MIN($V$5,BT9)</f>
        <v>0.35607138002843064</v>
      </c>
      <c r="BW9" s="32">
        <f t="shared" ref="BW9:BW72" si="60">BW8+BW$7/100</f>
        <v>1.9999999999999997E-2</v>
      </c>
      <c r="BX9" s="36">
        <f t="shared" ref="BX9:BX72" si="61">BW9-IF($I$3="Forward", $D$9, $G$9)</f>
        <v>1.9999999999999997E-2</v>
      </c>
      <c r="BY9" s="32">
        <f t="shared" si="11"/>
        <v>0.35607138002843064</v>
      </c>
      <c r="BZ9" s="40">
        <f t="shared" ref="BZ9:BZ72" si="62">MIN($V$5,BY9)</f>
        <v>0.35607138002843064</v>
      </c>
      <c r="CB9" s="32">
        <f t="shared" ref="CB9:CB72" si="63">CB8+CB$7/100</f>
        <v>1.9999999999999997E-2</v>
      </c>
      <c r="CC9" s="36">
        <f t="shared" ref="CC9:CC72" si="64">CB9+IF($I$3="Forward", $D$9, $G$9)</f>
        <v>1.9999999999999997E-2</v>
      </c>
      <c r="CD9" s="32">
        <f t="shared" si="12"/>
        <v>0.35607138002843064</v>
      </c>
      <c r="CE9" s="40">
        <f t="shared" ref="CE9:CE72" si="65">MIN($V$5,CD9)</f>
        <v>0.35607138002843064</v>
      </c>
      <c r="CG9" s="39">
        <f t="shared" ref="CG9:CG72" si="66">CG8+CG$7/100</f>
        <v>1.9999999999999997E-2</v>
      </c>
      <c r="CH9" s="39">
        <f t="shared" ref="CH9:CH72" si="67">CG9</f>
        <v>1.9999999999999997E-2</v>
      </c>
      <c r="CI9" s="39">
        <f t="shared" si="13"/>
        <v>0.35607138002843064</v>
      </c>
      <c r="CJ9" s="40">
        <f t="shared" ref="CJ9:CJ72" si="68">MIN($V$5,CI9)</f>
        <v>0.35607138002843064</v>
      </c>
      <c r="CK9" s="39"/>
      <c r="CL9" s="32">
        <f t="shared" ref="CL9:CL72" si="69">CL8+CL$7/100</f>
        <v>1.9999999999999997E-2</v>
      </c>
      <c r="CM9" s="36">
        <f t="shared" ref="CM9:CM72" si="70">CL9-IF($I$3="Forward", $D$9, $G$9)</f>
        <v>1.9999999999999997E-2</v>
      </c>
      <c r="CN9" s="32">
        <f t="shared" si="14"/>
        <v>0.35607138002843064</v>
      </c>
      <c r="CO9" s="40">
        <f t="shared" ref="CO9:CO72" si="71">MIN($V$5,CN9)</f>
        <v>0.35607138002843064</v>
      </c>
      <c r="CQ9" s="32">
        <f t="shared" ref="CQ9:CQ72" si="72">CQ8+CQ$7/100</f>
        <v>1.9999999999999997E-2</v>
      </c>
      <c r="CR9" s="36">
        <f t="shared" ref="CR9:CR72" si="73">CQ9+IF($I$3="Forward", $D$9, $G$9)</f>
        <v>1.9999999999999997E-2</v>
      </c>
      <c r="CS9" s="32">
        <f t="shared" si="15"/>
        <v>0.35607138002843064</v>
      </c>
      <c r="CT9" s="40">
        <f t="shared" ref="CT9:CT72" si="74">MIN($V$5,CS9)</f>
        <v>0.35607138002843064</v>
      </c>
      <c r="CV9" s="32">
        <f t="shared" ref="CV9:CV72" si="75">CV8+CV$7/100</f>
        <v>1.9999999999999997E-2</v>
      </c>
      <c r="CW9" s="32">
        <f t="shared" ref="CW9:CW72" si="76">CV9</f>
        <v>1.9999999999999997E-2</v>
      </c>
      <c r="CX9" s="32">
        <f t="shared" si="16"/>
        <v>0.35607138002843064</v>
      </c>
      <c r="CY9" s="40">
        <f t="shared" ref="CY9:CY72" si="77">MIN($V$5,CX9)</f>
        <v>0.35607138002843064</v>
      </c>
      <c r="DA9" s="32">
        <f t="shared" ref="DA9:DA72" si="78">DA8+DA$7/100</f>
        <v>1.9999999999999997E-2</v>
      </c>
      <c r="DB9" s="36">
        <f t="shared" ref="DB9:DB72" si="79">DA9-IF($I$3="Forward", $D$9, $G$9)</f>
        <v>1.9999999999999997E-2</v>
      </c>
      <c r="DC9" s="32">
        <f t="shared" si="17"/>
        <v>0.35607138002843064</v>
      </c>
      <c r="DD9" s="40">
        <f t="shared" ref="DD9:DD72" si="80">MIN($V$5,DC9)</f>
        <v>0.35607138002843064</v>
      </c>
      <c r="DF9" s="32">
        <f t="shared" ref="DF9:DF72" si="81">DF8+DF$7/100</f>
        <v>1.9999999999999997E-2</v>
      </c>
      <c r="DG9" s="36">
        <f t="shared" ref="DG9:DG72" si="82">DF9+IF($I$3="Forward", $D$9, $G$9)</f>
        <v>1.9999999999999997E-2</v>
      </c>
      <c r="DH9" s="32">
        <f t="shared" si="18"/>
        <v>0.35607138002843064</v>
      </c>
      <c r="DI9" s="40">
        <f t="shared" ref="DI9:DI72" si="83">MIN($V$5,DH9)</f>
        <v>0.35607138002843064</v>
      </c>
      <c r="DK9" s="32">
        <f t="shared" ref="DK9:DK72" si="84">DK8+DK$7/100</f>
        <v>1.9999999999999997E-2</v>
      </c>
      <c r="DL9" s="32">
        <f t="shared" ref="DL9:DL72" si="85">DK9</f>
        <v>1.9999999999999997E-2</v>
      </c>
      <c r="DM9" s="32">
        <f t="shared" si="19"/>
        <v>0.35607138002843064</v>
      </c>
      <c r="DN9" s="40">
        <f t="shared" ref="DN9:DN72" si="86">MIN($V$5,DM9)</f>
        <v>0.35607138002843064</v>
      </c>
      <c r="DP9" s="32">
        <f t="shared" ref="DP9:DP72" si="87">DP8+DP$7/100</f>
        <v>1.9999999999999997E-2</v>
      </c>
      <c r="DQ9" s="36">
        <f t="shared" ref="DQ9:DQ72" si="88">DP9-IF($I$3="Forward", $D$9, $G$9)</f>
        <v>1.9999999999999997E-2</v>
      </c>
      <c r="DR9" s="32">
        <f t="shared" si="20"/>
        <v>0.35607138002843064</v>
      </c>
      <c r="DS9" s="40">
        <f t="shared" ref="DS9:DS72" si="89">MIN($V$5,DR9)</f>
        <v>0.35607138002843064</v>
      </c>
      <c r="DU9" s="32">
        <f t="shared" ref="DU9:DU72" si="90">DU8+DU$7/100</f>
        <v>1.9999999999999997E-2</v>
      </c>
      <c r="DV9" s="36">
        <f t="shared" ref="DV9:DV72" si="91">DU9+IF($I$3="Forward", $D$9, $G$9)</f>
        <v>1.9999999999999997E-2</v>
      </c>
      <c r="DW9" s="32">
        <f t="shared" si="21"/>
        <v>0.35607138002843064</v>
      </c>
      <c r="DX9" s="40">
        <f t="shared" ref="DX9:DX72" si="92">MIN($V$5,DW9)</f>
        <v>0.35607138002843064</v>
      </c>
      <c r="DZ9" s="32">
        <f t="shared" ref="DZ9:DZ72" si="93">DZ8+DZ$7/100</f>
        <v>1.9999999999999997E-2</v>
      </c>
      <c r="EA9" s="32">
        <f t="shared" ref="EA9:EA72" si="94">DZ9</f>
        <v>1.9999999999999997E-2</v>
      </c>
      <c r="EB9" s="32">
        <f t="shared" si="22"/>
        <v>0.35607138002843064</v>
      </c>
      <c r="EC9" s="40">
        <f t="shared" ref="EC9:EC72" si="95">MIN($V$5,EB9)</f>
        <v>0.35607138002843064</v>
      </c>
      <c r="EE9" s="32">
        <f t="shared" ref="EE9:EE72" si="96">EE8+EE$7/100</f>
        <v>1.9999999999999997E-2</v>
      </c>
      <c r="EF9" s="36">
        <f t="shared" ref="EF9:EF72" si="97">EE9-IF($I$3="Forward", $D$9, $G$9)</f>
        <v>1.9999999999999997E-2</v>
      </c>
      <c r="EG9" s="32">
        <f t="shared" si="23"/>
        <v>0.35607138002843064</v>
      </c>
      <c r="EH9" s="40">
        <f t="shared" ref="EH9:EH72" si="98">MIN($V$5,EG9)</f>
        <v>0.35607138002843064</v>
      </c>
      <c r="EJ9" s="32">
        <f t="shared" ref="EJ9:EJ72" si="99">EJ8+EJ$7/100</f>
        <v>1.9999999999999997E-2</v>
      </c>
      <c r="EK9" s="36">
        <f t="shared" ref="EK9:EK72" si="100">EJ9+IF($I$3="Forward", $D$9, $G$9)</f>
        <v>1.9999999999999997E-2</v>
      </c>
      <c r="EL9" s="32">
        <f t="shared" si="24"/>
        <v>0.35607138002843064</v>
      </c>
      <c r="EM9" s="40">
        <f t="shared" ref="EM9:EM72" si="101">MIN($V$5,EL9)</f>
        <v>0.35607138002843064</v>
      </c>
      <c r="EO9" s="32">
        <f t="shared" ref="EO9:EO72" si="102">EO8+EO$7/100</f>
        <v>1.9999999999999997E-2</v>
      </c>
      <c r="EP9" s="32">
        <f t="shared" ref="EP9:EP72" si="103">EO9</f>
        <v>1.9999999999999997E-2</v>
      </c>
      <c r="EQ9" s="32">
        <f t="shared" si="25"/>
        <v>0.35607138002843064</v>
      </c>
      <c r="ER9" s="40">
        <f t="shared" ref="ER9:ER72" si="104">MIN($V$5,EQ9)</f>
        <v>0.35607138002843064</v>
      </c>
      <c r="ET9" s="32">
        <f t="shared" ref="ET9:ET72" si="105">ET8+ET$7/100</f>
        <v>1.9999999999999997E-2</v>
      </c>
      <c r="EU9" s="36">
        <f t="shared" ref="EU9:EU72" si="106">ET9-IF($I$3="Forward", $D$9, $G$9)</f>
        <v>1.9999999999999997E-2</v>
      </c>
      <c r="EV9" s="32">
        <f t="shared" si="26"/>
        <v>0.35607138002843064</v>
      </c>
      <c r="EW9" s="40">
        <f t="shared" ref="EW9:EW72" si="107">MIN($V$5,EV9)</f>
        <v>0.35607138002843064</v>
      </c>
    </row>
    <row r="10" spans="2:156" x14ac:dyDescent="0.25">
      <c r="C10" s="5" t="str">
        <f>"Release Velocity (" &amp; IF($B$4, "m", "ft") &amp; "/s)"</f>
        <v>Release Velocity (m/s)</v>
      </c>
      <c r="D10" s="6">
        <v>20</v>
      </c>
      <c r="F10" s="5" t="str">
        <f>"Target Height (" &amp; IF($B$4, "m", "ft") &amp; ")"</f>
        <v>Target Height (m)</v>
      </c>
      <c r="G10" s="6">
        <v>2.5</v>
      </c>
      <c r="I10" s="9"/>
      <c r="J10" s="7">
        <v>0</v>
      </c>
      <c r="T10" s="32">
        <f t="shared" si="27"/>
        <v>3.9999999999999994E-2</v>
      </c>
      <c r="U10" s="36">
        <f t="shared" si="28"/>
        <v>3.9999999999999994E-2</v>
      </c>
      <c r="V10" s="32">
        <f t="shared" si="0"/>
        <v>0.50943424732901421</v>
      </c>
      <c r="W10" s="40">
        <f t="shared" si="29"/>
        <v>0.50943424732901421</v>
      </c>
      <c r="Y10" s="32">
        <f t="shared" si="30"/>
        <v>3.9999999999999994E-2</v>
      </c>
      <c r="Z10" s="32">
        <f t="shared" si="31"/>
        <v>3.9999999999999994E-2</v>
      </c>
      <c r="AA10" s="32">
        <f t="shared" si="1"/>
        <v>0.50943424732901421</v>
      </c>
      <c r="AB10" s="40">
        <f t="shared" si="32"/>
        <v>0.50943424732901421</v>
      </c>
      <c r="AD10" s="32">
        <f t="shared" si="33"/>
        <v>3.9999999999999994E-2</v>
      </c>
      <c r="AE10" s="36">
        <f t="shared" si="34"/>
        <v>3.9999999999999994E-2</v>
      </c>
      <c r="AF10" s="32">
        <f t="shared" si="2"/>
        <v>0.50943424732901421</v>
      </c>
      <c r="AG10" s="40">
        <f t="shared" si="35"/>
        <v>0.50943424732901421</v>
      </c>
      <c r="AI10" s="32">
        <f t="shared" si="36"/>
        <v>3.9999999999999994E-2</v>
      </c>
      <c r="AJ10" s="36">
        <f t="shared" si="37"/>
        <v>3.9999999999999994E-2</v>
      </c>
      <c r="AK10" s="32">
        <f t="shared" si="3"/>
        <v>0.50943424732901421</v>
      </c>
      <c r="AL10" s="40">
        <f t="shared" si="38"/>
        <v>0.50943424732901421</v>
      </c>
      <c r="AN10" s="32">
        <f t="shared" si="39"/>
        <v>3.9999999999999994E-2</v>
      </c>
      <c r="AO10" s="32">
        <f t="shared" si="40"/>
        <v>3.9999999999999994E-2</v>
      </c>
      <c r="AP10" s="32">
        <f t="shared" si="4"/>
        <v>0.50943424732901421</v>
      </c>
      <c r="AQ10" s="40">
        <f t="shared" si="41"/>
        <v>0.50943424732901421</v>
      </c>
      <c r="AS10" s="32">
        <f t="shared" si="42"/>
        <v>3.9999999999999994E-2</v>
      </c>
      <c r="AT10" s="36">
        <f t="shared" si="43"/>
        <v>3.9999999999999994E-2</v>
      </c>
      <c r="AU10" s="32">
        <f t="shared" si="5"/>
        <v>0.50943424732901421</v>
      </c>
      <c r="AV10" s="40">
        <f t="shared" si="44"/>
        <v>0.50943424732901421</v>
      </c>
      <c r="AX10" s="32">
        <f t="shared" si="45"/>
        <v>3.9999999999999994E-2</v>
      </c>
      <c r="AY10" s="36">
        <f t="shared" si="46"/>
        <v>3.9999999999999994E-2</v>
      </c>
      <c r="AZ10" s="32">
        <f t="shared" si="6"/>
        <v>0.50943424732901421</v>
      </c>
      <c r="BA10" s="40">
        <f t="shared" si="47"/>
        <v>0.50943424732901421</v>
      </c>
      <c r="BC10" s="32">
        <f t="shared" si="48"/>
        <v>3.9999999999999994E-2</v>
      </c>
      <c r="BD10" s="32">
        <f t="shared" si="49"/>
        <v>3.9999999999999994E-2</v>
      </c>
      <c r="BE10" s="32">
        <f t="shared" si="7"/>
        <v>0.50943424732901421</v>
      </c>
      <c r="BF10" s="40">
        <f t="shared" si="50"/>
        <v>0.50943424732901421</v>
      </c>
      <c r="BH10" s="32">
        <f t="shared" si="51"/>
        <v>3.9999999999999994E-2</v>
      </c>
      <c r="BI10" s="36">
        <f t="shared" si="52"/>
        <v>3.9999999999999994E-2</v>
      </c>
      <c r="BJ10" s="32">
        <f t="shared" si="8"/>
        <v>0.50943424732901421</v>
      </c>
      <c r="BK10" s="40">
        <f t="shared" si="53"/>
        <v>0.50943424732901421</v>
      </c>
      <c r="BM10" s="32">
        <f t="shared" si="54"/>
        <v>3.9999999999999994E-2</v>
      </c>
      <c r="BN10" s="36">
        <f t="shared" si="55"/>
        <v>3.9999999999999994E-2</v>
      </c>
      <c r="BO10" s="32">
        <f t="shared" si="9"/>
        <v>0.50943424732901421</v>
      </c>
      <c r="BP10" s="40">
        <f t="shared" si="56"/>
        <v>0.50943424732901421</v>
      </c>
      <c r="BR10" s="32">
        <f t="shared" si="57"/>
        <v>3.9999999999999994E-2</v>
      </c>
      <c r="BS10" s="32">
        <f t="shared" si="58"/>
        <v>3.9999999999999994E-2</v>
      </c>
      <c r="BT10" s="32">
        <f t="shared" si="10"/>
        <v>0.50943424732901421</v>
      </c>
      <c r="BU10" s="40">
        <f t="shared" si="59"/>
        <v>0.50943424732901421</v>
      </c>
      <c r="BW10" s="32">
        <f t="shared" si="60"/>
        <v>3.9999999999999994E-2</v>
      </c>
      <c r="BX10" s="36">
        <f t="shared" si="61"/>
        <v>3.9999999999999994E-2</v>
      </c>
      <c r="BY10" s="32">
        <f t="shared" si="11"/>
        <v>0.50943424732901421</v>
      </c>
      <c r="BZ10" s="40">
        <f t="shared" si="62"/>
        <v>0.50943424732901421</v>
      </c>
      <c r="CB10" s="32">
        <f t="shared" si="63"/>
        <v>3.9999999999999994E-2</v>
      </c>
      <c r="CC10" s="36">
        <f t="shared" si="64"/>
        <v>3.9999999999999994E-2</v>
      </c>
      <c r="CD10" s="32">
        <f t="shared" si="12"/>
        <v>0.50943424732901421</v>
      </c>
      <c r="CE10" s="40">
        <f t="shared" si="65"/>
        <v>0.50943424732901421</v>
      </c>
      <c r="CG10" s="39">
        <f t="shared" si="66"/>
        <v>3.9999999999999994E-2</v>
      </c>
      <c r="CH10" s="39">
        <f t="shared" si="67"/>
        <v>3.9999999999999994E-2</v>
      </c>
      <c r="CI10" s="39">
        <f t="shared" si="13"/>
        <v>0.50943424732901421</v>
      </c>
      <c r="CJ10" s="40">
        <f t="shared" si="68"/>
        <v>0.50943424732901421</v>
      </c>
      <c r="CK10" s="39"/>
      <c r="CL10" s="32">
        <f t="shared" si="69"/>
        <v>3.9999999999999994E-2</v>
      </c>
      <c r="CM10" s="36">
        <f t="shared" si="70"/>
        <v>3.9999999999999994E-2</v>
      </c>
      <c r="CN10" s="32">
        <f t="shared" si="14"/>
        <v>0.50943424732901421</v>
      </c>
      <c r="CO10" s="40">
        <f t="shared" si="71"/>
        <v>0.50943424732901421</v>
      </c>
      <c r="CQ10" s="32">
        <f t="shared" si="72"/>
        <v>3.9999999999999994E-2</v>
      </c>
      <c r="CR10" s="36">
        <f t="shared" si="73"/>
        <v>3.9999999999999994E-2</v>
      </c>
      <c r="CS10" s="32">
        <f t="shared" si="15"/>
        <v>0.50943424732901421</v>
      </c>
      <c r="CT10" s="40">
        <f t="shared" si="74"/>
        <v>0.50943424732901421</v>
      </c>
      <c r="CV10" s="32">
        <f t="shared" si="75"/>
        <v>3.9999999999999994E-2</v>
      </c>
      <c r="CW10" s="32">
        <f t="shared" si="76"/>
        <v>3.9999999999999994E-2</v>
      </c>
      <c r="CX10" s="32">
        <f t="shared" si="16"/>
        <v>0.50943424732901421</v>
      </c>
      <c r="CY10" s="40">
        <f t="shared" si="77"/>
        <v>0.50943424732901421</v>
      </c>
      <c r="DA10" s="32">
        <f t="shared" si="78"/>
        <v>3.9999999999999994E-2</v>
      </c>
      <c r="DB10" s="36">
        <f t="shared" si="79"/>
        <v>3.9999999999999994E-2</v>
      </c>
      <c r="DC10" s="32">
        <f t="shared" si="17"/>
        <v>0.50943424732901421</v>
      </c>
      <c r="DD10" s="40">
        <f t="shared" si="80"/>
        <v>0.50943424732901421</v>
      </c>
      <c r="DF10" s="32">
        <f t="shared" si="81"/>
        <v>3.9999999999999994E-2</v>
      </c>
      <c r="DG10" s="36">
        <f t="shared" si="82"/>
        <v>3.9999999999999994E-2</v>
      </c>
      <c r="DH10" s="32">
        <f t="shared" si="18"/>
        <v>0.50943424732901421</v>
      </c>
      <c r="DI10" s="40">
        <f t="shared" si="83"/>
        <v>0.50943424732901421</v>
      </c>
      <c r="DK10" s="32">
        <f t="shared" si="84"/>
        <v>3.9999999999999994E-2</v>
      </c>
      <c r="DL10" s="32">
        <f t="shared" si="85"/>
        <v>3.9999999999999994E-2</v>
      </c>
      <c r="DM10" s="32">
        <f t="shared" si="19"/>
        <v>0.50943424732901421</v>
      </c>
      <c r="DN10" s="40">
        <f t="shared" si="86"/>
        <v>0.50943424732901421</v>
      </c>
      <c r="DP10" s="32">
        <f t="shared" si="87"/>
        <v>3.9999999999999994E-2</v>
      </c>
      <c r="DQ10" s="36">
        <f t="shared" si="88"/>
        <v>3.9999999999999994E-2</v>
      </c>
      <c r="DR10" s="32">
        <f t="shared" si="20"/>
        <v>0.50943424732901421</v>
      </c>
      <c r="DS10" s="40">
        <f t="shared" si="89"/>
        <v>0.50943424732901421</v>
      </c>
      <c r="DU10" s="32">
        <f t="shared" si="90"/>
        <v>3.9999999999999994E-2</v>
      </c>
      <c r="DV10" s="36">
        <f t="shared" si="91"/>
        <v>3.9999999999999994E-2</v>
      </c>
      <c r="DW10" s="32">
        <f t="shared" si="21"/>
        <v>0.50943424732901421</v>
      </c>
      <c r="DX10" s="40">
        <f t="shared" si="92"/>
        <v>0.50943424732901421</v>
      </c>
      <c r="DZ10" s="32">
        <f t="shared" si="93"/>
        <v>3.9999999999999994E-2</v>
      </c>
      <c r="EA10" s="32">
        <f t="shared" si="94"/>
        <v>3.9999999999999994E-2</v>
      </c>
      <c r="EB10" s="32">
        <f t="shared" si="22"/>
        <v>0.50943424732901421</v>
      </c>
      <c r="EC10" s="40">
        <f t="shared" si="95"/>
        <v>0.50943424732901421</v>
      </c>
      <c r="EE10" s="32">
        <f t="shared" si="96"/>
        <v>3.9999999999999994E-2</v>
      </c>
      <c r="EF10" s="36">
        <f t="shared" si="97"/>
        <v>3.9999999999999994E-2</v>
      </c>
      <c r="EG10" s="32">
        <f t="shared" si="23"/>
        <v>0.50943424732901421</v>
      </c>
      <c r="EH10" s="40">
        <f t="shared" si="98"/>
        <v>0.50943424732901421</v>
      </c>
      <c r="EJ10" s="32">
        <f t="shared" si="99"/>
        <v>3.9999999999999994E-2</v>
      </c>
      <c r="EK10" s="36">
        <f t="shared" si="100"/>
        <v>3.9999999999999994E-2</v>
      </c>
      <c r="EL10" s="32">
        <f t="shared" si="24"/>
        <v>0.50943424732901421</v>
      </c>
      <c r="EM10" s="40">
        <f t="shared" si="101"/>
        <v>0.50943424732901421</v>
      </c>
      <c r="EO10" s="32">
        <f t="shared" si="102"/>
        <v>3.9999999999999994E-2</v>
      </c>
      <c r="EP10" s="32">
        <f t="shared" si="103"/>
        <v>3.9999999999999994E-2</v>
      </c>
      <c r="EQ10" s="32">
        <f t="shared" si="25"/>
        <v>0.50943424732901421</v>
      </c>
      <c r="ER10" s="40">
        <f t="shared" si="104"/>
        <v>0.50943424732901421</v>
      </c>
      <c r="ET10" s="32">
        <f t="shared" si="105"/>
        <v>3.9999999999999994E-2</v>
      </c>
      <c r="EU10" s="36">
        <f t="shared" si="106"/>
        <v>3.9999999999999994E-2</v>
      </c>
      <c r="EV10" s="32">
        <f t="shared" si="26"/>
        <v>0.50943424732901421</v>
      </c>
      <c r="EW10" s="40">
        <f t="shared" si="107"/>
        <v>0.50943424732901421</v>
      </c>
    </row>
    <row r="11" spans="2:156" x14ac:dyDescent="0.25">
      <c r="C11" s="5" t="s">
        <v>4</v>
      </c>
      <c r="D11" s="10">
        <v>0</v>
      </c>
      <c r="F11" s="5" t="str">
        <f>"     ^ Tolerance (" &amp; IF($B$4, "m", "ft") &amp; ")"</f>
        <v xml:space="preserve">     ^ Tolerance (m)</v>
      </c>
      <c r="G11" s="8">
        <v>0</v>
      </c>
      <c r="T11" s="32">
        <f t="shared" si="27"/>
        <v>5.9999999999999991E-2</v>
      </c>
      <c r="U11" s="36">
        <f t="shared" si="28"/>
        <v>5.9999999999999991E-2</v>
      </c>
      <c r="V11" s="32">
        <f t="shared" si="0"/>
        <v>0.66008860190175067</v>
      </c>
      <c r="W11" s="40">
        <f t="shared" si="29"/>
        <v>0.66008860190175067</v>
      </c>
      <c r="Y11" s="32">
        <f t="shared" si="30"/>
        <v>5.9999999999999991E-2</v>
      </c>
      <c r="Z11" s="32">
        <f t="shared" si="31"/>
        <v>5.9999999999999991E-2</v>
      </c>
      <c r="AA11" s="32">
        <f t="shared" si="1"/>
        <v>0.66008860190175067</v>
      </c>
      <c r="AB11" s="40">
        <f t="shared" si="32"/>
        <v>0.66008860190175067</v>
      </c>
      <c r="AD11" s="32">
        <f t="shared" si="33"/>
        <v>5.9999999999999991E-2</v>
      </c>
      <c r="AE11" s="36">
        <f t="shared" si="34"/>
        <v>5.9999999999999991E-2</v>
      </c>
      <c r="AF11" s="32">
        <f t="shared" si="2"/>
        <v>0.66008860190175067</v>
      </c>
      <c r="AG11" s="40">
        <f t="shared" si="35"/>
        <v>0.66008860190175067</v>
      </c>
      <c r="AI11" s="32">
        <f t="shared" si="36"/>
        <v>5.9999999999999991E-2</v>
      </c>
      <c r="AJ11" s="36">
        <f t="shared" si="37"/>
        <v>5.9999999999999991E-2</v>
      </c>
      <c r="AK11" s="32">
        <f t="shared" si="3"/>
        <v>0.66008860190175067</v>
      </c>
      <c r="AL11" s="40">
        <f t="shared" si="38"/>
        <v>0.66008860190175067</v>
      </c>
      <c r="AN11" s="32">
        <f t="shared" si="39"/>
        <v>5.9999999999999991E-2</v>
      </c>
      <c r="AO11" s="32">
        <f t="shared" si="40"/>
        <v>5.9999999999999991E-2</v>
      </c>
      <c r="AP11" s="32">
        <f t="shared" si="4"/>
        <v>0.66008860190175067</v>
      </c>
      <c r="AQ11" s="40">
        <f t="shared" si="41"/>
        <v>0.66008860190175067</v>
      </c>
      <c r="AS11" s="32">
        <f t="shared" si="42"/>
        <v>5.9999999999999991E-2</v>
      </c>
      <c r="AT11" s="36">
        <f t="shared" si="43"/>
        <v>5.9999999999999991E-2</v>
      </c>
      <c r="AU11" s="32">
        <f t="shared" si="5"/>
        <v>0.66008860190175067</v>
      </c>
      <c r="AV11" s="40">
        <f t="shared" si="44"/>
        <v>0.66008860190175067</v>
      </c>
      <c r="AX11" s="32">
        <f t="shared" si="45"/>
        <v>5.9999999999999991E-2</v>
      </c>
      <c r="AY11" s="36">
        <f t="shared" si="46"/>
        <v>5.9999999999999991E-2</v>
      </c>
      <c r="AZ11" s="32">
        <f t="shared" si="6"/>
        <v>0.66008860190175067</v>
      </c>
      <c r="BA11" s="40">
        <f t="shared" si="47"/>
        <v>0.66008860190175067</v>
      </c>
      <c r="BC11" s="32">
        <f t="shared" si="48"/>
        <v>5.9999999999999991E-2</v>
      </c>
      <c r="BD11" s="32">
        <f t="shared" si="49"/>
        <v>5.9999999999999991E-2</v>
      </c>
      <c r="BE11" s="32">
        <f t="shared" si="7"/>
        <v>0.66008860190175067</v>
      </c>
      <c r="BF11" s="40">
        <f t="shared" si="50"/>
        <v>0.66008860190175067</v>
      </c>
      <c r="BH11" s="32">
        <f t="shared" si="51"/>
        <v>5.9999999999999991E-2</v>
      </c>
      <c r="BI11" s="36">
        <f t="shared" si="52"/>
        <v>5.9999999999999991E-2</v>
      </c>
      <c r="BJ11" s="32">
        <f t="shared" si="8"/>
        <v>0.66008860190175067</v>
      </c>
      <c r="BK11" s="40">
        <f t="shared" si="53"/>
        <v>0.66008860190175067</v>
      </c>
      <c r="BM11" s="32">
        <f t="shared" si="54"/>
        <v>5.9999999999999991E-2</v>
      </c>
      <c r="BN11" s="36">
        <f t="shared" si="55"/>
        <v>5.9999999999999991E-2</v>
      </c>
      <c r="BO11" s="32">
        <f t="shared" si="9"/>
        <v>0.66008860190175067</v>
      </c>
      <c r="BP11" s="40">
        <f t="shared" si="56"/>
        <v>0.66008860190175067</v>
      </c>
      <c r="BR11" s="32">
        <f t="shared" si="57"/>
        <v>5.9999999999999991E-2</v>
      </c>
      <c r="BS11" s="32">
        <f t="shared" si="58"/>
        <v>5.9999999999999991E-2</v>
      </c>
      <c r="BT11" s="32">
        <f t="shared" si="10"/>
        <v>0.66008860190175067</v>
      </c>
      <c r="BU11" s="40">
        <f t="shared" si="59"/>
        <v>0.66008860190175067</v>
      </c>
      <c r="BW11" s="32">
        <f t="shared" si="60"/>
        <v>5.9999999999999991E-2</v>
      </c>
      <c r="BX11" s="36">
        <f t="shared" si="61"/>
        <v>5.9999999999999991E-2</v>
      </c>
      <c r="BY11" s="32">
        <f t="shared" si="11"/>
        <v>0.66008860190175067</v>
      </c>
      <c r="BZ11" s="40">
        <f t="shared" si="62"/>
        <v>0.66008860190175067</v>
      </c>
      <c r="CB11" s="32">
        <f t="shared" si="63"/>
        <v>5.9999999999999991E-2</v>
      </c>
      <c r="CC11" s="36">
        <f t="shared" si="64"/>
        <v>5.9999999999999991E-2</v>
      </c>
      <c r="CD11" s="32">
        <f t="shared" si="12"/>
        <v>0.66008860190175067</v>
      </c>
      <c r="CE11" s="40">
        <f t="shared" si="65"/>
        <v>0.66008860190175067</v>
      </c>
      <c r="CG11" s="39">
        <f t="shared" si="66"/>
        <v>5.9999999999999991E-2</v>
      </c>
      <c r="CH11" s="39">
        <f t="shared" si="67"/>
        <v>5.9999999999999991E-2</v>
      </c>
      <c r="CI11" s="39">
        <f t="shared" si="13"/>
        <v>0.66008860190175067</v>
      </c>
      <c r="CJ11" s="40">
        <f t="shared" si="68"/>
        <v>0.66008860190175067</v>
      </c>
      <c r="CK11" s="39"/>
      <c r="CL11" s="32">
        <f t="shared" si="69"/>
        <v>5.9999999999999991E-2</v>
      </c>
      <c r="CM11" s="36">
        <f t="shared" si="70"/>
        <v>5.9999999999999991E-2</v>
      </c>
      <c r="CN11" s="32">
        <f t="shared" si="14"/>
        <v>0.66008860190175067</v>
      </c>
      <c r="CO11" s="40">
        <f t="shared" si="71"/>
        <v>0.66008860190175067</v>
      </c>
      <c r="CQ11" s="32">
        <f t="shared" si="72"/>
        <v>5.9999999999999991E-2</v>
      </c>
      <c r="CR11" s="36">
        <f t="shared" si="73"/>
        <v>5.9999999999999991E-2</v>
      </c>
      <c r="CS11" s="32">
        <f t="shared" si="15"/>
        <v>0.66008860190175067</v>
      </c>
      <c r="CT11" s="40">
        <f t="shared" si="74"/>
        <v>0.66008860190175067</v>
      </c>
      <c r="CV11" s="32">
        <f t="shared" si="75"/>
        <v>5.9999999999999991E-2</v>
      </c>
      <c r="CW11" s="32">
        <f t="shared" si="76"/>
        <v>5.9999999999999991E-2</v>
      </c>
      <c r="CX11" s="32">
        <f t="shared" si="16"/>
        <v>0.66008860190175067</v>
      </c>
      <c r="CY11" s="40">
        <f t="shared" si="77"/>
        <v>0.66008860190175067</v>
      </c>
      <c r="DA11" s="32">
        <f t="shared" si="78"/>
        <v>5.9999999999999991E-2</v>
      </c>
      <c r="DB11" s="36">
        <f t="shared" si="79"/>
        <v>5.9999999999999991E-2</v>
      </c>
      <c r="DC11" s="32">
        <f t="shared" si="17"/>
        <v>0.66008860190175067</v>
      </c>
      <c r="DD11" s="40">
        <f t="shared" si="80"/>
        <v>0.66008860190175067</v>
      </c>
      <c r="DF11" s="32">
        <f t="shared" si="81"/>
        <v>5.9999999999999991E-2</v>
      </c>
      <c r="DG11" s="36">
        <f t="shared" si="82"/>
        <v>5.9999999999999991E-2</v>
      </c>
      <c r="DH11" s="32">
        <f t="shared" si="18"/>
        <v>0.66008860190175067</v>
      </c>
      <c r="DI11" s="40">
        <f t="shared" si="83"/>
        <v>0.66008860190175067</v>
      </c>
      <c r="DK11" s="32">
        <f t="shared" si="84"/>
        <v>5.9999999999999991E-2</v>
      </c>
      <c r="DL11" s="32">
        <f t="shared" si="85"/>
        <v>5.9999999999999991E-2</v>
      </c>
      <c r="DM11" s="32">
        <f t="shared" si="19"/>
        <v>0.66008860190175067</v>
      </c>
      <c r="DN11" s="40">
        <f t="shared" si="86"/>
        <v>0.66008860190175067</v>
      </c>
      <c r="DP11" s="32">
        <f t="shared" si="87"/>
        <v>5.9999999999999991E-2</v>
      </c>
      <c r="DQ11" s="36">
        <f t="shared" si="88"/>
        <v>5.9999999999999991E-2</v>
      </c>
      <c r="DR11" s="32">
        <f t="shared" si="20"/>
        <v>0.66008860190175067</v>
      </c>
      <c r="DS11" s="40">
        <f t="shared" si="89"/>
        <v>0.66008860190175067</v>
      </c>
      <c r="DU11" s="32">
        <f t="shared" si="90"/>
        <v>5.9999999999999991E-2</v>
      </c>
      <c r="DV11" s="36">
        <f t="shared" si="91"/>
        <v>5.9999999999999991E-2</v>
      </c>
      <c r="DW11" s="32">
        <f t="shared" si="21"/>
        <v>0.66008860190175067</v>
      </c>
      <c r="DX11" s="40">
        <f t="shared" si="92"/>
        <v>0.66008860190175067</v>
      </c>
      <c r="DZ11" s="32">
        <f t="shared" si="93"/>
        <v>5.9999999999999991E-2</v>
      </c>
      <c r="EA11" s="32">
        <f t="shared" si="94"/>
        <v>5.9999999999999991E-2</v>
      </c>
      <c r="EB11" s="32">
        <f t="shared" si="22"/>
        <v>0.66008860190175067</v>
      </c>
      <c r="EC11" s="40">
        <f t="shared" si="95"/>
        <v>0.66008860190175067</v>
      </c>
      <c r="EE11" s="32">
        <f t="shared" si="96"/>
        <v>5.9999999999999991E-2</v>
      </c>
      <c r="EF11" s="36">
        <f t="shared" si="97"/>
        <v>5.9999999999999991E-2</v>
      </c>
      <c r="EG11" s="32">
        <f t="shared" si="23"/>
        <v>0.66008860190175067</v>
      </c>
      <c r="EH11" s="40">
        <f t="shared" si="98"/>
        <v>0.66008860190175067</v>
      </c>
      <c r="EJ11" s="32">
        <f t="shared" si="99"/>
        <v>5.9999999999999991E-2</v>
      </c>
      <c r="EK11" s="36">
        <f t="shared" si="100"/>
        <v>5.9999999999999991E-2</v>
      </c>
      <c r="EL11" s="32">
        <f t="shared" si="24"/>
        <v>0.66008860190175067</v>
      </c>
      <c r="EM11" s="40">
        <f t="shared" si="101"/>
        <v>0.66008860190175067</v>
      </c>
      <c r="EO11" s="32">
        <f t="shared" si="102"/>
        <v>5.9999999999999991E-2</v>
      </c>
      <c r="EP11" s="32">
        <f t="shared" si="103"/>
        <v>5.9999999999999991E-2</v>
      </c>
      <c r="EQ11" s="32">
        <f t="shared" si="25"/>
        <v>0.66008860190175067</v>
      </c>
      <c r="ER11" s="40">
        <f t="shared" si="104"/>
        <v>0.66008860190175067</v>
      </c>
      <c r="ET11" s="32">
        <f t="shared" si="105"/>
        <v>5.9999999999999991E-2</v>
      </c>
      <c r="EU11" s="36">
        <f t="shared" si="106"/>
        <v>5.9999999999999991E-2</v>
      </c>
      <c r="EV11" s="32">
        <f t="shared" si="26"/>
        <v>0.66008860190175067</v>
      </c>
      <c r="EW11" s="40">
        <f t="shared" si="107"/>
        <v>0.66008860190175067</v>
      </c>
    </row>
    <row r="12" spans="2:156" x14ac:dyDescent="0.25">
      <c r="C12" s="5" t="s">
        <v>5</v>
      </c>
      <c r="D12" s="11">
        <v>80</v>
      </c>
      <c r="F12" s="5" t="s">
        <v>6</v>
      </c>
      <c r="G12" s="11">
        <v>-80</v>
      </c>
      <c r="T12" s="32">
        <f t="shared" si="27"/>
        <v>7.9999999999999988E-2</v>
      </c>
      <c r="U12" s="36">
        <f t="shared" si="28"/>
        <v>7.9999999999999988E-2</v>
      </c>
      <c r="V12" s="32">
        <f t="shared" si="0"/>
        <v>0.80803444374664002</v>
      </c>
      <c r="W12" s="40">
        <f t="shared" si="29"/>
        <v>0.80803444374664002</v>
      </c>
      <c r="Y12" s="32">
        <f t="shared" si="30"/>
        <v>7.9999999999999988E-2</v>
      </c>
      <c r="Z12" s="32">
        <f t="shared" si="31"/>
        <v>7.9999999999999988E-2</v>
      </c>
      <c r="AA12" s="32">
        <f t="shared" si="1"/>
        <v>0.80803444374664002</v>
      </c>
      <c r="AB12" s="40">
        <f t="shared" si="32"/>
        <v>0.80803444374664002</v>
      </c>
      <c r="AD12" s="32">
        <f t="shared" si="33"/>
        <v>7.9999999999999988E-2</v>
      </c>
      <c r="AE12" s="36">
        <f t="shared" si="34"/>
        <v>7.9999999999999988E-2</v>
      </c>
      <c r="AF12" s="32">
        <f t="shared" si="2"/>
        <v>0.80803444374664002</v>
      </c>
      <c r="AG12" s="40">
        <f t="shared" si="35"/>
        <v>0.80803444374664002</v>
      </c>
      <c r="AI12" s="32">
        <f t="shared" si="36"/>
        <v>7.9999999999999988E-2</v>
      </c>
      <c r="AJ12" s="36">
        <f t="shared" si="37"/>
        <v>7.9999999999999988E-2</v>
      </c>
      <c r="AK12" s="32">
        <f t="shared" si="3"/>
        <v>0.80803444374664002</v>
      </c>
      <c r="AL12" s="40">
        <f t="shared" si="38"/>
        <v>0.80803444374664002</v>
      </c>
      <c r="AN12" s="32">
        <f t="shared" si="39"/>
        <v>7.9999999999999988E-2</v>
      </c>
      <c r="AO12" s="32">
        <f t="shared" si="40"/>
        <v>7.9999999999999988E-2</v>
      </c>
      <c r="AP12" s="32">
        <f t="shared" si="4"/>
        <v>0.80803444374664002</v>
      </c>
      <c r="AQ12" s="40">
        <f t="shared" si="41"/>
        <v>0.80803444374664002</v>
      </c>
      <c r="AS12" s="32">
        <f t="shared" si="42"/>
        <v>7.9999999999999988E-2</v>
      </c>
      <c r="AT12" s="36">
        <f t="shared" si="43"/>
        <v>7.9999999999999988E-2</v>
      </c>
      <c r="AU12" s="32">
        <f t="shared" si="5"/>
        <v>0.80803444374664002</v>
      </c>
      <c r="AV12" s="40">
        <f t="shared" si="44"/>
        <v>0.80803444374664002</v>
      </c>
      <c r="AX12" s="32">
        <f t="shared" si="45"/>
        <v>7.9999999999999988E-2</v>
      </c>
      <c r="AY12" s="36">
        <f t="shared" si="46"/>
        <v>7.9999999999999988E-2</v>
      </c>
      <c r="AZ12" s="32">
        <f t="shared" si="6"/>
        <v>0.80803444374664002</v>
      </c>
      <c r="BA12" s="40">
        <f t="shared" si="47"/>
        <v>0.80803444374664002</v>
      </c>
      <c r="BC12" s="32">
        <f t="shared" si="48"/>
        <v>7.9999999999999988E-2</v>
      </c>
      <c r="BD12" s="32">
        <f t="shared" si="49"/>
        <v>7.9999999999999988E-2</v>
      </c>
      <c r="BE12" s="32">
        <f t="shared" si="7"/>
        <v>0.80803444374664002</v>
      </c>
      <c r="BF12" s="40">
        <f t="shared" si="50"/>
        <v>0.80803444374664002</v>
      </c>
      <c r="BH12" s="32">
        <f t="shared" si="51"/>
        <v>7.9999999999999988E-2</v>
      </c>
      <c r="BI12" s="36">
        <f t="shared" si="52"/>
        <v>7.9999999999999988E-2</v>
      </c>
      <c r="BJ12" s="32">
        <f t="shared" si="8"/>
        <v>0.80803444374664002</v>
      </c>
      <c r="BK12" s="40">
        <f t="shared" si="53"/>
        <v>0.80803444374664002</v>
      </c>
      <c r="BM12" s="32">
        <f t="shared" si="54"/>
        <v>7.9999999999999988E-2</v>
      </c>
      <c r="BN12" s="36">
        <f t="shared" si="55"/>
        <v>7.9999999999999988E-2</v>
      </c>
      <c r="BO12" s="32">
        <f t="shared" si="9"/>
        <v>0.80803444374664002</v>
      </c>
      <c r="BP12" s="40">
        <f t="shared" si="56"/>
        <v>0.80803444374664002</v>
      </c>
      <c r="BR12" s="32">
        <f t="shared" si="57"/>
        <v>7.9999999999999988E-2</v>
      </c>
      <c r="BS12" s="32">
        <f t="shared" si="58"/>
        <v>7.9999999999999988E-2</v>
      </c>
      <c r="BT12" s="32">
        <f t="shared" si="10"/>
        <v>0.80803444374664002</v>
      </c>
      <c r="BU12" s="40">
        <f t="shared" si="59"/>
        <v>0.80803444374664002</v>
      </c>
      <c r="BW12" s="32">
        <f t="shared" si="60"/>
        <v>7.9999999999999988E-2</v>
      </c>
      <c r="BX12" s="36">
        <f t="shared" si="61"/>
        <v>7.9999999999999988E-2</v>
      </c>
      <c r="BY12" s="32">
        <f t="shared" si="11"/>
        <v>0.80803444374664002</v>
      </c>
      <c r="BZ12" s="40">
        <f t="shared" si="62"/>
        <v>0.80803444374664002</v>
      </c>
      <c r="CB12" s="32">
        <f t="shared" si="63"/>
        <v>7.9999999999999988E-2</v>
      </c>
      <c r="CC12" s="36">
        <f t="shared" si="64"/>
        <v>7.9999999999999988E-2</v>
      </c>
      <c r="CD12" s="32">
        <f t="shared" si="12"/>
        <v>0.80803444374664002</v>
      </c>
      <c r="CE12" s="40">
        <f t="shared" si="65"/>
        <v>0.80803444374664002</v>
      </c>
      <c r="CG12" s="39">
        <f t="shared" si="66"/>
        <v>7.9999999999999988E-2</v>
      </c>
      <c r="CH12" s="39">
        <f t="shared" si="67"/>
        <v>7.9999999999999988E-2</v>
      </c>
      <c r="CI12" s="39">
        <f t="shared" si="13"/>
        <v>0.80803444374664002</v>
      </c>
      <c r="CJ12" s="40">
        <f t="shared" si="68"/>
        <v>0.80803444374664002</v>
      </c>
      <c r="CK12" s="39"/>
      <c r="CL12" s="32">
        <f t="shared" si="69"/>
        <v>7.9999999999999988E-2</v>
      </c>
      <c r="CM12" s="36">
        <f t="shared" si="70"/>
        <v>7.9999999999999988E-2</v>
      </c>
      <c r="CN12" s="32">
        <f t="shared" si="14"/>
        <v>0.80803444374664002</v>
      </c>
      <c r="CO12" s="40">
        <f t="shared" si="71"/>
        <v>0.80803444374664002</v>
      </c>
      <c r="CQ12" s="32">
        <f t="shared" si="72"/>
        <v>7.9999999999999988E-2</v>
      </c>
      <c r="CR12" s="36">
        <f t="shared" si="73"/>
        <v>7.9999999999999988E-2</v>
      </c>
      <c r="CS12" s="32">
        <f t="shared" si="15"/>
        <v>0.80803444374664002</v>
      </c>
      <c r="CT12" s="40">
        <f t="shared" si="74"/>
        <v>0.80803444374664002</v>
      </c>
      <c r="CV12" s="32">
        <f t="shared" si="75"/>
        <v>7.9999999999999988E-2</v>
      </c>
      <c r="CW12" s="32">
        <f t="shared" si="76"/>
        <v>7.9999999999999988E-2</v>
      </c>
      <c r="CX12" s="32">
        <f t="shared" si="16"/>
        <v>0.80803444374664002</v>
      </c>
      <c r="CY12" s="40">
        <f t="shared" si="77"/>
        <v>0.80803444374664002</v>
      </c>
      <c r="DA12" s="32">
        <f t="shared" si="78"/>
        <v>7.9999999999999988E-2</v>
      </c>
      <c r="DB12" s="36">
        <f t="shared" si="79"/>
        <v>7.9999999999999988E-2</v>
      </c>
      <c r="DC12" s="32">
        <f t="shared" si="17"/>
        <v>0.80803444374664002</v>
      </c>
      <c r="DD12" s="40">
        <f t="shared" si="80"/>
        <v>0.80803444374664002</v>
      </c>
      <c r="DF12" s="32">
        <f t="shared" si="81"/>
        <v>7.9999999999999988E-2</v>
      </c>
      <c r="DG12" s="36">
        <f t="shared" si="82"/>
        <v>7.9999999999999988E-2</v>
      </c>
      <c r="DH12" s="32">
        <f t="shared" si="18"/>
        <v>0.80803444374664002</v>
      </c>
      <c r="DI12" s="40">
        <f t="shared" si="83"/>
        <v>0.80803444374664002</v>
      </c>
      <c r="DK12" s="32">
        <f t="shared" si="84"/>
        <v>7.9999999999999988E-2</v>
      </c>
      <c r="DL12" s="32">
        <f t="shared" si="85"/>
        <v>7.9999999999999988E-2</v>
      </c>
      <c r="DM12" s="32">
        <f t="shared" si="19"/>
        <v>0.80803444374664002</v>
      </c>
      <c r="DN12" s="40">
        <f t="shared" si="86"/>
        <v>0.80803444374664002</v>
      </c>
      <c r="DP12" s="32">
        <f t="shared" si="87"/>
        <v>7.9999999999999988E-2</v>
      </c>
      <c r="DQ12" s="36">
        <f t="shared" si="88"/>
        <v>7.9999999999999988E-2</v>
      </c>
      <c r="DR12" s="32">
        <f t="shared" si="20"/>
        <v>0.80803444374664002</v>
      </c>
      <c r="DS12" s="40">
        <f t="shared" si="89"/>
        <v>0.80803444374664002</v>
      </c>
      <c r="DU12" s="32">
        <f t="shared" si="90"/>
        <v>7.9999999999999988E-2</v>
      </c>
      <c r="DV12" s="36">
        <f t="shared" si="91"/>
        <v>7.9999999999999988E-2</v>
      </c>
      <c r="DW12" s="32">
        <f t="shared" si="21"/>
        <v>0.80803444374664002</v>
      </c>
      <c r="DX12" s="40">
        <f t="shared" si="92"/>
        <v>0.80803444374664002</v>
      </c>
      <c r="DZ12" s="32">
        <f t="shared" si="93"/>
        <v>7.9999999999999988E-2</v>
      </c>
      <c r="EA12" s="32">
        <f t="shared" si="94"/>
        <v>7.9999999999999988E-2</v>
      </c>
      <c r="EB12" s="32">
        <f t="shared" si="22"/>
        <v>0.80803444374664002</v>
      </c>
      <c r="EC12" s="40">
        <f t="shared" si="95"/>
        <v>0.80803444374664002</v>
      </c>
      <c r="EE12" s="32">
        <f t="shared" si="96"/>
        <v>7.9999999999999988E-2</v>
      </c>
      <c r="EF12" s="36">
        <f t="shared" si="97"/>
        <v>7.9999999999999988E-2</v>
      </c>
      <c r="EG12" s="32">
        <f t="shared" si="23"/>
        <v>0.80803444374664002</v>
      </c>
      <c r="EH12" s="40">
        <f t="shared" si="98"/>
        <v>0.80803444374664002</v>
      </c>
      <c r="EJ12" s="32">
        <f t="shared" si="99"/>
        <v>7.9999999999999988E-2</v>
      </c>
      <c r="EK12" s="36">
        <f t="shared" si="100"/>
        <v>7.9999999999999988E-2</v>
      </c>
      <c r="EL12" s="32">
        <f t="shared" si="24"/>
        <v>0.80803444374664002</v>
      </c>
      <c r="EM12" s="40">
        <f t="shared" si="101"/>
        <v>0.80803444374664002</v>
      </c>
      <c r="EO12" s="32">
        <f t="shared" si="102"/>
        <v>7.9999999999999988E-2</v>
      </c>
      <c r="EP12" s="32">
        <f t="shared" si="103"/>
        <v>7.9999999999999988E-2</v>
      </c>
      <c r="EQ12" s="32">
        <f t="shared" si="25"/>
        <v>0.80803444374664002</v>
      </c>
      <c r="ER12" s="40">
        <f t="shared" si="104"/>
        <v>0.80803444374664002</v>
      </c>
      <c r="ET12" s="32">
        <f t="shared" si="105"/>
        <v>7.9999999999999988E-2</v>
      </c>
      <c r="EU12" s="36">
        <f t="shared" si="106"/>
        <v>7.9999999999999988E-2</v>
      </c>
      <c r="EV12" s="32">
        <f t="shared" si="26"/>
        <v>0.80803444374664002</v>
      </c>
      <c r="EW12" s="40">
        <f t="shared" si="107"/>
        <v>0.80803444374664002</v>
      </c>
    </row>
    <row r="13" spans="2:156" x14ac:dyDescent="0.25">
      <c r="C13" s="5" t="s">
        <v>7</v>
      </c>
      <c r="D13" s="12">
        <v>0</v>
      </c>
      <c r="F13" s="5" t="s">
        <v>7</v>
      </c>
      <c r="G13" s="12">
        <v>0</v>
      </c>
      <c r="T13" s="32">
        <f t="shared" si="27"/>
        <v>9.9999999999999978E-2</v>
      </c>
      <c r="U13" s="36">
        <f t="shared" si="28"/>
        <v>9.9999999999999978E-2</v>
      </c>
      <c r="V13" s="32">
        <f t="shared" si="0"/>
        <v>0.95327177286368237</v>
      </c>
      <c r="W13" s="40">
        <f t="shared" si="29"/>
        <v>0.95327177286368237</v>
      </c>
      <c r="Y13" s="32">
        <f t="shared" si="30"/>
        <v>9.9999999999999978E-2</v>
      </c>
      <c r="Z13" s="32">
        <f t="shared" si="31"/>
        <v>9.9999999999999978E-2</v>
      </c>
      <c r="AA13" s="32">
        <f t="shared" si="1"/>
        <v>0.95327177286368237</v>
      </c>
      <c r="AB13" s="40">
        <f t="shared" si="32"/>
        <v>0.95327177286368237</v>
      </c>
      <c r="AD13" s="32">
        <f t="shared" si="33"/>
        <v>9.9999999999999978E-2</v>
      </c>
      <c r="AE13" s="36">
        <f t="shared" si="34"/>
        <v>9.9999999999999978E-2</v>
      </c>
      <c r="AF13" s="32">
        <f t="shared" si="2"/>
        <v>0.95327177286368237</v>
      </c>
      <c r="AG13" s="40">
        <f t="shared" si="35"/>
        <v>0.95327177286368237</v>
      </c>
      <c r="AI13" s="32">
        <f t="shared" si="36"/>
        <v>9.9999999999999978E-2</v>
      </c>
      <c r="AJ13" s="36">
        <f t="shared" si="37"/>
        <v>9.9999999999999978E-2</v>
      </c>
      <c r="AK13" s="32">
        <f t="shared" si="3"/>
        <v>0.95327177286368237</v>
      </c>
      <c r="AL13" s="40">
        <f t="shared" si="38"/>
        <v>0.95327177286368237</v>
      </c>
      <c r="AN13" s="32">
        <f t="shared" si="39"/>
        <v>9.9999999999999978E-2</v>
      </c>
      <c r="AO13" s="32">
        <f t="shared" si="40"/>
        <v>9.9999999999999978E-2</v>
      </c>
      <c r="AP13" s="32">
        <f t="shared" si="4"/>
        <v>0.95327177286368237</v>
      </c>
      <c r="AQ13" s="40">
        <f t="shared" si="41"/>
        <v>0.95327177286368237</v>
      </c>
      <c r="AS13" s="32">
        <f t="shared" si="42"/>
        <v>9.9999999999999978E-2</v>
      </c>
      <c r="AT13" s="36">
        <f t="shared" si="43"/>
        <v>9.9999999999999978E-2</v>
      </c>
      <c r="AU13" s="32">
        <f t="shared" si="5"/>
        <v>0.95327177286368237</v>
      </c>
      <c r="AV13" s="40">
        <f t="shared" si="44"/>
        <v>0.95327177286368237</v>
      </c>
      <c r="AX13" s="32">
        <f t="shared" si="45"/>
        <v>9.9999999999999978E-2</v>
      </c>
      <c r="AY13" s="36">
        <f t="shared" si="46"/>
        <v>9.9999999999999978E-2</v>
      </c>
      <c r="AZ13" s="32">
        <f t="shared" si="6"/>
        <v>0.95327177286368237</v>
      </c>
      <c r="BA13" s="40">
        <f t="shared" si="47"/>
        <v>0.95327177286368237</v>
      </c>
      <c r="BC13" s="32">
        <f t="shared" si="48"/>
        <v>9.9999999999999978E-2</v>
      </c>
      <c r="BD13" s="32">
        <f t="shared" si="49"/>
        <v>9.9999999999999978E-2</v>
      </c>
      <c r="BE13" s="32">
        <f t="shared" si="7"/>
        <v>0.95327177286368237</v>
      </c>
      <c r="BF13" s="40">
        <f t="shared" si="50"/>
        <v>0.95327177286368237</v>
      </c>
      <c r="BH13" s="32">
        <f t="shared" si="51"/>
        <v>9.9999999999999978E-2</v>
      </c>
      <c r="BI13" s="36">
        <f t="shared" si="52"/>
        <v>9.9999999999999978E-2</v>
      </c>
      <c r="BJ13" s="32">
        <f t="shared" si="8"/>
        <v>0.95327177286368237</v>
      </c>
      <c r="BK13" s="40">
        <f t="shared" si="53"/>
        <v>0.95327177286368237</v>
      </c>
      <c r="BM13" s="32">
        <f t="shared" si="54"/>
        <v>9.9999999999999978E-2</v>
      </c>
      <c r="BN13" s="36">
        <f t="shared" si="55"/>
        <v>9.9999999999999978E-2</v>
      </c>
      <c r="BO13" s="32">
        <f t="shared" si="9"/>
        <v>0.95327177286368237</v>
      </c>
      <c r="BP13" s="40">
        <f t="shared" si="56"/>
        <v>0.95327177286368237</v>
      </c>
      <c r="BR13" s="32">
        <f t="shared" si="57"/>
        <v>9.9999999999999978E-2</v>
      </c>
      <c r="BS13" s="32">
        <f t="shared" si="58"/>
        <v>9.9999999999999978E-2</v>
      </c>
      <c r="BT13" s="32">
        <f t="shared" si="10"/>
        <v>0.95327177286368237</v>
      </c>
      <c r="BU13" s="40">
        <f t="shared" si="59"/>
        <v>0.95327177286368237</v>
      </c>
      <c r="BW13" s="32">
        <f t="shared" si="60"/>
        <v>9.9999999999999978E-2</v>
      </c>
      <c r="BX13" s="36">
        <f t="shared" si="61"/>
        <v>9.9999999999999978E-2</v>
      </c>
      <c r="BY13" s="32">
        <f t="shared" si="11"/>
        <v>0.95327177286368237</v>
      </c>
      <c r="BZ13" s="40">
        <f t="shared" si="62"/>
        <v>0.95327177286368237</v>
      </c>
      <c r="CB13" s="32">
        <f t="shared" si="63"/>
        <v>9.9999999999999978E-2</v>
      </c>
      <c r="CC13" s="36">
        <f t="shared" si="64"/>
        <v>9.9999999999999978E-2</v>
      </c>
      <c r="CD13" s="32">
        <f t="shared" si="12"/>
        <v>0.95327177286368237</v>
      </c>
      <c r="CE13" s="40">
        <f t="shared" si="65"/>
        <v>0.95327177286368237</v>
      </c>
      <c r="CG13" s="39">
        <f t="shared" si="66"/>
        <v>9.9999999999999978E-2</v>
      </c>
      <c r="CH13" s="39">
        <f t="shared" si="67"/>
        <v>9.9999999999999978E-2</v>
      </c>
      <c r="CI13" s="39">
        <f t="shared" si="13"/>
        <v>0.95327177286368237</v>
      </c>
      <c r="CJ13" s="40">
        <f t="shared" si="68"/>
        <v>0.95327177286368237</v>
      </c>
      <c r="CK13" s="39"/>
      <c r="CL13" s="32">
        <f t="shared" si="69"/>
        <v>9.9999999999999978E-2</v>
      </c>
      <c r="CM13" s="36">
        <f t="shared" si="70"/>
        <v>9.9999999999999978E-2</v>
      </c>
      <c r="CN13" s="32">
        <f t="shared" si="14"/>
        <v>0.95327177286368237</v>
      </c>
      <c r="CO13" s="40">
        <f t="shared" si="71"/>
        <v>0.95327177286368237</v>
      </c>
      <c r="CQ13" s="32">
        <f t="shared" si="72"/>
        <v>9.9999999999999978E-2</v>
      </c>
      <c r="CR13" s="36">
        <f t="shared" si="73"/>
        <v>9.9999999999999978E-2</v>
      </c>
      <c r="CS13" s="32">
        <f t="shared" si="15"/>
        <v>0.95327177286368237</v>
      </c>
      <c r="CT13" s="40">
        <f t="shared" si="74"/>
        <v>0.95327177286368237</v>
      </c>
      <c r="CV13" s="32">
        <f t="shared" si="75"/>
        <v>9.9999999999999978E-2</v>
      </c>
      <c r="CW13" s="32">
        <f t="shared" si="76"/>
        <v>9.9999999999999978E-2</v>
      </c>
      <c r="CX13" s="32">
        <f t="shared" si="16"/>
        <v>0.95327177286368237</v>
      </c>
      <c r="CY13" s="40">
        <f t="shared" si="77"/>
        <v>0.95327177286368237</v>
      </c>
      <c r="DA13" s="32">
        <f t="shared" si="78"/>
        <v>9.9999999999999978E-2</v>
      </c>
      <c r="DB13" s="36">
        <f t="shared" si="79"/>
        <v>9.9999999999999978E-2</v>
      </c>
      <c r="DC13" s="32">
        <f t="shared" si="17"/>
        <v>0.95327177286368237</v>
      </c>
      <c r="DD13" s="40">
        <f t="shared" si="80"/>
        <v>0.95327177286368237</v>
      </c>
      <c r="DF13" s="32">
        <f t="shared" si="81"/>
        <v>9.9999999999999978E-2</v>
      </c>
      <c r="DG13" s="36">
        <f t="shared" si="82"/>
        <v>9.9999999999999978E-2</v>
      </c>
      <c r="DH13" s="32">
        <f t="shared" si="18"/>
        <v>0.95327177286368237</v>
      </c>
      <c r="DI13" s="40">
        <f t="shared" si="83"/>
        <v>0.95327177286368237</v>
      </c>
      <c r="DK13" s="32">
        <f t="shared" si="84"/>
        <v>9.9999999999999978E-2</v>
      </c>
      <c r="DL13" s="32">
        <f t="shared" si="85"/>
        <v>9.9999999999999978E-2</v>
      </c>
      <c r="DM13" s="32">
        <f t="shared" si="19"/>
        <v>0.95327177286368237</v>
      </c>
      <c r="DN13" s="40">
        <f t="shared" si="86"/>
        <v>0.95327177286368237</v>
      </c>
      <c r="DP13" s="32">
        <f t="shared" si="87"/>
        <v>9.9999999999999978E-2</v>
      </c>
      <c r="DQ13" s="36">
        <f t="shared" si="88"/>
        <v>9.9999999999999978E-2</v>
      </c>
      <c r="DR13" s="32">
        <f t="shared" si="20"/>
        <v>0.95327177286368237</v>
      </c>
      <c r="DS13" s="40">
        <f t="shared" si="89"/>
        <v>0.95327177286368237</v>
      </c>
      <c r="DU13" s="32">
        <f t="shared" si="90"/>
        <v>9.9999999999999978E-2</v>
      </c>
      <c r="DV13" s="36">
        <f t="shared" si="91"/>
        <v>9.9999999999999978E-2</v>
      </c>
      <c r="DW13" s="32">
        <f t="shared" si="21"/>
        <v>0.95327177286368237</v>
      </c>
      <c r="DX13" s="40">
        <f t="shared" si="92"/>
        <v>0.95327177286368237</v>
      </c>
      <c r="DZ13" s="32">
        <f t="shared" si="93"/>
        <v>9.9999999999999978E-2</v>
      </c>
      <c r="EA13" s="32">
        <f t="shared" si="94"/>
        <v>9.9999999999999978E-2</v>
      </c>
      <c r="EB13" s="32">
        <f t="shared" si="22"/>
        <v>0.95327177286368237</v>
      </c>
      <c r="EC13" s="40">
        <f t="shared" si="95"/>
        <v>0.95327177286368237</v>
      </c>
      <c r="EE13" s="32">
        <f t="shared" si="96"/>
        <v>9.9999999999999978E-2</v>
      </c>
      <c r="EF13" s="36">
        <f t="shared" si="97"/>
        <v>9.9999999999999978E-2</v>
      </c>
      <c r="EG13" s="32">
        <f t="shared" si="23"/>
        <v>0.95327177286368237</v>
      </c>
      <c r="EH13" s="40">
        <f t="shared" si="98"/>
        <v>0.95327177286368237</v>
      </c>
      <c r="EJ13" s="32">
        <f t="shared" si="99"/>
        <v>9.9999999999999978E-2</v>
      </c>
      <c r="EK13" s="36">
        <f t="shared" si="100"/>
        <v>9.9999999999999978E-2</v>
      </c>
      <c r="EL13" s="32">
        <f t="shared" si="24"/>
        <v>0.95327177286368237</v>
      </c>
      <c r="EM13" s="40">
        <f t="shared" si="101"/>
        <v>0.95327177286368237</v>
      </c>
      <c r="EO13" s="32">
        <f t="shared" si="102"/>
        <v>9.9999999999999978E-2</v>
      </c>
      <c r="EP13" s="32">
        <f t="shared" si="103"/>
        <v>9.9999999999999978E-2</v>
      </c>
      <c r="EQ13" s="32">
        <f t="shared" si="25"/>
        <v>0.95327177286368237</v>
      </c>
      <c r="ER13" s="40">
        <f t="shared" si="104"/>
        <v>0.95327177286368237</v>
      </c>
      <c r="ET13" s="32">
        <f t="shared" si="105"/>
        <v>9.9999999999999978E-2</v>
      </c>
      <c r="EU13" s="36">
        <f t="shared" si="106"/>
        <v>9.9999999999999978E-2</v>
      </c>
      <c r="EV13" s="32">
        <f t="shared" si="26"/>
        <v>0.95327177286368237</v>
      </c>
      <c r="EW13" s="40">
        <f t="shared" si="107"/>
        <v>0.95327177286368237</v>
      </c>
    </row>
    <row r="14" spans="2:156" x14ac:dyDescent="0.25">
      <c r="D14" s="13"/>
      <c r="N14" s="1">
        <f>MAX(T8:EV108)</f>
        <v>4.7749685025177477</v>
      </c>
      <c r="T14" s="32">
        <f t="shared" si="27"/>
        <v>0.11999999999999997</v>
      </c>
      <c r="U14" s="36">
        <f t="shared" si="28"/>
        <v>0.11999999999999997</v>
      </c>
      <c r="V14" s="32">
        <f t="shared" si="0"/>
        <v>1.0958005892528775</v>
      </c>
      <c r="W14" s="40">
        <f t="shared" si="29"/>
        <v>1.0958005892528775</v>
      </c>
      <c r="Y14" s="32">
        <f t="shared" si="30"/>
        <v>0.11999999999999997</v>
      </c>
      <c r="Z14" s="32">
        <f t="shared" si="31"/>
        <v>0.11999999999999997</v>
      </c>
      <c r="AA14" s="32">
        <f t="shared" si="1"/>
        <v>1.0958005892528775</v>
      </c>
      <c r="AB14" s="40">
        <f t="shared" si="32"/>
        <v>1.0958005892528775</v>
      </c>
      <c r="AD14" s="32">
        <f t="shared" si="33"/>
        <v>0.11999999999999997</v>
      </c>
      <c r="AE14" s="36">
        <f t="shared" si="34"/>
        <v>0.11999999999999997</v>
      </c>
      <c r="AF14" s="32">
        <f t="shared" si="2"/>
        <v>1.0958005892528775</v>
      </c>
      <c r="AG14" s="40">
        <f t="shared" si="35"/>
        <v>1.0958005892528775</v>
      </c>
      <c r="AI14" s="32">
        <f t="shared" si="36"/>
        <v>0.11999999999999997</v>
      </c>
      <c r="AJ14" s="36">
        <f t="shared" si="37"/>
        <v>0.11999999999999997</v>
      </c>
      <c r="AK14" s="32">
        <f t="shared" si="3"/>
        <v>1.0958005892528775</v>
      </c>
      <c r="AL14" s="40">
        <f t="shared" si="38"/>
        <v>1.0958005892528775</v>
      </c>
      <c r="AN14" s="32">
        <f t="shared" si="39"/>
        <v>0.11999999999999997</v>
      </c>
      <c r="AO14" s="32">
        <f t="shared" si="40"/>
        <v>0.11999999999999997</v>
      </c>
      <c r="AP14" s="32">
        <f t="shared" si="4"/>
        <v>1.0958005892528775</v>
      </c>
      <c r="AQ14" s="40">
        <f t="shared" si="41"/>
        <v>1.0958005892528775</v>
      </c>
      <c r="AS14" s="32">
        <f t="shared" si="42"/>
        <v>0.11999999999999997</v>
      </c>
      <c r="AT14" s="36">
        <f t="shared" si="43"/>
        <v>0.11999999999999997</v>
      </c>
      <c r="AU14" s="32">
        <f t="shared" si="5"/>
        <v>1.0958005892528775</v>
      </c>
      <c r="AV14" s="40">
        <f t="shared" si="44"/>
        <v>1.0958005892528775</v>
      </c>
      <c r="AX14" s="32">
        <f t="shared" si="45"/>
        <v>0.11999999999999997</v>
      </c>
      <c r="AY14" s="36">
        <f t="shared" si="46"/>
        <v>0.11999999999999997</v>
      </c>
      <c r="AZ14" s="32">
        <f t="shared" si="6"/>
        <v>1.0958005892528775</v>
      </c>
      <c r="BA14" s="40">
        <f t="shared" si="47"/>
        <v>1.0958005892528775</v>
      </c>
      <c r="BC14" s="32">
        <f t="shared" si="48"/>
        <v>0.11999999999999997</v>
      </c>
      <c r="BD14" s="32">
        <f t="shared" si="49"/>
        <v>0.11999999999999997</v>
      </c>
      <c r="BE14" s="32">
        <f t="shared" si="7"/>
        <v>1.0958005892528775</v>
      </c>
      <c r="BF14" s="40">
        <f t="shared" si="50"/>
        <v>1.0958005892528775</v>
      </c>
      <c r="BH14" s="32">
        <f t="shared" si="51"/>
        <v>0.11999999999999997</v>
      </c>
      <c r="BI14" s="36">
        <f t="shared" si="52"/>
        <v>0.11999999999999997</v>
      </c>
      <c r="BJ14" s="32">
        <f t="shared" si="8"/>
        <v>1.0958005892528775</v>
      </c>
      <c r="BK14" s="40">
        <f t="shared" si="53"/>
        <v>1.0958005892528775</v>
      </c>
      <c r="BM14" s="32">
        <f t="shared" si="54"/>
        <v>0.11999999999999997</v>
      </c>
      <c r="BN14" s="36">
        <f t="shared" si="55"/>
        <v>0.11999999999999997</v>
      </c>
      <c r="BO14" s="32">
        <f t="shared" si="9"/>
        <v>1.0958005892528775</v>
      </c>
      <c r="BP14" s="40">
        <f t="shared" si="56"/>
        <v>1.0958005892528775</v>
      </c>
      <c r="BR14" s="32">
        <f t="shared" si="57"/>
        <v>0.11999999999999997</v>
      </c>
      <c r="BS14" s="32">
        <f t="shared" si="58"/>
        <v>0.11999999999999997</v>
      </c>
      <c r="BT14" s="32">
        <f t="shared" si="10"/>
        <v>1.0958005892528775</v>
      </c>
      <c r="BU14" s="40">
        <f t="shared" si="59"/>
        <v>1.0958005892528775</v>
      </c>
      <c r="BW14" s="32">
        <f t="shared" si="60"/>
        <v>0.11999999999999997</v>
      </c>
      <c r="BX14" s="36">
        <f t="shared" si="61"/>
        <v>0.11999999999999997</v>
      </c>
      <c r="BY14" s="32">
        <f t="shared" si="11"/>
        <v>1.0958005892528775</v>
      </c>
      <c r="BZ14" s="40">
        <f t="shared" si="62"/>
        <v>1.0958005892528775</v>
      </c>
      <c r="CB14" s="32">
        <f t="shared" si="63"/>
        <v>0.11999999999999997</v>
      </c>
      <c r="CC14" s="36">
        <f t="shared" si="64"/>
        <v>0.11999999999999997</v>
      </c>
      <c r="CD14" s="32">
        <f t="shared" si="12"/>
        <v>1.0958005892528775</v>
      </c>
      <c r="CE14" s="40">
        <f t="shared" si="65"/>
        <v>1.0958005892528775</v>
      </c>
      <c r="CG14" s="39">
        <f t="shared" si="66"/>
        <v>0.11999999999999997</v>
      </c>
      <c r="CH14" s="39">
        <f t="shared" si="67"/>
        <v>0.11999999999999997</v>
      </c>
      <c r="CI14" s="39">
        <f t="shared" si="13"/>
        <v>1.0958005892528775</v>
      </c>
      <c r="CJ14" s="40">
        <f t="shared" si="68"/>
        <v>1.0958005892528775</v>
      </c>
      <c r="CK14" s="39"/>
      <c r="CL14" s="32">
        <f t="shared" si="69"/>
        <v>0.11999999999999997</v>
      </c>
      <c r="CM14" s="36">
        <f t="shared" si="70"/>
        <v>0.11999999999999997</v>
      </c>
      <c r="CN14" s="32">
        <f t="shared" si="14"/>
        <v>1.0958005892528775</v>
      </c>
      <c r="CO14" s="40">
        <f t="shared" si="71"/>
        <v>1.0958005892528775</v>
      </c>
      <c r="CQ14" s="32">
        <f t="shared" si="72"/>
        <v>0.11999999999999997</v>
      </c>
      <c r="CR14" s="36">
        <f t="shared" si="73"/>
        <v>0.11999999999999997</v>
      </c>
      <c r="CS14" s="32">
        <f t="shared" si="15"/>
        <v>1.0958005892528775</v>
      </c>
      <c r="CT14" s="40">
        <f t="shared" si="74"/>
        <v>1.0958005892528775</v>
      </c>
      <c r="CV14" s="32">
        <f t="shared" si="75"/>
        <v>0.11999999999999997</v>
      </c>
      <c r="CW14" s="32">
        <f t="shared" si="76"/>
        <v>0.11999999999999997</v>
      </c>
      <c r="CX14" s="32">
        <f t="shared" si="16"/>
        <v>1.0958005892528775</v>
      </c>
      <c r="CY14" s="40">
        <f t="shared" si="77"/>
        <v>1.0958005892528775</v>
      </c>
      <c r="DA14" s="32">
        <f t="shared" si="78"/>
        <v>0.11999999999999997</v>
      </c>
      <c r="DB14" s="36">
        <f t="shared" si="79"/>
        <v>0.11999999999999997</v>
      </c>
      <c r="DC14" s="32">
        <f t="shared" si="17"/>
        <v>1.0958005892528775</v>
      </c>
      <c r="DD14" s="40">
        <f t="shared" si="80"/>
        <v>1.0958005892528775</v>
      </c>
      <c r="DF14" s="32">
        <f t="shared" si="81"/>
        <v>0.11999999999999997</v>
      </c>
      <c r="DG14" s="36">
        <f t="shared" si="82"/>
        <v>0.11999999999999997</v>
      </c>
      <c r="DH14" s="32">
        <f t="shared" si="18"/>
        <v>1.0958005892528775</v>
      </c>
      <c r="DI14" s="40">
        <f t="shared" si="83"/>
        <v>1.0958005892528775</v>
      </c>
      <c r="DK14" s="32">
        <f t="shared" si="84"/>
        <v>0.11999999999999997</v>
      </c>
      <c r="DL14" s="32">
        <f t="shared" si="85"/>
        <v>0.11999999999999997</v>
      </c>
      <c r="DM14" s="32">
        <f t="shared" si="19"/>
        <v>1.0958005892528775</v>
      </c>
      <c r="DN14" s="40">
        <f t="shared" si="86"/>
        <v>1.0958005892528775</v>
      </c>
      <c r="DP14" s="32">
        <f t="shared" si="87"/>
        <v>0.11999999999999997</v>
      </c>
      <c r="DQ14" s="36">
        <f t="shared" si="88"/>
        <v>0.11999999999999997</v>
      </c>
      <c r="DR14" s="32">
        <f t="shared" si="20"/>
        <v>1.0958005892528775</v>
      </c>
      <c r="DS14" s="40">
        <f t="shared" si="89"/>
        <v>1.0958005892528775</v>
      </c>
      <c r="DU14" s="32">
        <f t="shared" si="90"/>
        <v>0.11999999999999997</v>
      </c>
      <c r="DV14" s="36">
        <f t="shared" si="91"/>
        <v>0.11999999999999997</v>
      </c>
      <c r="DW14" s="32">
        <f t="shared" si="21"/>
        <v>1.0958005892528775</v>
      </c>
      <c r="DX14" s="40">
        <f t="shared" si="92"/>
        <v>1.0958005892528775</v>
      </c>
      <c r="DZ14" s="32">
        <f t="shared" si="93"/>
        <v>0.11999999999999997</v>
      </c>
      <c r="EA14" s="32">
        <f t="shared" si="94"/>
        <v>0.11999999999999997</v>
      </c>
      <c r="EB14" s="32">
        <f t="shared" si="22"/>
        <v>1.0958005892528775</v>
      </c>
      <c r="EC14" s="40">
        <f t="shared" si="95"/>
        <v>1.0958005892528775</v>
      </c>
      <c r="EE14" s="32">
        <f t="shared" si="96"/>
        <v>0.11999999999999997</v>
      </c>
      <c r="EF14" s="36">
        <f t="shared" si="97"/>
        <v>0.11999999999999997</v>
      </c>
      <c r="EG14" s="32">
        <f t="shared" si="23"/>
        <v>1.0958005892528775</v>
      </c>
      <c r="EH14" s="40">
        <f t="shared" si="98"/>
        <v>1.0958005892528775</v>
      </c>
      <c r="EJ14" s="32">
        <f t="shared" si="99"/>
        <v>0.11999999999999997</v>
      </c>
      <c r="EK14" s="36">
        <f t="shared" si="100"/>
        <v>0.11999999999999997</v>
      </c>
      <c r="EL14" s="32">
        <f t="shared" si="24"/>
        <v>1.0958005892528775</v>
      </c>
      <c r="EM14" s="40">
        <f t="shared" si="101"/>
        <v>1.0958005892528775</v>
      </c>
      <c r="EO14" s="32">
        <f t="shared" si="102"/>
        <v>0.11999999999999997</v>
      </c>
      <c r="EP14" s="32">
        <f t="shared" si="103"/>
        <v>0.11999999999999997</v>
      </c>
      <c r="EQ14" s="32">
        <f t="shared" si="25"/>
        <v>1.0958005892528775</v>
      </c>
      <c r="ER14" s="40">
        <f t="shared" si="104"/>
        <v>1.0958005892528775</v>
      </c>
      <c r="ET14" s="32">
        <f t="shared" si="105"/>
        <v>0.11999999999999997</v>
      </c>
      <c r="EU14" s="36">
        <f t="shared" si="106"/>
        <v>0.11999999999999997</v>
      </c>
      <c r="EV14" s="32">
        <f t="shared" si="26"/>
        <v>1.0958005892528775</v>
      </c>
      <c r="EW14" s="40">
        <f t="shared" si="107"/>
        <v>1.0958005892528775</v>
      </c>
    </row>
    <row r="15" spans="2:156" x14ac:dyDescent="0.25">
      <c r="N15" s="1">
        <f>MIN(T8:EV108)</f>
        <v>0</v>
      </c>
      <c r="T15" s="32">
        <f t="shared" si="27"/>
        <v>0.13999999999999996</v>
      </c>
      <c r="U15" s="36">
        <f t="shared" si="28"/>
        <v>0.13999999999999996</v>
      </c>
      <c r="V15" s="32">
        <f t="shared" si="0"/>
        <v>1.2356208929142256</v>
      </c>
      <c r="W15" s="40">
        <f t="shared" si="29"/>
        <v>1.2356208929142256</v>
      </c>
      <c r="Y15" s="32">
        <f t="shared" si="30"/>
        <v>0.13999999999999996</v>
      </c>
      <c r="Z15" s="32">
        <f t="shared" si="31"/>
        <v>0.13999999999999996</v>
      </c>
      <c r="AA15" s="32">
        <f t="shared" si="1"/>
        <v>1.2356208929142256</v>
      </c>
      <c r="AB15" s="40">
        <f t="shared" si="32"/>
        <v>1.2356208929142256</v>
      </c>
      <c r="AD15" s="32">
        <f t="shared" si="33"/>
        <v>0.13999999999999996</v>
      </c>
      <c r="AE15" s="36">
        <f t="shared" si="34"/>
        <v>0.13999999999999996</v>
      </c>
      <c r="AF15" s="32">
        <f t="shared" si="2"/>
        <v>1.2356208929142256</v>
      </c>
      <c r="AG15" s="40">
        <f t="shared" si="35"/>
        <v>1.2356208929142256</v>
      </c>
      <c r="AI15" s="32">
        <f t="shared" si="36"/>
        <v>0.13999999999999996</v>
      </c>
      <c r="AJ15" s="36">
        <f t="shared" si="37"/>
        <v>0.13999999999999996</v>
      </c>
      <c r="AK15" s="32">
        <f t="shared" si="3"/>
        <v>1.2356208929142256</v>
      </c>
      <c r="AL15" s="40">
        <f t="shared" si="38"/>
        <v>1.2356208929142256</v>
      </c>
      <c r="AN15" s="32">
        <f t="shared" si="39"/>
        <v>0.13999999999999996</v>
      </c>
      <c r="AO15" s="32">
        <f t="shared" si="40"/>
        <v>0.13999999999999996</v>
      </c>
      <c r="AP15" s="32">
        <f t="shared" si="4"/>
        <v>1.2356208929142256</v>
      </c>
      <c r="AQ15" s="40">
        <f t="shared" si="41"/>
        <v>1.2356208929142256</v>
      </c>
      <c r="AS15" s="32">
        <f t="shared" si="42"/>
        <v>0.13999999999999996</v>
      </c>
      <c r="AT15" s="36">
        <f t="shared" si="43"/>
        <v>0.13999999999999996</v>
      </c>
      <c r="AU15" s="32">
        <f t="shared" si="5"/>
        <v>1.2356208929142256</v>
      </c>
      <c r="AV15" s="40">
        <f t="shared" si="44"/>
        <v>1.2356208929142256</v>
      </c>
      <c r="AX15" s="32">
        <f t="shared" si="45"/>
        <v>0.13999999999999996</v>
      </c>
      <c r="AY15" s="36">
        <f t="shared" si="46"/>
        <v>0.13999999999999996</v>
      </c>
      <c r="AZ15" s="32">
        <f t="shared" si="6"/>
        <v>1.2356208929142256</v>
      </c>
      <c r="BA15" s="40">
        <f t="shared" si="47"/>
        <v>1.2356208929142256</v>
      </c>
      <c r="BC15" s="32">
        <f t="shared" si="48"/>
        <v>0.13999999999999996</v>
      </c>
      <c r="BD15" s="32">
        <f t="shared" si="49"/>
        <v>0.13999999999999996</v>
      </c>
      <c r="BE15" s="32">
        <f t="shared" si="7"/>
        <v>1.2356208929142256</v>
      </c>
      <c r="BF15" s="40">
        <f t="shared" si="50"/>
        <v>1.2356208929142256</v>
      </c>
      <c r="BH15" s="32">
        <f t="shared" si="51"/>
        <v>0.13999999999999996</v>
      </c>
      <c r="BI15" s="36">
        <f t="shared" si="52"/>
        <v>0.13999999999999996</v>
      </c>
      <c r="BJ15" s="32">
        <f t="shared" si="8"/>
        <v>1.2356208929142256</v>
      </c>
      <c r="BK15" s="40">
        <f t="shared" si="53"/>
        <v>1.2356208929142256</v>
      </c>
      <c r="BM15" s="32">
        <f t="shared" si="54"/>
        <v>0.13999999999999996</v>
      </c>
      <c r="BN15" s="36">
        <f t="shared" si="55"/>
        <v>0.13999999999999996</v>
      </c>
      <c r="BO15" s="32">
        <f t="shared" si="9"/>
        <v>1.2356208929142256</v>
      </c>
      <c r="BP15" s="40">
        <f t="shared" si="56"/>
        <v>1.2356208929142256</v>
      </c>
      <c r="BR15" s="32">
        <f t="shared" si="57"/>
        <v>0.13999999999999996</v>
      </c>
      <c r="BS15" s="32">
        <f t="shared" si="58"/>
        <v>0.13999999999999996</v>
      </c>
      <c r="BT15" s="32">
        <f t="shared" si="10"/>
        <v>1.2356208929142256</v>
      </c>
      <c r="BU15" s="40">
        <f t="shared" si="59"/>
        <v>1.2356208929142256</v>
      </c>
      <c r="BW15" s="32">
        <f t="shared" si="60"/>
        <v>0.13999999999999996</v>
      </c>
      <c r="BX15" s="36">
        <f t="shared" si="61"/>
        <v>0.13999999999999996</v>
      </c>
      <c r="BY15" s="32">
        <f t="shared" si="11"/>
        <v>1.2356208929142256</v>
      </c>
      <c r="BZ15" s="40">
        <f t="shared" si="62"/>
        <v>1.2356208929142256</v>
      </c>
      <c r="CB15" s="32">
        <f t="shared" si="63"/>
        <v>0.13999999999999996</v>
      </c>
      <c r="CC15" s="36">
        <f t="shared" si="64"/>
        <v>0.13999999999999996</v>
      </c>
      <c r="CD15" s="32">
        <f t="shared" si="12"/>
        <v>1.2356208929142256</v>
      </c>
      <c r="CE15" s="40">
        <f t="shared" si="65"/>
        <v>1.2356208929142256</v>
      </c>
      <c r="CG15" s="39">
        <f t="shared" si="66"/>
        <v>0.13999999999999996</v>
      </c>
      <c r="CH15" s="39">
        <f t="shared" si="67"/>
        <v>0.13999999999999996</v>
      </c>
      <c r="CI15" s="39">
        <f t="shared" si="13"/>
        <v>1.2356208929142256</v>
      </c>
      <c r="CJ15" s="40">
        <f t="shared" si="68"/>
        <v>1.2356208929142256</v>
      </c>
      <c r="CK15" s="39"/>
      <c r="CL15" s="32">
        <f t="shared" si="69"/>
        <v>0.13999999999999996</v>
      </c>
      <c r="CM15" s="36">
        <f t="shared" si="70"/>
        <v>0.13999999999999996</v>
      </c>
      <c r="CN15" s="32">
        <f t="shared" si="14"/>
        <v>1.2356208929142256</v>
      </c>
      <c r="CO15" s="40">
        <f t="shared" si="71"/>
        <v>1.2356208929142256</v>
      </c>
      <c r="CQ15" s="32">
        <f t="shared" si="72"/>
        <v>0.13999999999999996</v>
      </c>
      <c r="CR15" s="36">
        <f t="shared" si="73"/>
        <v>0.13999999999999996</v>
      </c>
      <c r="CS15" s="32">
        <f t="shared" si="15"/>
        <v>1.2356208929142256</v>
      </c>
      <c r="CT15" s="40">
        <f t="shared" si="74"/>
        <v>1.2356208929142256</v>
      </c>
      <c r="CV15" s="32">
        <f t="shared" si="75"/>
        <v>0.13999999999999996</v>
      </c>
      <c r="CW15" s="32">
        <f t="shared" si="76"/>
        <v>0.13999999999999996</v>
      </c>
      <c r="CX15" s="32">
        <f t="shared" si="16"/>
        <v>1.2356208929142256</v>
      </c>
      <c r="CY15" s="40">
        <f t="shared" si="77"/>
        <v>1.2356208929142256</v>
      </c>
      <c r="DA15" s="32">
        <f t="shared" si="78"/>
        <v>0.13999999999999996</v>
      </c>
      <c r="DB15" s="36">
        <f t="shared" si="79"/>
        <v>0.13999999999999996</v>
      </c>
      <c r="DC15" s="32">
        <f t="shared" si="17"/>
        <v>1.2356208929142256</v>
      </c>
      <c r="DD15" s="40">
        <f t="shared" si="80"/>
        <v>1.2356208929142256</v>
      </c>
      <c r="DF15" s="32">
        <f t="shared" si="81"/>
        <v>0.13999999999999996</v>
      </c>
      <c r="DG15" s="36">
        <f t="shared" si="82"/>
        <v>0.13999999999999996</v>
      </c>
      <c r="DH15" s="32">
        <f t="shared" si="18"/>
        <v>1.2356208929142256</v>
      </c>
      <c r="DI15" s="40">
        <f t="shared" si="83"/>
        <v>1.2356208929142256</v>
      </c>
      <c r="DK15" s="32">
        <f t="shared" si="84"/>
        <v>0.13999999999999996</v>
      </c>
      <c r="DL15" s="32">
        <f t="shared" si="85"/>
        <v>0.13999999999999996</v>
      </c>
      <c r="DM15" s="32">
        <f t="shared" si="19"/>
        <v>1.2356208929142256</v>
      </c>
      <c r="DN15" s="40">
        <f t="shared" si="86"/>
        <v>1.2356208929142256</v>
      </c>
      <c r="DP15" s="32">
        <f t="shared" si="87"/>
        <v>0.13999999999999996</v>
      </c>
      <c r="DQ15" s="36">
        <f t="shared" si="88"/>
        <v>0.13999999999999996</v>
      </c>
      <c r="DR15" s="32">
        <f t="shared" si="20"/>
        <v>1.2356208929142256</v>
      </c>
      <c r="DS15" s="40">
        <f t="shared" si="89"/>
        <v>1.2356208929142256</v>
      </c>
      <c r="DU15" s="32">
        <f t="shared" si="90"/>
        <v>0.13999999999999996</v>
      </c>
      <c r="DV15" s="36">
        <f t="shared" si="91"/>
        <v>0.13999999999999996</v>
      </c>
      <c r="DW15" s="32">
        <f t="shared" si="21"/>
        <v>1.2356208929142256</v>
      </c>
      <c r="DX15" s="40">
        <f t="shared" si="92"/>
        <v>1.2356208929142256</v>
      </c>
      <c r="DZ15" s="32">
        <f t="shared" si="93"/>
        <v>0.13999999999999996</v>
      </c>
      <c r="EA15" s="32">
        <f t="shared" si="94"/>
        <v>0.13999999999999996</v>
      </c>
      <c r="EB15" s="32">
        <f t="shared" si="22"/>
        <v>1.2356208929142256</v>
      </c>
      <c r="EC15" s="40">
        <f t="shared" si="95"/>
        <v>1.2356208929142256</v>
      </c>
      <c r="EE15" s="32">
        <f t="shared" si="96"/>
        <v>0.13999999999999996</v>
      </c>
      <c r="EF15" s="36">
        <f t="shared" si="97"/>
        <v>0.13999999999999996</v>
      </c>
      <c r="EG15" s="32">
        <f t="shared" si="23"/>
        <v>1.2356208929142256</v>
      </c>
      <c r="EH15" s="40">
        <f t="shared" si="98"/>
        <v>1.2356208929142256</v>
      </c>
      <c r="EJ15" s="32">
        <f t="shared" si="99"/>
        <v>0.13999999999999996</v>
      </c>
      <c r="EK15" s="36">
        <f t="shared" si="100"/>
        <v>0.13999999999999996</v>
      </c>
      <c r="EL15" s="32">
        <f t="shared" si="24"/>
        <v>1.2356208929142256</v>
      </c>
      <c r="EM15" s="40">
        <f t="shared" si="101"/>
        <v>1.2356208929142256</v>
      </c>
      <c r="EO15" s="32">
        <f t="shared" si="102"/>
        <v>0.13999999999999996</v>
      </c>
      <c r="EP15" s="32">
        <f t="shared" si="103"/>
        <v>0.13999999999999996</v>
      </c>
      <c r="EQ15" s="32">
        <f t="shared" si="25"/>
        <v>1.2356208929142256</v>
      </c>
      <c r="ER15" s="40">
        <f t="shared" si="104"/>
        <v>1.2356208929142256</v>
      </c>
      <c r="ET15" s="32">
        <f t="shared" si="105"/>
        <v>0.13999999999999996</v>
      </c>
      <c r="EU15" s="36">
        <f t="shared" si="106"/>
        <v>0.13999999999999996</v>
      </c>
      <c r="EV15" s="32">
        <f t="shared" si="26"/>
        <v>1.2356208929142256</v>
      </c>
      <c r="EW15" s="40">
        <f t="shared" si="107"/>
        <v>1.2356208929142256</v>
      </c>
    </row>
    <row r="16" spans="2:156" x14ac:dyDescent="0.25">
      <c r="C16" s="5" t="str">
        <f>"Final Height (" &amp; IF($B$4, "m", "ft") &amp; ")"</f>
        <v>Final Height (m)</v>
      </c>
      <c r="D16" s="14">
        <f>$D$8*TAN(RADIANS($D$12))-(IF($B$4, 9.807, 32.174)*$D$8^2)/(2*$D$10^2*COS(RADIANS($D$12))^2)+$D$7</f>
        <v>16.258589278414473</v>
      </c>
      <c r="F16" s="5" t="str">
        <f>"Release Velocity (" &amp; IF($B$4, "m", "ft") &amp; "/s)"</f>
        <v>Release Velocity (m/s)</v>
      </c>
      <c r="G16" s="14">
        <f>SQRT((IF($B$4, 9.807, 32.174)*G8)/(ABS(TAN(RADIANS(G18))-TAN(RADIANS(G12)))))/COS(RADIANS(G18))</f>
        <v>9.5489346835634272</v>
      </c>
      <c r="T16" s="32">
        <f t="shared" si="27"/>
        <v>0.15999999999999995</v>
      </c>
      <c r="U16" s="36">
        <f t="shared" si="28"/>
        <v>0.15999999999999995</v>
      </c>
      <c r="V16" s="32">
        <f t="shared" si="0"/>
        <v>1.3727326838477265</v>
      </c>
      <c r="W16" s="40">
        <f t="shared" si="29"/>
        <v>1.3727326838477265</v>
      </c>
      <c r="Y16" s="32">
        <f t="shared" si="30"/>
        <v>0.15999999999999995</v>
      </c>
      <c r="Z16" s="32">
        <f t="shared" si="31"/>
        <v>0.15999999999999995</v>
      </c>
      <c r="AA16" s="32">
        <f t="shared" si="1"/>
        <v>1.3727326838477265</v>
      </c>
      <c r="AB16" s="40">
        <f t="shared" si="32"/>
        <v>1.3727326838477265</v>
      </c>
      <c r="AD16" s="32">
        <f t="shared" si="33"/>
        <v>0.15999999999999995</v>
      </c>
      <c r="AE16" s="36">
        <f t="shared" si="34"/>
        <v>0.15999999999999995</v>
      </c>
      <c r="AF16" s="32">
        <f t="shared" si="2"/>
        <v>1.3727326838477265</v>
      </c>
      <c r="AG16" s="40">
        <f t="shared" si="35"/>
        <v>1.3727326838477265</v>
      </c>
      <c r="AI16" s="32">
        <f t="shared" si="36"/>
        <v>0.15999999999999995</v>
      </c>
      <c r="AJ16" s="36">
        <f t="shared" si="37"/>
        <v>0.15999999999999995</v>
      </c>
      <c r="AK16" s="32">
        <f t="shared" si="3"/>
        <v>1.3727326838477265</v>
      </c>
      <c r="AL16" s="40">
        <f t="shared" si="38"/>
        <v>1.3727326838477265</v>
      </c>
      <c r="AN16" s="32">
        <f t="shared" si="39"/>
        <v>0.15999999999999995</v>
      </c>
      <c r="AO16" s="32">
        <f t="shared" si="40"/>
        <v>0.15999999999999995</v>
      </c>
      <c r="AP16" s="32">
        <f t="shared" si="4"/>
        <v>1.3727326838477265</v>
      </c>
      <c r="AQ16" s="40">
        <f t="shared" si="41"/>
        <v>1.3727326838477265</v>
      </c>
      <c r="AS16" s="32">
        <f t="shared" si="42"/>
        <v>0.15999999999999995</v>
      </c>
      <c r="AT16" s="36">
        <f t="shared" si="43"/>
        <v>0.15999999999999995</v>
      </c>
      <c r="AU16" s="32">
        <f t="shared" si="5"/>
        <v>1.3727326838477265</v>
      </c>
      <c r="AV16" s="40">
        <f t="shared" si="44"/>
        <v>1.3727326838477265</v>
      </c>
      <c r="AX16" s="32">
        <f t="shared" si="45"/>
        <v>0.15999999999999995</v>
      </c>
      <c r="AY16" s="36">
        <f t="shared" si="46"/>
        <v>0.15999999999999995</v>
      </c>
      <c r="AZ16" s="32">
        <f t="shared" si="6"/>
        <v>1.3727326838477265</v>
      </c>
      <c r="BA16" s="40">
        <f t="shared" si="47"/>
        <v>1.3727326838477265</v>
      </c>
      <c r="BC16" s="32">
        <f t="shared" si="48"/>
        <v>0.15999999999999995</v>
      </c>
      <c r="BD16" s="32">
        <f t="shared" si="49"/>
        <v>0.15999999999999995</v>
      </c>
      <c r="BE16" s="32">
        <f t="shared" si="7"/>
        <v>1.3727326838477265</v>
      </c>
      <c r="BF16" s="40">
        <f t="shared" si="50"/>
        <v>1.3727326838477265</v>
      </c>
      <c r="BH16" s="32">
        <f t="shared" si="51"/>
        <v>0.15999999999999995</v>
      </c>
      <c r="BI16" s="36">
        <f t="shared" si="52"/>
        <v>0.15999999999999995</v>
      </c>
      <c r="BJ16" s="32">
        <f t="shared" si="8"/>
        <v>1.3727326838477265</v>
      </c>
      <c r="BK16" s="40">
        <f t="shared" si="53"/>
        <v>1.3727326838477265</v>
      </c>
      <c r="BM16" s="32">
        <f t="shared" si="54"/>
        <v>0.15999999999999995</v>
      </c>
      <c r="BN16" s="36">
        <f t="shared" si="55"/>
        <v>0.15999999999999995</v>
      </c>
      <c r="BO16" s="32">
        <f t="shared" si="9"/>
        <v>1.3727326838477265</v>
      </c>
      <c r="BP16" s="40">
        <f t="shared" si="56"/>
        <v>1.3727326838477265</v>
      </c>
      <c r="BR16" s="32">
        <f t="shared" si="57"/>
        <v>0.15999999999999995</v>
      </c>
      <c r="BS16" s="32">
        <f t="shared" si="58"/>
        <v>0.15999999999999995</v>
      </c>
      <c r="BT16" s="32">
        <f t="shared" si="10"/>
        <v>1.3727326838477265</v>
      </c>
      <c r="BU16" s="40">
        <f t="shared" si="59"/>
        <v>1.3727326838477265</v>
      </c>
      <c r="BW16" s="32">
        <f t="shared" si="60"/>
        <v>0.15999999999999995</v>
      </c>
      <c r="BX16" s="36">
        <f t="shared" si="61"/>
        <v>0.15999999999999995</v>
      </c>
      <c r="BY16" s="32">
        <f t="shared" si="11"/>
        <v>1.3727326838477265</v>
      </c>
      <c r="BZ16" s="40">
        <f t="shared" si="62"/>
        <v>1.3727326838477265</v>
      </c>
      <c r="CB16" s="32">
        <f t="shared" si="63"/>
        <v>0.15999999999999995</v>
      </c>
      <c r="CC16" s="36">
        <f t="shared" si="64"/>
        <v>0.15999999999999995</v>
      </c>
      <c r="CD16" s="32">
        <f t="shared" si="12"/>
        <v>1.3727326838477265</v>
      </c>
      <c r="CE16" s="40">
        <f t="shared" si="65"/>
        <v>1.3727326838477265</v>
      </c>
      <c r="CG16" s="39">
        <f t="shared" si="66"/>
        <v>0.15999999999999995</v>
      </c>
      <c r="CH16" s="39">
        <f t="shared" si="67"/>
        <v>0.15999999999999995</v>
      </c>
      <c r="CI16" s="39">
        <f t="shared" si="13"/>
        <v>1.3727326838477265</v>
      </c>
      <c r="CJ16" s="40">
        <f t="shared" si="68"/>
        <v>1.3727326838477265</v>
      </c>
      <c r="CK16" s="39"/>
      <c r="CL16" s="32">
        <f t="shared" si="69"/>
        <v>0.15999999999999995</v>
      </c>
      <c r="CM16" s="36">
        <f t="shared" si="70"/>
        <v>0.15999999999999995</v>
      </c>
      <c r="CN16" s="32">
        <f t="shared" si="14"/>
        <v>1.3727326838477265</v>
      </c>
      <c r="CO16" s="40">
        <f t="shared" si="71"/>
        <v>1.3727326838477265</v>
      </c>
      <c r="CQ16" s="32">
        <f t="shared" si="72"/>
        <v>0.15999999999999995</v>
      </c>
      <c r="CR16" s="36">
        <f t="shared" si="73"/>
        <v>0.15999999999999995</v>
      </c>
      <c r="CS16" s="32">
        <f t="shared" si="15"/>
        <v>1.3727326838477265</v>
      </c>
      <c r="CT16" s="40">
        <f t="shared" si="74"/>
        <v>1.3727326838477265</v>
      </c>
      <c r="CV16" s="32">
        <f t="shared" si="75"/>
        <v>0.15999999999999995</v>
      </c>
      <c r="CW16" s="32">
        <f t="shared" si="76"/>
        <v>0.15999999999999995</v>
      </c>
      <c r="CX16" s="32">
        <f t="shared" si="16"/>
        <v>1.3727326838477265</v>
      </c>
      <c r="CY16" s="40">
        <f t="shared" si="77"/>
        <v>1.3727326838477265</v>
      </c>
      <c r="DA16" s="32">
        <f t="shared" si="78"/>
        <v>0.15999999999999995</v>
      </c>
      <c r="DB16" s="36">
        <f t="shared" si="79"/>
        <v>0.15999999999999995</v>
      </c>
      <c r="DC16" s="32">
        <f t="shared" si="17"/>
        <v>1.3727326838477265</v>
      </c>
      <c r="DD16" s="40">
        <f t="shared" si="80"/>
        <v>1.3727326838477265</v>
      </c>
      <c r="DF16" s="32">
        <f t="shared" si="81"/>
        <v>0.15999999999999995</v>
      </c>
      <c r="DG16" s="36">
        <f t="shared" si="82"/>
        <v>0.15999999999999995</v>
      </c>
      <c r="DH16" s="32">
        <f t="shared" si="18"/>
        <v>1.3727326838477265</v>
      </c>
      <c r="DI16" s="40">
        <f t="shared" si="83"/>
        <v>1.3727326838477265</v>
      </c>
      <c r="DK16" s="32">
        <f t="shared" si="84"/>
        <v>0.15999999999999995</v>
      </c>
      <c r="DL16" s="32">
        <f t="shared" si="85"/>
        <v>0.15999999999999995</v>
      </c>
      <c r="DM16" s="32">
        <f t="shared" si="19"/>
        <v>1.3727326838477265</v>
      </c>
      <c r="DN16" s="40">
        <f t="shared" si="86"/>
        <v>1.3727326838477265</v>
      </c>
      <c r="DP16" s="32">
        <f t="shared" si="87"/>
        <v>0.15999999999999995</v>
      </c>
      <c r="DQ16" s="36">
        <f t="shared" si="88"/>
        <v>0.15999999999999995</v>
      </c>
      <c r="DR16" s="32">
        <f t="shared" si="20"/>
        <v>1.3727326838477265</v>
      </c>
      <c r="DS16" s="40">
        <f t="shared" si="89"/>
        <v>1.3727326838477265</v>
      </c>
      <c r="DU16" s="32">
        <f t="shared" si="90"/>
        <v>0.15999999999999995</v>
      </c>
      <c r="DV16" s="36">
        <f t="shared" si="91"/>
        <v>0.15999999999999995</v>
      </c>
      <c r="DW16" s="32">
        <f t="shared" si="21"/>
        <v>1.3727326838477265</v>
      </c>
      <c r="DX16" s="40">
        <f t="shared" si="92"/>
        <v>1.3727326838477265</v>
      </c>
      <c r="DZ16" s="32">
        <f t="shared" si="93"/>
        <v>0.15999999999999995</v>
      </c>
      <c r="EA16" s="32">
        <f t="shared" si="94"/>
        <v>0.15999999999999995</v>
      </c>
      <c r="EB16" s="32">
        <f t="shared" si="22"/>
        <v>1.3727326838477265</v>
      </c>
      <c r="EC16" s="40">
        <f t="shared" si="95"/>
        <v>1.3727326838477265</v>
      </c>
      <c r="EE16" s="32">
        <f t="shared" si="96"/>
        <v>0.15999999999999995</v>
      </c>
      <c r="EF16" s="36">
        <f t="shared" si="97"/>
        <v>0.15999999999999995</v>
      </c>
      <c r="EG16" s="32">
        <f t="shared" si="23"/>
        <v>1.3727326838477265</v>
      </c>
      <c r="EH16" s="40">
        <f t="shared" si="98"/>
        <v>1.3727326838477265</v>
      </c>
      <c r="EJ16" s="32">
        <f t="shared" si="99"/>
        <v>0.15999999999999995</v>
      </c>
      <c r="EK16" s="36">
        <f t="shared" si="100"/>
        <v>0.15999999999999995</v>
      </c>
      <c r="EL16" s="32">
        <f t="shared" si="24"/>
        <v>1.3727326838477265</v>
      </c>
      <c r="EM16" s="40">
        <f t="shared" si="101"/>
        <v>1.3727326838477265</v>
      </c>
      <c r="EO16" s="32">
        <f t="shared" si="102"/>
        <v>0.15999999999999995</v>
      </c>
      <c r="EP16" s="32">
        <f t="shared" si="103"/>
        <v>0.15999999999999995</v>
      </c>
      <c r="EQ16" s="32">
        <f t="shared" si="25"/>
        <v>1.3727326838477265</v>
      </c>
      <c r="ER16" s="40">
        <f t="shared" si="104"/>
        <v>1.3727326838477265</v>
      </c>
      <c r="ET16" s="32">
        <f t="shared" si="105"/>
        <v>0.15999999999999995</v>
      </c>
      <c r="EU16" s="36">
        <f t="shared" si="106"/>
        <v>0.15999999999999995</v>
      </c>
      <c r="EV16" s="32">
        <f t="shared" si="26"/>
        <v>1.3727326838477265</v>
      </c>
      <c r="EW16" s="40">
        <f t="shared" si="107"/>
        <v>1.3727326838477265</v>
      </c>
    </row>
    <row r="17" spans="3:154" s="3" customFormat="1" x14ac:dyDescent="0.25">
      <c r="C17" s="5" t="str">
        <f>"     ^ Range (" &amp; IF($B$4, "m", "ft") &amp; ")"</f>
        <v xml:space="preserve">     ^ Range (m)</v>
      </c>
      <c r="D17" s="15" t="str">
        <f>IF(MAX(T114:AT114)=MIN(T114:AT114), "----", TEXT(MAX(T114:AT114), "0.0") &amp; " – " &amp; TEXT(MIN(T114:AT114), "0.0"))</f>
        <v>----</v>
      </c>
      <c r="E17" s="1"/>
      <c r="F17" s="5" t="str">
        <f>"     ^ Range (" &amp; IF($B$4, "m", "ft") &amp; "/s)"</f>
        <v xml:space="preserve">     ^ Range (m/s)</v>
      </c>
      <c r="G17" s="16" t="str">
        <f>IF(MAX(T120:AT120)=MIN(T120:AT120), "----", TEXT(MAX(T120:AT120), "0.0") &amp; " – " &amp; TEXT(MIN(T120:AT120), "0.0"))</f>
        <v>----</v>
      </c>
      <c r="H17" s="1"/>
      <c r="I17" s="1"/>
      <c r="J17" s="1"/>
      <c r="K17" s="1"/>
      <c r="L17" s="1"/>
      <c r="M17" s="1"/>
      <c r="N17" s="1"/>
      <c r="O17" s="1"/>
      <c r="P17" s="1"/>
      <c r="Q17" s="1"/>
      <c r="R17" s="1"/>
      <c r="S17" s="1"/>
      <c r="T17" s="32">
        <f t="shared" si="27"/>
        <v>0.17999999999999994</v>
      </c>
      <c r="U17" s="36">
        <f t="shared" si="28"/>
        <v>0.17999999999999994</v>
      </c>
      <c r="V17" s="32">
        <f t="shared" si="0"/>
        <v>1.5071359620533804</v>
      </c>
      <c r="W17" s="40">
        <f t="shared" si="29"/>
        <v>1.5071359620533804</v>
      </c>
      <c r="X17" s="32"/>
      <c r="Y17" s="32">
        <f t="shared" si="30"/>
        <v>0.17999999999999994</v>
      </c>
      <c r="Z17" s="32">
        <f t="shared" si="31"/>
        <v>0.17999999999999994</v>
      </c>
      <c r="AA17" s="32">
        <f t="shared" si="1"/>
        <v>1.5071359620533804</v>
      </c>
      <c r="AB17" s="40">
        <f t="shared" si="32"/>
        <v>1.5071359620533804</v>
      </c>
      <c r="AC17" s="32"/>
      <c r="AD17" s="32">
        <f t="shared" si="33"/>
        <v>0.17999999999999994</v>
      </c>
      <c r="AE17" s="36">
        <f t="shared" si="34"/>
        <v>0.17999999999999994</v>
      </c>
      <c r="AF17" s="32">
        <f t="shared" si="2"/>
        <v>1.5071359620533804</v>
      </c>
      <c r="AG17" s="40">
        <f t="shared" si="35"/>
        <v>1.5071359620533804</v>
      </c>
      <c r="AH17" s="32"/>
      <c r="AI17" s="32">
        <f t="shared" si="36"/>
        <v>0.17999999999999994</v>
      </c>
      <c r="AJ17" s="36">
        <f t="shared" si="37"/>
        <v>0.17999999999999994</v>
      </c>
      <c r="AK17" s="32">
        <f t="shared" si="3"/>
        <v>1.5071359620533804</v>
      </c>
      <c r="AL17" s="40">
        <f t="shared" si="38"/>
        <v>1.5071359620533804</v>
      </c>
      <c r="AM17" s="32"/>
      <c r="AN17" s="32">
        <f t="shared" si="39"/>
        <v>0.17999999999999994</v>
      </c>
      <c r="AO17" s="32">
        <f t="shared" si="40"/>
        <v>0.17999999999999994</v>
      </c>
      <c r="AP17" s="32">
        <f t="shared" si="4"/>
        <v>1.5071359620533804</v>
      </c>
      <c r="AQ17" s="40">
        <f t="shared" si="41"/>
        <v>1.5071359620533804</v>
      </c>
      <c r="AR17" s="32"/>
      <c r="AS17" s="32">
        <f t="shared" si="42"/>
        <v>0.17999999999999994</v>
      </c>
      <c r="AT17" s="36">
        <f t="shared" si="43"/>
        <v>0.17999999999999994</v>
      </c>
      <c r="AU17" s="32">
        <f t="shared" si="5"/>
        <v>1.5071359620533804</v>
      </c>
      <c r="AV17" s="40">
        <f t="shared" si="44"/>
        <v>1.5071359620533804</v>
      </c>
      <c r="AW17" s="32"/>
      <c r="AX17" s="32">
        <f t="shared" si="45"/>
        <v>0.17999999999999994</v>
      </c>
      <c r="AY17" s="36">
        <f t="shared" si="46"/>
        <v>0.17999999999999994</v>
      </c>
      <c r="AZ17" s="32">
        <f t="shared" si="6"/>
        <v>1.5071359620533804</v>
      </c>
      <c r="BA17" s="40">
        <f t="shared" si="47"/>
        <v>1.5071359620533804</v>
      </c>
      <c r="BB17" s="32"/>
      <c r="BC17" s="32">
        <f t="shared" si="48"/>
        <v>0.17999999999999994</v>
      </c>
      <c r="BD17" s="32">
        <f t="shared" si="49"/>
        <v>0.17999999999999994</v>
      </c>
      <c r="BE17" s="32">
        <f t="shared" si="7"/>
        <v>1.5071359620533804</v>
      </c>
      <c r="BF17" s="40">
        <f t="shared" si="50"/>
        <v>1.5071359620533804</v>
      </c>
      <c r="BG17" s="32"/>
      <c r="BH17" s="32">
        <f t="shared" si="51"/>
        <v>0.17999999999999994</v>
      </c>
      <c r="BI17" s="36">
        <f t="shared" si="52"/>
        <v>0.17999999999999994</v>
      </c>
      <c r="BJ17" s="32">
        <f t="shared" si="8"/>
        <v>1.5071359620533804</v>
      </c>
      <c r="BK17" s="40">
        <f t="shared" si="53"/>
        <v>1.5071359620533804</v>
      </c>
      <c r="BL17" s="32"/>
      <c r="BM17" s="32">
        <f t="shared" si="54"/>
        <v>0.17999999999999994</v>
      </c>
      <c r="BN17" s="36">
        <f t="shared" si="55"/>
        <v>0.17999999999999994</v>
      </c>
      <c r="BO17" s="32">
        <f t="shared" si="9"/>
        <v>1.5071359620533804</v>
      </c>
      <c r="BP17" s="40">
        <f t="shared" si="56"/>
        <v>1.5071359620533804</v>
      </c>
      <c r="BQ17" s="32"/>
      <c r="BR17" s="32">
        <f t="shared" si="57"/>
        <v>0.17999999999999994</v>
      </c>
      <c r="BS17" s="32">
        <f t="shared" si="58"/>
        <v>0.17999999999999994</v>
      </c>
      <c r="BT17" s="32">
        <f t="shared" si="10"/>
        <v>1.5071359620533804</v>
      </c>
      <c r="BU17" s="40">
        <f t="shared" si="59"/>
        <v>1.5071359620533804</v>
      </c>
      <c r="BV17" s="32"/>
      <c r="BW17" s="32">
        <f t="shared" si="60"/>
        <v>0.17999999999999994</v>
      </c>
      <c r="BX17" s="36">
        <f t="shared" si="61"/>
        <v>0.17999999999999994</v>
      </c>
      <c r="BY17" s="32">
        <f t="shared" si="11"/>
        <v>1.5071359620533804</v>
      </c>
      <c r="BZ17" s="40">
        <f t="shared" si="62"/>
        <v>1.5071359620533804</v>
      </c>
      <c r="CA17" s="32"/>
      <c r="CB17" s="32">
        <f t="shared" si="63"/>
        <v>0.17999999999999994</v>
      </c>
      <c r="CC17" s="36">
        <f t="shared" si="64"/>
        <v>0.17999999999999994</v>
      </c>
      <c r="CD17" s="32">
        <f t="shared" si="12"/>
        <v>1.5071359620533804</v>
      </c>
      <c r="CE17" s="40">
        <f t="shared" si="65"/>
        <v>1.5071359620533804</v>
      </c>
      <c r="CF17" s="32"/>
      <c r="CG17" s="39">
        <f t="shared" si="66"/>
        <v>0.17999999999999994</v>
      </c>
      <c r="CH17" s="39">
        <f t="shared" si="67"/>
        <v>0.17999999999999994</v>
      </c>
      <c r="CI17" s="39">
        <f t="shared" si="13"/>
        <v>1.5071359620533804</v>
      </c>
      <c r="CJ17" s="40">
        <f t="shared" si="68"/>
        <v>1.5071359620533804</v>
      </c>
      <c r="CK17" s="39"/>
      <c r="CL17" s="32">
        <f t="shared" si="69"/>
        <v>0.17999999999999994</v>
      </c>
      <c r="CM17" s="36">
        <f t="shared" si="70"/>
        <v>0.17999999999999994</v>
      </c>
      <c r="CN17" s="32">
        <f t="shared" si="14"/>
        <v>1.5071359620533804</v>
      </c>
      <c r="CO17" s="40">
        <f t="shared" si="71"/>
        <v>1.5071359620533804</v>
      </c>
      <c r="CP17" s="32"/>
      <c r="CQ17" s="32">
        <f t="shared" si="72"/>
        <v>0.17999999999999994</v>
      </c>
      <c r="CR17" s="36">
        <f t="shared" si="73"/>
        <v>0.17999999999999994</v>
      </c>
      <c r="CS17" s="32">
        <f t="shared" si="15"/>
        <v>1.5071359620533804</v>
      </c>
      <c r="CT17" s="40">
        <f t="shared" si="74"/>
        <v>1.5071359620533804</v>
      </c>
      <c r="CU17" s="32"/>
      <c r="CV17" s="32">
        <f t="shared" si="75"/>
        <v>0.17999999999999994</v>
      </c>
      <c r="CW17" s="32">
        <f t="shared" si="76"/>
        <v>0.17999999999999994</v>
      </c>
      <c r="CX17" s="32">
        <f t="shared" si="16"/>
        <v>1.5071359620533804</v>
      </c>
      <c r="CY17" s="40">
        <f t="shared" si="77"/>
        <v>1.5071359620533804</v>
      </c>
      <c r="CZ17" s="32"/>
      <c r="DA17" s="32">
        <f t="shared" si="78"/>
        <v>0.17999999999999994</v>
      </c>
      <c r="DB17" s="36">
        <f t="shared" si="79"/>
        <v>0.17999999999999994</v>
      </c>
      <c r="DC17" s="32">
        <f t="shared" si="17"/>
        <v>1.5071359620533804</v>
      </c>
      <c r="DD17" s="40">
        <f t="shared" si="80"/>
        <v>1.5071359620533804</v>
      </c>
      <c r="DE17" s="32"/>
      <c r="DF17" s="32">
        <f t="shared" si="81"/>
        <v>0.17999999999999994</v>
      </c>
      <c r="DG17" s="36">
        <f t="shared" si="82"/>
        <v>0.17999999999999994</v>
      </c>
      <c r="DH17" s="32">
        <f t="shared" si="18"/>
        <v>1.5071359620533804</v>
      </c>
      <c r="DI17" s="40">
        <f t="shared" si="83"/>
        <v>1.5071359620533804</v>
      </c>
      <c r="DJ17" s="32"/>
      <c r="DK17" s="32">
        <f t="shared" si="84"/>
        <v>0.17999999999999994</v>
      </c>
      <c r="DL17" s="32">
        <f t="shared" si="85"/>
        <v>0.17999999999999994</v>
      </c>
      <c r="DM17" s="32">
        <f t="shared" si="19"/>
        <v>1.5071359620533804</v>
      </c>
      <c r="DN17" s="40">
        <f t="shared" si="86"/>
        <v>1.5071359620533804</v>
      </c>
      <c r="DO17" s="32"/>
      <c r="DP17" s="32">
        <f t="shared" si="87"/>
        <v>0.17999999999999994</v>
      </c>
      <c r="DQ17" s="36">
        <f t="shared" si="88"/>
        <v>0.17999999999999994</v>
      </c>
      <c r="DR17" s="32">
        <f t="shared" si="20"/>
        <v>1.5071359620533804</v>
      </c>
      <c r="DS17" s="40">
        <f t="shared" si="89"/>
        <v>1.5071359620533804</v>
      </c>
      <c r="DT17" s="32"/>
      <c r="DU17" s="32">
        <f t="shared" si="90"/>
        <v>0.17999999999999994</v>
      </c>
      <c r="DV17" s="36">
        <f t="shared" si="91"/>
        <v>0.17999999999999994</v>
      </c>
      <c r="DW17" s="32">
        <f t="shared" si="21"/>
        <v>1.5071359620533804</v>
      </c>
      <c r="DX17" s="40">
        <f t="shared" si="92"/>
        <v>1.5071359620533804</v>
      </c>
      <c r="DY17" s="32"/>
      <c r="DZ17" s="32">
        <f t="shared" si="93"/>
        <v>0.17999999999999994</v>
      </c>
      <c r="EA17" s="32">
        <f t="shared" si="94"/>
        <v>0.17999999999999994</v>
      </c>
      <c r="EB17" s="32">
        <f t="shared" si="22"/>
        <v>1.5071359620533804</v>
      </c>
      <c r="EC17" s="40">
        <f t="shared" si="95"/>
        <v>1.5071359620533804</v>
      </c>
      <c r="ED17" s="32"/>
      <c r="EE17" s="32">
        <f t="shared" si="96"/>
        <v>0.17999999999999994</v>
      </c>
      <c r="EF17" s="36">
        <f t="shared" si="97"/>
        <v>0.17999999999999994</v>
      </c>
      <c r="EG17" s="32">
        <f t="shared" si="23"/>
        <v>1.5071359620533804</v>
      </c>
      <c r="EH17" s="40">
        <f t="shared" si="98"/>
        <v>1.5071359620533804</v>
      </c>
      <c r="EI17" s="32"/>
      <c r="EJ17" s="32">
        <f t="shared" si="99"/>
        <v>0.17999999999999994</v>
      </c>
      <c r="EK17" s="36">
        <f t="shared" si="100"/>
        <v>0.17999999999999994</v>
      </c>
      <c r="EL17" s="32">
        <f t="shared" si="24"/>
        <v>1.5071359620533804</v>
      </c>
      <c r="EM17" s="40">
        <f t="shared" si="101"/>
        <v>1.5071359620533804</v>
      </c>
      <c r="EN17" s="32"/>
      <c r="EO17" s="32">
        <f t="shared" si="102"/>
        <v>0.17999999999999994</v>
      </c>
      <c r="EP17" s="32">
        <f t="shared" si="103"/>
        <v>0.17999999999999994</v>
      </c>
      <c r="EQ17" s="32">
        <f t="shared" si="25"/>
        <v>1.5071359620533804</v>
      </c>
      <c r="ER17" s="40">
        <f t="shared" si="104"/>
        <v>1.5071359620533804</v>
      </c>
      <c r="ES17" s="32"/>
      <c r="ET17" s="32">
        <f t="shared" si="105"/>
        <v>0.17999999999999994</v>
      </c>
      <c r="EU17" s="36">
        <f t="shared" si="106"/>
        <v>0.17999999999999994</v>
      </c>
      <c r="EV17" s="32">
        <f t="shared" si="26"/>
        <v>1.5071359620533804</v>
      </c>
      <c r="EW17" s="40">
        <f t="shared" si="107"/>
        <v>1.5071359620533804</v>
      </c>
      <c r="EX17" s="32"/>
    </row>
    <row r="18" spans="3:154" s="3" customFormat="1" x14ac:dyDescent="0.25">
      <c r="C18" s="5" t="s">
        <v>8</v>
      </c>
      <c r="D18" s="17">
        <f>DEGREES(ATAN(2*($D$16-$D$7)/$D$8-TAN(RADIANS($D$12))))</f>
        <v>-67.874514601509873</v>
      </c>
      <c r="E18" s="1"/>
      <c r="F18" s="5" t="s">
        <v>5</v>
      </c>
      <c r="G18" s="17">
        <f>DEGREES(ATAN(2*(G10-G7)/G8-TAN(RADIANS(G12))))</f>
        <v>82.759695716411017</v>
      </c>
      <c r="H18" s="1"/>
      <c r="I18" s="1"/>
      <c r="J18" s="1"/>
      <c r="K18" s="1"/>
      <c r="L18" s="1"/>
      <c r="M18" s="1"/>
      <c r="N18" s="1"/>
      <c r="O18" s="1"/>
      <c r="P18" s="1"/>
      <c r="Q18" s="1"/>
      <c r="R18" s="1"/>
      <c r="S18" s="1"/>
      <c r="T18" s="32">
        <f t="shared" si="27"/>
        <v>0.19999999999999993</v>
      </c>
      <c r="U18" s="36">
        <f t="shared" si="28"/>
        <v>0.19999999999999993</v>
      </c>
      <c r="V18" s="32">
        <f t="shared" si="0"/>
        <v>1.6388307275311873</v>
      </c>
      <c r="W18" s="40">
        <f t="shared" si="29"/>
        <v>1.6388307275311873</v>
      </c>
      <c r="X18" s="32"/>
      <c r="Y18" s="32">
        <f t="shared" si="30"/>
        <v>0.19999999999999993</v>
      </c>
      <c r="Z18" s="32">
        <f t="shared" si="31"/>
        <v>0.19999999999999993</v>
      </c>
      <c r="AA18" s="32">
        <f t="shared" si="1"/>
        <v>1.6388307275311873</v>
      </c>
      <c r="AB18" s="40">
        <f t="shared" si="32"/>
        <v>1.6388307275311873</v>
      </c>
      <c r="AC18" s="32"/>
      <c r="AD18" s="32">
        <f t="shared" si="33"/>
        <v>0.19999999999999993</v>
      </c>
      <c r="AE18" s="36">
        <f t="shared" si="34"/>
        <v>0.19999999999999993</v>
      </c>
      <c r="AF18" s="32">
        <f t="shared" si="2"/>
        <v>1.6388307275311873</v>
      </c>
      <c r="AG18" s="40">
        <f t="shared" si="35"/>
        <v>1.6388307275311873</v>
      </c>
      <c r="AH18" s="32"/>
      <c r="AI18" s="32">
        <f t="shared" si="36"/>
        <v>0.19999999999999993</v>
      </c>
      <c r="AJ18" s="36">
        <f t="shared" si="37"/>
        <v>0.19999999999999993</v>
      </c>
      <c r="AK18" s="32">
        <f t="shared" si="3"/>
        <v>1.6388307275311873</v>
      </c>
      <c r="AL18" s="40">
        <f t="shared" si="38"/>
        <v>1.6388307275311873</v>
      </c>
      <c r="AM18" s="32"/>
      <c r="AN18" s="32">
        <f t="shared" si="39"/>
        <v>0.19999999999999993</v>
      </c>
      <c r="AO18" s="32">
        <f t="shared" si="40"/>
        <v>0.19999999999999993</v>
      </c>
      <c r="AP18" s="32">
        <f t="shared" si="4"/>
        <v>1.6388307275311873</v>
      </c>
      <c r="AQ18" s="40">
        <f t="shared" si="41"/>
        <v>1.6388307275311873</v>
      </c>
      <c r="AR18" s="32"/>
      <c r="AS18" s="32">
        <f t="shared" si="42"/>
        <v>0.19999999999999993</v>
      </c>
      <c r="AT18" s="36">
        <f t="shared" si="43"/>
        <v>0.19999999999999993</v>
      </c>
      <c r="AU18" s="32">
        <f t="shared" si="5"/>
        <v>1.6388307275311873</v>
      </c>
      <c r="AV18" s="40">
        <f t="shared" si="44"/>
        <v>1.6388307275311873</v>
      </c>
      <c r="AW18" s="32"/>
      <c r="AX18" s="32">
        <f t="shared" si="45"/>
        <v>0.19999999999999993</v>
      </c>
      <c r="AY18" s="36">
        <f t="shared" si="46"/>
        <v>0.19999999999999993</v>
      </c>
      <c r="AZ18" s="32">
        <f t="shared" si="6"/>
        <v>1.6388307275311873</v>
      </c>
      <c r="BA18" s="40">
        <f t="shared" si="47"/>
        <v>1.6388307275311873</v>
      </c>
      <c r="BB18" s="32"/>
      <c r="BC18" s="32">
        <f t="shared" si="48"/>
        <v>0.19999999999999993</v>
      </c>
      <c r="BD18" s="32">
        <f t="shared" si="49"/>
        <v>0.19999999999999993</v>
      </c>
      <c r="BE18" s="32">
        <f t="shared" si="7"/>
        <v>1.6388307275311873</v>
      </c>
      <c r="BF18" s="40">
        <f t="shared" si="50"/>
        <v>1.6388307275311873</v>
      </c>
      <c r="BG18" s="32"/>
      <c r="BH18" s="32">
        <f t="shared" si="51"/>
        <v>0.19999999999999993</v>
      </c>
      <c r="BI18" s="36">
        <f t="shared" si="52"/>
        <v>0.19999999999999993</v>
      </c>
      <c r="BJ18" s="32">
        <f t="shared" si="8"/>
        <v>1.6388307275311873</v>
      </c>
      <c r="BK18" s="40">
        <f t="shared" si="53"/>
        <v>1.6388307275311873</v>
      </c>
      <c r="BL18" s="32"/>
      <c r="BM18" s="32">
        <f t="shared" si="54"/>
        <v>0.19999999999999993</v>
      </c>
      <c r="BN18" s="36">
        <f t="shared" si="55"/>
        <v>0.19999999999999993</v>
      </c>
      <c r="BO18" s="32">
        <f t="shared" si="9"/>
        <v>1.6388307275311873</v>
      </c>
      <c r="BP18" s="40">
        <f t="shared" si="56"/>
        <v>1.6388307275311873</v>
      </c>
      <c r="BQ18" s="32"/>
      <c r="BR18" s="32">
        <f t="shared" si="57"/>
        <v>0.19999999999999993</v>
      </c>
      <c r="BS18" s="32">
        <f t="shared" si="58"/>
        <v>0.19999999999999993</v>
      </c>
      <c r="BT18" s="32">
        <f t="shared" si="10"/>
        <v>1.6388307275311873</v>
      </c>
      <c r="BU18" s="40">
        <f t="shared" si="59"/>
        <v>1.6388307275311873</v>
      </c>
      <c r="BV18" s="32"/>
      <c r="BW18" s="32">
        <f t="shared" si="60"/>
        <v>0.19999999999999993</v>
      </c>
      <c r="BX18" s="36">
        <f t="shared" si="61"/>
        <v>0.19999999999999993</v>
      </c>
      <c r="BY18" s="32">
        <f t="shared" si="11"/>
        <v>1.6388307275311873</v>
      </c>
      <c r="BZ18" s="40">
        <f t="shared" si="62"/>
        <v>1.6388307275311873</v>
      </c>
      <c r="CA18" s="32"/>
      <c r="CB18" s="32">
        <f t="shared" si="63"/>
        <v>0.19999999999999993</v>
      </c>
      <c r="CC18" s="36">
        <f t="shared" si="64"/>
        <v>0.19999999999999993</v>
      </c>
      <c r="CD18" s="32">
        <f t="shared" si="12"/>
        <v>1.6388307275311873</v>
      </c>
      <c r="CE18" s="40">
        <f t="shared" si="65"/>
        <v>1.6388307275311873</v>
      </c>
      <c r="CF18" s="32"/>
      <c r="CG18" s="39">
        <f t="shared" si="66"/>
        <v>0.19999999999999993</v>
      </c>
      <c r="CH18" s="39">
        <f t="shared" si="67"/>
        <v>0.19999999999999993</v>
      </c>
      <c r="CI18" s="39">
        <f t="shared" si="13"/>
        <v>1.6388307275311873</v>
      </c>
      <c r="CJ18" s="40">
        <f t="shared" si="68"/>
        <v>1.6388307275311873</v>
      </c>
      <c r="CK18" s="39"/>
      <c r="CL18" s="32">
        <f t="shared" si="69"/>
        <v>0.19999999999999993</v>
      </c>
      <c r="CM18" s="36">
        <f t="shared" si="70"/>
        <v>0.19999999999999993</v>
      </c>
      <c r="CN18" s="32">
        <f t="shared" si="14"/>
        <v>1.6388307275311873</v>
      </c>
      <c r="CO18" s="40">
        <f t="shared" si="71"/>
        <v>1.6388307275311873</v>
      </c>
      <c r="CP18" s="32"/>
      <c r="CQ18" s="32">
        <f t="shared" si="72"/>
        <v>0.19999999999999993</v>
      </c>
      <c r="CR18" s="36">
        <f t="shared" si="73"/>
        <v>0.19999999999999993</v>
      </c>
      <c r="CS18" s="32">
        <f t="shared" si="15"/>
        <v>1.6388307275311873</v>
      </c>
      <c r="CT18" s="40">
        <f t="shared" si="74"/>
        <v>1.6388307275311873</v>
      </c>
      <c r="CU18" s="32"/>
      <c r="CV18" s="32">
        <f t="shared" si="75"/>
        <v>0.19999999999999993</v>
      </c>
      <c r="CW18" s="32">
        <f t="shared" si="76"/>
        <v>0.19999999999999993</v>
      </c>
      <c r="CX18" s="32">
        <f t="shared" si="16"/>
        <v>1.6388307275311873</v>
      </c>
      <c r="CY18" s="40">
        <f t="shared" si="77"/>
        <v>1.6388307275311873</v>
      </c>
      <c r="CZ18" s="32"/>
      <c r="DA18" s="32">
        <f t="shared" si="78"/>
        <v>0.19999999999999993</v>
      </c>
      <c r="DB18" s="36">
        <f t="shared" si="79"/>
        <v>0.19999999999999993</v>
      </c>
      <c r="DC18" s="32">
        <f t="shared" si="17"/>
        <v>1.6388307275311873</v>
      </c>
      <c r="DD18" s="40">
        <f t="shared" si="80"/>
        <v>1.6388307275311873</v>
      </c>
      <c r="DE18" s="32"/>
      <c r="DF18" s="32">
        <f t="shared" si="81"/>
        <v>0.19999999999999993</v>
      </c>
      <c r="DG18" s="36">
        <f t="shared" si="82"/>
        <v>0.19999999999999993</v>
      </c>
      <c r="DH18" s="32">
        <f t="shared" si="18"/>
        <v>1.6388307275311873</v>
      </c>
      <c r="DI18" s="40">
        <f t="shared" si="83"/>
        <v>1.6388307275311873</v>
      </c>
      <c r="DJ18" s="32"/>
      <c r="DK18" s="32">
        <f t="shared" si="84"/>
        <v>0.19999999999999993</v>
      </c>
      <c r="DL18" s="32">
        <f t="shared" si="85"/>
        <v>0.19999999999999993</v>
      </c>
      <c r="DM18" s="32">
        <f t="shared" si="19"/>
        <v>1.6388307275311873</v>
      </c>
      <c r="DN18" s="40">
        <f t="shared" si="86"/>
        <v>1.6388307275311873</v>
      </c>
      <c r="DO18" s="32"/>
      <c r="DP18" s="32">
        <f t="shared" si="87"/>
        <v>0.19999999999999993</v>
      </c>
      <c r="DQ18" s="36">
        <f t="shared" si="88"/>
        <v>0.19999999999999993</v>
      </c>
      <c r="DR18" s="32">
        <f t="shared" si="20"/>
        <v>1.6388307275311873</v>
      </c>
      <c r="DS18" s="40">
        <f t="shared" si="89"/>
        <v>1.6388307275311873</v>
      </c>
      <c r="DT18" s="32"/>
      <c r="DU18" s="32">
        <f t="shared" si="90"/>
        <v>0.19999999999999993</v>
      </c>
      <c r="DV18" s="36">
        <f t="shared" si="91"/>
        <v>0.19999999999999993</v>
      </c>
      <c r="DW18" s="32">
        <f t="shared" si="21"/>
        <v>1.6388307275311873</v>
      </c>
      <c r="DX18" s="40">
        <f t="shared" si="92"/>
        <v>1.6388307275311873</v>
      </c>
      <c r="DY18" s="32"/>
      <c r="DZ18" s="32">
        <f t="shared" si="93"/>
        <v>0.19999999999999993</v>
      </c>
      <c r="EA18" s="32">
        <f t="shared" si="94"/>
        <v>0.19999999999999993</v>
      </c>
      <c r="EB18" s="32">
        <f t="shared" si="22"/>
        <v>1.6388307275311873</v>
      </c>
      <c r="EC18" s="40">
        <f t="shared" si="95"/>
        <v>1.6388307275311873</v>
      </c>
      <c r="ED18" s="32"/>
      <c r="EE18" s="32">
        <f t="shared" si="96"/>
        <v>0.19999999999999993</v>
      </c>
      <c r="EF18" s="36">
        <f t="shared" si="97"/>
        <v>0.19999999999999993</v>
      </c>
      <c r="EG18" s="32">
        <f t="shared" si="23"/>
        <v>1.6388307275311873</v>
      </c>
      <c r="EH18" s="40">
        <f t="shared" si="98"/>
        <v>1.6388307275311873</v>
      </c>
      <c r="EI18" s="32"/>
      <c r="EJ18" s="32">
        <f t="shared" si="99"/>
        <v>0.19999999999999993</v>
      </c>
      <c r="EK18" s="36">
        <f t="shared" si="100"/>
        <v>0.19999999999999993</v>
      </c>
      <c r="EL18" s="32">
        <f t="shared" si="24"/>
        <v>1.6388307275311873</v>
      </c>
      <c r="EM18" s="40">
        <f t="shared" si="101"/>
        <v>1.6388307275311873</v>
      </c>
      <c r="EN18" s="32"/>
      <c r="EO18" s="32">
        <f t="shared" si="102"/>
        <v>0.19999999999999993</v>
      </c>
      <c r="EP18" s="32">
        <f t="shared" si="103"/>
        <v>0.19999999999999993</v>
      </c>
      <c r="EQ18" s="32">
        <f t="shared" si="25"/>
        <v>1.6388307275311873</v>
      </c>
      <c r="ER18" s="40">
        <f t="shared" si="104"/>
        <v>1.6388307275311873</v>
      </c>
      <c r="ES18" s="32"/>
      <c r="ET18" s="32">
        <f t="shared" si="105"/>
        <v>0.19999999999999993</v>
      </c>
      <c r="EU18" s="36">
        <f t="shared" si="106"/>
        <v>0.19999999999999993</v>
      </c>
      <c r="EV18" s="32">
        <f t="shared" si="26"/>
        <v>1.6388307275311873</v>
      </c>
      <c r="EW18" s="40">
        <f t="shared" si="107"/>
        <v>1.6388307275311873</v>
      </c>
      <c r="EX18" s="32"/>
    </row>
    <row r="19" spans="3:154" s="3" customFormat="1" x14ac:dyDescent="0.25">
      <c r="C19" s="5" t="s">
        <v>9</v>
      </c>
      <c r="D19" s="15" t="str">
        <f>IF(MAX(T115:AT115)=MIN(T115:AT115), "----", TEXT(MAX(T115:AT115), "0°") &amp; " – " &amp; TEXT(MIN(T115:AT115), "0°"))</f>
        <v>----</v>
      </c>
      <c r="E19" s="1"/>
      <c r="F19" s="5" t="s">
        <v>9</v>
      </c>
      <c r="G19" s="18" t="str">
        <f>IF(MAX(T121:AT121)=MIN(T121:AT121), "----", TEXT(MAX(T121:AT121), "0°") &amp; " – " &amp; TEXT(MIN(T121:AT121), "0°"))</f>
        <v>----</v>
      </c>
      <c r="H19" s="1"/>
      <c r="I19" s="1"/>
      <c r="J19" s="1"/>
      <c r="K19" s="1"/>
      <c r="L19" s="1"/>
      <c r="M19" s="1"/>
      <c r="N19" s="1"/>
      <c r="O19" s="1"/>
      <c r="P19" s="1"/>
      <c r="Q19" s="1"/>
      <c r="R19" s="1"/>
      <c r="S19" s="1"/>
      <c r="T19" s="32">
        <f t="shared" si="27"/>
        <v>0.21999999999999992</v>
      </c>
      <c r="U19" s="36">
        <f t="shared" si="28"/>
        <v>0.21999999999999992</v>
      </c>
      <c r="V19" s="32">
        <f t="shared" si="0"/>
        <v>1.7678169802811472</v>
      </c>
      <c r="W19" s="40">
        <f t="shared" si="29"/>
        <v>1.7678169802811472</v>
      </c>
      <c r="X19" s="32"/>
      <c r="Y19" s="32">
        <f t="shared" si="30"/>
        <v>0.21999999999999992</v>
      </c>
      <c r="Z19" s="32">
        <f t="shared" si="31"/>
        <v>0.21999999999999992</v>
      </c>
      <c r="AA19" s="32">
        <f t="shared" si="1"/>
        <v>1.7678169802811472</v>
      </c>
      <c r="AB19" s="40">
        <f t="shared" si="32"/>
        <v>1.7678169802811472</v>
      </c>
      <c r="AC19" s="32"/>
      <c r="AD19" s="32">
        <f t="shared" si="33"/>
        <v>0.21999999999999992</v>
      </c>
      <c r="AE19" s="36">
        <f t="shared" si="34"/>
        <v>0.21999999999999992</v>
      </c>
      <c r="AF19" s="32">
        <f t="shared" si="2"/>
        <v>1.7678169802811472</v>
      </c>
      <c r="AG19" s="40">
        <f t="shared" si="35"/>
        <v>1.7678169802811472</v>
      </c>
      <c r="AH19" s="32"/>
      <c r="AI19" s="32">
        <f t="shared" si="36"/>
        <v>0.21999999999999992</v>
      </c>
      <c r="AJ19" s="36">
        <f t="shared" si="37"/>
        <v>0.21999999999999992</v>
      </c>
      <c r="AK19" s="32">
        <f t="shared" si="3"/>
        <v>1.7678169802811472</v>
      </c>
      <c r="AL19" s="40">
        <f t="shared" si="38"/>
        <v>1.7678169802811472</v>
      </c>
      <c r="AM19" s="32"/>
      <c r="AN19" s="32">
        <f t="shared" si="39"/>
        <v>0.21999999999999992</v>
      </c>
      <c r="AO19" s="32">
        <f t="shared" si="40"/>
        <v>0.21999999999999992</v>
      </c>
      <c r="AP19" s="32">
        <f t="shared" si="4"/>
        <v>1.7678169802811472</v>
      </c>
      <c r="AQ19" s="40">
        <f t="shared" si="41"/>
        <v>1.7678169802811472</v>
      </c>
      <c r="AR19" s="32"/>
      <c r="AS19" s="32">
        <f t="shared" si="42"/>
        <v>0.21999999999999992</v>
      </c>
      <c r="AT19" s="36">
        <f t="shared" si="43"/>
        <v>0.21999999999999992</v>
      </c>
      <c r="AU19" s="32">
        <f t="shared" si="5"/>
        <v>1.7678169802811472</v>
      </c>
      <c r="AV19" s="40">
        <f t="shared" si="44"/>
        <v>1.7678169802811472</v>
      </c>
      <c r="AW19" s="32"/>
      <c r="AX19" s="32">
        <f t="shared" si="45"/>
        <v>0.21999999999999992</v>
      </c>
      <c r="AY19" s="36">
        <f t="shared" si="46"/>
        <v>0.21999999999999992</v>
      </c>
      <c r="AZ19" s="32">
        <f t="shared" si="6"/>
        <v>1.7678169802811472</v>
      </c>
      <c r="BA19" s="40">
        <f t="shared" si="47"/>
        <v>1.7678169802811472</v>
      </c>
      <c r="BB19" s="32"/>
      <c r="BC19" s="32">
        <f t="shared" si="48"/>
        <v>0.21999999999999992</v>
      </c>
      <c r="BD19" s="32">
        <f t="shared" si="49"/>
        <v>0.21999999999999992</v>
      </c>
      <c r="BE19" s="32">
        <f t="shared" si="7"/>
        <v>1.7678169802811472</v>
      </c>
      <c r="BF19" s="40">
        <f t="shared" si="50"/>
        <v>1.7678169802811472</v>
      </c>
      <c r="BG19" s="32"/>
      <c r="BH19" s="32">
        <f t="shared" si="51"/>
        <v>0.21999999999999992</v>
      </c>
      <c r="BI19" s="36">
        <f t="shared" si="52"/>
        <v>0.21999999999999992</v>
      </c>
      <c r="BJ19" s="32">
        <f t="shared" si="8"/>
        <v>1.7678169802811472</v>
      </c>
      <c r="BK19" s="40">
        <f t="shared" si="53"/>
        <v>1.7678169802811472</v>
      </c>
      <c r="BL19" s="32"/>
      <c r="BM19" s="32">
        <f t="shared" si="54"/>
        <v>0.21999999999999992</v>
      </c>
      <c r="BN19" s="36">
        <f t="shared" si="55"/>
        <v>0.21999999999999992</v>
      </c>
      <c r="BO19" s="32">
        <f t="shared" si="9"/>
        <v>1.7678169802811472</v>
      </c>
      <c r="BP19" s="40">
        <f t="shared" si="56"/>
        <v>1.7678169802811472</v>
      </c>
      <c r="BQ19" s="32"/>
      <c r="BR19" s="32">
        <f t="shared" si="57"/>
        <v>0.21999999999999992</v>
      </c>
      <c r="BS19" s="32">
        <f t="shared" si="58"/>
        <v>0.21999999999999992</v>
      </c>
      <c r="BT19" s="32">
        <f t="shared" si="10"/>
        <v>1.7678169802811472</v>
      </c>
      <c r="BU19" s="40">
        <f t="shared" si="59"/>
        <v>1.7678169802811472</v>
      </c>
      <c r="BV19" s="32"/>
      <c r="BW19" s="32">
        <f t="shared" si="60"/>
        <v>0.21999999999999992</v>
      </c>
      <c r="BX19" s="36">
        <f t="shared" si="61"/>
        <v>0.21999999999999992</v>
      </c>
      <c r="BY19" s="32">
        <f t="shared" si="11"/>
        <v>1.7678169802811472</v>
      </c>
      <c r="BZ19" s="40">
        <f t="shared" si="62"/>
        <v>1.7678169802811472</v>
      </c>
      <c r="CA19" s="32"/>
      <c r="CB19" s="32">
        <f t="shared" si="63"/>
        <v>0.21999999999999992</v>
      </c>
      <c r="CC19" s="36">
        <f t="shared" si="64"/>
        <v>0.21999999999999992</v>
      </c>
      <c r="CD19" s="32">
        <f t="shared" si="12"/>
        <v>1.7678169802811472</v>
      </c>
      <c r="CE19" s="40">
        <f t="shared" si="65"/>
        <v>1.7678169802811472</v>
      </c>
      <c r="CF19" s="32"/>
      <c r="CG19" s="39">
        <f t="shared" si="66"/>
        <v>0.21999999999999992</v>
      </c>
      <c r="CH19" s="39">
        <f t="shared" si="67"/>
        <v>0.21999999999999992</v>
      </c>
      <c r="CI19" s="39">
        <f t="shared" si="13"/>
        <v>1.7678169802811472</v>
      </c>
      <c r="CJ19" s="40">
        <f t="shared" si="68"/>
        <v>1.7678169802811472</v>
      </c>
      <c r="CK19" s="39"/>
      <c r="CL19" s="32">
        <f t="shared" si="69"/>
        <v>0.21999999999999992</v>
      </c>
      <c r="CM19" s="36">
        <f t="shared" si="70"/>
        <v>0.21999999999999992</v>
      </c>
      <c r="CN19" s="32">
        <f t="shared" si="14"/>
        <v>1.7678169802811472</v>
      </c>
      <c r="CO19" s="40">
        <f t="shared" si="71"/>
        <v>1.7678169802811472</v>
      </c>
      <c r="CP19" s="32"/>
      <c r="CQ19" s="32">
        <f t="shared" si="72"/>
        <v>0.21999999999999992</v>
      </c>
      <c r="CR19" s="36">
        <f t="shared" si="73"/>
        <v>0.21999999999999992</v>
      </c>
      <c r="CS19" s="32">
        <f t="shared" si="15"/>
        <v>1.7678169802811472</v>
      </c>
      <c r="CT19" s="40">
        <f t="shared" si="74"/>
        <v>1.7678169802811472</v>
      </c>
      <c r="CU19" s="32"/>
      <c r="CV19" s="32">
        <f t="shared" si="75"/>
        <v>0.21999999999999992</v>
      </c>
      <c r="CW19" s="32">
        <f t="shared" si="76"/>
        <v>0.21999999999999992</v>
      </c>
      <c r="CX19" s="32">
        <f t="shared" si="16"/>
        <v>1.7678169802811472</v>
      </c>
      <c r="CY19" s="40">
        <f t="shared" si="77"/>
        <v>1.7678169802811472</v>
      </c>
      <c r="CZ19" s="32"/>
      <c r="DA19" s="32">
        <f t="shared" si="78"/>
        <v>0.21999999999999992</v>
      </c>
      <c r="DB19" s="36">
        <f t="shared" si="79"/>
        <v>0.21999999999999992</v>
      </c>
      <c r="DC19" s="32">
        <f t="shared" si="17"/>
        <v>1.7678169802811472</v>
      </c>
      <c r="DD19" s="40">
        <f t="shared" si="80"/>
        <v>1.7678169802811472</v>
      </c>
      <c r="DE19" s="32"/>
      <c r="DF19" s="32">
        <f t="shared" si="81"/>
        <v>0.21999999999999992</v>
      </c>
      <c r="DG19" s="36">
        <f t="shared" si="82"/>
        <v>0.21999999999999992</v>
      </c>
      <c r="DH19" s="32">
        <f t="shared" si="18"/>
        <v>1.7678169802811472</v>
      </c>
      <c r="DI19" s="40">
        <f t="shared" si="83"/>
        <v>1.7678169802811472</v>
      </c>
      <c r="DJ19" s="32"/>
      <c r="DK19" s="32">
        <f t="shared" si="84"/>
        <v>0.21999999999999992</v>
      </c>
      <c r="DL19" s="32">
        <f t="shared" si="85"/>
        <v>0.21999999999999992</v>
      </c>
      <c r="DM19" s="32">
        <f t="shared" si="19"/>
        <v>1.7678169802811472</v>
      </c>
      <c r="DN19" s="40">
        <f t="shared" si="86"/>
        <v>1.7678169802811472</v>
      </c>
      <c r="DO19" s="32"/>
      <c r="DP19" s="32">
        <f t="shared" si="87"/>
        <v>0.21999999999999992</v>
      </c>
      <c r="DQ19" s="36">
        <f t="shared" si="88"/>
        <v>0.21999999999999992</v>
      </c>
      <c r="DR19" s="32">
        <f t="shared" si="20"/>
        <v>1.7678169802811472</v>
      </c>
      <c r="DS19" s="40">
        <f t="shared" si="89"/>
        <v>1.7678169802811472</v>
      </c>
      <c r="DT19" s="32"/>
      <c r="DU19" s="32">
        <f t="shared" si="90"/>
        <v>0.21999999999999992</v>
      </c>
      <c r="DV19" s="36">
        <f t="shared" si="91"/>
        <v>0.21999999999999992</v>
      </c>
      <c r="DW19" s="32">
        <f t="shared" si="21"/>
        <v>1.7678169802811472</v>
      </c>
      <c r="DX19" s="40">
        <f t="shared" si="92"/>
        <v>1.7678169802811472</v>
      </c>
      <c r="DY19" s="32"/>
      <c r="DZ19" s="32">
        <f t="shared" si="93"/>
        <v>0.21999999999999992</v>
      </c>
      <c r="EA19" s="32">
        <f t="shared" si="94"/>
        <v>0.21999999999999992</v>
      </c>
      <c r="EB19" s="32">
        <f t="shared" si="22"/>
        <v>1.7678169802811472</v>
      </c>
      <c r="EC19" s="40">
        <f t="shared" si="95"/>
        <v>1.7678169802811472</v>
      </c>
      <c r="ED19" s="32"/>
      <c r="EE19" s="32">
        <f t="shared" si="96"/>
        <v>0.21999999999999992</v>
      </c>
      <c r="EF19" s="36">
        <f t="shared" si="97"/>
        <v>0.21999999999999992</v>
      </c>
      <c r="EG19" s="32">
        <f t="shared" si="23"/>
        <v>1.7678169802811472</v>
      </c>
      <c r="EH19" s="40">
        <f t="shared" si="98"/>
        <v>1.7678169802811472</v>
      </c>
      <c r="EI19" s="32"/>
      <c r="EJ19" s="32">
        <f t="shared" si="99"/>
        <v>0.21999999999999992</v>
      </c>
      <c r="EK19" s="36">
        <f t="shared" si="100"/>
        <v>0.21999999999999992</v>
      </c>
      <c r="EL19" s="32">
        <f t="shared" si="24"/>
        <v>1.7678169802811472</v>
      </c>
      <c r="EM19" s="40">
        <f t="shared" si="101"/>
        <v>1.7678169802811472</v>
      </c>
      <c r="EN19" s="32"/>
      <c r="EO19" s="32">
        <f t="shared" si="102"/>
        <v>0.21999999999999992</v>
      </c>
      <c r="EP19" s="32">
        <f t="shared" si="103"/>
        <v>0.21999999999999992</v>
      </c>
      <c r="EQ19" s="32">
        <f t="shared" si="25"/>
        <v>1.7678169802811472</v>
      </c>
      <c r="ER19" s="40">
        <f t="shared" si="104"/>
        <v>1.7678169802811472</v>
      </c>
      <c r="ES19" s="32"/>
      <c r="ET19" s="32">
        <f t="shared" si="105"/>
        <v>0.21999999999999992</v>
      </c>
      <c r="EU19" s="36">
        <f t="shared" si="106"/>
        <v>0.21999999999999992</v>
      </c>
      <c r="EV19" s="32">
        <f t="shared" si="26"/>
        <v>1.7678169802811472</v>
      </c>
      <c r="EW19" s="40">
        <f t="shared" si="107"/>
        <v>1.7678169802811472</v>
      </c>
      <c r="EX19" s="32"/>
    </row>
    <row r="20" spans="3:154" s="3" customFormat="1" x14ac:dyDescent="0.25">
      <c r="C20" s="1"/>
      <c r="D20" s="1"/>
      <c r="E20" s="1"/>
      <c r="F20" s="1"/>
      <c r="G20" s="1"/>
      <c r="H20" s="1"/>
      <c r="I20" s="1"/>
      <c r="J20" s="1"/>
      <c r="K20" s="1"/>
      <c r="L20" s="1"/>
      <c r="M20" s="1"/>
      <c r="N20" s="1"/>
      <c r="O20" s="1"/>
      <c r="P20" s="1"/>
      <c r="Q20" s="1"/>
      <c r="R20" s="1"/>
      <c r="S20" s="1"/>
      <c r="T20" s="32">
        <f t="shared" si="27"/>
        <v>0.23999999999999991</v>
      </c>
      <c r="U20" s="36">
        <f t="shared" si="28"/>
        <v>0.23999999999999991</v>
      </c>
      <c r="V20" s="32">
        <f t="shared" si="0"/>
        <v>1.8940947203032599</v>
      </c>
      <c r="W20" s="40">
        <f t="shared" si="29"/>
        <v>1.8940947203032599</v>
      </c>
      <c r="X20" s="32"/>
      <c r="Y20" s="32">
        <f t="shared" si="30"/>
        <v>0.23999999999999991</v>
      </c>
      <c r="Z20" s="32">
        <f t="shared" si="31"/>
        <v>0.23999999999999991</v>
      </c>
      <c r="AA20" s="32">
        <f t="shared" si="1"/>
        <v>1.8940947203032599</v>
      </c>
      <c r="AB20" s="40">
        <f t="shared" si="32"/>
        <v>1.8940947203032599</v>
      </c>
      <c r="AC20" s="32"/>
      <c r="AD20" s="32">
        <f t="shared" si="33"/>
        <v>0.23999999999999991</v>
      </c>
      <c r="AE20" s="36">
        <f t="shared" si="34"/>
        <v>0.23999999999999991</v>
      </c>
      <c r="AF20" s="32">
        <f t="shared" si="2"/>
        <v>1.8940947203032599</v>
      </c>
      <c r="AG20" s="40">
        <f t="shared" si="35"/>
        <v>1.8940947203032599</v>
      </c>
      <c r="AH20" s="32"/>
      <c r="AI20" s="32">
        <f t="shared" si="36"/>
        <v>0.23999999999999991</v>
      </c>
      <c r="AJ20" s="36">
        <f t="shared" si="37"/>
        <v>0.23999999999999991</v>
      </c>
      <c r="AK20" s="32">
        <f t="shared" si="3"/>
        <v>1.8940947203032599</v>
      </c>
      <c r="AL20" s="40">
        <f t="shared" si="38"/>
        <v>1.8940947203032599</v>
      </c>
      <c r="AM20" s="32"/>
      <c r="AN20" s="32">
        <f t="shared" si="39"/>
        <v>0.23999999999999991</v>
      </c>
      <c r="AO20" s="32">
        <f t="shared" si="40"/>
        <v>0.23999999999999991</v>
      </c>
      <c r="AP20" s="32">
        <f t="shared" si="4"/>
        <v>1.8940947203032599</v>
      </c>
      <c r="AQ20" s="40">
        <f t="shared" si="41"/>
        <v>1.8940947203032599</v>
      </c>
      <c r="AR20" s="32"/>
      <c r="AS20" s="32">
        <f t="shared" si="42"/>
        <v>0.23999999999999991</v>
      </c>
      <c r="AT20" s="36">
        <f t="shared" si="43"/>
        <v>0.23999999999999991</v>
      </c>
      <c r="AU20" s="32">
        <f t="shared" si="5"/>
        <v>1.8940947203032599</v>
      </c>
      <c r="AV20" s="40">
        <f t="shared" si="44"/>
        <v>1.8940947203032599</v>
      </c>
      <c r="AW20" s="32"/>
      <c r="AX20" s="32">
        <f t="shared" si="45"/>
        <v>0.23999999999999991</v>
      </c>
      <c r="AY20" s="36">
        <f t="shared" si="46"/>
        <v>0.23999999999999991</v>
      </c>
      <c r="AZ20" s="32">
        <f t="shared" si="6"/>
        <v>1.8940947203032599</v>
      </c>
      <c r="BA20" s="40">
        <f t="shared" si="47"/>
        <v>1.8940947203032599</v>
      </c>
      <c r="BB20" s="32"/>
      <c r="BC20" s="32">
        <f t="shared" si="48"/>
        <v>0.23999999999999991</v>
      </c>
      <c r="BD20" s="32">
        <f t="shared" si="49"/>
        <v>0.23999999999999991</v>
      </c>
      <c r="BE20" s="32">
        <f t="shared" si="7"/>
        <v>1.8940947203032599</v>
      </c>
      <c r="BF20" s="40">
        <f t="shared" si="50"/>
        <v>1.8940947203032599</v>
      </c>
      <c r="BG20" s="32"/>
      <c r="BH20" s="32">
        <f t="shared" si="51"/>
        <v>0.23999999999999991</v>
      </c>
      <c r="BI20" s="36">
        <f t="shared" si="52"/>
        <v>0.23999999999999991</v>
      </c>
      <c r="BJ20" s="32">
        <f t="shared" si="8"/>
        <v>1.8940947203032599</v>
      </c>
      <c r="BK20" s="40">
        <f t="shared" si="53"/>
        <v>1.8940947203032599</v>
      </c>
      <c r="BL20" s="32"/>
      <c r="BM20" s="32">
        <f t="shared" si="54"/>
        <v>0.23999999999999991</v>
      </c>
      <c r="BN20" s="36">
        <f t="shared" si="55"/>
        <v>0.23999999999999991</v>
      </c>
      <c r="BO20" s="32">
        <f t="shared" si="9"/>
        <v>1.8940947203032599</v>
      </c>
      <c r="BP20" s="40">
        <f t="shared" si="56"/>
        <v>1.8940947203032599</v>
      </c>
      <c r="BQ20" s="32"/>
      <c r="BR20" s="32">
        <f t="shared" si="57"/>
        <v>0.23999999999999991</v>
      </c>
      <c r="BS20" s="32">
        <f t="shared" si="58"/>
        <v>0.23999999999999991</v>
      </c>
      <c r="BT20" s="32">
        <f t="shared" si="10"/>
        <v>1.8940947203032599</v>
      </c>
      <c r="BU20" s="40">
        <f t="shared" si="59"/>
        <v>1.8940947203032599</v>
      </c>
      <c r="BV20" s="32"/>
      <c r="BW20" s="32">
        <f t="shared" si="60"/>
        <v>0.23999999999999991</v>
      </c>
      <c r="BX20" s="36">
        <f t="shared" si="61"/>
        <v>0.23999999999999991</v>
      </c>
      <c r="BY20" s="32">
        <f t="shared" si="11"/>
        <v>1.8940947203032599</v>
      </c>
      <c r="BZ20" s="40">
        <f t="shared" si="62"/>
        <v>1.8940947203032599</v>
      </c>
      <c r="CA20" s="32"/>
      <c r="CB20" s="32">
        <f t="shared" si="63"/>
        <v>0.23999999999999991</v>
      </c>
      <c r="CC20" s="36">
        <f t="shared" si="64"/>
        <v>0.23999999999999991</v>
      </c>
      <c r="CD20" s="32">
        <f t="shared" si="12"/>
        <v>1.8940947203032599</v>
      </c>
      <c r="CE20" s="40">
        <f t="shared" si="65"/>
        <v>1.8940947203032599</v>
      </c>
      <c r="CF20" s="32"/>
      <c r="CG20" s="39">
        <f t="shared" si="66"/>
        <v>0.23999999999999991</v>
      </c>
      <c r="CH20" s="39">
        <f t="shared" si="67"/>
        <v>0.23999999999999991</v>
      </c>
      <c r="CI20" s="39">
        <f t="shared" si="13"/>
        <v>1.8940947203032599</v>
      </c>
      <c r="CJ20" s="40">
        <f t="shared" si="68"/>
        <v>1.8940947203032599</v>
      </c>
      <c r="CK20" s="39"/>
      <c r="CL20" s="32">
        <f t="shared" si="69"/>
        <v>0.23999999999999991</v>
      </c>
      <c r="CM20" s="36">
        <f t="shared" si="70"/>
        <v>0.23999999999999991</v>
      </c>
      <c r="CN20" s="32">
        <f t="shared" si="14"/>
        <v>1.8940947203032599</v>
      </c>
      <c r="CO20" s="40">
        <f t="shared" si="71"/>
        <v>1.8940947203032599</v>
      </c>
      <c r="CP20" s="32"/>
      <c r="CQ20" s="32">
        <f t="shared" si="72"/>
        <v>0.23999999999999991</v>
      </c>
      <c r="CR20" s="36">
        <f t="shared" si="73"/>
        <v>0.23999999999999991</v>
      </c>
      <c r="CS20" s="32">
        <f t="shared" si="15"/>
        <v>1.8940947203032599</v>
      </c>
      <c r="CT20" s="40">
        <f t="shared" si="74"/>
        <v>1.8940947203032599</v>
      </c>
      <c r="CU20" s="32"/>
      <c r="CV20" s="32">
        <f t="shared" si="75"/>
        <v>0.23999999999999991</v>
      </c>
      <c r="CW20" s="32">
        <f t="shared" si="76"/>
        <v>0.23999999999999991</v>
      </c>
      <c r="CX20" s="32">
        <f t="shared" si="16"/>
        <v>1.8940947203032599</v>
      </c>
      <c r="CY20" s="40">
        <f t="shared" si="77"/>
        <v>1.8940947203032599</v>
      </c>
      <c r="CZ20" s="32"/>
      <c r="DA20" s="32">
        <f t="shared" si="78"/>
        <v>0.23999999999999991</v>
      </c>
      <c r="DB20" s="36">
        <f t="shared" si="79"/>
        <v>0.23999999999999991</v>
      </c>
      <c r="DC20" s="32">
        <f t="shared" si="17"/>
        <v>1.8940947203032599</v>
      </c>
      <c r="DD20" s="40">
        <f t="shared" si="80"/>
        <v>1.8940947203032599</v>
      </c>
      <c r="DE20" s="32"/>
      <c r="DF20" s="32">
        <f t="shared" si="81"/>
        <v>0.23999999999999991</v>
      </c>
      <c r="DG20" s="36">
        <f t="shared" si="82"/>
        <v>0.23999999999999991</v>
      </c>
      <c r="DH20" s="32">
        <f t="shared" si="18"/>
        <v>1.8940947203032599</v>
      </c>
      <c r="DI20" s="40">
        <f t="shared" si="83"/>
        <v>1.8940947203032599</v>
      </c>
      <c r="DJ20" s="32"/>
      <c r="DK20" s="32">
        <f t="shared" si="84"/>
        <v>0.23999999999999991</v>
      </c>
      <c r="DL20" s="32">
        <f t="shared" si="85"/>
        <v>0.23999999999999991</v>
      </c>
      <c r="DM20" s="32">
        <f t="shared" si="19"/>
        <v>1.8940947203032599</v>
      </c>
      <c r="DN20" s="40">
        <f t="shared" si="86"/>
        <v>1.8940947203032599</v>
      </c>
      <c r="DO20" s="32"/>
      <c r="DP20" s="32">
        <f t="shared" si="87"/>
        <v>0.23999999999999991</v>
      </c>
      <c r="DQ20" s="36">
        <f t="shared" si="88"/>
        <v>0.23999999999999991</v>
      </c>
      <c r="DR20" s="32">
        <f t="shared" si="20"/>
        <v>1.8940947203032599</v>
      </c>
      <c r="DS20" s="40">
        <f t="shared" si="89"/>
        <v>1.8940947203032599</v>
      </c>
      <c r="DT20" s="32"/>
      <c r="DU20" s="32">
        <f t="shared" si="90"/>
        <v>0.23999999999999991</v>
      </c>
      <c r="DV20" s="36">
        <f t="shared" si="91"/>
        <v>0.23999999999999991</v>
      </c>
      <c r="DW20" s="32">
        <f t="shared" si="21"/>
        <v>1.8940947203032599</v>
      </c>
      <c r="DX20" s="40">
        <f t="shared" si="92"/>
        <v>1.8940947203032599</v>
      </c>
      <c r="DY20" s="32"/>
      <c r="DZ20" s="32">
        <f t="shared" si="93"/>
        <v>0.23999999999999991</v>
      </c>
      <c r="EA20" s="32">
        <f t="shared" si="94"/>
        <v>0.23999999999999991</v>
      </c>
      <c r="EB20" s="32">
        <f t="shared" si="22"/>
        <v>1.8940947203032599</v>
      </c>
      <c r="EC20" s="40">
        <f t="shared" si="95"/>
        <v>1.8940947203032599</v>
      </c>
      <c r="ED20" s="32"/>
      <c r="EE20" s="32">
        <f t="shared" si="96"/>
        <v>0.23999999999999991</v>
      </c>
      <c r="EF20" s="36">
        <f t="shared" si="97"/>
        <v>0.23999999999999991</v>
      </c>
      <c r="EG20" s="32">
        <f t="shared" si="23"/>
        <v>1.8940947203032599</v>
      </c>
      <c r="EH20" s="40">
        <f t="shared" si="98"/>
        <v>1.8940947203032599</v>
      </c>
      <c r="EI20" s="32"/>
      <c r="EJ20" s="32">
        <f t="shared" si="99"/>
        <v>0.23999999999999991</v>
      </c>
      <c r="EK20" s="36">
        <f t="shared" si="100"/>
        <v>0.23999999999999991</v>
      </c>
      <c r="EL20" s="32">
        <f t="shared" si="24"/>
        <v>1.8940947203032599</v>
      </c>
      <c r="EM20" s="40">
        <f t="shared" si="101"/>
        <v>1.8940947203032599</v>
      </c>
      <c r="EN20" s="32"/>
      <c r="EO20" s="32">
        <f t="shared" si="102"/>
        <v>0.23999999999999991</v>
      </c>
      <c r="EP20" s="32">
        <f t="shared" si="103"/>
        <v>0.23999999999999991</v>
      </c>
      <c r="EQ20" s="32">
        <f t="shared" si="25"/>
        <v>1.8940947203032599</v>
      </c>
      <c r="ER20" s="40">
        <f t="shared" si="104"/>
        <v>1.8940947203032599</v>
      </c>
      <c r="ES20" s="32"/>
      <c r="ET20" s="32">
        <f t="shared" si="105"/>
        <v>0.23999999999999991</v>
      </c>
      <c r="EU20" s="36">
        <f t="shared" si="106"/>
        <v>0.23999999999999991</v>
      </c>
      <c r="EV20" s="32">
        <f t="shared" si="26"/>
        <v>1.8940947203032599</v>
      </c>
      <c r="EW20" s="40">
        <f t="shared" si="107"/>
        <v>1.8940947203032599</v>
      </c>
      <c r="EX20" s="32"/>
    </row>
    <row r="21" spans="3:154" s="3" customFormat="1" x14ac:dyDescent="0.25">
      <c r="C21" s="1"/>
      <c r="D21" s="19"/>
      <c r="E21" s="1"/>
      <c r="F21" s="1"/>
      <c r="G21" s="1"/>
      <c r="H21" s="1"/>
      <c r="I21" s="1"/>
      <c r="J21" s="1"/>
      <c r="K21" s="1"/>
      <c r="L21" s="1"/>
      <c r="M21" s="1"/>
      <c r="N21" s="1"/>
      <c r="O21" s="1"/>
      <c r="P21" s="1"/>
      <c r="Q21" s="1"/>
      <c r="R21" s="1"/>
      <c r="S21" s="1"/>
      <c r="T21" s="32">
        <f t="shared" si="27"/>
        <v>0.2599999999999999</v>
      </c>
      <c r="U21" s="36">
        <f t="shared" si="28"/>
        <v>0.2599999999999999</v>
      </c>
      <c r="V21" s="32">
        <f t="shared" si="0"/>
        <v>2.0176639475975255</v>
      </c>
      <c r="W21" s="40">
        <f t="shared" si="29"/>
        <v>2.0176639475975255</v>
      </c>
      <c r="X21" s="32"/>
      <c r="Y21" s="32">
        <f t="shared" si="30"/>
        <v>0.2599999999999999</v>
      </c>
      <c r="Z21" s="32">
        <f t="shared" si="31"/>
        <v>0.2599999999999999</v>
      </c>
      <c r="AA21" s="32">
        <f t="shared" si="1"/>
        <v>2.0176639475975255</v>
      </c>
      <c r="AB21" s="40">
        <f t="shared" si="32"/>
        <v>2.0176639475975255</v>
      </c>
      <c r="AC21" s="32"/>
      <c r="AD21" s="32">
        <f t="shared" si="33"/>
        <v>0.2599999999999999</v>
      </c>
      <c r="AE21" s="36">
        <f t="shared" si="34"/>
        <v>0.2599999999999999</v>
      </c>
      <c r="AF21" s="32">
        <f t="shared" si="2"/>
        <v>2.0176639475975255</v>
      </c>
      <c r="AG21" s="40">
        <f t="shared" si="35"/>
        <v>2.0176639475975255</v>
      </c>
      <c r="AH21" s="32"/>
      <c r="AI21" s="32">
        <f t="shared" si="36"/>
        <v>0.2599999999999999</v>
      </c>
      <c r="AJ21" s="36">
        <f t="shared" si="37"/>
        <v>0.2599999999999999</v>
      </c>
      <c r="AK21" s="32">
        <f t="shared" si="3"/>
        <v>2.0176639475975255</v>
      </c>
      <c r="AL21" s="40">
        <f t="shared" si="38"/>
        <v>2.0176639475975255</v>
      </c>
      <c r="AM21" s="32"/>
      <c r="AN21" s="32">
        <f t="shared" si="39"/>
        <v>0.2599999999999999</v>
      </c>
      <c r="AO21" s="32">
        <f t="shared" si="40"/>
        <v>0.2599999999999999</v>
      </c>
      <c r="AP21" s="32">
        <f t="shared" si="4"/>
        <v>2.0176639475975255</v>
      </c>
      <c r="AQ21" s="40">
        <f t="shared" si="41"/>
        <v>2.0176639475975255</v>
      </c>
      <c r="AR21" s="32"/>
      <c r="AS21" s="32">
        <f t="shared" si="42"/>
        <v>0.2599999999999999</v>
      </c>
      <c r="AT21" s="36">
        <f t="shared" si="43"/>
        <v>0.2599999999999999</v>
      </c>
      <c r="AU21" s="32">
        <f t="shared" si="5"/>
        <v>2.0176639475975255</v>
      </c>
      <c r="AV21" s="40">
        <f t="shared" si="44"/>
        <v>2.0176639475975255</v>
      </c>
      <c r="AW21" s="32"/>
      <c r="AX21" s="32">
        <f t="shared" si="45"/>
        <v>0.2599999999999999</v>
      </c>
      <c r="AY21" s="36">
        <f t="shared" si="46"/>
        <v>0.2599999999999999</v>
      </c>
      <c r="AZ21" s="32">
        <f t="shared" si="6"/>
        <v>2.0176639475975255</v>
      </c>
      <c r="BA21" s="40">
        <f t="shared" si="47"/>
        <v>2.0176639475975255</v>
      </c>
      <c r="BB21" s="32"/>
      <c r="BC21" s="32">
        <f t="shared" si="48"/>
        <v>0.2599999999999999</v>
      </c>
      <c r="BD21" s="32">
        <f t="shared" si="49"/>
        <v>0.2599999999999999</v>
      </c>
      <c r="BE21" s="32">
        <f t="shared" si="7"/>
        <v>2.0176639475975255</v>
      </c>
      <c r="BF21" s="40">
        <f t="shared" si="50"/>
        <v>2.0176639475975255</v>
      </c>
      <c r="BG21" s="32"/>
      <c r="BH21" s="32">
        <f t="shared" si="51"/>
        <v>0.2599999999999999</v>
      </c>
      <c r="BI21" s="36">
        <f t="shared" si="52"/>
        <v>0.2599999999999999</v>
      </c>
      <c r="BJ21" s="32">
        <f t="shared" si="8"/>
        <v>2.0176639475975255</v>
      </c>
      <c r="BK21" s="40">
        <f t="shared" si="53"/>
        <v>2.0176639475975255</v>
      </c>
      <c r="BL21" s="32"/>
      <c r="BM21" s="32">
        <f t="shared" si="54"/>
        <v>0.2599999999999999</v>
      </c>
      <c r="BN21" s="36">
        <f t="shared" si="55"/>
        <v>0.2599999999999999</v>
      </c>
      <c r="BO21" s="32">
        <f t="shared" si="9"/>
        <v>2.0176639475975255</v>
      </c>
      <c r="BP21" s="40">
        <f t="shared" si="56"/>
        <v>2.0176639475975255</v>
      </c>
      <c r="BQ21" s="32"/>
      <c r="BR21" s="32">
        <f t="shared" si="57"/>
        <v>0.2599999999999999</v>
      </c>
      <c r="BS21" s="32">
        <f t="shared" si="58"/>
        <v>0.2599999999999999</v>
      </c>
      <c r="BT21" s="32">
        <f t="shared" si="10"/>
        <v>2.0176639475975255</v>
      </c>
      <c r="BU21" s="40">
        <f t="shared" si="59"/>
        <v>2.0176639475975255</v>
      </c>
      <c r="BV21" s="32"/>
      <c r="BW21" s="32">
        <f t="shared" si="60"/>
        <v>0.2599999999999999</v>
      </c>
      <c r="BX21" s="36">
        <f t="shared" si="61"/>
        <v>0.2599999999999999</v>
      </c>
      <c r="BY21" s="32">
        <f t="shared" si="11"/>
        <v>2.0176639475975255</v>
      </c>
      <c r="BZ21" s="40">
        <f t="shared" si="62"/>
        <v>2.0176639475975255</v>
      </c>
      <c r="CA21" s="32"/>
      <c r="CB21" s="32">
        <f t="shared" si="63"/>
        <v>0.2599999999999999</v>
      </c>
      <c r="CC21" s="36">
        <f t="shared" si="64"/>
        <v>0.2599999999999999</v>
      </c>
      <c r="CD21" s="32">
        <f t="shared" si="12"/>
        <v>2.0176639475975255</v>
      </c>
      <c r="CE21" s="40">
        <f t="shared" si="65"/>
        <v>2.0176639475975255</v>
      </c>
      <c r="CF21" s="32"/>
      <c r="CG21" s="39">
        <f t="shared" si="66"/>
        <v>0.2599999999999999</v>
      </c>
      <c r="CH21" s="39">
        <f t="shared" si="67"/>
        <v>0.2599999999999999</v>
      </c>
      <c r="CI21" s="39">
        <f t="shared" si="13"/>
        <v>2.0176639475975255</v>
      </c>
      <c r="CJ21" s="40">
        <f t="shared" si="68"/>
        <v>2.0176639475975255</v>
      </c>
      <c r="CK21" s="39"/>
      <c r="CL21" s="32">
        <f t="shared" si="69"/>
        <v>0.2599999999999999</v>
      </c>
      <c r="CM21" s="36">
        <f t="shared" si="70"/>
        <v>0.2599999999999999</v>
      </c>
      <c r="CN21" s="32">
        <f t="shared" si="14"/>
        <v>2.0176639475975255</v>
      </c>
      <c r="CO21" s="40">
        <f t="shared" si="71"/>
        <v>2.0176639475975255</v>
      </c>
      <c r="CP21" s="32"/>
      <c r="CQ21" s="32">
        <f t="shared" si="72"/>
        <v>0.2599999999999999</v>
      </c>
      <c r="CR21" s="36">
        <f t="shared" si="73"/>
        <v>0.2599999999999999</v>
      </c>
      <c r="CS21" s="32">
        <f t="shared" si="15"/>
        <v>2.0176639475975255</v>
      </c>
      <c r="CT21" s="40">
        <f t="shared" si="74"/>
        <v>2.0176639475975255</v>
      </c>
      <c r="CU21" s="32"/>
      <c r="CV21" s="32">
        <f t="shared" si="75"/>
        <v>0.2599999999999999</v>
      </c>
      <c r="CW21" s="32">
        <f t="shared" si="76"/>
        <v>0.2599999999999999</v>
      </c>
      <c r="CX21" s="32">
        <f t="shared" si="16"/>
        <v>2.0176639475975255</v>
      </c>
      <c r="CY21" s="40">
        <f t="shared" si="77"/>
        <v>2.0176639475975255</v>
      </c>
      <c r="CZ21" s="32"/>
      <c r="DA21" s="32">
        <f t="shared" si="78"/>
        <v>0.2599999999999999</v>
      </c>
      <c r="DB21" s="36">
        <f t="shared" si="79"/>
        <v>0.2599999999999999</v>
      </c>
      <c r="DC21" s="32">
        <f t="shared" si="17"/>
        <v>2.0176639475975255</v>
      </c>
      <c r="DD21" s="40">
        <f t="shared" si="80"/>
        <v>2.0176639475975255</v>
      </c>
      <c r="DE21" s="32"/>
      <c r="DF21" s="32">
        <f t="shared" si="81"/>
        <v>0.2599999999999999</v>
      </c>
      <c r="DG21" s="36">
        <f t="shared" si="82"/>
        <v>0.2599999999999999</v>
      </c>
      <c r="DH21" s="32">
        <f t="shared" si="18"/>
        <v>2.0176639475975255</v>
      </c>
      <c r="DI21" s="40">
        <f t="shared" si="83"/>
        <v>2.0176639475975255</v>
      </c>
      <c r="DJ21" s="32"/>
      <c r="DK21" s="32">
        <f t="shared" si="84"/>
        <v>0.2599999999999999</v>
      </c>
      <c r="DL21" s="32">
        <f t="shared" si="85"/>
        <v>0.2599999999999999</v>
      </c>
      <c r="DM21" s="32">
        <f t="shared" si="19"/>
        <v>2.0176639475975255</v>
      </c>
      <c r="DN21" s="40">
        <f t="shared" si="86"/>
        <v>2.0176639475975255</v>
      </c>
      <c r="DO21" s="32"/>
      <c r="DP21" s="32">
        <f t="shared" si="87"/>
        <v>0.2599999999999999</v>
      </c>
      <c r="DQ21" s="36">
        <f t="shared" si="88"/>
        <v>0.2599999999999999</v>
      </c>
      <c r="DR21" s="32">
        <f t="shared" si="20"/>
        <v>2.0176639475975255</v>
      </c>
      <c r="DS21" s="40">
        <f t="shared" si="89"/>
        <v>2.0176639475975255</v>
      </c>
      <c r="DT21" s="32"/>
      <c r="DU21" s="32">
        <f t="shared" si="90"/>
        <v>0.2599999999999999</v>
      </c>
      <c r="DV21" s="36">
        <f t="shared" si="91"/>
        <v>0.2599999999999999</v>
      </c>
      <c r="DW21" s="32">
        <f t="shared" si="21"/>
        <v>2.0176639475975255</v>
      </c>
      <c r="DX21" s="40">
        <f t="shared" si="92"/>
        <v>2.0176639475975255</v>
      </c>
      <c r="DY21" s="32"/>
      <c r="DZ21" s="32">
        <f t="shared" si="93"/>
        <v>0.2599999999999999</v>
      </c>
      <c r="EA21" s="32">
        <f t="shared" si="94"/>
        <v>0.2599999999999999</v>
      </c>
      <c r="EB21" s="32">
        <f t="shared" si="22"/>
        <v>2.0176639475975255</v>
      </c>
      <c r="EC21" s="40">
        <f t="shared" si="95"/>
        <v>2.0176639475975255</v>
      </c>
      <c r="ED21" s="32"/>
      <c r="EE21" s="32">
        <f t="shared" si="96"/>
        <v>0.2599999999999999</v>
      </c>
      <c r="EF21" s="36">
        <f t="shared" si="97"/>
        <v>0.2599999999999999</v>
      </c>
      <c r="EG21" s="32">
        <f t="shared" si="23"/>
        <v>2.0176639475975255</v>
      </c>
      <c r="EH21" s="40">
        <f t="shared" si="98"/>
        <v>2.0176639475975255</v>
      </c>
      <c r="EI21" s="32"/>
      <c r="EJ21" s="32">
        <f t="shared" si="99"/>
        <v>0.2599999999999999</v>
      </c>
      <c r="EK21" s="36">
        <f t="shared" si="100"/>
        <v>0.2599999999999999</v>
      </c>
      <c r="EL21" s="32">
        <f t="shared" si="24"/>
        <v>2.0176639475975255</v>
      </c>
      <c r="EM21" s="40">
        <f t="shared" si="101"/>
        <v>2.0176639475975255</v>
      </c>
      <c r="EN21" s="32"/>
      <c r="EO21" s="32">
        <f t="shared" si="102"/>
        <v>0.2599999999999999</v>
      </c>
      <c r="EP21" s="32">
        <f t="shared" si="103"/>
        <v>0.2599999999999999</v>
      </c>
      <c r="EQ21" s="32">
        <f t="shared" si="25"/>
        <v>2.0176639475975255</v>
      </c>
      <c r="ER21" s="40">
        <f t="shared" si="104"/>
        <v>2.0176639475975255</v>
      </c>
      <c r="ES21" s="32"/>
      <c r="ET21" s="32">
        <f t="shared" si="105"/>
        <v>0.2599999999999999</v>
      </c>
      <c r="EU21" s="36">
        <f t="shared" si="106"/>
        <v>0.2599999999999999</v>
      </c>
      <c r="EV21" s="32">
        <f t="shared" si="26"/>
        <v>2.0176639475975255</v>
      </c>
      <c r="EW21" s="40">
        <f t="shared" si="107"/>
        <v>2.0176639475975255</v>
      </c>
      <c r="EX21" s="32"/>
    </row>
    <row r="22" spans="3:154" s="3" customFormat="1" x14ac:dyDescent="0.25">
      <c r="C22" s="23" t="s">
        <v>10</v>
      </c>
      <c r="D22" s="24"/>
      <c r="E22" s="24"/>
      <c r="F22" s="24"/>
      <c r="G22" s="25"/>
      <c r="H22" s="1"/>
      <c r="I22" s="1"/>
      <c r="J22" s="1"/>
      <c r="K22" s="1"/>
      <c r="L22" s="1"/>
      <c r="M22" s="1"/>
      <c r="N22" s="1"/>
      <c r="O22" s="1"/>
      <c r="P22" s="1"/>
      <c r="Q22" s="1"/>
      <c r="R22" s="1"/>
      <c r="S22" s="1"/>
      <c r="T22" s="32">
        <f t="shared" si="27"/>
        <v>0.27999999999999992</v>
      </c>
      <c r="U22" s="36">
        <f t="shared" si="28"/>
        <v>0.27999999999999992</v>
      </c>
      <c r="V22" s="32">
        <f t="shared" si="0"/>
        <v>2.1385246621639444</v>
      </c>
      <c r="W22" s="40">
        <f t="shared" si="29"/>
        <v>2.1385246621639444</v>
      </c>
      <c r="X22" s="32"/>
      <c r="Y22" s="32">
        <f t="shared" si="30"/>
        <v>0.27999999999999992</v>
      </c>
      <c r="Z22" s="32">
        <f t="shared" si="31"/>
        <v>0.27999999999999992</v>
      </c>
      <c r="AA22" s="32">
        <f t="shared" si="1"/>
        <v>2.1385246621639444</v>
      </c>
      <c r="AB22" s="40">
        <f t="shared" si="32"/>
        <v>2.1385246621639444</v>
      </c>
      <c r="AC22" s="32"/>
      <c r="AD22" s="32">
        <f t="shared" si="33"/>
        <v>0.27999999999999992</v>
      </c>
      <c r="AE22" s="36">
        <f t="shared" si="34"/>
        <v>0.27999999999999992</v>
      </c>
      <c r="AF22" s="32">
        <f t="shared" si="2"/>
        <v>2.1385246621639444</v>
      </c>
      <c r="AG22" s="40">
        <f t="shared" si="35"/>
        <v>2.1385246621639444</v>
      </c>
      <c r="AH22" s="32"/>
      <c r="AI22" s="32">
        <f t="shared" si="36"/>
        <v>0.27999999999999992</v>
      </c>
      <c r="AJ22" s="36">
        <f t="shared" si="37"/>
        <v>0.27999999999999992</v>
      </c>
      <c r="AK22" s="32">
        <f t="shared" si="3"/>
        <v>2.1385246621639444</v>
      </c>
      <c r="AL22" s="40">
        <f t="shared" si="38"/>
        <v>2.1385246621639444</v>
      </c>
      <c r="AM22" s="32"/>
      <c r="AN22" s="32">
        <f t="shared" si="39"/>
        <v>0.27999999999999992</v>
      </c>
      <c r="AO22" s="32">
        <f t="shared" si="40"/>
        <v>0.27999999999999992</v>
      </c>
      <c r="AP22" s="32">
        <f t="shared" si="4"/>
        <v>2.1385246621639444</v>
      </c>
      <c r="AQ22" s="40">
        <f t="shared" si="41"/>
        <v>2.1385246621639444</v>
      </c>
      <c r="AR22" s="32"/>
      <c r="AS22" s="32">
        <f t="shared" si="42"/>
        <v>0.27999999999999992</v>
      </c>
      <c r="AT22" s="36">
        <f t="shared" si="43"/>
        <v>0.27999999999999992</v>
      </c>
      <c r="AU22" s="32">
        <f t="shared" si="5"/>
        <v>2.1385246621639444</v>
      </c>
      <c r="AV22" s="40">
        <f t="shared" si="44"/>
        <v>2.1385246621639444</v>
      </c>
      <c r="AW22" s="32"/>
      <c r="AX22" s="32">
        <f t="shared" si="45"/>
        <v>0.27999999999999992</v>
      </c>
      <c r="AY22" s="36">
        <f t="shared" si="46"/>
        <v>0.27999999999999992</v>
      </c>
      <c r="AZ22" s="32">
        <f t="shared" si="6"/>
        <v>2.1385246621639444</v>
      </c>
      <c r="BA22" s="40">
        <f t="shared" si="47"/>
        <v>2.1385246621639444</v>
      </c>
      <c r="BB22" s="32"/>
      <c r="BC22" s="32">
        <f t="shared" si="48"/>
        <v>0.27999999999999992</v>
      </c>
      <c r="BD22" s="32">
        <f t="shared" si="49"/>
        <v>0.27999999999999992</v>
      </c>
      <c r="BE22" s="32">
        <f t="shared" si="7"/>
        <v>2.1385246621639444</v>
      </c>
      <c r="BF22" s="40">
        <f t="shared" si="50"/>
        <v>2.1385246621639444</v>
      </c>
      <c r="BG22" s="32"/>
      <c r="BH22" s="32">
        <f t="shared" si="51"/>
        <v>0.27999999999999992</v>
      </c>
      <c r="BI22" s="36">
        <f t="shared" si="52"/>
        <v>0.27999999999999992</v>
      </c>
      <c r="BJ22" s="32">
        <f t="shared" si="8"/>
        <v>2.1385246621639444</v>
      </c>
      <c r="BK22" s="40">
        <f t="shared" si="53"/>
        <v>2.1385246621639444</v>
      </c>
      <c r="BL22" s="32"/>
      <c r="BM22" s="32">
        <f t="shared" si="54"/>
        <v>0.27999999999999992</v>
      </c>
      <c r="BN22" s="36">
        <f t="shared" si="55"/>
        <v>0.27999999999999992</v>
      </c>
      <c r="BO22" s="32">
        <f t="shared" si="9"/>
        <v>2.1385246621639444</v>
      </c>
      <c r="BP22" s="40">
        <f t="shared" si="56"/>
        <v>2.1385246621639444</v>
      </c>
      <c r="BQ22" s="32"/>
      <c r="BR22" s="32">
        <f t="shared" si="57"/>
        <v>0.27999999999999992</v>
      </c>
      <c r="BS22" s="32">
        <f t="shared" si="58"/>
        <v>0.27999999999999992</v>
      </c>
      <c r="BT22" s="32">
        <f t="shared" si="10"/>
        <v>2.1385246621639444</v>
      </c>
      <c r="BU22" s="40">
        <f t="shared" si="59"/>
        <v>2.1385246621639444</v>
      </c>
      <c r="BV22" s="32"/>
      <c r="BW22" s="32">
        <f t="shared" si="60"/>
        <v>0.27999999999999992</v>
      </c>
      <c r="BX22" s="36">
        <f t="shared" si="61"/>
        <v>0.27999999999999992</v>
      </c>
      <c r="BY22" s="32">
        <f t="shared" si="11"/>
        <v>2.1385246621639444</v>
      </c>
      <c r="BZ22" s="40">
        <f t="shared" si="62"/>
        <v>2.1385246621639444</v>
      </c>
      <c r="CA22" s="32"/>
      <c r="CB22" s="32">
        <f t="shared" si="63"/>
        <v>0.27999999999999992</v>
      </c>
      <c r="CC22" s="36">
        <f t="shared" si="64"/>
        <v>0.27999999999999992</v>
      </c>
      <c r="CD22" s="32">
        <f t="shared" si="12"/>
        <v>2.1385246621639444</v>
      </c>
      <c r="CE22" s="40">
        <f t="shared" si="65"/>
        <v>2.1385246621639444</v>
      </c>
      <c r="CF22" s="32"/>
      <c r="CG22" s="39">
        <f t="shared" si="66"/>
        <v>0.27999999999999992</v>
      </c>
      <c r="CH22" s="39">
        <f t="shared" si="67"/>
        <v>0.27999999999999992</v>
      </c>
      <c r="CI22" s="39">
        <f t="shared" si="13"/>
        <v>2.1385246621639444</v>
      </c>
      <c r="CJ22" s="40">
        <f t="shared" si="68"/>
        <v>2.1385246621639444</v>
      </c>
      <c r="CK22" s="39"/>
      <c r="CL22" s="32">
        <f t="shared" si="69"/>
        <v>0.27999999999999992</v>
      </c>
      <c r="CM22" s="36">
        <f t="shared" si="70"/>
        <v>0.27999999999999992</v>
      </c>
      <c r="CN22" s="32">
        <f t="shared" si="14"/>
        <v>2.1385246621639444</v>
      </c>
      <c r="CO22" s="40">
        <f t="shared" si="71"/>
        <v>2.1385246621639444</v>
      </c>
      <c r="CP22" s="32"/>
      <c r="CQ22" s="32">
        <f t="shared" si="72"/>
        <v>0.27999999999999992</v>
      </c>
      <c r="CR22" s="36">
        <f t="shared" si="73"/>
        <v>0.27999999999999992</v>
      </c>
      <c r="CS22" s="32">
        <f t="shared" si="15"/>
        <v>2.1385246621639444</v>
      </c>
      <c r="CT22" s="40">
        <f t="shared" si="74"/>
        <v>2.1385246621639444</v>
      </c>
      <c r="CU22" s="32"/>
      <c r="CV22" s="32">
        <f t="shared" si="75"/>
        <v>0.27999999999999992</v>
      </c>
      <c r="CW22" s="32">
        <f t="shared" si="76"/>
        <v>0.27999999999999992</v>
      </c>
      <c r="CX22" s="32">
        <f t="shared" si="16"/>
        <v>2.1385246621639444</v>
      </c>
      <c r="CY22" s="40">
        <f t="shared" si="77"/>
        <v>2.1385246621639444</v>
      </c>
      <c r="CZ22" s="32"/>
      <c r="DA22" s="32">
        <f t="shared" si="78"/>
        <v>0.27999999999999992</v>
      </c>
      <c r="DB22" s="36">
        <f t="shared" si="79"/>
        <v>0.27999999999999992</v>
      </c>
      <c r="DC22" s="32">
        <f t="shared" si="17"/>
        <v>2.1385246621639444</v>
      </c>
      <c r="DD22" s="40">
        <f t="shared" si="80"/>
        <v>2.1385246621639444</v>
      </c>
      <c r="DE22" s="32"/>
      <c r="DF22" s="32">
        <f t="shared" si="81"/>
        <v>0.27999999999999992</v>
      </c>
      <c r="DG22" s="36">
        <f t="shared" si="82"/>
        <v>0.27999999999999992</v>
      </c>
      <c r="DH22" s="32">
        <f t="shared" si="18"/>
        <v>2.1385246621639444</v>
      </c>
      <c r="DI22" s="40">
        <f t="shared" si="83"/>
        <v>2.1385246621639444</v>
      </c>
      <c r="DJ22" s="32"/>
      <c r="DK22" s="32">
        <f t="shared" si="84"/>
        <v>0.27999999999999992</v>
      </c>
      <c r="DL22" s="32">
        <f t="shared" si="85"/>
        <v>0.27999999999999992</v>
      </c>
      <c r="DM22" s="32">
        <f t="shared" si="19"/>
        <v>2.1385246621639444</v>
      </c>
      <c r="DN22" s="40">
        <f t="shared" si="86"/>
        <v>2.1385246621639444</v>
      </c>
      <c r="DO22" s="32"/>
      <c r="DP22" s="32">
        <f t="shared" si="87"/>
        <v>0.27999999999999992</v>
      </c>
      <c r="DQ22" s="36">
        <f t="shared" si="88"/>
        <v>0.27999999999999992</v>
      </c>
      <c r="DR22" s="32">
        <f t="shared" si="20"/>
        <v>2.1385246621639444</v>
      </c>
      <c r="DS22" s="40">
        <f t="shared" si="89"/>
        <v>2.1385246621639444</v>
      </c>
      <c r="DT22" s="32"/>
      <c r="DU22" s="32">
        <f t="shared" si="90"/>
        <v>0.27999999999999992</v>
      </c>
      <c r="DV22" s="36">
        <f t="shared" si="91"/>
        <v>0.27999999999999992</v>
      </c>
      <c r="DW22" s="32">
        <f t="shared" si="21"/>
        <v>2.1385246621639444</v>
      </c>
      <c r="DX22" s="40">
        <f t="shared" si="92"/>
        <v>2.1385246621639444</v>
      </c>
      <c r="DY22" s="32"/>
      <c r="DZ22" s="32">
        <f t="shared" si="93"/>
        <v>0.27999999999999992</v>
      </c>
      <c r="EA22" s="32">
        <f t="shared" si="94"/>
        <v>0.27999999999999992</v>
      </c>
      <c r="EB22" s="32">
        <f t="shared" si="22"/>
        <v>2.1385246621639444</v>
      </c>
      <c r="EC22" s="40">
        <f t="shared" si="95"/>
        <v>2.1385246621639444</v>
      </c>
      <c r="ED22" s="32"/>
      <c r="EE22" s="32">
        <f t="shared" si="96"/>
        <v>0.27999999999999992</v>
      </c>
      <c r="EF22" s="36">
        <f t="shared" si="97"/>
        <v>0.27999999999999992</v>
      </c>
      <c r="EG22" s="32">
        <f t="shared" si="23"/>
        <v>2.1385246621639444</v>
      </c>
      <c r="EH22" s="40">
        <f t="shared" si="98"/>
        <v>2.1385246621639444</v>
      </c>
      <c r="EI22" s="32"/>
      <c r="EJ22" s="32">
        <f t="shared" si="99"/>
        <v>0.27999999999999992</v>
      </c>
      <c r="EK22" s="36">
        <f t="shared" si="100"/>
        <v>0.27999999999999992</v>
      </c>
      <c r="EL22" s="32">
        <f t="shared" si="24"/>
        <v>2.1385246621639444</v>
      </c>
      <c r="EM22" s="40">
        <f t="shared" si="101"/>
        <v>2.1385246621639444</v>
      </c>
      <c r="EN22" s="32"/>
      <c r="EO22" s="32">
        <f t="shared" si="102"/>
        <v>0.27999999999999992</v>
      </c>
      <c r="EP22" s="32">
        <f t="shared" si="103"/>
        <v>0.27999999999999992</v>
      </c>
      <c r="EQ22" s="32">
        <f t="shared" si="25"/>
        <v>2.1385246621639444</v>
      </c>
      <c r="ER22" s="40">
        <f t="shared" si="104"/>
        <v>2.1385246621639444</v>
      </c>
      <c r="ES22" s="32"/>
      <c r="ET22" s="32">
        <f t="shared" si="105"/>
        <v>0.27999999999999992</v>
      </c>
      <c r="EU22" s="36">
        <f t="shared" si="106"/>
        <v>0.27999999999999992</v>
      </c>
      <c r="EV22" s="32">
        <f t="shared" si="26"/>
        <v>2.1385246621639444</v>
      </c>
      <c r="EW22" s="40">
        <f t="shared" si="107"/>
        <v>2.1385246621639444</v>
      </c>
      <c r="EX22" s="32"/>
    </row>
    <row r="23" spans="3:154" s="3" customFormat="1" x14ac:dyDescent="0.25">
      <c r="C23" s="26"/>
      <c r="D23" s="27"/>
      <c r="E23" s="27"/>
      <c r="F23" s="27"/>
      <c r="G23" s="28"/>
      <c r="H23" s="1"/>
      <c r="I23" s="1"/>
      <c r="J23" s="1"/>
      <c r="K23" s="1"/>
      <c r="L23" s="1"/>
      <c r="M23" s="1"/>
      <c r="N23" s="1"/>
      <c r="O23" s="1"/>
      <c r="P23" s="1"/>
      <c r="Q23" s="1"/>
      <c r="R23" s="1"/>
      <c r="S23" s="1"/>
      <c r="T23" s="32">
        <f t="shared" si="27"/>
        <v>0.29999999999999993</v>
      </c>
      <c r="U23" s="36">
        <f t="shared" si="28"/>
        <v>0.29999999999999993</v>
      </c>
      <c r="V23" s="32">
        <f t="shared" si="0"/>
        <v>2.2566768640025159</v>
      </c>
      <c r="W23" s="40">
        <f t="shared" si="29"/>
        <v>2.2566768640025159</v>
      </c>
      <c r="X23" s="32"/>
      <c r="Y23" s="32">
        <f t="shared" si="30"/>
        <v>0.29999999999999993</v>
      </c>
      <c r="Z23" s="32">
        <f t="shared" si="31"/>
        <v>0.29999999999999993</v>
      </c>
      <c r="AA23" s="32">
        <f t="shared" si="1"/>
        <v>2.2566768640025159</v>
      </c>
      <c r="AB23" s="40">
        <f t="shared" si="32"/>
        <v>2.2566768640025159</v>
      </c>
      <c r="AC23" s="32"/>
      <c r="AD23" s="32">
        <f t="shared" si="33"/>
        <v>0.29999999999999993</v>
      </c>
      <c r="AE23" s="36">
        <f t="shared" si="34"/>
        <v>0.29999999999999993</v>
      </c>
      <c r="AF23" s="32">
        <f t="shared" si="2"/>
        <v>2.2566768640025159</v>
      </c>
      <c r="AG23" s="40">
        <f t="shared" si="35"/>
        <v>2.2566768640025159</v>
      </c>
      <c r="AH23" s="32"/>
      <c r="AI23" s="32">
        <f t="shared" si="36"/>
        <v>0.29999999999999993</v>
      </c>
      <c r="AJ23" s="36">
        <f t="shared" si="37"/>
        <v>0.29999999999999993</v>
      </c>
      <c r="AK23" s="32">
        <f t="shared" si="3"/>
        <v>2.2566768640025159</v>
      </c>
      <c r="AL23" s="40">
        <f t="shared" si="38"/>
        <v>2.2566768640025159</v>
      </c>
      <c r="AM23" s="32"/>
      <c r="AN23" s="32">
        <f t="shared" si="39"/>
        <v>0.29999999999999993</v>
      </c>
      <c r="AO23" s="32">
        <f t="shared" si="40"/>
        <v>0.29999999999999993</v>
      </c>
      <c r="AP23" s="32">
        <f t="shared" si="4"/>
        <v>2.2566768640025159</v>
      </c>
      <c r="AQ23" s="40">
        <f t="shared" si="41"/>
        <v>2.2566768640025159</v>
      </c>
      <c r="AR23" s="32"/>
      <c r="AS23" s="32">
        <f t="shared" si="42"/>
        <v>0.29999999999999993</v>
      </c>
      <c r="AT23" s="36">
        <f t="shared" si="43"/>
        <v>0.29999999999999993</v>
      </c>
      <c r="AU23" s="32">
        <f t="shared" si="5"/>
        <v>2.2566768640025159</v>
      </c>
      <c r="AV23" s="40">
        <f t="shared" si="44"/>
        <v>2.2566768640025159</v>
      </c>
      <c r="AW23" s="32"/>
      <c r="AX23" s="32">
        <f t="shared" si="45"/>
        <v>0.29999999999999993</v>
      </c>
      <c r="AY23" s="36">
        <f t="shared" si="46"/>
        <v>0.29999999999999993</v>
      </c>
      <c r="AZ23" s="32">
        <f t="shared" si="6"/>
        <v>2.2566768640025159</v>
      </c>
      <c r="BA23" s="40">
        <f t="shared" si="47"/>
        <v>2.2566768640025159</v>
      </c>
      <c r="BB23" s="32"/>
      <c r="BC23" s="32">
        <f t="shared" si="48"/>
        <v>0.29999999999999993</v>
      </c>
      <c r="BD23" s="32">
        <f t="shared" si="49"/>
        <v>0.29999999999999993</v>
      </c>
      <c r="BE23" s="32">
        <f t="shared" si="7"/>
        <v>2.2566768640025159</v>
      </c>
      <c r="BF23" s="40">
        <f t="shared" si="50"/>
        <v>2.2566768640025159</v>
      </c>
      <c r="BG23" s="32"/>
      <c r="BH23" s="32">
        <f t="shared" si="51"/>
        <v>0.29999999999999993</v>
      </c>
      <c r="BI23" s="36">
        <f t="shared" si="52"/>
        <v>0.29999999999999993</v>
      </c>
      <c r="BJ23" s="32">
        <f t="shared" si="8"/>
        <v>2.2566768640025159</v>
      </c>
      <c r="BK23" s="40">
        <f t="shared" si="53"/>
        <v>2.2566768640025159</v>
      </c>
      <c r="BL23" s="32"/>
      <c r="BM23" s="32">
        <f t="shared" si="54"/>
        <v>0.29999999999999993</v>
      </c>
      <c r="BN23" s="36">
        <f t="shared" si="55"/>
        <v>0.29999999999999993</v>
      </c>
      <c r="BO23" s="32">
        <f t="shared" si="9"/>
        <v>2.2566768640025159</v>
      </c>
      <c r="BP23" s="40">
        <f t="shared" si="56"/>
        <v>2.2566768640025159</v>
      </c>
      <c r="BQ23" s="32"/>
      <c r="BR23" s="32">
        <f t="shared" si="57"/>
        <v>0.29999999999999993</v>
      </c>
      <c r="BS23" s="32">
        <f t="shared" si="58"/>
        <v>0.29999999999999993</v>
      </c>
      <c r="BT23" s="32">
        <f t="shared" si="10"/>
        <v>2.2566768640025159</v>
      </c>
      <c r="BU23" s="40">
        <f t="shared" si="59"/>
        <v>2.2566768640025159</v>
      </c>
      <c r="BV23" s="32"/>
      <c r="BW23" s="32">
        <f t="shared" si="60"/>
        <v>0.29999999999999993</v>
      </c>
      <c r="BX23" s="36">
        <f t="shared" si="61"/>
        <v>0.29999999999999993</v>
      </c>
      <c r="BY23" s="32">
        <f t="shared" si="11"/>
        <v>2.2566768640025159</v>
      </c>
      <c r="BZ23" s="40">
        <f t="shared" si="62"/>
        <v>2.2566768640025159</v>
      </c>
      <c r="CA23" s="32"/>
      <c r="CB23" s="32">
        <f t="shared" si="63"/>
        <v>0.29999999999999993</v>
      </c>
      <c r="CC23" s="36">
        <f t="shared" si="64"/>
        <v>0.29999999999999993</v>
      </c>
      <c r="CD23" s="32">
        <f t="shared" si="12"/>
        <v>2.2566768640025159</v>
      </c>
      <c r="CE23" s="40">
        <f t="shared" si="65"/>
        <v>2.2566768640025159</v>
      </c>
      <c r="CF23" s="32"/>
      <c r="CG23" s="39">
        <f t="shared" si="66"/>
        <v>0.29999999999999993</v>
      </c>
      <c r="CH23" s="39">
        <f t="shared" si="67"/>
        <v>0.29999999999999993</v>
      </c>
      <c r="CI23" s="39">
        <f t="shared" si="13"/>
        <v>2.2566768640025159</v>
      </c>
      <c r="CJ23" s="40">
        <f t="shared" si="68"/>
        <v>2.2566768640025159</v>
      </c>
      <c r="CK23" s="39"/>
      <c r="CL23" s="32">
        <f t="shared" si="69"/>
        <v>0.29999999999999993</v>
      </c>
      <c r="CM23" s="36">
        <f t="shared" si="70"/>
        <v>0.29999999999999993</v>
      </c>
      <c r="CN23" s="32">
        <f t="shared" si="14"/>
        <v>2.2566768640025159</v>
      </c>
      <c r="CO23" s="40">
        <f t="shared" si="71"/>
        <v>2.2566768640025159</v>
      </c>
      <c r="CP23" s="32"/>
      <c r="CQ23" s="32">
        <f t="shared" si="72"/>
        <v>0.29999999999999993</v>
      </c>
      <c r="CR23" s="36">
        <f t="shared" si="73"/>
        <v>0.29999999999999993</v>
      </c>
      <c r="CS23" s="32">
        <f t="shared" si="15"/>
        <v>2.2566768640025159</v>
      </c>
      <c r="CT23" s="40">
        <f t="shared" si="74"/>
        <v>2.2566768640025159</v>
      </c>
      <c r="CU23" s="32"/>
      <c r="CV23" s="32">
        <f t="shared" si="75"/>
        <v>0.29999999999999993</v>
      </c>
      <c r="CW23" s="32">
        <f t="shared" si="76"/>
        <v>0.29999999999999993</v>
      </c>
      <c r="CX23" s="32">
        <f t="shared" si="16"/>
        <v>2.2566768640025159</v>
      </c>
      <c r="CY23" s="40">
        <f t="shared" si="77"/>
        <v>2.2566768640025159</v>
      </c>
      <c r="CZ23" s="32"/>
      <c r="DA23" s="32">
        <f t="shared" si="78"/>
        <v>0.29999999999999993</v>
      </c>
      <c r="DB23" s="36">
        <f t="shared" si="79"/>
        <v>0.29999999999999993</v>
      </c>
      <c r="DC23" s="32">
        <f t="shared" si="17"/>
        <v>2.2566768640025159</v>
      </c>
      <c r="DD23" s="40">
        <f t="shared" si="80"/>
        <v>2.2566768640025159</v>
      </c>
      <c r="DE23" s="32"/>
      <c r="DF23" s="32">
        <f t="shared" si="81"/>
        <v>0.29999999999999993</v>
      </c>
      <c r="DG23" s="36">
        <f t="shared" si="82"/>
        <v>0.29999999999999993</v>
      </c>
      <c r="DH23" s="32">
        <f t="shared" si="18"/>
        <v>2.2566768640025159</v>
      </c>
      <c r="DI23" s="40">
        <f t="shared" si="83"/>
        <v>2.2566768640025159</v>
      </c>
      <c r="DJ23" s="32"/>
      <c r="DK23" s="32">
        <f t="shared" si="84"/>
        <v>0.29999999999999993</v>
      </c>
      <c r="DL23" s="32">
        <f t="shared" si="85"/>
        <v>0.29999999999999993</v>
      </c>
      <c r="DM23" s="32">
        <f t="shared" si="19"/>
        <v>2.2566768640025159</v>
      </c>
      <c r="DN23" s="40">
        <f t="shared" si="86"/>
        <v>2.2566768640025159</v>
      </c>
      <c r="DO23" s="32"/>
      <c r="DP23" s="32">
        <f t="shared" si="87"/>
        <v>0.29999999999999993</v>
      </c>
      <c r="DQ23" s="36">
        <f t="shared" si="88"/>
        <v>0.29999999999999993</v>
      </c>
      <c r="DR23" s="32">
        <f t="shared" si="20"/>
        <v>2.2566768640025159</v>
      </c>
      <c r="DS23" s="40">
        <f t="shared" si="89"/>
        <v>2.2566768640025159</v>
      </c>
      <c r="DT23" s="32"/>
      <c r="DU23" s="32">
        <f t="shared" si="90"/>
        <v>0.29999999999999993</v>
      </c>
      <c r="DV23" s="36">
        <f t="shared" si="91"/>
        <v>0.29999999999999993</v>
      </c>
      <c r="DW23" s="32">
        <f t="shared" si="21"/>
        <v>2.2566768640025159</v>
      </c>
      <c r="DX23" s="40">
        <f t="shared" si="92"/>
        <v>2.2566768640025159</v>
      </c>
      <c r="DY23" s="32"/>
      <c r="DZ23" s="32">
        <f t="shared" si="93"/>
        <v>0.29999999999999993</v>
      </c>
      <c r="EA23" s="32">
        <f t="shared" si="94"/>
        <v>0.29999999999999993</v>
      </c>
      <c r="EB23" s="32">
        <f t="shared" si="22"/>
        <v>2.2566768640025159</v>
      </c>
      <c r="EC23" s="40">
        <f t="shared" si="95"/>
        <v>2.2566768640025159</v>
      </c>
      <c r="ED23" s="32"/>
      <c r="EE23" s="32">
        <f t="shared" si="96"/>
        <v>0.29999999999999993</v>
      </c>
      <c r="EF23" s="36">
        <f t="shared" si="97"/>
        <v>0.29999999999999993</v>
      </c>
      <c r="EG23" s="32">
        <f t="shared" si="23"/>
        <v>2.2566768640025159</v>
      </c>
      <c r="EH23" s="40">
        <f t="shared" si="98"/>
        <v>2.2566768640025159</v>
      </c>
      <c r="EI23" s="32"/>
      <c r="EJ23" s="32">
        <f t="shared" si="99"/>
        <v>0.29999999999999993</v>
      </c>
      <c r="EK23" s="36">
        <f t="shared" si="100"/>
        <v>0.29999999999999993</v>
      </c>
      <c r="EL23" s="32">
        <f t="shared" si="24"/>
        <v>2.2566768640025159</v>
      </c>
      <c r="EM23" s="40">
        <f t="shared" si="101"/>
        <v>2.2566768640025159</v>
      </c>
      <c r="EN23" s="32"/>
      <c r="EO23" s="32">
        <f t="shared" si="102"/>
        <v>0.29999999999999993</v>
      </c>
      <c r="EP23" s="32">
        <f t="shared" si="103"/>
        <v>0.29999999999999993</v>
      </c>
      <c r="EQ23" s="32">
        <f t="shared" si="25"/>
        <v>2.2566768640025159</v>
      </c>
      <c r="ER23" s="40">
        <f t="shared" si="104"/>
        <v>2.2566768640025159</v>
      </c>
      <c r="ES23" s="32"/>
      <c r="ET23" s="32">
        <f t="shared" si="105"/>
        <v>0.29999999999999993</v>
      </c>
      <c r="EU23" s="36">
        <f t="shared" si="106"/>
        <v>0.29999999999999993</v>
      </c>
      <c r="EV23" s="32">
        <f t="shared" si="26"/>
        <v>2.2566768640025159</v>
      </c>
      <c r="EW23" s="40">
        <f t="shared" si="107"/>
        <v>2.2566768640025159</v>
      </c>
      <c r="EX23" s="32"/>
    </row>
    <row r="24" spans="3:154" s="3" customFormat="1" x14ac:dyDescent="0.25">
      <c r="C24" s="29"/>
      <c r="D24" s="30"/>
      <c r="E24" s="30"/>
      <c r="F24" s="30"/>
      <c r="G24" s="31"/>
      <c r="H24" s="1"/>
      <c r="I24" s="1"/>
      <c r="J24" s="1"/>
      <c r="K24" s="1"/>
      <c r="L24" s="1"/>
      <c r="M24" s="1"/>
      <c r="N24" s="1"/>
      <c r="O24" s="1"/>
      <c r="P24" s="1"/>
      <c r="Q24" s="1"/>
      <c r="R24" s="1"/>
      <c r="S24" s="1"/>
      <c r="T24" s="32">
        <f t="shared" si="27"/>
        <v>0.31999999999999995</v>
      </c>
      <c r="U24" s="36">
        <f t="shared" si="28"/>
        <v>0.31999999999999995</v>
      </c>
      <c r="V24" s="32">
        <f t="shared" si="0"/>
        <v>2.3721205531132403</v>
      </c>
      <c r="W24" s="40">
        <f t="shared" si="29"/>
        <v>2.3721205531132403</v>
      </c>
      <c r="X24" s="32"/>
      <c r="Y24" s="32">
        <f t="shared" si="30"/>
        <v>0.31999999999999995</v>
      </c>
      <c r="Z24" s="32">
        <f t="shared" si="31"/>
        <v>0.31999999999999995</v>
      </c>
      <c r="AA24" s="32">
        <f t="shared" si="1"/>
        <v>2.3721205531132403</v>
      </c>
      <c r="AB24" s="40">
        <f t="shared" si="32"/>
        <v>2.3721205531132403</v>
      </c>
      <c r="AC24" s="32"/>
      <c r="AD24" s="32">
        <f t="shared" si="33"/>
        <v>0.31999999999999995</v>
      </c>
      <c r="AE24" s="36">
        <f t="shared" si="34"/>
        <v>0.31999999999999995</v>
      </c>
      <c r="AF24" s="32">
        <f t="shared" si="2"/>
        <v>2.3721205531132403</v>
      </c>
      <c r="AG24" s="40">
        <f t="shared" si="35"/>
        <v>2.3721205531132403</v>
      </c>
      <c r="AH24" s="32"/>
      <c r="AI24" s="32">
        <f t="shared" si="36"/>
        <v>0.31999999999999995</v>
      </c>
      <c r="AJ24" s="36">
        <f t="shared" si="37"/>
        <v>0.31999999999999995</v>
      </c>
      <c r="AK24" s="32">
        <f t="shared" si="3"/>
        <v>2.3721205531132403</v>
      </c>
      <c r="AL24" s="40">
        <f t="shared" si="38"/>
        <v>2.3721205531132403</v>
      </c>
      <c r="AM24" s="32"/>
      <c r="AN24" s="32">
        <f t="shared" si="39"/>
        <v>0.31999999999999995</v>
      </c>
      <c r="AO24" s="32">
        <f t="shared" si="40"/>
        <v>0.31999999999999995</v>
      </c>
      <c r="AP24" s="32">
        <f t="shared" si="4"/>
        <v>2.3721205531132403</v>
      </c>
      <c r="AQ24" s="40">
        <f t="shared" si="41"/>
        <v>2.3721205531132403</v>
      </c>
      <c r="AR24" s="32"/>
      <c r="AS24" s="32">
        <f t="shared" si="42"/>
        <v>0.31999999999999995</v>
      </c>
      <c r="AT24" s="36">
        <f t="shared" si="43"/>
        <v>0.31999999999999995</v>
      </c>
      <c r="AU24" s="32">
        <f t="shared" si="5"/>
        <v>2.3721205531132403</v>
      </c>
      <c r="AV24" s="40">
        <f t="shared" si="44"/>
        <v>2.3721205531132403</v>
      </c>
      <c r="AW24" s="32"/>
      <c r="AX24" s="32">
        <f t="shared" si="45"/>
        <v>0.31999999999999995</v>
      </c>
      <c r="AY24" s="36">
        <f t="shared" si="46"/>
        <v>0.31999999999999995</v>
      </c>
      <c r="AZ24" s="32">
        <f t="shared" si="6"/>
        <v>2.3721205531132403</v>
      </c>
      <c r="BA24" s="40">
        <f t="shared" si="47"/>
        <v>2.3721205531132403</v>
      </c>
      <c r="BB24" s="32"/>
      <c r="BC24" s="32">
        <f t="shared" si="48"/>
        <v>0.31999999999999995</v>
      </c>
      <c r="BD24" s="32">
        <f t="shared" si="49"/>
        <v>0.31999999999999995</v>
      </c>
      <c r="BE24" s="32">
        <f t="shared" si="7"/>
        <v>2.3721205531132403</v>
      </c>
      <c r="BF24" s="40">
        <f t="shared" si="50"/>
        <v>2.3721205531132403</v>
      </c>
      <c r="BG24" s="32"/>
      <c r="BH24" s="32">
        <f t="shared" si="51"/>
        <v>0.31999999999999995</v>
      </c>
      <c r="BI24" s="36">
        <f t="shared" si="52"/>
        <v>0.31999999999999995</v>
      </c>
      <c r="BJ24" s="32">
        <f t="shared" si="8"/>
        <v>2.3721205531132403</v>
      </c>
      <c r="BK24" s="40">
        <f t="shared" si="53"/>
        <v>2.3721205531132403</v>
      </c>
      <c r="BL24" s="32"/>
      <c r="BM24" s="32">
        <f t="shared" si="54"/>
        <v>0.31999999999999995</v>
      </c>
      <c r="BN24" s="36">
        <f t="shared" si="55"/>
        <v>0.31999999999999995</v>
      </c>
      <c r="BO24" s="32">
        <f t="shared" si="9"/>
        <v>2.3721205531132403</v>
      </c>
      <c r="BP24" s="40">
        <f t="shared" si="56"/>
        <v>2.3721205531132403</v>
      </c>
      <c r="BQ24" s="32"/>
      <c r="BR24" s="32">
        <f t="shared" si="57"/>
        <v>0.31999999999999995</v>
      </c>
      <c r="BS24" s="32">
        <f t="shared" si="58"/>
        <v>0.31999999999999995</v>
      </c>
      <c r="BT24" s="32">
        <f t="shared" si="10"/>
        <v>2.3721205531132403</v>
      </c>
      <c r="BU24" s="40">
        <f t="shared" si="59"/>
        <v>2.3721205531132403</v>
      </c>
      <c r="BV24" s="32"/>
      <c r="BW24" s="32">
        <f t="shared" si="60"/>
        <v>0.31999999999999995</v>
      </c>
      <c r="BX24" s="36">
        <f t="shared" si="61"/>
        <v>0.31999999999999995</v>
      </c>
      <c r="BY24" s="32">
        <f t="shared" si="11"/>
        <v>2.3721205531132403</v>
      </c>
      <c r="BZ24" s="40">
        <f t="shared" si="62"/>
        <v>2.3721205531132403</v>
      </c>
      <c r="CA24" s="32"/>
      <c r="CB24" s="32">
        <f t="shared" si="63"/>
        <v>0.31999999999999995</v>
      </c>
      <c r="CC24" s="36">
        <f t="shared" si="64"/>
        <v>0.31999999999999995</v>
      </c>
      <c r="CD24" s="32">
        <f t="shared" si="12"/>
        <v>2.3721205531132403</v>
      </c>
      <c r="CE24" s="40">
        <f t="shared" si="65"/>
        <v>2.3721205531132403</v>
      </c>
      <c r="CF24" s="32"/>
      <c r="CG24" s="39">
        <f t="shared" si="66"/>
        <v>0.31999999999999995</v>
      </c>
      <c r="CH24" s="39">
        <f t="shared" si="67"/>
        <v>0.31999999999999995</v>
      </c>
      <c r="CI24" s="39">
        <f t="shared" si="13"/>
        <v>2.3721205531132403</v>
      </c>
      <c r="CJ24" s="40">
        <f t="shared" si="68"/>
        <v>2.3721205531132403</v>
      </c>
      <c r="CK24" s="39"/>
      <c r="CL24" s="32">
        <f t="shared" si="69"/>
        <v>0.31999999999999995</v>
      </c>
      <c r="CM24" s="36">
        <f t="shared" si="70"/>
        <v>0.31999999999999995</v>
      </c>
      <c r="CN24" s="32">
        <f t="shared" si="14"/>
        <v>2.3721205531132403</v>
      </c>
      <c r="CO24" s="40">
        <f t="shared" si="71"/>
        <v>2.3721205531132403</v>
      </c>
      <c r="CP24" s="32"/>
      <c r="CQ24" s="32">
        <f t="shared" si="72"/>
        <v>0.31999999999999995</v>
      </c>
      <c r="CR24" s="36">
        <f t="shared" si="73"/>
        <v>0.31999999999999995</v>
      </c>
      <c r="CS24" s="32">
        <f t="shared" si="15"/>
        <v>2.3721205531132403</v>
      </c>
      <c r="CT24" s="40">
        <f t="shared" si="74"/>
        <v>2.3721205531132403</v>
      </c>
      <c r="CU24" s="32"/>
      <c r="CV24" s="32">
        <f t="shared" si="75"/>
        <v>0.31999999999999995</v>
      </c>
      <c r="CW24" s="32">
        <f t="shared" si="76"/>
        <v>0.31999999999999995</v>
      </c>
      <c r="CX24" s="32">
        <f t="shared" si="16"/>
        <v>2.3721205531132403</v>
      </c>
      <c r="CY24" s="40">
        <f t="shared" si="77"/>
        <v>2.3721205531132403</v>
      </c>
      <c r="CZ24" s="32"/>
      <c r="DA24" s="32">
        <f t="shared" si="78"/>
        <v>0.31999999999999995</v>
      </c>
      <c r="DB24" s="36">
        <f t="shared" si="79"/>
        <v>0.31999999999999995</v>
      </c>
      <c r="DC24" s="32">
        <f t="shared" si="17"/>
        <v>2.3721205531132403</v>
      </c>
      <c r="DD24" s="40">
        <f t="shared" si="80"/>
        <v>2.3721205531132403</v>
      </c>
      <c r="DE24" s="32"/>
      <c r="DF24" s="32">
        <f t="shared" si="81"/>
        <v>0.31999999999999995</v>
      </c>
      <c r="DG24" s="36">
        <f t="shared" si="82"/>
        <v>0.31999999999999995</v>
      </c>
      <c r="DH24" s="32">
        <f t="shared" si="18"/>
        <v>2.3721205531132403</v>
      </c>
      <c r="DI24" s="40">
        <f t="shared" si="83"/>
        <v>2.3721205531132403</v>
      </c>
      <c r="DJ24" s="32"/>
      <c r="DK24" s="32">
        <f t="shared" si="84"/>
        <v>0.31999999999999995</v>
      </c>
      <c r="DL24" s="32">
        <f t="shared" si="85"/>
        <v>0.31999999999999995</v>
      </c>
      <c r="DM24" s="32">
        <f t="shared" si="19"/>
        <v>2.3721205531132403</v>
      </c>
      <c r="DN24" s="40">
        <f t="shared" si="86"/>
        <v>2.3721205531132403</v>
      </c>
      <c r="DO24" s="32"/>
      <c r="DP24" s="32">
        <f t="shared" si="87"/>
        <v>0.31999999999999995</v>
      </c>
      <c r="DQ24" s="36">
        <f t="shared" si="88"/>
        <v>0.31999999999999995</v>
      </c>
      <c r="DR24" s="32">
        <f t="shared" si="20"/>
        <v>2.3721205531132403</v>
      </c>
      <c r="DS24" s="40">
        <f t="shared" si="89"/>
        <v>2.3721205531132403</v>
      </c>
      <c r="DT24" s="32"/>
      <c r="DU24" s="32">
        <f t="shared" si="90"/>
        <v>0.31999999999999995</v>
      </c>
      <c r="DV24" s="36">
        <f t="shared" si="91"/>
        <v>0.31999999999999995</v>
      </c>
      <c r="DW24" s="32">
        <f t="shared" si="21"/>
        <v>2.3721205531132403</v>
      </c>
      <c r="DX24" s="40">
        <f t="shared" si="92"/>
        <v>2.3721205531132403</v>
      </c>
      <c r="DY24" s="32"/>
      <c r="DZ24" s="32">
        <f t="shared" si="93"/>
        <v>0.31999999999999995</v>
      </c>
      <c r="EA24" s="32">
        <f t="shared" si="94"/>
        <v>0.31999999999999995</v>
      </c>
      <c r="EB24" s="32">
        <f t="shared" si="22"/>
        <v>2.3721205531132403</v>
      </c>
      <c r="EC24" s="40">
        <f t="shared" si="95"/>
        <v>2.3721205531132403</v>
      </c>
      <c r="ED24" s="32"/>
      <c r="EE24" s="32">
        <f t="shared" si="96"/>
        <v>0.31999999999999995</v>
      </c>
      <c r="EF24" s="36">
        <f t="shared" si="97"/>
        <v>0.31999999999999995</v>
      </c>
      <c r="EG24" s="32">
        <f t="shared" si="23"/>
        <v>2.3721205531132403</v>
      </c>
      <c r="EH24" s="40">
        <f t="shared" si="98"/>
        <v>2.3721205531132403</v>
      </c>
      <c r="EI24" s="32"/>
      <c r="EJ24" s="32">
        <f t="shared" si="99"/>
        <v>0.31999999999999995</v>
      </c>
      <c r="EK24" s="36">
        <f t="shared" si="100"/>
        <v>0.31999999999999995</v>
      </c>
      <c r="EL24" s="32">
        <f t="shared" si="24"/>
        <v>2.3721205531132403</v>
      </c>
      <c r="EM24" s="40">
        <f t="shared" si="101"/>
        <v>2.3721205531132403</v>
      </c>
      <c r="EN24" s="32"/>
      <c r="EO24" s="32">
        <f t="shared" si="102"/>
        <v>0.31999999999999995</v>
      </c>
      <c r="EP24" s="32">
        <f t="shared" si="103"/>
        <v>0.31999999999999995</v>
      </c>
      <c r="EQ24" s="32">
        <f t="shared" si="25"/>
        <v>2.3721205531132403</v>
      </c>
      <c r="ER24" s="40">
        <f t="shared" si="104"/>
        <v>2.3721205531132403</v>
      </c>
      <c r="ES24" s="32"/>
      <c r="ET24" s="32">
        <f t="shared" si="105"/>
        <v>0.31999999999999995</v>
      </c>
      <c r="EU24" s="36">
        <f t="shared" si="106"/>
        <v>0.31999999999999995</v>
      </c>
      <c r="EV24" s="32">
        <f t="shared" si="26"/>
        <v>2.3721205531132403</v>
      </c>
      <c r="EW24" s="40">
        <f t="shared" si="107"/>
        <v>2.3721205531132403</v>
      </c>
      <c r="EX24" s="32"/>
    </row>
    <row r="25" spans="3:154" s="3" customFormat="1" x14ac:dyDescent="0.25">
      <c r="C25" s="1"/>
      <c r="D25" s="1"/>
      <c r="E25" s="1"/>
      <c r="F25" s="1"/>
      <c r="G25" s="1"/>
      <c r="H25" s="1"/>
      <c r="I25" s="1"/>
      <c r="J25" s="1"/>
      <c r="K25" s="1"/>
      <c r="L25" s="1"/>
      <c r="M25" s="1"/>
      <c r="N25" s="1"/>
      <c r="O25" s="1"/>
      <c r="P25" s="1"/>
      <c r="Q25" s="1"/>
      <c r="R25" s="1"/>
      <c r="S25" s="1"/>
      <c r="T25" s="32">
        <f t="shared" si="27"/>
        <v>0.33999999999999997</v>
      </c>
      <c r="U25" s="36">
        <f t="shared" si="28"/>
        <v>0.33999999999999997</v>
      </c>
      <c r="V25" s="32">
        <f t="shared" si="0"/>
        <v>2.4848557294961178</v>
      </c>
      <c r="W25" s="40">
        <f t="shared" si="29"/>
        <v>2.4848557294961178</v>
      </c>
      <c r="X25" s="32"/>
      <c r="Y25" s="32">
        <f t="shared" si="30"/>
        <v>0.33999999999999997</v>
      </c>
      <c r="Z25" s="32">
        <f t="shared" si="31"/>
        <v>0.33999999999999997</v>
      </c>
      <c r="AA25" s="32">
        <f t="shared" si="1"/>
        <v>2.4848557294961178</v>
      </c>
      <c r="AB25" s="40">
        <f t="shared" si="32"/>
        <v>2.4848557294961178</v>
      </c>
      <c r="AC25" s="32"/>
      <c r="AD25" s="32">
        <f t="shared" si="33"/>
        <v>0.33999999999999997</v>
      </c>
      <c r="AE25" s="36">
        <f t="shared" si="34"/>
        <v>0.33999999999999997</v>
      </c>
      <c r="AF25" s="32">
        <f t="shared" si="2"/>
        <v>2.4848557294961178</v>
      </c>
      <c r="AG25" s="40">
        <f t="shared" si="35"/>
        <v>2.4848557294961178</v>
      </c>
      <c r="AH25" s="32"/>
      <c r="AI25" s="32">
        <f t="shared" si="36"/>
        <v>0.33999999999999997</v>
      </c>
      <c r="AJ25" s="36">
        <f t="shared" si="37"/>
        <v>0.33999999999999997</v>
      </c>
      <c r="AK25" s="32">
        <f t="shared" si="3"/>
        <v>2.4848557294961178</v>
      </c>
      <c r="AL25" s="40">
        <f t="shared" si="38"/>
        <v>2.4848557294961178</v>
      </c>
      <c r="AM25" s="32"/>
      <c r="AN25" s="32">
        <f t="shared" si="39"/>
        <v>0.33999999999999997</v>
      </c>
      <c r="AO25" s="32">
        <f t="shared" si="40"/>
        <v>0.33999999999999997</v>
      </c>
      <c r="AP25" s="32">
        <f t="shared" si="4"/>
        <v>2.4848557294961178</v>
      </c>
      <c r="AQ25" s="40">
        <f t="shared" si="41"/>
        <v>2.4848557294961178</v>
      </c>
      <c r="AR25" s="32"/>
      <c r="AS25" s="32">
        <f t="shared" si="42"/>
        <v>0.33999999999999997</v>
      </c>
      <c r="AT25" s="36">
        <f t="shared" si="43"/>
        <v>0.33999999999999997</v>
      </c>
      <c r="AU25" s="32">
        <f t="shared" si="5"/>
        <v>2.4848557294961178</v>
      </c>
      <c r="AV25" s="40">
        <f t="shared" si="44"/>
        <v>2.4848557294961178</v>
      </c>
      <c r="AW25" s="32"/>
      <c r="AX25" s="32">
        <f t="shared" si="45"/>
        <v>0.33999999999999997</v>
      </c>
      <c r="AY25" s="36">
        <f t="shared" si="46"/>
        <v>0.33999999999999997</v>
      </c>
      <c r="AZ25" s="32">
        <f t="shared" si="6"/>
        <v>2.4848557294961178</v>
      </c>
      <c r="BA25" s="40">
        <f t="shared" si="47"/>
        <v>2.4848557294961178</v>
      </c>
      <c r="BB25" s="32"/>
      <c r="BC25" s="32">
        <f t="shared" si="48"/>
        <v>0.33999999999999997</v>
      </c>
      <c r="BD25" s="32">
        <f t="shared" si="49"/>
        <v>0.33999999999999997</v>
      </c>
      <c r="BE25" s="32">
        <f t="shared" si="7"/>
        <v>2.4848557294961178</v>
      </c>
      <c r="BF25" s="40">
        <f t="shared" si="50"/>
        <v>2.4848557294961178</v>
      </c>
      <c r="BG25" s="32"/>
      <c r="BH25" s="32">
        <f t="shared" si="51"/>
        <v>0.33999999999999997</v>
      </c>
      <c r="BI25" s="36">
        <f t="shared" si="52"/>
        <v>0.33999999999999997</v>
      </c>
      <c r="BJ25" s="32">
        <f t="shared" si="8"/>
        <v>2.4848557294961178</v>
      </c>
      <c r="BK25" s="40">
        <f t="shared" si="53"/>
        <v>2.4848557294961178</v>
      </c>
      <c r="BL25" s="32"/>
      <c r="BM25" s="32">
        <f t="shared" si="54"/>
        <v>0.33999999999999997</v>
      </c>
      <c r="BN25" s="36">
        <f t="shared" si="55"/>
        <v>0.33999999999999997</v>
      </c>
      <c r="BO25" s="32">
        <f t="shared" si="9"/>
        <v>2.4848557294961178</v>
      </c>
      <c r="BP25" s="40">
        <f t="shared" si="56"/>
        <v>2.4848557294961178</v>
      </c>
      <c r="BQ25" s="32"/>
      <c r="BR25" s="32">
        <f t="shared" si="57"/>
        <v>0.33999999999999997</v>
      </c>
      <c r="BS25" s="32">
        <f t="shared" si="58"/>
        <v>0.33999999999999997</v>
      </c>
      <c r="BT25" s="32">
        <f t="shared" si="10"/>
        <v>2.4848557294961178</v>
      </c>
      <c r="BU25" s="40">
        <f t="shared" si="59"/>
        <v>2.4848557294961178</v>
      </c>
      <c r="BV25" s="32"/>
      <c r="BW25" s="32">
        <f t="shared" si="60"/>
        <v>0.33999999999999997</v>
      </c>
      <c r="BX25" s="36">
        <f t="shared" si="61"/>
        <v>0.33999999999999997</v>
      </c>
      <c r="BY25" s="32">
        <f t="shared" si="11"/>
        <v>2.4848557294961178</v>
      </c>
      <c r="BZ25" s="40">
        <f t="shared" si="62"/>
        <v>2.4848557294961178</v>
      </c>
      <c r="CA25" s="32"/>
      <c r="CB25" s="32">
        <f t="shared" si="63"/>
        <v>0.33999999999999997</v>
      </c>
      <c r="CC25" s="36">
        <f t="shared" si="64"/>
        <v>0.33999999999999997</v>
      </c>
      <c r="CD25" s="32">
        <f t="shared" si="12"/>
        <v>2.4848557294961178</v>
      </c>
      <c r="CE25" s="40">
        <f t="shared" si="65"/>
        <v>2.4848557294961178</v>
      </c>
      <c r="CF25" s="32"/>
      <c r="CG25" s="39">
        <f t="shared" si="66"/>
        <v>0.33999999999999997</v>
      </c>
      <c r="CH25" s="39">
        <f t="shared" si="67"/>
        <v>0.33999999999999997</v>
      </c>
      <c r="CI25" s="39">
        <f t="shared" si="13"/>
        <v>2.4848557294961178</v>
      </c>
      <c r="CJ25" s="40">
        <f t="shared" si="68"/>
        <v>2.4848557294961178</v>
      </c>
      <c r="CK25" s="39"/>
      <c r="CL25" s="32">
        <f t="shared" si="69"/>
        <v>0.33999999999999997</v>
      </c>
      <c r="CM25" s="36">
        <f t="shared" si="70"/>
        <v>0.33999999999999997</v>
      </c>
      <c r="CN25" s="32">
        <f t="shared" si="14"/>
        <v>2.4848557294961178</v>
      </c>
      <c r="CO25" s="40">
        <f t="shared" si="71"/>
        <v>2.4848557294961178</v>
      </c>
      <c r="CP25" s="32"/>
      <c r="CQ25" s="32">
        <f t="shared" si="72"/>
        <v>0.33999999999999997</v>
      </c>
      <c r="CR25" s="36">
        <f t="shared" si="73"/>
        <v>0.33999999999999997</v>
      </c>
      <c r="CS25" s="32">
        <f t="shared" si="15"/>
        <v>2.4848557294961178</v>
      </c>
      <c r="CT25" s="40">
        <f t="shared" si="74"/>
        <v>2.4848557294961178</v>
      </c>
      <c r="CU25" s="32"/>
      <c r="CV25" s="32">
        <f t="shared" si="75"/>
        <v>0.33999999999999997</v>
      </c>
      <c r="CW25" s="32">
        <f t="shared" si="76"/>
        <v>0.33999999999999997</v>
      </c>
      <c r="CX25" s="32">
        <f t="shared" si="16"/>
        <v>2.4848557294961178</v>
      </c>
      <c r="CY25" s="40">
        <f t="shared" si="77"/>
        <v>2.4848557294961178</v>
      </c>
      <c r="CZ25" s="32"/>
      <c r="DA25" s="32">
        <f t="shared" si="78"/>
        <v>0.33999999999999997</v>
      </c>
      <c r="DB25" s="36">
        <f t="shared" si="79"/>
        <v>0.33999999999999997</v>
      </c>
      <c r="DC25" s="32">
        <f t="shared" si="17"/>
        <v>2.4848557294961178</v>
      </c>
      <c r="DD25" s="40">
        <f t="shared" si="80"/>
        <v>2.4848557294961178</v>
      </c>
      <c r="DE25" s="32"/>
      <c r="DF25" s="32">
        <f t="shared" si="81"/>
        <v>0.33999999999999997</v>
      </c>
      <c r="DG25" s="36">
        <f t="shared" si="82"/>
        <v>0.33999999999999997</v>
      </c>
      <c r="DH25" s="32">
        <f t="shared" si="18"/>
        <v>2.4848557294961178</v>
      </c>
      <c r="DI25" s="40">
        <f t="shared" si="83"/>
        <v>2.4848557294961178</v>
      </c>
      <c r="DJ25" s="32"/>
      <c r="DK25" s="32">
        <f t="shared" si="84"/>
        <v>0.33999999999999997</v>
      </c>
      <c r="DL25" s="32">
        <f t="shared" si="85"/>
        <v>0.33999999999999997</v>
      </c>
      <c r="DM25" s="32">
        <f t="shared" si="19"/>
        <v>2.4848557294961178</v>
      </c>
      <c r="DN25" s="40">
        <f t="shared" si="86"/>
        <v>2.4848557294961178</v>
      </c>
      <c r="DO25" s="32"/>
      <c r="DP25" s="32">
        <f t="shared" si="87"/>
        <v>0.33999999999999997</v>
      </c>
      <c r="DQ25" s="36">
        <f t="shared" si="88"/>
        <v>0.33999999999999997</v>
      </c>
      <c r="DR25" s="32">
        <f t="shared" si="20"/>
        <v>2.4848557294961178</v>
      </c>
      <c r="DS25" s="40">
        <f t="shared" si="89"/>
        <v>2.4848557294961178</v>
      </c>
      <c r="DT25" s="32"/>
      <c r="DU25" s="32">
        <f t="shared" si="90"/>
        <v>0.33999999999999997</v>
      </c>
      <c r="DV25" s="36">
        <f t="shared" si="91"/>
        <v>0.33999999999999997</v>
      </c>
      <c r="DW25" s="32">
        <f t="shared" si="21"/>
        <v>2.4848557294961178</v>
      </c>
      <c r="DX25" s="40">
        <f t="shared" si="92"/>
        <v>2.4848557294961178</v>
      </c>
      <c r="DY25" s="32"/>
      <c r="DZ25" s="32">
        <f t="shared" si="93"/>
        <v>0.33999999999999997</v>
      </c>
      <c r="EA25" s="32">
        <f t="shared" si="94"/>
        <v>0.33999999999999997</v>
      </c>
      <c r="EB25" s="32">
        <f t="shared" si="22"/>
        <v>2.4848557294961178</v>
      </c>
      <c r="EC25" s="40">
        <f t="shared" si="95"/>
        <v>2.4848557294961178</v>
      </c>
      <c r="ED25" s="32"/>
      <c r="EE25" s="32">
        <f t="shared" si="96"/>
        <v>0.33999999999999997</v>
      </c>
      <c r="EF25" s="36">
        <f t="shared" si="97"/>
        <v>0.33999999999999997</v>
      </c>
      <c r="EG25" s="32">
        <f t="shared" si="23"/>
        <v>2.4848557294961178</v>
      </c>
      <c r="EH25" s="40">
        <f t="shared" si="98"/>
        <v>2.4848557294961178</v>
      </c>
      <c r="EI25" s="32"/>
      <c r="EJ25" s="32">
        <f t="shared" si="99"/>
        <v>0.33999999999999997</v>
      </c>
      <c r="EK25" s="36">
        <f t="shared" si="100"/>
        <v>0.33999999999999997</v>
      </c>
      <c r="EL25" s="32">
        <f t="shared" si="24"/>
        <v>2.4848557294961178</v>
      </c>
      <c r="EM25" s="40">
        <f t="shared" si="101"/>
        <v>2.4848557294961178</v>
      </c>
      <c r="EN25" s="32"/>
      <c r="EO25" s="32">
        <f t="shared" si="102"/>
        <v>0.33999999999999997</v>
      </c>
      <c r="EP25" s="32">
        <f t="shared" si="103"/>
        <v>0.33999999999999997</v>
      </c>
      <c r="EQ25" s="32">
        <f t="shared" si="25"/>
        <v>2.4848557294961178</v>
      </c>
      <c r="ER25" s="40">
        <f t="shared" si="104"/>
        <v>2.4848557294961178</v>
      </c>
      <c r="ES25" s="32"/>
      <c r="ET25" s="32">
        <f t="shared" si="105"/>
        <v>0.33999999999999997</v>
      </c>
      <c r="EU25" s="36">
        <f t="shared" si="106"/>
        <v>0.33999999999999997</v>
      </c>
      <c r="EV25" s="32">
        <f t="shared" si="26"/>
        <v>2.4848557294961178</v>
      </c>
      <c r="EW25" s="40">
        <f t="shared" si="107"/>
        <v>2.4848557294961178</v>
      </c>
      <c r="EX25" s="32"/>
    </row>
    <row r="26" spans="3:154" s="3" customFormat="1" ht="14.45" customHeight="1" x14ac:dyDescent="0.25">
      <c r="C26" s="23" t="s">
        <v>11</v>
      </c>
      <c r="D26" s="24"/>
      <c r="E26" s="24"/>
      <c r="F26" s="24"/>
      <c r="G26" s="25"/>
      <c r="H26" s="1"/>
      <c r="I26" s="1"/>
      <c r="J26" s="1"/>
      <c r="K26" s="1"/>
      <c r="L26" s="1"/>
      <c r="M26" s="1"/>
      <c r="N26" s="1"/>
      <c r="O26" s="1"/>
      <c r="P26" s="1"/>
      <c r="Q26" s="1"/>
      <c r="R26" s="1"/>
      <c r="S26" s="1"/>
      <c r="T26" s="32">
        <f t="shared" si="27"/>
        <v>0.36</v>
      </c>
      <c r="U26" s="36">
        <f t="shared" si="28"/>
        <v>0.36</v>
      </c>
      <c r="V26" s="32">
        <f t="shared" si="0"/>
        <v>2.5948823931511482</v>
      </c>
      <c r="W26" s="40">
        <f t="shared" si="29"/>
        <v>2.5948823931511482</v>
      </c>
      <c r="X26" s="32"/>
      <c r="Y26" s="32">
        <f t="shared" si="30"/>
        <v>0.36</v>
      </c>
      <c r="Z26" s="32">
        <f t="shared" si="31"/>
        <v>0.36</v>
      </c>
      <c r="AA26" s="32">
        <f t="shared" si="1"/>
        <v>2.5948823931511482</v>
      </c>
      <c r="AB26" s="40">
        <f t="shared" si="32"/>
        <v>2.5948823931511482</v>
      </c>
      <c r="AC26" s="32"/>
      <c r="AD26" s="32">
        <f t="shared" si="33"/>
        <v>0.36</v>
      </c>
      <c r="AE26" s="36">
        <f t="shared" si="34"/>
        <v>0.36</v>
      </c>
      <c r="AF26" s="32">
        <f t="shared" si="2"/>
        <v>2.5948823931511482</v>
      </c>
      <c r="AG26" s="40">
        <f t="shared" si="35"/>
        <v>2.5948823931511482</v>
      </c>
      <c r="AH26" s="32"/>
      <c r="AI26" s="32">
        <f t="shared" si="36"/>
        <v>0.36</v>
      </c>
      <c r="AJ26" s="36">
        <f t="shared" si="37"/>
        <v>0.36</v>
      </c>
      <c r="AK26" s="32">
        <f t="shared" si="3"/>
        <v>2.5948823931511482</v>
      </c>
      <c r="AL26" s="40">
        <f t="shared" si="38"/>
        <v>2.5948823931511482</v>
      </c>
      <c r="AM26" s="32"/>
      <c r="AN26" s="32">
        <f t="shared" si="39"/>
        <v>0.36</v>
      </c>
      <c r="AO26" s="32">
        <f t="shared" si="40"/>
        <v>0.36</v>
      </c>
      <c r="AP26" s="32">
        <f t="shared" si="4"/>
        <v>2.5948823931511482</v>
      </c>
      <c r="AQ26" s="40">
        <f t="shared" si="41"/>
        <v>2.5948823931511482</v>
      </c>
      <c r="AR26" s="32"/>
      <c r="AS26" s="32">
        <f t="shared" si="42"/>
        <v>0.36</v>
      </c>
      <c r="AT26" s="36">
        <f t="shared" si="43"/>
        <v>0.36</v>
      </c>
      <c r="AU26" s="32">
        <f t="shared" si="5"/>
        <v>2.5948823931511482</v>
      </c>
      <c r="AV26" s="40">
        <f t="shared" si="44"/>
        <v>2.5948823931511482</v>
      </c>
      <c r="AW26" s="32"/>
      <c r="AX26" s="32">
        <f t="shared" si="45"/>
        <v>0.36</v>
      </c>
      <c r="AY26" s="36">
        <f t="shared" si="46"/>
        <v>0.36</v>
      </c>
      <c r="AZ26" s="32">
        <f t="shared" si="6"/>
        <v>2.5948823931511482</v>
      </c>
      <c r="BA26" s="40">
        <f t="shared" si="47"/>
        <v>2.5948823931511482</v>
      </c>
      <c r="BB26" s="32"/>
      <c r="BC26" s="32">
        <f t="shared" si="48"/>
        <v>0.36</v>
      </c>
      <c r="BD26" s="32">
        <f t="shared" si="49"/>
        <v>0.36</v>
      </c>
      <c r="BE26" s="32">
        <f t="shared" si="7"/>
        <v>2.5948823931511482</v>
      </c>
      <c r="BF26" s="40">
        <f t="shared" si="50"/>
        <v>2.5948823931511482</v>
      </c>
      <c r="BG26" s="32"/>
      <c r="BH26" s="32">
        <f t="shared" si="51"/>
        <v>0.36</v>
      </c>
      <c r="BI26" s="36">
        <f t="shared" si="52"/>
        <v>0.36</v>
      </c>
      <c r="BJ26" s="32">
        <f t="shared" si="8"/>
        <v>2.5948823931511482</v>
      </c>
      <c r="BK26" s="40">
        <f t="shared" si="53"/>
        <v>2.5948823931511482</v>
      </c>
      <c r="BL26" s="32"/>
      <c r="BM26" s="32">
        <f t="shared" si="54"/>
        <v>0.36</v>
      </c>
      <c r="BN26" s="36">
        <f t="shared" si="55"/>
        <v>0.36</v>
      </c>
      <c r="BO26" s="32">
        <f t="shared" si="9"/>
        <v>2.5948823931511482</v>
      </c>
      <c r="BP26" s="40">
        <f t="shared" si="56"/>
        <v>2.5948823931511482</v>
      </c>
      <c r="BQ26" s="32"/>
      <c r="BR26" s="32">
        <f t="shared" si="57"/>
        <v>0.36</v>
      </c>
      <c r="BS26" s="32">
        <f t="shared" si="58"/>
        <v>0.36</v>
      </c>
      <c r="BT26" s="32">
        <f t="shared" si="10"/>
        <v>2.5948823931511482</v>
      </c>
      <c r="BU26" s="40">
        <f t="shared" si="59"/>
        <v>2.5948823931511482</v>
      </c>
      <c r="BV26" s="32"/>
      <c r="BW26" s="32">
        <f t="shared" si="60"/>
        <v>0.36</v>
      </c>
      <c r="BX26" s="36">
        <f t="shared" si="61"/>
        <v>0.36</v>
      </c>
      <c r="BY26" s="32">
        <f t="shared" si="11"/>
        <v>2.5948823931511482</v>
      </c>
      <c r="BZ26" s="40">
        <f t="shared" si="62"/>
        <v>2.5948823931511482</v>
      </c>
      <c r="CA26" s="32"/>
      <c r="CB26" s="32">
        <f t="shared" si="63"/>
        <v>0.36</v>
      </c>
      <c r="CC26" s="36">
        <f t="shared" si="64"/>
        <v>0.36</v>
      </c>
      <c r="CD26" s="32">
        <f t="shared" si="12"/>
        <v>2.5948823931511482</v>
      </c>
      <c r="CE26" s="40">
        <f t="shared" si="65"/>
        <v>2.5948823931511482</v>
      </c>
      <c r="CF26" s="32"/>
      <c r="CG26" s="39">
        <f t="shared" si="66"/>
        <v>0.36</v>
      </c>
      <c r="CH26" s="39">
        <f t="shared" si="67"/>
        <v>0.36</v>
      </c>
      <c r="CI26" s="39">
        <f t="shared" si="13"/>
        <v>2.5948823931511482</v>
      </c>
      <c r="CJ26" s="40">
        <f t="shared" si="68"/>
        <v>2.5948823931511482</v>
      </c>
      <c r="CK26" s="39"/>
      <c r="CL26" s="32">
        <f t="shared" si="69"/>
        <v>0.36</v>
      </c>
      <c r="CM26" s="36">
        <f t="shared" si="70"/>
        <v>0.36</v>
      </c>
      <c r="CN26" s="32">
        <f t="shared" si="14"/>
        <v>2.5948823931511482</v>
      </c>
      <c r="CO26" s="40">
        <f t="shared" si="71"/>
        <v>2.5948823931511482</v>
      </c>
      <c r="CP26" s="32"/>
      <c r="CQ26" s="32">
        <f t="shared" si="72"/>
        <v>0.36</v>
      </c>
      <c r="CR26" s="36">
        <f t="shared" si="73"/>
        <v>0.36</v>
      </c>
      <c r="CS26" s="32">
        <f t="shared" si="15"/>
        <v>2.5948823931511482</v>
      </c>
      <c r="CT26" s="40">
        <f t="shared" si="74"/>
        <v>2.5948823931511482</v>
      </c>
      <c r="CU26" s="32"/>
      <c r="CV26" s="32">
        <f t="shared" si="75"/>
        <v>0.36</v>
      </c>
      <c r="CW26" s="32">
        <f t="shared" si="76"/>
        <v>0.36</v>
      </c>
      <c r="CX26" s="32">
        <f t="shared" si="16"/>
        <v>2.5948823931511482</v>
      </c>
      <c r="CY26" s="40">
        <f t="shared" si="77"/>
        <v>2.5948823931511482</v>
      </c>
      <c r="CZ26" s="32"/>
      <c r="DA26" s="32">
        <f t="shared" si="78"/>
        <v>0.36</v>
      </c>
      <c r="DB26" s="36">
        <f t="shared" si="79"/>
        <v>0.36</v>
      </c>
      <c r="DC26" s="32">
        <f t="shared" si="17"/>
        <v>2.5948823931511482</v>
      </c>
      <c r="DD26" s="40">
        <f t="shared" si="80"/>
        <v>2.5948823931511482</v>
      </c>
      <c r="DE26" s="32"/>
      <c r="DF26" s="32">
        <f t="shared" si="81"/>
        <v>0.36</v>
      </c>
      <c r="DG26" s="36">
        <f t="shared" si="82"/>
        <v>0.36</v>
      </c>
      <c r="DH26" s="32">
        <f t="shared" si="18"/>
        <v>2.5948823931511482</v>
      </c>
      <c r="DI26" s="40">
        <f t="shared" si="83"/>
        <v>2.5948823931511482</v>
      </c>
      <c r="DJ26" s="32"/>
      <c r="DK26" s="32">
        <f t="shared" si="84"/>
        <v>0.36</v>
      </c>
      <c r="DL26" s="32">
        <f t="shared" si="85"/>
        <v>0.36</v>
      </c>
      <c r="DM26" s="32">
        <f t="shared" si="19"/>
        <v>2.5948823931511482</v>
      </c>
      <c r="DN26" s="40">
        <f t="shared" si="86"/>
        <v>2.5948823931511482</v>
      </c>
      <c r="DO26" s="32"/>
      <c r="DP26" s="32">
        <f t="shared" si="87"/>
        <v>0.36</v>
      </c>
      <c r="DQ26" s="36">
        <f t="shared" si="88"/>
        <v>0.36</v>
      </c>
      <c r="DR26" s="32">
        <f t="shared" si="20"/>
        <v>2.5948823931511482</v>
      </c>
      <c r="DS26" s="40">
        <f t="shared" si="89"/>
        <v>2.5948823931511482</v>
      </c>
      <c r="DT26" s="32"/>
      <c r="DU26" s="32">
        <f t="shared" si="90"/>
        <v>0.36</v>
      </c>
      <c r="DV26" s="36">
        <f t="shared" si="91"/>
        <v>0.36</v>
      </c>
      <c r="DW26" s="32">
        <f t="shared" si="21"/>
        <v>2.5948823931511482</v>
      </c>
      <c r="DX26" s="40">
        <f t="shared" si="92"/>
        <v>2.5948823931511482</v>
      </c>
      <c r="DY26" s="32"/>
      <c r="DZ26" s="32">
        <f t="shared" si="93"/>
        <v>0.36</v>
      </c>
      <c r="EA26" s="32">
        <f t="shared" si="94"/>
        <v>0.36</v>
      </c>
      <c r="EB26" s="32">
        <f t="shared" si="22"/>
        <v>2.5948823931511482</v>
      </c>
      <c r="EC26" s="40">
        <f t="shared" si="95"/>
        <v>2.5948823931511482</v>
      </c>
      <c r="ED26" s="32"/>
      <c r="EE26" s="32">
        <f t="shared" si="96"/>
        <v>0.36</v>
      </c>
      <c r="EF26" s="36">
        <f t="shared" si="97"/>
        <v>0.36</v>
      </c>
      <c r="EG26" s="32">
        <f t="shared" si="23"/>
        <v>2.5948823931511482</v>
      </c>
      <c r="EH26" s="40">
        <f t="shared" si="98"/>
        <v>2.5948823931511482</v>
      </c>
      <c r="EI26" s="32"/>
      <c r="EJ26" s="32">
        <f t="shared" si="99"/>
        <v>0.36</v>
      </c>
      <c r="EK26" s="36">
        <f t="shared" si="100"/>
        <v>0.36</v>
      </c>
      <c r="EL26" s="32">
        <f t="shared" si="24"/>
        <v>2.5948823931511482</v>
      </c>
      <c r="EM26" s="40">
        <f t="shared" si="101"/>
        <v>2.5948823931511482</v>
      </c>
      <c r="EN26" s="32"/>
      <c r="EO26" s="32">
        <f t="shared" si="102"/>
        <v>0.36</v>
      </c>
      <c r="EP26" s="32">
        <f t="shared" si="103"/>
        <v>0.36</v>
      </c>
      <c r="EQ26" s="32">
        <f t="shared" si="25"/>
        <v>2.5948823931511482</v>
      </c>
      <c r="ER26" s="40">
        <f t="shared" si="104"/>
        <v>2.5948823931511482</v>
      </c>
      <c r="ES26" s="32"/>
      <c r="ET26" s="32">
        <f t="shared" si="105"/>
        <v>0.36</v>
      </c>
      <c r="EU26" s="36">
        <f t="shared" si="106"/>
        <v>0.36</v>
      </c>
      <c r="EV26" s="32">
        <f t="shared" si="26"/>
        <v>2.5948823931511482</v>
      </c>
      <c r="EW26" s="40">
        <f t="shared" si="107"/>
        <v>2.5948823931511482</v>
      </c>
      <c r="EX26" s="32"/>
    </row>
    <row r="27" spans="3:154" s="3" customFormat="1" x14ac:dyDescent="0.25">
      <c r="C27" s="26"/>
      <c r="D27" s="27"/>
      <c r="E27" s="27"/>
      <c r="F27" s="27"/>
      <c r="G27" s="28"/>
      <c r="H27" s="1"/>
      <c r="I27" s="1"/>
      <c r="J27" s="1"/>
      <c r="K27" s="1"/>
      <c r="L27" s="1"/>
      <c r="M27" s="1"/>
      <c r="N27" s="1"/>
      <c r="O27" s="1"/>
      <c r="P27" s="1"/>
      <c r="Q27" s="1"/>
      <c r="R27" s="1"/>
      <c r="S27" s="1"/>
      <c r="T27" s="32">
        <f t="shared" si="27"/>
        <v>0.38</v>
      </c>
      <c r="U27" s="36">
        <f t="shared" si="28"/>
        <v>0.38</v>
      </c>
      <c r="V27" s="32">
        <f t="shared" si="0"/>
        <v>2.7022005440783312</v>
      </c>
      <c r="W27" s="40">
        <f t="shared" si="29"/>
        <v>2.7022005440783312</v>
      </c>
      <c r="X27" s="32"/>
      <c r="Y27" s="32">
        <f t="shared" si="30"/>
        <v>0.38</v>
      </c>
      <c r="Z27" s="32">
        <f t="shared" si="31"/>
        <v>0.38</v>
      </c>
      <c r="AA27" s="32">
        <f t="shared" si="1"/>
        <v>2.7022005440783312</v>
      </c>
      <c r="AB27" s="40">
        <f t="shared" si="32"/>
        <v>2.7022005440783312</v>
      </c>
      <c r="AC27" s="32"/>
      <c r="AD27" s="32">
        <f t="shared" si="33"/>
        <v>0.38</v>
      </c>
      <c r="AE27" s="36">
        <f t="shared" si="34"/>
        <v>0.38</v>
      </c>
      <c r="AF27" s="32">
        <f t="shared" si="2"/>
        <v>2.7022005440783312</v>
      </c>
      <c r="AG27" s="40">
        <f t="shared" si="35"/>
        <v>2.7022005440783312</v>
      </c>
      <c r="AH27" s="32"/>
      <c r="AI27" s="32">
        <f t="shared" si="36"/>
        <v>0.38</v>
      </c>
      <c r="AJ27" s="36">
        <f t="shared" si="37"/>
        <v>0.38</v>
      </c>
      <c r="AK27" s="32">
        <f t="shared" si="3"/>
        <v>2.7022005440783312</v>
      </c>
      <c r="AL27" s="40">
        <f t="shared" si="38"/>
        <v>2.7022005440783312</v>
      </c>
      <c r="AM27" s="32"/>
      <c r="AN27" s="32">
        <f t="shared" si="39"/>
        <v>0.38</v>
      </c>
      <c r="AO27" s="32">
        <f t="shared" si="40"/>
        <v>0.38</v>
      </c>
      <c r="AP27" s="32">
        <f t="shared" si="4"/>
        <v>2.7022005440783312</v>
      </c>
      <c r="AQ27" s="40">
        <f t="shared" si="41"/>
        <v>2.7022005440783312</v>
      </c>
      <c r="AR27" s="32"/>
      <c r="AS27" s="32">
        <f t="shared" si="42"/>
        <v>0.38</v>
      </c>
      <c r="AT27" s="36">
        <f t="shared" si="43"/>
        <v>0.38</v>
      </c>
      <c r="AU27" s="32">
        <f t="shared" si="5"/>
        <v>2.7022005440783312</v>
      </c>
      <c r="AV27" s="40">
        <f t="shared" si="44"/>
        <v>2.7022005440783312</v>
      </c>
      <c r="AW27" s="32"/>
      <c r="AX27" s="32">
        <f t="shared" si="45"/>
        <v>0.38</v>
      </c>
      <c r="AY27" s="36">
        <f t="shared" si="46"/>
        <v>0.38</v>
      </c>
      <c r="AZ27" s="32">
        <f t="shared" si="6"/>
        <v>2.7022005440783312</v>
      </c>
      <c r="BA27" s="40">
        <f t="shared" si="47"/>
        <v>2.7022005440783312</v>
      </c>
      <c r="BB27" s="32"/>
      <c r="BC27" s="32">
        <f t="shared" si="48"/>
        <v>0.38</v>
      </c>
      <c r="BD27" s="32">
        <f t="shared" si="49"/>
        <v>0.38</v>
      </c>
      <c r="BE27" s="32">
        <f t="shared" si="7"/>
        <v>2.7022005440783312</v>
      </c>
      <c r="BF27" s="40">
        <f t="shared" si="50"/>
        <v>2.7022005440783312</v>
      </c>
      <c r="BG27" s="32"/>
      <c r="BH27" s="32">
        <f t="shared" si="51"/>
        <v>0.38</v>
      </c>
      <c r="BI27" s="36">
        <f t="shared" si="52"/>
        <v>0.38</v>
      </c>
      <c r="BJ27" s="32">
        <f t="shared" si="8"/>
        <v>2.7022005440783312</v>
      </c>
      <c r="BK27" s="40">
        <f t="shared" si="53"/>
        <v>2.7022005440783312</v>
      </c>
      <c r="BL27" s="32"/>
      <c r="BM27" s="32">
        <f t="shared" si="54"/>
        <v>0.38</v>
      </c>
      <c r="BN27" s="36">
        <f t="shared" si="55"/>
        <v>0.38</v>
      </c>
      <c r="BO27" s="32">
        <f t="shared" si="9"/>
        <v>2.7022005440783312</v>
      </c>
      <c r="BP27" s="40">
        <f t="shared" si="56"/>
        <v>2.7022005440783312</v>
      </c>
      <c r="BQ27" s="32"/>
      <c r="BR27" s="32">
        <f t="shared" si="57"/>
        <v>0.38</v>
      </c>
      <c r="BS27" s="32">
        <f t="shared" si="58"/>
        <v>0.38</v>
      </c>
      <c r="BT27" s="32">
        <f t="shared" si="10"/>
        <v>2.7022005440783312</v>
      </c>
      <c r="BU27" s="40">
        <f t="shared" si="59"/>
        <v>2.7022005440783312</v>
      </c>
      <c r="BV27" s="32"/>
      <c r="BW27" s="32">
        <f t="shared" si="60"/>
        <v>0.38</v>
      </c>
      <c r="BX27" s="36">
        <f t="shared" si="61"/>
        <v>0.38</v>
      </c>
      <c r="BY27" s="32">
        <f t="shared" si="11"/>
        <v>2.7022005440783312</v>
      </c>
      <c r="BZ27" s="40">
        <f t="shared" si="62"/>
        <v>2.7022005440783312</v>
      </c>
      <c r="CA27" s="32"/>
      <c r="CB27" s="32">
        <f t="shared" si="63"/>
        <v>0.38</v>
      </c>
      <c r="CC27" s="36">
        <f t="shared" si="64"/>
        <v>0.38</v>
      </c>
      <c r="CD27" s="32">
        <f t="shared" si="12"/>
        <v>2.7022005440783312</v>
      </c>
      <c r="CE27" s="40">
        <f t="shared" si="65"/>
        <v>2.7022005440783312</v>
      </c>
      <c r="CF27" s="32"/>
      <c r="CG27" s="39">
        <f t="shared" si="66"/>
        <v>0.38</v>
      </c>
      <c r="CH27" s="39">
        <f t="shared" si="67"/>
        <v>0.38</v>
      </c>
      <c r="CI27" s="39">
        <f t="shared" si="13"/>
        <v>2.7022005440783312</v>
      </c>
      <c r="CJ27" s="40">
        <f t="shared" si="68"/>
        <v>2.7022005440783312</v>
      </c>
      <c r="CK27" s="39"/>
      <c r="CL27" s="32">
        <f t="shared" si="69"/>
        <v>0.38</v>
      </c>
      <c r="CM27" s="36">
        <f t="shared" si="70"/>
        <v>0.38</v>
      </c>
      <c r="CN27" s="32">
        <f t="shared" si="14"/>
        <v>2.7022005440783312</v>
      </c>
      <c r="CO27" s="40">
        <f t="shared" si="71"/>
        <v>2.7022005440783312</v>
      </c>
      <c r="CP27" s="32"/>
      <c r="CQ27" s="32">
        <f t="shared" si="72"/>
        <v>0.38</v>
      </c>
      <c r="CR27" s="36">
        <f t="shared" si="73"/>
        <v>0.38</v>
      </c>
      <c r="CS27" s="32">
        <f t="shared" si="15"/>
        <v>2.7022005440783312</v>
      </c>
      <c r="CT27" s="40">
        <f t="shared" si="74"/>
        <v>2.7022005440783312</v>
      </c>
      <c r="CU27" s="32"/>
      <c r="CV27" s="32">
        <f t="shared" si="75"/>
        <v>0.38</v>
      </c>
      <c r="CW27" s="32">
        <f t="shared" si="76"/>
        <v>0.38</v>
      </c>
      <c r="CX27" s="32">
        <f t="shared" si="16"/>
        <v>2.7022005440783312</v>
      </c>
      <c r="CY27" s="40">
        <f t="shared" si="77"/>
        <v>2.7022005440783312</v>
      </c>
      <c r="CZ27" s="32"/>
      <c r="DA27" s="32">
        <f t="shared" si="78"/>
        <v>0.38</v>
      </c>
      <c r="DB27" s="36">
        <f t="shared" si="79"/>
        <v>0.38</v>
      </c>
      <c r="DC27" s="32">
        <f t="shared" si="17"/>
        <v>2.7022005440783312</v>
      </c>
      <c r="DD27" s="40">
        <f t="shared" si="80"/>
        <v>2.7022005440783312</v>
      </c>
      <c r="DE27" s="32"/>
      <c r="DF27" s="32">
        <f t="shared" si="81"/>
        <v>0.38</v>
      </c>
      <c r="DG27" s="36">
        <f t="shared" si="82"/>
        <v>0.38</v>
      </c>
      <c r="DH27" s="32">
        <f t="shared" si="18"/>
        <v>2.7022005440783312</v>
      </c>
      <c r="DI27" s="40">
        <f t="shared" si="83"/>
        <v>2.7022005440783312</v>
      </c>
      <c r="DJ27" s="32"/>
      <c r="DK27" s="32">
        <f t="shared" si="84"/>
        <v>0.38</v>
      </c>
      <c r="DL27" s="32">
        <f t="shared" si="85"/>
        <v>0.38</v>
      </c>
      <c r="DM27" s="32">
        <f t="shared" si="19"/>
        <v>2.7022005440783312</v>
      </c>
      <c r="DN27" s="40">
        <f t="shared" si="86"/>
        <v>2.7022005440783312</v>
      </c>
      <c r="DO27" s="32"/>
      <c r="DP27" s="32">
        <f t="shared" si="87"/>
        <v>0.38</v>
      </c>
      <c r="DQ27" s="36">
        <f t="shared" si="88"/>
        <v>0.38</v>
      </c>
      <c r="DR27" s="32">
        <f t="shared" si="20"/>
        <v>2.7022005440783312</v>
      </c>
      <c r="DS27" s="40">
        <f t="shared" si="89"/>
        <v>2.7022005440783312</v>
      </c>
      <c r="DT27" s="32"/>
      <c r="DU27" s="32">
        <f t="shared" si="90"/>
        <v>0.38</v>
      </c>
      <c r="DV27" s="36">
        <f t="shared" si="91"/>
        <v>0.38</v>
      </c>
      <c r="DW27" s="32">
        <f t="shared" si="21"/>
        <v>2.7022005440783312</v>
      </c>
      <c r="DX27" s="40">
        <f t="shared" si="92"/>
        <v>2.7022005440783312</v>
      </c>
      <c r="DY27" s="32"/>
      <c r="DZ27" s="32">
        <f t="shared" si="93"/>
        <v>0.38</v>
      </c>
      <c r="EA27" s="32">
        <f t="shared" si="94"/>
        <v>0.38</v>
      </c>
      <c r="EB27" s="32">
        <f t="shared" si="22"/>
        <v>2.7022005440783312</v>
      </c>
      <c r="EC27" s="40">
        <f t="shared" si="95"/>
        <v>2.7022005440783312</v>
      </c>
      <c r="ED27" s="32"/>
      <c r="EE27" s="32">
        <f t="shared" si="96"/>
        <v>0.38</v>
      </c>
      <c r="EF27" s="36">
        <f t="shared" si="97"/>
        <v>0.38</v>
      </c>
      <c r="EG27" s="32">
        <f t="shared" si="23"/>
        <v>2.7022005440783312</v>
      </c>
      <c r="EH27" s="40">
        <f t="shared" si="98"/>
        <v>2.7022005440783312</v>
      </c>
      <c r="EI27" s="32"/>
      <c r="EJ27" s="32">
        <f t="shared" si="99"/>
        <v>0.38</v>
      </c>
      <c r="EK27" s="36">
        <f t="shared" si="100"/>
        <v>0.38</v>
      </c>
      <c r="EL27" s="32">
        <f t="shared" si="24"/>
        <v>2.7022005440783312</v>
      </c>
      <c r="EM27" s="40">
        <f t="shared" si="101"/>
        <v>2.7022005440783312</v>
      </c>
      <c r="EN27" s="32"/>
      <c r="EO27" s="32">
        <f t="shared" si="102"/>
        <v>0.38</v>
      </c>
      <c r="EP27" s="32">
        <f t="shared" si="103"/>
        <v>0.38</v>
      </c>
      <c r="EQ27" s="32">
        <f t="shared" si="25"/>
        <v>2.7022005440783312</v>
      </c>
      <c r="ER27" s="40">
        <f t="shared" si="104"/>
        <v>2.7022005440783312</v>
      </c>
      <c r="ES27" s="32"/>
      <c r="ET27" s="32">
        <f t="shared" si="105"/>
        <v>0.38</v>
      </c>
      <c r="EU27" s="36">
        <f t="shared" si="106"/>
        <v>0.38</v>
      </c>
      <c r="EV27" s="32">
        <f t="shared" si="26"/>
        <v>2.7022005440783312</v>
      </c>
      <c r="EW27" s="40">
        <f t="shared" si="107"/>
        <v>2.7022005440783312</v>
      </c>
      <c r="EX27" s="32"/>
    </row>
    <row r="28" spans="3:154" s="3" customFormat="1" x14ac:dyDescent="0.25">
      <c r="C28" s="26"/>
      <c r="D28" s="27"/>
      <c r="E28" s="27"/>
      <c r="F28" s="27"/>
      <c r="G28" s="28"/>
      <c r="H28" s="1"/>
      <c r="I28" s="1"/>
      <c r="J28" s="1"/>
      <c r="K28" s="1"/>
      <c r="L28" s="1"/>
      <c r="M28" s="1"/>
      <c r="N28" s="1"/>
      <c r="O28" s="1"/>
      <c r="P28" s="1"/>
      <c r="Q28" s="1"/>
      <c r="R28" s="1"/>
      <c r="S28" s="1"/>
      <c r="T28" s="32">
        <f t="shared" si="27"/>
        <v>0.4</v>
      </c>
      <c r="U28" s="36">
        <f t="shared" si="28"/>
        <v>0.4</v>
      </c>
      <c r="V28" s="32">
        <f t="shared" si="0"/>
        <v>2.8068101822776672</v>
      </c>
      <c r="W28" s="40">
        <f t="shared" si="29"/>
        <v>2.8068101822776672</v>
      </c>
      <c r="X28" s="32"/>
      <c r="Y28" s="32">
        <f t="shared" si="30"/>
        <v>0.4</v>
      </c>
      <c r="Z28" s="32">
        <f t="shared" si="31"/>
        <v>0.4</v>
      </c>
      <c r="AA28" s="32">
        <f t="shared" si="1"/>
        <v>2.8068101822776672</v>
      </c>
      <c r="AB28" s="40">
        <f t="shared" si="32"/>
        <v>2.8068101822776672</v>
      </c>
      <c r="AC28" s="32"/>
      <c r="AD28" s="32">
        <f t="shared" si="33"/>
        <v>0.4</v>
      </c>
      <c r="AE28" s="36">
        <f t="shared" si="34"/>
        <v>0.4</v>
      </c>
      <c r="AF28" s="32">
        <f t="shared" si="2"/>
        <v>2.8068101822776672</v>
      </c>
      <c r="AG28" s="40">
        <f t="shared" si="35"/>
        <v>2.8068101822776672</v>
      </c>
      <c r="AH28" s="32"/>
      <c r="AI28" s="32">
        <f t="shared" si="36"/>
        <v>0.4</v>
      </c>
      <c r="AJ28" s="36">
        <f t="shared" si="37"/>
        <v>0.4</v>
      </c>
      <c r="AK28" s="32">
        <f t="shared" si="3"/>
        <v>2.8068101822776672</v>
      </c>
      <c r="AL28" s="40">
        <f t="shared" si="38"/>
        <v>2.8068101822776672</v>
      </c>
      <c r="AM28" s="32"/>
      <c r="AN28" s="32">
        <f t="shared" si="39"/>
        <v>0.4</v>
      </c>
      <c r="AO28" s="32">
        <f t="shared" si="40"/>
        <v>0.4</v>
      </c>
      <c r="AP28" s="32">
        <f t="shared" si="4"/>
        <v>2.8068101822776672</v>
      </c>
      <c r="AQ28" s="40">
        <f t="shared" si="41"/>
        <v>2.8068101822776672</v>
      </c>
      <c r="AR28" s="32"/>
      <c r="AS28" s="32">
        <f t="shared" si="42"/>
        <v>0.4</v>
      </c>
      <c r="AT28" s="36">
        <f t="shared" si="43"/>
        <v>0.4</v>
      </c>
      <c r="AU28" s="32">
        <f t="shared" si="5"/>
        <v>2.8068101822776672</v>
      </c>
      <c r="AV28" s="40">
        <f t="shared" si="44"/>
        <v>2.8068101822776672</v>
      </c>
      <c r="AW28" s="32"/>
      <c r="AX28" s="32">
        <f t="shared" si="45"/>
        <v>0.4</v>
      </c>
      <c r="AY28" s="36">
        <f t="shared" si="46"/>
        <v>0.4</v>
      </c>
      <c r="AZ28" s="32">
        <f t="shared" si="6"/>
        <v>2.8068101822776672</v>
      </c>
      <c r="BA28" s="40">
        <f t="shared" si="47"/>
        <v>2.8068101822776672</v>
      </c>
      <c r="BB28" s="32"/>
      <c r="BC28" s="32">
        <f t="shared" si="48"/>
        <v>0.4</v>
      </c>
      <c r="BD28" s="32">
        <f t="shared" si="49"/>
        <v>0.4</v>
      </c>
      <c r="BE28" s="32">
        <f t="shared" si="7"/>
        <v>2.8068101822776672</v>
      </c>
      <c r="BF28" s="40">
        <f t="shared" si="50"/>
        <v>2.8068101822776672</v>
      </c>
      <c r="BG28" s="32"/>
      <c r="BH28" s="32">
        <f t="shared" si="51"/>
        <v>0.4</v>
      </c>
      <c r="BI28" s="36">
        <f t="shared" si="52"/>
        <v>0.4</v>
      </c>
      <c r="BJ28" s="32">
        <f t="shared" si="8"/>
        <v>2.8068101822776672</v>
      </c>
      <c r="BK28" s="40">
        <f t="shared" si="53"/>
        <v>2.8068101822776672</v>
      </c>
      <c r="BL28" s="32"/>
      <c r="BM28" s="32">
        <f t="shared" si="54"/>
        <v>0.4</v>
      </c>
      <c r="BN28" s="36">
        <f t="shared" si="55"/>
        <v>0.4</v>
      </c>
      <c r="BO28" s="32">
        <f t="shared" si="9"/>
        <v>2.8068101822776672</v>
      </c>
      <c r="BP28" s="40">
        <f t="shared" si="56"/>
        <v>2.8068101822776672</v>
      </c>
      <c r="BQ28" s="32"/>
      <c r="BR28" s="32">
        <f t="shared" si="57"/>
        <v>0.4</v>
      </c>
      <c r="BS28" s="32">
        <f t="shared" si="58"/>
        <v>0.4</v>
      </c>
      <c r="BT28" s="32">
        <f t="shared" si="10"/>
        <v>2.8068101822776672</v>
      </c>
      <c r="BU28" s="40">
        <f t="shared" si="59"/>
        <v>2.8068101822776672</v>
      </c>
      <c r="BV28" s="32"/>
      <c r="BW28" s="32">
        <f t="shared" si="60"/>
        <v>0.4</v>
      </c>
      <c r="BX28" s="36">
        <f t="shared" si="61"/>
        <v>0.4</v>
      </c>
      <c r="BY28" s="32">
        <f t="shared" si="11"/>
        <v>2.8068101822776672</v>
      </c>
      <c r="BZ28" s="40">
        <f t="shared" si="62"/>
        <v>2.8068101822776672</v>
      </c>
      <c r="CA28" s="32"/>
      <c r="CB28" s="32">
        <f t="shared" si="63"/>
        <v>0.4</v>
      </c>
      <c r="CC28" s="36">
        <f t="shared" si="64"/>
        <v>0.4</v>
      </c>
      <c r="CD28" s="32">
        <f t="shared" si="12"/>
        <v>2.8068101822776672</v>
      </c>
      <c r="CE28" s="40">
        <f t="shared" si="65"/>
        <v>2.8068101822776672</v>
      </c>
      <c r="CF28" s="32"/>
      <c r="CG28" s="39">
        <f t="shared" si="66"/>
        <v>0.4</v>
      </c>
      <c r="CH28" s="39">
        <f t="shared" si="67"/>
        <v>0.4</v>
      </c>
      <c r="CI28" s="39">
        <f t="shared" si="13"/>
        <v>2.8068101822776672</v>
      </c>
      <c r="CJ28" s="40">
        <f t="shared" si="68"/>
        <v>2.8068101822776672</v>
      </c>
      <c r="CK28" s="39"/>
      <c r="CL28" s="32">
        <f t="shared" si="69"/>
        <v>0.4</v>
      </c>
      <c r="CM28" s="36">
        <f t="shared" si="70"/>
        <v>0.4</v>
      </c>
      <c r="CN28" s="32">
        <f t="shared" si="14"/>
        <v>2.8068101822776672</v>
      </c>
      <c r="CO28" s="40">
        <f t="shared" si="71"/>
        <v>2.8068101822776672</v>
      </c>
      <c r="CP28" s="32"/>
      <c r="CQ28" s="32">
        <f t="shared" si="72"/>
        <v>0.4</v>
      </c>
      <c r="CR28" s="36">
        <f t="shared" si="73"/>
        <v>0.4</v>
      </c>
      <c r="CS28" s="32">
        <f t="shared" si="15"/>
        <v>2.8068101822776672</v>
      </c>
      <c r="CT28" s="40">
        <f t="shared" si="74"/>
        <v>2.8068101822776672</v>
      </c>
      <c r="CU28" s="32"/>
      <c r="CV28" s="32">
        <f t="shared" si="75"/>
        <v>0.4</v>
      </c>
      <c r="CW28" s="32">
        <f t="shared" si="76"/>
        <v>0.4</v>
      </c>
      <c r="CX28" s="32">
        <f t="shared" si="16"/>
        <v>2.8068101822776672</v>
      </c>
      <c r="CY28" s="40">
        <f t="shared" si="77"/>
        <v>2.8068101822776672</v>
      </c>
      <c r="CZ28" s="32"/>
      <c r="DA28" s="32">
        <f t="shared" si="78"/>
        <v>0.4</v>
      </c>
      <c r="DB28" s="36">
        <f t="shared" si="79"/>
        <v>0.4</v>
      </c>
      <c r="DC28" s="32">
        <f t="shared" si="17"/>
        <v>2.8068101822776672</v>
      </c>
      <c r="DD28" s="40">
        <f t="shared" si="80"/>
        <v>2.8068101822776672</v>
      </c>
      <c r="DE28" s="32"/>
      <c r="DF28" s="32">
        <f t="shared" si="81"/>
        <v>0.4</v>
      </c>
      <c r="DG28" s="36">
        <f t="shared" si="82"/>
        <v>0.4</v>
      </c>
      <c r="DH28" s="32">
        <f t="shared" si="18"/>
        <v>2.8068101822776672</v>
      </c>
      <c r="DI28" s="40">
        <f t="shared" si="83"/>
        <v>2.8068101822776672</v>
      </c>
      <c r="DJ28" s="32"/>
      <c r="DK28" s="32">
        <f t="shared" si="84"/>
        <v>0.4</v>
      </c>
      <c r="DL28" s="32">
        <f t="shared" si="85"/>
        <v>0.4</v>
      </c>
      <c r="DM28" s="32">
        <f t="shared" si="19"/>
        <v>2.8068101822776672</v>
      </c>
      <c r="DN28" s="40">
        <f t="shared" si="86"/>
        <v>2.8068101822776672</v>
      </c>
      <c r="DO28" s="32"/>
      <c r="DP28" s="32">
        <f t="shared" si="87"/>
        <v>0.4</v>
      </c>
      <c r="DQ28" s="36">
        <f t="shared" si="88"/>
        <v>0.4</v>
      </c>
      <c r="DR28" s="32">
        <f t="shared" si="20"/>
        <v>2.8068101822776672</v>
      </c>
      <c r="DS28" s="40">
        <f t="shared" si="89"/>
        <v>2.8068101822776672</v>
      </c>
      <c r="DT28" s="32"/>
      <c r="DU28" s="32">
        <f t="shared" si="90"/>
        <v>0.4</v>
      </c>
      <c r="DV28" s="36">
        <f t="shared" si="91"/>
        <v>0.4</v>
      </c>
      <c r="DW28" s="32">
        <f t="shared" si="21"/>
        <v>2.8068101822776672</v>
      </c>
      <c r="DX28" s="40">
        <f t="shared" si="92"/>
        <v>2.8068101822776672</v>
      </c>
      <c r="DY28" s="32"/>
      <c r="DZ28" s="32">
        <f t="shared" si="93"/>
        <v>0.4</v>
      </c>
      <c r="EA28" s="32">
        <f t="shared" si="94"/>
        <v>0.4</v>
      </c>
      <c r="EB28" s="32">
        <f t="shared" si="22"/>
        <v>2.8068101822776672</v>
      </c>
      <c r="EC28" s="40">
        <f t="shared" si="95"/>
        <v>2.8068101822776672</v>
      </c>
      <c r="ED28" s="32"/>
      <c r="EE28" s="32">
        <f t="shared" si="96"/>
        <v>0.4</v>
      </c>
      <c r="EF28" s="36">
        <f t="shared" si="97"/>
        <v>0.4</v>
      </c>
      <c r="EG28" s="32">
        <f t="shared" si="23"/>
        <v>2.8068101822776672</v>
      </c>
      <c r="EH28" s="40">
        <f t="shared" si="98"/>
        <v>2.8068101822776672</v>
      </c>
      <c r="EI28" s="32"/>
      <c r="EJ28" s="32">
        <f t="shared" si="99"/>
        <v>0.4</v>
      </c>
      <c r="EK28" s="36">
        <f t="shared" si="100"/>
        <v>0.4</v>
      </c>
      <c r="EL28" s="32">
        <f t="shared" si="24"/>
        <v>2.8068101822776672</v>
      </c>
      <c r="EM28" s="40">
        <f t="shared" si="101"/>
        <v>2.8068101822776672</v>
      </c>
      <c r="EN28" s="32"/>
      <c r="EO28" s="32">
        <f t="shared" si="102"/>
        <v>0.4</v>
      </c>
      <c r="EP28" s="32">
        <f t="shared" si="103"/>
        <v>0.4</v>
      </c>
      <c r="EQ28" s="32">
        <f t="shared" si="25"/>
        <v>2.8068101822776672</v>
      </c>
      <c r="ER28" s="40">
        <f t="shared" si="104"/>
        <v>2.8068101822776672</v>
      </c>
      <c r="ES28" s="32"/>
      <c r="ET28" s="32">
        <f t="shared" si="105"/>
        <v>0.4</v>
      </c>
      <c r="EU28" s="36">
        <f t="shared" si="106"/>
        <v>0.4</v>
      </c>
      <c r="EV28" s="32">
        <f t="shared" si="26"/>
        <v>2.8068101822776672</v>
      </c>
      <c r="EW28" s="40">
        <f t="shared" si="107"/>
        <v>2.8068101822776672</v>
      </c>
      <c r="EX28" s="32"/>
    </row>
    <row r="29" spans="3:154" s="3" customFormat="1" x14ac:dyDescent="0.25">
      <c r="C29" s="29"/>
      <c r="D29" s="30"/>
      <c r="E29" s="30"/>
      <c r="F29" s="30"/>
      <c r="G29" s="31"/>
      <c r="H29" s="1"/>
      <c r="I29" s="1"/>
      <c r="J29" s="1"/>
      <c r="K29" s="1"/>
      <c r="L29" s="1"/>
      <c r="M29" s="1"/>
      <c r="N29" s="1"/>
      <c r="O29" s="1"/>
      <c r="P29" s="1"/>
      <c r="Q29" s="1"/>
      <c r="R29" s="1"/>
      <c r="S29" s="1"/>
      <c r="T29" s="32">
        <f t="shared" si="27"/>
        <v>0.42000000000000004</v>
      </c>
      <c r="U29" s="36">
        <f t="shared" si="28"/>
        <v>0.42000000000000004</v>
      </c>
      <c r="V29" s="32">
        <f t="shared" si="0"/>
        <v>2.9087113077491571</v>
      </c>
      <c r="W29" s="40">
        <f t="shared" si="29"/>
        <v>2.9087113077491571</v>
      </c>
      <c r="X29" s="32"/>
      <c r="Y29" s="32">
        <f t="shared" si="30"/>
        <v>0.42000000000000004</v>
      </c>
      <c r="Z29" s="32">
        <f t="shared" si="31"/>
        <v>0.42000000000000004</v>
      </c>
      <c r="AA29" s="32">
        <f t="shared" si="1"/>
        <v>2.9087113077491571</v>
      </c>
      <c r="AB29" s="40">
        <f t="shared" si="32"/>
        <v>2.9087113077491571</v>
      </c>
      <c r="AC29" s="32"/>
      <c r="AD29" s="32">
        <f t="shared" si="33"/>
        <v>0.42000000000000004</v>
      </c>
      <c r="AE29" s="36">
        <f t="shared" si="34"/>
        <v>0.42000000000000004</v>
      </c>
      <c r="AF29" s="32">
        <f t="shared" si="2"/>
        <v>2.9087113077491571</v>
      </c>
      <c r="AG29" s="40">
        <f t="shared" si="35"/>
        <v>2.9087113077491571</v>
      </c>
      <c r="AH29" s="32"/>
      <c r="AI29" s="32">
        <f t="shared" si="36"/>
        <v>0.42000000000000004</v>
      </c>
      <c r="AJ29" s="36">
        <f t="shared" si="37"/>
        <v>0.42000000000000004</v>
      </c>
      <c r="AK29" s="32">
        <f t="shared" si="3"/>
        <v>2.9087113077491571</v>
      </c>
      <c r="AL29" s="40">
        <f t="shared" si="38"/>
        <v>2.9087113077491571</v>
      </c>
      <c r="AM29" s="32"/>
      <c r="AN29" s="32">
        <f t="shared" si="39"/>
        <v>0.42000000000000004</v>
      </c>
      <c r="AO29" s="32">
        <f t="shared" si="40"/>
        <v>0.42000000000000004</v>
      </c>
      <c r="AP29" s="32">
        <f t="shared" si="4"/>
        <v>2.9087113077491571</v>
      </c>
      <c r="AQ29" s="40">
        <f t="shared" si="41"/>
        <v>2.9087113077491571</v>
      </c>
      <c r="AR29" s="32"/>
      <c r="AS29" s="32">
        <f t="shared" si="42"/>
        <v>0.42000000000000004</v>
      </c>
      <c r="AT29" s="36">
        <f t="shared" si="43"/>
        <v>0.42000000000000004</v>
      </c>
      <c r="AU29" s="32">
        <f t="shared" si="5"/>
        <v>2.9087113077491571</v>
      </c>
      <c r="AV29" s="40">
        <f t="shared" si="44"/>
        <v>2.9087113077491571</v>
      </c>
      <c r="AW29" s="32"/>
      <c r="AX29" s="32">
        <f t="shared" si="45"/>
        <v>0.42000000000000004</v>
      </c>
      <c r="AY29" s="36">
        <f t="shared" si="46"/>
        <v>0.42000000000000004</v>
      </c>
      <c r="AZ29" s="32">
        <f t="shared" si="6"/>
        <v>2.9087113077491571</v>
      </c>
      <c r="BA29" s="40">
        <f t="shared" si="47"/>
        <v>2.9087113077491571</v>
      </c>
      <c r="BB29" s="32"/>
      <c r="BC29" s="32">
        <f t="shared" si="48"/>
        <v>0.42000000000000004</v>
      </c>
      <c r="BD29" s="32">
        <f t="shared" si="49"/>
        <v>0.42000000000000004</v>
      </c>
      <c r="BE29" s="32">
        <f t="shared" si="7"/>
        <v>2.9087113077491571</v>
      </c>
      <c r="BF29" s="40">
        <f t="shared" si="50"/>
        <v>2.9087113077491571</v>
      </c>
      <c r="BG29" s="32"/>
      <c r="BH29" s="32">
        <f t="shared" si="51"/>
        <v>0.42000000000000004</v>
      </c>
      <c r="BI29" s="36">
        <f t="shared" si="52"/>
        <v>0.42000000000000004</v>
      </c>
      <c r="BJ29" s="32">
        <f t="shared" si="8"/>
        <v>2.9087113077491571</v>
      </c>
      <c r="BK29" s="40">
        <f t="shared" si="53"/>
        <v>2.9087113077491571</v>
      </c>
      <c r="BL29" s="32"/>
      <c r="BM29" s="32">
        <f t="shared" si="54"/>
        <v>0.42000000000000004</v>
      </c>
      <c r="BN29" s="36">
        <f t="shared" si="55"/>
        <v>0.42000000000000004</v>
      </c>
      <c r="BO29" s="32">
        <f t="shared" si="9"/>
        <v>2.9087113077491571</v>
      </c>
      <c r="BP29" s="40">
        <f t="shared" si="56"/>
        <v>2.9087113077491571</v>
      </c>
      <c r="BQ29" s="32"/>
      <c r="BR29" s="32">
        <f t="shared" si="57"/>
        <v>0.42000000000000004</v>
      </c>
      <c r="BS29" s="32">
        <f t="shared" si="58"/>
        <v>0.42000000000000004</v>
      </c>
      <c r="BT29" s="32">
        <f t="shared" si="10"/>
        <v>2.9087113077491571</v>
      </c>
      <c r="BU29" s="40">
        <f t="shared" si="59"/>
        <v>2.9087113077491571</v>
      </c>
      <c r="BV29" s="32"/>
      <c r="BW29" s="32">
        <f t="shared" si="60"/>
        <v>0.42000000000000004</v>
      </c>
      <c r="BX29" s="36">
        <f t="shared" si="61"/>
        <v>0.42000000000000004</v>
      </c>
      <c r="BY29" s="32">
        <f t="shared" si="11"/>
        <v>2.9087113077491571</v>
      </c>
      <c r="BZ29" s="40">
        <f t="shared" si="62"/>
        <v>2.9087113077491571</v>
      </c>
      <c r="CA29" s="32"/>
      <c r="CB29" s="32">
        <f t="shared" si="63"/>
        <v>0.42000000000000004</v>
      </c>
      <c r="CC29" s="36">
        <f t="shared" si="64"/>
        <v>0.42000000000000004</v>
      </c>
      <c r="CD29" s="32">
        <f t="shared" si="12"/>
        <v>2.9087113077491571</v>
      </c>
      <c r="CE29" s="40">
        <f t="shared" si="65"/>
        <v>2.9087113077491571</v>
      </c>
      <c r="CF29" s="32"/>
      <c r="CG29" s="39">
        <f t="shared" si="66"/>
        <v>0.42000000000000004</v>
      </c>
      <c r="CH29" s="39">
        <f t="shared" si="67"/>
        <v>0.42000000000000004</v>
      </c>
      <c r="CI29" s="39">
        <f t="shared" si="13"/>
        <v>2.9087113077491571</v>
      </c>
      <c r="CJ29" s="40">
        <f t="shared" si="68"/>
        <v>2.9087113077491571</v>
      </c>
      <c r="CK29" s="39"/>
      <c r="CL29" s="32">
        <f t="shared" si="69"/>
        <v>0.42000000000000004</v>
      </c>
      <c r="CM29" s="36">
        <f t="shared" si="70"/>
        <v>0.42000000000000004</v>
      </c>
      <c r="CN29" s="32">
        <f t="shared" si="14"/>
        <v>2.9087113077491571</v>
      </c>
      <c r="CO29" s="40">
        <f t="shared" si="71"/>
        <v>2.9087113077491571</v>
      </c>
      <c r="CP29" s="32"/>
      <c r="CQ29" s="32">
        <f t="shared" si="72"/>
        <v>0.42000000000000004</v>
      </c>
      <c r="CR29" s="36">
        <f t="shared" si="73"/>
        <v>0.42000000000000004</v>
      </c>
      <c r="CS29" s="32">
        <f t="shared" si="15"/>
        <v>2.9087113077491571</v>
      </c>
      <c r="CT29" s="40">
        <f t="shared" si="74"/>
        <v>2.9087113077491571</v>
      </c>
      <c r="CU29" s="32"/>
      <c r="CV29" s="32">
        <f t="shared" si="75"/>
        <v>0.42000000000000004</v>
      </c>
      <c r="CW29" s="32">
        <f t="shared" si="76"/>
        <v>0.42000000000000004</v>
      </c>
      <c r="CX29" s="32">
        <f t="shared" si="16"/>
        <v>2.9087113077491571</v>
      </c>
      <c r="CY29" s="40">
        <f t="shared" si="77"/>
        <v>2.9087113077491571</v>
      </c>
      <c r="CZ29" s="32"/>
      <c r="DA29" s="32">
        <f t="shared" si="78"/>
        <v>0.42000000000000004</v>
      </c>
      <c r="DB29" s="36">
        <f t="shared" si="79"/>
        <v>0.42000000000000004</v>
      </c>
      <c r="DC29" s="32">
        <f t="shared" si="17"/>
        <v>2.9087113077491571</v>
      </c>
      <c r="DD29" s="40">
        <f t="shared" si="80"/>
        <v>2.9087113077491571</v>
      </c>
      <c r="DE29" s="32"/>
      <c r="DF29" s="32">
        <f t="shared" si="81"/>
        <v>0.42000000000000004</v>
      </c>
      <c r="DG29" s="36">
        <f t="shared" si="82"/>
        <v>0.42000000000000004</v>
      </c>
      <c r="DH29" s="32">
        <f t="shared" si="18"/>
        <v>2.9087113077491571</v>
      </c>
      <c r="DI29" s="40">
        <f t="shared" si="83"/>
        <v>2.9087113077491571</v>
      </c>
      <c r="DJ29" s="32"/>
      <c r="DK29" s="32">
        <f t="shared" si="84"/>
        <v>0.42000000000000004</v>
      </c>
      <c r="DL29" s="32">
        <f t="shared" si="85"/>
        <v>0.42000000000000004</v>
      </c>
      <c r="DM29" s="32">
        <f t="shared" si="19"/>
        <v>2.9087113077491571</v>
      </c>
      <c r="DN29" s="40">
        <f t="shared" si="86"/>
        <v>2.9087113077491571</v>
      </c>
      <c r="DO29" s="32"/>
      <c r="DP29" s="32">
        <f t="shared" si="87"/>
        <v>0.42000000000000004</v>
      </c>
      <c r="DQ29" s="36">
        <f t="shared" si="88"/>
        <v>0.42000000000000004</v>
      </c>
      <c r="DR29" s="32">
        <f t="shared" si="20"/>
        <v>2.9087113077491571</v>
      </c>
      <c r="DS29" s="40">
        <f t="shared" si="89"/>
        <v>2.9087113077491571</v>
      </c>
      <c r="DT29" s="32"/>
      <c r="DU29" s="32">
        <f t="shared" si="90"/>
        <v>0.42000000000000004</v>
      </c>
      <c r="DV29" s="36">
        <f t="shared" si="91"/>
        <v>0.42000000000000004</v>
      </c>
      <c r="DW29" s="32">
        <f t="shared" si="21"/>
        <v>2.9087113077491571</v>
      </c>
      <c r="DX29" s="40">
        <f t="shared" si="92"/>
        <v>2.9087113077491571</v>
      </c>
      <c r="DY29" s="32"/>
      <c r="DZ29" s="32">
        <f t="shared" si="93"/>
        <v>0.42000000000000004</v>
      </c>
      <c r="EA29" s="32">
        <f t="shared" si="94"/>
        <v>0.42000000000000004</v>
      </c>
      <c r="EB29" s="32">
        <f t="shared" si="22"/>
        <v>2.9087113077491571</v>
      </c>
      <c r="EC29" s="40">
        <f t="shared" si="95"/>
        <v>2.9087113077491571</v>
      </c>
      <c r="ED29" s="32"/>
      <c r="EE29" s="32">
        <f t="shared" si="96"/>
        <v>0.42000000000000004</v>
      </c>
      <c r="EF29" s="36">
        <f t="shared" si="97"/>
        <v>0.42000000000000004</v>
      </c>
      <c r="EG29" s="32">
        <f t="shared" si="23"/>
        <v>2.9087113077491571</v>
      </c>
      <c r="EH29" s="40">
        <f t="shared" si="98"/>
        <v>2.9087113077491571</v>
      </c>
      <c r="EI29" s="32"/>
      <c r="EJ29" s="32">
        <f t="shared" si="99"/>
        <v>0.42000000000000004</v>
      </c>
      <c r="EK29" s="36">
        <f t="shared" si="100"/>
        <v>0.42000000000000004</v>
      </c>
      <c r="EL29" s="32">
        <f t="shared" si="24"/>
        <v>2.9087113077491571</v>
      </c>
      <c r="EM29" s="40">
        <f t="shared" si="101"/>
        <v>2.9087113077491571</v>
      </c>
      <c r="EN29" s="32"/>
      <c r="EO29" s="32">
        <f t="shared" si="102"/>
        <v>0.42000000000000004</v>
      </c>
      <c r="EP29" s="32">
        <f t="shared" si="103"/>
        <v>0.42000000000000004</v>
      </c>
      <c r="EQ29" s="32">
        <f t="shared" si="25"/>
        <v>2.9087113077491571</v>
      </c>
      <c r="ER29" s="40">
        <f t="shared" si="104"/>
        <v>2.9087113077491571</v>
      </c>
      <c r="ES29" s="32"/>
      <c r="ET29" s="32">
        <f t="shared" si="105"/>
        <v>0.42000000000000004</v>
      </c>
      <c r="EU29" s="36">
        <f t="shared" si="106"/>
        <v>0.42000000000000004</v>
      </c>
      <c r="EV29" s="32">
        <f t="shared" si="26"/>
        <v>2.9087113077491571</v>
      </c>
      <c r="EW29" s="40">
        <f t="shared" si="107"/>
        <v>2.9087113077491571</v>
      </c>
      <c r="EX29" s="32"/>
    </row>
    <row r="30" spans="3:154" s="3" customFormat="1" x14ac:dyDescent="0.25">
      <c r="C30" s="1"/>
      <c r="D30" s="1"/>
      <c r="E30" s="1"/>
      <c r="F30" s="1"/>
      <c r="G30" s="1"/>
      <c r="H30" s="1"/>
      <c r="I30" s="1"/>
      <c r="J30" s="1"/>
      <c r="K30" s="1"/>
      <c r="L30" s="1"/>
      <c r="M30" s="1"/>
      <c r="N30" s="1"/>
      <c r="O30" s="1"/>
      <c r="P30" s="1"/>
      <c r="Q30" s="1"/>
      <c r="R30" s="1"/>
      <c r="S30" s="1"/>
      <c r="T30" s="32">
        <f t="shared" si="27"/>
        <v>0.44000000000000006</v>
      </c>
      <c r="U30" s="36">
        <f t="shared" si="28"/>
        <v>0.44000000000000006</v>
      </c>
      <c r="V30" s="32">
        <f t="shared" si="0"/>
        <v>3.0079039204927986</v>
      </c>
      <c r="W30" s="40">
        <f t="shared" si="29"/>
        <v>3.0079039204927986</v>
      </c>
      <c r="X30" s="32"/>
      <c r="Y30" s="32">
        <f t="shared" si="30"/>
        <v>0.44000000000000006</v>
      </c>
      <c r="Z30" s="32">
        <f t="shared" si="31"/>
        <v>0.44000000000000006</v>
      </c>
      <c r="AA30" s="32">
        <f t="shared" si="1"/>
        <v>3.0079039204927986</v>
      </c>
      <c r="AB30" s="40">
        <f t="shared" si="32"/>
        <v>3.0079039204927986</v>
      </c>
      <c r="AC30" s="32"/>
      <c r="AD30" s="32">
        <f t="shared" si="33"/>
        <v>0.44000000000000006</v>
      </c>
      <c r="AE30" s="36">
        <f t="shared" si="34"/>
        <v>0.44000000000000006</v>
      </c>
      <c r="AF30" s="32">
        <f t="shared" si="2"/>
        <v>3.0079039204927986</v>
      </c>
      <c r="AG30" s="40">
        <f t="shared" si="35"/>
        <v>3.0079039204927986</v>
      </c>
      <c r="AH30" s="32"/>
      <c r="AI30" s="32">
        <f t="shared" si="36"/>
        <v>0.44000000000000006</v>
      </c>
      <c r="AJ30" s="36">
        <f t="shared" si="37"/>
        <v>0.44000000000000006</v>
      </c>
      <c r="AK30" s="32">
        <f t="shared" si="3"/>
        <v>3.0079039204927986</v>
      </c>
      <c r="AL30" s="40">
        <f t="shared" si="38"/>
        <v>3.0079039204927986</v>
      </c>
      <c r="AM30" s="32"/>
      <c r="AN30" s="32">
        <f t="shared" si="39"/>
        <v>0.44000000000000006</v>
      </c>
      <c r="AO30" s="32">
        <f t="shared" si="40"/>
        <v>0.44000000000000006</v>
      </c>
      <c r="AP30" s="32">
        <f t="shared" si="4"/>
        <v>3.0079039204927986</v>
      </c>
      <c r="AQ30" s="40">
        <f t="shared" si="41"/>
        <v>3.0079039204927986</v>
      </c>
      <c r="AR30" s="32"/>
      <c r="AS30" s="32">
        <f t="shared" si="42"/>
        <v>0.44000000000000006</v>
      </c>
      <c r="AT30" s="36">
        <f t="shared" si="43"/>
        <v>0.44000000000000006</v>
      </c>
      <c r="AU30" s="32">
        <f t="shared" si="5"/>
        <v>3.0079039204927986</v>
      </c>
      <c r="AV30" s="40">
        <f t="shared" si="44"/>
        <v>3.0079039204927986</v>
      </c>
      <c r="AW30" s="32"/>
      <c r="AX30" s="32">
        <f t="shared" si="45"/>
        <v>0.44000000000000006</v>
      </c>
      <c r="AY30" s="36">
        <f t="shared" si="46"/>
        <v>0.44000000000000006</v>
      </c>
      <c r="AZ30" s="32">
        <f t="shared" si="6"/>
        <v>3.0079039204927986</v>
      </c>
      <c r="BA30" s="40">
        <f t="shared" si="47"/>
        <v>3.0079039204927986</v>
      </c>
      <c r="BB30" s="32"/>
      <c r="BC30" s="32">
        <f t="shared" si="48"/>
        <v>0.44000000000000006</v>
      </c>
      <c r="BD30" s="32">
        <f t="shared" si="49"/>
        <v>0.44000000000000006</v>
      </c>
      <c r="BE30" s="32">
        <f t="shared" si="7"/>
        <v>3.0079039204927986</v>
      </c>
      <c r="BF30" s="40">
        <f t="shared" si="50"/>
        <v>3.0079039204927986</v>
      </c>
      <c r="BG30" s="32"/>
      <c r="BH30" s="32">
        <f t="shared" si="51"/>
        <v>0.44000000000000006</v>
      </c>
      <c r="BI30" s="36">
        <f t="shared" si="52"/>
        <v>0.44000000000000006</v>
      </c>
      <c r="BJ30" s="32">
        <f t="shared" si="8"/>
        <v>3.0079039204927986</v>
      </c>
      <c r="BK30" s="40">
        <f t="shared" si="53"/>
        <v>3.0079039204927986</v>
      </c>
      <c r="BL30" s="32"/>
      <c r="BM30" s="32">
        <f t="shared" si="54"/>
        <v>0.44000000000000006</v>
      </c>
      <c r="BN30" s="36">
        <f t="shared" si="55"/>
        <v>0.44000000000000006</v>
      </c>
      <c r="BO30" s="32">
        <f t="shared" si="9"/>
        <v>3.0079039204927986</v>
      </c>
      <c r="BP30" s="40">
        <f t="shared" si="56"/>
        <v>3.0079039204927986</v>
      </c>
      <c r="BQ30" s="32"/>
      <c r="BR30" s="32">
        <f t="shared" si="57"/>
        <v>0.44000000000000006</v>
      </c>
      <c r="BS30" s="32">
        <f t="shared" si="58"/>
        <v>0.44000000000000006</v>
      </c>
      <c r="BT30" s="32">
        <f t="shared" si="10"/>
        <v>3.0079039204927986</v>
      </c>
      <c r="BU30" s="40">
        <f t="shared" si="59"/>
        <v>3.0079039204927986</v>
      </c>
      <c r="BV30" s="32"/>
      <c r="BW30" s="32">
        <f t="shared" si="60"/>
        <v>0.44000000000000006</v>
      </c>
      <c r="BX30" s="36">
        <f t="shared" si="61"/>
        <v>0.44000000000000006</v>
      </c>
      <c r="BY30" s="32">
        <f t="shared" si="11"/>
        <v>3.0079039204927986</v>
      </c>
      <c r="BZ30" s="40">
        <f t="shared" si="62"/>
        <v>3.0079039204927986</v>
      </c>
      <c r="CA30" s="32"/>
      <c r="CB30" s="32">
        <f t="shared" si="63"/>
        <v>0.44000000000000006</v>
      </c>
      <c r="CC30" s="36">
        <f t="shared" si="64"/>
        <v>0.44000000000000006</v>
      </c>
      <c r="CD30" s="32">
        <f t="shared" si="12"/>
        <v>3.0079039204927986</v>
      </c>
      <c r="CE30" s="40">
        <f t="shared" si="65"/>
        <v>3.0079039204927986</v>
      </c>
      <c r="CF30" s="32"/>
      <c r="CG30" s="39">
        <f t="shared" si="66"/>
        <v>0.44000000000000006</v>
      </c>
      <c r="CH30" s="39">
        <f t="shared" si="67"/>
        <v>0.44000000000000006</v>
      </c>
      <c r="CI30" s="39">
        <f t="shared" si="13"/>
        <v>3.0079039204927986</v>
      </c>
      <c r="CJ30" s="40">
        <f t="shared" si="68"/>
        <v>3.0079039204927986</v>
      </c>
      <c r="CK30" s="39"/>
      <c r="CL30" s="32">
        <f t="shared" si="69"/>
        <v>0.44000000000000006</v>
      </c>
      <c r="CM30" s="36">
        <f t="shared" si="70"/>
        <v>0.44000000000000006</v>
      </c>
      <c r="CN30" s="32">
        <f t="shared" si="14"/>
        <v>3.0079039204927986</v>
      </c>
      <c r="CO30" s="40">
        <f t="shared" si="71"/>
        <v>3.0079039204927986</v>
      </c>
      <c r="CP30" s="32"/>
      <c r="CQ30" s="32">
        <f t="shared" si="72"/>
        <v>0.44000000000000006</v>
      </c>
      <c r="CR30" s="36">
        <f t="shared" si="73"/>
        <v>0.44000000000000006</v>
      </c>
      <c r="CS30" s="32">
        <f t="shared" si="15"/>
        <v>3.0079039204927986</v>
      </c>
      <c r="CT30" s="40">
        <f t="shared" si="74"/>
        <v>3.0079039204927986</v>
      </c>
      <c r="CU30" s="32"/>
      <c r="CV30" s="32">
        <f t="shared" si="75"/>
        <v>0.44000000000000006</v>
      </c>
      <c r="CW30" s="32">
        <f t="shared" si="76"/>
        <v>0.44000000000000006</v>
      </c>
      <c r="CX30" s="32">
        <f t="shared" si="16"/>
        <v>3.0079039204927986</v>
      </c>
      <c r="CY30" s="40">
        <f t="shared" si="77"/>
        <v>3.0079039204927986</v>
      </c>
      <c r="CZ30" s="32"/>
      <c r="DA30" s="32">
        <f t="shared" si="78"/>
        <v>0.44000000000000006</v>
      </c>
      <c r="DB30" s="36">
        <f t="shared" si="79"/>
        <v>0.44000000000000006</v>
      </c>
      <c r="DC30" s="32">
        <f t="shared" si="17"/>
        <v>3.0079039204927986</v>
      </c>
      <c r="DD30" s="40">
        <f t="shared" si="80"/>
        <v>3.0079039204927986</v>
      </c>
      <c r="DE30" s="32"/>
      <c r="DF30" s="32">
        <f t="shared" si="81"/>
        <v>0.44000000000000006</v>
      </c>
      <c r="DG30" s="36">
        <f t="shared" si="82"/>
        <v>0.44000000000000006</v>
      </c>
      <c r="DH30" s="32">
        <f t="shared" si="18"/>
        <v>3.0079039204927986</v>
      </c>
      <c r="DI30" s="40">
        <f t="shared" si="83"/>
        <v>3.0079039204927986</v>
      </c>
      <c r="DJ30" s="32"/>
      <c r="DK30" s="32">
        <f t="shared" si="84"/>
        <v>0.44000000000000006</v>
      </c>
      <c r="DL30" s="32">
        <f t="shared" si="85"/>
        <v>0.44000000000000006</v>
      </c>
      <c r="DM30" s="32">
        <f t="shared" si="19"/>
        <v>3.0079039204927986</v>
      </c>
      <c r="DN30" s="40">
        <f t="shared" si="86"/>
        <v>3.0079039204927986</v>
      </c>
      <c r="DO30" s="32"/>
      <c r="DP30" s="32">
        <f t="shared" si="87"/>
        <v>0.44000000000000006</v>
      </c>
      <c r="DQ30" s="36">
        <f t="shared" si="88"/>
        <v>0.44000000000000006</v>
      </c>
      <c r="DR30" s="32">
        <f t="shared" si="20"/>
        <v>3.0079039204927986</v>
      </c>
      <c r="DS30" s="40">
        <f t="shared" si="89"/>
        <v>3.0079039204927986</v>
      </c>
      <c r="DT30" s="32"/>
      <c r="DU30" s="32">
        <f t="shared" si="90"/>
        <v>0.44000000000000006</v>
      </c>
      <c r="DV30" s="36">
        <f t="shared" si="91"/>
        <v>0.44000000000000006</v>
      </c>
      <c r="DW30" s="32">
        <f t="shared" si="21"/>
        <v>3.0079039204927986</v>
      </c>
      <c r="DX30" s="40">
        <f t="shared" si="92"/>
        <v>3.0079039204927986</v>
      </c>
      <c r="DY30" s="32"/>
      <c r="DZ30" s="32">
        <f t="shared" si="93"/>
        <v>0.44000000000000006</v>
      </c>
      <c r="EA30" s="32">
        <f t="shared" si="94"/>
        <v>0.44000000000000006</v>
      </c>
      <c r="EB30" s="32">
        <f t="shared" si="22"/>
        <v>3.0079039204927986</v>
      </c>
      <c r="EC30" s="40">
        <f t="shared" si="95"/>
        <v>3.0079039204927986</v>
      </c>
      <c r="ED30" s="32"/>
      <c r="EE30" s="32">
        <f t="shared" si="96"/>
        <v>0.44000000000000006</v>
      </c>
      <c r="EF30" s="36">
        <f t="shared" si="97"/>
        <v>0.44000000000000006</v>
      </c>
      <c r="EG30" s="32">
        <f t="shared" si="23"/>
        <v>3.0079039204927986</v>
      </c>
      <c r="EH30" s="40">
        <f t="shared" si="98"/>
        <v>3.0079039204927986</v>
      </c>
      <c r="EI30" s="32"/>
      <c r="EJ30" s="32">
        <f t="shared" si="99"/>
        <v>0.44000000000000006</v>
      </c>
      <c r="EK30" s="36">
        <f t="shared" si="100"/>
        <v>0.44000000000000006</v>
      </c>
      <c r="EL30" s="32">
        <f t="shared" si="24"/>
        <v>3.0079039204927986</v>
      </c>
      <c r="EM30" s="40">
        <f t="shared" si="101"/>
        <v>3.0079039204927986</v>
      </c>
      <c r="EN30" s="32"/>
      <c r="EO30" s="32">
        <f t="shared" si="102"/>
        <v>0.44000000000000006</v>
      </c>
      <c r="EP30" s="32">
        <f t="shared" si="103"/>
        <v>0.44000000000000006</v>
      </c>
      <c r="EQ30" s="32">
        <f t="shared" si="25"/>
        <v>3.0079039204927986</v>
      </c>
      <c r="ER30" s="40">
        <f t="shared" si="104"/>
        <v>3.0079039204927986</v>
      </c>
      <c r="ES30" s="32"/>
      <c r="ET30" s="32">
        <f t="shared" si="105"/>
        <v>0.44000000000000006</v>
      </c>
      <c r="EU30" s="36">
        <f t="shared" si="106"/>
        <v>0.44000000000000006</v>
      </c>
      <c r="EV30" s="32">
        <f t="shared" si="26"/>
        <v>3.0079039204927986</v>
      </c>
      <c r="EW30" s="40">
        <f t="shared" si="107"/>
        <v>3.0079039204927986</v>
      </c>
      <c r="EX30" s="32"/>
    </row>
    <row r="31" spans="3:154" s="3" customFormat="1" x14ac:dyDescent="0.25">
      <c r="C31" s="1"/>
      <c r="D31" s="1"/>
      <c r="E31" s="1"/>
      <c r="F31" s="1"/>
      <c r="G31" s="1"/>
      <c r="H31" s="1"/>
      <c r="I31" s="1"/>
      <c r="J31" s="1"/>
      <c r="K31" s="1"/>
      <c r="L31" s="1"/>
      <c r="M31" s="1"/>
      <c r="N31" s="1"/>
      <c r="O31" s="1"/>
      <c r="P31" s="1"/>
      <c r="Q31" s="1"/>
      <c r="R31" s="1"/>
      <c r="S31" s="1"/>
      <c r="T31" s="32">
        <f t="shared" si="27"/>
        <v>0.46000000000000008</v>
      </c>
      <c r="U31" s="36">
        <f t="shared" si="28"/>
        <v>0.46000000000000008</v>
      </c>
      <c r="V31" s="32">
        <f t="shared" si="0"/>
        <v>3.1043880205085936</v>
      </c>
      <c r="W31" s="40">
        <f t="shared" si="29"/>
        <v>3.1043880205085936</v>
      </c>
      <c r="X31" s="32"/>
      <c r="Y31" s="32">
        <f t="shared" si="30"/>
        <v>0.46000000000000008</v>
      </c>
      <c r="Z31" s="32">
        <f t="shared" si="31"/>
        <v>0.46000000000000008</v>
      </c>
      <c r="AA31" s="32">
        <f t="shared" si="1"/>
        <v>3.1043880205085936</v>
      </c>
      <c r="AB31" s="40">
        <f t="shared" si="32"/>
        <v>3.1043880205085936</v>
      </c>
      <c r="AC31" s="32"/>
      <c r="AD31" s="32">
        <f t="shared" si="33"/>
        <v>0.46000000000000008</v>
      </c>
      <c r="AE31" s="36">
        <f t="shared" si="34"/>
        <v>0.46000000000000008</v>
      </c>
      <c r="AF31" s="32">
        <f t="shared" si="2"/>
        <v>3.1043880205085936</v>
      </c>
      <c r="AG31" s="40">
        <f t="shared" si="35"/>
        <v>3.1043880205085936</v>
      </c>
      <c r="AH31" s="32"/>
      <c r="AI31" s="32">
        <f t="shared" si="36"/>
        <v>0.46000000000000008</v>
      </c>
      <c r="AJ31" s="36">
        <f t="shared" si="37"/>
        <v>0.46000000000000008</v>
      </c>
      <c r="AK31" s="32">
        <f t="shared" si="3"/>
        <v>3.1043880205085936</v>
      </c>
      <c r="AL31" s="40">
        <f t="shared" si="38"/>
        <v>3.1043880205085936</v>
      </c>
      <c r="AM31" s="32"/>
      <c r="AN31" s="32">
        <f t="shared" si="39"/>
        <v>0.46000000000000008</v>
      </c>
      <c r="AO31" s="32">
        <f t="shared" si="40"/>
        <v>0.46000000000000008</v>
      </c>
      <c r="AP31" s="32">
        <f t="shared" si="4"/>
        <v>3.1043880205085936</v>
      </c>
      <c r="AQ31" s="40">
        <f t="shared" si="41"/>
        <v>3.1043880205085936</v>
      </c>
      <c r="AR31" s="32"/>
      <c r="AS31" s="32">
        <f t="shared" si="42"/>
        <v>0.46000000000000008</v>
      </c>
      <c r="AT31" s="36">
        <f t="shared" si="43"/>
        <v>0.46000000000000008</v>
      </c>
      <c r="AU31" s="32">
        <f t="shared" si="5"/>
        <v>3.1043880205085936</v>
      </c>
      <c r="AV31" s="40">
        <f t="shared" si="44"/>
        <v>3.1043880205085936</v>
      </c>
      <c r="AW31" s="32"/>
      <c r="AX31" s="32">
        <f t="shared" si="45"/>
        <v>0.46000000000000008</v>
      </c>
      <c r="AY31" s="36">
        <f t="shared" si="46"/>
        <v>0.46000000000000008</v>
      </c>
      <c r="AZ31" s="32">
        <f t="shared" si="6"/>
        <v>3.1043880205085936</v>
      </c>
      <c r="BA31" s="40">
        <f t="shared" si="47"/>
        <v>3.1043880205085936</v>
      </c>
      <c r="BB31" s="32"/>
      <c r="BC31" s="32">
        <f t="shared" si="48"/>
        <v>0.46000000000000008</v>
      </c>
      <c r="BD31" s="32">
        <f t="shared" si="49"/>
        <v>0.46000000000000008</v>
      </c>
      <c r="BE31" s="32">
        <f t="shared" si="7"/>
        <v>3.1043880205085936</v>
      </c>
      <c r="BF31" s="40">
        <f t="shared" si="50"/>
        <v>3.1043880205085936</v>
      </c>
      <c r="BG31" s="32"/>
      <c r="BH31" s="32">
        <f t="shared" si="51"/>
        <v>0.46000000000000008</v>
      </c>
      <c r="BI31" s="36">
        <f t="shared" si="52"/>
        <v>0.46000000000000008</v>
      </c>
      <c r="BJ31" s="32">
        <f t="shared" si="8"/>
        <v>3.1043880205085936</v>
      </c>
      <c r="BK31" s="40">
        <f t="shared" si="53"/>
        <v>3.1043880205085936</v>
      </c>
      <c r="BL31" s="32"/>
      <c r="BM31" s="32">
        <f t="shared" si="54"/>
        <v>0.46000000000000008</v>
      </c>
      <c r="BN31" s="36">
        <f t="shared" si="55"/>
        <v>0.46000000000000008</v>
      </c>
      <c r="BO31" s="32">
        <f t="shared" si="9"/>
        <v>3.1043880205085936</v>
      </c>
      <c r="BP31" s="40">
        <f t="shared" si="56"/>
        <v>3.1043880205085936</v>
      </c>
      <c r="BQ31" s="32"/>
      <c r="BR31" s="32">
        <f t="shared" si="57"/>
        <v>0.46000000000000008</v>
      </c>
      <c r="BS31" s="32">
        <f t="shared" si="58"/>
        <v>0.46000000000000008</v>
      </c>
      <c r="BT31" s="32">
        <f t="shared" si="10"/>
        <v>3.1043880205085936</v>
      </c>
      <c r="BU31" s="40">
        <f t="shared" si="59"/>
        <v>3.1043880205085936</v>
      </c>
      <c r="BV31" s="32"/>
      <c r="BW31" s="32">
        <f t="shared" si="60"/>
        <v>0.46000000000000008</v>
      </c>
      <c r="BX31" s="36">
        <f t="shared" si="61"/>
        <v>0.46000000000000008</v>
      </c>
      <c r="BY31" s="32">
        <f t="shared" si="11"/>
        <v>3.1043880205085936</v>
      </c>
      <c r="BZ31" s="40">
        <f t="shared" si="62"/>
        <v>3.1043880205085936</v>
      </c>
      <c r="CA31" s="32"/>
      <c r="CB31" s="32">
        <f t="shared" si="63"/>
        <v>0.46000000000000008</v>
      </c>
      <c r="CC31" s="36">
        <f t="shared" si="64"/>
        <v>0.46000000000000008</v>
      </c>
      <c r="CD31" s="32">
        <f t="shared" si="12"/>
        <v>3.1043880205085936</v>
      </c>
      <c r="CE31" s="40">
        <f t="shared" si="65"/>
        <v>3.1043880205085936</v>
      </c>
      <c r="CF31" s="32"/>
      <c r="CG31" s="39">
        <f t="shared" si="66"/>
        <v>0.46000000000000008</v>
      </c>
      <c r="CH31" s="39">
        <f t="shared" si="67"/>
        <v>0.46000000000000008</v>
      </c>
      <c r="CI31" s="39">
        <f t="shared" si="13"/>
        <v>3.1043880205085936</v>
      </c>
      <c r="CJ31" s="40">
        <f t="shared" si="68"/>
        <v>3.1043880205085936</v>
      </c>
      <c r="CK31" s="39"/>
      <c r="CL31" s="32">
        <f t="shared" si="69"/>
        <v>0.46000000000000008</v>
      </c>
      <c r="CM31" s="36">
        <f t="shared" si="70"/>
        <v>0.46000000000000008</v>
      </c>
      <c r="CN31" s="32">
        <f t="shared" si="14"/>
        <v>3.1043880205085936</v>
      </c>
      <c r="CO31" s="40">
        <f t="shared" si="71"/>
        <v>3.1043880205085936</v>
      </c>
      <c r="CP31" s="32"/>
      <c r="CQ31" s="32">
        <f t="shared" si="72"/>
        <v>0.46000000000000008</v>
      </c>
      <c r="CR31" s="36">
        <f t="shared" si="73"/>
        <v>0.46000000000000008</v>
      </c>
      <c r="CS31" s="32">
        <f t="shared" si="15"/>
        <v>3.1043880205085936</v>
      </c>
      <c r="CT31" s="40">
        <f t="shared" si="74"/>
        <v>3.1043880205085936</v>
      </c>
      <c r="CU31" s="32"/>
      <c r="CV31" s="32">
        <f t="shared" si="75"/>
        <v>0.46000000000000008</v>
      </c>
      <c r="CW31" s="32">
        <f t="shared" si="76"/>
        <v>0.46000000000000008</v>
      </c>
      <c r="CX31" s="32">
        <f t="shared" si="16"/>
        <v>3.1043880205085936</v>
      </c>
      <c r="CY31" s="40">
        <f t="shared" si="77"/>
        <v>3.1043880205085936</v>
      </c>
      <c r="CZ31" s="32"/>
      <c r="DA31" s="32">
        <f t="shared" si="78"/>
        <v>0.46000000000000008</v>
      </c>
      <c r="DB31" s="36">
        <f t="shared" si="79"/>
        <v>0.46000000000000008</v>
      </c>
      <c r="DC31" s="32">
        <f t="shared" si="17"/>
        <v>3.1043880205085936</v>
      </c>
      <c r="DD31" s="40">
        <f t="shared" si="80"/>
        <v>3.1043880205085936</v>
      </c>
      <c r="DE31" s="32"/>
      <c r="DF31" s="32">
        <f t="shared" si="81"/>
        <v>0.46000000000000008</v>
      </c>
      <c r="DG31" s="36">
        <f t="shared" si="82"/>
        <v>0.46000000000000008</v>
      </c>
      <c r="DH31" s="32">
        <f t="shared" si="18"/>
        <v>3.1043880205085936</v>
      </c>
      <c r="DI31" s="40">
        <f t="shared" si="83"/>
        <v>3.1043880205085936</v>
      </c>
      <c r="DJ31" s="32"/>
      <c r="DK31" s="32">
        <f t="shared" si="84"/>
        <v>0.46000000000000008</v>
      </c>
      <c r="DL31" s="32">
        <f t="shared" si="85"/>
        <v>0.46000000000000008</v>
      </c>
      <c r="DM31" s="32">
        <f t="shared" si="19"/>
        <v>3.1043880205085936</v>
      </c>
      <c r="DN31" s="40">
        <f t="shared" si="86"/>
        <v>3.1043880205085936</v>
      </c>
      <c r="DO31" s="32"/>
      <c r="DP31" s="32">
        <f t="shared" si="87"/>
        <v>0.46000000000000008</v>
      </c>
      <c r="DQ31" s="36">
        <f t="shared" si="88"/>
        <v>0.46000000000000008</v>
      </c>
      <c r="DR31" s="32">
        <f t="shared" si="20"/>
        <v>3.1043880205085936</v>
      </c>
      <c r="DS31" s="40">
        <f t="shared" si="89"/>
        <v>3.1043880205085936</v>
      </c>
      <c r="DT31" s="32"/>
      <c r="DU31" s="32">
        <f t="shared" si="90"/>
        <v>0.46000000000000008</v>
      </c>
      <c r="DV31" s="36">
        <f t="shared" si="91"/>
        <v>0.46000000000000008</v>
      </c>
      <c r="DW31" s="32">
        <f t="shared" si="21"/>
        <v>3.1043880205085936</v>
      </c>
      <c r="DX31" s="40">
        <f t="shared" si="92"/>
        <v>3.1043880205085936</v>
      </c>
      <c r="DY31" s="32"/>
      <c r="DZ31" s="32">
        <f t="shared" si="93"/>
        <v>0.46000000000000008</v>
      </c>
      <c r="EA31" s="32">
        <f t="shared" si="94"/>
        <v>0.46000000000000008</v>
      </c>
      <c r="EB31" s="32">
        <f t="shared" si="22"/>
        <v>3.1043880205085936</v>
      </c>
      <c r="EC31" s="40">
        <f t="shared" si="95"/>
        <v>3.1043880205085936</v>
      </c>
      <c r="ED31" s="32"/>
      <c r="EE31" s="32">
        <f t="shared" si="96"/>
        <v>0.46000000000000008</v>
      </c>
      <c r="EF31" s="36">
        <f t="shared" si="97"/>
        <v>0.46000000000000008</v>
      </c>
      <c r="EG31" s="32">
        <f t="shared" si="23"/>
        <v>3.1043880205085936</v>
      </c>
      <c r="EH31" s="40">
        <f t="shared" si="98"/>
        <v>3.1043880205085936</v>
      </c>
      <c r="EI31" s="32"/>
      <c r="EJ31" s="32">
        <f t="shared" si="99"/>
        <v>0.46000000000000008</v>
      </c>
      <c r="EK31" s="36">
        <f t="shared" si="100"/>
        <v>0.46000000000000008</v>
      </c>
      <c r="EL31" s="32">
        <f t="shared" si="24"/>
        <v>3.1043880205085936</v>
      </c>
      <c r="EM31" s="40">
        <f t="shared" si="101"/>
        <v>3.1043880205085936</v>
      </c>
      <c r="EN31" s="32"/>
      <c r="EO31" s="32">
        <f t="shared" si="102"/>
        <v>0.46000000000000008</v>
      </c>
      <c r="EP31" s="32">
        <f t="shared" si="103"/>
        <v>0.46000000000000008</v>
      </c>
      <c r="EQ31" s="32">
        <f t="shared" si="25"/>
        <v>3.1043880205085936</v>
      </c>
      <c r="ER31" s="40">
        <f t="shared" si="104"/>
        <v>3.1043880205085936</v>
      </c>
      <c r="ES31" s="32"/>
      <c r="ET31" s="32">
        <f t="shared" si="105"/>
        <v>0.46000000000000008</v>
      </c>
      <c r="EU31" s="36">
        <f t="shared" si="106"/>
        <v>0.46000000000000008</v>
      </c>
      <c r="EV31" s="32">
        <f t="shared" si="26"/>
        <v>3.1043880205085936</v>
      </c>
      <c r="EW31" s="40">
        <f t="shared" si="107"/>
        <v>3.1043880205085936</v>
      </c>
      <c r="EX31" s="32"/>
    </row>
    <row r="32" spans="3:154" s="3" customFormat="1" x14ac:dyDescent="0.25">
      <c r="C32" s="1"/>
      <c r="D32" s="1"/>
      <c r="E32" s="1"/>
      <c r="F32" s="1"/>
      <c r="G32" s="1"/>
      <c r="H32" s="1"/>
      <c r="I32" s="1"/>
      <c r="J32" s="1"/>
      <c r="K32" s="1"/>
      <c r="L32" s="1"/>
      <c r="M32" s="1"/>
      <c r="N32" s="1"/>
      <c r="O32" s="1"/>
      <c r="P32" s="1"/>
      <c r="Q32" s="1"/>
      <c r="R32" s="1"/>
      <c r="S32" s="1"/>
      <c r="T32" s="32">
        <f t="shared" si="27"/>
        <v>0.48000000000000009</v>
      </c>
      <c r="U32" s="36">
        <f t="shared" si="28"/>
        <v>0.48000000000000009</v>
      </c>
      <c r="V32" s="32">
        <f t="shared" si="0"/>
        <v>3.1981636077965412</v>
      </c>
      <c r="W32" s="40">
        <f t="shared" si="29"/>
        <v>3.1981636077965412</v>
      </c>
      <c r="X32" s="32"/>
      <c r="Y32" s="32">
        <f t="shared" si="30"/>
        <v>0.48000000000000009</v>
      </c>
      <c r="Z32" s="32">
        <f t="shared" si="31"/>
        <v>0.48000000000000009</v>
      </c>
      <c r="AA32" s="32">
        <f t="shared" si="1"/>
        <v>3.1981636077965412</v>
      </c>
      <c r="AB32" s="40">
        <f t="shared" si="32"/>
        <v>3.1981636077965412</v>
      </c>
      <c r="AC32" s="32"/>
      <c r="AD32" s="32">
        <f t="shared" si="33"/>
        <v>0.48000000000000009</v>
      </c>
      <c r="AE32" s="36">
        <f t="shared" si="34"/>
        <v>0.48000000000000009</v>
      </c>
      <c r="AF32" s="32">
        <f t="shared" si="2"/>
        <v>3.1981636077965412</v>
      </c>
      <c r="AG32" s="40">
        <f t="shared" si="35"/>
        <v>3.1981636077965412</v>
      </c>
      <c r="AH32" s="32"/>
      <c r="AI32" s="32">
        <f t="shared" si="36"/>
        <v>0.48000000000000009</v>
      </c>
      <c r="AJ32" s="36">
        <f t="shared" si="37"/>
        <v>0.48000000000000009</v>
      </c>
      <c r="AK32" s="32">
        <f t="shared" si="3"/>
        <v>3.1981636077965412</v>
      </c>
      <c r="AL32" s="40">
        <f t="shared" si="38"/>
        <v>3.1981636077965412</v>
      </c>
      <c r="AM32" s="32"/>
      <c r="AN32" s="32">
        <f t="shared" si="39"/>
        <v>0.48000000000000009</v>
      </c>
      <c r="AO32" s="32">
        <f t="shared" si="40"/>
        <v>0.48000000000000009</v>
      </c>
      <c r="AP32" s="32">
        <f t="shared" si="4"/>
        <v>3.1981636077965412</v>
      </c>
      <c r="AQ32" s="40">
        <f t="shared" si="41"/>
        <v>3.1981636077965412</v>
      </c>
      <c r="AR32" s="32"/>
      <c r="AS32" s="32">
        <f t="shared" si="42"/>
        <v>0.48000000000000009</v>
      </c>
      <c r="AT32" s="36">
        <f t="shared" si="43"/>
        <v>0.48000000000000009</v>
      </c>
      <c r="AU32" s="32">
        <f t="shared" si="5"/>
        <v>3.1981636077965412</v>
      </c>
      <c r="AV32" s="40">
        <f t="shared" si="44"/>
        <v>3.1981636077965412</v>
      </c>
      <c r="AW32" s="32"/>
      <c r="AX32" s="32">
        <f t="shared" si="45"/>
        <v>0.48000000000000009</v>
      </c>
      <c r="AY32" s="36">
        <f t="shared" si="46"/>
        <v>0.48000000000000009</v>
      </c>
      <c r="AZ32" s="32">
        <f t="shared" si="6"/>
        <v>3.1981636077965412</v>
      </c>
      <c r="BA32" s="40">
        <f t="shared" si="47"/>
        <v>3.1981636077965412</v>
      </c>
      <c r="BB32" s="32"/>
      <c r="BC32" s="32">
        <f t="shared" si="48"/>
        <v>0.48000000000000009</v>
      </c>
      <c r="BD32" s="32">
        <f t="shared" si="49"/>
        <v>0.48000000000000009</v>
      </c>
      <c r="BE32" s="32">
        <f t="shared" si="7"/>
        <v>3.1981636077965412</v>
      </c>
      <c r="BF32" s="40">
        <f t="shared" si="50"/>
        <v>3.1981636077965412</v>
      </c>
      <c r="BG32" s="32"/>
      <c r="BH32" s="32">
        <f t="shared" si="51"/>
        <v>0.48000000000000009</v>
      </c>
      <c r="BI32" s="36">
        <f t="shared" si="52"/>
        <v>0.48000000000000009</v>
      </c>
      <c r="BJ32" s="32">
        <f t="shared" si="8"/>
        <v>3.1981636077965412</v>
      </c>
      <c r="BK32" s="40">
        <f t="shared" si="53"/>
        <v>3.1981636077965412</v>
      </c>
      <c r="BL32" s="32"/>
      <c r="BM32" s="32">
        <f t="shared" si="54"/>
        <v>0.48000000000000009</v>
      </c>
      <c r="BN32" s="36">
        <f t="shared" si="55"/>
        <v>0.48000000000000009</v>
      </c>
      <c r="BO32" s="32">
        <f t="shared" si="9"/>
        <v>3.1981636077965412</v>
      </c>
      <c r="BP32" s="40">
        <f t="shared" si="56"/>
        <v>3.1981636077965412</v>
      </c>
      <c r="BQ32" s="32"/>
      <c r="BR32" s="32">
        <f t="shared" si="57"/>
        <v>0.48000000000000009</v>
      </c>
      <c r="BS32" s="32">
        <f t="shared" si="58"/>
        <v>0.48000000000000009</v>
      </c>
      <c r="BT32" s="32">
        <f t="shared" si="10"/>
        <v>3.1981636077965412</v>
      </c>
      <c r="BU32" s="40">
        <f t="shared" si="59"/>
        <v>3.1981636077965412</v>
      </c>
      <c r="BV32" s="32"/>
      <c r="BW32" s="32">
        <f t="shared" si="60"/>
        <v>0.48000000000000009</v>
      </c>
      <c r="BX32" s="36">
        <f t="shared" si="61"/>
        <v>0.48000000000000009</v>
      </c>
      <c r="BY32" s="32">
        <f t="shared" si="11"/>
        <v>3.1981636077965412</v>
      </c>
      <c r="BZ32" s="40">
        <f t="shared" si="62"/>
        <v>3.1981636077965412</v>
      </c>
      <c r="CA32" s="32"/>
      <c r="CB32" s="32">
        <f t="shared" si="63"/>
        <v>0.48000000000000009</v>
      </c>
      <c r="CC32" s="36">
        <f t="shared" si="64"/>
        <v>0.48000000000000009</v>
      </c>
      <c r="CD32" s="32">
        <f t="shared" si="12"/>
        <v>3.1981636077965412</v>
      </c>
      <c r="CE32" s="40">
        <f t="shared" si="65"/>
        <v>3.1981636077965412</v>
      </c>
      <c r="CF32" s="32"/>
      <c r="CG32" s="39">
        <f t="shared" si="66"/>
        <v>0.48000000000000009</v>
      </c>
      <c r="CH32" s="39">
        <f t="shared" si="67"/>
        <v>0.48000000000000009</v>
      </c>
      <c r="CI32" s="39">
        <f t="shared" si="13"/>
        <v>3.1981636077965412</v>
      </c>
      <c r="CJ32" s="40">
        <f t="shared" si="68"/>
        <v>3.1981636077965412</v>
      </c>
      <c r="CK32" s="39"/>
      <c r="CL32" s="32">
        <f t="shared" si="69"/>
        <v>0.48000000000000009</v>
      </c>
      <c r="CM32" s="36">
        <f t="shared" si="70"/>
        <v>0.48000000000000009</v>
      </c>
      <c r="CN32" s="32">
        <f t="shared" si="14"/>
        <v>3.1981636077965412</v>
      </c>
      <c r="CO32" s="40">
        <f t="shared" si="71"/>
        <v>3.1981636077965412</v>
      </c>
      <c r="CP32" s="32"/>
      <c r="CQ32" s="32">
        <f t="shared" si="72"/>
        <v>0.48000000000000009</v>
      </c>
      <c r="CR32" s="36">
        <f t="shared" si="73"/>
        <v>0.48000000000000009</v>
      </c>
      <c r="CS32" s="32">
        <f t="shared" si="15"/>
        <v>3.1981636077965412</v>
      </c>
      <c r="CT32" s="40">
        <f t="shared" si="74"/>
        <v>3.1981636077965412</v>
      </c>
      <c r="CU32" s="32"/>
      <c r="CV32" s="32">
        <f t="shared" si="75"/>
        <v>0.48000000000000009</v>
      </c>
      <c r="CW32" s="32">
        <f t="shared" si="76"/>
        <v>0.48000000000000009</v>
      </c>
      <c r="CX32" s="32">
        <f t="shared" si="16"/>
        <v>3.1981636077965412</v>
      </c>
      <c r="CY32" s="40">
        <f t="shared" si="77"/>
        <v>3.1981636077965412</v>
      </c>
      <c r="CZ32" s="32"/>
      <c r="DA32" s="32">
        <f t="shared" si="78"/>
        <v>0.48000000000000009</v>
      </c>
      <c r="DB32" s="36">
        <f t="shared" si="79"/>
        <v>0.48000000000000009</v>
      </c>
      <c r="DC32" s="32">
        <f t="shared" si="17"/>
        <v>3.1981636077965412</v>
      </c>
      <c r="DD32" s="40">
        <f t="shared" si="80"/>
        <v>3.1981636077965412</v>
      </c>
      <c r="DE32" s="32"/>
      <c r="DF32" s="32">
        <f t="shared" si="81"/>
        <v>0.48000000000000009</v>
      </c>
      <c r="DG32" s="36">
        <f t="shared" si="82"/>
        <v>0.48000000000000009</v>
      </c>
      <c r="DH32" s="32">
        <f t="shared" si="18"/>
        <v>3.1981636077965412</v>
      </c>
      <c r="DI32" s="40">
        <f t="shared" si="83"/>
        <v>3.1981636077965412</v>
      </c>
      <c r="DJ32" s="32"/>
      <c r="DK32" s="32">
        <f t="shared" si="84"/>
        <v>0.48000000000000009</v>
      </c>
      <c r="DL32" s="32">
        <f t="shared" si="85"/>
        <v>0.48000000000000009</v>
      </c>
      <c r="DM32" s="32">
        <f t="shared" si="19"/>
        <v>3.1981636077965412</v>
      </c>
      <c r="DN32" s="40">
        <f t="shared" si="86"/>
        <v>3.1981636077965412</v>
      </c>
      <c r="DO32" s="32"/>
      <c r="DP32" s="32">
        <f t="shared" si="87"/>
        <v>0.48000000000000009</v>
      </c>
      <c r="DQ32" s="36">
        <f t="shared" si="88"/>
        <v>0.48000000000000009</v>
      </c>
      <c r="DR32" s="32">
        <f t="shared" si="20"/>
        <v>3.1981636077965412</v>
      </c>
      <c r="DS32" s="40">
        <f t="shared" si="89"/>
        <v>3.1981636077965412</v>
      </c>
      <c r="DT32" s="32"/>
      <c r="DU32" s="32">
        <f t="shared" si="90"/>
        <v>0.48000000000000009</v>
      </c>
      <c r="DV32" s="36">
        <f t="shared" si="91"/>
        <v>0.48000000000000009</v>
      </c>
      <c r="DW32" s="32">
        <f t="shared" si="21"/>
        <v>3.1981636077965412</v>
      </c>
      <c r="DX32" s="40">
        <f t="shared" si="92"/>
        <v>3.1981636077965412</v>
      </c>
      <c r="DY32" s="32"/>
      <c r="DZ32" s="32">
        <f t="shared" si="93"/>
        <v>0.48000000000000009</v>
      </c>
      <c r="EA32" s="32">
        <f t="shared" si="94"/>
        <v>0.48000000000000009</v>
      </c>
      <c r="EB32" s="32">
        <f t="shared" si="22"/>
        <v>3.1981636077965412</v>
      </c>
      <c r="EC32" s="40">
        <f t="shared" si="95"/>
        <v>3.1981636077965412</v>
      </c>
      <c r="ED32" s="32"/>
      <c r="EE32" s="32">
        <f t="shared" si="96"/>
        <v>0.48000000000000009</v>
      </c>
      <c r="EF32" s="36">
        <f t="shared" si="97"/>
        <v>0.48000000000000009</v>
      </c>
      <c r="EG32" s="32">
        <f t="shared" si="23"/>
        <v>3.1981636077965412</v>
      </c>
      <c r="EH32" s="40">
        <f t="shared" si="98"/>
        <v>3.1981636077965412</v>
      </c>
      <c r="EI32" s="32"/>
      <c r="EJ32" s="32">
        <f t="shared" si="99"/>
        <v>0.48000000000000009</v>
      </c>
      <c r="EK32" s="36">
        <f t="shared" si="100"/>
        <v>0.48000000000000009</v>
      </c>
      <c r="EL32" s="32">
        <f t="shared" si="24"/>
        <v>3.1981636077965412</v>
      </c>
      <c r="EM32" s="40">
        <f t="shared" si="101"/>
        <v>3.1981636077965412</v>
      </c>
      <c r="EN32" s="32"/>
      <c r="EO32" s="32">
        <f t="shared" si="102"/>
        <v>0.48000000000000009</v>
      </c>
      <c r="EP32" s="32">
        <f t="shared" si="103"/>
        <v>0.48000000000000009</v>
      </c>
      <c r="EQ32" s="32">
        <f t="shared" si="25"/>
        <v>3.1981636077965412</v>
      </c>
      <c r="ER32" s="40">
        <f t="shared" si="104"/>
        <v>3.1981636077965412</v>
      </c>
      <c r="ES32" s="32"/>
      <c r="ET32" s="32">
        <f t="shared" si="105"/>
        <v>0.48000000000000009</v>
      </c>
      <c r="EU32" s="36">
        <f t="shared" si="106"/>
        <v>0.48000000000000009</v>
      </c>
      <c r="EV32" s="32">
        <f t="shared" si="26"/>
        <v>3.1981636077965412</v>
      </c>
      <c r="EW32" s="40">
        <f t="shared" si="107"/>
        <v>3.1981636077965412</v>
      </c>
      <c r="EX32" s="32"/>
    </row>
    <row r="33" spans="20:154" s="3" customFormat="1" x14ac:dyDescent="0.25">
      <c r="T33" s="32">
        <f t="shared" si="27"/>
        <v>0.50000000000000011</v>
      </c>
      <c r="U33" s="36">
        <f t="shared" si="28"/>
        <v>0.50000000000000011</v>
      </c>
      <c r="V33" s="32">
        <f t="shared" si="0"/>
        <v>3.2892306823566422</v>
      </c>
      <c r="W33" s="40">
        <f t="shared" si="29"/>
        <v>3.2892306823566422</v>
      </c>
      <c r="X33" s="32"/>
      <c r="Y33" s="32">
        <f t="shared" si="30"/>
        <v>0.50000000000000011</v>
      </c>
      <c r="Z33" s="32">
        <f t="shared" si="31"/>
        <v>0.50000000000000011</v>
      </c>
      <c r="AA33" s="32">
        <f t="shared" si="1"/>
        <v>3.2892306823566422</v>
      </c>
      <c r="AB33" s="40">
        <f t="shared" si="32"/>
        <v>3.2892306823566422</v>
      </c>
      <c r="AC33" s="32"/>
      <c r="AD33" s="32">
        <f t="shared" si="33"/>
        <v>0.50000000000000011</v>
      </c>
      <c r="AE33" s="36">
        <f t="shared" si="34"/>
        <v>0.50000000000000011</v>
      </c>
      <c r="AF33" s="32">
        <f t="shared" si="2"/>
        <v>3.2892306823566422</v>
      </c>
      <c r="AG33" s="40">
        <f t="shared" si="35"/>
        <v>3.2892306823566422</v>
      </c>
      <c r="AH33" s="32"/>
      <c r="AI33" s="32">
        <f t="shared" si="36"/>
        <v>0.50000000000000011</v>
      </c>
      <c r="AJ33" s="36">
        <f t="shared" si="37"/>
        <v>0.50000000000000011</v>
      </c>
      <c r="AK33" s="32">
        <f t="shared" si="3"/>
        <v>3.2892306823566422</v>
      </c>
      <c r="AL33" s="40">
        <f t="shared" si="38"/>
        <v>3.2892306823566422</v>
      </c>
      <c r="AM33" s="32"/>
      <c r="AN33" s="32">
        <f t="shared" si="39"/>
        <v>0.50000000000000011</v>
      </c>
      <c r="AO33" s="32">
        <f t="shared" si="40"/>
        <v>0.50000000000000011</v>
      </c>
      <c r="AP33" s="32">
        <f t="shared" si="4"/>
        <v>3.2892306823566422</v>
      </c>
      <c r="AQ33" s="40">
        <f t="shared" si="41"/>
        <v>3.2892306823566422</v>
      </c>
      <c r="AR33" s="32"/>
      <c r="AS33" s="32">
        <f t="shared" si="42"/>
        <v>0.50000000000000011</v>
      </c>
      <c r="AT33" s="36">
        <f t="shared" si="43"/>
        <v>0.50000000000000011</v>
      </c>
      <c r="AU33" s="32">
        <f t="shared" si="5"/>
        <v>3.2892306823566422</v>
      </c>
      <c r="AV33" s="40">
        <f t="shared" si="44"/>
        <v>3.2892306823566422</v>
      </c>
      <c r="AW33" s="32"/>
      <c r="AX33" s="32">
        <f t="shared" si="45"/>
        <v>0.50000000000000011</v>
      </c>
      <c r="AY33" s="36">
        <f t="shared" si="46"/>
        <v>0.50000000000000011</v>
      </c>
      <c r="AZ33" s="32">
        <f t="shared" si="6"/>
        <v>3.2892306823566422</v>
      </c>
      <c r="BA33" s="40">
        <f t="shared" si="47"/>
        <v>3.2892306823566422</v>
      </c>
      <c r="BB33" s="32"/>
      <c r="BC33" s="32">
        <f t="shared" si="48"/>
        <v>0.50000000000000011</v>
      </c>
      <c r="BD33" s="32">
        <f t="shared" si="49"/>
        <v>0.50000000000000011</v>
      </c>
      <c r="BE33" s="32">
        <f t="shared" si="7"/>
        <v>3.2892306823566422</v>
      </c>
      <c r="BF33" s="40">
        <f t="shared" si="50"/>
        <v>3.2892306823566422</v>
      </c>
      <c r="BG33" s="32"/>
      <c r="BH33" s="32">
        <f t="shared" si="51"/>
        <v>0.50000000000000011</v>
      </c>
      <c r="BI33" s="36">
        <f t="shared" si="52"/>
        <v>0.50000000000000011</v>
      </c>
      <c r="BJ33" s="32">
        <f t="shared" si="8"/>
        <v>3.2892306823566422</v>
      </c>
      <c r="BK33" s="40">
        <f t="shared" si="53"/>
        <v>3.2892306823566422</v>
      </c>
      <c r="BL33" s="32"/>
      <c r="BM33" s="32">
        <f t="shared" si="54"/>
        <v>0.50000000000000011</v>
      </c>
      <c r="BN33" s="36">
        <f t="shared" si="55"/>
        <v>0.50000000000000011</v>
      </c>
      <c r="BO33" s="32">
        <f t="shared" si="9"/>
        <v>3.2892306823566422</v>
      </c>
      <c r="BP33" s="40">
        <f t="shared" si="56"/>
        <v>3.2892306823566422</v>
      </c>
      <c r="BQ33" s="32"/>
      <c r="BR33" s="32">
        <f t="shared" si="57"/>
        <v>0.50000000000000011</v>
      </c>
      <c r="BS33" s="32">
        <f t="shared" si="58"/>
        <v>0.50000000000000011</v>
      </c>
      <c r="BT33" s="32">
        <f t="shared" si="10"/>
        <v>3.2892306823566422</v>
      </c>
      <c r="BU33" s="40">
        <f t="shared" si="59"/>
        <v>3.2892306823566422</v>
      </c>
      <c r="BV33" s="32"/>
      <c r="BW33" s="32">
        <f t="shared" si="60"/>
        <v>0.50000000000000011</v>
      </c>
      <c r="BX33" s="36">
        <f t="shared" si="61"/>
        <v>0.50000000000000011</v>
      </c>
      <c r="BY33" s="32">
        <f t="shared" si="11"/>
        <v>3.2892306823566422</v>
      </c>
      <c r="BZ33" s="40">
        <f t="shared" si="62"/>
        <v>3.2892306823566422</v>
      </c>
      <c r="CA33" s="32"/>
      <c r="CB33" s="32">
        <f t="shared" si="63"/>
        <v>0.50000000000000011</v>
      </c>
      <c r="CC33" s="36">
        <f t="shared" si="64"/>
        <v>0.50000000000000011</v>
      </c>
      <c r="CD33" s="32">
        <f t="shared" si="12"/>
        <v>3.2892306823566422</v>
      </c>
      <c r="CE33" s="40">
        <f t="shared" si="65"/>
        <v>3.2892306823566422</v>
      </c>
      <c r="CF33" s="32"/>
      <c r="CG33" s="39">
        <f t="shared" si="66"/>
        <v>0.50000000000000011</v>
      </c>
      <c r="CH33" s="39">
        <f t="shared" si="67"/>
        <v>0.50000000000000011</v>
      </c>
      <c r="CI33" s="39">
        <f t="shared" si="13"/>
        <v>3.2892306823566422</v>
      </c>
      <c r="CJ33" s="40">
        <f t="shared" si="68"/>
        <v>3.2892306823566422</v>
      </c>
      <c r="CK33" s="39"/>
      <c r="CL33" s="32">
        <f t="shared" si="69"/>
        <v>0.50000000000000011</v>
      </c>
      <c r="CM33" s="36">
        <f t="shared" si="70"/>
        <v>0.50000000000000011</v>
      </c>
      <c r="CN33" s="32">
        <f t="shared" si="14"/>
        <v>3.2892306823566422</v>
      </c>
      <c r="CO33" s="40">
        <f t="shared" si="71"/>
        <v>3.2892306823566422</v>
      </c>
      <c r="CP33" s="32"/>
      <c r="CQ33" s="32">
        <f t="shared" si="72"/>
        <v>0.50000000000000011</v>
      </c>
      <c r="CR33" s="36">
        <f t="shared" si="73"/>
        <v>0.50000000000000011</v>
      </c>
      <c r="CS33" s="32">
        <f t="shared" si="15"/>
        <v>3.2892306823566422</v>
      </c>
      <c r="CT33" s="40">
        <f t="shared" si="74"/>
        <v>3.2892306823566422</v>
      </c>
      <c r="CU33" s="32"/>
      <c r="CV33" s="32">
        <f t="shared" si="75"/>
        <v>0.50000000000000011</v>
      </c>
      <c r="CW33" s="32">
        <f t="shared" si="76"/>
        <v>0.50000000000000011</v>
      </c>
      <c r="CX33" s="32">
        <f t="shared" si="16"/>
        <v>3.2892306823566422</v>
      </c>
      <c r="CY33" s="40">
        <f t="shared" si="77"/>
        <v>3.2892306823566422</v>
      </c>
      <c r="CZ33" s="32"/>
      <c r="DA33" s="32">
        <f t="shared" si="78"/>
        <v>0.50000000000000011</v>
      </c>
      <c r="DB33" s="36">
        <f t="shared" si="79"/>
        <v>0.50000000000000011</v>
      </c>
      <c r="DC33" s="32">
        <f t="shared" si="17"/>
        <v>3.2892306823566422</v>
      </c>
      <c r="DD33" s="40">
        <f t="shared" si="80"/>
        <v>3.2892306823566422</v>
      </c>
      <c r="DE33" s="32"/>
      <c r="DF33" s="32">
        <f t="shared" si="81"/>
        <v>0.50000000000000011</v>
      </c>
      <c r="DG33" s="36">
        <f t="shared" si="82"/>
        <v>0.50000000000000011</v>
      </c>
      <c r="DH33" s="32">
        <f t="shared" si="18"/>
        <v>3.2892306823566422</v>
      </c>
      <c r="DI33" s="40">
        <f t="shared" si="83"/>
        <v>3.2892306823566422</v>
      </c>
      <c r="DJ33" s="32"/>
      <c r="DK33" s="32">
        <f t="shared" si="84"/>
        <v>0.50000000000000011</v>
      </c>
      <c r="DL33" s="32">
        <f t="shared" si="85"/>
        <v>0.50000000000000011</v>
      </c>
      <c r="DM33" s="32">
        <f t="shared" si="19"/>
        <v>3.2892306823566422</v>
      </c>
      <c r="DN33" s="40">
        <f t="shared" si="86"/>
        <v>3.2892306823566422</v>
      </c>
      <c r="DO33" s="32"/>
      <c r="DP33" s="32">
        <f t="shared" si="87"/>
        <v>0.50000000000000011</v>
      </c>
      <c r="DQ33" s="36">
        <f t="shared" si="88"/>
        <v>0.50000000000000011</v>
      </c>
      <c r="DR33" s="32">
        <f t="shared" si="20"/>
        <v>3.2892306823566422</v>
      </c>
      <c r="DS33" s="40">
        <f t="shared" si="89"/>
        <v>3.2892306823566422</v>
      </c>
      <c r="DT33" s="32"/>
      <c r="DU33" s="32">
        <f t="shared" si="90"/>
        <v>0.50000000000000011</v>
      </c>
      <c r="DV33" s="36">
        <f t="shared" si="91"/>
        <v>0.50000000000000011</v>
      </c>
      <c r="DW33" s="32">
        <f t="shared" si="21"/>
        <v>3.2892306823566422</v>
      </c>
      <c r="DX33" s="40">
        <f t="shared" si="92"/>
        <v>3.2892306823566422</v>
      </c>
      <c r="DY33" s="32"/>
      <c r="DZ33" s="32">
        <f t="shared" si="93"/>
        <v>0.50000000000000011</v>
      </c>
      <c r="EA33" s="32">
        <f t="shared" si="94"/>
        <v>0.50000000000000011</v>
      </c>
      <c r="EB33" s="32">
        <f t="shared" si="22"/>
        <v>3.2892306823566422</v>
      </c>
      <c r="EC33" s="40">
        <f t="shared" si="95"/>
        <v>3.2892306823566422</v>
      </c>
      <c r="ED33" s="32"/>
      <c r="EE33" s="32">
        <f t="shared" si="96"/>
        <v>0.50000000000000011</v>
      </c>
      <c r="EF33" s="36">
        <f t="shared" si="97"/>
        <v>0.50000000000000011</v>
      </c>
      <c r="EG33" s="32">
        <f t="shared" si="23"/>
        <v>3.2892306823566422</v>
      </c>
      <c r="EH33" s="40">
        <f t="shared" si="98"/>
        <v>3.2892306823566422</v>
      </c>
      <c r="EI33" s="32"/>
      <c r="EJ33" s="32">
        <f t="shared" si="99"/>
        <v>0.50000000000000011</v>
      </c>
      <c r="EK33" s="36">
        <f t="shared" si="100"/>
        <v>0.50000000000000011</v>
      </c>
      <c r="EL33" s="32">
        <f t="shared" si="24"/>
        <v>3.2892306823566422</v>
      </c>
      <c r="EM33" s="40">
        <f t="shared" si="101"/>
        <v>3.2892306823566422</v>
      </c>
      <c r="EN33" s="32"/>
      <c r="EO33" s="32">
        <f t="shared" si="102"/>
        <v>0.50000000000000011</v>
      </c>
      <c r="EP33" s="32">
        <f t="shared" si="103"/>
        <v>0.50000000000000011</v>
      </c>
      <c r="EQ33" s="32">
        <f t="shared" si="25"/>
        <v>3.2892306823566422</v>
      </c>
      <c r="ER33" s="40">
        <f t="shared" si="104"/>
        <v>3.2892306823566422</v>
      </c>
      <c r="ES33" s="32"/>
      <c r="ET33" s="32">
        <f t="shared" si="105"/>
        <v>0.50000000000000011</v>
      </c>
      <c r="EU33" s="36">
        <f t="shared" si="106"/>
        <v>0.50000000000000011</v>
      </c>
      <c r="EV33" s="32">
        <f t="shared" si="26"/>
        <v>3.2892306823566422</v>
      </c>
      <c r="EW33" s="40">
        <f t="shared" si="107"/>
        <v>3.2892306823566422</v>
      </c>
      <c r="EX33" s="32"/>
    </row>
    <row r="34" spans="20:154" s="3" customFormat="1" x14ac:dyDescent="0.25">
      <c r="T34" s="32">
        <f t="shared" si="27"/>
        <v>0.52000000000000013</v>
      </c>
      <c r="U34" s="36">
        <f t="shared" si="28"/>
        <v>0.52000000000000013</v>
      </c>
      <c r="V34" s="32">
        <f t="shared" si="0"/>
        <v>3.3775892441888962</v>
      </c>
      <c r="W34" s="40">
        <f t="shared" si="29"/>
        <v>3.3775892441888962</v>
      </c>
      <c r="X34" s="32"/>
      <c r="Y34" s="32">
        <f t="shared" si="30"/>
        <v>0.52000000000000013</v>
      </c>
      <c r="Z34" s="32">
        <f t="shared" si="31"/>
        <v>0.52000000000000013</v>
      </c>
      <c r="AA34" s="32">
        <f t="shared" si="1"/>
        <v>3.3775892441888962</v>
      </c>
      <c r="AB34" s="40">
        <f t="shared" si="32"/>
        <v>3.3775892441888962</v>
      </c>
      <c r="AC34" s="32"/>
      <c r="AD34" s="32">
        <f t="shared" si="33"/>
        <v>0.52000000000000013</v>
      </c>
      <c r="AE34" s="36">
        <f t="shared" si="34"/>
        <v>0.52000000000000013</v>
      </c>
      <c r="AF34" s="32">
        <f t="shared" si="2"/>
        <v>3.3775892441888962</v>
      </c>
      <c r="AG34" s="40">
        <f t="shared" si="35"/>
        <v>3.3775892441888962</v>
      </c>
      <c r="AH34" s="32"/>
      <c r="AI34" s="32">
        <f t="shared" si="36"/>
        <v>0.52000000000000013</v>
      </c>
      <c r="AJ34" s="36">
        <f t="shared" si="37"/>
        <v>0.52000000000000013</v>
      </c>
      <c r="AK34" s="32">
        <f t="shared" si="3"/>
        <v>3.3775892441888962</v>
      </c>
      <c r="AL34" s="40">
        <f t="shared" si="38"/>
        <v>3.3775892441888962</v>
      </c>
      <c r="AM34" s="32"/>
      <c r="AN34" s="32">
        <f t="shared" si="39"/>
        <v>0.52000000000000013</v>
      </c>
      <c r="AO34" s="32">
        <f t="shared" si="40"/>
        <v>0.52000000000000013</v>
      </c>
      <c r="AP34" s="32">
        <f t="shared" si="4"/>
        <v>3.3775892441888962</v>
      </c>
      <c r="AQ34" s="40">
        <f t="shared" si="41"/>
        <v>3.3775892441888962</v>
      </c>
      <c r="AR34" s="32"/>
      <c r="AS34" s="32">
        <f t="shared" si="42"/>
        <v>0.52000000000000013</v>
      </c>
      <c r="AT34" s="36">
        <f t="shared" si="43"/>
        <v>0.52000000000000013</v>
      </c>
      <c r="AU34" s="32">
        <f t="shared" si="5"/>
        <v>3.3775892441888962</v>
      </c>
      <c r="AV34" s="40">
        <f t="shared" si="44"/>
        <v>3.3775892441888962</v>
      </c>
      <c r="AW34" s="32"/>
      <c r="AX34" s="32">
        <f t="shared" si="45"/>
        <v>0.52000000000000013</v>
      </c>
      <c r="AY34" s="36">
        <f t="shared" si="46"/>
        <v>0.52000000000000013</v>
      </c>
      <c r="AZ34" s="32">
        <f t="shared" si="6"/>
        <v>3.3775892441888962</v>
      </c>
      <c r="BA34" s="40">
        <f t="shared" si="47"/>
        <v>3.3775892441888962</v>
      </c>
      <c r="BB34" s="32"/>
      <c r="BC34" s="32">
        <f t="shared" si="48"/>
        <v>0.52000000000000013</v>
      </c>
      <c r="BD34" s="32">
        <f t="shared" si="49"/>
        <v>0.52000000000000013</v>
      </c>
      <c r="BE34" s="32">
        <f t="shared" si="7"/>
        <v>3.3775892441888962</v>
      </c>
      <c r="BF34" s="40">
        <f t="shared" si="50"/>
        <v>3.3775892441888962</v>
      </c>
      <c r="BG34" s="32"/>
      <c r="BH34" s="32">
        <f t="shared" si="51"/>
        <v>0.52000000000000013</v>
      </c>
      <c r="BI34" s="36">
        <f t="shared" si="52"/>
        <v>0.52000000000000013</v>
      </c>
      <c r="BJ34" s="32">
        <f t="shared" si="8"/>
        <v>3.3775892441888962</v>
      </c>
      <c r="BK34" s="40">
        <f t="shared" si="53"/>
        <v>3.3775892441888962</v>
      </c>
      <c r="BL34" s="32"/>
      <c r="BM34" s="32">
        <f t="shared" si="54"/>
        <v>0.52000000000000013</v>
      </c>
      <c r="BN34" s="36">
        <f t="shared" si="55"/>
        <v>0.52000000000000013</v>
      </c>
      <c r="BO34" s="32">
        <f t="shared" si="9"/>
        <v>3.3775892441888962</v>
      </c>
      <c r="BP34" s="40">
        <f t="shared" si="56"/>
        <v>3.3775892441888962</v>
      </c>
      <c r="BQ34" s="32"/>
      <c r="BR34" s="32">
        <f t="shared" si="57"/>
        <v>0.52000000000000013</v>
      </c>
      <c r="BS34" s="32">
        <f t="shared" si="58"/>
        <v>0.52000000000000013</v>
      </c>
      <c r="BT34" s="32">
        <f t="shared" si="10"/>
        <v>3.3775892441888962</v>
      </c>
      <c r="BU34" s="40">
        <f t="shared" si="59"/>
        <v>3.3775892441888962</v>
      </c>
      <c r="BV34" s="32"/>
      <c r="BW34" s="32">
        <f t="shared" si="60"/>
        <v>0.52000000000000013</v>
      </c>
      <c r="BX34" s="36">
        <f t="shared" si="61"/>
        <v>0.52000000000000013</v>
      </c>
      <c r="BY34" s="32">
        <f t="shared" si="11"/>
        <v>3.3775892441888962</v>
      </c>
      <c r="BZ34" s="40">
        <f t="shared" si="62"/>
        <v>3.3775892441888962</v>
      </c>
      <c r="CA34" s="32"/>
      <c r="CB34" s="32">
        <f t="shared" si="63"/>
        <v>0.52000000000000013</v>
      </c>
      <c r="CC34" s="36">
        <f t="shared" si="64"/>
        <v>0.52000000000000013</v>
      </c>
      <c r="CD34" s="32">
        <f t="shared" si="12"/>
        <v>3.3775892441888962</v>
      </c>
      <c r="CE34" s="40">
        <f t="shared" si="65"/>
        <v>3.3775892441888962</v>
      </c>
      <c r="CF34" s="32"/>
      <c r="CG34" s="39">
        <f t="shared" si="66"/>
        <v>0.52000000000000013</v>
      </c>
      <c r="CH34" s="39">
        <f t="shared" si="67"/>
        <v>0.52000000000000013</v>
      </c>
      <c r="CI34" s="39">
        <f t="shared" si="13"/>
        <v>3.3775892441888962</v>
      </c>
      <c r="CJ34" s="40">
        <f t="shared" si="68"/>
        <v>3.3775892441888962</v>
      </c>
      <c r="CK34" s="39"/>
      <c r="CL34" s="32">
        <f t="shared" si="69"/>
        <v>0.52000000000000013</v>
      </c>
      <c r="CM34" s="36">
        <f t="shared" si="70"/>
        <v>0.52000000000000013</v>
      </c>
      <c r="CN34" s="32">
        <f t="shared" si="14"/>
        <v>3.3775892441888962</v>
      </c>
      <c r="CO34" s="40">
        <f t="shared" si="71"/>
        <v>3.3775892441888962</v>
      </c>
      <c r="CP34" s="32"/>
      <c r="CQ34" s="32">
        <f t="shared" si="72"/>
        <v>0.52000000000000013</v>
      </c>
      <c r="CR34" s="36">
        <f t="shared" si="73"/>
        <v>0.52000000000000013</v>
      </c>
      <c r="CS34" s="32">
        <f t="shared" si="15"/>
        <v>3.3775892441888962</v>
      </c>
      <c r="CT34" s="40">
        <f t="shared" si="74"/>
        <v>3.3775892441888962</v>
      </c>
      <c r="CU34" s="32"/>
      <c r="CV34" s="32">
        <f t="shared" si="75"/>
        <v>0.52000000000000013</v>
      </c>
      <c r="CW34" s="32">
        <f t="shared" si="76"/>
        <v>0.52000000000000013</v>
      </c>
      <c r="CX34" s="32">
        <f t="shared" si="16"/>
        <v>3.3775892441888962</v>
      </c>
      <c r="CY34" s="40">
        <f t="shared" si="77"/>
        <v>3.3775892441888962</v>
      </c>
      <c r="CZ34" s="32"/>
      <c r="DA34" s="32">
        <f t="shared" si="78"/>
        <v>0.52000000000000013</v>
      </c>
      <c r="DB34" s="36">
        <f t="shared" si="79"/>
        <v>0.52000000000000013</v>
      </c>
      <c r="DC34" s="32">
        <f t="shared" si="17"/>
        <v>3.3775892441888962</v>
      </c>
      <c r="DD34" s="40">
        <f t="shared" si="80"/>
        <v>3.3775892441888962</v>
      </c>
      <c r="DE34" s="32"/>
      <c r="DF34" s="32">
        <f t="shared" si="81"/>
        <v>0.52000000000000013</v>
      </c>
      <c r="DG34" s="36">
        <f t="shared" si="82"/>
        <v>0.52000000000000013</v>
      </c>
      <c r="DH34" s="32">
        <f t="shared" si="18"/>
        <v>3.3775892441888962</v>
      </c>
      <c r="DI34" s="40">
        <f t="shared" si="83"/>
        <v>3.3775892441888962</v>
      </c>
      <c r="DJ34" s="32"/>
      <c r="DK34" s="32">
        <f t="shared" si="84"/>
        <v>0.52000000000000013</v>
      </c>
      <c r="DL34" s="32">
        <f t="shared" si="85"/>
        <v>0.52000000000000013</v>
      </c>
      <c r="DM34" s="32">
        <f t="shared" si="19"/>
        <v>3.3775892441888962</v>
      </c>
      <c r="DN34" s="40">
        <f t="shared" si="86"/>
        <v>3.3775892441888962</v>
      </c>
      <c r="DO34" s="32"/>
      <c r="DP34" s="32">
        <f t="shared" si="87"/>
        <v>0.52000000000000013</v>
      </c>
      <c r="DQ34" s="36">
        <f t="shared" si="88"/>
        <v>0.52000000000000013</v>
      </c>
      <c r="DR34" s="32">
        <f t="shared" si="20"/>
        <v>3.3775892441888962</v>
      </c>
      <c r="DS34" s="40">
        <f t="shared" si="89"/>
        <v>3.3775892441888962</v>
      </c>
      <c r="DT34" s="32"/>
      <c r="DU34" s="32">
        <f t="shared" si="90"/>
        <v>0.52000000000000013</v>
      </c>
      <c r="DV34" s="36">
        <f t="shared" si="91"/>
        <v>0.52000000000000013</v>
      </c>
      <c r="DW34" s="32">
        <f t="shared" si="21"/>
        <v>3.3775892441888962</v>
      </c>
      <c r="DX34" s="40">
        <f t="shared" si="92"/>
        <v>3.3775892441888962</v>
      </c>
      <c r="DY34" s="32"/>
      <c r="DZ34" s="32">
        <f t="shared" si="93"/>
        <v>0.52000000000000013</v>
      </c>
      <c r="EA34" s="32">
        <f t="shared" si="94"/>
        <v>0.52000000000000013</v>
      </c>
      <c r="EB34" s="32">
        <f t="shared" si="22"/>
        <v>3.3775892441888962</v>
      </c>
      <c r="EC34" s="40">
        <f t="shared" si="95"/>
        <v>3.3775892441888962</v>
      </c>
      <c r="ED34" s="32"/>
      <c r="EE34" s="32">
        <f t="shared" si="96"/>
        <v>0.52000000000000013</v>
      </c>
      <c r="EF34" s="36">
        <f t="shared" si="97"/>
        <v>0.52000000000000013</v>
      </c>
      <c r="EG34" s="32">
        <f t="shared" si="23"/>
        <v>3.3775892441888962</v>
      </c>
      <c r="EH34" s="40">
        <f t="shared" si="98"/>
        <v>3.3775892441888962</v>
      </c>
      <c r="EI34" s="32"/>
      <c r="EJ34" s="32">
        <f t="shared" si="99"/>
        <v>0.52000000000000013</v>
      </c>
      <c r="EK34" s="36">
        <f t="shared" si="100"/>
        <v>0.52000000000000013</v>
      </c>
      <c r="EL34" s="32">
        <f t="shared" si="24"/>
        <v>3.3775892441888962</v>
      </c>
      <c r="EM34" s="40">
        <f t="shared" si="101"/>
        <v>3.3775892441888962</v>
      </c>
      <c r="EN34" s="32"/>
      <c r="EO34" s="32">
        <f t="shared" si="102"/>
        <v>0.52000000000000013</v>
      </c>
      <c r="EP34" s="32">
        <f t="shared" si="103"/>
        <v>0.52000000000000013</v>
      </c>
      <c r="EQ34" s="32">
        <f t="shared" si="25"/>
        <v>3.3775892441888962</v>
      </c>
      <c r="ER34" s="40">
        <f t="shared" si="104"/>
        <v>3.3775892441888962</v>
      </c>
      <c r="ES34" s="32"/>
      <c r="ET34" s="32">
        <f t="shared" si="105"/>
        <v>0.52000000000000013</v>
      </c>
      <c r="EU34" s="36">
        <f t="shared" si="106"/>
        <v>0.52000000000000013</v>
      </c>
      <c r="EV34" s="32">
        <f t="shared" si="26"/>
        <v>3.3775892441888962</v>
      </c>
      <c r="EW34" s="40">
        <f t="shared" si="107"/>
        <v>3.3775892441888962</v>
      </c>
      <c r="EX34" s="32"/>
    </row>
    <row r="35" spans="20:154" s="3" customFormat="1" x14ac:dyDescent="0.25">
      <c r="T35" s="32">
        <f t="shared" si="27"/>
        <v>0.54000000000000015</v>
      </c>
      <c r="U35" s="36">
        <f t="shared" si="28"/>
        <v>0.54000000000000015</v>
      </c>
      <c r="V35" s="32">
        <f t="shared" si="0"/>
        <v>3.4632392932933023</v>
      </c>
      <c r="W35" s="40">
        <f t="shared" si="29"/>
        <v>3.4632392932933023</v>
      </c>
      <c r="X35" s="32"/>
      <c r="Y35" s="32">
        <f t="shared" si="30"/>
        <v>0.54000000000000015</v>
      </c>
      <c r="Z35" s="32">
        <f t="shared" si="31"/>
        <v>0.54000000000000015</v>
      </c>
      <c r="AA35" s="32">
        <f t="shared" si="1"/>
        <v>3.4632392932933023</v>
      </c>
      <c r="AB35" s="40">
        <f t="shared" si="32"/>
        <v>3.4632392932933023</v>
      </c>
      <c r="AC35" s="32"/>
      <c r="AD35" s="32">
        <f t="shared" si="33"/>
        <v>0.54000000000000015</v>
      </c>
      <c r="AE35" s="36">
        <f t="shared" si="34"/>
        <v>0.54000000000000015</v>
      </c>
      <c r="AF35" s="32">
        <f t="shared" si="2"/>
        <v>3.4632392932933023</v>
      </c>
      <c r="AG35" s="40">
        <f t="shared" si="35"/>
        <v>3.4632392932933023</v>
      </c>
      <c r="AH35" s="32"/>
      <c r="AI35" s="32">
        <f t="shared" si="36"/>
        <v>0.54000000000000015</v>
      </c>
      <c r="AJ35" s="36">
        <f t="shared" si="37"/>
        <v>0.54000000000000015</v>
      </c>
      <c r="AK35" s="32">
        <f t="shared" si="3"/>
        <v>3.4632392932933023</v>
      </c>
      <c r="AL35" s="40">
        <f t="shared" si="38"/>
        <v>3.4632392932933023</v>
      </c>
      <c r="AM35" s="32"/>
      <c r="AN35" s="32">
        <f t="shared" si="39"/>
        <v>0.54000000000000015</v>
      </c>
      <c r="AO35" s="32">
        <f t="shared" si="40"/>
        <v>0.54000000000000015</v>
      </c>
      <c r="AP35" s="32">
        <f t="shared" si="4"/>
        <v>3.4632392932933023</v>
      </c>
      <c r="AQ35" s="40">
        <f t="shared" si="41"/>
        <v>3.4632392932933023</v>
      </c>
      <c r="AR35" s="32"/>
      <c r="AS35" s="32">
        <f t="shared" si="42"/>
        <v>0.54000000000000015</v>
      </c>
      <c r="AT35" s="36">
        <f t="shared" si="43"/>
        <v>0.54000000000000015</v>
      </c>
      <c r="AU35" s="32">
        <f t="shared" si="5"/>
        <v>3.4632392932933023</v>
      </c>
      <c r="AV35" s="40">
        <f t="shared" si="44"/>
        <v>3.4632392932933023</v>
      </c>
      <c r="AW35" s="32"/>
      <c r="AX35" s="32">
        <f t="shared" si="45"/>
        <v>0.54000000000000015</v>
      </c>
      <c r="AY35" s="36">
        <f t="shared" si="46"/>
        <v>0.54000000000000015</v>
      </c>
      <c r="AZ35" s="32">
        <f t="shared" si="6"/>
        <v>3.4632392932933023</v>
      </c>
      <c r="BA35" s="40">
        <f t="shared" si="47"/>
        <v>3.4632392932933023</v>
      </c>
      <c r="BB35" s="32"/>
      <c r="BC35" s="32">
        <f t="shared" si="48"/>
        <v>0.54000000000000015</v>
      </c>
      <c r="BD35" s="32">
        <f t="shared" si="49"/>
        <v>0.54000000000000015</v>
      </c>
      <c r="BE35" s="32">
        <f t="shared" si="7"/>
        <v>3.4632392932933023</v>
      </c>
      <c r="BF35" s="40">
        <f t="shared" si="50"/>
        <v>3.4632392932933023</v>
      </c>
      <c r="BG35" s="32"/>
      <c r="BH35" s="32">
        <f t="shared" si="51"/>
        <v>0.54000000000000015</v>
      </c>
      <c r="BI35" s="36">
        <f t="shared" si="52"/>
        <v>0.54000000000000015</v>
      </c>
      <c r="BJ35" s="32">
        <f t="shared" si="8"/>
        <v>3.4632392932933023</v>
      </c>
      <c r="BK35" s="40">
        <f t="shared" si="53"/>
        <v>3.4632392932933023</v>
      </c>
      <c r="BL35" s="32"/>
      <c r="BM35" s="32">
        <f t="shared" si="54"/>
        <v>0.54000000000000015</v>
      </c>
      <c r="BN35" s="36">
        <f t="shared" si="55"/>
        <v>0.54000000000000015</v>
      </c>
      <c r="BO35" s="32">
        <f t="shared" si="9"/>
        <v>3.4632392932933023</v>
      </c>
      <c r="BP35" s="40">
        <f t="shared" si="56"/>
        <v>3.4632392932933023</v>
      </c>
      <c r="BQ35" s="32"/>
      <c r="BR35" s="32">
        <f t="shared" si="57"/>
        <v>0.54000000000000015</v>
      </c>
      <c r="BS35" s="32">
        <f t="shared" si="58"/>
        <v>0.54000000000000015</v>
      </c>
      <c r="BT35" s="32">
        <f t="shared" si="10"/>
        <v>3.4632392932933023</v>
      </c>
      <c r="BU35" s="40">
        <f t="shared" si="59"/>
        <v>3.4632392932933023</v>
      </c>
      <c r="BV35" s="32"/>
      <c r="BW35" s="32">
        <f t="shared" si="60"/>
        <v>0.54000000000000015</v>
      </c>
      <c r="BX35" s="36">
        <f t="shared" si="61"/>
        <v>0.54000000000000015</v>
      </c>
      <c r="BY35" s="32">
        <f t="shared" si="11"/>
        <v>3.4632392932933023</v>
      </c>
      <c r="BZ35" s="40">
        <f t="shared" si="62"/>
        <v>3.4632392932933023</v>
      </c>
      <c r="CA35" s="32"/>
      <c r="CB35" s="32">
        <f t="shared" si="63"/>
        <v>0.54000000000000015</v>
      </c>
      <c r="CC35" s="36">
        <f t="shared" si="64"/>
        <v>0.54000000000000015</v>
      </c>
      <c r="CD35" s="32">
        <f t="shared" si="12"/>
        <v>3.4632392932933023</v>
      </c>
      <c r="CE35" s="40">
        <f t="shared" si="65"/>
        <v>3.4632392932933023</v>
      </c>
      <c r="CF35" s="32"/>
      <c r="CG35" s="39">
        <f t="shared" si="66"/>
        <v>0.54000000000000015</v>
      </c>
      <c r="CH35" s="39">
        <f t="shared" si="67"/>
        <v>0.54000000000000015</v>
      </c>
      <c r="CI35" s="39">
        <f t="shared" si="13"/>
        <v>3.4632392932933023</v>
      </c>
      <c r="CJ35" s="40">
        <f t="shared" si="68"/>
        <v>3.4632392932933023</v>
      </c>
      <c r="CK35" s="39"/>
      <c r="CL35" s="32">
        <f t="shared" si="69"/>
        <v>0.54000000000000015</v>
      </c>
      <c r="CM35" s="36">
        <f t="shared" si="70"/>
        <v>0.54000000000000015</v>
      </c>
      <c r="CN35" s="32">
        <f t="shared" si="14"/>
        <v>3.4632392932933023</v>
      </c>
      <c r="CO35" s="40">
        <f t="shared" si="71"/>
        <v>3.4632392932933023</v>
      </c>
      <c r="CP35" s="32"/>
      <c r="CQ35" s="32">
        <f t="shared" si="72"/>
        <v>0.54000000000000015</v>
      </c>
      <c r="CR35" s="36">
        <f t="shared" si="73"/>
        <v>0.54000000000000015</v>
      </c>
      <c r="CS35" s="32">
        <f t="shared" si="15"/>
        <v>3.4632392932933023</v>
      </c>
      <c r="CT35" s="40">
        <f t="shared" si="74"/>
        <v>3.4632392932933023</v>
      </c>
      <c r="CU35" s="32"/>
      <c r="CV35" s="32">
        <f t="shared" si="75"/>
        <v>0.54000000000000015</v>
      </c>
      <c r="CW35" s="32">
        <f t="shared" si="76"/>
        <v>0.54000000000000015</v>
      </c>
      <c r="CX35" s="32">
        <f t="shared" si="16"/>
        <v>3.4632392932933023</v>
      </c>
      <c r="CY35" s="40">
        <f t="shared" si="77"/>
        <v>3.4632392932933023</v>
      </c>
      <c r="CZ35" s="32"/>
      <c r="DA35" s="32">
        <f t="shared" si="78"/>
        <v>0.54000000000000015</v>
      </c>
      <c r="DB35" s="36">
        <f t="shared" si="79"/>
        <v>0.54000000000000015</v>
      </c>
      <c r="DC35" s="32">
        <f t="shared" si="17"/>
        <v>3.4632392932933023</v>
      </c>
      <c r="DD35" s="40">
        <f t="shared" si="80"/>
        <v>3.4632392932933023</v>
      </c>
      <c r="DE35" s="32"/>
      <c r="DF35" s="32">
        <f t="shared" si="81"/>
        <v>0.54000000000000015</v>
      </c>
      <c r="DG35" s="36">
        <f t="shared" si="82"/>
        <v>0.54000000000000015</v>
      </c>
      <c r="DH35" s="32">
        <f t="shared" si="18"/>
        <v>3.4632392932933023</v>
      </c>
      <c r="DI35" s="40">
        <f t="shared" si="83"/>
        <v>3.4632392932933023</v>
      </c>
      <c r="DJ35" s="32"/>
      <c r="DK35" s="32">
        <f t="shared" si="84"/>
        <v>0.54000000000000015</v>
      </c>
      <c r="DL35" s="32">
        <f t="shared" si="85"/>
        <v>0.54000000000000015</v>
      </c>
      <c r="DM35" s="32">
        <f t="shared" si="19"/>
        <v>3.4632392932933023</v>
      </c>
      <c r="DN35" s="40">
        <f t="shared" si="86"/>
        <v>3.4632392932933023</v>
      </c>
      <c r="DO35" s="32"/>
      <c r="DP35" s="32">
        <f t="shared" si="87"/>
        <v>0.54000000000000015</v>
      </c>
      <c r="DQ35" s="36">
        <f t="shared" si="88"/>
        <v>0.54000000000000015</v>
      </c>
      <c r="DR35" s="32">
        <f t="shared" si="20"/>
        <v>3.4632392932933023</v>
      </c>
      <c r="DS35" s="40">
        <f t="shared" si="89"/>
        <v>3.4632392932933023</v>
      </c>
      <c r="DT35" s="32"/>
      <c r="DU35" s="32">
        <f t="shared" si="90"/>
        <v>0.54000000000000015</v>
      </c>
      <c r="DV35" s="36">
        <f t="shared" si="91"/>
        <v>0.54000000000000015</v>
      </c>
      <c r="DW35" s="32">
        <f t="shared" si="21"/>
        <v>3.4632392932933023</v>
      </c>
      <c r="DX35" s="40">
        <f t="shared" si="92"/>
        <v>3.4632392932933023</v>
      </c>
      <c r="DY35" s="32"/>
      <c r="DZ35" s="32">
        <f t="shared" si="93"/>
        <v>0.54000000000000015</v>
      </c>
      <c r="EA35" s="32">
        <f t="shared" si="94"/>
        <v>0.54000000000000015</v>
      </c>
      <c r="EB35" s="32">
        <f t="shared" si="22"/>
        <v>3.4632392932933023</v>
      </c>
      <c r="EC35" s="40">
        <f t="shared" si="95"/>
        <v>3.4632392932933023</v>
      </c>
      <c r="ED35" s="32"/>
      <c r="EE35" s="32">
        <f t="shared" si="96"/>
        <v>0.54000000000000015</v>
      </c>
      <c r="EF35" s="36">
        <f t="shared" si="97"/>
        <v>0.54000000000000015</v>
      </c>
      <c r="EG35" s="32">
        <f t="shared" si="23"/>
        <v>3.4632392932933023</v>
      </c>
      <c r="EH35" s="40">
        <f t="shared" si="98"/>
        <v>3.4632392932933023</v>
      </c>
      <c r="EI35" s="32"/>
      <c r="EJ35" s="32">
        <f t="shared" si="99"/>
        <v>0.54000000000000015</v>
      </c>
      <c r="EK35" s="36">
        <f t="shared" si="100"/>
        <v>0.54000000000000015</v>
      </c>
      <c r="EL35" s="32">
        <f t="shared" si="24"/>
        <v>3.4632392932933023</v>
      </c>
      <c r="EM35" s="40">
        <f t="shared" si="101"/>
        <v>3.4632392932933023</v>
      </c>
      <c r="EN35" s="32"/>
      <c r="EO35" s="32">
        <f t="shared" si="102"/>
        <v>0.54000000000000015</v>
      </c>
      <c r="EP35" s="32">
        <f t="shared" si="103"/>
        <v>0.54000000000000015</v>
      </c>
      <c r="EQ35" s="32">
        <f t="shared" si="25"/>
        <v>3.4632392932933023</v>
      </c>
      <c r="ER35" s="40">
        <f t="shared" si="104"/>
        <v>3.4632392932933023</v>
      </c>
      <c r="ES35" s="32"/>
      <c r="ET35" s="32">
        <f t="shared" si="105"/>
        <v>0.54000000000000015</v>
      </c>
      <c r="EU35" s="36">
        <f t="shared" si="106"/>
        <v>0.54000000000000015</v>
      </c>
      <c r="EV35" s="32">
        <f t="shared" si="26"/>
        <v>3.4632392932933023</v>
      </c>
      <c r="EW35" s="40">
        <f t="shared" si="107"/>
        <v>3.4632392932933023</v>
      </c>
      <c r="EX35" s="32"/>
    </row>
    <row r="36" spans="20:154" s="3" customFormat="1" x14ac:dyDescent="0.25">
      <c r="T36" s="32">
        <f t="shared" si="27"/>
        <v>0.56000000000000016</v>
      </c>
      <c r="U36" s="36">
        <f t="shared" si="28"/>
        <v>0.56000000000000016</v>
      </c>
      <c r="V36" s="32">
        <f t="shared" si="0"/>
        <v>3.5461808296698623</v>
      </c>
      <c r="W36" s="40">
        <f t="shared" si="29"/>
        <v>3.5461808296698623</v>
      </c>
      <c r="X36" s="32"/>
      <c r="Y36" s="32">
        <f t="shared" si="30"/>
        <v>0.56000000000000016</v>
      </c>
      <c r="Z36" s="32">
        <f t="shared" si="31"/>
        <v>0.56000000000000016</v>
      </c>
      <c r="AA36" s="32">
        <f t="shared" si="1"/>
        <v>3.5461808296698623</v>
      </c>
      <c r="AB36" s="40">
        <f t="shared" si="32"/>
        <v>3.5461808296698623</v>
      </c>
      <c r="AC36" s="32"/>
      <c r="AD36" s="32">
        <f t="shared" si="33"/>
        <v>0.56000000000000016</v>
      </c>
      <c r="AE36" s="36">
        <f t="shared" si="34"/>
        <v>0.56000000000000016</v>
      </c>
      <c r="AF36" s="32">
        <f t="shared" si="2"/>
        <v>3.5461808296698623</v>
      </c>
      <c r="AG36" s="40">
        <f t="shared" si="35"/>
        <v>3.5461808296698623</v>
      </c>
      <c r="AH36" s="32"/>
      <c r="AI36" s="32">
        <f t="shared" si="36"/>
        <v>0.56000000000000016</v>
      </c>
      <c r="AJ36" s="36">
        <f t="shared" si="37"/>
        <v>0.56000000000000016</v>
      </c>
      <c r="AK36" s="32">
        <f t="shared" si="3"/>
        <v>3.5461808296698623</v>
      </c>
      <c r="AL36" s="40">
        <f t="shared" si="38"/>
        <v>3.5461808296698623</v>
      </c>
      <c r="AM36" s="32"/>
      <c r="AN36" s="32">
        <f t="shared" si="39"/>
        <v>0.56000000000000016</v>
      </c>
      <c r="AO36" s="32">
        <f t="shared" si="40"/>
        <v>0.56000000000000016</v>
      </c>
      <c r="AP36" s="32">
        <f t="shared" si="4"/>
        <v>3.5461808296698623</v>
      </c>
      <c r="AQ36" s="40">
        <f t="shared" si="41"/>
        <v>3.5461808296698623</v>
      </c>
      <c r="AR36" s="32"/>
      <c r="AS36" s="32">
        <f t="shared" si="42"/>
        <v>0.56000000000000016</v>
      </c>
      <c r="AT36" s="36">
        <f t="shared" si="43"/>
        <v>0.56000000000000016</v>
      </c>
      <c r="AU36" s="32">
        <f t="shared" si="5"/>
        <v>3.5461808296698623</v>
      </c>
      <c r="AV36" s="40">
        <f t="shared" si="44"/>
        <v>3.5461808296698623</v>
      </c>
      <c r="AW36" s="32"/>
      <c r="AX36" s="32">
        <f t="shared" si="45"/>
        <v>0.56000000000000016</v>
      </c>
      <c r="AY36" s="36">
        <f t="shared" si="46"/>
        <v>0.56000000000000016</v>
      </c>
      <c r="AZ36" s="32">
        <f t="shared" si="6"/>
        <v>3.5461808296698623</v>
      </c>
      <c r="BA36" s="40">
        <f t="shared" si="47"/>
        <v>3.5461808296698623</v>
      </c>
      <c r="BB36" s="32"/>
      <c r="BC36" s="32">
        <f t="shared" si="48"/>
        <v>0.56000000000000016</v>
      </c>
      <c r="BD36" s="32">
        <f t="shared" si="49"/>
        <v>0.56000000000000016</v>
      </c>
      <c r="BE36" s="32">
        <f t="shared" si="7"/>
        <v>3.5461808296698623</v>
      </c>
      <c r="BF36" s="40">
        <f t="shared" si="50"/>
        <v>3.5461808296698623</v>
      </c>
      <c r="BG36" s="32"/>
      <c r="BH36" s="32">
        <f t="shared" si="51"/>
        <v>0.56000000000000016</v>
      </c>
      <c r="BI36" s="36">
        <f t="shared" si="52"/>
        <v>0.56000000000000016</v>
      </c>
      <c r="BJ36" s="32">
        <f t="shared" si="8"/>
        <v>3.5461808296698623</v>
      </c>
      <c r="BK36" s="40">
        <f t="shared" si="53"/>
        <v>3.5461808296698623</v>
      </c>
      <c r="BL36" s="32"/>
      <c r="BM36" s="32">
        <f t="shared" si="54"/>
        <v>0.56000000000000016</v>
      </c>
      <c r="BN36" s="36">
        <f t="shared" si="55"/>
        <v>0.56000000000000016</v>
      </c>
      <c r="BO36" s="32">
        <f t="shared" si="9"/>
        <v>3.5461808296698623</v>
      </c>
      <c r="BP36" s="40">
        <f t="shared" si="56"/>
        <v>3.5461808296698623</v>
      </c>
      <c r="BQ36" s="32"/>
      <c r="BR36" s="32">
        <f t="shared" si="57"/>
        <v>0.56000000000000016</v>
      </c>
      <c r="BS36" s="32">
        <f t="shared" si="58"/>
        <v>0.56000000000000016</v>
      </c>
      <c r="BT36" s="32">
        <f t="shared" si="10"/>
        <v>3.5461808296698623</v>
      </c>
      <c r="BU36" s="40">
        <f t="shared" si="59"/>
        <v>3.5461808296698623</v>
      </c>
      <c r="BV36" s="32"/>
      <c r="BW36" s="32">
        <f t="shared" si="60"/>
        <v>0.56000000000000016</v>
      </c>
      <c r="BX36" s="36">
        <f t="shared" si="61"/>
        <v>0.56000000000000016</v>
      </c>
      <c r="BY36" s="32">
        <f t="shared" si="11"/>
        <v>3.5461808296698623</v>
      </c>
      <c r="BZ36" s="40">
        <f t="shared" si="62"/>
        <v>3.5461808296698623</v>
      </c>
      <c r="CA36" s="32"/>
      <c r="CB36" s="32">
        <f t="shared" si="63"/>
        <v>0.56000000000000016</v>
      </c>
      <c r="CC36" s="36">
        <f t="shared" si="64"/>
        <v>0.56000000000000016</v>
      </c>
      <c r="CD36" s="32">
        <f t="shared" si="12"/>
        <v>3.5461808296698623</v>
      </c>
      <c r="CE36" s="40">
        <f t="shared" si="65"/>
        <v>3.5461808296698623</v>
      </c>
      <c r="CF36" s="32"/>
      <c r="CG36" s="39">
        <f t="shared" si="66"/>
        <v>0.56000000000000016</v>
      </c>
      <c r="CH36" s="39">
        <f t="shared" si="67"/>
        <v>0.56000000000000016</v>
      </c>
      <c r="CI36" s="39">
        <f t="shared" si="13"/>
        <v>3.5461808296698623</v>
      </c>
      <c r="CJ36" s="40">
        <f t="shared" si="68"/>
        <v>3.5461808296698623</v>
      </c>
      <c r="CK36" s="39"/>
      <c r="CL36" s="32">
        <f t="shared" si="69"/>
        <v>0.56000000000000016</v>
      </c>
      <c r="CM36" s="36">
        <f t="shared" si="70"/>
        <v>0.56000000000000016</v>
      </c>
      <c r="CN36" s="32">
        <f t="shared" si="14"/>
        <v>3.5461808296698623</v>
      </c>
      <c r="CO36" s="40">
        <f t="shared" si="71"/>
        <v>3.5461808296698623</v>
      </c>
      <c r="CP36" s="32"/>
      <c r="CQ36" s="32">
        <f t="shared" si="72"/>
        <v>0.56000000000000016</v>
      </c>
      <c r="CR36" s="36">
        <f t="shared" si="73"/>
        <v>0.56000000000000016</v>
      </c>
      <c r="CS36" s="32">
        <f t="shared" si="15"/>
        <v>3.5461808296698623</v>
      </c>
      <c r="CT36" s="40">
        <f t="shared" si="74"/>
        <v>3.5461808296698623</v>
      </c>
      <c r="CU36" s="32"/>
      <c r="CV36" s="32">
        <f t="shared" si="75"/>
        <v>0.56000000000000016</v>
      </c>
      <c r="CW36" s="32">
        <f t="shared" si="76"/>
        <v>0.56000000000000016</v>
      </c>
      <c r="CX36" s="32">
        <f t="shared" si="16"/>
        <v>3.5461808296698623</v>
      </c>
      <c r="CY36" s="40">
        <f t="shared" si="77"/>
        <v>3.5461808296698623</v>
      </c>
      <c r="CZ36" s="32"/>
      <c r="DA36" s="32">
        <f t="shared" si="78"/>
        <v>0.56000000000000016</v>
      </c>
      <c r="DB36" s="36">
        <f t="shared" si="79"/>
        <v>0.56000000000000016</v>
      </c>
      <c r="DC36" s="32">
        <f t="shared" si="17"/>
        <v>3.5461808296698623</v>
      </c>
      <c r="DD36" s="40">
        <f t="shared" si="80"/>
        <v>3.5461808296698623</v>
      </c>
      <c r="DE36" s="32"/>
      <c r="DF36" s="32">
        <f t="shared" si="81"/>
        <v>0.56000000000000016</v>
      </c>
      <c r="DG36" s="36">
        <f t="shared" si="82"/>
        <v>0.56000000000000016</v>
      </c>
      <c r="DH36" s="32">
        <f t="shared" si="18"/>
        <v>3.5461808296698623</v>
      </c>
      <c r="DI36" s="40">
        <f t="shared" si="83"/>
        <v>3.5461808296698623</v>
      </c>
      <c r="DJ36" s="32"/>
      <c r="DK36" s="32">
        <f t="shared" si="84"/>
        <v>0.56000000000000016</v>
      </c>
      <c r="DL36" s="32">
        <f t="shared" si="85"/>
        <v>0.56000000000000016</v>
      </c>
      <c r="DM36" s="32">
        <f t="shared" si="19"/>
        <v>3.5461808296698623</v>
      </c>
      <c r="DN36" s="40">
        <f t="shared" si="86"/>
        <v>3.5461808296698623</v>
      </c>
      <c r="DO36" s="32"/>
      <c r="DP36" s="32">
        <f t="shared" si="87"/>
        <v>0.56000000000000016</v>
      </c>
      <c r="DQ36" s="36">
        <f t="shared" si="88"/>
        <v>0.56000000000000016</v>
      </c>
      <c r="DR36" s="32">
        <f t="shared" si="20"/>
        <v>3.5461808296698623</v>
      </c>
      <c r="DS36" s="40">
        <f t="shared" si="89"/>
        <v>3.5461808296698623</v>
      </c>
      <c r="DT36" s="32"/>
      <c r="DU36" s="32">
        <f t="shared" si="90"/>
        <v>0.56000000000000016</v>
      </c>
      <c r="DV36" s="36">
        <f t="shared" si="91"/>
        <v>0.56000000000000016</v>
      </c>
      <c r="DW36" s="32">
        <f t="shared" si="21"/>
        <v>3.5461808296698623</v>
      </c>
      <c r="DX36" s="40">
        <f t="shared" si="92"/>
        <v>3.5461808296698623</v>
      </c>
      <c r="DY36" s="32"/>
      <c r="DZ36" s="32">
        <f t="shared" si="93"/>
        <v>0.56000000000000016</v>
      </c>
      <c r="EA36" s="32">
        <f t="shared" si="94"/>
        <v>0.56000000000000016</v>
      </c>
      <c r="EB36" s="32">
        <f t="shared" si="22"/>
        <v>3.5461808296698623</v>
      </c>
      <c r="EC36" s="40">
        <f t="shared" si="95"/>
        <v>3.5461808296698623</v>
      </c>
      <c r="ED36" s="32"/>
      <c r="EE36" s="32">
        <f t="shared" si="96"/>
        <v>0.56000000000000016</v>
      </c>
      <c r="EF36" s="36">
        <f t="shared" si="97"/>
        <v>0.56000000000000016</v>
      </c>
      <c r="EG36" s="32">
        <f t="shared" si="23"/>
        <v>3.5461808296698623</v>
      </c>
      <c r="EH36" s="40">
        <f t="shared" si="98"/>
        <v>3.5461808296698623</v>
      </c>
      <c r="EI36" s="32"/>
      <c r="EJ36" s="32">
        <f t="shared" si="99"/>
        <v>0.56000000000000016</v>
      </c>
      <c r="EK36" s="36">
        <f t="shared" si="100"/>
        <v>0.56000000000000016</v>
      </c>
      <c r="EL36" s="32">
        <f t="shared" si="24"/>
        <v>3.5461808296698623</v>
      </c>
      <c r="EM36" s="40">
        <f t="shared" si="101"/>
        <v>3.5461808296698623</v>
      </c>
      <c r="EN36" s="32"/>
      <c r="EO36" s="32">
        <f t="shared" si="102"/>
        <v>0.56000000000000016</v>
      </c>
      <c r="EP36" s="32">
        <f t="shared" si="103"/>
        <v>0.56000000000000016</v>
      </c>
      <c r="EQ36" s="32">
        <f t="shared" si="25"/>
        <v>3.5461808296698623</v>
      </c>
      <c r="ER36" s="40">
        <f t="shared" si="104"/>
        <v>3.5461808296698623</v>
      </c>
      <c r="ES36" s="32"/>
      <c r="ET36" s="32">
        <f t="shared" si="105"/>
        <v>0.56000000000000016</v>
      </c>
      <c r="EU36" s="36">
        <f t="shared" si="106"/>
        <v>0.56000000000000016</v>
      </c>
      <c r="EV36" s="32">
        <f t="shared" si="26"/>
        <v>3.5461808296698623</v>
      </c>
      <c r="EW36" s="40">
        <f t="shared" si="107"/>
        <v>3.5461808296698623</v>
      </c>
      <c r="EX36" s="32"/>
    </row>
    <row r="37" spans="20:154" s="3" customFormat="1" x14ac:dyDescent="0.25">
      <c r="T37" s="32">
        <f t="shared" si="27"/>
        <v>0.58000000000000018</v>
      </c>
      <c r="U37" s="36">
        <f t="shared" si="28"/>
        <v>0.58000000000000018</v>
      </c>
      <c r="V37" s="32">
        <f t="shared" si="0"/>
        <v>3.6264138533185739</v>
      </c>
      <c r="W37" s="40">
        <f t="shared" si="29"/>
        <v>3.6264138533185739</v>
      </c>
      <c r="X37" s="32"/>
      <c r="Y37" s="32">
        <f t="shared" si="30"/>
        <v>0.58000000000000018</v>
      </c>
      <c r="Z37" s="32">
        <f t="shared" si="31"/>
        <v>0.58000000000000018</v>
      </c>
      <c r="AA37" s="32">
        <f t="shared" si="1"/>
        <v>3.6264138533185739</v>
      </c>
      <c r="AB37" s="40">
        <f t="shared" si="32"/>
        <v>3.6264138533185739</v>
      </c>
      <c r="AC37" s="32"/>
      <c r="AD37" s="32">
        <f t="shared" si="33"/>
        <v>0.58000000000000018</v>
      </c>
      <c r="AE37" s="36">
        <f t="shared" si="34"/>
        <v>0.58000000000000018</v>
      </c>
      <c r="AF37" s="32">
        <f t="shared" si="2"/>
        <v>3.6264138533185739</v>
      </c>
      <c r="AG37" s="40">
        <f t="shared" si="35"/>
        <v>3.6264138533185739</v>
      </c>
      <c r="AH37" s="32"/>
      <c r="AI37" s="32">
        <f t="shared" si="36"/>
        <v>0.58000000000000018</v>
      </c>
      <c r="AJ37" s="36">
        <f t="shared" si="37"/>
        <v>0.58000000000000018</v>
      </c>
      <c r="AK37" s="32">
        <f t="shared" si="3"/>
        <v>3.6264138533185739</v>
      </c>
      <c r="AL37" s="40">
        <f t="shared" si="38"/>
        <v>3.6264138533185739</v>
      </c>
      <c r="AM37" s="32"/>
      <c r="AN37" s="32">
        <f t="shared" si="39"/>
        <v>0.58000000000000018</v>
      </c>
      <c r="AO37" s="32">
        <f t="shared" si="40"/>
        <v>0.58000000000000018</v>
      </c>
      <c r="AP37" s="32">
        <f t="shared" si="4"/>
        <v>3.6264138533185739</v>
      </c>
      <c r="AQ37" s="40">
        <f t="shared" si="41"/>
        <v>3.6264138533185739</v>
      </c>
      <c r="AR37" s="32"/>
      <c r="AS37" s="32">
        <f t="shared" si="42"/>
        <v>0.58000000000000018</v>
      </c>
      <c r="AT37" s="36">
        <f t="shared" si="43"/>
        <v>0.58000000000000018</v>
      </c>
      <c r="AU37" s="32">
        <f t="shared" si="5"/>
        <v>3.6264138533185739</v>
      </c>
      <c r="AV37" s="40">
        <f t="shared" si="44"/>
        <v>3.6264138533185739</v>
      </c>
      <c r="AW37" s="32"/>
      <c r="AX37" s="32">
        <f t="shared" si="45"/>
        <v>0.58000000000000018</v>
      </c>
      <c r="AY37" s="36">
        <f t="shared" si="46"/>
        <v>0.58000000000000018</v>
      </c>
      <c r="AZ37" s="32">
        <f t="shared" si="6"/>
        <v>3.6264138533185739</v>
      </c>
      <c r="BA37" s="40">
        <f t="shared" si="47"/>
        <v>3.6264138533185739</v>
      </c>
      <c r="BB37" s="32"/>
      <c r="BC37" s="32">
        <f t="shared" si="48"/>
        <v>0.58000000000000018</v>
      </c>
      <c r="BD37" s="32">
        <f t="shared" si="49"/>
        <v>0.58000000000000018</v>
      </c>
      <c r="BE37" s="32">
        <f t="shared" si="7"/>
        <v>3.6264138533185739</v>
      </c>
      <c r="BF37" s="40">
        <f t="shared" si="50"/>
        <v>3.6264138533185739</v>
      </c>
      <c r="BG37" s="32"/>
      <c r="BH37" s="32">
        <f t="shared" si="51"/>
        <v>0.58000000000000018</v>
      </c>
      <c r="BI37" s="36">
        <f t="shared" si="52"/>
        <v>0.58000000000000018</v>
      </c>
      <c r="BJ37" s="32">
        <f t="shared" si="8"/>
        <v>3.6264138533185739</v>
      </c>
      <c r="BK37" s="40">
        <f t="shared" si="53"/>
        <v>3.6264138533185739</v>
      </c>
      <c r="BL37" s="32"/>
      <c r="BM37" s="32">
        <f t="shared" si="54"/>
        <v>0.58000000000000018</v>
      </c>
      <c r="BN37" s="36">
        <f t="shared" si="55"/>
        <v>0.58000000000000018</v>
      </c>
      <c r="BO37" s="32">
        <f t="shared" si="9"/>
        <v>3.6264138533185739</v>
      </c>
      <c r="BP37" s="40">
        <f t="shared" si="56"/>
        <v>3.6264138533185739</v>
      </c>
      <c r="BQ37" s="32"/>
      <c r="BR37" s="32">
        <f t="shared" si="57"/>
        <v>0.58000000000000018</v>
      </c>
      <c r="BS37" s="32">
        <f t="shared" si="58"/>
        <v>0.58000000000000018</v>
      </c>
      <c r="BT37" s="32">
        <f t="shared" si="10"/>
        <v>3.6264138533185739</v>
      </c>
      <c r="BU37" s="40">
        <f t="shared" si="59"/>
        <v>3.6264138533185739</v>
      </c>
      <c r="BV37" s="32"/>
      <c r="BW37" s="32">
        <f t="shared" si="60"/>
        <v>0.58000000000000018</v>
      </c>
      <c r="BX37" s="36">
        <f t="shared" si="61"/>
        <v>0.58000000000000018</v>
      </c>
      <c r="BY37" s="32">
        <f t="shared" si="11"/>
        <v>3.6264138533185739</v>
      </c>
      <c r="BZ37" s="40">
        <f t="shared" si="62"/>
        <v>3.6264138533185739</v>
      </c>
      <c r="CA37" s="32"/>
      <c r="CB37" s="32">
        <f t="shared" si="63"/>
        <v>0.58000000000000018</v>
      </c>
      <c r="CC37" s="36">
        <f t="shared" si="64"/>
        <v>0.58000000000000018</v>
      </c>
      <c r="CD37" s="32">
        <f t="shared" si="12"/>
        <v>3.6264138533185739</v>
      </c>
      <c r="CE37" s="40">
        <f t="shared" si="65"/>
        <v>3.6264138533185739</v>
      </c>
      <c r="CF37" s="32"/>
      <c r="CG37" s="39">
        <f t="shared" si="66"/>
        <v>0.58000000000000018</v>
      </c>
      <c r="CH37" s="39">
        <f t="shared" si="67"/>
        <v>0.58000000000000018</v>
      </c>
      <c r="CI37" s="39">
        <f t="shared" si="13"/>
        <v>3.6264138533185739</v>
      </c>
      <c r="CJ37" s="40">
        <f t="shared" si="68"/>
        <v>3.6264138533185739</v>
      </c>
      <c r="CK37" s="39"/>
      <c r="CL37" s="32">
        <f t="shared" si="69"/>
        <v>0.58000000000000018</v>
      </c>
      <c r="CM37" s="36">
        <f t="shared" si="70"/>
        <v>0.58000000000000018</v>
      </c>
      <c r="CN37" s="32">
        <f t="shared" si="14"/>
        <v>3.6264138533185739</v>
      </c>
      <c r="CO37" s="40">
        <f t="shared" si="71"/>
        <v>3.6264138533185739</v>
      </c>
      <c r="CP37" s="32"/>
      <c r="CQ37" s="32">
        <f t="shared" si="72"/>
        <v>0.58000000000000018</v>
      </c>
      <c r="CR37" s="36">
        <f t="shared" si="73"/>
        <v>0.58000000000000018</v>
      </c>
      <c r="CS37" s="32">
        <f t="shared" si="15"/>
        <v>3.6264138533185739</v>
      </c>
      <c r="CT37" s="40">
        <f t="shared" si="74"/>
        <v>3.6264138533185739</v>
      </c>
      <c r="CU37" s="32"/>
      <c r="CV37" s="32">
        <f t="shared" si="75"/>
        <v>0.58000000000000018</v>
      </c>
      <c r="CW37" s="32">
        <f t="shared" si="76"/>
        <v>0.58000000000000018</v>
      </c>
      <c r="CX37" s="32">
        <f t="shared" si="16"/>
        <v>3.6264138533185739</v>
      </c>
      <c r="CY37" s="40">
        <f t="shared" si="77"/>
        <v>3.6264138533185739</v>
      </c>
      <c r="CZ37" s="32"/>
      <c r="DA37" s="32">
        <f t="shared" si="78"/>
        <v>0.58000000000000018</v>
      </c>
      <c r="DB37" s="36">
        <f t="shared" si="79"/>
        <v>0.58000000000000018</v>
      </c>
      <c r="DC37" s="32">
        <f t="shared" si="17"/>
        <v>3.6264138533185739</v>
      </c>
      <c r="DD37" s="40">
        <f t="shared" si="80"/>
        <v>3.6264138533185739</v>
      </c>
      <c r="DE37" s="32"/>
      <c r="DF37" s="32">
        <f t="shared" si="81"/>
        <v>0.58000000000000018</v>
      </c>
      <c r="DG37" s="36">
        <f t="shared" si="82"/>
        <v>0.58000000000000018</v>
      </c>
      <c r="DH37" s="32">
        <f t="shared" si="18"/>
        <v>3.6264138533185739</v>
      </c>
      <c r="DI37" s="40">
        <f t="shared" si="83"/>
        <v>3.6264138533185739</v>
      </c>
      <c r="DJ37" s="32"/>
      <c r="DK37" s="32">
        <f t="shared" si="84"/>
        <v>0.58000000000000018</v>
      </c>
      <c r="DL37" s="32">
        <f t="shared" si="85"/>
        <v>0.58000000000000018</v>
      </c>
      <c r="DM37" s="32">
        <f t="shared" si="19"/>
        <v>3.6264138533185739</v>
      </c>
      <c r="DN37" s="40">
        <f t="shared" si="86"/>
        <v>3.6264138533185739</v>
      </c>
      <c r="DO37" s="32"/>
      <c r="DP37" s="32">
        <f t="shared" si="87"/>
        <v>0.58000000000000018</v>
      </c>
      <c r="DQ37" s="36">
        <f t="shared" si="88"/>
        <v>0.58000000000000018</v>
      </c>
      <c r="DR37" s="32">
        <f t="shared" si="20"/>
        <v>3.6264138533185739</v>
      </c>
      <c r="DS37" s="40">
        <f t="shared" si="89"/>
        <v>3.6264138533185739</v>
      </c>
      <c r="DT37" s="32"/>
      <c r="DU37" s="32">
        <f t="shared" si="90"/>
        <v>0.58000000000000018</v>
      </c>
      <c r="DV37" s="36">
        <f t="shared" si="91"/>
        <v>0.58000000000000018</v>
      </c>
      <c r="DW37" s="32">
        <f t="shared" si="21"/>
        <v>3.6264138533185739</v>
      </c>
      <c r="DX37" s="40">
        <f t="shared" si="92"/>
        <v>3.6264138533185739</v>
      </c>
      <c r="DY37" s="32"/>
      <c r="DZ37" s="32">
        <f t="shared" si="93"/>
        <v>0.58000000000000018</v>
      </c>
      <c r="EA37" s="32">
        <f t="shared" si="94"/>
        <v>0.58000000000000018</v>
      </c>
      <c r="EB37" s="32">
        <f t="shared" si="22"/>
        <v>3.6264138533185739</v>
      </c>
      <c r="EC37" s="40">
        <f t="shared" si="95"/>
        <v>3.6264138533185739</v>
      </c>
      <c r="ED37" s="32"/>
      <c r="EE37" s="32">
        <f t="shared" si="96"/>
        <v>0.58000000000000018</v>
      </c>
      <c r="EF37" s="36">
        <f t="shared" si="97"/>
        <v>0.58000000000000018</v>
      </c>
      <c r="EG37" s="32">
        <f t="shared" si="23"/>
        <v>3.6264138533185739</v>
      </c>
      <c r="EH37" s="40">
        <f t="shared" si="98"/>
        <v>3.6264138533185739</v>
      </c>
      <c r="EI37" s="32"/>
      <c r="EJ37" s="32">
        <f t="shared" si="99"/>
        <v>0.58000000000000018</v>
      </c>
      <c r="EK37" s="36">
        <f t="shared" si="100"/>
        <v>0.58000000000000018</v>
      </c>
      <c r="EL37" s="32">
        <f t="shared" si="24"/>
        <v>3.6264138533185739</v>
      </c>
      <c r="EM37" s="40">
        <f t="shared" si="101"/>
        <v>3.6264138533185739</v>
      </c>
      <c r="EN37" s="32"/>
      <c r="EO37" s="32">
        <f t="shared" si="102"/>
        <v>0.58000000000000018</v>
      </c>
      <c r="EP37" s="32">
        <f t="shared" si="103"/>
        <v>0.58000000000000018</v>
      </c>
      <c r="EQ37" s="32">
        <f t="shared" si="25"/>
        <v>3.6264138533185739</v>
      </c>
      <c r="ER37" s="40">
        <f t="shared" si="104"/>
        <v>3.6264138533185739</v>
      </c>
      <c r="ES37" s="32"/>
      <c r="ET37" s="32">
        <f t="shared" si="105"/>
        <v>0.58000000000000018</v>
      </c>
      <c r="EU37" s="36">
        <f t="shared" si="106"/>
        <v>0.58000000000000018</v>
      </c>
      <c r="EV37" s="32">
        <f t="shared" si="26"/>
        <v>3.6264138533185739</v>
      </c>
      <c r="EW37" s="40">
        <f t="shared" si="107"/>
        <v>3.6264138533185739</v>
      </c>
      <c r="EX37" s="32"/>
    </row>
    <row r="38" spans="20:154" s="3" customFormat="1" x14ac:dyDescent="0.25">
      <c r="T38" s="32">
        <f t="shared" si="27"/>
        <v>0.6000000000000002</v>
      </c>
      <c r="U38" s="36">
        <f t="shared" si="28"/>
        <v>0.6000000000000002</v>
      </c>
      <c r="V38" s="32">
        <f t="shared" si="0"/>
        <v>3.7039383642394395</v>
      </c>
      <c r="W38" s="40">
        <f t="shared" si="29"/>
        <v>3.7039383642394395</v>
      </c>
      <c r="X38" s="32"/>
      <c r="Y38" s="32">
        <f t="shared" si="30"/>
        <v>0.6000000000000002</v>
      </c>
      <c r="Z38" s="32">
        <f t="shared" si="31"/>
        <v>0.6000000000000002</v>
      </c>
      <c r="AA38" s="32">
        <f t="shared" si="1"/>
        <v>3.7039383642394395</v>
      </c>
      <c r="AB38" s="40">
        <f t="shared" si="32"/>
        <v>3.7039383642394395</v>
      </c>
      <c r="AC38" s="32"/>
      <c r="AD38" s="32">
        <f t="shared" si="33"/>
        <v>0.6000000000000002</v>
      </c>
      <c r="AE38" s="36">
        <f t="shared" si="34"/>
        <v>0.6000000000000002</v>
      </c>
      <c r="AF38" s="32">
        <f t="shared" si="2"/>
        <v>3.7039383642394395</v>
      </c>
      <c r="AG38" s="40">
        <f t="shared" si="35"/>
        <v>3.7039383642394395</v>
      </c>
      <c r="AH38" s="32"/>
      <c r="AI38" s="32">
        <f t="shared" si="36"/>
        <v>0.6000000000000002</v>
      </c>
      <c r="AJ38" s="36">
        <f t="shared" si="37"/>
        <v>0.6000000000000002</v>
      </c>
      <c r="AK38" s="32">
        <f t="shared" si="3"/>
        <v>3.7039383642394395</v>
      </c>
      <c r="AL38" s="40">
        <f t="shared" si="38"/>
        <v>3.7039383642394395</v>
      </c>
      <c r="AM38" s="32"/>
      <c r="AN38" s="32">
        <f t="shared" si="39"/>
        <v>0.6000000000000002</v>
      </c>
      <c r="AO38" s="32">
        <f t="shared" si="40"/>
        <v>0.6000000000000002</v>
      </c>
      <c r="AP38" s="32">
        <f t="shared" si="4"/>
        <v>3.7039383642394395</v>
      </c>
      <c r="AQ38" s="40">
        <f t="shared" si="41"/>
        <v>3.7039383642394395</v>
      </c>
      <c r="AR38" s="32"/>
      <c r="AS38" s="32">
        <f t="shared" si="42"/>
        <v>0.6000000000000002</v>
      </c>
      <c r="AT38" s="36">
        <f t="shared" si="43"/>
        <v>0.6000000000000002</v>
      </c>
      <c r="AU38" s="32">
        <f t="shared" si="5"/>
        <v>3.7039383642394395</v>
      </c>
      <c r="AV38" s="40">
        <f t="shared" si="44"/>
        <v>3.7039383642394395</v>
      </c>
      <c r="AW38" s="32"/>
      <c r="AX38" s="32">
        <f t="shared" si="45"/>
        <v>0.6000000000000002</v>
      </c>
      <c r="AY38" s="36">
        <f t="shared" si="46"/>
        <v>0.6000000000000002</v>
      </c>
      <c r="AZ38" s="32">
        <f t="shared" si="6"/>
        <v>3.7039383642394395</v>
      </c>
      <c r="BA38" s="40">
        <f t="shared" si="47"/>
        <v>3.7039383642394395</v>
      </c>
      <c r="BB38" s="32"/>
      <c r="BC38" s="32">
        <f t="shared" si="48"/>
        <v>0.6000000000000002</v>
      </c>
      <c r="BD38" s="32">
        <f t="shared" si="49"/>
        <v>0.6000000000000002</v>
      </c>
      <c r="BE38" s="32">
        <f t="shared" si="7"/>
        <v>3.7039383642394395</v>
      </c>
      <c r="BF38" s="40">
        <f t="shared" si="50"/>
        <v>3.7039383642394395</v>
      </c>
      <c r="BG38" s="32"/>
      <c r="BH38" s="32">
        <f t="shared" si="51"/>
        <v>0.6000000000000002</v>
      </c>
      <c r="BI38" s="36">
        <f t="shared" si="52"/>
        <v>0.6000000000000002</v>
      </c>
      <c r="BJ38" s="32">
        <f t="shared" si="8"/>
        <v>3.7039383642394395</v>
      </c>
      <c r="BK38" s="40">
        <f t="shared" si="53"/>
        <v>3.7039383642394395</v>
      </c>
      <c r="BL38" s="32"/>
      <c r="BM38" s="32">
        <f t="shared" si="54"/>
        <v>0.6000000000000002</v>
      </c>
      <c r="BN38" s="36">
        <f t="shared" si="55"/>
        <v>0.6000000000000002</v>
      </c>
      <c r="BO38" s="32">
        <f t="shared" si="9"/>
        <v>3.7039383642394395</v>
      </c>
      <c r="BP38" s="40">
        <f t="shared" si="56"/>
        <v>3.7039383642394395</v>
      </c>
      <c r="BQ38" s="32"/>
      <c r="BR38" s="32">
        <f t="shared" si="57"/>
        <v>0.6000000000000002</v>
      </c>
      <c r="BS38" s="32">
        <f t="shared" si="58"/>
        <v>0.6000000000000002</v>
      </c>
      <c r="BT38" s="32">
        <f t="shared" si="10"/>
        <v>3.7039383642394395</v>
      </c>
      <c r="BU38" s="40">
        <f t="shared" si="59"/>
        <v>3.7039383642394395</v>
      </c>
      <c r="BV38" s="32"/>
      <c r="BW38" s="32">
        <f t="shared" si="60"/>
        <v>0.6000000000000002</v>
      </c>
      <c r="BX38" s="36">
        <f t="shared" si="61"/>
        <v>0.6000000000000002</v>
      </c>
      <c r="BY38" s="32">
        <f t="shared" si="11"/>
        <v>3.7039383642394395</v>
      </c>
      <c r="BZ38" s="40">
        <f t="shared" si="62"/>
        <v>3.7039383642394395</v>
      </c>
      <c r="CA38" s="32"/>
      <c r="CB38" s="32">
        <f t="shared" si="63"/>
        <v>0.6000000000000002</v>
      </c>
      <c r="CC38" s="36">
        <f t="shared" si="64"/>
        <v>0.6000000000000002</v>
      </c>
      <c r="CD38" s="32">
        <f t="shared" si="12"/>
        <v>3.7039383642394395</v>
      </c>
      <c r="CE38" s="40">
        <f t="shared" si="65"/>
        <v>3.7039383642394395</v>
      </c>
      <c r="CF38" s="32"/>
      <c r="CG38" s="39">
        <f t="shared" si="66"/>
        <v>0.6000000000000002</v>
      </c>
      <c r="CH38" s="39">
        <f t="shared" si="67"/>
        <v>0.6000000000000002</v>
      </c>
      <c r="CI38" s="39">
        <f t="shared" si="13"/>
        <v>3.7039383642394395</v>
      </c>
      <c r="CJ38" s="40">
        <f t="shared" si="68"/>
        <v>3.7039383642394395</v>
      </c>
      <c r="CK38" s="39"/>
      <c r="CL38" s="32">
        <f t="shared" si="69"/>
        <v>0.6000000000000002</v>
      </c>
      <c r="CM38" s="36">
        <f t="shared" si="70"/>
        <v>0.6000000000000002</v>
      </c>
      <c r="CN38" s="32">
        <f t="shared" si="14"/>
        <v>3.7039383642394395</v>
      </c>
      <c r="CO38" s="40">
        <f t="shared" si="71"/>
        <v>3.7039383642394395</v>
      </c>
      <c r="CP38" s="32"/>
      <c r="CQ38" s="32">
        <f t="shared" si="72"/>
        <v>0.6000000000000002</v>
      </c>
      <c r="CR38" s="36">
        <f t="shared" si="73"/>
        <v>0.6000000000000002</v>
      </c>
      <c r="CS38" s="32">
        <f t="shared" si="15"/>
        <v>3.7039383642394395</v>
      </c>
      <c r="CT38" s="40">
        <f t="shared" si="74"/>
        <v>3.7039383642394395</v>
      </c>
      <c r="CU38" s="32"/>
      <c r="CV38" s="32">
        <f t="shared" si="75"/>
        <v>0.6000000000000002</v>
      </c>
      <c r="CW38" s="32">
        <f t="shared" si="76"/>
        <v>0.6000000000000002</v>
      </c>
      <c r="CX38" s="32">
        <f t="shared" si="16"/>
        <v>3.7039383642394395</v>
      </c>
      <c r="CY38" s="40">
        <f t="shared" si="77"/>
        <v>3.7039383642394395</v>
      </c>
      <c r="CZ38" s="32"/>
      <c r="DA38" s="32">
        <f t="shared" si="78"/>
        <v>0.6000000000000002</v>
      </c>
      <c r="DB38" s="36">
        <f t="shared" si="79"/>
        <v>0.6000000000000002</v>
      </c>
      <c r="DC38" s="32">
        <f t="shared" si="17"/>
        <v>3.7039383642394395</v>
      </c>
      <c r="DD38" s="40">
        <f t="shared" si="80"/>
        <v>3.7039383642394395</v>
      </c>
      <c r="DE38" s="32"/>
      <c r="DF38" s="32">
        <f t="shared" si="81"/>
        <v>0.6000000000000002</v>
      </c>
      <c r="DG38" s="36">
        <f t="shared" si="82"/>
        <v>0.6000000000000002</v>
      </c>
      <c r="DH38" s="32">
        <f t="shared" si="18"/>
        <v>3.7039383642394395</v>
      </c>
      <c r="DI38" s="40">
        <f t="shared" si="83"/>
        <v>3.7039383642394395</v>
      </c>
      <c r="DJ38" s="32"/>
      <c r="DK38" s="32">
        <f t="shared" si="84"/>
        <v>0.6000000000000002</v>
      </c>
      <c r="DL38" s="32">
        <f t="shared" si="85"/>
        <v>0.6000000000000002</v>
      </c>
      <c r="DM38" s="32">
        <f t="shared" si="19"/>
        <v>3.7039383642394395</v>
      </c>
      <c r="DN38" s="40">
        <f t="shared" si="86"/>
        <v>3.7039383642394395</v>
      </c>
      <c r="DO38" s="32"/>
      <c r="DP38" s="32">
        <f t="shared" si="87"/>
        <v>0.6000000000000002</v>
      </c>
      <c r="DQ38" s="36">
        <f t="shared" si="88"/>
        <v>0.6000000000000002</v>
      </c>
      <c r="DR38" s="32">
        <f t="shared" si="20"/>
        <v>3.7039383642394395</v>
      </c>
      <c r="DS38" s="40">
        <f t="shared" si="89"/>
        <v>3.7039383642394395</v>
      </c>
      <c r="DT38" s="32"/>
      <c r="DU38" s="32">
        <f t="shared" si="90"/>
        <v>0.6000000000000002</v>
      </c>
      <c r="DV38" s="36">
        <f t="shared" si="91"/>
        <v>0.6000000000000002</v>
      </c>
      <c r="DW38" s="32">
        <f t="shared" si="21"/>
        <v>3.7039383642394395</v>
      </c>
      <c r="DX38" s="40">
        <f t="shared" si="92"/>
        <v>3.7039383642394395</v>
      </c>
      <c r="DY38" s="32"/>
      <c r="DZ38" s="32">
        <f t="shared" si="93"/>
        <v>0.6000000000000002</v>
      </c>
      <c r="EA38" s="32">
        <f t="shared" si="94"/>
        <v>0.6000000000000002</v>
      </c>
      <c r="EB38" s="32">
        <f t="shared" si="22"/>
        <v>3.7039383642394395</v>
      </c>
      <c r="EC38" s="40">
        <f t="shared" si="95"/>
        <v>3.7039383642394395</v>
      </c>
      <c r="ED38" s="32"/>
      <c r="EE38" s="32">
        <f t="shared" si="96"/>
        <v>0.6000000000000002</v>
      </c>
      <c r="EF38" s="36">
        <f t="shared" si="97"/>
        <v>0.6000000000000002</v>
      </c>
      <c r="EG38" s="32">
        <f t="shared" si="23"/>
        <v>3.7039383642394395</v>
      </c>
      <c r="EH38" s="40">
        <f t="shared" si="98"/>
        <v>3.7039383642394395</v>
      </c>
      <c r="EI38" s="32"/>
      <c r="EJ38" s="32">
        <f t="shared" si="99"/>
        <v>0.6000000000000002</v>
      </c>
      <c r="EK38" s="36">
        <f t="shared" si="100"/>
        <v>0.6000000000000002</v>
      </c>
      <c r="EL38" s="32">
        <f t="shared" si="24"/>
        <v>3.7039383642394395</v>
      </c>
      <c r="EM38" s="40">
        <f t="shared" si="101"/>
        <v>3.7039383642394395</v>
      </c>
      <c r="EN38" s="32"/>
      <c r="EO38" s="32">
        <f t="shared" si="102"/>
        <v>0.6000000000000002</v>
      </c>
      <c r="EP38" s="32">
        <f t="shared" si="103"/>
        <v>0.6000000000000002</v>
      </c>
      <c r="EQ38" s="32">
        <f t="shared" si="25"/>
        <v>3.7039383642394395</v>
      </c>
      <c r="ER38" s="40">
        <f t="shared" si="104"/>
        <v>3.7039383642394395</v>
      </c>
      <c r="ES38" s="32"/>
      <c r="ET38" s="32">
        <f t="shared" si="105"/>
        <v>0.6000000000000002</v>
      </c>
      <c r="EU38" s="36">
        <f t="shared" si="106"/>
        <v>0.6000000000000002</v>
      </c>
      <c r="EV38" s="32">
        <f t="shared" si="26"/>
        <v>3.7039383642394395</v>
      </c>
      <c r="EW38" s="40">
        <f t="shared" si="107"/>
        <v>3.7039383642394395</v>
      </c>
      <c r="EX38" s="32"/>
    </row>
    <row r="39" spans="20:154" s="3" customFormat="1" x14ac:dyDescent="0.25">
      <c r="T39" s="32">
        <f t="shared" si="27"/>
        <v>0.62000000000000022</v>
      </c>
      <c r="U39" s="36">
        <f t="shared" si="28"/>
        <v>0.62000000000000022</v>
      </c>
      <c r="V39" s="32">
        <f t="shared" si="0"/>
        <v>3.7787543624324571</v>
      </c>
      <c r="W39" s="40">
        <f t="shared" si="29"/>
        <v>3.7787543624324571</v>
      </c>
      <c r="X39" s="32"/>
      <c r="Y39" s="32">
        <f t="shared" si="30"/>
        <v>0.62000000000000022</v>
      </c>
      <c r="Z39" s="32">
        <f t="shared" si="31"/>
        <v>0.62000000000000022</v>
      </c>
      <c r="AA39" s="32">
        <f t="shared" si="1"/>
        <v>3.7787543624324571</v>
      </c>
      <c r="AB39" s="40">
        <f t="shared" si="32"/>
        <v>3.7787543624324571</v>
      </c>
      <c r="AC39" s="32"/>
      <c r="AD39" s="32">
        <f t="shared" si="33"/>
        <v>0.62000000000000022</v>
      </c>
      <c r="AE39" s="36">
        <f t="shared" si="34"/>
        <v>0.62000000000000022</v>
      </c>
      <c r="AF39" s="32">
        <f t="shared" si="2"/>
        <v>3.7787543624324571</v>
      </c>
      <c r="AG39" s="40">
        <f t="shared" si="35"/>
        <v>3.7787543624324571</v>
      </c>
      <c r="AH39" s="32"/>
      <c r="AI39" s="32">
        <f t="shared" si="36"/>
        <v>0.62000000000000022</v>
      </c>
      <c r="AJ39" s="36">
        <f t="shared" si="37"/>
        <v>0.62000000000000022</v>
      </c>
      <c r="AK39" s="32">
        <f t="shared" si="3"/>
        <v>3.7787543624324571</v>
      </c>
      <c r="AL39" s="40">
        <f t="shared" si="38"/>
        <v>3.7787543624324571</v>
      </c>
      <c r="AM39" s="32"/>
      <c r="AN39" s="32">
        <f t="shared" si="39"/>
        <v>0.62000000000000022</v>
      </c>
      <c r="AO39" s="32">
        <f t="shared" si="40"/>
        <v>0.62000000000000022</v>
      </c>
      <c r="AP39" s="32">
        <f t="shared" si="4"/>
        <v>3.7787543624324571</v>
      </c>
      <c r="AQ39" s="40">
        <f t="shared" si="41"/>
        <v>3.7787543624324571</v>
      </c>
      <c r="AR39" s="32"/>
      <c r="AS39" s="32">
        <f t="shared" si="42"/>
        <v>0.62000000000000022</v>
      </c>
      <c r="AT39" s="36">
        <f t="shared" si="43"/>
        <v>0.62000000000000022</v>
      </c>
      <c r="AU39" s="32">
        <f t="shared" si="5"/>
        <v>3.7787543624324571</v>
      </c>
      <c r="AV39" s="40">
        <f t="shared" si="44"/>
        <v>3.7787543624324571</v>
      </c>
      <c r="AW39" s="32"/>
      <c r="AX39" s="32">
        <f t="shared" si="45"/>
        <v>0.62000000000000022</v>
      </c>
      <c r="AY39" s="36">
        <f t="shared" si="46"/>
        <v>0.62000000000000022</v>
      </c>
      <c r="AZ39" s="32">
        <f t="shared" si="6"/>
        <v>3.7787543624324571</v>
      </c>
      <c r="BA39" s="40">
        <f t="shared" si="47"/>
        <v>3.7787543624324571</v>
      </c>
      <c r="BB39" s="32"/>
      <c r="BC39" s="32">
        <f t="shared" si="48"/>
        <v>0.62000000000000022</v>
      </c>
      <c r="BD39" s="32">
        <f t="shared" si="49"/>
        <v>0.62000000000000022</v>
      </c>
      <c r="BE39" s="32">
        <f t="shared" si="7"/>
        <v>3.7787543624324571</v>
      </c>
      <c r="BF39" s="40">
        <f t="shared" si="50"/>
        <v>3.7787543624324571</v>
      </c>
      <c r="BG39" s="32"/>
      <c r="BH39" s="32">
        <f t="shared" si="51"/>
        <v>0.62000000000000022</v>
      </c>
      <c r="BI39" s="36">
        <f t="shared" si="52"/>
        <v>0.62000000000000022</v>
      </c>
      <c r="BJ39" s="32">
        <f t="shared" si="8"/>
        <v>3.7787543624324571</v>
      </c>
      <c r="BK39" s="40">
        <f t="shared" si="53"/>
        <v>3.7787543624324571</v>
      </c>
      <c r="BL39" s="32"/>
      <c r="BM39" s="32">
        <f t="shared" si="54"/>
        <v>0.62000000000000022</v>
      </c>
      <c r="BN39" s="36">
        <f t="shared" si="55"/>
        <v>0.62000000000000022</v>
      </c>
      <c r="BO39" s="32">
        <f t="shared" si="9"/>
        <v>3.7787543624324571</v>
      </c>
      <c r="BP39" s="40">
        <f t="shared" si="56"/>
        <v>3.7787543624324571</v>
      </c>
      <c r="BQ39" s="32"/>
      <c r="BR39" s="32">
        <f t="shared" si="57"/>
        <v>0.62000000000000022</v>
      </c>
      <c r="BS39" s="32">
        <f t="shared" si="58"/>
        <v>0.62000000000000022</v>
      </c>
      <c r="BT39" s="32">
        <f t="shared" si="10"/>
        <v>3.7787543624324571</v>
      </c>
      <c r="BU39" s="40">
        <f t="shared" si="59"/>
        <v>3.7787543624324571</v>
      </c>
      <c r="BV39" s="32"/>
      <c r="BW39" s="32">
        <f t="shared" si="60"/>
        <v>0.62000000000000022</v>
      </c>
      <c r="BX39" s="36">
        <f t="shared" si="61"/>
        <v>0.62000000000000022</v>
      </c>
      <c r="BY39" s="32">
        <f t="shared" si="11"/>
        <v>3.7787543624324571</v>
      </c>
      <c r="BZ39" s="40">
        <f t="shared" si="62"/>
        <v>3.7787543624324571</v>
      </c>
      <c r="CA39" s="32"/>
      <c r="CB39" s="32">
        <f t="shared" si="63"/>
        <v>0.62000000000000022</v>
      </c>
      <c r="CC39" s="36">
        <f t="shared" si="64"/>
        <v>0.62000000000000022</v>
      </c>
      <c r="CD39" s="32">
        <f t="shared" si="12"/>
        <v>3.7787543624324571</v>
      </c>
      <c r="CE39" s="40">
        <f t="shared" si="65"/>
        <v>3.7787543624324571</v>
      </c>
      <c r="CF39" s="32"/>
      <c r="CG39" s="39">
        <f t="shared" si="66"/>
        <v>0.62000000000000022</v>
      </c>
      <c r="CH39" s="39">
        <f t="shared" si="67"/>
        <v>0.62000000000000022</v>
      </c>
      <c r="CI39" s="39">
        <f t="shared" si="13"/>
        <v>3.7787543624324571</v>
      </c>
      <c r="CJ39" s="40">
        <f t="shared" si="68"/>
        <v>3.7787543624324571</v>
      </c>
      <c r="CK39" s="39"/>
      <c r="CL39" s="32">
        <f t="shared" si="69"/>
        <v>0.62000000000000022</v>
      </c>
      <c r="CM39" s="36">
        <f t="shared" si="70"/>
        <v>0.62000000000000022</v>
      </c>
      <c r="CN39" s="32">
        <f t="shared" si="14"/>
        <v>3.7787543624324571</v>
      </c>
      <c r="CO39" s="40">
        <f t="shared" si="71"/>
        <v>3.7787543624324571</v>
      </c>
      <c r="CP39" s="32"/>
      <c r="CQ39" s="32">
        <f t="shared" si="72"/>
        <v>0.62000000000000022</v>
      </c>
      <c r="CR39" s="36">
        <f t="shared" si="73"/>
        <v>0.62000000000000022</v>
      </c>
      <c r="CS39" s="32">
        <f t="shared" si="15"/>
        <v>3.7787543624324571</v>
      </c>
      <c r="CT39" s="40">
        <f t="shared" si="74"/>
        <v>3.7787543624324571</v>
      </c>
      <c r="CU39" s="32"/>
      <c r="CV39" s="32">
        <f t="shared" si="75"/>
        <v>0.62000000000000022</v>
      </c>
      <c r="CW39" s="32">
        <f t="shared" si="76"/>
        <v>0.62000000000000022</v>
      </c>
      <c r="CX39" s="32">
        <f t="shared" si="16"/>
        <v>3.7787543624324571</v>
      </c>
      <c r="CY39" s="40">
        <f t="shared" si="77"/>
        <v>3.7787543624324571</v>
      </c>
      <c r="CZ39" s="32"/>
      <c r="DA39" s="32">
        <f t="shared" si="78"/>
        <v>0.62000000000000022</v>
      </c>
      <c r="DB39" s="36">
        <f t="shared" si="79"/>
        <v>0.62000000000000022</v>
      </c>
      <c r="DC39" s="32">
        <f t="shared" si="17"/>
        <v>3.7787543624324571</v>
      </c>
      <c r="DD39" s="40">
        <f t="shared" si="80"/>
        <v>3.7787543624324571</v>
      </c>
      <c r="DE39" s="32"/>
      <c r="DF39" s="32">
        <f t="shared" si="81"/>
        <v>0.62000000000000022</v>
      </c>
      <c r="DG39" s="36">
        <f t="shared" si="82"/>
        <v>0.62000000000000022</v>
      </c>
      <c r="DH39" s="32">
        <f t="shared" si="18"/>
        <v>3.7787543624324571</v>
      </c>
      <c r="DI39" s="40">
        <f t="shared" si="83"/>
        <v>3.7787543624324571</v>
      </c>
      <c r="DJ39" s="32"/>
      <c r="DK39" s="32">
        <f t="shared" si="84"/>
        <v>0.62000000000000022</v>
      </c>
      <c r="DL39" s="32">
        <f t="shared" si="85"/>
        <v>0.62000000000000022</v>
      </c>
      <c r="DM39" s="32">
        <f t="shared" si="19"/>
        <v>3.7787543624324571</v>
      </c>
      <c r="DN39" s="40">
        <f t="shared" si="86"/>
        <v>3.7787543624324571</v>
      </c>
      <c r="DO39" s="32"/>
      <c r="DP39" s="32">
        <f t="shared" si="87"/>
        <v>0.62000000000000022</v>
      </c>
      <c r="DQ39" s="36">
        <f t="shared" si="88"/>
        <v>0.62000000000000022</v>
      </c>
      <c r="DR39" s="32">
        <f t="shared" si="20"/>
        <v>3.7787543624324571</v>
      </c>
      <c r="DS39" s="40">
        <f t="shared" si="89"/>
        <v>3.7787543624324571</v>
      </c>
      <c r="DT39" s="32"/>
      <c r="DU39" s="32">
        <f t="shared" si="90"/>
        <v>0.62000000000000022</v>
      </c>
      <c r="DV39" s="36">
        <f t="shared" si="91"/>
        <v>0.62000000000000022</v>
      </c>
      <c r="DW39" s="32">
        <f t="shared" si="21"/>
        <v>3.7787543624324571</v>
      </c>
      <c r="DX39" s="40">
        <f t="shared" si="92"/>
        <v>3.7787543624324571</v>
      </c>
      <c r="DY39" s="32"/>
      <c r="DZ39" s="32">
        <f t="shared" si="93"/>
        <v>0.62000000000000022</v>
      </c>
      <c r="EA39" s="32">
        <f t="shared" si="94"/>
        <v>0.62000000000000022</v>
      </c>
      <c r="EB39" s="32">
        <f t="shared" si="22"/>
        <v>3.7787543624324571</v>
      </c>
      <c r="EC39" s="40">
        <f t="shared" si="95"/>
        <v>3.7787543624324571</v>
      </c>
      <c r="ED39" s="32"/>
      <c r="EE39" s="32">
        <f t="shared" si="96"/>
        <v>0.62000000000000022</v>
      </c>
      <c r="EF39" s="36">
        <f t="shared" si="97"/>
        <v>0.62000000000000022</v>
      </c>
      <c r="EG39" s="32">
        <f t="shared" si="23"/>
        <v>3.7787543624324571</v>
      </c>
      <c r="EH39" s="40">
        <f t="shared" si="98"/>
        <v>3.7787543624324571</v>
      </c>
      <c r="EI39" s="32"/>
      <c r="EJ39" s="32">
        <f t="shared" si="99"/>
        <v>0.62000000000000022</v>
      </c>
      <c r="EK39" s="36">
        <f t="shared" si="100"/>
        <v>0.62000000000000022</v>
      </c>
      <c r="EL39" s="32">
        <f t="shared" si="24"/>
        <v>3.7787543624324571</v>
      </c>
      <c r="EM39" s="40">
        <f t="shared" si="101"/>
        <v>3.7787543624324571</v>
      </c>
      <c r="EN39" s="32"/>
      <c r="EO39" s="32">
        <f t="shared" si="102"/>
        <v>0.62000000000000022</v>
      </c>
      <c r="EP39" s="32">
        <f t="shared" si="103"/>
        <v>0.62000000000000022</v>
      </c>
      <c r="EQ39" s="32">
        <f t="shared" si="25"/>
        <v>3.7787543624324571</v>
      </c>
      <c r="ER39" s="40">
        <f t="shared" si="104"/>
        <v>3.7787543624324571</v>
      </c>
      <c r="ES39" s="32"/>
      <c r="ET39" s="32">
        <f t="shared" si="105"/>
        <v>0.62000000000000022</v>
      </c>
      <c r="EU39" s="36">
        <f t="shared" si="106"/>
        <v>0.62000000000000022</v>
      </c>
      <c r="EV39" s="32">
        <f t="shared" si="26"/>
        <v>3.7787543624324571</v>
      </c>
      <c r="EW39" s="40">
        <f t="shared" si="107"/>
        <v>3.7787543624324571</v>
      </c>
      <c r="EX39" s="32"/>
    </row>
    <row r="40" spans="20:154" s="3" customFormat="1" x14ac:dyDescent="0.25">
      <c r="T40" s="32">
        <f t="shared" si="27"/>
        <v>0.64000000000000024</v>
      </c>
      <c r="U40" s="36">
        <f t="shared" si="28"/>
        <v>0.64000000000000024</v>
      </c>
      <c r="V40" s="32">
        <f t="shared" si="0"/>
        <v>3.8508618478976286</v>
      </c>
      <c r="W40" s="40">
        <f t="shared" si="29"/>
        <v>3.8508618478976286</v>
      </c>
      <c r="X40" s="32"/>
      <c r="Y40" s="32">
        <f t="shared" si="30"/>
        <v>0.64000000000000024</v>
      </c>
      <c r="Z40" s="32">
        <f t="shared" si="31"/>
        <v>0.64000000000000024</v>
      </c>
      <c r="AA40" s="32">
        <f t="shared" si="1"/>
        <v>3.8508618478976286</v>
      </c>
      <c r="AB40" s="40">
        <f t="shared" si="32"/>
        <v>3.8508618478976286</v>
      </c>
      <c r="AC40" s="32"/>
      <c r="AD40" s="32">
        <f t="shared" si="33"/>
        <v>0.64000000000000024</v>
      </c>
      <c r="AE40" s="36">
        <f t="shared" si="34"/>
        <v>0.64000000000000024</v>
      </c>
      <c r="AF40" s="32">
        <f t="shared" si="2"/>
        <v>3.8508618478976286</v>
      </c>
      <c r="AG40" s="40">
        <f t="shared" si="35"/>
        <v>3.8508618478976286</v>
      </c>
      <c r="AH40" s="32"/>
      <c r="AI40" s="32">
        <f t="shared" si="36"/>
        <v>0.64000000000000024</v>
      </c>
      <c r="AJ40" s="36">
        <f t="shared" si="37"/>
        <v>0.64000000000000024</v>
      </c>
      <c r="AK40" s="32">
        <f t="shared" si="3"/>
        <v>3.8508618478976286</v>
      </c>
      <c r="AL40" s="40">
        <f t="shared" si="38"/>
        <v>3.8508618478976286</v>
      </c>
      <c r="AM40" s="32"/>
      <c r="AN40" s="32">
        <f t="shared" si="39"/>
        <v>0.64000000000000024</v>
      </c>
      <c r="AO40" s="32">
        <f t="shared" si="40"/>
        <v>0.64000000000000024</v>
      </c>
      <c r="AP40" s="32">
        <f t="shared" si="4"/>
        <v>3.8508618478976286</v>
      </c>
      <c r="AQ40" s="40">
        <f t="shared" si="41"/>
        <v>3.8508618478976286</v>
      </c>
      <c r="AR40" s="32"/>
      <c r="AS40" s="32">
        <f t="shared" si="42"/>
        <v>0.64000000000000024</v>
      </c>
      <c r="AT40" s="36">
        <f t="shared" si="43"/>
        <v>0.64000000000000024</v>
      </c>
      <c r="AU40" s="32">
        <f t="shared" si="5"/>
        <v>3.8508618478976286</v>
      </c>
      <c r="AV40" s="40">
        <f t="shared" si="44"/>
        <v>3.8508618478976286</v>
      </c>
      <c r="AW40" s="32"/>
      <c r="AX40" s="32">
        <f t="shared" si="45"/>
        <v>0.64000000000000024</v>
      </c>
      <c r="AY40" s="36">
        <f t="shared" si="46"/>
        <v>0.64000000000000024</v>
      </c>
      <c r="AZ40" s="32">
        <f t="shared" si="6"/>
        <v>3.8508618478976286</v>
      </c>
      <c r="BA40" s="40">
        <f t="shared" si="47"/>
        <v>3.8508618478976286</v>
      </c>
      <c r="BB40" s="32"/>
      <c r="BC40" s="32">
        <f t="shared" si="48"/>
        <v>0.64000000000000024</v>
      </c>
      <c r="BD40" s="32">
        <f t="shared" si="49"/>
        <v>0.64000000000000024</v>
      </c>
      <c r="BE40" s="32">
        <f t="shared" si="7"/>
        <v>3.8508618478976286</v>
      </c>
      <c r="BF40" s="40">
        <f t="shared" si="50"/>
        <v>3.8508618478976286</v>
      </c>
      <c r="BG40" s="32"/>
      <c r="BH40" s="32">
        <f t="shared" si="51"/>
        <v>0.64000000000000024</v>
      </c>
      <c r="BI40" s="36">
        <f t="shared" si="52"/>
        <v>0.64000000000000024</v>
      </c>
      <c r="BJ40" s="32">
        <f t="shared" si="8"/>
        <v>3.8508618478976286</v>
      </c>
      <c r="BK40" s="40">
        <f t="shared" si="53"/>
        <v>3.8508618478976286</v>
      </c>
      <c r="BL40" s="32"/>
      <c r="BM40" s="32">
        <f t="shared" si="54"/>
        <v>0.64000000000000024</v>
      </c>
      <c r="BN40" s="36">
        <f t="shared" si="55"/>
        <v>0.64000000000000024</v>
      </c>
      <c r="BO40" s="32">
        <f t="shared" si="9"/>
        <v>3.8508618478976286</v>
      </c>
      <c r="BP40" s="40">
        <f t="shared" si="56"/>
        <v>3.8508618478976286</v>
      </c>
      <c r="BQ40" s="32"/>
      <c r="BR40" s="32">
        <f t="shared" si="57"/>
        <v>0.64000000000000024</v>
      </c>
      <c r="BS40" s="32">
        <f t="shared" si="58"/>
        <v>0.64000000000000024</v>
      </c>
      <c r="BT40" s="32">
        <f t="shared" si="10"/>
        <v>3.8508618478976286</v>
      </c>
      <c r="BU40" s="40">
        <f t="shared" si="59"/>
        <v>3.8508618478976286</v>
      </c>
      <c r="BV40" s="32"/>
      <c r="BW40" s="32">
        <f t="shared" si="60"/>
        <v>0.64000000000000024</v>
      </c>
      <c r="BX40" s="36">
        <f t="shared" si="61"/>
        <v>0.64000000000000024</v>
      </c>
      <c r="BY40" s="32">
        <f t="shared" si="11"/>
        <v>3.8508618478976286</v>
      </c>
      <c r="BZ40" s="40">
        <f t="shared" si="62"/>
        <v>3.8508618478976286</v>
      </c>
      <c r="CA40" s="32"/>
      <c r="CB40" s="32">
        <f t="shared" si="63"/>
        <v>0.64000000000000024</v>
      </c>
      <c r="CC40" s="36">
        <f t="shared" si="64"/>
        <v>0.64000000000000024</v>
      </c>
      <c r="CD40" s="32">
        <f t="shared" si="12"/>
        <v>3.8508618478976286</v>
      </c>
      <c r="CE40" s="40">
        <f t="shared" si="65"/>
        <v>3.8508618478976286</v>
      </c>
      <c r="CF40" s="32"/>
      <c r="CG40" s="39">
        <f t="shared" si="66"/>
        <v>0.64000000000000024</v>
      </c>
      <c r="CH40" s="39">
        <f t="shared" si="67"/>
        <v>0.64000000000000024</v>
      </c>
      <c r="CI40" s="39">
        <f t="shared" si="13"/>
        <v>3.8508618478976286</v>
      </c>
      <c r="CJ40" s="40">
        <f t="shared" si="68"/>
        <v>3.8508618478976286</v>
      </c>
      <c r="CK40" s="39"/>
      <c r="CL40" s="32">
        <f t="shared" si="69"/>
        <v>0.64000000000000024</v>
      </c>
      <c r="CM40" s="36">
        <f t="shared" si="70"/>
        <v>0.64000000000000024</v>
      </c>
      <c r="CN40" s="32">
        <f t="shared" si="14"/>
        <v>3.8508618478976286</v>
      </c>
      <c r="CO40" s="40">
        <f t="shared" si="71"/>
        <v>3.8508618478976286</v>
      </c>
      <c r="CP40" s="32"/>
      <c r="CQ40" s="32">
        <f t="shared" si="72"/>
        <v>0.64000000000000024</v>
      </c>
      <c r="CR40" s="36">
        <f t="shared" si="73"/>
        <v>0.64000000000000024</v>
      </c>
      <c r="CS40" s="32">
        <f t="shared" si="15"/>
        <v>3.8508618478976286</v>
      </c>
      <c r="CT40" s="40">
        <f t="shared" si="74"/>
        <v>3.8508618478976286</v>
      </c>
      <c r="CU40" s="32"/>
      <c r="CV40" s="32">
        <f t="shared" si="75"/>
        <v>0.64000000000000024</v>
      </c>
      <c r="CW40" s="32">
        <f t="shared" si="76"/>
        <v>0.64000000000000024</v>
      </c>
      <c r="CX40" s="32">
        <f t="shared" si="16"/>
        <v>3.8508618478976286</v>
      </c>
      <c r="CY40" s="40">
        <f t="shared" si="77"/>
        <v>3.8508618478976286</v>
      </c>
      <c r="CZ40" s="32"/>
      <c r="DA40" s="32">
        <f t="shared" si="78"/>
        <v>0.64000000000000024</v>
      </c>
      <c r="DB40" s="36">
        <f t="shared" si="79"/>
        <v>0.64000000000000024</v>
      </c>
      <c r="DC40" s="32">
        <f t="shared" si="17"/>
        <v>3.8508618478976286</v>
      </c>
      <c r="DD40" s="40">
        <f t="shared" si="80"/>
        <v>3.8508618478976286</v>
      </c>
      <c r="DE40" s="32"/>
      <c r="DF40" s="32">
        <f t="shared" si="81"/>
        <v>0.64000000000000024</v>
      </c>
      <c r="DG40" s="36">
        <f t="shared" si="82"/>
        <v>0.64000000000000024</v>
      </c>
      <c r="DH40" s="32">
        <f t="shared" si="18"/>
        <v>3.8508618478976286</v>
      </c>
      <c r="DI40" s="40">
        <f t="shared" si="83"/>
        <v>3.8508618478976286</v>
      </c>
      <c r="DJ40" s="32"/>
      <c r="DK40" s="32">
        <f t="shared" si="84"/>
        <v>0.64000000000000024</v>
      </c>
      <c r="DL40" s="32">
        <f t="shared" si="85"/>
        <v>0.64000000000000024</v>
      </c>
      <c r="DM40" s="32">
        <f t="shared" si="19"/>
        <v>3.8508618478976286</v>
      </c>
      <c r="DN40" s="40">
        <f t="shared" si="86"/>
        <v>3.8508618478976286</v>
      </c>
      <c r="DO40" s="32"/>
      <c r="DP40" s="32">
        <f t="shared" si="87"/>
        <v>0.64000000000000024</v>
      </c>
      <c r="DQ40" s="36">
        <f t="shared" si="88"/>
        <v>0.64000000000000024</v>
      </c>
      <c r="DR40" s="32">
        <f t="shared" si="20"/>
        <v>3.8508618478976286</v>
      </c>
      <c r="DS40" s="40">
        <f t="shared" si="89"/>
        <v>3.8508618478976286</v>
      </c>
      <c r="DT40" s="32"/>
      <c r="DU40" s="32">
        <f t="shared" si="90"/>
        <v>0.64000000000000024</v>
      </c>
      <c r="DV40" s="36">
        <f t="shared" si="91"/>
        <v>0.64000000000000024</v>
      </c>
      <c r="DW40" s="32">
        <f t="shared" si="21"/>
        <v>3.8508618478976286</v>
      </c>
      <c r="DX40" s="40">
        <f t="shared" si="92"/>
        <v>3.8508618478976286</v>
      </c>
      <c r="DY40" s="32"/>
      <c r="DZ40" s="32">
        <f t="shared" si="93"/>
        <v>0.64000000000000024</v>
      </c>
      <c r="EA40" s="32">
        <f t="shared" si="94"/>
        <v>0.64000000000000024</v>
      </c>
      <c r="EB40" s="32">
        <f t="shared" si="22"/>
        <v>3.8508618478976286</v>
      </c>
      <c r="EC40" s="40">
        <f t="shared" si="95"/>
        <v>3.8508618478976286</v>
      </c>
      <c r="ED40" s="32"/>
      <c r="EE40" s="32">
        <f t="shared" si="96"/>
        <v>0.64000000000000024</v>
      </c>
      <c r="EF40" s="36">
        <f t="shared" si="97"/>
        <v>0.64000000000000024</v>
      </c>
      <c r="EG40" s="32">
        <f t="shared" si="23"/>
        <v>3.8508618478976286</v>
      </c>
      <c r="EH40" s="40">
        <f t="shared" si="98"/>
        <v>3.8508618478976286</v>
      </c>
      <c r="EI40" s="32"/>
      <c r="EJ40" s="32">
        <f t="shared" si="99"/>
        <v>0.64000000000000024</v>
      </c>
      <c r="EK40" s="36">
        <f t="shared" si="100"/>
        <v>0.64000000000000024</v>
      </c>
      <c r="EL40" s="32">
        <f t="shared" si="24"/>
        <v>3.8508618478976286</v>
      </c>
      <c r="EM40" s="40">
        <f t="shared" si="101"/>
        <v>3.8508618478976286</v>
      </c>
      <c r="EN40" s="32"/>
      <c r="EO40" s="32">
        <f t="shared" si="102"/>
        <v>0.64000000000000024</v>
      </c>
      <c r="EP40" s="32">
        <f t="shared" si="103"/>
        <v>0.64000000000000024</v>
      </c>
      <c r="EQ40" s="32">
        <f t="shared" si="25"/>
        <v>3.8508618478976286</v>
      </c>
      <c r="ER40" s="40">
        <f t="shared" si="104"/>
        <v>3.8508618478976286</v>
      </c>
      <c r="ES40" s="32"/>
      <c r="ET40" s="32">
        <f t="shared" si="105"/>
        <v>0.64000000000000024</v>
      </c>
      <c r="EU40" s="36">
        <f t="shared" si="106"/>
        <v>0.64000000000000024</v>
      </c>
      <c r="EV40" s="32">
        <f t="shared" si="26"/>
        <v>3.8508618478976286</v>
      </c>
      <c r="EW40" s="40">
        <f t="shared" si="107"/>
        <v>3.8508618478976286</v>
      </c>
      <c r="EX40" s="32"/>
    </row>
    <row r="41" spans="20:154" s="3" customFormat="1" x14ac:dyDescent="0.25">
      <c r="T41" s="32">
        <f t="shared" si="27"/>
        <v>0.66000000000000025</v>
      </c>
      <c r="U41" s="36">
        <f t="shared" si="28"/>
        <v>0.66000000000000025</v>
      </c>
      <c r="V41" s="32">
        <f t="shared" si="0"/>
        <v>3.9202608206349523</v>
      </c>
      <c r="W41" s="40">
        <f t="shared" si="29"/>
        <v>3.9202608206349523</v>
      </c>
      <c r="X41" s="32"/>
      <c r="Y41" s="32">
        <f t="shared" si="30"/>
        <v>0.66000000000000025</v>
      </c>
      <c r="Z41" s="32">
        <f t="shared" si="31"/>
        <v>0.66000000000000025</v>
      </c>
      <c r="AA41" s="32">
        <f t="shared" si="1"/>
        <v>3.9202608206349523</v>
      </c>
      <c r="AB41" s="40">
        <f t="shared" si="32"/>
        <v>3.9202608206349523</v>
      </c>
      <c r="AC41" s="32"/>
      <c r="AD41" s="32">
        <f t="shared" si="33"/>
        <v>0.66000000000000025</v>
      </c>
      <c r="AE41" s="36">
        <f t="shared" si="34"/>
        <v>0.66000000000000025</v>
      </c>
      <c r="AF41" s="32">
        <f t="shared" si="2"/>
        <v>3.9202608206349523</v>
      </c>
      <c r="AG41" s="40">
        <f t="shared" si="35"/>
        <v>3.9202608206349523</v>
      </c>
      <c r="AH41" s="32"/>
      <c r="AI41" s="32">
        <f t="shared" si="36"/>
        <v>0.66000000000000025</v>
      </c>
      <c r="AJ41" s="36">
        <f t="shared" si="37"/>
        <v>0.66000000000000025</v>
      </c>
      <c r="AK41" s="32">
        <f t="shared" si="3"/>
        <v>3.9202608206349523</v>
      </c>
      <c r="AL41" s="40">
        <f t="shared" si="38"/>
        <v>3.9202608206349523</v>
      </c>
      <c r="AM41" s="32"/>
      <c r="AN41" s="32">
        <f t="shared" si="39"/>
        <v>0.66000000000000025</v>
      </c>
      <c r="AO41" s="32">
        <f t="shared" si="40"/>
        <v>0.66000000000000025</v>
      </c>
      <c r="AP41" s="32">
        <f t="shared" si="4"/>
        <v>3.9202608206349523</v>
      </c>
      <c r="AQ41" s="40">
        <f t="shared" si="41"/>
        <v>3.9202608206349523</v>
      </c>
      <c r="AR41" s="32"/>
      <c r="AS41" s="32">
        <f t="shared" si="42"/>
        <v>0.66000000000000025</v>
      </c>
      <c r="AT41" s="36">
        <f t="shared" si="43"/>
        <v>0.66000000000000025</v>
      </c>
      <c r="AU41" s="32">
        <f t="shared" si="5"/>
        <v>3.9202608206349523</v>
      </c>
      <c r="AV41" s="40">
        <f t="shared" si="44"/>
        <v>3.9202608206349523</v>
      </c>
      <c r="AW41" s="32"/>
      <c r="AX41" s="32">
        <f t="shared" si="45"/>
        <v>0.66000000000000025</v>
      </c>
      <c r="AY41" s="36">
        <f t="shared" si="46"/>
        <v>0.66000000000000025</v>
      </c>
      <c r="AZ41" s="32">
        <f t="shared" si="6"/>
        <v>3.9202608206349523</v>
      </c>
      <c r="BA41" s="40">
        <f t="shared" si="47"/>
        <v>3.9202608206349523</v>
      </c>
      <c r="BB41" s="32"/>
      <c r="BC41" s="32">
        <f t="shared" si="48"/>
        <v>0.66000000000000025</v>
      </c>
      <c r="BD41" s="32">
        <f t="shared" si="49"/>
        <v>0.66000000000000025</v>
      </c>
      <c r="BE41" s="32">
        <f t="shared" si="7"/>
        <v>3.9202608206349523</v>
      </c>
      <c r="BF41" s="40">
        <f t="shared" si="50"/>
        <v>3.9202608206349523</v>
      </c>
      <c r="BG41" s="32"/>
      <c r="BH41" s="32">
        <f t="shared" si="51"/>
        <v>0.66000000000000025</v>
      </c>
      <c r="BI41" s="36">
        <f t="shared" si="52"/>
        <v>0.66000000000000025</v>
      </c>
      <c r="BJ41" s="32">
        <f t="shared" si="8"/>
        <v>3.9202608206349523</v>
      </c>
      <c r="BK41" s="40">
        <f t="shared" si="53"/>
        <v>3.9202608206349523</v>
      </c>
      <c r="BL41" s="32"/>
      <c r="BM41" s="32">
        <f t="shared" si="54"/>
        <v>0.66000000000000025</v>
      </c>
      <c r="BN41" s="36">
        <f t="shared" si="55"/>
        <v>0.66000000000000025</v>
      </c>
      <c r="BO41" s="32">
        <f t="shared" si="9"/>
        <v>3.9202608206349523</v>
      </c>
      <c r="BP41" s="40">
        <f t="shared" si="56"/>
        <v>3.9202608206349523</v>
      </c>
      <c r="BQ41" s="32"/>
      <c r="BR41" s="32">
        <f t="shared" si="57"/>
        <v>0.66000000000000025</v>
      </c>
      <c r="BS41" s="32">
        <f t="shared" si="58"/>
        <v>0.66000000000000025</v>
      </c>
      <c r="BT41" s="32">
        <f t="shared" si="10"/>
        <v>3.9202608206349523</v>
      </c>
      <c r="BU41" s="40">
        <f t="shared" si="59"/>
        <v>3.9202608206349523</v>
      </c>
      <c r="BV41" s="32"/>
      <c r="BW41" s="32">
        <f t="shared" si="60"/>
        <v>0.66000000000000025</v>
      </c>
      <c r="BX41" s="36">
        <f t="shared" si="61"/>
        <v>0.66000000000000025</v>
      </c>
      <c r="BY41" s="32">
        <f t="shared" si="11"/>
        <v>3.9202608206349523</v>
      </c>
      <c r="BZ41" s="40">
        <f t="shared" si="62"/>
        <v>3.9202608206349523</v>
      </c>
      <c r="CA41" s="32"/>
      <c r="CB41" s="32">
        <f t="shared" si="63"/>
        <v>0.66000000000000025</v>
      </c>
      <c r="CC41" s="36">
        <f t="shared" si="64"/>
        <v>0.66000000000000025</v>
      </c>
      <c r="CD41" s="32">
        <f t="shared" si="12"/>
        <v>3.9202608206349523</v>
      </c>
      <c r="CE41" s="40">
        <f t="shared" si="65"/>
        <v>3.9202608206349523</v>
      </c>
      <c r="CF41" s="32"/>
      <c r="CG41" s="39">
        <f t="shared" si="66"/>
        <v>0.66000000000000025</v>
      </c>
      <c r="CH41" s="39">
        <f t="shared" si="67"/>
        <v>0.66000000000000025</v>
      </c>
      <c r="CI41" s="39">
        <f t="shared" si="13"/>
        <v>3.9202608206349523</v>
      </c>
      <c r="CJ41" s="40">
        <f t="shared" si="68"/>
        <v>3.9202608206349523</v>
      </c>
      <c r="CK41" s="39"/>
      <c r="CL41" s="32">
        <f t="shared" si="69"/>
        <v>0.66000000000000025</v>
      </c>
      <c r="CM41" s="36">
        <f t="shared" si="70"/>
        <v>0.66000000000000025</v>
      </c>
      <c r="CN41" s="32">
        <f t="shared" si="14"/>
        <v>3.9202608206349523</v>
      </c>
      <c r="CO41" s="40">
        <f t="shared" si="71"/>
        <v>3.9202608206349523</v>
      </c>
      <c r="CP41" s="32"/>
      <c r="CQ41" s="32">
        <f t="shared" si="72"/>
        <v>0.66000000000000025</v>
      </c>
      <c r="CR41" s="36">
        <f t="shared" si="73"/>
        <v>0.66000000000000025</v>
      </c>
      <c r="CS41" s="32">
        <f t="shared" si="15"/>
        <v>3.9202608206349523</v>
      </c>
      <c r="CT41" s="40">
        <f t="shared" si="74"/>
        <v>3.9202608206349523</v>
      </c>
      <c r="CU41" s="32"/>
      <c r="CV41" s="32">
        <f t="shared" si="75"/>
        <v>0.66000000000000025</v>
      </c>
      <c r="CW41" s="32">
        <f t="shared" si="76"/>
        <v>0.66000000000000025</v>
      </c>
      <c r="CX41" s="32">
        <f t="shared" si="16"/>
        <v>3.9202608206349523</v>
      </c>
      <c r="CY41" s="40">
        <f t="shared" si="77"/>
        <v>3.9202608206349523</v>
      </c>
      <c r="CZ41" s="32"/>
      <c r="DA41" s="32">
        <f t="shared" si="78"/>
        <v>0.66000000000000025</v>
      </c>
      <c r="DB41" s="36">
        <f t="shared" si="79"/>
        <v>0.66000000000000025</v>
      </c>
      <c r="DC41" s="32">
        <f t="shared" si="17"/>
        <v>3.9202608206349523</v>
      </c>
      <c r="DD41" s="40">
        <f t="shared" si="80"/>
        <v>3.9202608206349523</v>
      </c>
      <c r="DE41" s="32"/>
      <c r="DF41" s="32">
        <f t="shared" si="81"/>
        <v>0.66000000000000025</v>
      </c>
      <c r="DG41" s="36">
        <f t="shared" si="82"/>
        <v>0.66000000000000025</v>
      </c>
      <c r="DH41" s="32">
        <f t="shared" si="18"/>
        <v>3.9202608206349523</v>
      </c>
      <c r="DI41" s="40">
        <f t="shared" si="83"/>
        <v>3.9202608206349523</v>
      </c>
      <c r="DJ41" s="32"/>
      <c r="DK41" s="32">
        <f t="shared" si="84"/>
        <v>0.66000000000000025</v>
      </c>
      <c r="DL41" s="32">
        <f t="shared" si="85"/>
        <v>0.66000000000000025</v>
      </c>
      <c r="DM41" s="32">
        <f t="shared" si="19"/>
        <v>3.9202608206349523</v>
      </c>
      <c r="DN41" s="40">
        <f t="shared" si="86"/>
        <v>3.9202608206349523</v>
      </c>
      <c r="DO41" s="32"/>
      <c r="DP41" s="32">
        <f t="shared" si="87"/>
        <v>0.66000000000000025</v>
      </c>
      <c r="DQ41" s="36">
        <f t="shared" si="88"/>
        <v>0.66000000000000025</v>
      </c>
      <c r="DR41" s="32">
        <f t="shared" si="20"/>
        <v>3.9202608206349523</v>
      </c>
      <c r="DS41" s="40">
        <f t="shared" si="89"/>
        <v>3.9202608206349523</v>
      </c>
      <c r="DT41" s="32"/>
      <c r="DU41" s="32">
        <f t="shared" si="90"/>
        <v>0.66000000000000025</v>
      </c>
      <c r="DV41" s="36">
        <f t="shared" si="91"/>
        <v>0.66000000000000025</v>
      </c>
      <c r="DW41" s="32">
        <f t="shared" si="21"/>
        <v>3.9202608206349523</v>
      </c>
      <c r="DX41" s="40">
        <f t="shared" si="92"/>
        <v>3.9202608206349523</v>
      </c>
      <c r="DY41" s="32"/>
      <c r="DZ41" s="32">
        <f t="shared" si="93"/>
        <v>0.66000000000000025</v>
      </c>
      <c r="EA41" s="32">
        <f t="shared" si="94"/>
        <v>0.66000000000000025</v>
      </c>
      <c r="EB41" s="32">
        <f t="shared" si="22"/>
        <v>3.9202608206349523</v>
      </c>
      <c r="EC41" s="40">
        <f t="shared" si="95"/>
        <v>3.9202608206349523</v>
      </c>
      <c r="ED41" s="32"/>
      <c r="EE41" s="32">
        <f t="shared" si="96"/>
        <v>0.66000000000000025</v>
      </c>
      <c r="EF41" s="36">
        <f t="shared" si="97"/>
        <v>0.66000000000000025</v>
      </c>
      <c r="EG41" s="32">
        <f t="shared" si="23"/>
        <v>3.9202608206349523</v>
      </c>
      <c r="EH41" s="40">
        <f t="shared" si="98"/>
        <v>3.9202608206349523</v>
      </c>
      <c r="EI41" s="32"/>
      <c r="EJ41" s="32">
        <f t="shared" si="99"/>
        <v>0.66000000000000025</v>
      </c>
      <c r="EK41" s="36">
        <f t="shared" si="100"/>
        <v>0.66000000000000025</v>
      </c>
      <c r="EL41" s="32">
        <f t="shared" si="24"/>
        <v>3.9202608206349523</v>
      </c>
      <c r="EM41" s="40">
        <f t="shared" si="101"/>
        <v>3.9202608206349523</v>
      </c>
      <c r="EN41" s="32"/>
      <c r="EO41" s="32">
        <f t="shared" si="102"/>
        <v>0.66000000000000025</v>
      </c>
      <c r="EP41" s="32">
        <f t="shared" si="103"/>
        <v>0.66000000000000025</v>
      </c>
      <c r="EQ41" s="32">
        <f t="shared" si="25"/>
        <v>3.9202608206349523</v>
      </c>
      <c r="ER41" s="40">
        <f t="shared" si="104"/>
        <v>3.9202608206349523</v>
      </c>
      <c r="ES41" s="32"/>
      <c r="ET41" s="32">
        <f t="shared" si="105"/>
        <v>0.66000000000000025</v>
      </c>
      <c r="EU41" s="36">
        <f t="shared" si="106"/>
        <v>0.66000000000000025</v>
      </c>
      <c r="EV41" s="32">
        <f t="shared" si="26"/>
        <v>3.9202608206349523</v>
      </c>
      <c r="EW41" s="40">
        <f t="shared" si="107"/>
        <v>3.9202608206349523</v>
      </c>
      <c r="EX41" s="32"/>
    </row>
    <row r="42" spans="20:154" s="3" customFormat="1" x14ac:dyDescent="0.25">
      <c r="T42" s="32">
        <f t="shared" si="27"/>
        <v>0.68000000000000027</v>
      </c>
      <c r="U42" s="36">
        <f t="shared" si="28"/>
        <v>0.68000000000000027</v>
      </c>
      <c r="V42" s="32">
        <f t="shared" si="0"/>
        <v>3.9869512806444294</v>
      </c>
      <c r="W42" s="40">
        <f t="shared" si="29"/>
        <v>3.9869512806444294</v>
      </c>
      <c r="X42" s="32"/>
      <c r="Y42" s="32">
        <f t="shared" si="30"/>
        <v>0.68000000000000027</v>
      </c>
      <c r="Z42" s="32">
        <f t="shared" si="31"/>
        <v>0.68000000000000027</v>
      </c>
      <c r="AA42" s="32">
        <f t="shared" si="1"/>
        <v>3.9869512806444294</v>
      </c>
      <c r="AB42" s="40">
        <f t="shared" si="32"/>
        <v>3.9869512806444294</v>
      </c>
      <c r="AC42" s="32"/>
      <c r="AD42" s="32">
        <f t="shared" si="33"/>
        <v>0.68000000000000027</v>
      </c>
      <c r="AE42" s="36">
        <f t="shared" si="34"/>
        <v>0.68000000000000027</v>
      </c>
      <c r="AF42" s="32">
        <f t="shared" si="2"/>
        <v>3.9869512806444294</v>
      </c>
      <c r="AG42" s="40">
        <f t="shared" si="35"/>
        <v>3.9869512806444294</v>
      </c>
      <c r="AH42" s="32"/>
      <c r="AI42" s="32">
        <f t="shared" si="36"/>
        <v>0.68000000000000027</v>
      </c>
      <c r="AJ42" s="36">
        <f t="shared" si="37"/>
        <v>0.68000000000000027</v>
      </c>
      <c r="AK42" s="32">
        <f t="shared" si="3"/>
        <v>3.9869512806444294</v>
      </c>
      <c r="AL42" s="40">
        <f t="shared" si="38"/>
        <v>3.9869512806444294</v>
      </c>
      <c r="AM42" s="32"/>
      <c r="AN42" s="32">
        <f t="shared" si="39"/>
        <v>0.68000000000000027</v>
      </c>
      <c r="AO42" s="32">
        <f t="shared" si="40"/>
        <v>0.68000000000000027</v>
      </c>
      <c r="AP42" s="32">
        <f t="shared" si="4"/>
        <v>3.9869512806444294</v>
      </c>
      <c r="AQ42" s="40">
        <f t="shared" si="41"/>
        <v>3.9869512806444294</v>
      </c>
      <c r="AR42" s="32"/>
      <c r="AS42" s="32">
        <f t="shared" si="42"/>
        <v>0.68000000000000027</v>
      </c>
      <c r="AT42" s="36">
        <f t="shared" si="43"/>
        <v>0.68000000000000027</v>
      </c>
      <c r="AU42" s="32">
        <f t="shared" si="5"/>
        <v>3.9869512806444294</v>
      </c>
      <c r="AV42" s="40">
        <f t="shared" si="44"/>
        <v>3.9869512806444294</v>
      </c>
      <c r="AW42" s="32"/>
      <c r="AX42" s="32">
        <f t="shared" si="45"/>
        <v>0.68000000000000027</v>
      </c>
      <c r="AY42" s="36">
        <f t="shared" si="46"/>
        <v>0.68000000000000027</v>
      </c>
      <c r="AZ42" s="32">
        <f t="shared" si="6"/>
        <v>3.9869512806444294</v>
      </c>
      <c r="BA42" s="40">
        <f t="shared" si="47"/>
        <v>3.9869512806444294</v>
      </c>
      <c r="BB42" s="32"/>
      <c r="BC42" s="32">
        <f t="shared" si="48"/>
        <v>0.68000000000000027</v>
      </c>
      <c r="BD42" s="32">
        <f t="shared" si="49"/>
        <v>0.68000000000000027</v>
      </c>
      <c r="BE42" s="32">
        <f t="shared" si="7"/>
        <v>3.9869512806444294</v>
      </c>
      <c r="BF42" s="40">
        <f t="shared" si="50"/>
        <v>3.9869512806444294</v>
      </c>
      <c r="BG42" s="32"/>
      <c r="BH42" s="32">
        <f t="shared" si="51"/>
        <v>0.68000000000000027</v>
      </c>
      <c r="BI42" s="36">
        <f t="shared" si="52"/>
        <v>0.68000000000000027</v>
      </c>
      <c r="BJ42" s="32">
        <f t="shared" si="8"/>
        <v>3.9869512806444294</v>
      </c>
      <c r="BK42" s="40">
        <f t="shared" si="53"/>
        <v>3.9869512806444294</v>
      </c>
      <c r="BL42" s="32"/>
      <c r="BM42" s="32">
        <f t="shared" si="54"/>
        <v>0.68000000000000027</v>
      </c>
      <c r="BN42" s="36">
        <f t="shared" si="55"/>
        <v>0.68000000000000027</v>
      </c>
      <c r="BO42" s="32">
        <f t="shared" si="9"/>
        <v>3.9869512806444294</v>
      </c>
      <c r="BP42" s="40">
        <f t="shared" si="56"/>
        <v>3.9869512806444294</v>
      </c>
      <c r="BQ42" s="32"/>
      <c r="BR42" s="32">
        <f t="shared" si="57"/>
        <v>0.68000000000000027</v>
      </c>
      <c r="BS42" s="32">
        <f t="shared" si="58"/>
        <v>0.68000000000000027</v>
      </c>
      <c r="BT42" s="32">
        <f t="shared" si="10"/>
        <v>3.9869512806444294</v>
      </c>
      <c r="BU42" s="40">
        <f t="shared" si="59"/>
        <v>3.9869512806444294</v>
      </c>
      <c r="BV42" s="32"/>
      <c r="BW42" s="32">
        <f t="shared" si="60"/>
        <v>0.68000000000000027</v>
      </c>
      <c r="BX42" s="36">
        <f t="shared" si="61"/>
        <v>0.68000000000000027</v>
      </c>
      <c r="BY42" s="32">
        <f t="shared" si="11"/>
        <v>3.9869512806444294</v>
      </c>
      <c r="BZ42" s="40">
        <f t="shared" si="62"/>
        <v>3.9869512806444294</v>
      </c>
      <c r="CA42" s="32"/>
      <c r="CB42" s="32">
        <f t="shared" si="63"/>
        <v>0.68000000000000027</v>
      </c>
      <c r="CC42" s="36">
        <f t="shared" si="64"/>
        <v>0.68000000000000027</v>
      </c>
      <c r="CD42" s="32">
        <f t="shared" si="12"/>
        <v>3.9869512806444294</v>
      </c>
      <c r="CE42" s="40">
        <f t="shared" si="65"/>
        <v>3.9869512806444294</v>
      </c>
      <c r="CF42" s="32"/>
      <c r="CG42" s="39">
        <f t="shared" si="66"/>
        <v>0.68000000000000027</v>
      </c>
      <c r="CH42" s="39">
        <f t="shared" si="67"/>
        <v>0.68000000000000027</v>
      </c>
      <c r="CI42" s="39">
        <f t="shared" si="13"/>
        <v>3.9869512806444294</v>
      </c>
      <c r="CJ42" s="40">
        <f t="shared" si="68"/>
        <v>3.9869512806444294</v>
      </c>
      <c r="CK42" s="39"/>
      <c r="CL42" s="32">
        <f t="shared" si="69"/>
        <v>0.68000000000000027</v>
      </c>
      <c r="CM42" s="36">
        <f t="shared" si="70"/>
        <v>0.68000000000000027</v>
      </c>
      <c r="CN42" s="32">
        <f t="shared" si="14"/>
        <v>3.9869512806444294</v>
      </c>
      <c r="CO42" s="40">
        <f t="shared" si="71"/>
        <v>3.9869512806444294</v>
      </c>
      <c r="CP42" s="32"/>
      <c r="CQ42" s="32">
        <f t="shared" si="72"/>
        <v>0.68000000000000027</v>
      </c>
      <c r="CR42" s="36">
        <f t="shared" si="73"/>
        <v>0.68000000000000027</v>
      </c>
      <c r="CS42" s="32">
        <f t="shared" si="15"/>
        <v>3.9869512806444294</v>
      </c>
      <c r="CT42" s="40">
        <f t="shared" si="74"/>
        <v>3.9869512806444294</v>
      </c>
      <c r="CU42" s="32"/>
      <c r="CV42" s="32">
        <f t="shared" si="75"/>
        <v>0.68000000000000027</v>
      </c>
      <c r="CW42" s="32">
        <f t="shared" si="76"/>
        <v>0.68000000000000027</v>
      </c>
      <c r="CX42" s="32">
        <f t="shared" si="16"/>
        <v>3.9869512806444294</v>
      </c>
      <c r="CY42" s="40">
        <f t="shared" si="77"/>
        <v>3.9869512806444294</v>
      </c>
      <c r="CZ42" s="32"/>
      <c r="DA42" s="32">
        <f t="shared" si="78"/>
        <v>0.68000000000000027</v>
      </c>
      <c r="DB42" s="36">
        <f t="shared" si="79"/>
        <v>0.68000000000000027</v>
      </c>
      <c r="DC42" s="32">
        <f t="shared" si="17"/>
        <v>3.9869512806444294</v>
      </c>
      <c r="DD42" s="40">
        <f t="shared" si="80"/>
        <v>3.9869512806444294</v>
      </c>
      <c r="DE42" s="32"/>
      <c r="DF42" s="32">
        <f t="shared" si="81"/>
        <v>0.68000000000000027</v>
      </c>
      <c r="DG42" s="36">
        <f t="shared" si="82"/>
        <v>0.68000000000000027</v>
      </c>
      <c r="DH42" s="32">
        <f t="shared" si="18"/>
        <v>3.9869512806444294</v>
      </c>
      <c r="DI42" s="40">
        <f t="shared" si="83"/>
        <v>3.9869512806444294</v>
      </c>
      <c r="DJ42" s="32"/>
      <c r="DK42" s="32">
        <f t="shared" si="84"/>
        <v>0.68000000000000027</v>
      </c>
      <c r="DL42" s="32">
        <f t="shared" si="85"/>
        <v>0.68000000000000027</v>
      </c>
      <c r="DM42" s="32">
        <f t="shared" si="19"/>
        <v>3.9869512806444294</v>
      </c>
      <c r="DN42" s="40">
        <f t="shared" si="86"/>
        <v>3.9869512806444294</v>
      </c>
      <c r="DO42" s="32"/>
      <c r="DP42" s="32">
        <f t="shared" si="87"/>
        <v>0.68000000000000027</v>
      </c>
      <c r="DQ42" s="36">
        <f t="shared" si="88"/>
        <v>0.68000000000000027</v>
      </c>
      <c r="DR42" s="32">
        <f t="shared" si="20"/>
        <v>3.9869512806444294</v>
      </c>
      <c r="DS42" s="40">
        <f t="shared" si="89"/>
        <v>3.9869512806444294</v>
      </c>
      <c r="DT42" s="32"/>
      <c r="DU42" s="32">
        <f t="shared" si="90"/>
        <v>0.68000000000000027</v>
      </c>
      <c r="DV42" s="36">
        <f t="shared" si="91"/>
        <v>0.68000000000000027</v>
      </c>
      <c r="DW42" s="32">
        <f t="shared" si="21"/>
        <v>3.9869512806444294</v>
      </c>
      <c r="DX42" s="40">
        <f t="shared" si="92"/>
        <v>3.9869512806444294</v>
      </c>
      <c r="DY42" s="32"/>
      <c r="DZ42" s="32">
        <f t="shared" si="93"/>
        <v>0.68000000000000027</v>
      </c>
      <c r="EA42" s="32">
        <f t="shared" si="94"/>
        <v>0.68000000000000027</v>
      </c>
      <c r="EB42" s="32">
        <f t="shared" si="22"/>
        <v>3.9869512806444294</v>
      </c>
      <c r="EC42" s="40">
        <f t="shared" si="95"/>
        <v>3.9869512806444294</v>
      </c>
      <c r="ED42" s="32"/>
      <c r="EE42" s="32">
        <f t="shared" si="96"/>
        <v>0.68000000000000027</v>
      </c>
      <c r="EF42" s="36">
        <f t="shared" si="97"/>
        <v>0.68000000000000027</v>
      </c>
      <c r="EG42" s="32">
        <f t="shared" si="23"/>
        <v>3.9869512806444294</v>
      </c>
      <c r="EH42" s="40">
        <f t="shared" si="98"/>
        <v>3.9869512806444294</v>
      </c>
      <c r="EI42" s="32"/>
      <c r="EJ42" s="32">
        <f t="shared" si="99"/>
        <v>0.68000000000000027</v>
      </c>
      <c r="EK42" s="36">
        <f t="shared" si="100"/>
        <v>0.68000000000000027</v>
      </c>
      <c r="EL42" s="32">
        <f t="shared" si="24"/>
        <v>3.9869512806444294</v>
      </c>
      <c r="EM42" s="40">
        <f t="shared" si="101"/>
        <v>3.9869512806444294</v>
      </c>
      <c r="EN42" s="32"/>
      <c r="EO42" s="32">
        <f t="shared" si="102"/>
        <v>0.68000000000000027</v>
      </c>
      <c r="EP42" s="32">
        <f t="shared" si="103"/>
        <v>0.68000000000000027</v>
      </c>
      <c r="EQ42" s="32">
        <f t="shared" si="25"/>
        <v>3.9869512806444294</v>
      </c>
      <c r="ER42" s="40">
        <f t="shared" si="104"/>
        <v>3.9869512806444294</v>
      </c>
      <c r="ES42" s="32"/>
      <c r="ET42" s="32">
        <f t="shared" si="105"/>
        <v>0.68000000000000027</v>
      </c>
      <c r="EU42" s="36">
        <f t="shared" si="106"/>
        <v>0.68000000000000027</v>
      </c>
      <c r="EV42" s="32">
        <f t="shared" si="26"/>
        <v>3.9869512806444294</v>
      </c>
      <c r="EW42" s="40">
        <f t="shared" si="107"/>
        <v>3.9869512806444294</v>
      </c>
      <c r="EX42" s="32"/>
    </row>
    <row r="43" spans="20:154" s="3" customFormat="1" x14ac:dyDescent="0.25">
      <c r="T43" s="32">
        <f t="shared" si="27"/>
        <v>0.70000000000000029</v>
      </c>
      <c r="U43" s="36">
        <f t="shared" si="28"/>
        <v>0.70000000000000029</v>
      </c>
      <c r="V43" s="32">
        <f t="shared" si="0"/>
        <v>4.0509332279260599</v>
      </c>
      <c r="W43" s="40">
        <f t="shared" si="29"/>
        <v>4.0509332279260599</v>
      </c>
      <c r="X43" s="32"/>
      <c r="Y43" s="32">
        <f t="shared" si="30"/>
        <v>0.70000000000000029</v>
      </c>
      <c r="Z43" s="32">
        <f t="shared" si="31"/>
        <v>0.70000000000000029</v>
      </c>
      <c r="AA43" s="32">
        <f t="shared" si="1"/>
        <v>4.0509332279260599</v>
      </c>
      <c r="AB43" s="40">
        <f t="shared" si="32"/>
        <v>4.0509332279260599</v>
      </c>
      <c r="AC43" s="32"/>
      <c r="AD43" s="32">
        <f t="shared" si="33"/>
        <v>0.70000000000000029</v>
      </c>
      <c r="AE43" s="36">
        <f t="shared" si="34"/>
        <v>0.70000000000000029</v>
      </c>
      <c r="AF43" s="32">
        <f t="shared" si="2"/>
        <v>4.0509332279260599</v>
      </c>
      <c r="AG43" s="40">
        <f t="shared" si="35"/>
        <v>4.0509332279260599</v>
      </c>
      <c r="AH43" s="32"/>
      <c r="AI43" s="32">
        <f t="shared" si="36"/>
        <v>0.70000000000000029</v>
      </c>
      <c r="AJ43" s="36">
        <f t="shared" si="37"/>
        <v>0.70000000000000029</v>
      </c>
      <c r="AK43" s="32">
        <f t="shared" si="3"/>
        <v>4.0509332279260599</v>
      </c>
      <c r="AL43" s="40">
        <f t="shared" si="38"/>
        <v>4.0509332279260599</v>
      </c>
      <c r="AM43" s="32"/>
      <c r="AN43" s="32">
        <f t="shared" si="39"/>
        <v>0.70000000000000029</v>
      </c>
      <c r="AO43" s="32">
        <f t="shared" si="40"/>
        <v>0.70000000000000029</v>
      </c>
      <c r="AP43" s="32">
        <f t="shared" si="4"/>
        <v>4.0509332279260599</v>
      </c>
      <c r="AQ43" s="40">
        <f t="shared" si="41"/>
        <v>4.0509332279260599</v>
      </c>
      <c r="AR43" s="32"/>
      <c r="AS43" s="32">
        <f t="shared" si="42"/>
        <v>0.70000000000000029</v>
      </c>
      <c r="AT43" s="36">
        <f t="shared" si="43"/>
        <v>0.70000000000000029</v>
      </c>
      <c r="AU43" s="32">
        <f t="shared" si="5"/>
        <v>4.0509332279260599</v>
      </c>
      <c r="AV43" s="40">
        <f t="shared" si="44"/>
        <v>4.0509332279260599</v>
      </c>
      <c r="AW43" s="32"/>
      <c r="AX43" s="32">
        <f t="shared" si="45"/>
        <v>0.70000000000000029</v>
      </c>
      <c r="AY43" s="36">
        <f t="shared" si="46"/>
        <v>0.70000000000000029</v>
      </c>
      <c r="AZ43" s="32">
        <f t="shared" si="6"/>
        <v>4.0509332279260599</v>
      </c>
      <c r="BA43" s="40">
        <f t="shared" si="47"/>
        <v>4.0509332279260599</v>
      </c>
      <c r="BB43" s="32"/>
      <c r="BC43" s="32">
        <f t="shared" si="48"/>
        <v>0.70000000000000029</v>
      </c>
      <c r="BD43" s="32">
        <f t="shared" si="49"/>
        <v>0.70000000000000029</v>
      </c>
      <c r="BE43" s="32">
        <f t="shared" si="7"/>
        <v>4.0509332279260599</v>
      </c>
      <c r="BF43" s="40">
        <f t="shared" si="50"/>
        <v>4.0509332279260599</v>
      </c>
      <c r="BG43" s="32"/>
      <c r="BH43" s="32">
        <f t="shared" si="51"/>
        <v>0.70000000000000029</v>
      </c>
      <c r="BI43" s="36">
        <f t="shared" si="52"/>
        <v>0.70000000000000029</v>
      </c>
      <c r="BJ43" s="32">
        <f t="shared" si="8"/>
        <v>4.0509332279260599</v>
      </c>
      <c r="BK43" s="40">
        <f t="shared" si="53"/>
        <v>4.0509332279260599</v>
      </c>
      <c r="BL43" s="32"/>
      <c r="BM43" s="32">
        <f t="shared" si="54"/>
        <v>0.70000000000000029</v>
      </c>
      <c r="BN43" s="36">
        <f t="shared" si="55"/>
        <v>0.70000000000000029</v>
      </c>
      <c r="BO43" s="32">
        <f t="shared" si="9"/>
        <v>4.0509332279260599</v>
      </c>
      <c r="BP43" s="40">
        <f t="shared" si="56"/>
        <v>4.0509332279260599</v>
      </c>
      <c r="BQ43" s="32"/>
      <c r="BR43" s="32">
        <f t="shared" si="57"/>
        <v>0.70000000000000029</v>
      </c>
      <c r="BS43" s="32">
        <f t="shared" si="58"/>
        <v>0.70000000000000029</v>
      </c>
      <c r="BT43" s="32">
        <f t="shared" si="10"/>
        <v>4.0509332279260599</v>
      </c>
      <c r="BU43" s="40">
        <f t="shared" si="59"/>
        <v>4.0509332279260599</v>
      </c>
      <c r="BV43" s="32"/>
      <c r="BW43" s="32">
        <f t="shared" si="60"/>
        <v>0.70000000000000029</v>
      </c>
      <c r="BX43" s="36">
        <f t="shared" si="61"/>
        <v>0.70000000000000029</v>
      </c>
      <c r="BY43" s="32">
        <f t="shared" si="11"/>
        <v>4.0509332279260599</v>
      </c>
      <c r="BZ43" s="40">
        <f t="shared" si="62"/>
        <v>4.0509332279260599</v>
      </c>
      <c r="CA43" s="32"/>
      <c r="CB43" s="32">
        <f t="shared" si="63"/>
        <v>0.70000000000000029</v>
      </c>
      <c r="CC43" s="36">
        <f t="shared" si="64"/>
        <v>0.70000000000000029</v>
      </c>
      <c r="CD43" s="32">
        <f t="shared" si="12"/>
        <v>4.0509332279260599</v>
      </c>
      <c r="CE43" s="40">
        <f t="shared" si="65"/>
        <v>4.0509332279260599</v>
      </c>
      <c r="CF43" s="32"/>
      <c r="CG43" s="39">
        <f t="shared" si="66"/>
        <v>0.70000000000000029</v>
      </c>
      <c r="CH43" s="39">
        <f t="shared" si="67"/>
        <v>0.70000000000000029</v>
      </c>
      <c r="CI43" s="39">
        <f t="shared" si="13"/>
        <v>4.0509332279260599</v>
      </c>
      <c r="CJ43" s="40">
        <f t="shared" si="68"/>
        <v>4.0509332279260599</v>
      </c>
      <c r="CK43" s="39"/>
      <c r="CL43" s="32">
        <f t="shared" si="69"/>
        <v>0.70000000000000029</v>
      </c>
      <c r="CM43" s="36">
        <f t="shared" si="70"/>
        <v>0.70000000000000029</v>
      </c>
      <c r="CN43" s="32">
        <f t="shared" si="14"/>
        <v>4.0509332279260599</v>
      </c>
      <c r="CO43" s="40">
        <f t="shared" si="71"/>
        <v>4.0509332279260599</v>
      </c>
      <c r="CP43" s="32"/>
      <c r="CQ43" s="32">
        <f t="shared" si="72"/>
        <v>0.70000000000000029</v>
      </c>
      <c r="CR43" s="36">
        <f t="shared" si="73"/>
        <v>0.70000000000000029</v>
      </c>
      <c r="CS43" s="32">
        <f t="shared" si="15"/>
        <v>4.0509332279260599</v>
      </c>
      <c r="CT43" s="40">
        <f t="shared" si="74"/>
        <v>4.0509332279260599</v>
      </c>
      <c r="CU43" s="32"/>
      <c r="CV43" s="32">
        <f t="shared" si="75"/>
        <v>0.70000000000000029</v>
      </c>
      <c r="CW43" s="32">
        <f t="shared" si="76"/>
        <v>0.70000000000000029</v>
      </c>
      <c r="CX43" s="32">
        <f t="shared" si="16"/>
        <v>4.0509332279260599</v>
      </c>
      <c r="CY43" s="40">
        <f t="shared" si="77"/>
        <v>4.0509332279260599</v>
      </c>
      <c r="CZ43" s="32"/>
      <c r="DA43" s="32">
        <f t="shared" si="78"/>
        <v>0.70000000000000029</v>
      </c>
      <c r="DB43" s="36">
        <f t="shared" si="79"/>
        <v>0.70000000000000029</v>
      </c>
      <c r="DC43" s="32">
        <f t="shared" si="17"/>
        <v>4.0509332279260599</v>
      </c>
      <c r="DD43" s="40">
        <f t="shared" si="80"/>
        <v>4.0509332279260599</v>
      </c>
      <c r="DE43" s="32"/>
      <c r="DF43" s="32">
        <f t="shared" si="81"/>
        <v>0.70000000000000029</v>
      </c>
      <c r="DG43" s="36">
        <f t="shared" si="82"/>
        <v>0.70000000000000029</v>
      </c>
      <c r="DH43" s="32">
        <f t="shared" si="18"/>
        <v>4.0509332279260599</v>
      </c>
      <c r="DI43" s="40">
        <f t="shared" si="83"/>
        <v>4.0509332279260599</v>
      </c>
      <c r="DJ43" s="32"/>
      <c r="DK43" s="32">
        <f t="shared" si="84"/>
        <v>0.70000000000000029</v>
      </c>
      <c r="DL43" s="32">
        <f t="shared" si="85"/>
        <v>0.70000000000000029</v>
      </c>
      <c r="DM43" s="32">
        <f t="shared" si="19"/>
        <v>4.0509332279260599</v>
      </c>
      <c r="DN43" s="40">
        <f t="shared" si="86"/>
        <v>4.0509332279260599</v>
      </c>
      <c r="DO43" s="32"/>
      <c r="DP43" s="32">
        <f t="shared" si="87"/>
        <v>0.70000000000000029</v>
      </c>
      <c r="DQ43" s="36">
        <f t="shared" si="88"/>
        <v>0.70000000000000029</v>
      </c>
      <c r="DR43" s="32">
        <f t="shared" si="20"/>
        <v>4.0509332279260599</v>
      </c>
      <c r="DS43" s="40">
        <f t="shared" si="89"/>
        <v>4.0509332279260599</v>
      </c>
      <c r="DT43" s="32"/>
      <c r="DU43" s="32">
        <f t="shared" si="90"/>
        <v>0.70000000000000029</v>
      </c>
      <c r="DV43" s="36">
        <f t="shared" si="91"/>
        <v>0.70000000000000029</v>
      </c>
      <c r="DW43" s="32">
        <f t="shared" si="21"/>
        <v>4.0509332279260599</v>
      </c>
      <c r="DX43" s="40">
        <f t="shared" si="92"/>
        <v>4.0509332279260599</v>
      </c>
      <c r="DY43" s="32"/>
      <c r="DZ43" s="32">
        <f t="shared" si="93"/>
        <v>0.70000000000000029</v>
      </c>
      <c r="EA43" s="32">
        <f t="shared" si="94"/>
        <v>0.70000000000000029</v>
      </c>
      <c r="EB43" s="32">
        <f t="shared" si="22"/>
        <v>4.0509332279260599</v>
      </c>
      <c r="EC43" s="40">
        <f t="shared" si="95"/>
        <v>4.0509332279260599</v>
      </c>
      <c r="ED43" s="32"/>
      <c r="EE43" s="32">
        <f t="shared" si="96"/>
        <v>0.70000000000000029</v>
      </c>
      <c r="EF43" s="36">
        <f t="shared" si="97"/>
        <v>0.70000000000000029</v>
      </c>
      <c r="EG43" s="32">
        <f t="shared" si="23"/>
        <v>4.0509332279260599</v>
      </c>
      <c r="EH43" s="40">
        <f t="shared" si="98"/>
        <v>4.0509332279260599</v>
      </c>
      <c r="EI43" s="32"/>
      <c r="EJ43" s="32">
        <f t="shared" si="99"/>
        <v>0.70000000000000029</v>
      </c>
      <c r="EK43" s="36">
        <f t="shared" si="100"/>
        <v>0.70000000000000029</v>
      </c>
      <c r="EL43" s="32">
        <f t="shared" si="24"/>
        <v>4.0509332279260599</v>
      </c>
      <c r="EM43" s="40">
        <f t="shared" si="101"/>
        <v>4.0509332279260599</v>
      </c>
      <c r="EN43" s="32"/>
      <c r="EO43" s="32">
        <f t="shared" si="102"/>
        <v>0.70000000000000029</v>
      </c>
      <c r="EP43" s="32">
        <f t="shared" si="103"/>
        <v>0.70000000000000029</v>
      </c>
      <c r="EQ43" s="32">
        <f t="shared" si="25"/>
        <v>4.0509332279260599</v>
      </c>
      <c r="ER43" s="40">
        <f t="shared" si="104"/>
        <v>4.0509332279260599</v>
      </c>
      <c r="ES43" s="32"/>
      <c r="ET43" s="32">
        <f t="shared" si="105"/>
        <v>0.70000000000000029</v>
      </c>
      <c r="EU43" s="36">
        <f t="shared" si="106"/>
        <v>0.70000000000000029</v>
      </c>
      <c r="EV43" s="32">
        <f t="shared" si="26"/>
        <v>4.0509332279260599</v>
      </c>
      <c r="EW43" s="40">
        <f t="shared" si="107"/>
        <v>4.0509332279260599</v>
      </c>
      <c r="EX43" s="32"/>
    </row>
    <row r="44" spans="20:154" s="3" customFormat="1" x14ac:dyDescent="0.25">
      <c r="T44" s="32">
        <f t="shared" si="27"/>
        <v>0.72000000000000031</v>
      </c>
      <c r="U44" s="36">
        <f t="shared" si="28"/>
        <v>0.72000000000000031</v>
      </c>
      <c r="V44" s="32">
        <f t="shared" si="0"/>
        <v>4.1122066624798421</v>
      </c>
      <c r="W44" s="40">
        <f t="shared" si="29"/>
        <v>4.1122066624798421</v>
      </c>
      <c r="X44" s="32"/>
      <c r="Y44" s="32">
        <f t="shared" si="30"/>
        <v>0.72000000000000031</v>
      </c>
      <c r="Z44" s="32">
        <f t="shared" si="31"/>
        <v>0.72000000000000031</v>
      </c>
      <c r="AA44" s="32">
        <f t="shared" si="1"/>
        <v>4.1122066624798421</v>
      </c>
      <c r="AB44" s="40">
        <f t="shared" si="32"/>
        <v>4.1122066624798421</v>
      </c>
      <c r="AC44" s="32"/>
      <c r="AD44" s="32">
        <f t="shared" si="33"/>
        <v>0.72000000000000031</v>
      </c>
      <c r="AE44" s="36">
        <f t="shared" si="34"/>
        <v>0.72000000000000031</v>
      </c>
      <c r="AF44" s="32">
        <f t="shared" si="2"/>
        <v>4.1122066624798421</v>
      </c>
      <c r="AG44" s="40">
        <f t="shared" si="35"/>
        <v>4.1122066624798421</v>
      </c>
      <c r="AH44" s="32"/>
      <c r="AI44" s="32">
        <f t="shared" si="36"/>
        <v>0.72000000000000031</v>
      </c>
      <c r="AJ44" s="36">
        <f t="shared" si="37"/>
        <v>0.72000000000000031</v>
      </c>
      <c r="AK44" s="32">
        <f t="shared" si="3"/>
        <v>4.1122066624798421</v>
      </c>
      <c r="AL44" s="40">
        <f t="shared" si="38"/>
        <v>4.1122066624798421</v>
      </c>
      <c r="AM44" s="32"/>
      <c r="AN44" s="32">
        <f t="shared" si="39"/>
        <v>0.72000000000000031</v>
      </c>
      <c r="AO44" s="32">
        <f t="shared" si="40"/>
        <v>0.72000000000000031</v>
      </c>
      <c r="AP44" s="32">
        <f t="shared" si="4"/>
        <v>4.1122066624798421</v>
      </c>
      <c r="AQ44" s="40">
        <f t="shared" si="41"/>
        <v>4.1122066624798421</v>
      </c>
      <c r="AR44" s="32"/>
      <c r="AS44" s="32">
        <f t="shared" si="42"/>
        <v>0.72000000000000031</v>
      </c>
      <c r="AT44" s="36">
        <f t="shared" si="43"/>
        <v>0.72000000000000031</v>
      </c>
      <c r="AU44" s="32">
        <f t="shared" si="5"/>
        <v>4.1122066624798421</v>
      </c>
      <c r="AV44" s="40">
        <f t="shared" si="44"/>
        <v>4.1122066624798421</v>
      </c>
      <c r="AW44" s="32"/>
      <c r="AX44" s="32">
        <f t="shared" si="45"/>
        <v>0.72000000000000031</v>
      </c>
      <c r="AY44" s="36">
        <f t="shared" si="46"/>
        <v>0.72000000000000031</v>
      </c>
      <c r="AZ44" s="32">
        <f t="shared" si="6"/>
        <v>4.1122066624798421</v>
      </c>
      <c r="BA44" s="40">
        <f t="shared" si="47"/>
        <v>4.1122066624798421</v>
      </c>
      <c r="BB44" s="32"/>
      <c r="BC44" s="32">
        <f t="shared" si="48"/>
        <v>0.72000000000000031</v>
      </c>
      <c r="BD44" s="32">
        <f t="shared" si="49"/>
        <v>0.72000000000000031</v>
      </c>
      <c r="BE44" s="32">
        <f t="shared" si="7"/>
        <v>4.1122066624798421</v>
      </c>
      <c r="BF44" s="40">
        <f t="shared" si="50"/>
        <v>4.1122066624798421</v>
      </c>
      <c r="BG44" s="32"/>
      <c r="BH44" s="32">
        <f t="shared" si="51"/>
        <v>0.72000000000000031</v>
      </c>
      <c r="BI44" s="36">
        <f t="shared" si="52"/>
        <v>0.72000000000000031</v>
      </c>
      <c r="BJ44" s="32">
        <f t="shared" si="8"/>
        <v>4.1122066624798421</v>
      </c>
      <c r="BK44" s="40">
        <f t="shared" si="53"/>
        <v>4.1122066624798421</v>
      </c>
      <c r="BL44" s="32"/>
      <c r="BM44" s="32">
        <f t="shared" si="54"/>
        <v>0.72000000000000031</v>
      </c>
      <c r="BN44" s="36">
        <f t="shared" si="55"/>
        <v>0.72000000000000031</v>
      </c>
      <c r="BO44" s="32">
        <f t="shared" si="9"/>
        <v>4.1122066624798421</v>
      </c>
      <c r="BP44" s="40">
        <f t="shared" si="56"/>
        <v>4.1122066624798421</v>
      </c>
      <c r="BQ44" s="32"/>
      <c r="BR44" s="32">
        <f t="shared" si="57"/>
        <v>0.72000000000000031</v>
      </c>
      <c r="BS44" s="32">
        <f t="shared" si="58"/>
        <v>0.72000000000000031</v>
      </c>
      <c r="BT44" s="32">
        <f t="shared" si="10"/>
        <v>4.1122066624798421</v>
      </c>
      <c r="BU44" s="40">
        <f t="shared" si="59"/>
        <v>4.1122066624798421</v>
      </c>
      <c r="BV44" s="32"/>
      <c r="BW44" s="32">
        <f t="shared" si="60"/>
        <v>0.72000000000000031</v>
      </c>
      <c r="BX44" s="36">
        <f t="shared" si="61"/>
        <v>0.72000000000000031</v>
      </c>
      <c r="BY44" s="32">
        <f t="shared" si="11"/>
        <v>4.1122066624798421</v>
      </c>
      <c r="BZ44" s="40">
        <f t="shared" si="62"/>
        <v>4.1122066624798421</v>
      </c>
      <c r="CA44" s="32"/>
      <c r="CB44" s="32">
        <f t="shared" si="63"/>
        <v>0.72000000000000031</v>
      </c>
      <c r="CC44" s="36">
        <f t="shared" si="64"/>
        <v>0.72000000000000031</v>
      </c>
      <c r="CD44" s="32">
        <f t="shared" si="12"/>
        <v>4.1122066624798421</v>
      </c>
      <c r="CE44" s="40">
        <f t="shared" si="65"/>
        <v>4.1122066624798421</v>
      </c>
      <c r="CF44" s="32"/>
      <c r="CG44" s="39">
        <f t="shared" si="66"/>
        <v>0.72000000000000031</v>
      </c>
      <c r="CH44" s="39">
        <f t="shared" si="67"/>
        <v>0.72000000000000031</v>
      </c>
      <c r="CI44" s="39">
        <f t="shared" si="13"/>
        <v>4.1122066624798421</v>
      </c>
      <c r="CJ44" s="40">
        <f t="shared" si="68"/>
        <v>4.1122066624798421</v>
      </c>
      <c r="CK44" s="39"/>
      <c r="CL44" s="32">
        <f t="shared" si="69"/>
        <v>0.72000000000000031</v>
      </c>
      <c r="CM44" s="36">
        <f t="shared" si="70"/>
        <v>0.72000000000000031</v>
      </c>
      <c r="CN44" s="32">
        <f t="shared" si="14"/>
        <v>4.1122066624798421</v>
      </c>
      <c r="CO44" s="40">
        <f t="shared" si="71"/>
        <v>4.1122066624798421</v>
      </c>
      <c r="CP44" s="32"/>
      <c r="CQ44" s="32">
        <f t="shared" si="72"/>
        <v>0.72000000000000031</v>
      </c>
      <c r="CR44" s="36">
        <f t="shared" si="73"/>
        <v>0.72000000000000031</v>
      </c>
      <c r="CS44" s="32">
        <f t="shared" si="15"/>
        <v>4.1122066624798421</v>
      </c>
      <c r="CT44" s="40">
        <f t="shared" si="74"/>
        <v>4.1122066624798421</v>
      </c>
      <c r="CU44" s="32"/>
      <c r="CV44" s="32">
        <f t="shared" si="75"/>
        <v>0.72000000000000031</v>
      </c>
      <c r="CW44" s="32">
        <f t="shared" si="76"/>
        <v>0.72000000000000031</v>
      </c>
      <c r="CX44" s="32">
        <f t="shared" si="16"/>
        <v>4.1122066624798421</v>
      </c>
      <c r="CY44" s="40">
        <f t="shared" si="77"/>
        <v>4.1122066624798421</v>
      </c>
      <c r="CZ44" s="32"/>
      <c r="DA44" s="32">
        <f t="shared" si="78"/>
        <v>0.72000000000000031</v>
      </c>
      <c r="DB44" s="36">
        <f t="shared" si="79"/>
        <v>0.72000000000000031</v>
      </c>
      <c r="DC44" s="32">
        <f t="shared" si="17"/>
        <v>4.1122066624798421</v>
      </c>
      <c r="DD44" s="40">
        <f t="shared" si="80"/>
        <v>4.1122066624798421</v>
      </c>
      <c r="DE44" s="32"/>
      <c r="DF44" s="32">
        <f t="shared" si="81"/>
        <v>0.72000000000000031</v>
      </c>
      <c r="DG44" s="36">
        <f t="shared" si="82"/>
        <v>0.72000000000000031</v>
      </c>
      <c r="DH44" s="32">
        <f t="shared" si="18"/>
        <v>4.1122066624798421</v>
      </c>
      <c r="DI44" s="40">
        <f t="shared" si="83"/>
        <v>4.1122066624798421</v>
      </c>
      <c r="DJ44" s="32"/>
      <c r="DK44" s="32">
        <f t="shared" si="84"/>
        <v>0.72000000000000031</v>
      </c>
      <c r="DL44" s="32">
        <f t="shared" si="85"/>
        <v>0.72000000000000031</v>
      </c>
      <c r="DM44" s="32">
        <f t="shared" si="19"/>
        <v>4.1122066624798421</v>
      </c>
      <c r="DN44" s="40">
        <f t="shared" si="86"/>
        <v>4.1122066624798421</v>
      </c>
      <c r="DO44" s="32"/>
      <c r="DP44" s="32">
        <f t="shared" si="87"/>
        <v>0.72000000000000031</v>
      </c>
      <c r="DQ44" s="36">
        <f t="shared" si="88"/>
        <v>0.72000000000000031</v>
      </c>
      <c r="DR44" s="32">
        <f t="shared" si="20"/>
        <v>4.1122066624798421</v>
      </c>
      <c r="DS44" s="40">
        <f t="shared" si="89"/>
        <v>4.1122066624798421</v>
      </c>
      <c r="DT44" s="32"/>
      <c r="DU44" s="32">
        <f t="shared" si="90"/>
        <v>0.72000000000000031</v>
      </c>
      <c r="DV44" s="36">
        <f t="shared" si="91"/>
        <v>0.72000000000000031</v>
      </c>
      <c r="DW44" s="32">
        <f t="shared" si="21"/>
        <v>4.1122066624798421</v>
      </c>
      <c r="DX44" s="40">
        <f t="shared" si="92"/>
        <v>4.1122066624798421</v>
      </c>
      <c r="DY44" s="32"/>
      <c r="DZ44" s="32">
        <f t="shared" si="93"/>
        <v>0.72000000000000031</v>
      </c>
      <c r="EA44" s="32">
        <f t="shared" si="94"/>
        <v>0.72000000000000031</v>
      </c>
      <c r="EB44" s="32">
        <f t="shared" si="22"/>
        <v>4.1122066624798421</v>
      </c>
      <c r="EC44" s="40">
        <f t="shared" si="95"/>
        <v>4.1122066624798421</v>
      </c>
      <c r="ED44" s="32"/>
      <c r="EE44" s="32">
        <f t="shared" si="96"/>
        <v>0.72000000000000031</v>
      </c>
      <c r="EF44" s="36">
        <f t="shared" si="97"/>
        <v>0.72000000000000031</v>
      </c>
      <c r="EG44" s="32">
        <f t="shared" si="23"/>
        <v>4.1122066624798421</v>
      </c>
      <c r="EH44" s="40">
        <f t="shared" si="98"/>
        <v>4.1122066624798421</v>
      </c>
      <c r="EI44" s="32"/>
      <c r="EJ44" s="32">
        <f t="shared" si="99"/>
        <v>0.72000000000000031</v>
      </c>
      <c r="EK44" s="36">
        <f t="shared" si="100"/>
        <v>0.72000000000000031</v>
      </c>
      <c r="EL44" s="32">
        <f t="shared" si="24"/>
        <v>4.1122066624798421</v>
      </c>
      <c r="EM44" s="40">
        <f t="shared" si="101"/>
        <v>4.1122066624798421</v>
      </c>
      <c r="EN44" s="32"/>
      <c r="EO44" s="32">
        <f t="shared" si="102"/>
        <v>0.72000000000000031</v>
      </c>
      <c r="EP44" s="32">
        <f t="shared" si="103"/>
        <v>0.72000000000000031</v>
      </c>
      <c r="EQ44" s="32">
        <f t="shared" si="25"/>
        <v>4.1122066624798421</v>
      </c>
      <c r="ER44" s="40">
        <f t="shared" si="104"/>
        <v>4.1122066624798421</v>
      </c>
      <c r="ES44" s="32"/>
      <c r="ET44" s="32">
        <f t="shared" si="105"/>
        <v>0.72000000000000031</v>
      </c>
      <c r="EU44" s="36">
        <f t="shared" si="106"/>
        <v>0.72000000000000031</v>
      </c>
      <c r="EV44" s="32">
        <f t="shared" si="26"/>
        <v>4.1122066624798421</v>
      </c>
      <c r="EW44" s="40">
        <f t="shared" si="107"/>
        <v>4.1122066624798421</v>
      </c>
      <c r="EX44" s="32"/>
    </row>
    <row r="45" spans="20:154" s="3" customFormat="1" x14ac:dyDescent="0.25">
      <c r="T45" s="32">
        <f t="shared" si="27"/>
        <v>0.74000000000000032</v>
      </c>
      <c r="U45" s="36">
        <f t="shared" si="28"/>
        <v>0.74000000000000032</v>
      </c>
      <c r="V45" s="32">
        <f t="shared" si="0"/>
        <v>4.1707715843057773</v>
      </c>
      <c r="W45" s="40">
        <f t="shared" si="29"/>
        <v>4.1707715843057773</v>
      </c>
      <c r="X45" s="32"/>
      <c r="Y45" s="32">
        <f t="shared" si="30"/>
        <v>0.74000000000000032</v>
      </c>
      <c r="Z45" s="32">
        <f t="shared" si="31"/>
        <v>0.74000000000000032</v>
      </c>
      <c r="AA45" s="32">
        <f t="shared" si="1"/>
        <v>4.1707715843057773</v>
      </c>
      <c r="AB45" s="40">
        <f t="shared" si="32"/>
        <v>4.1707715843057773</v>
      </c>
      <c r="AC45" s="32"/>
      <c r="AD45" s="32">
        <f t="shared" si="33"/>
        <v>0.74000000000000032</v>
      </c>
      <c r="AE45" s="36">
        <f t="shared" si="34"/>
        <v>0.74000000000000032</v>
      </c>
      <c r="AF45" s="32">
        <f t="shared" si="2"/>
        <v>4.1707715843057773</v>
      </c>
      <c r="AG45" s="40">
        <f t="shared" si="35"/>
        <v>4.1707715843057773</v>
      </c>
      <c r="AH45" s="32"/>
      <c r="AI45" s="32">
        <f t="shared" si="36"/>
        <v>0.74000000000000032</v>
      </c>
      <c r="AJ45" s="36">
        <f t="shared" si="37"/>
        <v>0.74000000000000032</v>
      </c>
      <c r="AK45" s="32">
        <f t="shared" si="3"/>
        <v>4.1707715843057773</v>
      </c>
      <c r="AL45" s="40">
        <f t="shared" si="38"/>
        <v>4.1707715843057773</v>
      </c>
      <c r="AM45" s="32"/>
      <c r="AN45" s="32">
        <f t="shared" si="39"/>
        <v>0.74000000000000032</v>
      </c>
      <c r="AO45" s="32">
        <f t="shared" si="40"/>
        <v>0.74000000000000032</v>
      </c>
      <c r="AP45" s="32">
        <f t="shared" si="4"/>
        <v>4.1707715843057773</v>
      </c>
      <c r="AQ45" s="40">
        <f t="shared" si="41"/>
        <v>4.1707715843057773</v>
      </c>
      <c r="AR45" s="32"/>
      <c r="AS45" s="32">
        <f t="shared" si="42"/>
        <v>0.74000000000000032</v>
      </c>
      <c r="AT45" s="36">
        <f t="shared" si="43"/>
        <v>0.74000000000000032</v>
      </c>
      <c r="AU45" s="32">
        <f t="shared" si="5"/>
        <v>4.1707715843057773</v>
      </c>
      <c r="AV45" s="40">
        <f t="shared" si="44"/>
        <v>4.1707715843057773</v>
      </c>
      <c r="AW45" s="32"/>
      <c r="AX45" s="32">
        <f t="shared" si="45"/>
        <v>0.74000000000000032</v>
      </c>
      <c r="AY45" s="36">
        <f t="shared" si="46"/>
        <v>0.74000000000000032</v>
      </c>
      <c r="AZ45" s="32">
        <f t="shared" si="6"/>
        <v>4.1707715843057773</v>
      </c>
      <c r="BA45" s="40">
        <f t="shared" si="47"/>
        <v>4.1707715843057773</v>
      </c>
      <c r="BB45" s="32"/>
      <c r="BC45" s="32">
        <f t="shared" si="48"/>
        <v>0.74000000000000032</v>
      </c>
      <c r="BD45" s="32">
        <f t="shared" si="49"/>
        <v>0.74000000000000032</v>
      </c>
      <c r="BE45" s="32">
        <f t="shared" si="7"/>
        <v>4.1707715843057773</v>
      </c>
      <c r="BF45" s="40">
        <f t="shared" si="50"/>
        <v>4.1707715843057773</v>
      </c>
      <c r="BG45" s="32"/>
      <c r="BH45" s="32">
        <f t="shared" si="51"/>
        <v>0.74000000000000032</v>
      </c>
      <c r="BI45" s="36">
        <f t="shared" si="52"/>
        <v>0.74000000000000032</v>
      </c>
      <c r="BJ45" s="32">
        <f t="shared" si="8"/>
        <v>4.1707715843057773</v>
      </c>
      <c r="BK45" s="40">
        <f t="shared" si="53"/>
        <v>4.1707715843057773</v>
      </c>
      <c r="BL45" s="32"/>
      <c r="BM45" s="32">
        <f t="shared" si="54"/>
        <v>0.74000000000000032</v>
      </c>
      <c r="BN45" s="36">
        <f t="shared" si="55"/>
        <v>0.74000000000000032</v>
      </c>
      <c r="BO45" s="32">
        <f t="shared" si="9"/>
        <v>4.1707715843057773</v>
      </c>
      <c r="BP45" s="40">
        <f t="shared" si="56"/>
        <v>4.1707715843057773</v>
      </c>
      <c r="BQ45" s="32"/>
      <c r="BR45" s="32">
        <f t="shared" si="57"/>
        <v>0.74000000000000032</v>
      </c>
      <c r="BS45" s="32">
        <f t="shared" si="58"/>
        <v>0.74000000000000032</v>
      </c>
      <c r="BT45" s="32">
        <f t="shared" si="10"/>
        <v>4.1707715843057773</v>
      </c>
      <c r="BU45" s="40">
        <f t="shared" si="59"/>
        <v>4.1707715843057773</v>
      </c>
      <c r="BV45" s="32"/>
      <c r="BW45" s="32">
        <f t="shared" si="60"/>
        <v>0.74000000000000032</v>
      </c>
      <c r="BX45" s="36">
        <f t="shared" si="61"/>
        <v>0.74000000000000032</v>
      </c>
      <c r="BY45" s="32">
        <f t="shared" si="11"/>
        <v>4.1707715843057773</v>
      </c>
      <c r="BZ45" s="40">
        <f t="shared" si="62"/>
        <v>4.1707715843057773</v>
      </c>
      <c r="CA45" s="32"/>
      <c r="CB45" s="32">
        <f t="shared" si="63"/>
        <v>0.74000000000000032</v>
      </c>
      <c r="CC45" s="36">
        <f t="shared" si="64"/>
        <v>0.74000000000000032</v>
      </c>
      <c r="CD45" s="32">
        <f t="shared" si="12"/>
        <v>4.1707715843057773</v>
      </c>
      <c r="CE45" s="40">
        <f t="shared" si="65"/>
        <v>4.1707715843057773</v>
      </c>
      <c r="CF45" s="32"/>
      <c r="CG45" s="39">
        <f t="shared" si="66"/>
        <v>0.74000000000000032</v>
      </c>
      <c r="CH45" s="39">
        <f t="shared" si="67"/>
        <v>0.74000000000000032</v>
      </c>
      <c r="CI45" s="39">
        <f t="shared" si="13"/>
        <v>4.1707715843057773</v>
      </c>
      <c r="CJ45" s="40">
        <f t="shared" si="68"/>
        <v>4.1707715843057773</v>
      </c>
      <c r="CK45" s="39"/>
      <c r="CL45" s="32">
        <f t="shared" si="69"/>
        <v>0.74000000000000032</v>
      </c>
      <c r="CM45" s="36">
        <f t="shared" si="70"/>
        <v>0.74000000000000032</v>
      </c>
      <c r="CN45" s="32">
        <f t="shared" si="14"/>
        <v>4.1707715843057773</v>
      </c>
      <c r="CO45" s="40">
        <f t="shared" si="71"/>
        <v>4.1707715843057773</v>
      </c>
      <c r="CP45" s="32"/>
      <c r="CQ45" s="32">
        <f t="shared" si="72"/>
        <v>0.74000000000000032</v>
      </c>
      <c r="CR45" s="36">
        <f t="shared" si="73"/>
        <v>0.74000000000000032</v>
      </c>
      <c r="CS45" s="32">
        <f t="shared" si="15"/>
        <v>4.1707715843057773</v>
      </c>
      <c r="CT45" s="40">
        <f t="shared" si="74"/>
        <v>4.1707715843057773</v>
      </c>
      <c r="CU45" s="32"/>
      <c r="CV45" s="32">
        <f t="shared" si="75"/>
        <v>0.74000000000000032</v>
      </c>
      <c r="CW45" s="32">
        <f t="shared" si="76"/>
        <v>0.74000000000000032</v>
      </c>
      <c r="CX45" s="32">
        <f t="shared" si="16"/>
        <v>4.1707715843057773</v>
      </c>
      <c r="CY45" s="40">
        <f t="shared" si="77"/>
        <v>4.1707715843057773</v>
      </c>
      <c r="CZ45" s="32"/>
      <c r="DA45" s="32">
        <f t="shared" si="78"/>
        <v>0.74000000000000032</v>
      </c>
      <c r="DB45" s="36">
        <f t="shared" si="79"/>
        <v>0.74000000000000032</v>
      </c>
      <c r="DC45" s="32">
        <f t="shared" si="17"/>
        <v>4.1707715843057773</v>
      </c>
      <c r="DD45" s="40">
        <f t="shared" si="80"/>
        <v>4.1707715843057773</v>
      </c>
      <c r="DE45" s="32"/>
      <c r="DF45" s="32">
        <f t="shared" si="81"/>
        <v>0.74000000000000032</v>
      </c>
      <c r="DG45" s="36">
        <f t="shared" si="82"/>
        <v>0.74000000000000032</v>
      </c>
      <c r="DH45" s="32">
        <f t="shared" si="18"/>
        <v>4.1707715843057773</v>
      </c>
      <c r="DI45" s="40">
        <f t="shared" si="83"/>
        <v>4.1707715843057773</v>
      </c>
      <c r="DJ45" s="32"/>
      <c r="DK45" s="32">
        <f t="shared" si="84"/>
        <v>0.74000000000000032</v>
      </c>
      <c r="DL45" s="32">
        <f t="shared" si="85"/>
        <v>0.74000000000000032</v>
      </c>
      <c r="DM45" s="32">
        <f t="shared" si="19"/>
        <v>4.1707715843057773</v>
      </c>
      <c r="DN45" s="40">
        <f t="shared" si="86"/>
        <v>4.1707715843057773</v>
      </c>
      <c r="DO45" s="32"/>
      <c r="DP45" s="32">
        <f t="shared" si="87"/>
        <v>0.74000000000000032</v>
      </c>
      <c r="DQ45" s="36">
        <f t="shared" si="88"/>
        <v>0.74000000000000032</v>
      </c>
      <c r="DR45" s="32">
        <f t="shared" si="20"/>
        <v>4.1707715843057773</v>
      </c>
      <c r="DS45" s="40">
        <f t="shared" si="89"/>
        <v>4.1707715843057773</v>
      </c>
      <c r="DT45" s="32"/>
      <c r="DU45" s="32">
        <f t="shared" si="90"/>
        <v>0.74000000000000032</v>
      </c>
      <c r="DV45" s="36">
        <f t="shared" si="91"/>
        <v>0.74000000000000032</v>
      </c>
      <c r="DW45" s="32">
        <f t="shared" si="21"/>
        <v>4.1707715843057773</v>
      </c>
      <c r="DX45" s="40">
        <f t="shared" si="92"/>
        <v>4.1707715843057773</v>
      </c>
      <c r="DY45" s="32"/>
      <c r="DZ45" s="32">
        <f t="shared" si="93"/>
        <v>0.74000000000000032</v>
      </c>
      <c r="EA45" s="32">
        <f t="shared" si="94"/>
        <v>0.74000000000000032</v>
      </c>
      <c r="EB45" s="32">
        <f t="shared" si="22"/>
        <v>4.1707715843057773</v>
      </c>
      <c r="EC45" s="40">
        <f t="shared" si="95"/>
        <v>4.1707715843057773</v>
      </c>
      <c r="ED45" s="32"/>
      <c r="EE45" s="32">
        <f t="shared" si="96"/>
        <v>0.74000000000000032</v>
      </c>
      <c r="EF45" s="36">
        <f t="shared" si="97"/>
        <v>0.74000000000000032</v>
      </c>
      <c r="EG45" s="32">
        <f t="shared" si="23"/>
        <v>4.1707715843057773</v>
      </c>
      <c r="EH45" s="40">
        <f t="shared" si="98"/>
        <v>4.1707715843057773</v>
      </c>
      <c r="EI45" s="32"/>
      <c r="EJ45" s="32">
        <f t="shared" si="99"/>
        <v>0.74000000000000032</v>
      </c>
      <c r="EK45" s="36">
        <f t="shared" si="100"/>
        <v>0.74000000000000032</v>
      </c>
      <c r="EL45" s="32">
        <f t="shared" si="24"/>
        <v>4.1707715843057773</v>
      </c>
      <c r="EM45" s="40">
        <f t="shared" si="101"/>
        <v>4.1707715843057773</v>
      </c>
      <c r="EN45" s="32"/>
      <c r="EO45" s="32">
        <f t="shared" si="102"/>
        <v>0.74000000000000032</v>
      </c>
      <c r="EP45" s="32">
        <f t="shared" si="103"/>
        <v>0.74000000000000032</v>
      </c>
      <c r="EQ45" s="32">
        <f t="shared" si="25"/>
        <v>4.1707715843057773</v>
      </c>
      <c r="ER45" s="40">
        <f t="shared" si="104"/>
        <v>4.1707715843057773</v>
      </c>
      <c r="ES45" s="32"/>
      <c r="ET45" s="32">
        <f t="shared" si="105"/>
        <v>0.74000000000000032</v>
      </c>
      <c r="EU45" s="36">
        <f t="shared" si="106"/>
        <v>0.74000000000000032</v>
      </c>
      <c r="EV45" s="32">
        <f t="shared" si="26"/>
        <v>4.1707715843057773</v>
      </c>
      <c r="EW45" s="40">
        <f t="shared" si="107"/>
        <v>4.1707715843057773</v>
      </c>
      <c r="EX45" s="32"/>
    </row>
    <row r="46" spans="20:154" s="3" customFormat="1" x14ac:dyDescent="0.25">
      <c r="T46" s="32">
        <f t="shared" si="27"/>
        <v>0.76000000000000034</v>
      </c>
      <c r="U46" s="36">
        <f t="shared" si="28"/>
        <v>0.76000000000000034</v>
      </c>
      <c r="V46" s="32">
        <f t="shared" si="0"/>
        <v>4.2266279934038655</v>
      </c>
      <c r="W46" s="40">
        <f t="shared" si="29"/>
        <v>4.2266279934038655</v>
      </c>
      <c r="X46" s="32"/>
      <c r="Y46" s="32">
        <f t="shared" si="30"/>
        <v>0.76000000000000034</v>
      </c>
      <c r="Z46" s="32">
        <f t="shared" si="31"/>
        <v>0.76000000000000034</v>
      </c>
      <c r="AA46" s="32">
        <f t="shared" si="1"/>
        <v>4.2266279934038655</v>
      </c>
      <c r="AB46" s="40">
        <f t="shared" si="32"/>
        <v>4.2266279934038655</v>
      </c>
      <c r="AC46" s="32"/>
      <c r="AD46" s="32">
        <f t="shared" si="33"/>
        <v>0.76000000000000034</v>
      </c>
      <c r="AE46" s="36">
        <f t="shared" si="34"/>
        <v>0.76000000000000034</v>
      </c>
      <c r="AF46" s="32">
        <f t="shared" si="2"/>
        <v>4.2266279934038655</v>
      </c>
      <c r="AG46" s="40">
        <f t="shared" si="35"/>
        <v>4.2266279934038655</v>
      </c>
      <c r="AH46" s="32"/>
      <c r="AI46" s="32">
        <f t="shared" si="36"/>
        <v>0.76000000000000034</v>
      </c>
      <c r="AJ46" s="36">
        <f t="shared" si="37"/>
        <v>0.76000000000000034</v>
      </c>
      <c r="AK46" s="32">
        <f t="shared" si="3"/>
        <v>4.2266279934038655</v>
      </c>
      <c r="AL46" s="40">
        <f t="shared" si="38"/>
        <v>4.2266279934038655</v>
      </c>
      <c r="AM46" s="32"/>
      <c r="AN46" s="32">
        <f t="shared" si="39"/>
        <v>0.76000000000000034</v>
      </c>
      <c r="AO46" s="32">
        <f t="shared" si="40"/>
        <v>0.76000000000000034</v>
      </c>
      <c r="AP46" s="32">
        <f t="shared" si="4"/>
        <v>4.2266279934038655</v>
      </c>
      <c r="AQ46" s="40">
        <f t="shared" si="41"/>
        <v>4.2266279934038655</v>
      </c>
      <c r="AR46" s="32"/>
      <c r="AS46" s="32">
        <f t="shared" si="42"/>
        <v>0.76000000000000034</v>
      </c>
      <c r="AT46" s="36">
        <f t="shared" si="43"/>
        <v>0.76000000000000034</v>
      </c>
      <c r="AU46" s="32">
        <f t="shared" si="5"/>
        <v>4.2266279934038655</v>
      </c>
      <c r="AV46" s="40">
        <f t="shared" si="44"/>
        <v>4.2266279934038655</v>
      </c>
      <c r="AW46" s="32"/>
      <c r="AX46" s="32">
        <f t="shared" si="45"/>
        <v>0.76000000000000034</v>
      </c>
      <c r="AY46" s="36">
        <f t="shared" si="46"/>
        <v>0.76000000000000034</v>
      </c>
      <c r="AZ46" s="32">
        <f t="shared" si="6"/>
        <v>4.2266279934038655</v>
      </c>
      <c r="BA46" s="40">
        <f t="shared" si="47"/>
        <v>4.2266279934038655</v>
      </c>
      <c r="BB46" s="32"/>
      <c r="BC46" s="32">
        <f t="shared" si="48"/>
        <v>0.76000000000000034</v>
      </c>
      <c r="BD46" s="32">
        <f t="shared" si="49"/>
        <v>0.76000000000000034</v>
      </c>
      <c r="BE46" s="32">
        <f t="shared" si="7"/>
        <v>4.2266279934038655</v>
      </c>
      <c r="BF46" s="40">
        <f t="shared" si="50"/>
        <v>4.2266279934038655</v>
      </c>
      <c r="BG46" s="32"/>
      <c r="BH46" s="32">
        <f t="shared" si="51"/>
        <v>0.76000000000000034</v>
      </c>
      <c r="BI46" s="36">
        <f t="shared" si="52"/>
        <v>0.76000000000000034</v>
      </c>
      <c r="BJ46" s="32">
        <f t="shared" si="8"/>
        <v>4.2266279934038655</v>
      </c>
      <c r="BK46" s="40">
        <f t="shared" si="53"/>
        <v>4.2266279934038655</v>
      </c>
      <c r="BL46" s="32"/>
      <c r="BM46" s="32">
        <f t="shared" si="54"/>
        <v>0.76000000000000034</v>
      </c>
      <c r="BN46" s="36">
        <f t="shared" si="55"/>
        <v>0.76000000000000034</v>
      </c>
      <c r="BO46" s="32">
        <f t="shared" si="9"/>
        <v>4.2266279934038655</v>
      </c>
      <c r="BP46" s="40">
        <f t="shared" si="56"/>
        <v>4.2266279934038655</v>
      </c>
      <c r="BQ46" s="32"/>
      <c r="BR46" s="32">
        <f t="shared" si="57"/>
        <v>0.76000000000000034</v>
      </c>
      <c r="BS46" s="32">
        <f t="shared" si="58"/>
        <v>0.76000000000000034</v>
      </c>
      <c r="BT46" s="32">
        <f t="shared" si="10"/>
        <v>4.2266279934038655</v>
      </c>
      <c r="BU46" s="40">
        <f t="shared" si="59"/>
        <v>4.2266279934038655</v>
      </c>
      <c r="BV46" s="32"/>
      <c r="BW46" s="32">
        <f t="shared" si="60"/>
        <v>0.76000000000000034</v>
      </c>
      <c r="BX46" s="36">
        <f t="shared" si="61"/>
        <v>0.76000000000000034</v>
      </c>
      <c r="BY46" s="32">
        <f t="shared" si="11"/>
        <v>4.2266279934038655</v>
      </c>
      <c r="BZ46" s="40">
        <f t="shared" si="62"/>
        <v>4.2266279934038655</v>
      </c>
      <c r="CA46" s="32"/>
      <c r="CB46" s="32">
        <f t="shared" si="63"/>
        <v>0.76000000000000034</v>
      </c>
      <c r="CC46" s="36">
        <f t="shared" si="64"/>
        <v>0.76000000000000034</v>
      </c>
      <c r="CD46" s="32">
        <f t="shared" si="12"/>
        <v>4.2266279934038655</v>
      </c>
      <c r="CE46" s="40">
        <f t="shared" si="65"/>
        <v>4.2266279934038655</v>
      </c>
      <c r="CF46" s="32"/>
      <c r="CG46" s="39">
        <f t="shared" si="66"/>
        <v>0.76000000000000034</v>
      </c>
      <c r="CH46" s="39">
        <f t="shared" si="67"/>
        <v>0.76000000000000034</v>
      </c>
      <c r="CI46" s="39">
        <f t="shared" si="13"/>
        <v>4.2266279934038655</v>
      </c>
      <c r="CJ46" s="40">
        <f t="shared" si="68"/>
        <v>4.2266279934038655</v>
      </c>
      <c r="CK46" s="39"/>
      <c r="CL46" s="32">
        <f t="shared" si="69"/>
        <v>0.76000000000000034</v>
      </c>
      <c r="CM46" s="36">
        <f t="shared" si="70"/>
        <v>0.76000000000000034</v>
      </c>
      <c r="CN46" s="32">
        <f t="shared" si="14"/>
        <v>4.2266279934038655</v>
      </c>
      <c r="CO46" s="40">
        <f t="shared" si="71"/>
        <v>4.2266279934038655</v>
      </c>
      <c r="CP46" s="32"/>
      <c r="CQ46" s="32">
        <f t="shared" si="72"/>
        <v>0.76000000000000034</v>
      </c>
      <c r="CR46" s="36">
        <f t="shared" si="73"/>
        <v>0.76000000000000034</v>
      </c>
      <c r="CS46" s="32">
        <f t="shared" si="15"/>
        <v>4.2266279934038655</v>
      </c>
      <c r="CT46" s="40">
        <f t="shared" si="74"/>
        <v>4.2266279934038655</v>
      </c>
      <c r="CU46" s="32"/>
      <c r="CV46" s="32">
        <f t="shared" si="75"/>
        <v>0.76000000000000034</v>
      </c>
      <c r="CW46" s="32">
        <f t="shared" si="76"/>
        <v>0.76000000000000034</v>
      </c>
      <c r="CX46" s="32">
        <f t="shared" si="16"/>
        <v>4.2266279934038655</v>
      </c>
      <c r="CY46" s="40">
        <f t="shared" si="77"/>
        <v>4.2266279934038655</v>
      </c>
      <c r="CZ46" s="32"/>
      <c r="DA46" s="32">
        <f t="shared" si="78"/>
        <v>0.76000000000000034</v>
      </c>
      <c r="DB46" s="36">
        <f t="shared" si="79"/>
        <v>0.76000000000000034</v>
      </c>
      <c r="DC46" s="32">
        <f t="shared" si="17"/>
        <v>4.2266279934038655</v>
      </c>
      <c r="DD46" s="40">
        <f t="shared" si="80"/>
        <v>4.2266279934038655</v>
      </c>
      <c r="DE46" s="32"/>
      <c r="DF46" s="32">
        <f t="shared" si="81"/>
        <v>0.76000000000000034</v>
      </c>
      <c r="DG46" s="36">
        <f t="shared" si="82"/>
        <v>0.76000000000000034</v>
      </c>
      <c r="DH46" s="32">
        <f t="shared" si="18"/>
        <v>4.2266279934038655</v>
      </c>
      <c r="DI46" s="40">
        <f t="shared" si="83"/>
        <v>4.2266279934038655</v>
      </c>
      <c r="DJ46" s="32"/>
      <c r="DK46" s="32">
        <f t="shared" si="84"/>
        <v>0.76000000000000034</v>
      </c>
      <c r="DL46" s="32">
        <f t="shared" si="85"/>
        <v>0.76000000000000034</v>
      </c>
      <c r="DM46" s="32">
        <f t="shared" si="19"/>
        <v>4.2266279934038655</v>
      </c>
      <c r="DN46" s="40">
        <f t="shared" si="86"/>
        <v>4.2266279934038655</v>
      </c>
      <c r="DO46" s="32"/>
      <c r="DP46" s="32">
        <f t="shared" si="87"/>
        <v>0.76000000000000034</v>
      </c>
      <c r="DQ46" s="36">
        <f t="shared" si="88"/>
        <v>0.76000000000000034</v>
      </c>
      <c r="DR46" s="32">
        <f t="shared" si="20"/>
        <v>4.2266279934038655</v>
      </c>
      <c r="DS46" s="40">
        <f t="shared" si="89"/>
        <v>4.2266279934038655</v>
      </c>
      <c r="DT46" s="32"/>
      <c r="DU46" s="32">
        <f t="shared" si="90"/>
        <v>0.76000000000000034</v>
      </c>
      <c r="DV46" s="36">
        <f t="shared" si="91"/>
        <v>0.76000000000000034</v>
      </c>
      <c r="DW46" s="32">
        <f t="shared" si="21"/>
        <v>4.2266279934038655</v>
      </c>
      <c r="DX46" s="40">
        <f t="shared" si="92"/>
        <v>4.2266279934038655</v>
      </c>
      <c r="DY46" s="32"/>
      <c r="DZ46" s="32">
        <f t="shared" si="93"/>
        <v>0.76000000000000034</v>
      </c>
      <c r="EA46" s="32">
        <f t="shared" si="94"/>
        <v>0.76000000000000034</v>
      </c>
      <c r="EB46" s="32">
        <f t="shared" si="22"/>
        <v>4.2266279934038655</v>
      </c>
      <c r="EC46" s="40">
        <f t="shared" si="95"/>
        <v>4.2266279934038655</v>
      </c>
      <c r="ED46" s="32"/>
      <c r="EE46" s="32">
        <f t="shared" si="96"/>
        <v>0.76000000000000034</v>
      </c>
      <c r="EF46" s="36">
        <f t="shared" si="97"/>
        <v>0.76000000000000034</v>
      </c>
      <c r="EG46" s="32">
        <f t="shared" si="23"/>
        <v>4.2266279934038655</v>
      </c>
      <c r="EH46" s="40">
        <f t="shared" si="98"/>
        <v>4.2266279934038655</v>
      </c>
      <c r="EI46" s="32"/>
      <c r="EJ46" s="32">
        <f t="shared" si="99"/>
        <v>0.76000000000000034</v>
      </c>
      <c r="EK46" s="36">
        <f t="shared" si="100"/>
        <v>0.76000000000000034</v>
      </c>
      <c r="EL46" s="32">
        <f t="shared" si="24"/>
        <v>4.2266279934038655</v>
      </c>
      <c r="EM46" s="40">
        <f t="shared" si="101"/>
        <v>4.2266279934038655</v>
      </c>
      <c r="EN46" s="32"/>
      <c r="EO46" s="32">
        <f t="shared" si="102"/>
        <v>0.76000000000000034</v>
      </c>
      <c r="EP46" s="32">
        <f t="shared" si="103"/>
        <v>0.76000000000000034</v>
      </c>
      <c r="EQ46" s="32">
        <f t="shared" si="25"/>
        <v>4.2266279934038655</v>
      </c>
      <c r="ER46" s="40">
        <f t="shared" si="104"/>
        <v>4.2266279934038655</v>
      </c>
      <c r="ES46" s="32"/>
      <c r="ET46" s="32">
        <f t="shared" si="105"/>
        <v>0.76000000000000034</v>
      </c>
      <c r="EU46" s="36">
        <f t="shared" si="106"/>
        <v>0.76000000000000034</v>
      </c>
      <c r="EV46" s="32">
        <f t="shared" si="26"/>
        <v>4.2266279934038655</v>
      </c>
      <c r="EW46" s="40">
        <f t="shared" si="107"/>
        <v>4.2266279934038655</v>
      </c>
      <c r="EX46" s="32"/>
    </row>
    <row r="47" spans="20:154" s="3" customFormat="1" x14ac:dyDescent="0.25">
      <c r="T47" s="32">
        <f t="shared" si="27"/>
        <v>0.78000000000000036</v>
      </c>
      <c r="U47" s="36">
        <f t="shared" si="28"/>
        <v>0.78000000000000036</v>
      </c>
      <c r="V47" s="32">
        <f t="shared" si="0"/>
        <v>4.2797758897741076</v>
      </c>
      <c r="W47" s="40">
        <f t="shared" si="29"/>
        <v>4.2797758897741076</v>
      </c>
      <c r="X47" s="32"/>
      <c r="Y47" s="32">
        <f t="shared" si="30"/>
        <v>0.78000000000000036</v>
      </c>
      <c r="Z47" s="32">
        <f t="shared" si="31"/>
        <v>0.78000000000000036</v>
      </c>
      <c r="AA47" s="32">
        <f t="shared" si="1"/>
        <v>4.2797758897741076</v>
      </c>
      <c r="AB47" s="40">
        <f t="shared" si="32"/>
        <v>4.2797758897741076</v>
      </c>
      <c r="AC47" s="32"/>
      <c r="AD47" s="32">
        <f t="shared" si="33"/>
        <v>0.78000000000000036</v>
      </c>
      <c r="AE47" s="36">
        <f t="shared" si="34"/>
        <v>0.78000000000000036</v>
      </c>
      <c r="AF47" s="32">
        <f t="shared" si="2"/>
        <v>4.2797758897741076</v>
      </c>
      <c r="AG47" s="40">
        <f t="shared" si="35"/>
        <v>4.2797758897741076</v>
      </c>
      <c r="AH47" s="32"/>
      <c r="AI47" s="32">
        <f t="shared" si="36"/>
        <v>0.78000000000000036</v>
      </c>
      <c r="AJ47" s="36">
        <f t="shared" si="37"/>
        <v>0.78000000000000036</v>
      </c>
      <c r="AK47" s="32">
        <f t="shared" si="3"/>
        <v>4.2797758897741076</v>
      </c>
      <c r="AL47" s="40">
        <f t="shared" si="38"/>
        <v>4.2797758897741076</v>
      </c>
      <c r="AM47" s="32"/>
      <c r="AN47" s="32">
        <f t="shared" si="39"/>
        <v>0.78000000000000036</v>
      </c>
      <c r="AO47" s="32">
        <f t="shared" si="40"/>
        <v>0.78000000000000036</v>
      </c>
      <c r="AP47" s="32">
        <f t="shared" si="4"/>
        <v>4.2797758897741076</v>
      </c>
      <c r="AQ47" s="40">
        <f t="shared" si="41"/>
        <v>4.2797758897741076</v>
      </c>
      <c r="AR47" s="32"/>
      <c r="AS47" s="32">
        <f t="shared" si="42"/>
        <v>0.78000000000000036</v>
      </c>
      <c r="AT47" s="36">
        <f t="shared" si="43"/>
        <v>0.78000000000000036</v>
      </c>
      <c r="AU47" s="32">
        <f t="shared" si="5"/>
        <v>4.2797758897741076</v>
      </c>
      <c r="AV47" s="40">
        <f t="shared" si="44"/>
        <v>4.2797758897741076</v>
      </c>
      <c r="AW47" s="32"/>
      <c r="AX47" s="32">
        <f t="shared" si="45"/>
        <v>0.78000000000000036</v>
      </c>
      <c r="AY47" s="36">
        <f t="shared" si="46"/>
        <v>0.78000000000000036</v>
      </c>
      <c r="AZ47" s="32">
        <f t="shared" si="6"/>
        <v>4.2797758897741076</v>
      </c>
      <c r="BA47" s="40">
        <f t="shared" si="47"/>
        <v>4.2797758897741076</v>
      </c>
      <c r="BB47" s="32"/>
      <c r="BC47" s="32">
        <f t="shared" si="48"/>
        <v>0.78000000000000036</v>
      </c>
      <c r="BD47" s="32">
        <f t="shared" si="49"/>
        <v>0.78000000000000036</v>
      </c>
      <c r="BE47" s="32">
        <f t="shared" si="7"/>
        <v>4.2797758897741076</v>
      </c>
      <c r="BF47" s="40">
        <f t="shared" si="50"/>
        <v>4.2797758897741076</v>
      </c>
      <c r="BG47" s="32"/>
      <c r="BH47" s="32">
        <f t="shared" si="51"/>
        <v>0.78000000000000036</v>
      </c>
      <c r="BI47" s="36">
        <f t="shared" si="52"/>
        <v>0.78000000000000036</v>
      </c>
      <c r="BJ47" s="32">
        <f t="shared" si="8"/>
        <v>4.2797758897741076</v>
      </c>
      <c r="BK47" s="40">
        <f t="shared" si="53"/>
        <v>4.2797758897741076</v>
      </c>
      <c r="BL47" s="32"/>
      <c r="BM47" s="32">
        <f t="shared" si="54"/>
        <v>0.78000000000000036</v>
      </c>
      <c r="BN47" s="36">
        <f t="shared" si="55"/>
        <v>0.78000000000000036</v>
      </c>
      <c r="BO47" s="32">
        <f t="shared" si="9"/>
        <v>4.2797758897741076</v>
      </c>
      <c r="BP47" s="40">
        <f t="shared" si="56"/>
        <v>4.2797758897741076</v>
      </c>
      <c r="BQ47" s="32"/>
      <c r="BR47" s="32">
        <f t="shared" si="57"/>
        <v>0.78000000000000036</v>
      </c>
      <c r="BS47" s="32">
        <f t="shared" si="58"/>
        <v>0.78000000000000036</v>
      </c>
      <c r="BT47" s="32">
        <f t="shared" si="10"/>
        <v>4.2797758897741076</v>
      </c>
      <c r="BU47" s="40">
        <f t="shared" si="59"/>
        <v>4.2797758897741076</v>
      </c>
      <c r="BV47" s="32"/>
      <c r="BW47" s="32">
        <f t="shared" si="60"/>
        <v>0.78000000000000036</v>
      </c>
      <c r="BX47" s="36">
        <f t="shared" si="61"/>
        <v>0.78000000000000036</v>
      </c>
      <c r="BY47" s="32">
        <f t="shared" si="11"/>
        <v>4.2797758897741076</v>
      </c>
      <c r="BZ47" s="40">
        <f t="shared" si="62"/>
        <v>4.2797758897741076</v>
      </c>
      <c r="CA47" s="32"/>
      <c r="CB47" s="32">
        <f t="shared" si="63"/>
        <v>0.78000000000000036</v>
      </c>
      <c r="CC47" s="36">
        <f t="shared" si="64"/>
        <v>0.78000000000000036</v>
      </c>
      <c r="CD47" s="32">
        <f t="shared" si="12"/>
        <v>4.2797758897741076</v>
      </c>
      <c r="CE47" s="40">
        <f t="shared" si="65"/>
        <v>4.2797758897741076</v>
      </c>
      <c r="CF47" s="32"/>
      <c r="CG47" s="39">
        <f t="shared" si="66"/>
        <v>0.78000000000000036</v>
      </c>
      <c r="CH47" s="39">
        <f t="shared" si="67"/>
        <v>0.78000000000000036</v>
      </c>
      <c r="CI47" s="39">
        <f t="shared" si="13"/>
        <v>4.2797758897741076</v>
      </c>
      <c r="CJ47" s="40">
        <f t="shared" si="68"/>
        <v>4.2797758897741076</v>
      </c>
      <c r="CK47" s="39"/>
      <c r="CL47" s="32">
        <f t="shared" si="69"/>
        <v>0.78000000000000036</v>
      </c>
      <c r="CM47" s="36">
        <f t="shared" si="70"/>
        <v>0.78000000000000036</v>
      </c>
      <c r="CN47" s="32">
        <f t="shared" si="14"/>
        <v>4.2797758897741076</v>
      </c>
      <c r="CO47" s="40">
        <f t="shared" si="71"/>
        <v>4.2797758897741076</v>
      </c>
      <c r="CP47" s="32"/>
      <c r="CQ47" s="32">
        <f t="shared" si="72"/>
        <v>0.78000000000000036</v>
      </c>
      <c r="CR47" s="36">
        <f t="shared" si="73"/>
        <v>0.78000000000000036</v>
      </c>
      <c r="CS47" s="32">
        <f t="shared" si="15"/>
        <v>4.2797758897741076</v>
      </c>
      <c r="CT47" s="40">
        <f t="shared" si="74"/>
        <v>4.2797758897741076</v>
      </c>
      <c r="CU47" s="32"/>
      <c r="CV47" s="32">
        <f t="shared" si="75"/>
        <v>0.78000000000000036</v>
      </c>
      <c r="CW47" s="32">
        <f t="shared" si="76"/>
        <v>0.78000000000000036</v>
      </c>
      <c r="CX47" s="32">
        <f t="shared" si="16"/>
        <v>4.2797758897741076</v>
      </c>
      <c r="CY47" s="40">
        <f t="shared" si="77"/>
        <v>4.2797758897741076</v>
      </c>
      <c r="CZ47" s="32"/>
      <c r="DA47" s="32">
        <f t="shared" si="78"/>
        <v>0.78000000000000036</v>
      </c>
      <c r="DB47" s="36">
        <f t="shared" si="79"/>
        <v>0.78000000000000036</v>
      </c>
      <c r="DC47" s="32">
        <f t="shared" si="17"/>
        <v>4.2797758897741076</v>
      </c>
      <c r="DD47" s="40">
        <f t="shared" si="80"/>
        <v>4.2797758897741076</v>
      </c>
      <c r="DE47" s="32"/>
      <c r="DF47" s="32">
        <f t="shared" si="81"/>
        <v>0.78000000000000036</v>
      </c>
      <c r="DG47" s="36">
        <f t="shared" si="82"/>
        <v>0.78000000000000036</v>
      </c>
      <c r="DH47" s="32">
        <f t="shared" si="18"/>
        <v>4.2797758897741076</v>
      </c>
      <c r="DI47" s="40">
        <f t="shared" si="83"/>
        <v>4.2797758897741076</v>
      </c>
      <c r="DJ47" s="32"/>
      <c r="DK47" s="32">
        <f t="shared" si="84"/>
        <v>0.78000000000000036</v>
      </c>
      <c r="DL47" s="32">
        <f t="shared" si="85"/>
        <v>0.78000000000000036</v>
      </c>
      <c r="DM47" s="32">
        <f t="shared" si="19"/>
        <v>4.2797758897741076</v>
      </c>
      <c r="DN47" s="40">
        <f t="shared" si="86"/>
        <v>4.2797758897741076</v>
      </c>
      <c r="DO47" s="32"/>
      <c r="DP47" s="32">
        <f t="shared" si="87"/>
        <v>0.78000000000000036</v>
      </c>
      <c r="DQ47" s="36">
        <f t="shared" si="88"/>
        <v>0.78000000000000036</v>
      </c>
      <c r="DR47" s="32">
        <f t="shared" si="20"/>
        <v>4.2797758897741076</v>
      </c>
      <c r="DS47" s="40">
        <f t="shared" si="89"/>
        <v>4.2797758897741076</v>
      </c>
      <c r="DT47" s="32"/>
      <c r="DU47" s="32">
        <f t="shared" si="90"/>
        <v>0.78000000000000036</v>
      </c>
      <c r="DV47" s="36">
        <f t="shared" si="91"/>
        <v>0.78000000000000036</v>
      </c>
      <c r="DW47" s="32">
        <f t="shared" si="21"/>
        <v>4.2797758897741076</v>
      </c>
      <c r="DX47" s="40">
        <f t="shared" si="92"/>
        <v>4.2797758897741076</v>
      </c>
      <c r="DY47" s="32"/>
      <c r="DZ47" s="32">
        <f t="shared" si="93"/>
        <v>0.78000000000000036</v>
      </c>
      <c r="EA47" s="32">
        <f t="shared" si="94"/>
        <v>0.78000000000000036</v>
      </c>
      <c r="EB47" s="32">
        <f t="shared" si="22"/>
        <v>4.2797758897741076</v>
      </c>
      <c r="EC47" s="40">
        <f t="shared" si="95"/>
        <v>4.2797758897741076</v>
      </c>
      <c r="ED47" s="32"/>
      <c r="EE47" s="32">
        <f t="shared" si="96"/>
        <v>0.78000000000000036</v>
      </c>
      <c r="EF47" s="36">
        <f t="shared" si="97"/>
        <v>0.78000000000000036</v>
      </c>
      <c r="EG47" s="32">
        <f t="shared" si="23"/>
        <v>4.2797758897741076</v>
      </c>
      <c r="EH47" s="40">
        <f t="shared" si="98"/>
        <v>4.2797758897741076</v>
      </c>
      <c r="EI47" s="32"/>
      <c r="EJ47" s="32">
        <f t="shared" si="99"/>
        <v>0.78000000000000036</v>
      </c>
      <c r="EK47" s="36">
        <f t="shared" si="100"/>
        <v>0.78000000000000036</v>
      </c>
      <c r="EL47" s="32">
        <f t="shared" si="24"/>
        <v>4.2797758897741076</v>
      </c>
      <c r="EM47" s="40">
        <f t="shared" si="101"/>
        <v>4.2797758897741076</v>
      </c>
      <c r="EN47" s="32"/>
      <c r="EO47" s="32">
        <f t="shared" si="102"/>
        <v>0.78000000000000036</v>
      </c>
      <c r="EP47" s="32">
        <f t="shared" si="103"/>
        <v>0.78000000000000036</v>
      </c>
      <c r="EQ47" s="32">
        <f t="shared" si="25"/>
        <v>4.2797758897741076</v>
      </c>
      <c r="ER47" s="40">
        <f t="shared" si="104"/>
        <v>4.2797758897741076</v>
      </c>
      <c r="ES47" s="32"/>
      <c r="ET47" s="32">
        <f t="shared" si="105"/>
        <v>0.78000000000000036</v>
      </c>
      <c r="EU47" s="36">
        <f t="shared" si="106"/>
        <v>0.78000000000000036</v>
      </c>
      <c r="EV47" s="32">
        <f t="shared" si="26"/>
        <v>4.2797758897741076</v>
      </c>
      <c r="EW47" s="40">
        <f t="shared" si="107"/>
        <v>4.2797758897741076</v>
      </c>
      <c r="EX47" s="32"/>
    </row>
    <row r="48" spans="20:154" s="3" customFormat="1" x14ac:dyDescent="0.25">
      <c r="T48" s="32">
        <f t="shared" si="27"/>
        <v>0.80000000000000038</v>
      </c>
      <c r="U48" s="36">
        <f t="shared" si="28"/>
        <v>0.80000000000000038</v>
      </c>
      <c r="V48" s="32">
        <f t="shared" si="0"/>
        <v>4.3302152734165018</v>
      </c>
      <c r="W48" s="40">
        <f t="shared" si="29"/>
        <v>4.3302152734165018</v>
      </c>
      <c r="X48" s="32"/>
      <c r="Y48" s="32">
        <f t="shared" si="30"/>
        <v>0.80000000000000038</v>
      </c>
      <c r="Z48" s="32">
        <f t="shared" si="31"/>
        <v>0.80000000000000038</v>
      </c>
      <c r="AA48" s="32">
        <f t="shared" si="1"/>
        <v>4.3302152734165018</v>
      </c>
      <c r="AB48" s="40">
        <f t="shared" si="32"/>
        <v>4.3302152734165018</v>
      </c>
      <c r="AC48" s="32"/>
      <c r="AD48" s="32">
        <f t="shared" si="33"/>
        <v>0.80000000000000038</v>
      </c>
      <c r="AE48" s="36">
        <f t="shared" si="34"/>
        <v>0.80000000000000038</v>
      </c>
      <c r="AF48" s="32">
        <f t="shared" si="2"/>
        <v>4.3302152734165018</v>
      </c>
      <c r="AG48" s="40">
        <f t="shared" si="35"/>
        <v>4.3302152734165018</v>
      </c>
      <c r="AH48" s="32"/>
      <c r="AI48" s="32">
        <f t="shared" si="36"/>
        <v>0.80000000000000038</v>
      </c>
      <c r="AJ48" s="36">
        <f t="shared" si="37"/>
        <v>0.80000000000000038</v>
      </c>
      <c r="AK48" s="32">
        <f t="shared" si="3"/>
        <v>4.3302152734165018</v>
      </c>
      <c r="AL48" s="40">
        <f t="shared" si="38"/>
        <v>4.3302152734165018</v>
      </c>
      <c r="AM48" s="32"/>
      <c r="AN48" s="32">
        <f t="shared" si="39"/>
        <v>0.80000000000000038</v>
      </c>
      <c r="AO48" s="32">
        <f t="shared" si="40"/>
        <v>0.80000000000000038</v>
      </c>
      <c r="AP48" s="32">
        <f t="shared" si="4"/>
        <v>4.3302152734165018</v>
      </c>
      <c r="AQ48" s="40">
        <f t="shared" si="41"/>
        <v>4.3302152734165018</v>
      </c>
      <c r="AR48" s="32"/>
      <c r="AS48" s="32">
        <f t="shared" si="42"/>
        <v>0.80000000000000038</v>
      </c>
      <c r="AT48" s="36">
        <f t="shared" si="43"/>
        <v>0.80000000000000038</v>
      </c>
      <c r="AU48" s="32">
        <f t="shared" si="5"/>
        <v>4.3302152734165018</v>
      </c>
      <c r="AV48" s="40">
        <f t="shared" si="44"/>
        <v>4.3302152734165018</v>
      </c>
      <c r="AW48" s="32"/>
      <c r="AX48" s="32">
        <f t="shared" si="45"/>
        <v>0.80000000000000038</v>
      </c>
      <c r="AY48" s="36">
        <f t="shared" si="46"/>
        <v>0.80000000000000038</v>
      </c>
      <c r="AZ48" s="32">
        <f t="shared" si="6"/>
        <v>4.3302152734165018</v>
      </c>
      <c r="BA48" s="40">
        <f t="shared" si="47"/>
        <v>4.3302152734165018</v>
      </c>
      <c r="BB48" s="32"/>
      <c r="BC48" s="32">
        <f t="shared" si="48"/>
        <v>0.80000000000000038</v>
      </c>
      <c r="BD48" s="32">
        <f t="shared" si="49"/>
        <v>0.80000000000000038</v>
      </c>
      <c r="BE48" s="32">
        <f t="shared" si="7"/>
        <v>4.3302152734165018</v>
      </c>
      <c r="BF48" s="40">
        <f t="shared" si="50"/>
        <v>4.3302152734165018</v>
      </c>
      <c r="BG48" s="32"/>
      <c r="BH48" s="32">
        <f t="shared" si="51"/>
        <v>0.80000000000000038</v>
      </c>
      <c r="BI48" s="36">
        <f t="shared" si="52"/>
        <v>0.80000000000000038</v>
      </c>
      <c r="BJ48" s="32">
        <f t="shared" si="8"/>
        <v>4.3302152734165018</v>
      </c>
      <c r="BK48" s="40">
        <f t="shared" si="53"/>
        <v>4.3302152734165018</v>
      </c>
      <c r="BL48" s="32"/>
      <c r="BM48" s="32">
        <f t="shared" si="54"/>
        <v>0.80000000000000038</v>
      </c>
      <c r="BN48" s="36">
        <f t="shared" si="55"/>
        <v>0.80000000000000038</v>
      </c>
      <c r="BO48" s="32">
        <f t="shared" si="9"/>
        <v>4.3302152734165018</v>
      </c>
      <c r="BP48" s="40">
        <f t="shared" si="56"/>
        <v>4.3302152734165018</v>
      </c>
      <c r="BQ48" s="32"/>
      <c r="BR48" s="32">
        <f t="shared" si="57"/>
        <v>0.80000000000000038</v>
      </c>
      <c r="BS48" s="32">
        <f t="shared" si="58"/>
        <v>0.80000000000000038</v>
      </c>
      <c r="BT48" s="32">
        <f t="shared" si="10"/>
        <v>4.3302152734165018</v>
      </c>
      <c r="BU48" s="40">
        <f t="shared" si="59"/>
        <v>4.3302152734165018</v>
      </c>
      <c r="BV48" s="32"/>
      <c r="BW48" s="32">
        <f t="shared" si="60"/>
        <v>0.80000000000000038</v>
      </c>
      <c r="BX48" s="36">
        <f t="shared" si="61"/>
        <v>0.80000000000000038</v>
      </c>
      <c r="BY48" s="32">
        <f t="shared" si="11"/>
        <v>4.3302152734165018</v>
      </c>
      <c r="BZ48" s="40">
        <f t="shared" si="62"/>
        <v>4.3302152734165018</v>
      </c>
      <c r="CA48" s="32"/>
      <c r="CB48" s="32">
        <f t="shared" si="63"/>
        <v>0.80000000000000038</v>
      </c>
      <c r="CC48" s="36">
        <f t="shared" si="64"/>
        <v>0.80000000000000038</v>
      </c>
      <c r="CD48" s="32">
        <f t="shared" si="12"/>
        <v>4.3302152734165018</v>
      </c>
      <c r="CE48" s="40">
        <f t="shared" si="65"/>
        <v>4.3302152734165018</v>
      </c>
      <c r="CF48" s="32"/>
      <c r="CG48" s="39">
        <f t="shared" si="66"/>
        <v>0.80000000000000038</v>
      </c>
      <c r="CH48" s="39">
        <f t="shared" si="67"/>
        <v>0.80000000000000038</v>
      </c>
      <c r="CI48" s="39">
        <f t="shared" si="13"/>
        <v>4.3302152734165018</v>
      </c>
      <c r="CJ48" s="40">
        <f t="shared" si="68"/>
        <v>4.3302152734165018</v>
      </c>
      <c r="CK48" s="39"/>
      <c r="CL48" s="32">
        <f t="shared" si="69"/>
        <v>0.80000000000000038</v>
      </c>
      <c r="CM48" s="36">
        <f t="shared" si="70"/>
        <v>0.80000000000000038</v>
      </c>
      <c r="CN48" s="32">
        <f t="shared" si="14"/>
        <v>4.3302152734165018</v>
      </c>
      <c r="CO48" s="40">
        <f t="shared" si="71"/>
        <v>4.3302152734165018</v>
      </c>
      <c r="CP48" s="32"/>
      <c r="CQ48" s="32">
        <f t="shared" si="72"/>
        <v>0.80000000000000038</v>
      </c>
      <c r="CR48" s="36">
        <f t="shared" si="73"/>
        <v>0.80000000000000038</v>
      </c>
      <c r="CS48" s="32">
        <f t="shared" si="15"/>
        <v>4.3302152734165018</v>
      </c>
      <c r="CT48" s="40">
        <f t="shared" si="74"/>
        <v>4.3302152734165018</v>
      </c>
      <c r="CU48" s="32"/>
      <c r="CV48" s="32">
        <f t="shared" si="75"/>
        <v>0.80000000000000038</v>
      </c>
      <c r="CW48" s="32">
        <f t="shared" si="76"/>
        <v>0.80000000000000038</v>
      </c>
      <c r="CX48" s="32">
        <f t="shared" si="16"/>
        <v>4.3302152734165018</v>
      </c>
      <c r="CY48" s="40">
        <f t="shared" si="77"/>
        <v>4.3302152734165018</v>
      </c>
      <c r="CZ48" s="32"/>
      <c r="DA48" s="32">
        <f t="shared" si="78"/>
        <v>0.80000000000000038</v>
      </c>
      <c r="DB48" s="36">
        <f t="shared" si="79"/>
        <v>0.80000000000000038</v>
      </c>
      <c r="DC48" s="32">
        <f t="shared" si="17"/>
        <v>4.3302152734165018</v>
      </c>
      <c r="DD48" s="40">
        <f t="shared" si="80"/>
        <v>4.3302152734165018</v>
      </c>
      <c r="DE48" s="32"/>
      <c r="DF48" s="32">
        <f t="shared" si="81"/>
        <v>0.80000000000000038</v>
      </c>
      <c r="DG48" s="36">
        <f t="shared" si="82"/>
        <v>0.80000000000000038</v>
      </c>
      <c r="DH48" s="32">
        <f t="shared" si="18"/>
        <v>4.3302152734165018</v>
      </c>
      <c r="DI48" s="40">
        <f t="shared" si="83"/>
        <v>4.3302152734165018</v>
      </c>
      <c r="DJ48" s="32"/>
      <c r="DK48" s="32">
        <f t="shared" si="84"/>
        <v>0.80000000000000038</v>
      </c>
      <c r="DL48" s="32">
        <f t="shared" si="85"/>
        <v>0.80000000000000038</v>
      </c>
      <c r="DM48" s="32">
        <f t="shared" si="19"/>
        <v>4.3302152734165018</v>
      </c>
      <c r="DN48" s="40">
        <f t="shared" si="86"/>
        <v>4.3302152734165018</v>
      </c>
      <c r="DO48" s="32"/>
      <c r="DP48" s="32">
        <f t="shared" si="87"/>
        <v>0.80000000000000038</v>
      </c>
      <c r="DQ48" s="36">
        <f t="shared" si="88"/>
        <v>0.80000000000000038</v>
      </c>
      <c r="DR48" s="32">
        <f t="shared" si="20"/>
        <v>4.3302152734165018</v>
      </c>
      <c r="DS48" s="40">
        <f t="shared" si="89"/>
        <v>4.3302152734165018</v>
      </c>
      <c r="DT48" s="32"/>
      <c r="DU48" s="32">
        <f t="shared" si="90"/>
        <v>0.80000000000000038</v>
      </c>
      <c r="DV48" s="36">
        <f t="shared" si="91"/>
        <v>0.80000000000000038</v>
      </c>
      <c r="DW48" s="32">
        <f t="shared" si="21"/>
        <v>4.3302152734165018</v>
      </c>
      <c r="DX48" s="40">
        <f t="shared" si="92"/>
        <v>4.3302152734165018</v>
      </c>
      <c r="DY48" s="32"/>
      <c r="DZ48" s="32">
        <f t="shared" si="93"/>
        <v>0.80000000000000038</v>
      </c>
      <c r="EA48" s="32">
        <f t="shared" si="94"/>
        <v>0.80000000000000038</v>
      </c>
      <c r="EB48" s="32">
        <f t="shared" si="22"/>
        <v>4.3302152734165018</v>
      </c>
      <c r="EC48" s="40">
        <f t="shared" si="95"/>
        <v>4.3302152734165018</v>
      </c>
      <c r="ED48" s="32"/>
      <c r="EE48" s="32">
        <f t="shared" si="96"/>
        <v>0.80000000000000038</v>
      </c>
      <c r="EF48" s="36">
        <f t="shared" si="97"/>
        <v>0.80000000000000038</v>
      </c>
      <c r="EG48" s="32">
        <f t="shared" si="23"/>
        <v>4.3302152734165018</v>
      </c>
      <c r="EH48" s="40">
        <f t="shared" si="98"/>
        <v>4.3302152734165018</v>
      </c>
      <c r="EI48" s="32"/>
      <c r="EJ48" s="32">
        <f t="shared" si="99"/>
        <v>0.80000000000000038</v>
      </c>
      <c r="EK48" s="36">
        <f t="shared" si="100"/>
        <v>0.80000000000000038</v>
      </c>
      <c r="EL48" s="32">
        <f t="shared" si="24"/>
        <v>4.3302152734165018</v>
      </c>
      <c r="EM48" s="40">
        <f t="shared" si="101"/>
        <v>4.3302152734165018</v>
      </c>
      <c r="EN48" s="32"/>
      <c r="EO48" s="32">
        <f t="shared" si="102"/>
        <v>0.80000000000000038</v>
      </c>
      <c r="EP48" s="32">
        <f t="shared" si="103"/>
        <v>0.80000000000000038</v>
      </c>
      <c r="EQ48" s="32">
        <f t="shared" si="25"/>
        <v>4.3302152734165018</v>
      </c>
      <c r="ER48" s="40">
        <f t="shared" si="104"/>
        <v>4.3302152734165018</v>
      </c>
      <c r="ES48" s="32"/>
      <c r="ET48" s="32">
        <f t="shared" si="105"/>
        <v>0.80000000000000038</v>
      </c>
      <c r="EU48" s="36">
        <f t="shared" si="106"/>
        <v>0.80000000000000038</v>
      </c>
      <c r="EV48" s="32">
        <f t="shared" si="26"/>
        <v>4.3302152734165018</v>
      </c>
      <c r="EW48" s="40">
        <f t="shared" si="107"/>
        <v>4.3302152734165018</v>
      </c>
      <c r="EX48" s="32"/>
    </row>
    <row r="49" spans="20:154" s="3" customFormat="1" x14ac:dyDescent="0.25">
      <c r="T49" s="32">
        <f t="shared" si="27"/>
        <v>0.8200000000000004</v>
      </c>
      <c r="U49" s="36">
        <f t="shared" si="28"/>
        <v>0.8200000000000004</v>
      </c>
      <c r="V49" s="32">
        <f t="shared" si="0"/>
        <v>4.377946144331049</v>
      </c>
      <c r="W49" s="40">
        <f t="shared" si="29"/>
        <v>4.377946144331049</v>
      </c>
      <c r="X49" s="32"/>
      <c r="Y49" s="32">
        <f t="shared" si="30"/>
        <v>0.8200000000000004</v>
      </c>
      <c r="Z49" s="32">
        <f t="shared" si="31"/>
        <v>0.8200000000000004</v>
      </c>
      <c r="AA49" s="32">
        <f t="shared" si="1"/>
        <v>4.377946144331049</v>
      </c>
      <c r="AB49" s="40">
        <f t="shared" si="32"/>
        <v>4.377946144331049</v>
      </c>
      <c r="AC49" s="32"/>
      <c r="AD49" s="32">
        <f t="shared" si="33"/>
        <v>0.8200000000000004</v>
      </c>
      <c r="AE49" s="36">
        <f t="shared" si="34"/>
        <v>0.8200000000000004</v>
      </c>
      <c r="AF49" s="32">
        <f t="shared" si="2"/>
        <v>4.377946144331049</v>
      </c>
      <c r="AG49" s="40">
        <f t="shared" si="35"/>
        <v>4.377946144331049</v>
      </c>
      <c r="AH49" s="32"/>
      <c r="AI49" s="32">
        <f t="shared" si="36"/>
        <v>0.8200000000000004</v>
      </c>
      <c r="AJ49" s="36">
        <f t="shared" si="37"/>
        <v>0.8200000000000004</v>
      </c>
      <c r="AK49" s="32">
        <f t="shared" si="3"/>
        <v>4.377946144331049</v>
      </c>
      <c r="AL49" s="40">
        <f t="shared" si="38"/>
        <v>4.377946144331049</v>
      </c>
      <c r="AM49" s="32"/>
      <c r="AN49" s="32">
        <f t="shared" si="39"/>
        <v>0.8200000000000004</v>
      </c>
      <c r="AO49" s="32">
        <f t="shared" si="40"/>
        <v>0.8200000000000004</v>
      </c>
      <c r="AP49" s="32">
        <f t="shared" si="4"/>
        <v>4.377946144331049</v>
      </c>
      <c r="AQ49" s="40">
        <f t="shared" si="41"/>
        <v>4.377946144331049</v>
      </c>
      <c r="AR49" s="32"/>
      <c r="AS49" s="32">
        <f t="shared" si="42"/>
        <v>0.8200000000000004</v>
      </c>
      <c r="AT49" s="36">
        <f t="shared" si="43"/>
        <v>0.8200000000000004</v>
      </c>
      <c r="AU49" s="32">
        <f t="shared" si="5"/>
        <v>4.377946144331049</v>
      </c>
      <c r="AV49" s="40">
        <f t="shared" si="44"/>
        <v>4.377946144331049</v>
      </c>
      <c r="AW49" s="32"/>
      <c r="AX49" s="32">
        <f t="shared" si="45"/>
        <v>0.8200000000000004</v>
      </c>
      <c r="AY49" s="36">
        <f t="shared" si="46"/>
        <v>0.8200000000000004</v>
      </c>
      <c r="AZ49" s="32">
        <f t="shared" si="6"/>
        <v>4.377946144331049</v>
      </c>
      <c r="BA49" s="40">
        <f t="shared" si="47"/>
        <v>4.377946144331049</v>
      </c>
      <c r="BB49" s="32"/>
      <c r="BC49" s="32">
        <f t="shared" si="48"/>
        <v>0.8200000000000004</v>
      </c>
      <c r="BD49" s="32">
        <f t="shared" si="49"/>
        <v>0.8200000000000004</v>
      </c>
      <c r="BE49" s="32">
        <f t="shared" si="7"/>
        <v>4.377946144331049</v>
      </c>
      <c r="BF49" s="40">
        <f t="shared" si="50"/>
        <v>4.377946144331049</v>
      </c>
      <c r="BG49" s="32"/>
      <c r="BH49" s="32">
        <f t="shared" si="51"/>
        <v>0.8200000000000004</v>
      </c>
      <c r="BI49" s="36">
        <f t="shared" si="52"/>
        <v>0.8200000000000004</v>
      </c>
      <c r="BJ49" s="32">
        <f t="shared" si="8"/>
        <v>4.377946144331049</v>
      </c>
      <c r="BK49" s="40">
        <f t="shared" si="53"/>
        <v>4.377946144331049</v>
      </c>
      <c r="BL49" s="32"/>
      <c r="BM49" s="32">
        <f t="shared" si="54"/>
        <v>0.8200000000000004</v>
      </c>
      <c r="BN49" s="36">
        <f t="shared" si="55"/>
        <v>0.8200000000000004</v>
      </c>
      <c r="BO49" s="32">
        <f t="shared" si="9"/>
        <v>4.377946144331049</v>
      </c>
      <c r="BP49" s="40">
        <f t="shared" si="56"/>
        <v>4.377946144331049</v>
      </c>
      <c r="BQ49" s="32"/>
      <c r="BR49" s="32">
        <f t="shared" si="57"/>
        <v>0.8200000000000004</v>
      </c>
      <c r="BS49" s="32">
        <f t="shared" si="58"/>
        <v>0.8200000000000004</v>
      </c>
      <c r="BT49" s="32">
        <f t="shared" si="10"/>
        <v>4.377946144331049</v>
      </c>
      <c r="BU49" s="40">
        <f t="shared" si="59"/>
        <v>4.377946144331049</v>
      </c>
      <c r="BV49" s="32"/>
      <c r="BW49" s="32">
        <f t="shared" si="60"/>
        <v>0.8200000000000004</v>
      </c>
      <c r="BX49" s="36">
        <f t="shared" si="61"/>
        <v>0.8200000000000004</v>
      </c>
      <c r="BY49" s="32">
        <f t="shared" si="11"/>
        <v>4.377946144331049</v>
      </c>
      <c r="BZ49" s="40">
        <f t="shared" si="62"/>
        <v>4.377946144331049</v>
      </c>
      <c r="CA49" s="32"/>
      <c r="CB49" s="32">
        <f t="shared" si="63"/>
        <v>0.8200000000000004</v>
      </c>
      <c r="CC49" s="36">
        <f t="shared" si="64"/>
        <v>0.8200000000000004</v>
      </c>
      <c r="CD49" s="32">
        <f t="shared" si="12"/>
        <v>4.377946144331049</v>
      </c>
      <c r="CE49" s="40">
        <f t="shared" si="65"/>
        <v>4.377946144331049</v>
      </c>
      <c r="CF49" s="32"/>
      <c r="CG49" s="39">
        <f t="shared" si="66"/>
        <v>0.8200000000000004</v>
      </c>
      <c r="CH49" s="39">
        <f t="shared" si="67"/>
        <v>0.8200000000000004</v>
      </c>
      <c r="CI49" s="39">
        <f t="shared" si="13"/>
        <v>4.377946144331049</v>
      </c>
      <c r="CJ49" s="40">
        <f t="shared" si="68"/>
        <v>4.377946144331049</v>
      </c>
      <c r="CK49" s="39"/>
      <c r="CL49" s="32">
        <f t="shared" si="69"/>
        <v>0.8200000000000004</v>
      </c>
      <c r="CM49" s="36">
        <f t="shared" si="70"/>
        <v>0.8200000000000004</v>
      </c>
      <c r="CN49" s="32">
        <f t="shared" si="14"/>
        <v>4.377946144331049</v>
      </c>
      <c r="CO49" s="40">
        <f t="shared" si="71"/>
        <v>4.377946144331049</v>
      </c>
      <c r="CP49" s="32"/>
      <c r="CQ49" s="32">
        <f t="shared" si="72"/>
        <v>0.8200000000000004</v>
      </c>
      <c r="CR49" s="36">
        <f t="shared" si="73"/>
        <v>0.8200000000000004</v>
      </c>
      <c r="CS49" s="32">
        <f t="shared" si="15"/>
        <v>4.377946144331049</v>
      </c>
      <c r="CT49" s="40">
        <f t="shared" si="74"/>
        <v>4.377946144331049</v>
      </c>
      <c r="CU49" s="32"/>
      <c r="CV49" s="32">
        <f t="shared" si="75"/>
        <v>0.8200000000000004</v>
      </c>
      <c r="CW49" s="32">
        <f t="shared" si="76"/>
        <v>0.8200000000000004</v>
      </c>
      <c r="CX49" s="32">
        <f t="shared" si="16"/>
        <v>4.377946144331049</v>
      </c>
      <c r="CY49" s="40">
        <f t="shared" si="77"/>
        <v>4.377946144331049</v>
      </c>
      <c r="CZ49" s="32"/>
      <c r="DA49" s="32">
        <f t="shared" si="78"/>
        <v>0.8200000000000004</v>
      </c>
      <c r="DB49" s="36">
        <f t="shared" si="79"/>
        <v>0.8200000000000004</v>
      </c>
      <c r="DC49" s="32">
        <f t="shared" si="17"/>
        <v>4.377946144331049</v>
      </c>
      <c r="DD49" s="40">
        <f t="shared" si="80"/>
        <v>4.377946144331049</v>
      </c>
      <c r="DE49" s="32"/>
      <c r="DF49" s="32">
        <f t="shared" si="81"/>
        <v>0.8200000000000004</v>
      </c>
      <c r="DG49" s="36">
        <f t="shared" si="82"/>
        <v>0.8200000000000004</v>
      </c>
      <c r="DH49" s="32">
        <f t="shared" si="18"/>
        <v>4.377946144331049</v>
      </c>
      <c r="DI49" s="40">
        <f t="shared" si="83"/>
        <v>4.377946144331049</v>
      </c>
      <c r="DJ49" s="32"/>
      <c r="DK49" s="32">
        <f t="shared" si="84"/>
        <v>0.8200000000000004</v>
      </c>
      <c r="DL49" s="32">
        <f t="shared" si="85"/>
        <v>0.8200000000000004</v>
      </c>
      <c r="DM49" s="32">
        <f t="shared" si="19"/>
        <v>4.377946144331049</v>
      </c>
      <c r="DN49" s="40">
        <f t="shared" si="86"/>
        <v>4.377946144331049</v>
      </c>
      <c r="DO49" s="32"/>
      <c r="DP49" s="32">
        <f t="shared" si="87"/>
        <v>0.8200000000000004</v>
      </c>
      <c r="DQ49" s="36">
        <f t="shared" si="88"/>
        <v>0.8200000000000004</v>
      </c>
      <c r="DR49" s="32">
        <f t="shared" si="20"/>
        <v>4.377946144331049</v>
      </c>
      <c r="DS49" s="40">
        <f t="shared" si="89"/>
        <v>4.377946144331049</v>
      </c>
      <c r="DT49" s="32"/>
      <c r="DU49" s="32">
        <f t="shared" si="90"/>
        <v>0.8200000000000004</v>
      </c>
      <c r="DV49" s="36">
        <f t="shared" si="91"/>
        <v>0.8200000000000004</v>
      </c>
      <c r="DW49" s="32">
        <f t="shared" si="21"/>
        <v>4.377946144331049</v>
      </c>
      <c r="DX49" s="40">
        <f t="shared" si="92"/>
        <v>4.377946144331049</v>
      </c>
      <c r="DY49" s="32"/>
      <c r="DZ49" s="32">
        <f t="shared" si="93"/>
        <v>0.8200000000000004</v>
      </c>
      <c r="EA49" s="32">
        <f t="shared" si="94"/>
        <v>0.8200000000000004</v>
      </c>
      <c r="EB49" s="32">
        <f t="shared" si="22"/>
        <v>4.377946144331049</v>
      </c>
      <c r="EC49" s="40">
        <f t="shared" si="95"/>
        <v>4.377946144331049</v>
      </c>
      <c r="ED49" s="32"/>
      <c r="EE49" s="32">
        <f t="shared" si="96"/>
        <v>0.8200000000000004</v>
      </c>
      <c r="EF49" s="36">
        <f t="shared" si="97"/>
        <v>0.8200000000000004</v>
      </c>
      <c r="EG49" s="32">
        <f t="shared" si="23"/>
        <v>4.377946144331049</v>
      </c>
      <c r="EH49" s="40">
        <f t="shared" si="98"/>
        <v>4.377946144331049</v>
      </c>
      <c r="EI49" s="32"/>
      <c r="EJ49" s="32">
        <f t="shared" si="99"/>
        <v>0.8200000000000004</v>
      </c>
      <c r="EK49" s="36">
        <f t="shared" si="100"/>
        <v>0.8200000000000004</v>
      </c>
      <c r="EL49" s="32">
        <f t="shared" si="24"/>
        <v>4.377946144331049</v>
      </c>
      <c r="EM49" s="40">
        <f t="shared" si="101"/>
        <v>4.377946144331049</v>
      </c>
      <c r="EN49" s="32"/>
      <c r="EO49" s="32">
        <f t="shared" si="102"/>
        <v>0.8200000000000004</v>
      </c>
      <c r="EP49" s="32">
        <f t="shared" si="103"/>
        <v>0.8200000000000004</v>
      </c>
      <c r="EQ49" s="32">
        <f t="shared" si="25"/>
        <v>4.377946144331049</v>
      </c>
      <c r="ER49" s="40">
        <f t="shared" si="104"/>
        <v>4.377946144331049</v>
      </c>
      <c r="ES49" s="32"/>
      <c r="ET49" s="32">
        <f t="shared" si="105"/>
        <v>0.8200000000000004</v>
      </c>
      <c r="EU49" s="36">
        <f t="shared" si="106"/>
        <v>0.8200000000000004</v>
      </c>
      <c r="EV49" s="32">
        <f t="shared" si="26"/>
        <v>4.377946144331049</v>
      </c>
      <c r="EW49" s="40">
        <f t="shared" si="107"/>
        <v>4.377946144331049</v>
      </c>
      <c r="EX49" s="32"/>
    </row>
    <row r="50" spans="20:154" s="3" customFormat="1" x14ac:dyDescent="0.25">
      <c r="T50" s="32">
        <f t="shared" si="27"/>
        <v>0.84000000000000041</v>
      </c>
      <c r="U50" s="36">
        <f t="shared" si="28"/>
        <v>0.84000000000000041</v>
      </c>
      <c r="V50" s="32">
        <f t="shared" si="0"/>
        <v>4.4229685025177492</v>
      </c>
      <c r="W50" s="40">
        <f t="shared" si="29"/>
        <v>4.4229685025177492</v>
      </c>
      <c r="X50" s="32"/>
      <c r="Y50" s="32">
        <f t="shared" si="30"/>
        <v>0.84000000000000041</v>
      </c>
      <c r="Z50" s="32">
        <f t="shared" si="31"/>
        <v>0.84000000000000041</v>
      </c>
      <c r="AA50" s="32">
        <f t="shared" si="1"/>
        <v>4.4229685025177492</v>
      </c>
      <c r="AB50" s="40">
        <f t="shared" si="32"/>
        <v>4.4229685025177492</v>
      </c>
      <c r="AC50" s="32"/>
      <c r="AD50" s="32">
        <f t="shared" si="33"/>
        <v>0.84000000000000041</v>
      </c>
      <c r="AE50" s="36">
        <f t="shared" si="34"/>
        <v>0.84000000000000041</v>
      </c>
      <c r="AF50" s="32">
        <f t="shared" si="2"/>
        <v>4.4229685025177492</v>
      </c>
      <c r="AG50" s="40">
        <f t="shared" si="35"/>
        <v>4.4229685025177492</v>
      </c>
      <c r="AH50" s="32"/>
      <c r="AI50" s="32">
        <f t="shared" si="36"/>
        <v>0.84000000000000041</v>
      </c>
      <c r="AJ50" s="36">
        <f t="shared" si="37"/>
        <v>0.84000000000000041</v>
      </c>
      <c r="AK50" s="32">
        <f t="shared" si="3"/>
        <v>4.4229685025177492</v>
      </c>
      <c r="AL50" s="40">
        <f t="shared" si="38"/>
        <v>4.4229685025177492</v>
      </c>
      <c r="AM50" s="32"/>
      <c r="AN50" s="32">
        <f t="shared" si="39"/>
        <v>0.84000000000000041</v>
      </c>
      <c r="AO50" s="32">
        <f t="shared" si="40"/>
        <v>0.84000000000000041</v>
      </c>
      <c r="AP50" s="32">
        <f t="shared" si="4"/>
        <v>4.4229685025177492</v>
      </c>
      <c r="AQ50" s="40">
        <f t="shared" si="41"/>
        <v>4.4229685025177492</v>
      </c>
      <c r="AR50" s="32"/>
      <c r="AS50" s="32">
        <f t="shared" si="42"/>
        <v>0.84000000000000041</v>
      </c>
      <c r="AT50" s="36">
        <f t="shared" si="43"/>
        <v>0.84000000000000041</v>
      </c>
      <c r="AU50" s="32">
        <f t="shared" si="5"/>
        <v>4.4229685025177492</v>
      </c>
      <c r="AV50" s="40">
        <f t="shared" si="44"/>
        <v>4.4229685025177492</v>
      </c>
      <c r="AW50" s="32"/>
      <c r="AX50" s="32">
        <f t="shared" si="45"/>
        <v>0.84000000000000041</v>
      </c>
      <c r="AY50" s="36">
        <f t="shared" si="46"/>
        <v>0.84000000000000041</v>
      </c>
      <c r="AZ50" s="32">
        <f t="shared" si="6"/>
        <v>4.4229685025177492</v>
      </c>
      <c r="BA50" s="40">
        <f t="shared" si="47"/>
        <v>4.4229685025177492</v>
      </c>
      <c r="BB50" s="32"/>
      <c r="BC50" s="32">
        <f t="shared" si="48"/>
        <v>0.84000000000000041</v>
      </c>
      <c r="BD50" s="32">
        <f t="shared" si="49"/>
        <v>0.84000000000000041</v>
      </c>
      <c r="BE50" s="32">
        <f t="shared" si="7"/>
        <v>4.4229685025177492</v>
      </c>
      <c r="BF50" s="40">
        <f t="shared" si="50"/>
        <v>4.4229685025177492</v>
      </c>
      <c r="BG50" s="32"/>
      <c r="BH50" s="32">
        <f t="shared" si="51"/>
        <v>0.84000000000000041</v>
      </c>
      <c r="BI50" s="36">
        <f t="shared" si="52"/>
        <v>0.84000000000000041</v>
      </c>
      <c r="BJ50" s="32">
        <f t="shared" si="8"/>
        <v>4.4229685025177492</v>
      </c>
      <c r="BK50" s="40">
        <f t="shared" si="53"/>
        <v>4.4229685025177492</v>
      </c>
      <c r="BL50" s="32"/>
      <c r="BM50" s="32">
        <f t="shared" si="54"/>
        <v>0.84000000000000041</v>
      </c>
      <c r="BN50" s="36">
        <f t="shared" si="55"/>
        <v>0.84000000000000041</v>
      </c>
      <c r="BO50" s="32">
        <f t="shared" si="9"/>
        <v>4.4229685025177492</v>
      </c>
      <c r="BP50" s="40">
        <f t="shared" si="56"/>
        <v>4.4229685025177492</v>
      </c>
      <c r="BQ50" s="32"/>
      <c r="BR50" s="32">
        <f t="shared" si="57"/>
        <v>0.84000000000000041</v>
      </c>
      <c r="BS50" s="32">
        <f t="shared" si="58"/>
        <v>0.84000000000000041</v>
      </c>
      <c r="BT50" s="32">
        <f t="shared" si="10"/>
        <v>4.4229685025177492</v>
      </c>
      <c r="BU50" s="40">
        <f t="shared" si="59"/>
        <v>4.4229685025177492</v>
      </c>
      <c r="BV50" s="32"/>
      <c r="BW50" s="32">
        <f t="shared" si="60"/>
        <v>0.84000000000000041</v>
      </c>
      <c r="BX50" s="36">
        <f t="shared" si="61"/>
        <v>0.84000000000000041</v>
      </c>
      <c r="BY50" s="32">
        <f t="shared" si="11"/>
        <v>4.4229685025177492</v>
      </c>
      <c r="BZ50" s="40">
        <f t="shared" si="62"/>
        <v>4.4229685025177492</v>
      </c>
      <c r="CA50" s="32"/>
      <c r="CB50" s="32">
        <f t="shared" si="63"/>
        <v>0.84000000000000041</v>
      </c>
      <c r="CC50" s="36">
        <f t="shared" si="64"/>
        <v>0.84000000000000041</v>
      </c>
      <c r="CD50" s="32">
        <f t="shared" si="12"/>
        <v>4.4229685025177492</v>
      </c>
      <c r="CE50" s="40">
        <f t="shared" si="65"/>
        <v>4.4229685025177492</v>
      </c>
      <c r="CF50" s="32"/>
      <c r="CG50" s="39">
        <f t="shared" si="66"/>
        <v>0.84000000000000041</v>
      </c>
      <c r="CH50" s="39">
        <f t="shared" si="67"/>
        <v>0.84000000000000041</v>
      </c>
      <c r="CI50" s="39">
        <f t="shared" si="13"/>
        <v>4.4229685025177492</v>
      </c>
      <c r="CJ50" s="40">
        <f t="shared" si="68"/>
        <v>4.4229685025177492</v>
      </c>
      <c r="CK50" s="39"/>
      <c r="CL50" s="32">
        <f t="shared" si="69"/>
        <v>0.84000000000000041</v>
      </c>
      <c r="CM50" s="36">
        <f t="shared" si="70"/>
        <v>0.84000000000000041</v>
      </c>
      <c r="CN50" s="32">
        <f t="shared" si="14"/>
        <v>4.4229685025177492</v>
      </c>
      <c r="CO50" s="40">
        <f t="shared" si="71"/>
        <v>4.4229685025177492</v>
      </c>
      <c r="CP50" s="32"/>
      <c r="CQ50" s="32">
        <f t="shared" si="72"/>
        <v>0.84000000000000041</v>
      </c>
      <c r="CR50" s="36">
        <f t="shared" si="73"/>
        <v>0.84000000000000041</v>
      </c>
      <c r="CS50" s="32">
        <f t="shared" si="15"/>
        <v>4.4229685025177492</v>
      </c>
      <c r="CT50" s="40">
        <f t="shared" si="74"/>
        <v>4.4229685025177492</v>
      </c>
      <c r="CU50" s="32"/>
      <c r="CV50" s="32">
        <f t="shared" si="75"/>
        <v>0.84000000000000041</v>
      </c>
      <c r="CW50" s="32">
        <f t="shared" si="76"/>
        <v>0.84000000000000041</v>
      </c>
      <c r="CX50" s="32">
        <f t="shared" si="16"/>
        <v>4.4229685025177492</v>
      </c>
      <c r="CY50" s="40">
        <f t="shared" si="77"/>
        <v>4.4229685025177492</v>
      </c>
      <c r="CZ50" s="32"/>
      <c r="DA50" s="32">
        <f t="shared" si="78"/>
        <v>0.84000000000000041</v>
      </c>
      <c r="DB50" s="36">
        <f t="shared" si="79"/>
        <v>0.84000000000000041</v>
      </c>
      <c r="DC50" s="32">
        <f t="shared" si="17"/>
        <v>4.4229685025177492</v>
      </c>
      <c r="DD50" s="40">
        <f t="shared" si="80"/>
        <v>4.4229685025177492</v>
      </c>
      <c r="DE50" s="32"/>
      <c r="DF50" s="32">
        <f t="shared" si="81"/>
        <v>0.84000000000000041</v>
      </c>
      <c r="DG50" s="36">
        <f t="shared" si="82"/>
        <v>0.84000000000000041</v>
      </c>
      <c r="DH50" s="32">
        <f t="shared" si="18"/>
        <v>4.4229685025177492</v>
      </c>
      <c r="DI50" s="40">
        <f t="shared" si="83"/>
        <v>4.4229685025177492</v>
      </c>
      <c r="DJ50" s="32"/>
      <c r="DK50" s="32">
        <f t="shared" si="84"/>
        <v>0.84000000000000041</v>
      </c>
      <c r="DL50" s="32">
        <f t="shared" si="85"/>
        <v>0.84000000000000041</v>
      </c>
      <c r="DM50" s="32">
        <f t="shared" si="19"/>
        <v>4.4229685025177492</v>
      </c>
      <c r="DN50" s="40">
        <f t="shared" si="86"/>
        <v>4.4229685025177492</v>
      </c>
      <c r="DO50" s="32"/>
      <c r="DP50" s="32">
        <f t="shared" si="87"/>
        <v>0.84000000000000041</v>
      </c>
      <c r="DQ50" s="36">
        <f t="shared" si="88"/>
        <v>0.84000000000000041</v>
      </c>
      <c r="DR50" s="32">
        <f t="shared" si="20"/>
        <v>4.4229685025177492</v>
      </c>
      <c r="DS50" s="40">
        <f t="shared" si="89"/>
        <v>4.4229685025177492</v>
      </c>
      <c r="DT50" s="32"/>
      <c r="DU50" s="32">
        <f t="shared" si="90"/>
        <v>0.84000000000000041</v>
      </c>
      <c r="DV50" s="36">
        <f t="shared" si="91"/>
        <v>0.84000000000000041</v>
      </c>
      <c r="DW50" s="32">
        <f t="shared" si="21"/>
        <v>4.4229685025177492</v>
      </c>
      <c r="DX50" s="40">
        <f t="shared" si="92"/>
        <v>4.4229685025177492</v>
      </c>
      <c r="DY50" s="32"/>
      <c r="DZ50" s="32">
        <f t="shared" si="93"/>
        <v>0.84000000000000041</v>
      </c>
      <c r="EA50" s="32">
        <f t="shared" si="94"/>
        <v>0.84000000000000041</v>
      </c>
      <c r="EB50" s="32">
        <f t="shared" si="22"/>
        <v>4.4229685025177492</v>
      </c>
      <c r="EC50" s="40">
        <f t="shared" si="95"/>
        <v>4.4229685025177492</v>
      </c>
      <c r="ED50" s="32"/>
      <c r="EE50" s="32">
        <f t="shared" si="96"/>
        <v>0.84000000000000041</v>
      </c>
      <c r="EF50" s="36">
        <f t="shared" si="97"/>
        <v>0.84000000000000041</v>
      </c>
      <c r="EG50" s="32">
        <f t="shared" si="23"/>
        <v>4.4229685025177492</v>
      </c>
      <c r="EH50" s="40">
        <f t="shared" si="98"/>
        <v>4.4229685025177492</v>
      </c>
      <c r="EI50" s="32"/>
      <c r="EJ50" s="32">
        <f t="shared" si="99"/>
        <v>0.84000000000000041</v>
      </c>
      <c r="EK50" s="36">
        <f t="shared" si="100"/>
        <v>0.84000000000000041</v>
      </c>
      <c r="EL50" s="32">
        <f t="shared" si="24"/>
        <v>4.4229685025177492</v>
      </c>
      <c r="EM50" s="40">
        <f t="shared" si="101"/>
        <v>4.4229685025177492</v>
      </c>
      <c r="EN50" s="32"/>
      <c r="EO50" s="32">
        <f t="shared" si="102"/>
        <v>0.84000000000000041</v>
      </c>
      <c r="EP50" s="32">
        <f t="shared" si="103"/>
        <v>0.84000000000000041</v>
      </c>
      <c r="EQ50" s="32">
        <f t="shared" si="25"/>
        <v>4.4229685025177492</v>
      </c>
      <c r="ER50" s="40">
        <f t="shared" si="104"/>
        <v>4.4229685025177492</v>
      </c>
      <c r="ES50" s="32"/>
      <c r="ET50" s="32">
        <f t="shared" si="105"/>
        <v>0.84000000000000041</v>
      </c>
      <c r="EU50" s="36">
        <f t="shared" si="106"/>
        <v>0.84000000000000041</v>
      </c>
      <c r="EV50" s="32">
        <f t="shared" si="26"/>
        <v>4.4229685025177492</v>
      </c>
      <c r="EW50" s="40">
        <f t="shared" si="107"/>
        <v>4.4229685025177492</v>
      </c>
      <c r="EX50" s="32"/>
    </row>
    <row r="51" spans="20:154" s="3" customFormat="1" x14ac:dyDescent="0.25">
      <c r="T51" s="32">
        <f t="shared" si="27"/>
        <v>0.86000000000000043</v>
      </c>
      <c r="U51" s="36">
        <f t="shared" si="28"/>
        <v>0.86000000000000043</v>
      </c>
      <c r="V51" s="32">
        <f t="shared" si="0"/>
        <v>4.4652823479766033</v>
      </c>
      <c r="W51" s="40">
        <f t="shared" si="29"/>
        <v>4.4652823479766033</v>
      </c>
      <c r="X51" s="32"/>
      <c r="Y51" s="32">
        <f t="shared" si="30"/>
        <v>0.86000000000000043</v>
      </c>
      <c r="Z51" s="32">
        <f t="shared" si="31"/>
        <v>0.86000000000000043</v>
      </c>
      <c r="AA51" s="32">
        <f t="shared" si="1"/>
        <v>4.4652823479766033</v>
      </c>
      <c r="AB51" s="40">
        <f t="shared" si="32"/>
        <v>4.4652823479766033</v>
      </c>
      <c r="AC51" s="32"/>
      <c r="AD51" s="32">
        <f t="shared" si="33"/>
        <v>0.86000000000000043</v>
      </c>
      <c r="AE51" s="36">
        <f t="shared" si="34"/>
        <v>0.86000000000000043</v>
      </c>
      <c r="AF51" s="32">
        <f t="shared" si="2"/>
        <v>4.4652823479766033</v>
      </c>
      <c r="AG51" s="40">
        <f t="shared" si="35"/>
        <v>4.4652823479766033</v>
      </c>
      <c r="AH51" s="32"/>
      <c r="AI51" s="32">
        <f t="shared" si="36"/>
        <v>0.86000000000000043</v>
      </c>
      <c r="AJ51" s="36">
        <f t="shared" si="37"/>
        <v>0.86000000000000043</v>
      </c>
      <c r="AK51" s="32">
        <f t="shared" si="3"/>
        <v>4.4652823479766033</v>
      </c>
      <c r="AL51" s="40">
        <f t="shared" si="38"/>
        <v>4.4652823479766033</v>
      </c>
      <c r="AM51" s="32"/>
      <c r="AN51" s="32">
        <f t="shared" si="39"/>
        <v>0.86000000000000043</v>
      </c>
      <c r="AO51" s="32">
        <f t="shared" si="40"/>
        <v>0.86000000000000043</v>
      </c>
      <c r="AP51" s="32">
        <f t="shared" si="4"/>
        <v>4.4652823479766033</v>
      </c>
      <c r="AQ51" s="40">
        <f t="shared" si="41"/>
        <v>4.4652823479766033</v>
      </c>
      <c r="AR51" s="32"/>
      <c r="AS51" s="32">
        <f t="shared" si="42"/>
        <v>0.86000000000000043</v>
      </c>
      <c r="AT51" s="36">
        <f t="shared" si="43"/>
        <v>0.86000000000000043</v>
      </c>
      <c r="AU51" s="32">
        <f t="shared" si="5"/>
        <v>4.4652823479766033</v>
      </c>
      <c r="AV51" s="40">
        <f t="shared" si="44"/>
        <v>4.4652823479766033</v>
      </c>
      <c r="AW51" s="32"/>
      <c r="AX51" s="32">
        <f t="shared" si="45"/>
        <v>0.86000000000000043</v>
      </c>
      <c r="AY51" s="36">
        <f t="shared" si="46"/>
        <v>0.86000000000000043</v>
      </c>
      <c r="AZ51" s="32">
        <f t="shared" si="6"/>
        <v>4.4652823479766033</v>
      </c>
      <c r="BA51" s="40">
        <f t="shared" si="47"/>
        <v>4.4652823479766033</v>
      </c>
      <c r="BB51" s="32"/>
      <c r="BC51" s="32">
        <f t="shared" si="48"/>
        <v>0.86000000000000043</v>
      </c>
      <c r="BD51" s="32">
        <f t="shared" si="49"/>
        <v>0.86000000000000043</v>
      </c>
      <c r="BE51" s="32">
        <f t="shared" si="7"/>
        <v>4.4652823479766033</v>
      </c>
      <c r="BF51" s="40">
        <f t="shared" si="50"/>
        <v>4.4652823479766033</v>
      </c>
      <c r="BG51" s="32"/>
      <c r="BH51" s="32">
        <f t="shared" si="51"/>
        <v>0.86000000000000043</v>
      </c>
      <c r="BI51" s="36">
        <f t="shared" si="52"/>
        <v>0.86000000000000043</v>
      </c>
      <c r="BJ51" s="32">
        <f t="shared" si="8"/>
        <v>4.4652823479766033</v>
      </c>
      <c r="BK51" s="40">
        <f t="shared" si="53"/>
        <v>4.4652823479766033</v>
      </c>
      <c r="BL51" s="32"/>
      <c r="BM51" s="32">
        <f t="shared" si="54"/>
        <v>0.86000000000000043</v>
      </c>
      <c r="BN51" s="36">
        <f t="shared" si="55"/>
        <v>0.86000000000000043</v>
      </c>
      <c r="BO51" s="32">
        <f t="shared" si="9"/>
        <v>4.4652823479766033</v>
      </c>
      <c r="BP51" s="40">
        <f t="shared" si="56"/>
        <v>4.4652823479766033</v>
      </c>
      <c r="BQ51" s="32"/>
      <c r="BR51" s="32">
        <f t="shared" si="57"/>
        <v>0.86000000000000043</v>
      </c>
      <c r="BS51" s="32">
        <f t="shared" si="58"/>
        <v>0.86000000000000043</v>
      </c>
      <c r="BT51" s="32">
        <f t="shared" si="10"/>
        <v>4.4652823479766033</v>
      </c>
      <c r="BU51" s="40">
        <f t="shared" si="59"/>
        <v>4.4652823479766033</v>
      </c>
      <c r="BV51" s="32"/>
      <c r="BW51" s="32">
        <f t="shared" si="60"/>
        <v>0.86000000000000043</v>
      </c>
      <c r="BX51" s="36">
        <f t="shared" si="61"/>
        <v>0.86000000000000043</v>
      </c>
      <c r="BY51" s="32">
        <f t="shared" si="11"/>
        <v>4.4652823479766033</v>
      </c>
      <c r="BZ51" s="40">
        <f t="shared" si="62"/>
        <v>4.4652823479766033</v>
      </c>
      <c r="CA51" s="32"/>
      <c r="CB51" s="32">
        <f t="shared" si="63"/>
        <v>0.86000000000000043</v>
      </c>
      <c r="CC51" s="36">
        <f t="shared" si="64"/>
        <v>0.86000000000000043</v>
      </c>
      <c r="CD51" s="32">
        <f t="shared" si="12"/>
        <v>4.4652823479766033</v>
      </c>
      <c r="CE51" s="40">
        <f t="shared" si="65"/>
        <v>4.4652823479766033</v>
      </c>
      <c r="CF51" s="32"/>
      <c r="CG51" s="39">
        <f t="shared" si="66"/>
        <v>0.86000000000000043</v>
      </c>
      <c r="CH51" s="39">
        <f t="shared" si="67"/>
        <v>0.86000000000000043</v>
      </c>
      <c r="CI51" s="39">
        <f t="shared" si="13"/>
        <v>4.4652823479766033</v>
      </c>
      <c r="CJ51" s="40">
        <f t="shared" si="68"/>
        <v>4.4652823479766033</v>
      </c>
      <c r="CK51" s="39"/>
      <c r="CL51" s="32">
        <f t="shared" si="69"/>
        <v>0.86000000000000043</v>
      </c>
      <c r="CM51" s="36">
        <f t="shared" si="70"/>
        <v>0.86000000000000043</v>
      </c>
      <c r="CN51" s="32">
        <f t="shared" si="14"/>
        <v>4.4652823479766033</v>
      </c>
      <c r="CO51" s="40">
        <f t="shared" si="71"/>
        <v>4.4652823479766033</v>
      </c>
      <c r="CP51" s="32"/>
      <c r="CQ51" s="32">
        <f t="shared" si="72"/>
        <v>0.86000000000000043</v>
      </c>
      <c r="CR51" s="36">
        <f t="shared" si="73"/>
        <v>0.86000000000000043</v>
      </c>
      <c r="CS51" s="32">
        <f t="shared" si="15"/>
        <v>4.4652823479766033</v>
      </c>
      <c r="CT51" s="40">
        <f t="shared" si="74"/>
        <v>4.4652823479766033</v>
      </c>
      <c r="CU51" s="32"/>
      <c r="CV51" s="32">
        <f t="shared" si="75"/>
        <v>0.86000000000000043</v>
      </c>
      <c r="CW51" s="32">
        <f t="shared" si="76"/>
        <v>0.86000000000000043</v>
      </c>
      <c r="CX51" s="32">
        <f t="shared" si="16"/>
        <v>4.4652823479766033</v>
      </c>
      <c r="CY51" s="40">
        <f t="shared" si="77"/>
        <v>4.4652823479766033</v>
      </c>
      <c r="CZ51" s="32"/>
      <c r="DA51" s="32">
        <f t="shared" si="78"/>
        <v>0.86000000000000043</v>
      </c>
      <c r="DB51" s="36">
        <f t="shared" si="79"/>
        <v>0.86000000000000043</v>
      </c>
      <c r="DC51" s="32">
        <f t="shared" si="17"/>
        <v>4.4652823479766033</v>
      </c>
      <c r="DD51" s="40">
        <f t="shared" si="80"/>
        <v>4.4652823479766033</v>
      </c>
      <c r="DE51" s="32"/>
      <c r="DF51" s="32">
        <f t="shared" si="81"/>
        <v>0.86000000000000043</v>
      </c>
      <c r="DG51" s="36">
        <f t="shared" si="82"/>
        <v>0.86000000000000043</v>
      </c>
      <c r="DH51" s="32">
        <f t="shared" si="18"/>
        <v>4.4652823479766033</v>
      </c>
      <c r="DI51" s="40">
        <f t="shared" si="83"/>
        <v>4.4652823479766033</v>
      </c>
      <c r="DJ51" s="32"/>
      <c r="DK51" s="32">
        <f t="shared" si="84"/>
        <v>0.86000000000000043</v>
      </c>
      <c r="DL51" s="32">
        <f t="shared" si="85"/>
        <v>0.86000000000000043</v>
      </c>
      <c r="DM51" s="32">
        <f t="shared" si="19"/>
        <v>4.4652823479766033</v>
      </c>
      <c r="DN51" s="40">
        <f t="shared" si="86"/>
        <v>4.4652823479766033</v>
      </c>
      <c r="DO51" s="32"/>
      <c r="DP51" s="32">
        <f t="shared" si="87"/>
        <v>0.86000000000000043</v>
      </c>
      <c r="DQ51" s="36">
        <f t="shared" si="88"/>
        <v>0.86000000000000043</v>
      </c>
      <c r="DR51" s="32">
        <f t="shared" si="20"/>
        <v>4.4652823479766033</v>
      </c>
      <c r="DS51" s="40">
        <f t="shared" si="89"/>
        <v>4.4652823479766033</v>
      </c>
      <c r="DT51" s="32"/>
      <c r="DU51" s="32">
        <f t="shared" si="90"/>
        <v>0.86000000000000043</v>
      </c>
      <c r="DV51" s="36">
        <f t="shared" si="91"/>
        <v>0.86000000000000043</v>
      </c>
      <c r="DW51" s="32">
        <f t="shared" si="21"/>
        <v>4.4652823479766033</v>
      </c>
      <c r="DX51" s="40">
        <f t="shared" si="92"/>
        <v>4.4652823479766033</v>
      </c>
      <c r="DY51" s="32"/>
      <c r="DZ51" s="32">
        <f t="shared" si="93"/>
        <v>0.86000000000000043</v>
      </c>
      <c r="EA51" s="32">
        <f t="shared" si="94"/>
        <v>0.86000000000000043</v>
      </c>
      <c r="EB51" s="32">
        <f t="shared" si="22"/>
        <v>4.4652823479766033</v>
      </c>
      <c r="EC51" s="40">
        <f t="shared" si="95"/>
        <v>4.4652823479766033</v>
      </c>
      <c r="ED51" s="32"/>
      <c r="EE51" s="32">
        <f t="shared" si="96"/>
        <v>0.86000000000000043</v>
      </c>
      <c r="EF51" s="36">
        <f t="shared" si="97"/>
        <v>0.86000000000000043</v>
      </c>
      <c r="EG51" s="32">
        <f t="shared" si="23"/>
        <v>4.4652823479766033</v>
      </c>
      <c r="EH51" s="40">
        <f t="shared" si="98"/>
        <v>4.4652823479766033</v>
      </c>
      <c r="EI51" s="32"/>
      <c r="EJ51" s="32">
        <f t="shared" si="99"/>
        <v>0.86000000000000043</v>
      </c>
      <c r="EK51" s="36">
        <f t="shared" si="100"/>
        <v>0.86000000000000043</v>
      </c>
      <c r="EL51" s="32">
        <f t="shared" si="24"/>
        <v>4.4652823479766033</v>
      </c>
      <c r="EM51" s="40">
        <f t="shared" si="101"/>
        <v>4.4652823479766033</v>
      </c>
      <c r="EN51" s="32"/>
      <c r="EO51" s="32">
        <f t="shared" si="102"/>
        <v>0.86000000000000043</v>
      </c>
      <c r="EP51" s="32">
        <f t="shared" si="103"/>
        <v>0.86000000000000043</v>
      </c>
      <c r="EQ51" s="32">
        <f t="shared" si="25"/>
        <v>4.4652823479766033</v>
      </c>
      <c r="ER51" s="40">
        <f t="shared" si="104"/>
        <v>4.4652823479766033</v>
      </c>
      <c r="ES51" s="32"/>
      <c r="ET51" s="32">
        <f t="shared" si="105"/>
        <v>0.86000000000000043</v>
      </c>
      <c r="EU51" s="36">
        <f t="shared" si="106"/>
        <v>0.86000000000000043</v>
      </c>
      <c r="EV51" s="32">
        <f t="shared" si="26"/>
        <v>4.4652823479766033</v>
      </c>
      <c r="EW51" s="40">
        <f t="shared" si="107"/>
        <v>4.4652823479766033</v>
      </c>
      <c r="EX51" s="32"/>
    </row>
    <row r="52" spans="20:154" s="3" customFormat="1" x14ac:dyDescent="0.25">
      <c r="T52" s="32">
        <f t="shared" si="27"/>
        <v>0.88000000000000045</v>
      </c>
      <c r="U52" s="36">
        <f t="shared" si="28"/>
        <v>0.88000000000000045</v>
      </c>
      <c r="V52" s="32">
        <f t="shared" si="0"/>
        <v>4.5048876807076086</v>
      </c>
      <c r="W52" s="40">
        <f t="shared" si="29"/>
        <v>4.5048876807076086</v>
      </c>
      <c r="X52" s="32"/>
      <c r="Y52" s="32">
        <f t="shared" si="30"/>
        <v>0.88000000000000045</v>
      </c>
      <c r="Z52" s="32">
        <f t="shared" si="31"/>
        <v>0.88000000000000045</v>
      </c>
      <c r="AA52" s="32">
        <f t="shared" si="1"/>
        <v>4.5048876807076086</v>
      </c>
      <c r="AB52" s="40">
        <f t="shared" si="32"/>
        <v>4.5048876807076086</v>
      </c>
      <c r="AC52" s="32"/>
      <c r="AD52" s="32">
        <f t="shared" si="33"/>
        <v>0.88000000000000045</v>
      </c>
      <c r="AE52" s="36">
        <f t="shared" si="34"/>
        <v>0.88000000000000045</v>
      </c>
      <c r="AF52" s="32">
        <f t="shared" si="2"/>
        <v>4.5048876807076086</v>
      </c>
      <c r="AG52" s="40">
        <f t="shared" si="35"/>
        <v>4.5048876807076086</v>
      </c>
      <c r="AH52" s="32"/>
      <c r="AI52" s="32">
        <f t="shared" si="36"/>
        <v>0.88000000000000045</v>
      </c>
      <c r="AJ52" s="36">
        <f t="shared" si="37"/>
        <v>0.88000000000000045</v>
      </c>
      <c r="AK52" s="32">
        <f t="shared" si="3"/>
        <v>4.5048876807076086</v>
      </c>
      <c r="AL52" s="40">
        <f t="shared" si="38"/>
        <v>4.5048876807076086</v>
      </c>
      <c r="AM52" s="32"/>
      <c r="AN52" s="32">
        <f t="shared" si="39"/>
        <v>0.88000000000000045</v>
      </c>
      <c r="AO52" s="32">
        <f t="shared" si="40"/>
        <v>0.88000000000000045</v>
      </c>
      <c r="AP52" s="32">
        <f t="shared" si="4"/>
        <v>4.5048876807076086</v>
      </c>
      <c r="AQ52" s="40">
        <f t="shared" si="41"/>
        <v>4.5048876807076086</v>
      </c>
      <c r="AR52" s="32"/>
      <c r="AS52" s="32">
        <f t="shared" si="42"/>
        <v>0.88000000000000045</v>
      </c>
      <c r="AT52" s="36">
        <f t="shared" si="43"/>
        <v>0.88000000000000045</v>
      </c>
      <c r="AU52" s="32">
        <f t="shared" si="5"/>
        <v>4.5048876807076086</v>
      </c>
      <c r="AV52" s="40">
        <f t="shared" si="44"/>
        <v>4.5048876807076086</v>
      </c>
      <c r="AW52" s="32"/>
      <c r="AX52" s="32">
        <f t="shared" si="45"/>
        <v>0.88000000000000045</v>
      </c>
      <c r="AY52" s="36">
        <f t="shared" si="46"/>
        <v>0.88000000000000045</v>
      </c>
      <c r="AZ52" s="32">
        <f t="shared" si="6"/>
        <v>4.5048876807076086</v>
      </c>
      <c r="BA52" s="40">
        <f t="shared" si="47"/>
        <v>4.5048876807076086</v>
      </c>
      <c r="BB52" s="32"/>
      <c r="BC52" s="32">
        <f t="shared" si="48"/>
        <v>0.88000000000000045</v>
      </c>
      <c r="BD52" s="32">
        <f t="shared" si="49"/>
        <v>0.88000000000000045</v>
      </c>
      <c r="BE52" s="32">
        <f t="shared" si="7"/>
        <v>4.5048876807076086</v>
      </c>
      <c r="BF52" s="40">
        <f t="shared" si="50"/>
        <v>4.5048876807076086</v>
      </c>
      <c r="BG52" s="32"/>
      <c r="BH52" s="32">
        <f t="shared" si="51"/>
        <v>0.88000000000000045</v>
      </c>
      <c r="BI52" s="36">
        <f t="shared" si="52"/>
        <v>0.88000000000000045</v>
      </c>
      <c r="BJ52" s="32">
        <f t="shared" si="8"/>
        <v>4.5048876807076086</v>
      </c>
      <c r="BK52" s="40">
        <f t="shared" si="53"/>
        <v>4.5048876807076086</v>
      </c>
      <c r="BL52" s="32"/>
      <c r="BM52" s="32">
        <f t="shared" si="54"/>
        <v>0.88000000000000045</v>
      </c>
      <c r="BN52" s="36">
        <f t="shared" si="55"/>
        <v>0.88000000000000045</v>
      </c>
      <c r="BO52" s="32">
        <f t="shared" si="9"/>
        <v>4.5048876807076086</v>
      </c>
      <c r="BP52" s="40">
        <f t="shared" si="56"/>
        <v>4.5048876807076086</v>
      </c>
      <c r="BQ52" s="32"/>
      <c r="BR52" s="32">
        <f t="shared" si="57"/>
        <v>0.88000000000000045</v>
      </c>
      <c r="BS52" s="32">
        <f t="shared" si="58"/>
        <v>0.88000000000000045</v>
      </c>
      <c r="BT52" s="32">
        <f t="shared" si="10"/>
        <v>4.5048876807076086</v>
      </c>
      <c r="BU52" s="40">
        <f t="shared" si="59"/>
        <v>4.5048876807076086</v>
      </c>
      <c r="BV52" s="32"/>
      <c r="BW52" s="32">
        <f t="shared" si="60"/>
        <v>0.88000000000000045</v>
      </c>
      <c r="BX52" s="36">
        <f t="shared" si="61"/>
        <v>0.88000000000000045</v>
      </c>
      <c r="BY52" s="32">
        <f t="shared" si="11"/>
        <v>4.5048876807076086</v>
      </c>
      <c r="BZ52" s="40">
        <f t="shared" si="62"/>
        <v>4.5048876807076086</v>
      </c>
      <c r="CA52" s="32"/>
      <c r="CB52" s="32">
        <f t="shared" si="63"/>
        <v>0.88000000000000045</v>
      </c>
      <c r="CC52" s="36">
        <f t="shared" si="64"/>
        <v>0.88000000000000045</v>
      </c>
      <c r="CD52" s="32">
        <f t="shared" si="12"/>
        <v>4.5048876807076086</v>
      </c>
      <c r="CE52" s="40">
        <f t="shared" si="65"/>
        <v>4.5048876807076086</v>
      </c>
      <c r="CF52" s="32"/>
      <c r="CG52" s="39">
        <f t="shared" si="66"/>
        <v>0.88000000000000045</v>
      </c>
      <c r="CH52" s="39">
        <f t="shared" si="67"/>
        <v>0.88000000000000045</v>
      </c>
      <c r="CI52" s="39">
        <f t="shared" si="13"/>
        <v>4.5048876807076086</v>
      </c>
      <c r="CJ52" s="40">
        <f t="shared" si="68"/>
        <v>4.5048876807076086</v>
      </c>
      <c r="CK52" s="39"/>
      <c r="CL52" s="32">
        <f t="shared" si="69"/>
        <v>0.88000000000000045</v>
      </c>
      <c r="CM52" s="36">
        <f t="shared" si="70"/>
        <v>0.88000000000000045</v>
      </c>
      <c r="CN52" s="32">
        <f t="shared" si="14"/>
        <v>4.5048876807076086</v>
      </c>
      <c r="CO52" s="40">
        <f t="shared" si="71"/>
        <v>4.5048876807076086</v>
      </c>
      <c r="CP52" s="32"/>
      <c r="CQ52" s="32">
        <f t="shared" si="72"/>
        <v>0.88000000000000045</v>
      </c>
      <c r="CR52" s="36">
        <f t="shared" si="73"/>
        <v>0.88000000000000045</v>
      </c>
      <c r="CS52" s="32">
        <f t="shared" si="15"/>
        <v>4.5048876807076086</v>
      </c>
      <c r="CT52" s="40">
        <f t="shared" si="74"/>
        <v>4.5048876807076086</v>
      </c>
      <c r="CU52" s="32"/>
      <c r="CV52" s="32">
        <f t="shared" si="75"/>
        <v>0.88000000000000045</v>
      </c>
      <c r="CW52" s="32">
        <f t="shared" si="76"/>
        <v>0.88000000000000045</v>
      </c>
      <c r="CX52" s="32">
        <f t="shared" si="16"/>
        <v>4.5048876807076086</v>
      </c>
      <c r="CY52" s="40">
        <f t="shared" si="77"/>
        <v>4.5048876807076086</v>
      </c>
      <c r="CZ52" s="32"/>
      <c r="DA52" s="32">
        <f t="shared" si="78"/>
        <v>0.88000000000000045</v>
      </c>
      <c r="DB52" s="36">
        <f t="shared" si="79"/>
        <v>0.88000000000000045</v>
      </c>
      <c r="DC52" s="32">
        <f t="shared" si="17"/>
        <v>4.5048876807076086</v>
      </c>
      <c r="DD52" s="40">
        <f t="shared" si="80"/>
        <v>4.5048876807076086</v>
      </c>
      <c r="DE52" s="32"/>
      <c r="DF52" s="32">
        <f t="shared" si="81"/>
        <v>0.88000000000000045</v>
      </c>
      <c r="DG52" s="36">
        <f t="shared" si="82"/>
        <v>0.88000000000000045</v>
      </c>
      <c r="DH52" s="32">
        <f t="shared" si="18"/>
        <v>4.5048876807076086</v>
      </c>
      <c r="DI52" s="40">
        <f t="shared" si="83"/>
        <v>4.5048876807076086</v>
      </c>
      <c r="DJ52" s="32"/>
      <c r="DK52" s="32">
        <f t="shared" si="84"/>
        <v>0.88000000000000045</v>
      </c>
      <c r="DL52" s="32">
        <f t="shared" si="85"/>
        <v>0.88000000000000045</v>
      </c>
      <c r="DM52" s="32">
        <f t="shared" si="19"/>
        <v>4.5048876807076086</v>
      </c>
      <c r="DN52" s="40">
        <f t="shared" si="86"/>
        <v>4.5048876807076086</v>
      </c>
      <c r="DO52" s="32"/>
      <c r="DP52" s="32">
        <f t="shared" si="87"/>
        <v>0.88000000000000045</v>
      </c>
      <c r="DQ52" s="36">
        <f t="shared" si="88"/>
        <v>0.88000000000000045</v>
      </c>
      <c r="DR52" s="32">
        <f t="shared" si="20"/>
        <v>4.5048876807076086</v>
      </c>
      <c r="DS52" s="40">
        <f t="shared" si="89"/>
        <v>4.5048876807076086</v>
      </c>
      <c r="DT52" s="32"/>
      <c r="DU52" s="32">
        <f t="shared" si="90"/>
        <v>0.88000000000000045</v>
      </c>
      <c r="DV52" s="36">
        <f t="shared" si="91"/>
        <v>0.88000000000000045</v>
      </c>
      <c r="DW52" s="32">
        <f t="shared" si="21"/>
        <v>4.5048876807076086</v>
      </c>
      <c r="DX52" s="40">
        <f t="shared" si="92"/>
        <v>4.5048876807076086</v>
      </c>
      <c r="DY52" s="32"/>
      <c r="DZ52" s="32">
        <f t="shared" si="93"/>
        <v>0.88000000000000045</v>
      </c>
      <c r="EA52" s="32">
        <f t="shared" si="94"/>
        <v>0.88000000000000045</v>
      </c>
      <c r="EB52" s="32">
        <f t="shared" si="22"/>
        <v>4.5048876807076086</v>
      </c>
      <c r="EC52" s="40">
        <f t="shared" si="95"/>
        <v>4.5048876807076086</v>
      </c>
      <c r="ED52" s="32"/>
      <c r="EE52" s="32">
        <f t="shared" si="96"/>
        <v>0.88000000000000045</v>
      </c>
      <c r="EF52" s="36">
        <f t="shared" si="97"/>
        <v>0.88000000000000045</v>
      </c>
      <c r="EG52" s="32">
        <f t="shared" si="23"/>
        <v>4.5048876807076086</v>
      </c>
      <c r="EH52" s="40">
        <f t="shared" si="98"/>
        <v>4.5048876807076086</v>
      </c>
      <c r="EI52" s="32"/>
      <c r="EJ52" s="32">
        <f t="shared" si="99"/>
        <v>0.88000000000000045</v>
      </c>
      <c r="EK52" s="36">
        <f t="shared" si="100"/>
        <v>0.88000000000000045</v>
      </c>
      <c r="EL52" s="32">
        <f t="shared" si="24"/>
        <v>4.5048876807076086</v>
      </c>
      <c r="EM52" s="40">
        <f t="shared" si="101"/>
        <v>4.5048876807076086</v>
      </c>
      <c r="EN52" s="32"/>
      <c r="EO52" s="32">
        <f t="shared" si="102"/>
        <v>0.88000000000000045</v>
      </c>
      <c r="EP52" s="32">
        <f t="shared" si="103"/>
        <v>0.88000000000000045</v>
      </c>
      <c r="EQ52" s="32">
        <f t="shared" si="25"/>
        <v>4.5048876807076086</v>
      </c>
      <c r="ER52" s="40">
        <f t="shared" si="104"/>
        <v>4.5048876807076086</v>
      </c>
      <c r="ES52" s="32"/>
      <c r="ET52" s="32">
        <f t="shared" si="105"/>
        <v>0.88000000000000045</v>
      </c>
      <c r="EU52" s="36">
        <f t="shared" si="106"/>
        <v>0.88000000000000045</v>
      </c>
      <c r="EV52" s="32">
        <f t="shared" si="26"/>
        <v>4.5048876807076086</v>
      </c>
      <c r="EW52" s="40">
        <f t="shared" si="107"/>
        <v>4.5048876807076086</v>
      </c>
      <c r="EX52" s="32"/>
    </row>
    <row r="53" spans="20:154" s="3" customFormat="1" x14ac:dyDescent="0.25">
      <c r="T53" s="32">
        <f t="shared" si="27"/>
        <v>0.90000000000000047</v>
      </c>
      <c r="U53" s="36">
        <f t="shared" si="28"/>
        <v>0.90000000000000047</v>
      </c>
      <c r="V53" s="32">
        <f t="shared" si="0"/>
        <v>4.5417845007107678</v>
      </c>
      <c r="W53" s="40">
        <f t="shared" si="29"/>
        <v>4.5417845007107678</v>
      </c>
      <c r="X53" s="32"/>
      <c r="Y53" s="32">
        <f t="shared" si="30"/>
        <v>0.90000000000000047</v>
      </c>
      <c r="Z53" s="32">
        <f t="shared" si="31"/>
        <v>0.90000000000000047</v>
      </c>
      <c r="AA53" s="32">
        <f t="shared" si="1"/>
        <v>4.5417845007107678</v>
      </c>
      <c r="AB53" s="40">
        <f t="shared" si="32"/>
        <v>4.5417845007107678</v>
      </c>
      <c r="AC53" s="32"/>
      <c r="AD53" s="32">
        <f t="shared" si="33"/>
        <v>0.90000000000000047</v>
      </c>
      <c r="AE53" s="36">
        <f t="shared" si="34"/>
        <v>0.90000000000000047</v>
      </c>
      <c r="AF53" s="32">
        <f t="shared" si="2"/>
        <v>4.5417845007107678</v>
      </c>
      <c r="AG53" s="40">
        <f t="shared" si="35"/>
        <v>4.5417845007107678</v>
      </c>
      <c r="AH53" s="32"/>
      <c r="AI53" s="32">
        <f t="shared" si="36"/>
        <v>0.90000000000000047</v>
      </c>
      <c r="AJ53" s="36">
        <f t="shared" si="37"/>
        <v>0.90000000000000047</v>
      </c>
      <c r="AK53" s="32">
        <f t="shared" si="3"/>
        <v>4.5417845007107678</v>
      </c>
      <c r="AL53" s="40">
        <f t="shared" si="38"/>
        <v>4.5417845007107678</v>
      </c>
      <c r="AM53" s="32"/>
      <c r="AN53" s="32">
        <f t="shared" si="39"/>
        <v>0.90000000000000047</v>
      </c>
      <c r="AO53" s="32">
        <f t="shared" si="40"/>
        <v>0.90000000000000047</v>
      </c>
      <c r="AP53" s="32">
        <f t="shared" si="4"/>
        <v>4.5417845007107678</v>
      </c>
      <c r="AQ53" s="40">
        <f t="shared" si="41"/>
        <v>4.5417845007107678</v>
      </c>
      <c r="AR53" s="32"/>
      <c r="AS53" s="32">
        <f t="shared" si="42"/>
        <v>0.90000000000000047</v>
      </c>
      <c r="AT53" s="36">
        <f t="shared" si="43"/>
        <v>0.90000000000000047</v>
      </c>
      <c r="AU53" s="32">
        <f t="shared" si="5"/>
        <v>4.5417845007107678</v>
      </c>
      <c r="AV53" s="40">
        <f t="shared" si="44"/>
        <v>4.5417845007107678</v>
      </c>
      <c r="AW53" s="32"/>
      <c r="AX53" s="32">
        <f t="shared" si="45"/>
        <v>0.90000000000000047</v>
      </c>
      <c r="AY53" s="36">
        <f t="shared" si="46"/>
        <v>0.90000000000000047</v>
      </c>
      <c r="AZ53" s="32">
        <f t="shared" si="6"/>
        <v>4.5417845007107678</v>
      </c>
      <c r="BA53" s="40">
        <f t="shared" si="47"/>
        <v>4.5417845007107678</v>
      </c>
      <c r="BB53" s="32"/>
      <c r="BC53" s="32">
        <f t="shared" si="48"/>
        <v>0.90000000000000047</v>
      </c>
      <c r="BD53" s="32">
        <f t="shared" si="49"/>
        <v>0.90000000000000047</v>
      </c>
      <c r="BE53" s="32">
        <f t="shared" si="7"/>
        <v>4.5417845007107678</v>
      </c>
      <c r="BF53" s="40">
        <f t="shared" si="50"/>
        <v>4.5417845007107678</v>
      </c>
      <c r="BG53" s="32"/>
      <c r="BH53" s="32">
        <f t="shared" si="51"/>
        <v>0.90000000000000047</v>
      </c>
      <c r="BI53" s="36">
        <f t="shared" si="52"/>
        <v>0.90000000000000047</v>
      </c>
      <c r="BJ53" s="32">
        <f t="shared" si="8"/>
        <v>4.5417845007107678</v>
      </c>
      <c r="BK53" s="40">
        <f t="shared" si="53"/>
        <v>4.5417845007107678</v>
      </c>
      <c r="BL53" s="32"/>
      <c r="BM53" s="32">
        <f t="shared" si="54"/>
        <v>0.90000000000000047</v>
      </c>
      <c r="BN53" s="36">
        <f t="shared" si="55"/>
        <v>0.90000000000000047</v>
      </c>
      <c r="BO53" s="32">
        <f t="shared" si="9"/>
        <v>4.5417845007107678</v>
      </c>
      <c r="BP53" s="40">
        <f t="shared" si="56"/>
        <v>4.5417845007107678</v>
      </c>
      <c r="BQ53" s="32"/>
      <c r="BR53" s="32">
        <f t="shared" si="57"/>
        <v>0.90000000000000047</v>
      </c>
      <c r="BS53" s="32">
        <f t="shared" si="58"/>
        <v>0.90000000000000047</v>
      </c>
      <c r="BT53" s="32">
        <f t="shared" si="10"/>
        <v>4.5417845007107678</v>
      </c>
      <c r="BU53" s="40">
        <f t="shared" si="59"/>
        <v>4.5417845007107678</v>
      </c>
      <c r="BV53" s="32"/>
      <c r="BW53" s="32">
        <f t="shared" si="60"/>
        <v>0.90000000000000047</v>
      </c>
      <c r="BX53" s="36">
        <f t="shared" si="61"/>
        <v>0.90000000000000047</v>
      </c>
      <c r="BY53" s="32">
        <f t="shared" si="11"/>
        <v>4.5417845007107678</v>
      </c>
      <c r="BZ53" s="40">
        <f t="shared" si="62"/>
        <v>4.5417845007107678</v>
      </c>
      <c r="CA53" s="32"/>
      <c r="CB53" s="32">
        <f t="shared" si="63"/>
        <v>0.90000000000000047</v>
      </c>
      <c r="CC53" s="36">
        <f t="shared" si="64"/>
        <v>0.90000000000000047</v>
      </c>
      <c r="CD53" s="32">
        <f t="shared" si="12"/>
        <v>4.5417845007107678</v>
      </c>
      <c r="CE53" s="40">
        <f t="shared" si="65"/>
        <v>4.5417845007107678</v>
      </c>
      <c r="CF53" s="32"/>
      <c r="CG53" s="39">
        <f t="shared" si="66"/>
        <v>0.90000000000000047</v>
      </c>
      <c r="CH53" s="39">
        <f t="shared" si="67"/>
        <v>0.90000000000000047</v>
      </c>
      <c r="CI53" s="39">
        <f t="shared" si="13"/>
        <v>4.5417845007107678</v>
      </c>
      <c r="CJ53" s="40">
        <f t="shared" si="68"/>
        <v>4.5417845007107678</v>
      </c>
      <c r="CK53" s="39"/>
      <c r="CL53" s="32">
        <f t="shared" si="69"/>
        <v>0.90000000000000047</v>
      </c>
      <c r="CM53" s="36">
        <f t="shared" si="70"/>
        <v>0.90000000000000047</v>
      </c>
      <c r="CN53" s="32">
        <f t="shared" si="14"/>
        <v>4.5417845007107678</v>
      </c>
      <c r="CO53" s="40">
        <f t="shared" si="71"/>
        <v>4.5417845007107678</v>
      </c>
      <c r="CP53" s="32"/>
      <c r="CQ53" s="32">
        <f t="shared" si="72"/>
        <v>0.90000000000000047</v>
      </c>
      <c r="CR53" s="36">
        <f t="shared" si="73"/>
        <v>0.90000000000000047</v>
      </c>
      <c r="CS53" s="32">
        <f t="shared" si="15"/>
        <v>4.5417845007107678</v>
      </c>
      <c r="CT53" s="40">
        <f t="shared" si="74"/>
        <v>4.5417845007107678</v>
      </c>
      <c r="CU53" s="32"/>
      <c r="CV53" s="32">
        <f t="shared" si="75"/>
        <v>0.90000000000000047</v>
      </c>
      <c r="CW53" s="32">
        <f t="shared" si="76"/>
        <v>0.90000000000000047</v>
      </c>
      <c r="CX53" s="32">
        <f t="shared" si="16"/>
        <v>4.5417845007107678</v>
      </c>
      <c r="CY53" s="40">
        <f t="shared" si="77"/>
        <v>4.5417845007107678</v>
      </c>
      <c r="CZ53" s="32"/>
      <c r="DA53" s="32">
        <f t="shared" si="78"/>
        <v>0.90000000000000047</v>
      </c>
      <c r="DB53" s="36">
        <f t="shared" si="79"/>
        <v>0.90000000000000047</v>
      </c>
      <c r="DC53" s="32">
        <f t="shared" si="17"/>
        <v>4.5417845007107678</v>
      </c>
      <c r="DD53" s="40">
        <f t="shared" si="80"/>
        <v>4.5417845007107678</v>
      </c>
      <c r="DE53" s="32"/>
      <c r="DF53" s="32">
        <f t="shared" si="81"/>
        <v>0.90000000000000047</v>
      </c>
      <c r="DG53" s="36">
        <f t="shared" si="82"/>
        <v>0.90000000000000047</v>
      </c>
      <c r="DH53" s="32">
        <f t="shared" si="18"/>
        <v>4.5417845007107678</v>
      </c>
      <c r="DI53" s="40">
        <f t="shared" si="83"/>
        <v>4.5417845007107678</v>
      </c>
      <c r="DJ53" s="32"/>
      <c r="DK53" s="32">
        <f t="shared" si="84"/>
        <v>0.90000000000000047</v>
      </c>
      <c r="DL53" s="32">
        <f t="shared" si="85"/>
        <v>0.90000000000000047</v>
      </c>
      <c r="DM53" s="32">
        <f t="shared" si="19"/>
        <v>4.5417845007107678</v>
      </c>
      <c r="DN53" s="40">
        <f t="shared" si="86"/>
        <v>4.5417845007107678</v>
      </c>
      <c r="DO53" s="32"/>
      <c r="DP53" s="32">
        <f t="shared" si="87"/>
        <v>0.90000000000000047</v>
      </c>
      <c r="DQ53" s="36">
        <f t="shared" si="88"/>
        <v>0.90000000000000047</v>
      </c>
      <c r="DR53" s="32">
        <f t="shared" si="20"/>
        <v>4.5417845007107678</v>
      </c>
      <c r="DS53" s="40">
        <f t="shared" si="89"/>
        <v>4.5417845007107678</v>
      </c>
      <c r="DT53" s="32"/>
      <c r="DU53" s="32">
        <f t="shared" si="90"/>
        <v>0.90000000000000047</v>
      </c>
      <c r="DV53" s="36">
        <f t="shared" si="91"/>
        <v>0.90000000000000047</v>
      </c>
      <c r="DW53" s="32">
        <f t="shared" si="21"/>
        <v>4.5417845007107678</v>
      </c>
      <c r="DX53" s="40">
        <f t="shared" si="92"/>
        <v>4.5417845007107678</v>
      </c>
      <c r="DY53" s="32"/>
      <c r="DZ53" s="32">
        <f t="shared" si="93"/>
        <v>0.90000000000000047</v>
      </c>
      <c r="EA53" s="32">
        <f t="shared" si="94"/>
        <v>0.90000000000000047</v>
      </c>
      <c r="EB53" s="32">
        <f t="shared" si="22"/>
        <v>4.5417845007107678</v>
      </c>
      <c r="EC53" s="40">
        <f t="shared" si="95"/>
        <v>4.5417845007107678</v>
      </c>
      <c r="ED53" s="32"/>
      <c r="EE53" s="32">
        <f t="shared" si="96"/>
        <v>0.90000000000000047</v>
      </c>
      <c r="EF53" s="36">
        <f t="shared" si="97"/>
        <v>0.90000000000000047</v>
      </c>
      <c r="EG53" s="32">
        <f t="shared" si="23"/>
        <v>4.5417845007107678</v>
      </c>
      <c r="EH53" s="40">
        <f t="shared" si="98"/>
        <v>4.5417845007107678</v>
      </c>
      <c r="EI53" s="32"/>
      <c r="EJ53" s="32">
        <f t="shared" si="99"/>
        <v>0.90000000000000047</v>
      </c>
      <c r="EK53" s="36">
        <f t="shared" si="100"/>
        <v>0.90000000000000047</v>
      </c>
      <c r="EL53" s="32">
        <f t="shared" si="24"/>
        <v>4.5417845007107678</v>
      </c>
      <c r="EM53" s="40">
        <f t="shared" si="101"/>
        <v>4.5417845007107678</v>
      </c>
      <c r="EN53" s="32"/>
      <c r="EO53" s="32">
        <f t="shared" si="102"/>
        <v>0.90000000000000047</v>
      </c>
      <c r="EP53" s="32">
        <f t="shared" si="103"/>
        <v>0.90000000000000047</v>
      </c>
      <c r="EQ53" s="32">
        <f t="shared" si="25"/>
        <v>4.5417845007107678</v>
      </c>
      <c r="ER53" s="40">
        <f t="shared" si="104"/>
        <v>4.5417845007107678</v>
      </c>
      <c r="ES53" s="32"/>
      <c r="ET53" s="32">
        <f t="shared" si="105"/>
        <v>0.90000000000000047</v>
      </c>
      <c r="EU53" s="36">
        <f t="shared" si="106"/>
        <v>0.90000000000000047</v>
      </c>
      <c r="EV53" s="32">
        <f t="shared" si="26"/>
        <v>4.5417845007107678</v>
      </c>
      <c r="EW53" s="40">
        <f t="shared" si="107"/>
        <v>4.5417845007107678</v>
      </c>
      <c r="EX53" s="32"/>
    </row>
    <row r="54" spans="20:154" s="3" customFormat="1" x14ac:dyDescent="0.25">
      <c r="T54" s="32">
        <f t="shared" si="27"/>
        <v>0.92000000000000048</v>
      </c>
      <c r="U54" s="36">
        <f t="shared" si="28"/>
        <v>0.92000000000000048</v>
      </c>
      <c r="V54" s="32">
        <f t="shared" si="0"/>
        <v>4.5759728079860791</v>
      </c>
      <c r="W54" s="40">
        <f t="shared" si="29"/>
        <v>4.5759728079860791</v>
      </c>
      <c r="X54" s="32"/>
      <c r="Y54" s="32">
        <f t="shared" si="30"/>
        <v>0.92000000000000048</v>
      </c>
      <c r="Z54" s="32">
        <f t="shared" si="31"/>
        <v>0.92000000000000048</v>
      </c>
      <c r="AA54" s="32">
        <f t="shared" si="1"/>
        <v>4.5759728079860791</v>
      </c>
      <c r="AB54" s="40">
        <f t="shared" si="32"/>
        <v>4.5759728079860791</v>
      </c>
      <c r="AC54" s="32"/>
      <c r="AD54" s="32">
        <f t="shared" si="33"/>
        <v>0.92000000000000048</v>
      </c>
      <c r="AE54" s="36">
        <f t="shared" si="34"/>
        <v>0.92000000000000048</v>
      </c>
      <c r="AF54" s="32">
        <f t="shared" si="2"/>
        <v>4.5759728079860791</v>
      </c>
      <c r="AG54" s="40">
        <f t="shared" si="35"/>
        <v>4.5759728079860791</v>
      </c>
      <c r="AH54" s="32"/>
      <c r="AI54" s="32">
        <f t="shared" si="36"/>
        <v>0.92000000000000048</v>
      </c>
      <c r="AJ54" s="36">
        <f t="shared" si="37"/>
        <v>0.92000000000000048</v>
      </c>
      <c r="AK54" s="32">
        <f t="shared" si="3"/>
        <v>4.5759728079860791</v>
      </c>
      <c r="AL54" s="40">
        <f t="shared" si="38"/>
        <v>4.5759728079860791</v>
      </c>
      <c r="AM54" s="32"/>
      <c r="AN54" s="32">
        <f t="shared" si="39"/>
        <v>0.92000000000000048</v>
      </c>
      <c r="AO54" s="32">
        <f t="shared" si="40"/>
        <v>0.92000000000000048</v>
      </c>
      <c r="AP54" s="32">
        <f t="shared" si="4"/>
        <v>4.5759728079860791</v>
      </c>
      <c r="AQ54" s="40">
        <f t="shared" si="41"/>
        <v>4.5759728079860791</v>
      </c>
      <c r="AR54" s="32"/>
      <c r="AS54" s="32">
        <f t="shared" si="42"/>
        <v>0.92000000000000048</v>
      </c>
      <c r="AT54" s="36">
        <f t="shared" si="43"/>
        <v>0.92000000000000048</v>
      </c>
      <c r="AU54" s="32">
        <f t="shared" si="5"/>
        <v>4.5759728079860791</v>
      </c>
      <c r="AV54" s="40">
        <f t="shared" si="44"/>
        <v>4.5759728079860791</v>
      </c>
      <c r="AW54" s="32"/>
      <c r="AX54" s="32">
        <f t="shared" si="45"/>
        <v>0.92000000000000048</v>
      </c>
      <c r="AY54" s="36">
        <f t="shared" si="46"/>
        <v>0.92000000000000048</v>
      </c>
      <c r="AZ54" s="32">
        <f t="shared" si="6"/>
        <v>4.5759728079860791</v>
      </c>
      <c r="BA54" s="40">
        <f t="shared" si="47"/>
        <v>4.5759728079860791</v>
      </c>
      <c r="BB54" s="32"/>
      <c r="BC54" s="32">
        <f t="shared" si="48"/>
        <v>0.92000000000000048</v>
      </c>
      <c r="BD54" s="32">
        <f t="shared" si="49"/>
        <v>0.92000000000000048</v>
      </c>
      <c r="BE54" s="32">
        <f t="shared" si="7"/>
        <v>4.5759728079860791</v>
      </c>
      <c r="BF54" s="40">
        <f t="shared" si="50"/>
        <v>4.5759728079860791</v>
      </c>
      <c r="BG54" s="32"/>
      <c r="BH54" s="32">
        <f t="shared" si="51"/>
        <v>0.92000000000000048</v>
      </c>
      <c r="BI54" s="36">
        <f t="shared" si="52"/>
        <v>0.92000000000000048</v>
      </c>
      <c r="BJ54" s="32">
        <f t="shared" si="8"/>
        <v>4.5759728079860791</v>
      </c>
      <c r="BK54" s="40">
        <f t="shared" si="53"/>
        <v>4.5759728079860791</v>
      </c>
      <c r="BL54" s="32"/>
      <c r="BM54" s="32">
        <f t="shared" si="54"/>
        <v>0.92000000000000048</v>
      </c>
      <c r="BN54" s="36">
        <f t="shared" si="55"/>
        <v>0.92000000000000048</v>
      </c>
      <c r="BO54" s="32">
        <f t="shared" si="9"/>
        <v>4.5759728079860791</v>
      </c>
      <c r="BP54" s="40">
        <f t="shared" si="56"/>
        <v>4.5759728079860791</v>
      </c>
      <c r="BQ54" s="32"/>
      <c r="BR54" s="32">
        <f t="shared" si="57"/>
        <v>0.92000000000000048</v>
      </c>
      <c r="BS54" s="32">
        <f t="shared" si="58"/>
        <v>0.92000000000000048</v>
      </c>
      <c r="BT54" s="32">
        <f t="shared" si="10"/>
        <v>4.5759728079860791</v>
      </c>
      <c r="BU54" s="40">
        <f t="shared" si="59"/>
        <v>4.5759728079860791</v>
      </c>
      <c r="BV54" s="32"/>
      <c r="BW54" s="32">
        <f t="shared" si="60"/>
        <v>0.92000000000000048</v>
      </c>
      <c r="BX54" s="36">
        <f t="shared" si="61"/>
        <v>0.92000000000000048</v>
      </c>
      <c r="BY54" s="32">
        <f t="shared" si="11"/>
        <v>4.5759728079860791</v>
      </c>
      <c r="BZ54" s="40">
        <f t="shared" si="62"/>
        <v>4.5759728079860791</v>
      </c>
      <c r="CA54" s="32"/>
      <c r="CB54" s="32">
        <f t="shared" si="63"/>
        <v>0.92000000000000048</v>
      </c>
      <c r="CC54" s="36">
        <f t="shared" si="64"/>
        <v>0.92000000000000048</v>
      </c>
      <c r="CD54" s="32">
        <f t="shared" si="12"/>
        <v>4.5759728079860791</v>
      </c>
      <c r="CE54" s="40">
        <f t="shared" si="65"/>
        <v>4.5759728079860791</v>
      </c>
      <c r="CF54" s="32"/>
      <c r="CG54" s="39">
        <f t="shared" si="66"/>
        <v>0.92000000000000048</v>
      </c>
      <c r="CH54" s="39">
        <f t="shared" si="67"/>
        <v>0.92000000000000048</v>
      </c>
      <c r="CI54" s="39">
        <f t="shared" si="13"/>
        <v>4.5759728079860791</v>
      </c>
      <c r="CJ54" s="40">
        <f t="shared" si="68"/>
        <v>4.5759728079860791</v>
      </c>
      <c r="CK54" s="39"/>
      <c r="CL54" s="32">
        <f t="shared" si="69"/>
        <v>0.92000000000000048</v>
      </c>
      <c r="CM54" s="36">
        <f t="shared" si="70"/>
        <v>0.92000000000000048</v>
      </c>
      <c r="CN54" s="32">
        <f t="shared" si="14"/>
        <v>4.5759728079860791</v>
      </c>
      <c r="CO54" s="40">
        <f t="shared" si="71"/>
        <v>4.5759728079860791</v>
      </c>
      <c r="CP54" s="32"/>
      <c r="CQ54" s="32">
        <f t="shared" si="72"/>
        <v>0.92000000000000048</v>
      </c>
      <c r="CR54" s="36">
        <f t="shared" si="73"/>
        <v>0.92000000000000048</v>
      </c>
      <c r="CS54" s="32">
        <f t="shared" si="15"/>
        <v>4.5759728079860791</v>
      </c>
      <c r="CT54" s="40">
        <f t="shared" si="74"/>
        <v>4.5759728079860791</v>
      </c>
      <c r="CU54" s="32"/>
      <c r="CV54" s="32">
        <f t="shared" si="75"/>
        <v>0.92000000000000048</v>
      </c>
      <c r="CW54" s="32">
        <f t="shared" si="76"/>
        <v>0.92000000000000048</v>
      </c>
      <c r="CX54" s="32">
        <f t="shared" si="16"/>
        <v>4.5759728079860791</v>
      </c>
      <c r="CY54" s="40">
        <f t="shared" si="77"/>
        <v>4.5759728079860791</v>
      </c>
      <c r="CZ54" s="32"/>
      <c r="DA54" s="32">
        <f t="shared" si="78"/>
        <v>0.92000000000000048</v>
      </c>
      <c r="DB54" s="36">
        <f t="shared" si="79"/>
        <v>0.92000000000000048</v>
      </c>
      <c r="DC54" s="32">
        <f t="shared" si="17"/>
        <v>4.5759728079860791</v>
      </c>
      <c r="DD54" s="40">
        <f t="shared" si="80"/>
        <v>4.5759728079860791</v>
      </c>
      <c r="DE54" s="32"/>
      <c r="DF54" s="32">
        <f t="shared" si="81"/>
        <v>0.92000000000000048</v>
      </c>
      <c r="DG54" s="36">
        <f t="shared" si="82"/>
        <v>0.92000000000000048</v>
      </c>
      <c r="DH54" s="32">
        <f t="shared" si="18"/>
        <v>4.5759728079860791</v>
      </c>
      <c r="DI54" s="40">
        <f t="shared" si="83"/>
        <v>4.5759728079860791</v>
      </c>
      <c r="DJ54" s="32"/>
      <c r="DK54" s="32">
        <f t="shared" si="84"/>
        <v>0.92000000000000048</v>
      </c>
      <c r="DL54" s="32">
        <f t="shared" si="85"/>
        <v>0.92000000000000048</v>
      </c>
      <c r="DM54" s="32">
        <f t="shared" si="19"/>
        <v>4.5759728079860791</v>
      </c>
      <c r="DN54" s="40">
        <f t="shared" si="86"/>
        <v>4.5759728079860791</v>
      </c>
      <c r="DO54" s="32"/>
      <c r="DP54" s="32">
        <f t="shared" si="87"/>
        <v>0.92000000000000048</v>
      </c>
      <c r="DQ54" s="36">
        <f t="shared" si="88"/>
        <v>0.92000000000000048</v>
      </c>
      <c r="DR54" s="32">
        <f t="shared" si="20"/>
        <v>4.5759728079860791</v>
      </c>
      <c r="DS54" s="40">
        <f t="shared" si="89"/>
        <v>4.5759728079860791</v>
      </c>
      <c r="DT54" s="32"/>
      <c r="DU54" s="32">
        <f t="shared" si="90"/>
        <v>0.92000000000000048</v>
      </c>
      <c r="DV54" s="36">
        <f t="shared" si="91"/>
        <v>0.92000000000000048</v>
      </c>
      <c r="DW54" s="32">
        <f t="shared" si="21"/>
        <v>4.5759728079860791</v>
      </c>
      <c r="DX54" s="40">
        <f t="shared" si="92"/>
        <v>4.5759728079860791</v>
      </c>
      <c r="DY54" s="32"/>
      <c r="DZ54" s="32">
        <f t="shared" si="93"/>
        <v>0.92000000000000048</v>
      </c>
      <c r="EA54" s="32">
        <f t="shared" si="94"/>
        <v>0.92000000000000048</v>
      </c>
      <c r="EB54" s="32">
        <f t="shared" si="22"/>
        <v>4.5759728079860791</v>
      </c>
      <c r="EC54" s="40">
        <f t="shared" si="95"/>
        <v>4.5759728079860791</v>
      </c>
      <c r="ED54" s="32"/>
      <c r="EE54" s="32">
        <f t="shared" si="96"/>
        <v>0.92000000000000048</v>
      </c>
      <c r="EF54" s="36">
        <f t="shared" si="97"/>
        <v>0.92000000000000048</v>
      </c>
      <c r="EG54" s="32">
        <f t="shared" si="23"/>
        <v>4.5759728079860791</v>
      </c>
      <c r="EH54" s="40">
        <f t="shared" si="98"/>
        <v>4.5759728079860791</v>
      </c>
      <c r="EI54" s="32"/>
      <c r="EJ54" s="32">
        <f t="shared" si="99"/>
        <v>0.92000000000000048</v>
      </c>
      <c r="EK54" s="36">
        <f t="shared" si="100"/>
        <v>0.92000000000000048</v>
      </c>
      <c r="EL54" s="32">
        <f t="shared" si="24"/>
        <v>4.5759728079860791</v>
      </c>
      <c r="EM54" s="40">
        <f t="shared" si="101"/>
        <v>4.5759728079860791</v>
      </c>
      <c r="EN54" s="32"/>
      <c r="EO54" s="32">
        <f t="shared" si="102"/>
        <v>0.92000000000000048</v>
      </c>
      <c r="EP54" s="32">
        <f t="shared" si="103"/>
        <v>0.92000000000000048</v>
      </c>
      <c r="EQ54" s="32">
        <f t="shared" si="25"/>
        <v>4.5759728079860791</v>
      </c>
      <c r="ER54" s="40">
        <f t="shared" si="104"/>
        <v>4.5759728079860791</v>
      </c>
      <c r="ES54" s="32"/>
      <c r="ET54" s="32">
        <f t="shared" si="105"/>
        <v>0.92000000000000048</v>
      </c>
      <c r="EU54" s="36">
        <f t="shared" si="106"/>
        <v>0.92000000000000048</v>
      </c>
      <c r="EV54" s="32">
        <f t="shared" si="26"/>
        <v>4.5759728079860791</v>
      </c>
      <c r="EW54" s="40">
        <f t="shared" si="107"/>
        <v>4.5759728079860791</v>
      </c>
      <c r="EX54" s="32"/>
    </row>
    <row r="55" spans="20:154" s="3" customFormat="1" x14ac:dyDescent="0.25">
      <c r="T55" s="32">
        <f t="shared" si="27"/>
        <v>0.9400000000000005</v>
      </c>
      <c r="U55" s="36">
        <f t="shared" si="28"/>
        <v>0.9400000000000005</v>
      </c>
      <c r="V55" s="32">
        <f t="shared" si="0"/>
        <v>4.6074526025335443</v>
      </c>
      <c r="W55" s="40">
        <f t="shared" si="29"/>
        <v>4.6074526025335443</v>
      </c>
      <c r="X55" s="32"/>
      <c r="Y55" s="32">
        <f t="shared" si="30"/>
        <v>0.9400000000000005</v>
      </c>
      <c r="Z55" s="32">
        <f t="shared" si="31"/>
        <v>0.9400000000000005</v>
      </c>
      <c r="AA55" s="32">
        <f t="shared" si="1"/>
        <v>4.6074526025335443</v>
      </c>
      <c r="AB55" s="40">
        <f t="shared" si="32"/>
        <v>4.6074526025335443</v>
      </c>
      <c r="AC55" s="32"/>
      <c r="AD55" s="32">
        <f t="shared" si="33"/>
        <v>0.9400000000000005</v>
      </c>
      <c r="AE55" s="36">
        <f t="shared" si="34"/>
        <v>0.9400000000000005</v>
      </c>
      <c r="AF55" s="32">
        <f t="shared" si="2"/>
        <v>4.6074526025335443</v>
      </c>
      <c r="AG55" s="40">
        <f t="shared" si="35"/>
        <v>4.6074526025335443</v>
      </c>
      <c r="AH55" s="32"/>
      <c r="AI55" s="32">
        <f t="shared" si="36"/>
        <v>0.9400000000000005</v>
      </c>
      <c r="AJ55" s="36">
        <f t="shared" si="37"/>
        <v>0.9400000000000005</v>
      </c>
      <c r="AK55" s="32">
        <f t="shared" si="3"/>
        <v>4.6074526025335443</v>
      </c>
      <c r="AL55" s="40">
        <f t="shared" si="38"/>
        <v>4.6074526025335443</v>
      </c>
      <c r="AM55" s="32"/>
      <c r="AN55" s="32">
        <f t="shared" si="39"/>
        <v>0.9400000000000005</v>
      </c>
      <c r="AO55" s="32">
        <f t="shared" si="40"/>
        <v>0.9400000000000005</v>
      </c>
      <c r="AP55" s="32">
        <f t="shared" si="4"/>
        <v>4.6074526025335443</v>
      </c>
      <c r="AQ55" s="40">
        <f t="shared" si="41"/>
        <v>4.6074526025335443</v>
      </c>
      <c r="AR55" s="32"/>
      <c r="AS55" s="32">
        <f t="shared" si="42"/>
        <v>0.9400000000000005</v>
      </c>
      <c r="AT55" s="36">
        <f t="shared" si="43"/>
        <v>0.9400000000000005</v>
      </c>
      <c r="AU55" s="32">
        <f t="shared" si="5"/>
        <v>4.6074526025335443</v>
      </c>
      <c r="AV55" s="40">
        <f t="shared" si="44"/>
        <v>4.6074526025335443</v>
      </c>
      <c r="AW55" s="32"/>
      <c r="AX55" s="32">
        <f t="shared" si="45"/>
        <v>0.9400000000000005</v>
      </c>
      <c r="AY55" s="36">
        <f t="shared" si="46"/>
        <v>0.9400000000000005</v>
      </c>
      <c r="AZ55" s="32">
        <f t="shared" si="6"/>
        <v>4.6074526025335443</v>
      </c>
      <c r="BA55" s="40">
        <f t="shared" si="47"/>
        <v>4.6074526025335443</v>
      </c>
      <c r="BB55" s="32"/>
      <c r="BC55" s="32">
        <f t="shared" si="48"/>
        <v>0.9400000000000005</v>
      </c>
      <c r="BD55" s="32">
        <f t="shared" si="49"/>
        <v>0.9400000000000005</v>
      </c>
      <c r="BE55" s="32">
        <f t="shared" si="7"/>
        <v>4.6074526025335443</v>
      </c>
      <c r="BF55" s="40">
        <f t="shared" si="50"/>
        <v>4.6074526025335443</v>
      </c>
      <c r="BG55" s="32"/>
      <c r="BH55" s="32">
        <f t="shared" si="51"/>
        <v>0.9400000000000005</v>
      </c>
      <c r="BI55" s="36">
        <f t="shared" si="52"/>
        <v>0.9400000000000005</v>
      </c>
      <c r="BJ55" s="32">
        <f t="shared" si="8"/>
        <v>4.6074526025335443</v>
      </c>
      <c r="BK55" s="40">
        <f t="shared" si="53"/>
        <v>4.6074526025335443</v>
      </c>
      <c r="BL55" s="32"/>
      <c r="BM55" s="32">
        <f t="shared" si="54"/>
        <v>0.9400000000000005</v>
      </c>
      <c r="BN55" s="36">
        <f t="shared" si="55"/>
        <v>0.9400000000000005</v>
      </c>
      <c r="BO55" s="32">
        <f t="shared" si="9"/>
        <v>4.6074526025335443</v>
      </c>
      <c r="BP55" s="40">
        <f t="shared" si="56"/>
        <v>4.6074526025335443</v>
      </c>
      <c r="BQ55" s="32"/>
      <c r="BR55" s="32">
        <f t="shared" si="57"/>
        <v>0.9400000000000005</v>
      </c>
      <c r="BS55" s="32">
        <f t="shared" si="58"/>
        <v>0.9400000000000005</v>
      </c>
      <c r="BT55" s="32">
        <f t="shared" si="10"/>
        <v>4.6074526025335443</v>
      </c>
      <c r="BU55" s="40">
        <f t="shared" si="59"/>
        <v>4.6074526025335443</v>
      </c>
      <c r="BV55" s="32"/>
      <c r="BW55" s="32">
        <f t="shared" si="60"/>
        <v>0.9400000000000005</v>
      </c>
      <c r="BX55" s="36">
        <f t="shared" si="61"/>
        <v>0.9400000000000005</v>
      </c>
      <c r="BY55" s="32">
        <f t="shared" si="11"/>
        <v>4.6074526025335443</v>
      </c>
      <c r="BZ55" s="40">
        <f t="shared" si="62"/>
        <v>4.6074526025335443</v>
      </c>
      <c r="CA55" s="32"/>
      <c r="CB55" s="32">
        <f t="shared" si="63"/>
        <v>0.9400000000000005</v>
      </c>
      <c r="CC55" s="36">
        <f t="shared" si="64"/>
        <v>0.9400000000000005</v>
      </c>
      <c r="CD55" s="32">
        <f t="shared" si="12"/>
        <v>4.6074526025335443</v>
      </c>
      <c r="CE55" s="40">
        <f t="shared" si="65"/>
        <v>4.6074526025335443</v>
      </c>
      <c r="CF55" s="32"/>
      <c r="CG55" s="39">
        <f t="shared" si="66"/>
        <v>0.9400000000000005</v>
      </c>
      <c r="CH55" s="39">
        <f t="shared" si="67"/>
        <v>0.9400000000000005</v>
      </c>
      <c r="CI55" s="39">
        <f t="shared" si="13"/>
        <v>4.6074526025335443</v>
      </c>
      <c r="CJ55" s="40">
        <f t="shared" si="68"/>
        <v>4.6074526025335443</v>
      </c>
      <c r="CK55" s="39"/>
      <c r="CL55" s="32">
        <f t="shared" si="69"/>
        <v>0.9400000000000005</v>
      </c>
      <c r="CM55" s="36">
        <f t="shared" si="70"/>
        <v>0.9400000000000005</v>
      </c>
      <c r="CN55" s="32">
        <f t="shared" si="14"/>
        <v>4.6074526025335443</v>
      </c>
      <c r="CO55" s="40">
        <f t="shared" si="71"/>
        <v>4.6074526025335443</v>
      </c>
      <c r="CP55" s="32"/>
      <c r="CQ55" s="32">
        <f t="shared" si="72"/>
        <v>0.9400000000000005</v>
      </c>
      <c r="CR55" s="36">
        <f t="shared" si="73"/>
        <v>0.9400000000000005</v>
      </c>
      <c r="CS55" s="32">
        <f t="shared" si="15"/>
        <v>4.6074526025335443</v>
      </c>
      <c r="CT55" s="40">
        <f t="shared" si="74"/>
        <v>4.6074526025335443</v>
      </c>
      <c r="CU55" s="32"/>
      <c r="CV55" s="32">
        <f t="shared" si="75"/>
        <v>0.9400000000000005</v>
      </c>
      <c r="CW55" s="32">
        <f t="shared" si="76"/>
        <v>0.9400000000000005</v>
      </c>
      <c r="CX55" s="32">
        <f t="shared" si="16"/>
        <v>4.6074526025335443</v>
      </c>
      <c r="CY55" s="40">
        <f t="shared" si="77"/>
        <v>4.6074526025335443</v>
      </c>
      <c r="CZ55" s="32"/>
      <c r="DA55" s="32">
        <f t="shared" si="78"/>
        <v>0.9400000000000005</v>
      </c>
      <c r="DB55" s="36">
        <f t="shared" si="79"/>
        <v>0.9400000000000005</v>
      </c>
      <c r="DC55" s="32">
        <f t="shared" si="17"/>
        <v>4.6074526025335443</v>
      </c>
      <c r="DD55" s="40">
        <f t="shared" si="80"/>
        <v>4.6074526025335443</v>
      </c>
      <c r="DE55" s="32"/>
      <c r="DF55" s="32">
        <f t="shared" si="81"/>
        <v>0.9400000000000005</v>
      </c>
      <c r="DG55" s="36">
        <f t="shared" si="82"/>
        <v>0.9400000000000005</v>
      </c>
      <c r="DH55" s="32">
        <f t="shared" si="18"/>
        <v>4.6074526025335443</v>
      </c>
      <c r="DI55" s="40">
        <f t="shared" si="83"/>
        <v>4.6074526025335443</v>
      </c>
      <c r="DJ55" s="32"/>
      <c r="DK55" s="32">
        <f t="shared" si="84"/>
        <v>0.9400000000000005</v>
      </c>
      <c r="DL55" s="32">
        <f t="shared" si="85"/>
        <v>0.9400000000000005</v>
      </c>
      <c r="DM55" s="32">
        <f t="shared" si="19"/>
        <v>4.6074526025335443</v>
      </c>
      <c r="DN55" s="40">
        <f t="shared" si="86"/>
        <v>4.6074526025335443</v>
      </c>
      <c r="DO55" s="32"/>
      <c r="DP55" s="32">
        <f t="shared" si="87"/>
        <v>0.9400000000000005</v>
      </c>
      <c r="DQ55" s="36">
        <f t="shared" si="88"/>
        <v>0.9400000000000005</v>
      </c>
      <c r="DR55" s="32">
        <f t="shared" si="20"/>
        <v>4.6074526025335443</v>
      </c>
      <c r="DS55" s="40">
        <f t="shared" si="89"/>
        <v>4.6074526025335443</v>
      </c>
      <c r="DT55" s="32"/>
      <c r="DU55" s="32">
        <f t="shared" si="90"/>
        <v>0.9400000000000005</v>
      </c>
      <c r="DV55" s="36">
        <f t="shared" si="91"/>
        <v>0.9400000000000005</v>
      </c>
      <c r="DW55" s="32">
        <f t="shared" si="21"/>
        <v>4.6074526025335443</v>
      </c>
      <c r="DX55" s="40">
        <f t="shared" si="92"/>
        <v>4.6074526025335443</v>
      </c>
      <c r="DY55" s="32"/>
      <c r="DZ55" s="32">
        <f t="shared" si="93"/>
        <v>0.9400000000000005</v>
      </c>
      <c r="EA55" s="32">
        <f t="shared" si="94"/>
        <v>0.9400000000000005</v>
      </c>
      <c r="EB55" s="32">
        <f t="shared" si="22"/>
        <v>4.6074526025335443</v>
      </c>
      <c r="EC55" s="40">
        <f t="shared" si="95"/>
        <v>4.6074526025335443</v>
      </c>
      <c r="ED55" s="32"/>
      <c r="EE55" s="32">
        <f t="shared" si="96"/>
        <v>0.9400000000000005</v>
      </c>
      <c r="EF55" s="36">
        <f t="shared" si="97"/>
        <v>0.9400000000000005</v>
      </c>
      <c r="EG55" s="32">
        <f t="shared" si="23"/>
        <v>4.6074526025335443</v>
      </c>
      <c r="EH55" s="40">
        <f t="shared" si="98"/>
        <v>4.6074526025335443</v>
      </c>
      <c r="EI55" s="32"/>
      <c r="EJ55" s="32">
        <f t="shared" si="99"/>
        <v>0.9400000000000005</v>
      </c>
      <c r="EK55" s="36">
        <f t="shared" si="100"/>
        <v>0.9400000000000005</v>
      </c>
      <c r="EL55" s="32">
        <f t="shared" si="24"/>
        <v>4.6074526025335443</v>
      </c>
      <c r="EM55" s="40">
        <f t="shared" si="101"/>
        <v>4.6074526025335443</v>
      </c>
      <c r="EN55" s="32"/>
      <c r="EO55" s="32">
        <f t="shared" si="102"/>
        <v>0.9400000000000005</v>
      </c>
      <c r="EP55" s="32">
        <f t="shared" si="103"/>
        <v>0.9400000000000005</v>
      </c>
      <c r="EQ55" s="32">
        <f t="shared" si="25"/>
        <v>4.6074526025335443</v>
      </c>
      <c r="ER55" s="40">
        <f t="shared" si="104"/>
        <v>4.6074526025335443</v>
      </c>
      <c r="ES55" s="32"/>
      <c r="ET55" s="32">
        <f t="shared" si="105"/>
        <v>0.9400000000000005</v>
      </c>
      <c r="EU55" s="36">
        <f t="shared" si="106"/>
        <v>0.9400000000000005</v>
      </c>
      <c r="EV55" s="32">
        <f t="shared" si="26"/>
        <v>4.6074526025335443</v>
      </c>
      <c r="EW55" s="40">
        <f t="shared" si="107"/>
        <v>4.6074526025335443</v>
      </c>
      <c r="EX55" s="32"/>
    </row>
    <row r="56" spans="20:154" s="3" customFormat="1" x14ac:dyDescent="0.25">
      <c r="T56" s="32">
        <f t="shared" si="27"/>
        <v>0.96000000000000052</v>
      </c>
      <c r="U56" s="36">
        <f t="shared" si="28"/>
        <v>0.96000000000000052</v>
      </c>
      <c r="V56" s="32">
        <f t="shared" si="0"/>
        <v>4.6362238843531625</v>
      </c>
      <c r="W56" s="40">
        <f t="shared" si="29"/>
        <v>4.6362238843531625</v>
      </c>
      <c r="X56" s="32"/>
      <c r="Y56" s="32">
        <f t="shared" si="30"/>
        <v>0.96000000000000052</v>
      </c>
      <c r="Z56" s="32">
        <f t="shared" si="31"/>
        <v>0.96000000000000052</v>
      </c>
      <c r="AA56" s="32">
        <f t="shared" si="1"/>
        <v>4.6362238843531625</v>
      </c>
      <c r="AB56" s="40">
        <f t="shared" si="32"/>
        <v>4.6362238843531625</v>
      </c>
      <c r="AC56" s="32"/>
      <c r="AD56" s="32">
        <f t="shared" si="33"/>
        <v>0.96000000000000052</v>
      </c>
      <c r="AE56" s="36">
        <f t="shared" si="34"/>
        <v>0.96000000000000052</v>
      </c>
      <c r="AF56" s="32">
        <f t="shared" si="2"/>
        <v>4.6362238843531625</v>
      </c>
      <c r="AG56" s="40">
        <f t="shared" si="35"/>
        <v>4.6362238843531625</v>
      </c>
      <c r="AH56" s="32"/>
      <c r="AI56" s="32">
        <f t="shared" si="36"/>
        <v>0.96000000000000052</v>
      </c>
      <c r="AJ56" s="36">
        <f t="shared" si="37"/>
        <v>0.96000000000000052</v>
      </c>
      <c r="AK56" s="32">
        <f t="shared" si="3"/>
        <v>4.6362238843531625</v>
      </c>
      <c r="AL56" s="40">
        <f t="shared" si="38"/>
        <v>4.6362238843531625</v>
      </c>
      <c r="AM56" s="32"/>
      <c r="AN56" s="32">
        <f t="shared" si="39"/>
        <v>0.96000000000000052</v>
      </c>
      <c r="AO56" s="32">
        <f t="shared" si="40"/>
        <v>0.96000000000000052</v>
      </c>
      <c r="AP56" s="32">
        <f t="shared" si="4"/>
        <v>4.6362238843531625</v>
      </c>
      <c r="AQ56" s="40">
        <f t="shared" si="41"/>
        <v>4.6362238843531625</v>
      </c>
      <c r="AR56" s="32"/>
      <c r="AS56" s="32">
        <f t="shared" si="42"/>
        <v>0.96000000000000052</v>
      </c>
      <c r="AT56" s="36">
        <f t="shared" si="43"/>
        <v>0.96000000000000052</v>
      </c>
      <c r="AU56" s="32">
        <f t="shared" si="5"/>
        <v>4.6362238843531625</v>
      </c>
      <c r="AV56" s="40">
        <f t="shared" si="44"/>
        <v>4.6362238843531625</v>
      </c>
      <c r="AW56" s="32"/>
      <c r="AX56" s="32">
        <f t="shared" si="45"/>
        <v>0.96000000000000052</v>
      </c>
      <c r="AY56" s="36">
        <f t="shared" si="46"/>
        <v>0.96000000000000052</v>
      </c>
      <c r="AZ56" s="32">
        <f t="shared" si="6"/>
        <v>4.6362238843531625</v>
      </c>
      <c r="BA56" s="40">
        <f t="shared" si="47"/>
        <v>4.6362238843531625</v>
      </c>
      <c r="BB56" s="32"/>
      <c r="BC56" s="32">
        <f t="shared" si="48"/>
        <v>0.96000000000000052</v>
      </c>
      <c r="BD56" s="32">
        <f t="shared" si="49"/>
        <v>0.96000000000000052</v>
      </c>
      <c r="BE56" s="32">
        <f t="shared" si="7"/>
        <v>4.6362238843531625</v>
      </c>
      <c r="BF56" s="40">
        <f t="shared" si="50"/>
        <v>4.6362238843531625</v>
      </c>
      <c r="BG56" s="32"/>
      <c r="BH56" s="32">
        <f t="shared" si="51"/>
        <v>0.96000000000000052</v>
      </c>
      <c r="BI56" s="36">
        <f t="shared" si="52"/>
        <v>0.96000000000000052</v>
      </c>
      <c r="BJ56" s="32">
        <f t="shared" si="8"/>
        <v>4.6362238843531625</v>
      </c>
      <c r="BK56" s="40">
        <f t="shared" si="53"/>
        <v>4.6362238843531625</v>
      </c>
      <c r="BL56" s="32"/>
      <c r="BM56" s="32">
        <f t="shared" si="54"/>
        <v>0.96000000000000052</v>
      </c>
      <c r="BN56" s="36">
        <f t="shared" si="55"/>
        <v>0.96000000000000052</v>
      </c>
      <c r="BO56" s="32">
        <f t="shared" si="9"/>
        <v>4.6362238843531625</v>
      </c>
      <c r="BP56" s="40">
        <f t="shared" si="56"/>
        <v>4.6362238843531625</v>
      </c>
      <c r="BQ56" s="32"/>
      <c r="BR56" s="32">
        <f t="shared" si="57"/>
        <v>0.96000000000000052</v>
      </c>
      <c r="BS56" s="32">
        <f t="shared" si="58"/>
        <v>0.96000000000000052</v>
      </c>
      <c r="BT56" s="32">
        <f t="shared" si="10"/>
        <v>4.6362238843531625</v>
      </c>
      <c r="BU56" s="40">
        <f t="shared" si="59"/>
        <v>4.6362238843531625</v>
      </c>
      <c r="BV56" s="32"/>
      <c r="BW56" s="32">
        <f t="shared" si="60"/>
        <v>0.96000000000000052</v>
      </c>
      <c r="BX56" s="36">
        <f t="shared" si="61"/>
        <v>0.96000000000000052</v>
      </c>
      <c r="BY56" s="32">
        <f t="shared" si="11"/>
        <v>4.6362238843531625</v>
      </c>
      <c r="BZ56" s="40">
        <f t="shared" si="62"/>
        <v>4.6362238843531625</v>
      </c>
      <c r="CA56" s="32"/>
      <c r="CB56" s="32">
        <f t="shared" si="63"/>
        <v>0.96000000000000052</v>
      </c>
      <c r="CC56" s="36">
        <f t="shared" si="64"/>
        <v>0.96000000000000052</v>
      </c>
      <c r="CD56" s="32">
        <f t="shared" si="12"/>
        <v>4.6362238843531625</v>
      </c>
      <c r="CE56" s="40">
        <f t="shared" si="65"/>
        <v>4.6362238843531625</v>
      </c>
      <c r="CF56" s="32"/>
      <c r="CG56" s="39">
        <f t="shared" si="66"/>
        <v>0.96000000000000052</v>
      </c>
      <c r="CH56" s="39">
        <f t="shared" si="67"/>
        <v>0.96000000000000052</v>
      </c>
      <c r="CI56" s="39">
        <f t="shared" si="13"/>
        <v>4.6362238843531625</v>
      </c>
      <c r="CJ56" s="40">
        <f t="shared" si="68"/>
        <v>4.6362238843531625</v>
      </c>
      <c r="CK56" s="39"/>
      <c r="CL56" s="32">
        <f t="shared" si="69"/>
        <v>0.96000000000000052</v>
      </c>
      <c r="CM56" s="36">
        <f t="shared" si="70"/>
        <v>0.96000000000000052</v>
      </c>
      <c r="CN56" s="32">
        <f t="shared" si="14"/>
        <v>4.6362238843531625</v>
      </c>
      <c r="CO56" s="40">
        <f t="shared" si="71"/>
        <v>4.6362238843531625</v>
      </c>
      <c r="CP56" s="32"/>
      <c r="CQ56" s="32">
        <f t="shared" si="72"/>
        <v>0.96000000000000052</v>
      </c>
      <c r="CR56" s="36">
        <f t="shared" si="73"/>
        <v>0.96000000000000052</v>
      </c>
      <c r="CS56" s="32">
        <f t="shared" si="15"/>
        <v>4.6362238843531625</v>
      </c>
      <c r="CT56" s="40">
        <f t="shared" si="74"/>
        <v>4.6362238843531625</v>
      </c>
      <c r="CU56" s="32"/>
      <c r="CV56" s="32">
        <f t="shared" si="75"/>
        <v>0.96000000000000052</v>
      </c>
      <c r="CW56" s="32">
        <f t="shared" si="76"/>
        <v>0.96000000000000052</v>
      </c>
      <c r="CX56" s="32">
        <f t="shared" si="16"/>
        <v>4.6362238843531625</v>
      </c>
      <c r="CY56" s="40">
        <f t="shared" si="77"/>
        <v>4.6362238843531625</v>
      </c>
      <c r="CZ56" s="32"/>
      <c r="DA56" s="32">
        <f t="shared" si="78"/>
        <v>0.96000000000000052</v>
      </c>
      <c r="DB56" s="36">
        <f t="shared" si="79"/>
        <v>0.96000000000000052</v>
      </c>
      <c r="DC56" s="32">
        <f t="shared" si="17"/>
        <v>4.6362238843531625</v>
      </c>
      <c r="DD56" s="40">
        <f t="shared" si="80"/>
        <v>4.6362238843531625</v>
      </c>
      <c r="DE56" s="32"/>
      <c r="DF56" s="32">
        <f t="shared" si="81"/>
        <v>0.96000000000000052</v>
      </c>
      <c r="DG56" s="36">
        <f t="shared" si="82"/>
        <v>0.96000000000000052</v>
      </c>
      <c r="DH56" s="32">
        <f t="shared" si="18"/>
        <v>4.6362238843531625</v>
      </c>
      <c r="DI56" s="40">
        <f t="shared" si="83"/>
        <v>4.6362238843531625</v>
      </c>
      <c r="DJ56" s="32"/>
      <c r="DK56" s="32">
        <f t="shared" si="84"/>
        <v>0.96000000000000052</v>
      </c>
      <c r="DL56" s="32">
        <f t="shared" si="85"/>
        <v>0.96000000000000052</v>
      </c>
      <c r="DM56" s="32">
        <f t="shared" si="19"/>
        <v>4.6362238843531625</v>
      </c>
      <c r="DN56" s="40">
        <f t="shared" si="86"/>
        <v>4.6362238843531625</v>
      </c>
      <c r="DO56" s="32"/>
      <c r="DP56" s="32">
        <f t="shared" si="87"/>
        <v>0.96000000000000052</v>
      </c>
      <c r="DQ56" s="36">
        <f t="shared" si="88"/>
        <v>0.96000000000000052</v>
      </c>
      <c r="DR56" s="32">
        <f t="shared" si="20"/>
        <v>4.6362238843531625</v>
      </c>
      <c r="DS56" s="40">
        <f t="shared" si="89"/>
        <v>4.6362238843531625</v>
      </c>
      <c r="DT56" s="32"/>
      <c r="DU56" s="32">
        <f t="shared" si="90"/>
        <v>0.96000000000000052</v>
      </c>
      <c r="DV56" s="36">
        <f t="shared" si="91"/>
        <v>0.96000000000000052</v>
      </c>
      <c r="DW56" s="32">
        <f t="shared" si="21"/>
        <v>4.6362238843531625</v>
      </c>
      <c r="DX56" s="40">
        <f t="shared" si="92"/>
        <v>4.6362238843531625</v>
      </c>
      <c r="DY56" s="32"/>
      <c r="DZ56" s="32">
        <f t="shared" si="93"/>
        <v>0.96000000000000052</v>
      </c>
      <c r="EA56" s="32">
        <f t="shared" si="94"/>
        <v>0.96000000000000052</v>
      </c>
      <c r="EB56" s="32">
        <f t="shared" si="22"/>
        <v>4.6362238843531625</v>
      </c>
      <c r="EC56" s="40">
        <f t="shared" si="95"/>
        <v>4.6362238843531625</v>
      </c>
      <c r="ED56" s="32"/>
      <c r="EE56" s="32">
        <f t="shared" si="96"/>
        <v>0.96000000000000052</v>
      </c>
      <c r="EF56" s="36">
        <f t="shared" si="97"/>
        <v>0.96000000000000052</v>
      </c>
      <c r="EG56" s="32">
        <f t="shared" si="23"/>
        <v>4.6362238843531625</v>
      </c>
      <c r="EH56" s="40">
        <f t="shared" si="98"/>
        <v>4.6362238843531625</v>
      </c>
      <c r="EI56" s="32"/>
      <c r="EJ56" s="32">
        <f t="shared" si="99"/>
        <v>0.96000000000000052</v>
      </c>
      <c r="EK56" s="36">
        <f t="shared" si="100"/>
        <v>0.96000000000000052</v>
      </c>
      <c r="EL56" s="32">
        <f t="shared" si="24"/>
        <v>4.6362238843531625</v>
      </c>
      <c r="EM56" s="40">
        <f t="shared" si="101"/>
        <v>4.6362238843531625</v>
      </c>
      <c r="EN56" s="32"/>
      <c r="EO56" s="32">
        <f t="shared" si="102"/>
        <v>0.96000000000000052</v>
      </c>
      <c r="EP56" s="32">
        <f t="shared" si="103"/>
        <v>0.96000000000000052</v>
      </c>
      <c r="EQ56" s="32">
        <f t="shared" si="25"/>
        <v>4.6362238843531625</v>
      </c>
      <c r="ER56" s="40">
        <f t="shared" si="104"/>
        <v>4.6362238843531625</v>
      </c>
      <c r="ES56" s="32"/>
      <c r="ET56" s="32">
        <f t="shared" si="105"/>
        <v>0.96000000000000052</v>
      </c>
      <c r="EU56" s="36">
        <f t="shared" si="106"/>
        <v>0.96000000000000052</v>
      </c>
      <c r="EV56" s="32">
        <f t="shared" si="26"/>
        <v>4.6362238843531625</v>
      </c>
      <c r="EW56" s="40">
        <f t="shared" si="107"/>
        <v>4.6362238843531625</v>
      </c>
      <c r="EX56" s="32"/>
    </row>
    <row r="57" spans="20:154" s="3" customFormat="1" x14ac:dyDescent="0.25">
      <c r="T57" s="32">
        <f t="shared" si="27"/>
        <v>0.98000000000000054</v>
      </c>
      <c r="U57" s="36">
        <f t="shared" si="28"/>
        <v>0.98000000000000054</v>
      </c>
      <c r="V57" s="32">
        <f t="shared" si="0"/>
        <v>4.6622866534449319</v>
      </c>
      <c r="W57" s="40">
        <f t="shared" si="29"/>
        <v>4.6622866534449319</v>
      </c>
      <c r="X57" s="32"/>
      <c r="Y57" s="32">
        <f t="shared" si="30"/>
        <v>0.98000000000000054</v>
      </c>
      <c r="Z57" s="32">
        <f t="shared" si="31"/>
        <v>0.98000000000000054</v>
      </c>
      <c r="AA57" s="32">
        <f t="shared" si="1"/>
        <v>4.6622866534449319</v>
      </c>
      <c r="AB57" s="40">
        <f t="shared" si="32"/>
        <v>4.6622866534449319</v>
      </c>
      <c r="AC57" s="32"/>
      <c r="AD57" s="32">
        <f t="shared" si="33"/>
        <v>0.98000000000000054</v>
      </c>
      <c r="AE57" s="36">
        <f t="shared" si="34"/>
        <v>0.98000000000000054</v>
      </c>
      <c r="AF57" s="32">
        <f t="shared" si="2"/>
        <v>4.6622866534449319</v>
      </c>
      <c r="AG57" s="40">
        <f t="shared" si="35"/>
        <v>4.6622866534449319</v>
      </c>
      <c r="AH57" s="32"/>
      <c r="AI57" s="32">
        <f t="shared" si="36"/>
        <v>0.98000000000000054</v>
      </c>
      <c r="AJ57" s="36">
        <f t="shared" si="37"/>
        <v>0.98000000000000054</v>
      </c>
      <c r="AK57" s="32">
        <f t="shared" si="3"/>
        <v>4.6622866534449319</v>
      </c>
      <c r="AL57" s="40">
        <f t="shared" si="38"/>
        <v>4.6622866534449319</v>
      </c>
      <c r="AM57" s="32"/>
      <c r="AN57" s="32">
        <f t="shared" si="39"/>
        <v>0.98000000000000054</v>
      </c>
      <c r="AO57" s="32">
        <f t="shared" si="40"/>
        <v>0.98000000000000054</v>
      </c>
      <c r="AP57" s="32">
        <f t="shared" si="4"/>
        <v>4.6622866534449319</v>
      </c>
      <c r="AQ57" s="40">
        <f t="shared" si="41"/>
        <v>4.6622866534449319</v>
      </c>
      <c r="AR57" s="32"/>
      <c r="AS57" s="32">
        <f t="shared" si="42"/>
        <v>0.98000000000000054</v>
      </c>
      <c r="AT57" s="36">
        <f t="shared" si="43"/>
        <v>0.98000000000000054</v>
      </c>
      <c r="AU57" s="32">
        <f t="shared" si="5"/>
        <v>4.6622866534449319</v>
      </c>
      <c r="AV57" s="40">
        <f t="shared" si="44"/>
        <v>4.6622866534449319</v>
      </c>
      <c r="AW57" s="32"/>
      <c r="AX57" s="32">
        <f t="shared" si="45"/>
        <v>0.98000000000000054</v>
      </c>
      <c r="AY57" s="36">
        <f t="shared" si="46"/>
        <v>0.98000000000000054</v>
      </c>
      <c r="AZ57" s="32">
        <f t="shared" si="6"/>
        <v>4.6622866534449319</v>
      </c>
      <c r="BA57" s="40">
        <f t="shared" si="47"/>
        <v>4.6622866534449319</v>
      </c>
      <c r="BB57" s="32"/>
      <c r="BC57" s="32">
        <f t="shared" si="48"/>
        <v>0.98000000000000054</v>
      </c>
      <c r="BD57" s="32">
        <f t="shared" si="49"/>
        <v>0.98000000000000054</v>
      </c>
      <c r="BE57" s="32">
        <f t="shared" si="7"/>
        <v>4.6622866534449319</v>
      </c>
      <c r="BF57" s="40">
        <f t="shared" si="50"/>
        <v>4.6622866534449319</v>
      </c>
      <c r="BG57" s="32"/>
      <c r="BH57" s="32">
        <f t="shared" si="51"/>
        <v>0.98000000000000054</v>
      </c>
      <c r="BI57" s="36">
        <f t="shared" si="52"/>
        <v>0.98000000000000054</v>
      </c>
      <c r="BJ57" s="32">
        <f t="shared" si="8"/>
        <v>4.6622866534449319</v>
      </c>
      <c r="BK57" s="40">
        <f t="shared" si="53"/>
        <v>4.6622866534449319</v>
      </c>
      <c r="BL57" s="32"/>
      <c r="BM57" s="32">
        <f t="shared" si="54"/>
        <v>0.98000000000000054</v>
      </c>
      <c r="BN57" s="36">
        <f t="shared" si="55"/>
        <v>0.98000000000000054</v>
      </c>
      <c r="BO57" s="32">
        <f t="shared" si="9"/>
        <v>4.6622866534449319</v>
      </c>
      <c r="BP57" s="40">
        <f t="shared" si="56"/>
        <v>4.6622866534449319</v>
      </c>
      <c r="BQ57" s="32"/>
      <c r="BR57" s="32">
        <f t="shared" si="57"/>
        <v>0.98000000000000054</v>
      </c>
      <c r="BS57" s="32">
        <f t="shared" si="58"/>
        <v>0.98000000000000054</v>
      </c>
      <c r="BT57" s="32">
        <f t="shared" si="10"/>
        <v>4.6622866534449319</v>
      </c>
      <c r="BU57" s="40">
        <f t="shared" si="59"/>
        <v>4.6622866534449319</v>
      </c>
      <c r="BV57" s="32"/>
      <c r="BW57" s="32">
        <f t="shared" si="60"/>
        <v>0.98000000000000054</v>
      </c>
      <c r="BX57" s="36">
        <f t="shared" si="61"/>
        <v>0.98000000000000054</v>
      </c>
      <c r="BY57" s="32">
        <f t="shared" si="11"/>
        <v>4.6622866534449319</v>
      </c>
      <c r="BZ57" s="40">
        <f t="shared" si="62"/>
        <v>4.6622866534449319</v>
      </c>
      <c r="CA57" s="32"/>
      <c r="CB57" s="32">
        <f t="shared" si="63"/>
        <v>0.98000000000000054</v>
      </c>
      <c r="CC57" s="36">
        <f t="shared" si="64"/>
        <v>0.98000000000000054</v>
      </c>
      <c r="CD57" s="32">
        <f t="shared" si="12"/>
        <v>4.6622866534449319</v>
      </c>
      <c r="CE57" s="40">
        <f t="shared" si="65"/>
        <v>4.6622866534449319</v>
      </c>
      <c r="CF57" s="32"/>
      <c r="CG57" s="39">
        <f t="shared" si="66"/>
        <v>0.98000000000000054</v>
      </c>
      <c r="CH57" s="39">
        <f t="shared" si="67"/>
        <v>0.98000000000000054</v>
      </c>
      <c r="CI57" s="39">
        <f t="shared" si="13"/>
        <v>4.6622866534449319</v>
      </c>
      <c r="CJ57" s="40">
        <f t="shared" si="68"/>
        <v>4.6622866534449319</v>
      </c>
      <c r="CK57" s="39"/>
      <c r="CL57" s="32">
        <f t="shared" si="69"/>
        <v>0.98000000000000054</v>
      </c>
      <c r="CM57" s="36">
        <f t="shared" si="70"/>
        <v>0.98000000000000054</v>
      </c>
      <c r="CN57" s="32">
        <f t="shared" si="14"/>
        <v>4.6622866534449319</v>
      </c>
      <c r="CO57" s="40">
        <f t="shared" si="71"/>
        <v>4.6622866534449319</v>
      </c>
      <c r="CP57" s="32"/>
      <c r="CQ57" s="32">
        <f t="shared" si="72"/>
        <v>0.98000000000000054</v>
      </c>
      <c r="CR57" s="36">
        <f t="shared" si="73"/>
        <v>0.98000000000000054</v>
      </c>
      <c r="CS57" s="32">
        <f t="shared" si="15"/>
        <v>4.6622866534449319</v>
      </c>
      <c r="CT57" s="40">
        <f t="shared" si="74"/>
        <v>4.6622866534449319</v>
      </c>
      <c r="CU57" s="32"/>
      <c r="CV57" s="32">
        <f t="shared" si="75"/>
        <v>0.98000000000000054</v>
      </c>
      <c r="CW57" s="32">
        <f t="shared" si="76"/>
        <v>0.98000000000000054</v>
      </c>
      <c r="CX57" s="32">
        <f t="shared" si="16"/>
        <v>4.6622866534449319</v>
      </c>
      <c r="CY57" s="40">
        <f t="shared" si="77"/>
        <v>4.6622866534449319</v>
      </c>
      <c r="CZ57" s="32"/>
      <c r="DA57" s="32">
        <f t="shared" si="78"/>
        <v>0.98000000000000054</v>
      </c>
      <c r="DB57" s="36">
        <f t="shared" si="79"/>
        <v>0.98000000000000054</v>
      </c>
      <c r="DC57" s="32">
        <f t="shared" si="17"/>
        <v>4.6622866534449319</v>
      </c>
      <c r="DD57" s="40">
        <f t="shared" si="80"/>
        <v>4.6622866534449319</v>
      </c>
      <c r="DE57" s="32"/>
      <c r="DF57" s="32">
        <f t="shared" si="81"/>
        <v>0.98000000000000054</v>
      </c>
      <c r="DG57" s="36">
        <f t="shared" si="82"/>
        <v>0.98000000000000054</v>
      </c>
      <c r="DH57" s="32">
        <f t="shared" si="18"/>
        <v>4.6622866534449319</v>
      </c>
      <c r="DI57" s="40">
        <f t="shared" si="83"/>
        <v>4.6622866534449319</v>
      </c>
      <c r="DJ57" s="32"/>
      <c r="DK57" s="32">
        <f t="shared" si="84"/>
        <v>0.98000000000000054</v>
      </c>
      <c r="DL57" s="32">
        <f t="shared" si="85"/>
        <v>0.98000000000000054</v>
      </c>
      <c r="DM57" s="32">
        <f t="shared" si="19"/>
        <v>4.6622866534449319</v>
      </c>
      <c r="DN57" s="40">
        <f t="shared" si="86"/>
        <v>4.6622866534449319</v>
      </c>
      <c r="DO57" s="32"/>
      <c r="DP57" s="32">
        <f t="shared" si="87"/>
        <v>0.98000000000000054</v>
      </c>
      <c r="DQ57" s="36">
        <f t="shared" si="88"/>
        <v>0.98000000000000054</v>
      </c>
      <c r="DR57" s="32">
        <f t="shared" si="20"/>
        <v>4.6622866534449319</v>
      </c>
      <c r="DS57" s="40">
        <f t="shared" si="89"/>
        <v>4.6622866534449319</v>
      </c>
      <c r="DT57" s="32"/>
      <c r="DU57" s="32">
        <f t="shared" si="90"/>
        <v>0.98000000000000054</v>
      </c>
      <c r="DV57" s="36">
        <f t="shared" si="91"/>
        <v>0.98000000000000054</v>
      </c>
      <c r="DW57" s="32">
        <f t="shared" si="21"/>
        <v>4.6622866534449319</v>
      </c>
      <c r="DX57" s="40">
        <f t="shared" si="92"/>
        <v>4.6622866534449319</v>
      </c>
      <c r="DY57" s="32"/>
      <c r="DZ57" s="32">
        <f t="shared" si="93"/>
        <v>0.98000000000000054</v>
      </c>
      <c r="EA57" s="32">
        <f t="shared" si="94"/>
        <v>0.98000000000000054</v>
      </c>
      <c r="EB57" s="32">
        <f t="shared" si="22"/>
        <v>4.6622866534449319</v>
      </c>
      <c r="EC57" s="40">
        <f t="shared" si="95"/>
        <v>4.6622866534449319</v>
      </c>
      <c r="ED57" s="32"/>
      <c r="EE57" s="32">
        <f t="shared" si="96"/>
        <v>0.98000000000000054</v>
      </c>
      <c r="EF57" s="36">
        <f t="shared" si="97"/>
        <v>0.98000000000000054</v>
      </c>
      <c r="EG57" s="32">
        <f t="shared" si="23"/>
        <v>4.6622866534449319</v>
      </c>
      <c r="EH57" s="40">
        <f t="shared" si="98"/>
        <v>4.6622866534449319</v>
      </c>
      <c r="EI57" s="32"/>
      <c r="EJ57" s="32">
        <f t="shared" si="99"/>
        <v>0.98000000000000054</v>
      </c>
      <c r="EK57" s="36">
        <f t="shared" si="100"/>
        <v>0.98000000000000054</v>
      </c>
      <c r="EL57" s="32">
        <f t="shared" si="24"/>
        <v>4.6622866534449319</v>
      </c>
      <c r="EM57" s="40">
        <f t="shared" si="101"/>
        <v>4.6622866534449319</v>
      </c>
      <c r="EN57" s="32"/>
      <c r="EO57" s="32">
        <f t="shared" si="102"/>
        <v>0.98000000000000054</v>
      </c>
      <c r="EP57" s="32">
        <f t="shared" si="103"/>
        <v>0.98000000000000054</v>
      </c>
      <c r="EQ57" s="32">
        <f t="shared" si="25"/>
        <v>4.6622866534449319</v>
      </c>
      <c r="ER57" s="40">
        <f t="shared" si="104"/>
        <v>4.6622866534449319</v>
      </c>
      <c r="ES57" s="32"/>
      <c r="ET57" s="32">
        <f t="shared" si="105"/>
        <v>0.98000000000000054</v>
      </c>
      <c r="EU57" s="36">
        <f t="shared" si="106"/>
        <v>0.98000000000000054</v>
      </c>
      <c r="EV57" s="32">
        <f t="shared" si="26"/>
        <v>4.6622866534449319</v>
      </c>
      <c r="EW57" s="40">
        <f t="shared" si="107"/>
        <v>4.6622866534449319</v>
      </c>
      <c r="EX57" s="32"/>
    </row>
    <row r="58" spans="20:154" s="3" customFormat="1" x14ac:dyDescent="0.25">
      <c r="T58" s="32">
        <f t="shared" si="27"/>
        <v>1.0000000000000004</v>
      </c>
      <c r="U58" s="36">
        <f t="shared" si="28"/>
        <v>1.0000000000000004</v>
      </c>
      <c r="V58" s="32">
        <f t="shared" si="0"/>
        <v>4.6856409098088561</v>
      </c>
      <c r="W58" s="40">
        <f t="shared" si="29"/>
        <v>4.6856409098088561</v>
      </c>
      <c r="X58" s="32"/>
      <c r="Y58" s="32">
        <f t="shared" si="30"/>
        <v>1.0000000000000004</v>
      </c>
      <c r="Z58" s="32">
        <f t="shared" si="31"/>
        <v>1.0000000000000004</v>
      </c>
      <c r="AA58" s="32">
        <f t="shared" si="1"/>
        <v>4.6856409098088561</v>
      </c>
      <c r="AB58" s="40">
        <f t="shared" si="32"/>
        <v>4.6856409098088561</v>
      </c>
      <c r="AC58" s="32"/>
      <c r="AD58" s="32">
        <f t="shared" si="33"/>
        <v>1.0000000000000004</v>
      </c>
      <c r="AE58" s="36">
        <f t="shared" si="34"/>
        <v>1.0000000000000004</v>
      </c>
      <c r="AF58" s="32">
        <f t="shared" si="2"/>
        <v>4.6856409098088561</v>
      </c>
      <c r="AG58" s="40">
        <f t="shared" si="35"/>
        <v>4.6856409098088561</v>
      </c>
      <c r="AH58" s="32"/>
      <c r="AI58" s="32">
        <f t="shared" si="36"/>
        <v>1.0000000000000004</v>
      </c>
      <c r="AJ58" s="36">
        <f t="shared" si="37"/>
        <v>1.0000000000000004</v>
      </c>
      <c r="AK58" s="32">
        <f t="shared" si="3"/>
        <v>4.6856409098088561</v>
      </c>
      <c r="AL58" s="40">
        <f t="shared" si="38"/>
        <v>4.6856409098088561</v>
      </c>
      <c r="AM58" s="32"/>
      <c r="AN58" s="32">
        <f t="shared" si="39"/>
        <v>1.0000000000000004</v>
      </c>
      <c r="AO58" s="32">
        <f t="shared" si="40"/>
        <v>1.0000000000000004</v>
      </c>
      <c r="AP58" s="32">
        <f t="shared" si="4"/>
        <v>4.6856409098088561</v>
      </c>
      <c r="AQ58" s="40">
        <f t="shared" si="41"/>
        <v>4.6856409098088561</v>
      </c>
      <c r="AR58" s="32"/>
      <c r="AS58" s="32">
        <f t="shared" si="42"/>
        <v>1.0000000000000004</v>
      </c>
      <c r="AT58" s="36">
        <f t="shared" si="43"/>
        <v>1.0000000000000004</v>
      </c>
      <c r="AU58" s="32">
        <f t="shared" si="5"/>
        <v>4.6856409098088561</v>
      </c>
      <c r="AV58" s="40">
        <f t="shared" si="44"/>
        <v>4.6856409098088561</v>
      </c>
      <c r="AW58" s="32"/>
      <c r="AX58" s="32">
        <f t="shared" si="45"/>
        <v>1.0000000000000004</v>
      </c>
      <c r="AY58" s="36">
        <f t="shared" si="46"/>
        <v>1.0000000000000004</v>
      </c>
      <c r="AZ58" s="32">
        <f t="shared" si="6"/>
        <v>4.6856409098088561</v>
      </c>
      <c r="BA58" s="40">
        <f t="shared" si="47"/>
        <v>4.6856409098088561</v>
      </c>
      <c r="BB58" s="32"/>
      <c r="BC58" s="32">
        <f t="shared" si="48"/>
        <v>1.0000000000000004</v>
      </c>
      <c r="BD58" s="32">
        <f t="shared" si="49"/>
        <v>1.0000000000000004</v>
      </c>
      <c r="BE58" s="32">
        <f t="shared" si="7"/>
        <v>4.6856409098088561</v>
      </c>
      <c r="BF58" s="40">
        <f t="shared" si="50"/>
        <v>4.6856409098088561</v>
      </c>
      <c r="BG58" s="32"/>
      <c r="BH58" s="32">
        <f t="shared" si="51"/>
        <v>1.0000000000000004</v>
      </c>
      <c r="BI58" s="36">
        <f t="shared" si="52"/>
        <v>1.0000000000000004</v>
      </c>
      <c r="BJ58" s="32">
        <f t="shared" si="8"/>
        <v>4.6856409098088561</v>
      </c>
      <c r="BK58" s="40">
        <f t="shared" si="53"/>
        <v>4.6856409098088561</v>
      </c>
      <c r="BL58" s="32"/>
      <c r="BM58" s="32">
        <f t="shared" si="54"/>
        <v>1.0000000000000004</v>
      </c>
      <c r="BN58" s="36">
        <f t="shared" si="55"/>
        <v>1.0000000000000004</v>
      </c>
      <c r="BO58" s="32">
        <f t="shared" si="9"/>
        <v>4.6856409098088561</v>
      </c>
      <c r="BP58" s="40">
        <f t="shared" si="56"/>
        <v>4.6856409098088561</v>
      </c>
      <c r="BQ58" s="32"/>
      <c r="BR58" s="32">
        <f t="shared" si="57"/>
        <v>1.0000000000000004</v>
      </c>
      <c r="BS58" s="32">
        <f t="shared" si="58"/>
        <v>1.0000000000000004</v>
      </c>
      <c r="BT58" s="32">
        <f t="shared" si="10"/>
        <v>4.6856409098088561</v>
      </c>
      <c r="BU58" s="40">
        <f t="shared" si="59"/>
        <v>4.6856409098088561</v>
      </c>
      <c r="BV58" s="32"/>
      <c r="BW58" s="32">
        <f t="shared" si="60"/>
        <v>1.0000000000000004</v>
      </c>
      <c r="BX58" s="36">
        <f t="shared" si="61"/>
        <v>1.0000000000000004</v>
      </c>
      <c r="BY58" s="32">
        <f t="shared" si="11"/>
        <v>4.6856409098088561</v>
      </c>
      <c r="BZ58" s="40">
        <f t="shared" si="62"/>
        <v>4.6856409098088561</v>
      </c>
      <c r="CA58" s="32"/>
      <c r="CB58" s="32">
        <f t="shared" si="63"/>
        <v>1.0000000000000004</v>
      </c>
      <c r="CC58" s="36">
        <f t="shared" si="64"/>
        <v>1.0000000000000004</v>
      </c>
      <c r="CD58" s="32">
        <f t="shared" si="12"/>
        <v>4.6856409098088561</v>
      </c>
      <c r="CE58" s="40">
        <f t="shared" si="65"/>
        <v>4.6856409098088561</v>
      </c>
      <c r="CF58" s="32"/>
      <c r="CG58" s="39">
        <f t="shared" si="66"/>
        <v>1.0000000000000004</v>
      </c>
      <c r="CH58" s="39">
        <f t="shared" si="67"/>
        <v>1.0000000000000004</v>
      </c>
      <c r="CI58" s="39">
        <f t="shared" si="13"/>
        <v>4.6856409098088561</v>
      </c>
      <c r="CJ58" s="40">
        <f t="shared" si="68"/>
        <v>4.6856409098088561</v>
      </c>
      <c r="CK58" s="39"/>
      <c r="CL58" s="32">
        <f t="shared" si="69"/>
        <v>1.0000000000000004</v>
      </c>
      <c r="CM58" s="36">
        <f t="shared" si="70"/>
        <v>1.0000000000000004</v>
      </c>
      <c r="CN58" s="32">
        <f t="shared" si="14"/>
        <v>4.6856409098088561</v>
      </c>
      <c r="CO58" s="40">
        <f t="shared" si="71"/>
        <v>4.6856409098088561</v>
      </c>
      <c r="CP58" s="32"/>
      <c r="CQ58" s="32">
        <f t="shared" si="72"/>
        <v>1.0000000000000004</v>
      </c>
      <c r="CR58" s="36">
        <f t="shared" si="73"/>
        <v>1.0000000000000004</v>
      </c>
      <c r="CS58" s="32">
        <f t="shared" si="15"/>
        <v>4.6856409098088561</v>
      </c>
      <c r="CT58" s="40">
        <f t="shared" si="74"/>
        <v>4.6856409098088561</v>
      </c>
      <c r="CU58" s="32"/>
      <c r="CV58" s="32">
        <f t="shared" si="75"/>
        <v>1.0000000000000004</v>
      </c>
      <c r="CW58" s="32">
        <f t="shared" si="76"/>
        <v>1.0000000000000004</v>
      </c>
      <c r="CX58" s="32">
        <f t="shared" si="16"/>
        <v>4.6856409098088561</v>
      </c>
      <c r="CY58" s="40">
        <f t="shared" si="77"/>
        <v>4.6856409098088561</v>
      </c>
      <c r="CZ58" s="32"/>
      <c r="DA58" s="32">
        <f t="shared" si="78"/>
        <v>1.0000000000000004</v>
      </c>
      <c r="DB58" s="36">
        <f t="shared" si="79"/>
        <v>1.0000000000000004</v>
      </c>
      <c r="DC58" s="32">
        <f t="shared" si="17"/>
        <v>4.6856409098088561</v>
      </c>
      <c r="DD58" s="40">
        <f t="shared" si="80"/>
        <v>4.6856409098088561</v>
      </c>
      <c r="DE58" s="32"/>
      <c r="DF58" s="32">
        <f t="shared" si="81"/>
        <v>1.0000000000000004</v>
      </c>
      <c r="DG58" s="36">
        <f t="shared" si="82"/>
        <v>1.0000000000000004</v>
      </c>
      <c r="DH58" s="32">
        <f t="shared" si="18"/>
        <v>4.6856409098088561</v>
      </c>
      <c r="DI58" s="40">
        <f t="shared" si="83"/>
        <v>4.6856409098088561</v>
      </c>
      <c r="DJ58" s="32"/>
      <c r="DK58" s="32">
        <f t="shared" si="84"/>
        <v>1.0000000000000004</v>
      </c>
      <c r="DL58" s="32">
        <f t="shared" si="85"/>
        <v>1.0000000000000004</v>
      </c>
      <c r="DM58" s="32">
        <f t="shared" si="19"/>
        <v>4.6856409098088561</v>
      </c>
      <c r="DN58" s="40">
        <f t="shared" si="86"/>
        <v>4.6856409098088561</v>
      </c>
      <c r="DO58" s="32"/>
      <c r="DP58" s="32">
        <f t="shared" si="87"/>
        <v>1.0000000000000004</v>
      </c>
      <c r="DQ58" s="36">
        <f t="shared" si="88"/>
        <v>1.0000000000000004</v>
      </c>
      <c r="DR58" s="32">
        <f t="shared" si="20"/>
        <v>4.6856409098088561</v>
      </c>
      <c r="DS58" s="40">
        <f t="shared" si="89"/>
        <v>4.6856409098088561</v>
      </c>
      <c r="DT58" s="32"/>
      <c r="DU58" s="32">
        <f t="shared" si="90"/>
        <v>1.0000000000000004</v>
      </c>
      <c r="DV58" s="36">
        <f t="shared" si="91"/>
        <v>1.0000000000000004</v>
      </c>
      <c r="DW58" s="32">
        <f t="shared" si="21"/>
        <v>4.6856409098088561</v>
      </c>
      <c r="DX58" s="40">
        <f t="shared" si="92"/>
        <v>4.6856409098088561</v>
      </c>
      <c r="DY58" s="32"/>
      <c r="DZ58" s="32">
        <f t="shared" si="93"/>
        <v>1.0000000000000004</v>
      </c>
      <c r="EA58" s="32">
        <f t="shared" si="94"/>
        <v>1.0000000000000004</v>
      </c>
      <c r="EB58" s="32">
        <f t="shared" si="22"/>
        <v>4.6856409098088561</v>
      </c>
      <c r="EC58" s="40">
        <f t="shared" si="95"/>
        <v>4.6856409098088561</v>
      </c>
      <c r="ED58" s="32"/>
      <c r="EE58" s="32">
        <f t="shared" si="96"/>
        <v>1.0000000000000004</v>
      </c>
      <c r="EF58" s="36">
        <f t="shared" si="97"/>
        <v>1.0000000000000004</v>
      </c>
      <c r="EG58" s="32">
        <f t="shared" si="23"/>
        <v>4.6856409098088561</v>
      </c>
      <c r="EH58" s="40">
        <f t="shared" si="98"/>
        <v>4.6856409098088561</v>
      </c>
      <c r="EI58" s="32"/>
      <c r="EJ58" s="32">
        <f t="shared" si="99"/>
        <v>1.0000000000000004</v>
      </c>
      <c r="EK58" s="36">
        <f t="shared" si="100"/>
        <v>1.0000000000000004</v>
      </c>
      <c r="EL58" s="32">
        <f t="shared" si="24"/>
        <v>4.6856409098088561</v>
      </c>
      <c r="EM58" s="40">
        <f t="shared" si="101"/>
        <v>4.6856409098088561</v>
      </c>
      <c r="EN58" s="32"/>
      <c r="EO58" s="32">
        <f t="shared" si="102"/>
        <v>1.0000000000000004</v>
      </c>
      <c r="EP58" s="32">
        <f t="shared" si="103"/>
        <v>1.0000000000000004</v>
      </c>
      <c r="EQ58" s="32">
        <f t="shared" si="25"/>
        <v>4.6856409098088561</v>
      </c>
      <c r="ER58" s="40">
        <f t="shared" si="104"/>
        <v>4.6856409098088561</v>
      </c>
      <c r="ES58" s="32"/>
      <c r="ET58" s="32">
        <f t="shared" si="105"/>
        <v>1.0000000000000004</v>
      </c>
      <c r="EU58" s="36">
        <f t="shared" si="106"/>
        <v>1.0000000000000004</v>
      </c>
      <c r="EV58" s="32">
        <f t="shared" si="26"/>
        <v>4.6856409098088561</v>
      </c>
      <c r="EW58" s="40">
        <f t="shared" si="107"/>
        <v>4.6856409098088561</v>
      </c>
      <c r="EX58" s="32"/>
    </row>
    <row r="59" spans="20:154" s="3" customFormat="1" x14ac:dyDescent="0.25">
      <c r="T59" s="32">
        <f t="shared" si="27"/>
        <v>1.0200000000000005</v>
      </c>
      <c r="U59" s="36">
        <f t="shared" si="28"/>
        <v>1.0200000000000005</v>
      </c>
      <c r="V59" s="32">
        <f t="shared" si="0"/>
        <v>4.7062866534449324</v>
      </c>
      <c r="W59" s="40">
        <f t="shared" si="29"/>
        <v>4.7062866534449324</v>
      </c>
      <c r="X59" s="32"/>
      <c r="Y59" s="32">
        <f t="shared" si="30"/>
        <v>1.0200000000000005</v>
      </c>
      <c r="Z59" s="32">
        <f t="shared" si="31"/>
        <v>1.0200000000000005</v>
      </c>
      <c r="AA59" s="32">
        <f t="shared" si="1"/>
        <v>4.7062866534449324</v>
      </c>
      <c r="AB59" s="40">
        <f t="shared" si="32"/>
        <v>4.7062866534449324</v>
      </c>
      <c r="AC59" s="32"/>
      <c r="AD59" s="32">
        <f t="shared" si="33"/>
        <v>1.0200000000000005</v>
      </c>
      <c r="AE59" s="36">
        <f t="shared" si="34"/>
        <v>1.0200000000000005</v>
      </c>
      <c r="AF59" s="32">
        <f t="shared" si="2"/>
        <v>4.7062866534449324</v>
      </c>
      <c r="AG59" s="40">
        <f t="shared" si="35"/>
        <v>4.7062866534449324</v>
      </c>
      <c r="AH59" s="32"/>
      <c r="AI59" s="32">
        <f t="shared" si="36"/>
        <v>1.0200000000000005</v>
      </c>
      <c r="AJ59" s="36">
        <f t="shared" si="37"/>
        <v>1.0200000000000005</v>
      </c>
      <c r="AK59" s="32">
        <f t="shared" si="3"/>
        <v>4.7062866534449324</v>
      </c>
      <c r="AL59" s="40">
        <f t="shared" si="38"/>
        <v>4.7062866534449324</v>
      </c>
      <c r="AM59" s="32"/>
      <c r="AN59" s="32">
        <f t="shared" si="39"/>
        <v>1.0200000000000005</v>
      </c>
      <c r="AO59" s="32">
        <f t="shared" si="40"/>
        <v>1.0200000000000005</v>
      </c>
      <c r="AP59" s="32">
        <f t="shared" si="4"/>
        <v>4.7062866534449324</v>
      </c>
      <c r="AQ59" s="40">
        <f t="shared" si="41"/>
        <v>4.7062866534449324</v>
      </c>
      <c r="AR59" s="32"/>
      <c r="AS59" s="32">
        <f t="shared" si="42"/>
        <v>1.0200000000000005</v>
      </c>
      <c r="AT59" s="36">
        <f t="shared" si="43"/>
        <v>1.0200000000000005</v>
      </c>
      <c r="AU59" s="32">
        <f t="shared" si="5"/>
        <v>4.7062866534449324</v>
      </c>
      <c r="AV59" s="40">
        <f t="shared" si="44"/>
        <v>4.7062866534449324</v>
      </c>
      <c r="AW59" s="32"/>
      <c r="AX59" s="32">
        <f t="shared" si="45"/>
        <v>1.0200000000000005</v>
      </c>
      <c r="AY59" s="36">
        <f t="shared" si="46"/>
        <v>1.0200000000000005</v>
      </c>
      <c r="AZ59" s="32">
        <f t="shared" si="6"/>
        <v>4.7062866534449324</v>
      </c>
      <c r="BA59" s="40">
        <f t="shared" si="47"/>
        <v>4.7062866534449324</v>
      </c>
      <c r="BB59" s="32"/>
      <c r="BC59" s="32">
        <f t="shared" si="48"/>
        <v>1.0200000000000005</v>
      </c>
      <c r="BD59" s="32">
        <f t="shared" si="49"/>
        <v>1.0200000000000005</v>
      </c>
      <c r="BE59" s="32">
        <f t="shared" si="7"/>
        <v>4.7062866534449324</v>
      </c>
      <c r="BF59" s="40">
        <f t="shared" si="50"/>
        <v>4.7062866534449324</v>
      </c>
      <c r="BG59" s="32"/>
      <c r="BH59" s="32">
        <f t="shared" si="51"/>
        <v>1.0200000000000005</v>
      </c>
      <c r="BI59" s="36">
        <f t="shared" si="52"/>
        <v>1.0200000000000005</v>
      </c>
      <c r="BJ59" s="32">
        <f t="shared" si="8"/>
        <v>4.7062866534449324</v>
      </c>
      <c r="BK59" s="40">
        <f t="shared" si="53"/>
        <v>4.7062866534449324</v>
      </c>
      <c r="BL59" s="32"/>
      <c r="BM59" s="32">
        <f t="shared" si="54"/>
        <v>1.0200000000000005</v>
      </c>
      <c r="BN59" s="36">
        <f t="shared" si="55"/>
        <v>1.0200000000000005</v>
      </c>
      <c r="BO59" s="32">
        <f t="shared" si="9"/>
        <v>4.7062866534449324</v>
      </c>
      <c r="BP59" s="40">
        <f t="shared" si="56"/>
        <v>4.7062866534449324</v>
      </c>
      <c r="BQ59" s="32"/>
      <c r="BR59" s="32">
        <f t="shared" si="57"/>
        <v>1.0200000000000005</v>
      </c>
      <c r="BS59" s="32">
        <f t="shared" si="58"/>
        <v>1.0200000000000005</v>
      </c>
      <c r="BT59" s="32">
        <f t="shared" si="10"/>
        <v>4.7062866534449324</v>
      </c>
      <c r="BU59" s="40">
        <f t="shared" si="59"/>
        <v>4.7062866534449324</v>
      </c>
      <c r="BV59" s="32"/>
      <c r="BW59" s="32">
        <f t="shared" si="60"/>
        <v>1.0200000000000005</v>
      </c>
      <c r="BX59" s="36">
        <f t="shared" si="61"/>
        <v>1.0200000000000005</v>
      </c>
      <c r="BY59" s="32">
        <f t="shared" si="11"/>
        <v>4.7062866534449324</v>
      </c>
      <c r="BZ59" s="40">
        <f t="shared" si="62"/>
        <v>4.7062866534449324</v>
      </c>
      <c r="CA59" s="32"/>
      <c r="CB59" s="32">
        <f t="shared" si="63"/>
        <v>1.0200000000000005</v>
      </c>
      <c r="CC59" s="36">
        <f t="shared" si="64"/>
        <v>1.0200000000000005</v>
      </c>
      <c r="CD59" s="32">
        <f t="shared" si="12"/>
        <v>4.7062866534449324</v>
      </c>
      <c r="CE59" s="40">
        <f t="shared" si="65"/>
        <v>4.7062866534449324</v>
      </c>
      <c r="CF59" s="32"/>
      <c r="CG59" s="39">
        <f t="shared" si="66"/>
        <v>1.0200000000000005</v>
      </c>
      <c r="CH59" s="39">
        <f t="shared" si="67"/>
        <v>1.0200000000000005</v>
      </c>
      <c r="CI59" s="39">
        <f t="shared" si="13"/>
        <v>4.7062866534449324</v>
      </c>
      <c r="CJ59" s="40">
        <f t="shared" si="68"/>
        <v>4.7062866534449324</v>
      </c>
      <c r="CK59" s="39"/>
      <c r="CL59" s="32">
        <f t="shared" si="69"/>
        <v>1.0200000000000005</v>
      </c>
      <c r="CM59" s="36">
        <f t="shared" si="70"/>
        <v>1.0200000000000005</v>
      </c>
      <c r="CN59" s="32">
        <f t="shared" si="14"/>
        <v>4.7062866534449324</v>
      </c>
      <c r="CO59" s="40">
        <f t="shared" si="71"/>
        <v>4.7062866534449324</v>
      </c>
      <c r="CP59" s="32"/>
      <c r="CQ59" s="32">
        <f t="shared" si="72"/>
        <v>1.0200000000000005</v>
      </c>
      <c r="CR59" s="36">
        <f t="shared" si="73"/>
        <v>1.0200000000000005</v>
      </c>
      <c r="CS59" s="32">
        <f t="shared" si="15"/>
        <v>4.7062866534449324</v>
      </c>
      <c r="CT59" s="40">
        <f t="shared" si="74"/>
        <v>4.7062866534449324</v>
      </c>
      <c r="CU59" s="32"/>
      <c r="CV59" s="32">
        <f t="shared" si="75"/>
        <v>1.0200000000000005</v>
      </c>
      <c r="CW59" s="32">
        <f t="shared" si="76"/>
        <v>1.0200000000000005</v>
      </c>
      <c r="CX59" s="32">
        <f t="shared" si="16"/>
        <v>4.7062866534449324</v>
      </c>
      <c r="CY59" s="40">
        <f t="shared" si="77"/>
        <v>4.7062866534449324</v>
      </c>
      <c r="CZ59" s="32"/>
      <c r="DA59" s="32">
        <f t="shared" si="78"/>
        <v>1.0200000000000005</v>
      </c>
      <c r="DB59" s="36">
        <f t="shared" si="79"/>
        <v>1.0200000000000005</v>
      </c>
      <c r="DC59" s="32">
        <f t="shared" si="17"/>
        <v>4.7062866534449324</v>
      </c>
      <c r="DD59" s="40">
        <f t="shared" si="80"/>
        <v>4.7062866534449324</v>
      </c>
      <c r="DE59" s="32"/>
      <c r="DF59" s="32">
        <f t="shared" si="81"/>
        <v>1.0200000000000005</v>
      </c>
      <c r="DG59" s="36">
        <f t="shared" si="82"/>
        <v>1.0200000000000005</v>
      </c>
      <c r="DH59" s="32">
        <f t="shared" si="18"/>
        <v>4.7062866534449324</v>
      </c>
      <c r="DI59" s="40">
        <f t="shared" si="83"/>
        <v>4.7062866534449324</v>
      </c>
      <c r="DJ59" s="32"/>
      <c r="DK59" s="32">
        <f t="shared" si="84"/>
        <v>1.0200000000000005</v>
      </c>
      <c r="DL59" s="32">
        <f t="shared" si="85"/>
        <v>1.0200000000000005</v>
      </c>
      <c r="DM59" s="32">
        <f t="shared" si="19"/>
        <v>4.7062866534449324</v>
      </c>
      <c r="DN59" s="40">
        <f t="shared" si="86"/>
        <v>4.7062866534449324</v>
      </c>
      <c r="DO59" s="32"/>
      <c r="DP59" s="32">
        <f t="shared" si="87"/>
        <v>1.0200000000000005</v>
      </c>
      <c r="DQ59" s="36">
        <f t="shared" si="88"/>
        <v>1.0200000000000005</v>
      </c>
      <c r="DR59" s="32">
        <f t="shared" si="20"/>
        <v>4.7062866534449324</v>
      </c>
      <c r="DS59" s="40">
        <f t="shared" si="89"/>
        <v>4.7062866534449324</v>
      </c>
      <c r="DT59" s="32"/>
      <c r="DU59" s="32">
        <f t="shared" si="90"/>
        <v>1.0200000000000005</v>
      </c>
      <c r="DV59" s="36">
        <f t="shared" si="91"/>
        <v>1.0200000000000005</v>
      </c>
      <c r="DW59" s="32">
        <f t="shared" si="21"/>
        <v>4.7062866534449324</v>
      </c>
      <c r="DX59" s="40">
        <f t="shared" si="92"/>
        <v>4.7062866534449324</v>
      </c>
      <c r="DY59" s="32"/>
      <c r="DZ59" s="32">
        <f t="shared" si="93"/>
        <v>1.0200000000000005</v>
      </c>
      <c r="EA59" s="32">
        <f t="shared" si="94"/>
        <v>1.0200000000000005</v>
      </c>
      <c r="EB59" s="32">
        <f t="shared" si="22"/>
        <v>4.7062866534449324</v>
      </c>
      <c r="EC59" s="40">
        <f t="shared" si="95"/>
        <v>4.7062866534449324</v>
      </c>
      <c r="ED59" s="32"/>
      <c r="EE59" s="32">
        <f t="shared" si="96"/>
        <v>1.0200000000000005</v>
      </c>
      <c r="EF59" s="36">
        <f t="shared" si="97"/>
        <v>1.0200000000000005</v>
      </c>
      <c r="EG59" s="32">
        <f t="shared" si="23"/>
        <v>4.7062866534449324</v>
      </c>
      <c r="EH59" s="40">
        <f t="shared" si="98"/>
        <v>4.7062866534449324</v>
      </c>
      <c r="EI59" s="32"/>
      <c r="EJ59" s="32">
        <f t="shared" si="99"/>
        <v>1.0200000000000005</v>
      </c>
      <c r="EK59" s="36">
        <f t="shared" si="100"/>
        <v>1.0200000000000005</v>
      </c>
      <c r="EL59" s="32">
        <f t="shared" si="24"/>
        <v>4.7062866534449324</v>
      </c>
      <c r="EM59" s="40">
        <f t="shared" si="101"/>
        <v>4.7062866534449324</v>
      </c>
      <c r="EN59" s="32"/>
      <c r="EO59" s="32">
        <f t="shared" si="102"/>
        <v>1.0200000000000005</v>
      </c>
      <c r="EP59" s="32">
        <f t="shared" si="103"/>
        <v>1.0200000000000005</v>
      </c>
      <c r="EQ59" s="32">
        <f t="shared" si="25"/>
        <v>4.7062866534449324</v>
      </c>
      <c r="ER59" s="40">
        <f t="shared" si="104"/>
        <v>4.7062866534449324</v>
      </c>
      <c r="ES59" s="32"/>
      <c r="ET59" s="32">
        <f t="shared" si="105"/>
        <v>1.0200000000000005</v>
      </c>
      <c r="EU59" s="36">
        <f t="shared" si="106"/>
        <v>1.0200000000000005</v>
      </c>
      <c r="EV59" s="32">
        <f t="shared" si="26"/>
        <v>4.7062866534449324</v>
      </c>
      <c r="EW59" s="40">
        <f t="shared" si="107"/>
        <v>4.7062866534449324</v>
      </c>
      <c r="EX59" s="32"/>
    </row>
    <row r="60" spans="20:154" s="3" customFormat="1" x14ac:dyDescent="0.25">
      <c r="T60" s="32">
        <f t="shared" si="27"/>
        <v>1.0400000000000005</v>
      </c>
      <c r="U60" s="36">
        <f t="shared" si="28"/>
        <v>1.0400000000000005</v>
      </c>
      <c r="V60" s="32">
        <f t="shared" si="0"/>
        <v>4.7242238843531625</v>
      </c>
      <c r="W60" s="40">
        <f t="shared" si="29"/>
        <v>4.7242238843531625</v>
      </c>
      <c r="X60" s="32"/>
      <c r="Y60" s="32">
        <f t="shared" si="30"/>
        <v>1.0400000000000005</v>
      </c>
      <c r="Z60" s="32">
        <f t="shared" si="31"/>
        <v>1.0400000000000005</v>
      </c>
      <c r="AA60" s="32">
        <f t="shared" si="1"/>
        <v>4.7242238843531625</v>
      </c>
      <c r="AB60" s="40">
        <f t="shared" si="32"/>
        <v>4.7242238843531625</v>
      </c>
      <c r="AC60" s="32"/>
      <c r="AD60" s="32">
        <f t="shared" si="33"/>
        <v>1.0400000000000005</v>
      </c>
      <c r="AE60" s="36">
        <f t="shared" si="34"/>
        <v>1.0400000000000005</v>
      </c>
      <c r="AF60" s="32">
        <f t="shared" si="2"/>
        <v>4.7242238843531625</v>
      </c>
      <c r="AG60" s="40">
        <f t="shared" si="35"/>
        <v>4.7242238843531625</v>
      </c>
      <c r="AH60" s="32"/>
      <c r="AI60" s="32">
        <f t="shared" si="36"/>
        <v>1.0400000000000005</v>
      </c>
      <c r="AJ60" s="36">
        <f t="shared" si="37"/>
        <v>1.0400000000000005</v>
      </c>
      <c r="AK60" s="32">
        <f t="shared" si="3"/>
        <v>4.7242238843531625</v>
      </c>
      <c r="AL60" s="40">
        <f t="shared" si="38"/>
        <v>4.7242238843531625</v>
      </c>
      <c r="AM60" s="32"/>
      <c r="AN60" s="32">
        <f t="shared" si="39"/>
        <v>1.0400000000000005</v>
      </c>
      <c r="AO60" s="32">
        <f t="shared" si="40"/>
        <v>1.0400000000000005</v>
      </c>
      <c r="AP60" s="32">
        <f t="shared" si="4"/>
        <v>4.7242238843531625</v>
      </c>
      <c r="AQ60" s="40">
        <f t="shared" si="41"/>
        <v>4.7242238843531625</v>
      </c>
      <c r="AR60" s="32"/>
      <c r="AS60" s="32">
        <f t="shared" si="42"/>
        <v>1.0400000000000005</v>
      </c>
      <c r="AT60" s="36">
        <f t="shared" si="43"/>
        <v>1.0400000000000005</v>
      </c>
      <c r="AU60" s="32">
        <f t="shared" si="5"/>
        <v>4.7242238843531625</v>
      </c>
      <c r="AV60" s="40">
        <f t="shared" si="44"/>
        <v>4.7242238843531625</v>
      </c>
      <c r="AW60" s="32"/>
      <c r="AX60" s="32">
        <f t="shared" si="45"/>
        <v>1.0400000000000005</v>
      </c>
      <c r="AY60" s="36">
        <f t="shared" si="46"/>
        <v>1.0400000000000005</v>
      </c>
      <c r="AZ60" s="32">
        <f t="shared" si="6"/>
        <v>4.7242238843531625</v>
      </c>
      <c r="BA60" s="40">
        <f t="shared" si="47"/>
        <v>4.7242238843531625</v>
      </c>
      <c r="BB60" s="32"/>
      <c r="BC60" s="32">
        <f t="shared" si="48"/>
        <v>1.0400000000000005</v>
      </c>
      <c r="BD60" s="32">
        <f t="shared" si="49"/>
        <v>1.0400000000000005</v>
      </c>
      <c r="BE60" s="32">
        <f t="shared" si="7"/>
        <v>4.7242238843531625</v>
      </c>
      <c r="BF60" s="40">
        <f t="shared" si="50"/>
        <v>4.7242238843531625</v>
      </c>
      <c r="BG60" s="32"/>
      <c r="BH60" s="32">
        <f t="shared" si="51"/>
        <v>1.0400000000000005</v>
      </c>
      <c r="BI60" s="36">
        <f t="shared" si="52"/>
        <v>1.0400000000000005</v>
      </c>
      <c r="BJ60" s="32">
        <f t="shared" si="8"/>
        <v>4.7242238843531625</v>
      </c>
      <c r="BK60" s="40">
        <f t="shared" si="53"/>
        <v>4.7242238843531625</v>
      </c>
      <c r="BL60" s="32"/>
      <c r="BM60" s="32">
        <f t="shared" si="54"/>
        <v>1.0400000000000005</v>
      </c>
      <c r="BN60" s="36">
        <f t="shared" si="55"/>
        <v>1.0400000000000005</v>
      </c>
      <c r="BO60" s="32">
        <f t="shared" si="9"/>
        <v>4.7242238843531625</v>
      </c>
      <c r="BP60" s="40">
        <f t="shared" si="56"/>
        <v>4.7242238843531625</v>
      </c>
      <c r="BQ60" s="32"/>
      <c r="BR60" s="32">
        <f t="shared" si="57"/>
        <v>1.0400000000000005</v>
      </c>
      <c r="BS60" s="32">
        <f t="shared" si="58"/>
        <v>1.0400000000000005</v>
      </c>
      <c r="BT60" s="32">
        <f t="shared" si="10"/>
        <v>4.7242238843531625</v>
      </c>
      <c r="BU60" s="40">
        <f t="shared" si="59"/>
        <v>4.7242238843531625</v>
      </c>
      <c r="BV60" s="32"/>
      <c r="BW60" s="32">
        <f t="shared" si="60"/>
        <v>1.0400000000000005</v>
      </c>
      <c r="BX60" s="36">
        <f t="shared" si="61"/>
        <v>1.0400000000000005</v>
      </c>
      <c r="BY60" s="32">
        <f t="shared" si="11"/>
        <v>4.7242238843531625</v>
      </c>
      <c r="BZ60" s="40">
        <f t="shared" si="62"/>
        <v>4.7242238843531625</v>
      </c>
      <c r="CA60" s="32"/>
      <c r="CB60" s="32">
        <f t="shared" si="63"/>
        <v>1.0400000000000005</v>
      </c>
      <c r="CC60" s="36">
        <f t="shared" si="64"/>
        <v>1.0400000000000005</v>
      </c>
      <c r="CD60" s="32">
        <f t="shared" si="12"/>
        <v>4.7242238843531625</v>
      </c>
      <c r="CE60" s="40">
        <f t="shared" si="65"/>
        <v>4.7242238843531625</v>
      </c>
      <c r="CF60" s="32"/>
      <c r="CG60" s="39">
        <f t="shared" si="66"/>
        <v>1.0400000000000005</v>
      </c>
      <c r="CH60" s="39">
        <f t="shared" si="67"/>
        <v>1.0400000000000005</v>
      </c>
      <c r="CI60" s="39">
        <f t="shared" si="13"/>
        <v>4.7242238843531625</v>
      </c>
      <c r="CJ60" s="40">
        <f t="shared" si="68"/>
        <v>4.7242238843531625</v>
      </c>
      <c r="CK60" s="39"/>
      <c r="CL60" s="32">
        <f t="shared" si="69"/>
        <v>1.0400000000000005</v>
      </c>
      <c r="CM60" s="36">
        <f t="shared" si="70"/>
        <v>1.0400000000000005</v>
      </c>
      <c r="CN60" s="32">
        <f t="shared" si="14"/>
        <v>4.7242238843531625</v>
      </c>
      <c r="CO60" s="40">
        <f t="shared" si="71"/>
        <v>4.7242238843531625</v>
      </c>
      <c r="CP60" s="32"/>
      <c r="CQ60" s="32">
        <f t="shared" si="72"/>
        <v>1.0400000000000005</v>
      </c>
      <c r="CR60" s="36">
        <f t="shared" si="73"/>
        <v>1.0400000000000005</v>
      </c>
      <c r="CS60" s="32">
        <f t="shared" si="15"/>
        <v>4.7242238843531625</v>
      </c>
      <c r="CT60" s="40">
        <f t="shared" si="74"/>
        <v>4.7242238843531625</v>
      </c>
      <c r="CU60" s="32"/>
      <c r="CV60" s="32">
        <f t="shared" si="75"/>
        <v>1.0400000000000005</v>
      </c>
      <c r="CW60" s="32">
        <f t="shared" si="76"/>
        <v>1.0400000000000005</v>
      </c>
      <c r="CX60" s="32">
        <f t="shared" si="16"/>
        <v>4.7242238843531625</v>
      </c>
      <c r="CY60" s="40">
        <f t="shared" si="77"/>
        <v>4.7242238843531625</v>
      </c>
      <c r="CZ60" s="32"/>
      <c r="DA60" s="32">
        <f t="shared" si="78"/>
        <v>1.0400000000000005</v>
      </c>
      <c r="DB60" s="36">
        <f t="shared" si="79"/>
        <v>1.0400000000000005</v>
      </c>
      <c r="DC60" s="32">
        <f t="shared" si="17"/>
        <v>4.7242238843531625</v>
      </c>
      <c r="DD60" s="40">
        <f t="shared" si="80"/>
        <v>4.7242238843531625</v>
      </c>
      <c r="DE60" s="32"/>
      <c r="DF60" s="32">
        <f t="shared" si="81"/>
        <v>1.0400000000000005</v>
      </c>
      <c r="DG60" s="36">
        <f t="shared" si="82"/>
        <v>1.0400000000000005</v>
      </c>
      <c r="DH60" s="32">
        <f t="shared" si="18"/>
        <v>4.7242238843531625</v>
      </c>
      <c r="DI60" s="40">
        <f t="shared" si="83"/>
        <v>4.7242238843531625</v>
      </c>
      <c r="DJ60" s="32"/>
      <c r="DK60" s="32">
        <f t="shared" si="84"/>
        <v>1.0400000000000005</v>
      </c>
      <c r="DL60" s="32">
        <f t="shared" si="85"/>
        <v>1.0400000000000005</v>
      </c>
      <c r="DM60" s="32">
        <f t="shared" si="19"/>
        <v>4.7242238843531625</v>
      </c>
      <c r="DN60" s="40">
        <f t="shared" si="86"/>
        <v>4.7242238843531625</v>
      </c>
      <c r="DO60" s="32"/>
      <c r="DP60" s="32">
        <f t="shared" si="87"/>
        <v>1.0400000000000005</v>
      </c>
      <c r="DQ60" s="36">
        <f t="shared" si="88"/>
        <v>1.0400000000000005</v>
      </c>
      <c r="DR60" s="32">
        <f t="shared" si="20"/>
        <v>4.7242238843531625</v>
      </c>
      <c r="DS60" s="40">
        <f t="shared" si="89"/>
        <v>4.7242238843531625</v>
      </c>
      <c r="DT60" s="32"/>
      <c r="DU60" s="32">
        <f t="shared" si="90"/>
        <v>1.0400000000000005</v>
      </c>
      <c r="DV60" s="36">
        <f t="shared" si="91"/>
        <v>1.0400000000000005</v>
      </c>
      <c r="DW60" s="32">
        <f t="shared" si="21"/>
        <v>4.7242238843531625</v>
      </c>
      <c r="DX60" s="40">
        <f t="shared" si="92"/>
        <v>4.7242238843531625</v>
      </c>
      <c r="DY60" s="32"/>
      <c r="DZ60" s="32">
        <f t="shared" si="93"/>
        <v>1.0400000000000005</v>
      </c>
      <c r="EA60" s="32">
        <f t="shared" si="94"/>
        <v>1.0400000000000005</v>
      </c>
      <c r="EB60" s="32">
        <f t="shared" si="22"/>
        <v>4.7242238843531625</v>
      </c>
      <c r="EC60" s="40">
        <f t="shared" si="95"/>
        <v>4.7242238843531625</v>
      </c>
      <c r="ED60" s="32"/>
      <c r="EE60" s="32">
        <f t="shared" si="96"/>
        <v>1.0400000000000005</v>
      </c>
      <c r="EF60" s="36">
        <f t="shared" si="97"/>
        <v>1.0400000000000005</v>
      </c>
      <c r="EG60" s="32">
        <f t="shared" si="23"/>
        <v>4.7242238843531625</v>
      </c>
      <c r="EH60" s="40">
        <f t="shared" si="98"/>
        <v>4.7242238843531625</v>
      </c>
      <c r="EI60" s="32"/>
      <c r="EJ60" s="32">
        <f t="shared" si="99"/>
        <v>1.0400000000000005</v>
      </c>
      <c r="EK60" s="36">
        <f t="shared" si="100"/>
        <v>1.0400000000000005</v>
      </c>
      <c r="EL60" s="32">
        <f t="shared" si="24"/>
        <v>4.7242238843531625</v>
      </c>
      <c r="EM60" s="40">
        <f t="shared" si="101"/>
        <v>4.7242238843531625</v>
      </c>
      <c r="EN60" s="32"/>
      <c r="EO60" s="32">
        <f t="shared" si="102"/>
        <v>1.0400000000000005</v>
      </c>
      <c r="EP60" s="32">
        <f t="shared" si="103"/>
        <v>1.0400000000000005</v>
      </c>
      <c r="EQ60" s="32">
        <f t="shared" si="25"/>
        <v>4.7242238843531625</v>
      </c>
      <c r="ER60" s="40">
        <f t="shared" si="104"/>
        <v>4.7242238843531625</v>
      </c>
      <c r="ES60" s="32"/>
      <c r="ET60" s="32">
        <f t="shared" si="105"/>
        <v>1.0400000000000005</v>
      </c>
      <c r="EU60" s="36">
        <f t="shared" si="106"/>
        <v>1.0400000000000005</v>
      </c>
      <c r="EV60" s="32">
        <f t="shared" si="26"/>
        <v>4.7242238843531625</v>
      </c>
      <c r="EW60" s="40">
        <f t="shared" si="107"/>
        <v>4.7242238843531625</v>
      </c>
      <c r="EX60" s="32"/>
    </row>
    <row r="61" spans="20:154" s="3" customFormat="1" x14ac:dyDescent="0.25">
      <c r="T61" s="32">
        <f t="shared" si="27"/>
        <v>1.0600000000000005</v>
      </c>
      <c r="U61" s="36">
        <f t="shared" si="28"/>
        <v>1.0600000000000005</v>
      </c>
      <c r="V61" s="32">
        <f t="shared" si="0"/>
        <v>4.7394526025335439</v>
      </c>
      <c r="W61" s="40">
        <f t="shared" si="29"/>
        <v>4.7394526025335439</v>
      </c>
      <c r="X61" s="32"/>
      <c r="Y61" s="32">
        <f t="shared" si="30"/>
        <v>1.0600000000000005</v>
      </c>
      <c r="Z61" s="32">
        <f t="shared" si="31"/>
        <v>1.0600000000000005</v>
      </c>
      <c r="AA61" s="32">
        <f t="shared" si="1"/>
        <v>4.7394526025335439</v>
      </c>
      <c r="AB61" s="40">
        <f t="shared" si="32"/>
        <v>4.7394526025335439</v>
      </c>
      <c r="AC61" s="32"/>
      <c r="AD61" s="32">
        <f t="shared" si="33"/>
        <v>1.0600000000000005</v>
      </c>
      <c r="AE61" s="36">
        <f t="shared" si="34"/>
        <v>1.0600000000000005</v>
      </c>
      <c r="AF61" s="32">
        <f t="shared" si="2"/>
        <v>4.7394526025335439</v>
      </c>
      <c r="AG61" s="40">
        <f t="shared" si="35"/>
        <v>4.7394526025335439</v>
      </c>
      <c r="AH61" s="32"/>
      <c r="AI61" s="32">
        <f t="shared" si="36"/>
        <v>1.0600000000000005</v>
      </c>
      <c r="AJ61" s="36">
        <f t="shared" si="37"/>
        <v>1.0600000000000005</v>
      </c>
      <c r="AK61" s="32">
        <f t="shared" si="3"/>
        <v>4.7394526025335439</v>
      </c>
      <c r="AL61" s="40">
        <f t="shared" si="38"/>
        <v>4.7394526025335439</v>
      </c>
      <c r="AM61" s="32"/>
      <c r="AN61" s="32">
        <f t="shared" si="39"/>
        <v>1.0600000000000005</v>
      </c>
      <c r="AO61" s="32">
        <f t="shared" si="40"/>
        <v>1.0600000000000005</v>
      </c>
      <c r="AP61" s="32">
        <f t="shared" si="4"/>
        <v>4.7394526025335439</v>
      </c>
      <c r="AQ61" s="40">
        <f t="shared" si="41"/>
        <v>4.7394526025335439</v>
      </c>
      <c r="AR61" s="32"/>
      <c r="AS61" s="32">
        <f t="shared" si="42"/>
        <v>1.0600000000000005</v>
      </c>
      <c r="AT61" s="36">
        <f t="shared" si="43"/>
        <v>1.0600000000000005</v>
      </c>
      <c r="AU61" s="32">
        <f t="shared" si="5"/>
        <v>4.7394526025335439</v>
      </c>
      <c r="AV61" s="40">
        <f t="shared" si="44"/>
        <v>4.7394526025335439</v>
      </c>
      <c r="AW61" s="32"/>
      <c r="AX61" s="32">
        <f t="shared" si="45"/>
        <v>1.0600000000000005</v>
      </c>
      <c r="AY61" s="36">
        <f t="shared" si="46"/>
        <v>1.0600000000000005</v>
      </c>
      <c r="AZ61" s="32">
        <f t="shared" si="6"/>
        <v>4.7394526025335439</v>
      </c>
      <c r="BA61" s="40">
        <f t="shared" si="47"/>
        <v>4.7394526025335439</v>
      </c>
      <c r="BB61" s="32"/>
      <c r="BC61" s="32">
        <f t="shared" si="48"/>
        <v>1.0600000000000005</v>
      </c>
      <c r="BD61" s="32">
        <f t="shared" si="49"/>
        <v>1.0600000000000005</v>
      </c>
      <c r="BE61" s="32">
        <f t="shared" si="7"/>
        <v>4.7394526025335439</v>
      </c>
      <c r="BF61" s="40">
        <f t="shared" si="50"/>
        <v>4.7394526025335439</v>
      </c>
      <c r="BG61" s="32"/>
      <c r="BH61" s="32">
        <f t="shared" si="51"/>
        <v>1.0600000000000005</v>
      </c>
      <c r="BI61" s="36">
        <f t="shared" si="52"/>
        <v>1.0600000000000005</v>
      </c>
      <c r="BJ61" s="32">
        <f t="shared" si="8"/>
        <v>4.7394526025335439</v>
      </c>
      <c r="BK61" s="40">
        <f t="shared" si="53"/>
        <v>4.7394526025335439</v>
      </c>
      <c r="BL61" s="32"/>
      <c r="BM61" s="32">
        <f t="shared" si="54"/>
        <v>1.0600000000000005</v>
      </c>
      <c r="BN61" s="36">
        <f t="shared" si="55"/>
        <v>1.0600000000000005</v>
      </c>
      <c r="BO61" s="32">
        <f t="shared" si="9"/>
        <v>4.7394526025335439</v>
      </c>
      <c r="BP61" s="40">
        <f t="shared" si="56"/>
        <v>4.7394526025335439</v>
      </c>
      <c r="BQ61" s="32"/>
      <c r="BR61" s="32">
        <f t="shared" si="57"/>
        <v>1.0600000000000005</v>
      </c>
      <c r="BS61" s="32">
        <f t="shared" si="58"/>
        <v>1.0600000000000005</v>
      </c>
      <c r="BT61" s="32">
        <f t="shared" si="10"/>
        <v>4.7394526025335439</v>
      </c>
      <c r="BU61" s="40">
        <f t="shared" si="59"/>
        <v>4.7394526025335439</v>
      </c>
      <c r="BV61" s="32"/>
      <c r="BW61" s="32">
        <f t="shared" si="60"/>
        <v>1.0600000000000005</v>
      </c>
      <c r="BX61" s="36">
        <f t="shared" si="61"/>
        <v>1.0600000000000005</v>
      </c>
      <c r="BY61" s="32">
        <f t="shared" si="11"/>
        <v>4.7394526025335439</v>
      </c>
      <c r="BZ61" s="40">
        <f t="shared" si="62"/>
        <v>4.7394526025335439</v>
      </c>
      <c r="CA61" s="32"/>
      <c r="CB61" s="32">
        <f t="shared" si="63"/>
        <v>1.0600000000000005</v>
      </c>
      <c r="CC61" s="36">
        <f t="shared" si="64"/>
        <v>1.0600000000000005</v>
      </c>
      <c r="CD61" s="32">
        <f t="shared" si="12"/>
        <v>4.7394526025335439</v>
      </c>
      <c r="CE61" s="40">
        <f t="shared" si="65"/>
        <v>4.7394526025335439</v>
      </c>
      <c r="CF61" s="32"/>
      <c r="CG61" s="39">
        <f t="shared" si="66"/>
        <v>1.0600000000000005</v>
      </c>
      <c r="CH61" s="39">
        <f t="shared" si="67"/>
        <v>1.0600000000000005</v>
      </c>
      <c r="CI61" s="39">
        <f t="shared" si="13"/>
        <v>4.7394526025335439</v>
      </c>
      <c r="CJ61" s="40">
        <f t="shared" si="68"/>
        <v>4.7394526025335439</v>
      </c>
      <c r="CK61" s="39"/>
      <c r="CL61" s="32">
        <f t="shared" si="69"/>
        <v>1.0600000000000005</v>
      </c>
      <c r="CM61" s="36">
        <f t="shared" si="70"/>
        <v>1.0600000000000005</v>
      </c>
      <c r="CN61" s="32">
        <f t="shared" si="14"/>
        <v>4.7394526025335439</v>
      </c>
      <c r="CO61" s="40">
        <f t="shared" si="71"/>
        <v>4.7394526025335439</v>
      </c>
      <c r="CP61" s="32"/>
      <c r="CQ61" s="32">
        <f t="shared" si="72"/>
        <v>1.0600000000000005</v>
      </c>
      <c r="CR61" s="36">
        <f t="shared" si="73"/>
        <v>1.0600000000000005</v>
      </c>
      <c r="CS61" s="32">
        <f t="shared" si="15"/>
        <v>4.7394526025335439</v>
      </c>
      <c r="CT61" s="40">
        <f t="shared" si="74"/>
        <v>4.7394526025335439</v>
      </c>
      <c r="CU61" s="32"/>
      <c r="CV61" s="32">
        <f t="shared" si="75"/>
        <v>1.0600000000000005</v>
      </c>
      <c r="CW61" s="32">
        <f t="shared" si="76"/>
        <v>1.0600000000000005</v>
      </c>
      <c r="CX61" s="32">
        <f t="shared" si="16"/>
        <v>4.7394526025335439</v>
      </c>
      <c r="CY61" s="40">
        <f t="shared" si="77"/>
        <v>4.7394526025335439</v>
      </c>
      <c r="CZ61" s="32"/>
      <c r="DA61" s="32">
        <f t="shared" si="78"/>
        <v>1.0600000000000005</v>
      </c>
      <c r="DB61" s="36">
        <f t="shared" si="79"/>
        <v>1.0600000000000005</v>
      </c>
      <c r="DC61" s="32">
        <f t="shared" si="17"/>
        <v>4.7394526025335439</v>
      </c>
      <c r="DD61" s="40">
        <f t="shared" si="80"/>
        <v>4.7394526025335439</v>
      </c>
      <c r="DE61" s="32"/>
      <c r="DF61" s="32">
        <f t="shared" si="81"/>
        <v>1.0600000000000005</v>
      </c>
      <c r="DG61" s="36">
        <f t="shared" si="82"/>
        <v>1.0600000000000005</v>
      </c>
      <c r="DH61" s="32">
        <f t="shared" si="18"/>
        <v>4.7394526025335439</v>
      </c>
      <c r="DI61" s="40">
        <f t="shared" si="83"/>
        <v>4.7394526025335439</v>
      </c>
      <c r="DJ61" s="32"/>
      <c r="DK61" s="32">
        <f t="shared" si="84"/>
        <v>1.0600000000000005</v>
      </c>
      <c r="DL61" s="32">
        <f t="shared" si="85"/>
        <v>1.0600000000000005</v>
      </c>
      <c r="DM61" s="32">
        <f t="shared" si="19"/>
        <v>4.7394526025335439</v>
      </c>
      <c r="DN61" s="40">
        <f t="shared" si="86"/>
        <v>4.7394526025335439</v>
      </c>
      <c r="DO61" s="32"/>
      <c r="DP61" s="32">
        <f t="shared" si="87"/>
        <v>1.0600000000000005</v>
      </c>
      <c r="DQ61" s="36">
        <f t="shared" si="88"/>
        <v>1.0600000000000005</v>
      </c>
      <c r="DR61" s="32">
        <f t="shared" si="20"/>
        <v>4.7394526025335439</v>
      </c>
      <c r="DS61" s="40">
        <f t="shared" si="89"/>
        <v>4.7394526025335439</v>
      </c>
      <c r="DT61" s="32"/>
      <c r="DU61" s="32">
        <f t="shared" si="90"/>
        <v>1.0600000000000005</v>
      </c>
      <c r="DV61" s="36">
        <f t="shared" si="91"/>
        <v>1.0600000000000005</v>
      </c>
      <c r="DW61" s="32">
        <f t="shared" si="21"/>
        <v>4.7394526025335439</v>
      </c>
      <c r="DX61" s="40">
        <f t="shared" si="92"/>
        <v>4.7394526025335439</v>
      </c>
      <c r="DY61" s="32"/>
      <c r="DZ61" s="32">
        <f t="shared" si="93"/>
        <v>1.0600000000000005</v>
      </c>
      <c r="EA61" s="32">
        <f t="shared" si="94"/>
        <v>1.0600000000000005</v>
      </c>
      <c r="EB61" s="32">
        <f t="shared" si="22"/>
        <v>4.7394526025335439</v>
      </c>
      <c r="EC61" s="40">
        <f t="shared" si="95"/>
        <v>4.7394526025335439</v>
      </c>
      <c r="ED61" s="32"/>
      <c r="EE61" s="32">
        <f t="shared" si="96"/>
        <v>1.0600000000000005</v>
      </c>
      <c r="EF61" s="36">
        <f t="shared" si="97"/>
        <v>1.0600000000000005</v>
      </c>
      <c r="EG61" s="32">
        <f t="shared" si="23"/>
        <v>4.7394526025335439</v>
      </c>
      <c r="EH61" s="40">
        <f t="shared" si="98"/>
        <v>4.7394526025335439</v>
      </c>
      <c r="EI61" s="32"/>
      <c r="EJ61" s="32">
        <f t="shared" si="99"/>
        <v>1.0600000000000005</v>
      </c>
      <c r="EK61" s="36">
        <f t="shared" si="100"/>
        <v>1.0600000000000005</v>
      </c>
      <c r="EL61" s="32">
        <f t="shared" si="24"/>
        <v>4.7394526025335439</v>
      </c>
      <c r="EM61" s="40">
        <f t="shared" si="101"/>
        <v>4.7394526025335439</v>
      </c>
      <c r="EN61" s="32"/>
      <c r="EO61" s="32">
        <f t="shared" si="102"/>
        <v>1.0600000000000005</v>
      </c>
      <c r="EP61" s="32">
        <f t="shared" si="103"/>
        <v>1.0600000000000005</v>
      </c>
      <c r="EQ61" s="32">
        <f t="shared" si="25"/>
        <v>4.7394526025335439</v>
      </c>
      <c r="ER61" s="40">
        <f t="shared" si="104"/>
        <v>4.7394526025335439</v>
      </c>
      <c r="ES61" s="32"/>
      <c r="ET61" s="32">
        <f t="shared" si="105"/>
        <v>1.0600000000000005</v>
      </c>
      <c r="EU61" s="36">
        <f t="shared" si="106"/>
        <v>1.0600000000000005</v>
      </c>
      <c r="EV61" s="32">
        <f t="shared" si="26"/>
        <v>4.7394526025335439</v>
      </c>
      <c r="EW61" s="40">
        <f t="shared" si="107"/>
        <v>4.7394526025335439</v>
      </c>
      <c r="EX61" s="32"/>
    </row>
    <row r="62" spans="20:154" s="3" customFormat="1" x14ac:dyDescent="0.25">
      <c r="T62" s="32">
        <f t="shared" si="27"/>
        <v>1.0800000000000005</v>
      </c>
      <c r="U62" s="36">
        <f t="shared" si="28"/>
        <v>1.0800000000000005</v>
      </c>
      <c r="V62" s="32">
        <f t="shared" si="0"/>
        <v>4.7519728079860784</v>
      </c>
      <c r="W62" s="40">
        <f t="shared" si="29"/>
        <v>4.7519728079860784</v>
      </c>
      <c r="X62" s="32"/>
      <c r="Y62" s="32">
        <f t="shared" si="30"/>
        <v>1.0800000000000005</v>
      </c>
      <c r="Z62" s="32">
        <f t="shared" si="31"/>
        <v>1.0800000000000005</v>
      </c>
      <c r="AA62" s="32">
        <f t="shared" si="1"/>
        <v>4.7519728079860784</v>
      </c>
      <c r="AB62" s="40">
        <f t="shared" si="32"/>
        <v>4.7519728079860784</v>
      </c>
      <c r="AC62" s="32"/>
      <c r="AD62" s="32">
        <f t="shared" si="33"/>
        <v>1.0800000000000005</v>
      </c>
      <c r="AE62" s="36">
        <f t="shared" si="34"/>
        <v>1.0800000000000005</v>
      </c>
      <c r="AF62" s="32">
        <f t="shared" si="2"/>
        <v>4.7519728079860784</v>
      </c>
      <c r="AG62" s="40">
        <f t="shared" si="35"/>
        <v>4.7519728079860784</v>
      </c>
      <c r="AH62" s="32"/>
      <c r="AI62" s="32">
        <f t="shared" si="36"/>
        <v>1.0800000000000005</v>
      </c>
      <c r="AJ62" s="36">
        <f t="shared" si="37"/>
        <v>1.0800000000000005</v>
      </c>
      <c r="AK62" s="32">
        <f t="shared" si="3"/>
        <v>4.7519728079860784</v>
      </c>
      <c r="AL62" s="40">
        <f t="shared" si="38"/>
        <v>4.7519728079860784</v>
      </c>
      <c r="AM62" s="32"/>
      <c r="AN62" s="32">
        <f t="shared" si="39"/>
        <v>1.0800000000000005</v>
      </c>
      <c r="AO62" s="32">
        <f t="shared" si="40"/>
        <v>1.0800000000000005</v>
      </c>
      <c r="AP62" s="32">
        <f t="shared" si="4"/>
        <v>4.7519728079860784</v>
      </c>
      <c r="AQ62" s="40">
        <f t="shared" si="41"/>
        <v>4.7519728079860784</v>
      </c>
      <c r="AR62" s="32"/>
      <c r="AS62" s="32">
        <f t="shared" si="42"/>
        <v>1.0800000000000005</v>
      </c>
      <c r="AT62" s="36">
        <f t="shared" si="43"/>
        <v>1.0800000000000005</v>
      </c>
      <c r="AU62" s="32">
        <f t="shared" si="5"/>
        <v>4.7519728079860784</v>
      </c>
      <c r="AV62" s="40">
        <f t="shared" si="44"/>
        <v>4.7519728079860784</v>
      </c>
      <c r="AW62" s="32"/>
      <c r="AX62" s="32">
        <f t="shared" si="45"/>
        <v>1.0800000000000005</v>
      </c>
      <c r="AY62" s="36">
        <f t="shared" si="46"/>
        <v>1.0800000000000005</v>
      </c>
      <c r="AZ62" s="32">
        <f t="shared" si="6"/>
        <v>4.7519728079860784</v>
      </c>
      <c r="BA62" s="40">
        <f t="shared" si="47"/>
        <v>4.7519728079860784</v>
      </c>
      <c r="BB62" s="32"/>
      <c r="BC62" s="32">
        <f t="shared" si="48"/>
        <v>1.0800000000000005</v>
      </c>
      <c r="BD62" s="32">
        <f t="shared" si="49"/>
        <v>1.0800000000000005</v>
      </c>
      <c r="BE62" s="32">
        <f t="shared" si="7"/>
        <v>4.7519728079860784</v>
      </c>
      <c r="BF62" s="40">
        <f t="shared" si="50"/>
        <v>4.7519728079860784</v>
      </c>
      <c r="BG62" s="32"/>
      <c r="BH62" s="32">
        <f t="shared" si="51"/>
        <v>1.0800000000000005</v>
      </c>
      <c r="BI62" s="36">
        <f t="shared" si="52"/>
        <v>1.0800000000000005</v>
      </c>
      <c r="BJ62" s="32">
        <f t="shared" si="8"/>
        <v>4.7519728079860784</v>
      </c>
      <c r="BK62" s="40">
        <f t="shared" si="53"/>
        <v>4.7519728079860784</v>
      </c>
      <c r="BL62" s="32"/>
      <c r="BM62" s="32">
        <f t="shared" si="54"/>
        <v>1.0800000000000005</v>
      </c>
      <c r="BN62" s="36">
        <f t="shared" si="55"/>
        <v>1.0800000000000005</v>
      </c>
      <c r="BO62" s="32">
        <f t="shared" si="9"/>
        <v>4.7519728079860784</v>
      </c>
      <c r="BP62" s="40">
        <f t="shared" si="56"/>
        <v>4.7519728079860784</v>
      </c>
      <c r="BQ62" s="32"/>
      <c r="BR62" s="32">
        <f t="shared" si="57"/>
        <v>1.0800000000000005</v>
      </c>
      <c r="BS62" s="32">
        <f t="shared" si="58"/>
        <v>1.0800000000000005</v>
      </c>
      <c r="BT62" s="32">
        <f t="shared" si="10"/>
        <v>4.7519728079860784</v>
      </c>
      <c r="BU62" s="40">
        <f t="shared" si="59"/>
        <v>4.7519728079860784</v>
      </c>
      <c r="BV62" s="32"/>
      <c r="BW62" s="32">
        <f t="shared" si="60"/>
        <v>1.0800000000000005</v>
      </c>
      <c r="BX62" s="36">
        <f t="shared" si="61"/>
        <v>1.0800000000000005</v>
      </c>
      <c r="BY62" s="32">
        <f t="shared" si="11"/>
        <v>4.7519728079860784</v>
      </c>
      <c r="BZ62" s="40">
        <f t="shared" si="62"/>
        <v>4.7519728079860784</v>
      </c>
      <c r="CA62" s="32"/>
      <c r="CB62" s="32">
        <f t="shared" si="63"/>
        <v>1.0800000000000005</v>
      </c>
      <c r="CC62" s="36">
        <f t="shared" si="64"/>
        <v>1.0800000000000005</v>
      </c>
      <c r="CD62" s="32">
        <f t="shared" si="12"/>
        <v>4.7519728079860784</v>
      </c>
      <c r="CE62" s="40">
        <f t="shared" si="65"/>
        <v>4.7519728079860784</v>
      </c>
      <c r="CF62" s="32"/>
      <c r="CG62" s="39">
        <f t="shared" si="66"/>
        <v>1.0800000000000005</v>
      </c>
      <c r="CH62" s="39">
        <f t="shared" si="67"/>
        <v>1.0800000000000005</v>
      </c>
      <c r="CI62" s="39">
        <f t="shared" si="13"/>
        <v>4.7519728079860784</v>
      </c>
      <c r="CJ62" s="40">
        <f t="shared" si="68"/>
        <v>4.7519728079860784</v>
      </c>
      <c r="CK62" s="39"/>
      <c r="CL62" s="32">
        <f t="shared" si="69"/>
        <v>1.0800000000000005</v>
      </c>
      <c r="CM62" s="36">
        <f t="shared" si="70"/>
        <v>1.0800000000000005</v>
      </c>
      <c r="CN62" s="32">
        <f t="shared" si="14"/>
        <v>4.7519728079860784</v>
      </c>
      <c r="CO62" s="40">
        <f t="shared" si="71"/>
        <v>4.7519728079860784</v>
      </c>
      <c r="CP62" s="32"/>
      <c r="CQ62" s="32">
        <f t="shared" si="72"/>
        <v>1.0800000000000005</v>
      </c>
      <c r="CR62" s="36">
        <f t="shared" si="73"/>
        <v>1.0800000000000005</v>
      </c>
      <c r="CS62" s="32">
        <f t="shared" si="15"/>
        <v>4.7519728079860784</v>
      </c>
      <c r="CT62" s="40">
        <f t="shared" si="74"/>
        <v>4.7519728079860784</v>
      </c>
      <c r="CU62" s="32"/>
      <c r="CV62" s="32">
        <f t="shared" si="75"/>
        <v>1.0800000000000005</v>
      </c>
      <c r="CW62" s="32">
        <f t="shared" si="76"/>
        <v>1.0800000000000005</v>
      </c>
      <c r="CX62" s="32">
        <f t="shared" si="16"/>
        <v>4.7519728079860784</v>
      </c>
      <c r="CY62" s="40">
        <f t="shared" si="77"/>
        <v>4.7519728079860784</v>
      </c>
      <c r="CZ62" s="32"/>
      <c r="DA62" s="32">
        <f t="shared" si="78"/>
        <v>1.0800000000000005</v>
      </c>
      <c r="DB62" s="36">
        <f t="shared" si="79"/>
        <v>1.0800000000000005</v>
      </c>
      <c r="DC62" s="32">
        <f t="shared" si="17"/>
        <v>4.7519728079860784</v>
      </c>
      <c r="DD62" s="40">
        <f t="shared" si="80"/>
        <v>4.7519728079860784</v>
      </c>
      <c r="DE62" s="32"/>
      <c r="DF62" s="32">
        <f t="shared" si="81"/>
        <v>1.0800000000000005</v>
      </c>
      <c r="DG62" s="36">
        <f t="shared" si="82"/>
        <v>1.0800000000000005</v>
      </c>
      <c r="DH62" s="32">
        <f t="shared" si="18"/>
        <v>4.7519728079860784</v>
      </c>
      <c r="DI62" s="40">
        <f t="shared" si="83"/>
        <v>4.7519728079860784</v>
      </c>
      <c r="DJ62" s="32"/>
      <c r="DK62" s="32">
        <f t="shared" si="84"/>
        <v>1.0800000000000005</v>
      </c>
      <c r="DL62" s="32">
        <f t="shared" si="85"/>
        <v>1.0800000000000005</v>
      </c>
      <c r="DM62" s="32">
        <f t="shared" si="19"/>
        <v>4.7519728079860784</v>
      </c>
      <c r="DN62" s="40">
        <f t="shared" si="86"/>
        <v>4.7519728079860784</v>
      </c>
      <c r="DO62" s="32"/>
      <c r="DP62" s="32">
        <f t="shared" si="87"/>
        <v>1.0800000000000005</v>
      </c>
      <c r="DQ62" s="36">
        <f t="shared" si="88"/>
        <v>1.0800000000000005</v>
      </c>
      <c r="DR62" s="32">
        <f t="shared" si="20"/>
        <v>4.7519728079860784</v>
      </c>
      <c r="DS62" s="40">
        <f t="shared" si="89"/>
        <v>4.7519728079860784</v>
      </c>
      <c r="DT62" s="32"/>
      <c r="DU62" s="32">
        <f t="shared" si="90"/>
        <v>1.0800000000000005</v>
      </c>
      <c r="DV62" s="36">
        <f t="shared" si="91"/>
        <v>1.0800000000000005</v>
      </c>
      <c r="DW62" s="32">
        <f t="shared" si="21"/>
        <v>4.7519728079860784</v>
      </c>
      <c r="DX62" s="40">
        <f t="shared" si="92"/>
        <v>4.7519728079860784</v>
      </c>
      <c r="DY62" s="32"/>
      <c r="DZ62" s="32">
        <f t="shared" si="93"/>
        <v>1.0800000000000005</v>
      </c>
      <c r="EA62" s="32">
        <f t="shared" si="94"/>
        <v>1.0800000000000005</v>
      </c>
      <c r="EB62" s="32">
        <f t="shared" si="22"/>
        <v>4.7519728079860784</v>
      </c>
      <c r="EC62" s="40">
        <f t="shared" si="95"/>
        <v>4.7519728079860784</v>
      </c>
      <c r="ED62" s="32"/>
      <c r="EE62" s="32">
        <f t="shared" si="96"/>
        <v>1.0800000000000005</v>
      </c>
      <c r="EF62" s="36">
        <f t="shared" si="97"/>
        <v>1.0800000000000005</v>
      </c>
      <c r="EG62" s="32">
        <f t="shared" si="23"/>
        <v>4.7519728079860784</v>
      </c>
      <c r="EH62" s="40">
        <f t="shared" si="98"/>
        <v>4.7519728079860784</v>
      </c>
      <c r="EI62" s="32"/>
      <c r="EJ62" s="32">
        <f t="shared" si="99"/>
        <v>1.0800000000000005</v>
      </c>
      <c r="EK62" s="36">
        <f t="shared" si="100"/>
        <v>1.0800000000000005</v>
      </c>
      <c r="EL62" s="32">
        <f t="shared" si="24"/>
        <v>4.7519728079860784</v>
      </c>
      <c r="EM62" s="40">
        <f t="shared" si="101"/>
        <v>4.7519728079860784</v>
      </c>
      <c r="EN62" s="32"/>
      <c r="EO62" s="32">
        <f t="shared" si="102"/>
        <v>1.0800000000000005</v>
      </c>
      <c r="EP62" s="32">
        <f t="shared" si="103"/>
        <v>1.0800000000000005</v>
      </c>
      <c r="EQ62" s="32">
        <f t="shared" si="25"/>
        <v>4.7519728079860784</v>
      </c>
      <c r="ER62" s="40">
        <f t="shared" si="104"/>
        <v>4.7519728079860784</v>
      </c>
      <c r="ES62" s="32"/>
      <c r="ET62" s="32">
        <f t="shared" si="105"/>
        <v>1.0800000000000005</v>
      </c>
      <c r="EU62" s="36">
        <f t="shared" si="106"/>
        <v>1.0800000000000005</v>
      </c>
      <c r="EV62" s="32">
        <f t="shared" si="26"/>
        <v>4.7519728079860784</v>
      </c>
      <c r="EW62" s="40">
        <f t="shared" si="107"/>
        <v>4.7519728079860784</v>
      </c>
      <c r="EX62" s="32"/>
    </row>
    <row r="63" spans="20:154" s="3" customFormat="1" x14ac:dyDescent="0.25">
      <c r="T63" s="32">
        <f t="shared" si="27"/>
        <v>1.1000000000000005</v>
      </c>
      <c r="U63" s="36">
        <f t="shared" si="28"/>
        <v>1.1000000000000005</v>
      </c>
      <c r="V63" s="32">
        <f t="shared" si="0"/>
        <v>4.7617845007107666</v>
      </c>
      <c r="W63" s="40">
        <f t="shared" si="29"/>
        <v>4.7617845007107666</v>
      </c>
      <c r="X63" s="32"/>
      <c r="Y63" s="32">
        <f t="shared" si="30"/>
        <v>1.1000000000000005</v>
      </c>
      <c r="Z63" s="32">
        <f t="shared" si="31"/>
        <v>1.1000000000000005</v>
      </c>
      <c r="AA63" s="32">
        <f t="shared" si="1"/>
        <v>4.7617845007107666</v>
      </c>
      <c r="AB63" s="40">
        <f t="shared" si="32"/>
        <v>4.7617845007107666</v>
      </c>
      <c r="AC63" s="32"/>
      <c r="AD63" s="32">
        <f t="shared" si="33"/>
        <v>1.1000000000000005</v>
      </c>
      <c r="AE63" s="36">
        <f t="shared" si="34"/>
        <v>1.1000000000000005</v>
      </c>
      <c r="AF63" s="32">
        <f t="shared" si="2"/>
        <v>4.7617845007107666</v>
      </c>
      <c r="AG63" s="40">
        <f t="shared" si="35"/>
        <v>4.7617845007107666</v>
      </c>
      <c r="AH63" s="32"/>
      <c r="AI63" s="32">
        <f t="shared" si="36"/>
        <v>1.1000000000000005</v>
      </c>
      <c r="AJ63" s="36">
        <f t="shared" si="37"/>
        <v>1.1000000000000005</v>
      </c>
      <c r="AK63" s="32">
        <f t="shared" si="3"/>
        <v>4.7617845007107666</v>
      </c>
      <c r="AL63" s="40">
        <f t="shared" si="38"/>
        <v>4.7617845007107666</v>
      </c>
      <c r="AM63" s="32"/>
      <c r="AN63" s="32">
        <f t="shared" si="39"/>
        <v>1.1000000000000005</v>
      </c>
      <c r="AO63" s="32">
        <f t="shared" si="40"/>
        <v>1.1000000000000005</v>
      </c>
      <c r="AP63" s="32">
        <f t="shared" si="4"/>
        <v>4.7617845007107666</v>
      </c>
      <c r="AQ63" s="40">
        <f t="shared" si="41"/>
        <v>4.7617845007107666</v>
      </c>
      <c r="AR63" s="32"/>
      <c r="AS63" s="32">
        <f t="shared" si="42"/>
        <v>1.1000000000000005</v>
      </c>
      <c r="AT63" s="36">
        <f t="shared" si="43"/>
        <v>1.1000000000000005</v>
      </c>
      <c r="AU63" s="32">
        <f t="shared" si="5"/>
        <v>4.7617845007107666</v>
      </c>
      <c r="AV63" s="40">
        <f t="shared" si="44"/>
        <v>4.7617845007107666</v>
      </c>
      <c r="AW63" s="32"/>
      <c r="AX63" s="32">
        <f t="shared" si="45"/>
        <v>1.1000000000000005</v>
      </c>
      <c r="AY63" s="36">
        <f t="shared" si="46"/>
        <v>1.1000000000000005</v>
      </c>
      <c r="AZ63" s="32">
        <f t="shared" si="6"/>
        <v>4.7617845007107666</v>
      </c>
      <c r="BA63" s="40">
        <f t="shared" si="47"/>
        <v>4.7617845007107666</v>
      </c>
      <c r="BB63" s="32"/>
      <c r="BC63" s="32">
        <f t="shared" si="48"/>
        <v>1.1000000000000005</v>
      </c>
      <c r="BD63" s="32">
        <f t="shared" si="49"/>
        <v>1.1000000000000005</v>
      </c>
      <c r="BE63" s="32">
        <f t="shared" si="7"/>
        <v>4.7617845007107666</v>
      </c>
      <c r="BF63" s="40">
        <f t="shared" si="50"/>
        <v>4.7617845007107666</v>
      </c>
      <c r="BG63" s="32"/>
      <c r="BH63" s="32">
        <f t="shared" si="51"/>
        <v>1.1000000000000005</v>
      </c>
      <c r="BI63" s="36">
        <f t="shared" si="52"/>
        <v>1.1000000000000005</v>
      </c>
      <c r="BJ63" s="32">
        <f t="shared" si="8"/>
        <v>4.7617845007107666</v>
      </c>
      <c r="BK63" s="40">
        <f t="shared" si="53"/>
        <v>4.7617845007107666</v>
      </c>
      <c r="BL63" s="32"/>
      <c r="BM63" s="32">
        <f t="shared" si="54"/>
        <v>1.1000000000000005</v>
      </c>
      <c r="BN63" s="36">
        <f t="shared" si="55"/>
        <v>1.1000000000000005</v>
      </c>
      <c r="BO63" s="32">
        <f t="shared" si="9"/>
        <v>4.7617845007107666</v>
      </c>
      <c r="BP63" s="40">
        <f t="shared" si="56"/>
        <v>4.7617845007107666</v>
      </c>
      <c r="BQ63" s="32"/>
      <c r="BR63" s="32">
        <f t="shared" si="57"/>
        <v>1.1000000000000005</v>
      </c>
      <c r="BS63" s="32">
        <f t="shared" si="58"/>
        <v>1.1000000000000005</v>
      </c>
      <c r="BT63" s="32">
        <f t="shared" si="10"/>
        <v>4.7617845007107666</v>
      </c>
      <c r="BU63" s="40">
        <f t="shared" si="59"/>
        <v>4.7617845007107666</v>
      </c>
      <c r="BV63" s="32"/>
      <c r="BW63" s="32">
        <f t="shared" si="60"/>
        <v>1.1000000000000005</v>
      </c>
      <c r="BX63" s="36">
        <f t="shared" si="61"/>
        <v>1.1000000000000005</v>
      </c>
      <c r="BY63" s="32">
        <f t="shared" si="11"/>
        <v>4.7617845007107666</v>
      </c>
      <c r="BZ63" s="40">
        <f t="shared" si="62"/>
        <v>4.7617845007107666</v>
      </c>
      <c r="CA63" s="32"/>
      <c r="CB63" s="32">
        <f t="shared" si="63"/>
        <v>1.1000000000000005</v>
      </c>
      <c r="CC63" s="36">
        <f t="shared" si="64"/>
        <v>1.1000000000000005</v>
      </c>
      <c r="CD63" s="32">
        <f t="shared" si="12"/>
        <v>4.7617845007107666</v>
      </c>
      <c r="CE63" s="40">
        <f t="shared" si="65"/>
        <v>4.7617845007107666</v>
      </c>
      <c r="CF63" s="32"/>
      <c r="CG63" s="39">
        <f t="shared" si="66"/>
        <v>1.1000000000000005</v>
      </c>
      <c r="CH63" s="39">
        <f t="shared" si="67"/>
        <v>1.1000000000000005</v>
      </c>
      <c r="CI63" s="39">
        <f t="shared" si="13"/>
        <v>4.7617845007107666</v>
      </c>
      <c r="CJ63" s="40">
        <f t="shared" si="68"/>
        <v>4.7617845007107666</v>
      </c>
      <c r="CK63" s="39"/>
      <c r="CL63" s="32">
        <f t="shared" si="69"/>
        <v>1.1000000000000005</v>
      </c>
      <c r="CM63" s="36">
        <f t="shared" si="70"/>
        <v>1.1000000000000005</v>
      </c>
      <c r="CN63" s="32">
        <f t="shared" si="14"/>
        <v>4.7617845007107666</v>
      </c>
      <c r="CO63" s="40">
        <f t="shared" si="71"/>
        <v>4.7617845007107666</v>
      </c>
      <c r="CP63" s="32"/>
      <c r="CQ63" s="32">
        <f t="shared" si="72"/>
        <v>1.1000000000000005</v>
      </c>
      <c r="CR63" s="36">
        <f t="shared" si="73"/>
        <v>1.1000000000000005</v>
      </c>
      <c r="CS63" s="32">
        <f t="shared" si="15"/>
        <v>4.7617845007107666</v>
      </c>
      <c r="CT63" s="40">
        <f t="shared" si="74"/>
        <v>4.7617845007107666</v>
      </c>
      <c r="CU63" s="32"/>
      <c r="CV63" s="32">
        <f t="shared" si="75"/>
        <v>1.1000000000000005</v>
      </c>
      <c r="CW63" s="32">
        <f t="shared" si="76"/>
        <v>1.1000000000000005</v>
      </c>
      <c r="CX63" s="32">
        <f t="shared" si="16"/>
        <v>4.7617845007107666</v>
      </c>
      <c r="CY63" s="40">
        <f t="shared" si="77"/>
        <v>4.7617845007107666</v>
      </c>
      <c r="CZ63" s="32"/>
      <c r="DA63" s="32">
        <f t="shared" si="78"/>
        <v>1.1000000000000005</v>
      </c>
      <c r="DB63" s="36">
        <f t="shared" si="79"/>
        <v>1.1000000000000005</v>
      </c>
      <c r="DC63" s="32">
        <f t="shared" si="17"/>
        <v>4.7617845007107666</v>
      </c>
      <c r="DD63" s="40">
        <f t="shared" si="80"/>
        <v>4.7617845007107666</v>
      </c>
      <c r="DE63" s="32"/>
      <c r="DF63" s="32">
        <f t="shared" si="81"/>
        <v>1.1000000000000005</v>
      </c>
      <c r="DG63" s="36">
        <f t="shared" si="82"/>
        <v>1.1000000000000005</v>
      </c>
      <c r="DH63" s="32">
        <f t="shared" si="18"/>
        <v>4.7617845007107666</v>
      </c>
      <c r="DI63" s="40">
        <f t="shared" si="83"/>
        <v>4.7617845007107666</v>
      </c>
      <c r="DJ63" s="32"/>
      <c r="DK63" s="32">
        <f t="shared" si="84"/>
        <v>1.1000000000000005</v>
      </c>
      <c r="DL63" s="32">
        <f t="shared" si="85"/>
        <v>1.1000000000000005</v>
      </c>
      <c r="DM63" s="32">
        <f t="shared" si="19"/>
        <v>4.7617845007107666</v>
      </c>
      <c r="DN63" s="40">
        <f t="shared" si="86"/>
        <v>4.7617845007107666</v>
      </c>
      <c r="DO63" s="32"/>
      <c r="DP63" s="32">
        <f t="shared" si="87"/>
        <v>1.1000000000000005</v>
      </c>
      <c r="DQ63" s="36">
        <f t="shared" si="88"/>
        <v>1.1000000000000005</v>
      </c>
      <c r="DR63" s="32">
        <f t="shared" si="20"/>
        <v>4.7617845007107666</v>
      </c>
      <c r="DS63" s="40">
        <f t="shared" si="89"/>
        <v>4.7617845007107666</v>
      </c>
      <c r="DT63" s="32"/>
      <c r="DU63" s="32">
        <f t="shared" si="90"/>
        <v>1.1000000000000005</v>
      </c>
      <c r="DV63" s="36">
        <f t="shared" si="91"/>
        <v>1.1000000000000005</v>
      </c>
      <c r="DW63" s="32">
        <f t="shared" si="21"/>
        <v>4.7617845007107666</v>
      </c>
      <c r="DX63" s="40">
        <f t="shared" si="92"/>
        <v>4.7617845007107666</v>
      </c>
      <c r="DY63" s="32"/>
      <c r="DZ63" s="32">
        <f t="shared" si="93"/>
        <v>1.1000000000000005</v>
      </c>
      <c r="EA63" s="32">
        <f t="shared" si="94"/>
        <v>1.1000000000000005</v>
      </c>
      <c r="EB63" s="32">
        <f t="shared" si="22"/>
        <v>4.7617845007107666</v>
      </c>
      <c r="EC63" s="40">
        <f t="shared" si="95"/>
        <v>4.7617845007107666</v>
      </c>
      <c r="ED63" s="32"/>
      <c r="EE63" s="32">
        <f t="shared" si="96"/>
        <v>1.1000000000000005</v>
      </c>
      <c r="EF63" s="36">
        <f t="shared" si="97"/>
        <v>1.1000000000000005</v>
      </c>
      <c r="EG63" s="32">
        <f t="shared" si="23"/>
        <v>4.7617845007107666</v>
      </c>
      <c r="EH63" s="40">
        <f t="shared" si="98"/>
        <v>4.7617845007107666</v>
      </c>
      <c r="EI63" s="32"/>
      <c r="EJ63" s="32">
        <f t="shared" si="99"/>
        <v>1.1000000000000005</v>
      </c>
      <c r="EK63" s="36">
        <f t="shared" si="100"/>
        <v>1.1000000000000005</v>
      </c>
      <c r="EL63" s="32">
        <f t="shared" si="24"/>
        <v>4.7617845007107666</v>
      </c>
      <c r="EM63" s="40">
        <f t="shared" si="101"/>
        <v>4.7617845007107666</v>
      </c>
      <c r="EN63" s="32"/>
      <c r="EO63" s="32">
        <f t="shared" si="102"/>
        <v>1.1000000000000005</v>
      </c>
      <c r="EP63" s="32">
        <f t="shared" si="103"/>
        <v>1.1000000000000005</v>
      </c>
      <c r="EQ63" s="32">
        <f t="shared" si="25"/>
        <v>4.7617845007107666</v>
      </c>
      <c r="ER63" s="40">
        <f t="shared" si="104"/>
        <v>4.7617845007107666</v>
      </c>
      <c r="ES63" s="32"/>
      <c r="ET63" s="32">
        <f t="shared" si="105"/>
        <v>1.1000000000000005</v>
      </c>
      <c r="EU63" s="36">
        <f t="shared" si="106"/>
        <v>1.1000000000000005</v>
      </c>
      <c r="EV63" s="32">
        <f t="shared" si="26"/>
        <v>4.7617845007107666</v>
      </c>
      <c r="EW63" s="40">
        <f t="shared" si="107"/>
        <v>4.7617845007107666</v>
      </c>
      <c r="EX63" s="32"/>
    </row>
    <row r="64" spans="20:154" s="3" customFormat="1" x14ac:dyDescent="0.25">
      <c r="T64" s="32">
        <f t="shared" si="27"/>
        <v>1.1200000000000006</v>
      </c>
      <c r="U64" s="36">
        <f t="shared" si="28"/>
        <v>1.1200000000000006</v>
      </c>
      <c r="V64" s="32">
        <f t="shared" si="0"/>
        <v>4.7688876807076088</v>
      </c>
      <c r="W64" s="40">
        <f t="shared" si="29"/>
        <v>4.7688876807076088</v>
      </c>
      <c r="X64" s="32"/>
      <c r="Y64" s="32">
        <f t="shared" si="30"/>
        <v>1.1200000000000006</v>
      </c>
      <c r="Z64" s="32">
        <f t="shared" si="31"/>
        <v>1.1200000000000006</v>
      </c>
      <c r="AA64" s="32">
        <f t="shared" si="1"/>
        <v>4.7688876807076088</v>
      </c>
      <c r="AB64" s="40">
        <f t="shared" si="32"/>
        <v>4.7688876807076088</v>
      </c>
      <c r="AC64" s="32"/>
      <c r="AD64" s="32">
        <f t="shared" si="33"/>
        <v>1.1200000000000006</v>
      </c>
      <c r="AE64" s="36">
        <f t="shared" si="34"/>
        <v>1.1200000000000006</v>
      </c>
      <c r="AF64" s="32">
        <f t="shared" si="2"/>
        <v>4.7688876807076088</v>
      </c>
      <c r="AG64" s="40">
        <f t="shared" si="35"/>
        <v>4.7688876807076088</v>
      </c>
      <c r="AH64" s="32"/>
      <c r="AI64" s="32">
        <f t="shared" si="36"/>
        <v>1.1200000000000006</v>
      </c>
      <c r="AJ64" s="36">
        <f t="shared" si="37"/>
        <v>1.1200000000000006</v>
      </c>
      <c r="AK64" s="32">
        <f t="shared" si="3"/>
        <v>4.7688876807076088</v>
      </c>
      <c r="AL64" s="40">
        <f t="shared" si="38"/>
        <v>4.7688876807076088</v>
      </c>
      <c r="AM64" s="32"/>
      <c r="AN64" s="32">
        <f t="shared" si="39"/>
        <v>1.1200000000000006</v>
      </c>
      <c r="AO64" s="32">
        <f t="shared" si="40"/>
        <v>1.1200000000000006</v>
      </c>
      <c r="AP64" s="32">
        <f t="shared" si="4"/>
        <v>4.7688876807076088</v>
      </c>
      <c r="AQ64" s="40">
        <f t="shared" si="41"/>
        <v>4.7688876807076088</v>
      </c>
      <c r="AR64" s="32"/>
      <c r="AS64" s="32">
        <f t="shared" si="42"/>
        <v>1.1200000000000006</v>
      </c>
      <c r="AT64" s="36">
        <f t="shared" si="43"/>
        <v>1.1200000000000006</v>
      </c>
      <c r="AU64" s="32">
        <f t="shared" si="5"/>
        <v>4.7688876807076088</v>
      </c>
      <c r="AV64" s="40">
        <f t="shared" si="44"/>
        <v>4.7688876807076088</v>
      </c>
      <c r="AW64" s="32"/>
      <c r="AX64" s="32">
        <f t="shared" si="45"/>
        <v>1.1200000000000006</v>
      </c>
      <c r="AY64" s="36">
        <f t="shared" si="46"/>
        <v>1.1200000000000006</v>
      </c>
      <c r="AZ64" s="32">
        <f t="shared" si="6"/>
        <v>4.7688876807076088</v>
      </c>
      <c r="BA64" s="40">
        <f t="shared" si="47"/>
        <v>4.7688876807076088</v>
      </c>
      <c r="BB64" s="32"/>
      <c r="BC64" s="32">
        <f t="shared" si="48"/>
        <v>1.1200000000000006</v>
      </c>
      <c r="BD64" s="32">
        <f t="shared" si="49"/>
        <v>1.1200000000000006</v>
      </c>
      <c r="BE64" s="32">
        <f t="shared" si="7"/>
        <v>4.7688876807076088</v>
      </c>
      <c r="BF64" s="40">
        <f t="shared" si="50"/>
        <v>4.7688876807076088</v>
      </c>
      <c r="BG64" s="32"/>
      <c r="BH64" s="32">
        <f t="shared" si="51"/>
        <v>1.1200000000000006</v>
      </c>
      <c r="BI64" s="36">
        <f t="shared" si="52"/>
        <v>1.1200000000000006</v>
      </c>
      <c r="BJ64" s="32">
        <f t="shared" si="8"/>
        <v>4.7688876807076088</v>
      </c>
      <c r="BK64" s="40">
        <f t="shared" si="53"/>
        <v>4.7688876807076088</v>
      </c>
      <c r="BL64" s="32"/>
      <c r="BM64" s="32">
        <f t="shared" si="54"/>
        <v>1.1200000000000006</v>
      </c>
      <c r="BN64" s="36">
        <f t="shared" si="55"/>
        <v>1.1200000000000006</v>
      </c>
      <c r="BO64" s="32">
        <f t="shared" si="9"/>
        <v>4.7688876807076088</v>
      </c>
      <c r="BP64" s="40">
        <f t="shared" si="56"/>
        <v>4.7688876807076088</v>
      </c>
      <c r="BQ64" s="32"/>
      <c r="BR64" s="32">
        <f t="shared" si="57"/>
        <v>1.1200000000000006</v>
      </c>
      <c r="BS64" s="32">
        <f t="shared" si="58"/>
        <v>1.1200000000000006</v>
      </c>
      <c r="BT64" s="32">
        <f t="shared" si="10"/>
        <v>4.7688876807076088</v>
      </c>
      <c r="BU64" s="40">
        <f t="shared" si="59"/>
        <v>4.7688876807076088</v>
      </c>
      <c r="BV64" s="32"/>
      <c r="BW64" s="32">
        <f t="shared" si="60"/>
        <v>1.1200000000000006</v>
      </c>
      <c r="BX64" s="36">
        <f t="shared" si="61"/>
        <v>1.1200000000000006</v>
      </c>
      <c r="BY64" s="32">
        <f t="shared" si="11"/>
        <v>4.7688876807076088</v>
      </c>
      <c r="BZ64" s="40">
        <f t="shared" si="62"/>
        <v>4.7688876807076088</v>
      </c>
      <c r="CA64" s="32"/>
      <c r="CB64" s="32">
        <f t="shared" si="63"/>
        <v>1.1200000000000006</v>
      </c>
      <c r="CC64" s="36">
        <f t="shared" si="64"/>
        <v>1.1200000000000006</v>
      </c>
      <c r="CD64" s="32">
        <f t="shared" si="12"/>
        <v>4.7688876807076088</v>
      </c>
      <c r="CE64" s="40">
        <f t="shared" si="65"/>
        <v>4.7688876807076088</v>
      </c>
      <c r="CF64" s="32"/>
      <c r="CG64" s="39">
        <f t="shared" si="66"/>
        <v>1.1200000000000006</v>
      </c>
      <c r="CH64" s="39">
        <f t="shared" si="67"/>
        <v>1.1200000000000006</v>
      </c>
      <c r="CI64" s="39">
        <f t="shared" si="13"/>
        <v>4.7688876807076088</v>
      </c>
      <c r="CJ64" s="40">
        <f t="shared" si="68"/>
        <v>4.7688876807076088</v>
      </c>
      <c r="CK64" s="39"/>
      <c r="CL64" s="32">
        <f t="shared" si="69"/>
        <v>1.1200000000000006</v>
      </c>
      <c r="CM64" s="36">
        <f t="shared" si="70"/>
        <v>1.1200000000000006</v>
      </c>
      <c r="CN64" s="32">
        <f t="shared" si="14"/>
        <v>4.7688876807076088</v>
      </c>
      <c r="CO64" s="40">
        <f t="shared" si="71"/>
        <v>4.7688876807076088</v>
      </c>
      <c r="CP64" s="32"/>
      <c r="CQ64" s="32">
        <f t="shared" si="72"/>
        <v>1.1200000000000006</v>
      </c>
      <c r="CR64" s="36">
        <f t="shared" si="73"/>
        <v>1.1200000000000006</v>
      </c>
      <c r="CS64" s="32">
        <f t="shared" si="15"/>
        <v>4.7688876807076088</v>
      </c>
      <c r="CT64" s="40">
        <f t="shared" si="74"/>
        <v>4.7688876807076088</v>
      </c>
      <c r="CU64" s="32"/>
      <c r="CV64" s="32">
        <f t="shared" si="75"/>
        <v>1.1200000000000006</v>
      </c>
      <c r="CW64" s="32">
        <f t="shared" si="76"/>
        <v>1.1200000000000006</v>
      </c>
      <c r="CX64" s="32">
        <f t="shared" si="16"/>
        <v>4.7688876807076088</v>
      </c>
      <c r="CY64" s="40">
        <f t="shared" si="77"/>
        <v>4.7688876807076088</v>
      </c>
      <c r="CZ64" s="32"/>
      <c r="DA64" s="32">
        <f t="shared" si="78"/>
        <v>1.1200000000000006</v>
      </c>
      <c r="DB64" s="36">
        <f t="shared" si="79"/>
        <v>1.1200000000000006</v>
      </c>
      <c r="DC64" s="32">
        <f t="shared" si="17"/>
        <v>4.7688876807076088</v>
      </c>
      <c r="DD64" s="40">
        <f t="shared" si="80"/>
        <v>4.7688876807076088</v>
      </c>
      <c r="DE64" s="32"/>
      <c r="DF64" s="32">
        <f t="shared" si="81"/>
        <v>1.1200000000000006</v>
      </c>
      <c r="DG64" s="36">
        <f t="shared" si="82"/>
        <v>1.1200000000000006</v>
      </c>
      <c r="DH64" s="32">
        <f t="shared" si="18"/>
        <v>4.7688876807076088</v>
      </c>
      <c r="DI64" s="40">
        <f t="shared" si="83"/>
        <v>4.7688876807076088</v>
      </c>
      <c r="DJ64" s="32"/>
      <c r="DK64" s="32">
        <f t="shared" si="84"/>
        <v>1.1200000000000006</v>
      </c>
      <c r="DL64" s="32">
        <f t="shared" si="85"/>
        <v>1.1200000000000006</v>
      </c>
      <c r="DM64" s="32">
        <f t="shared" si="19"/>
        <v>4.7688876807076088</v>
      </c>
      <c r="DN64" s="40">
        <f t="shared" si="86"/>
        <v>4.7688876807076088</v>
      </c>
      <c r="DO64" s="32"/>
      <c r="DP64" s="32">
        <f t="shared" si="87"/>
        <v>1.1200000000000006</v>
      </c>
      <c r="DQ64" s="36">
        <f t="shared" si="88"/>
        <v>1.1200000000000006</v>
      </c>
      <c r="DR64" s="32">
        <f t="shared" si="20"/>
        <v>4.7688876807076088</v>
      </c>
      <c r="DS64" s="40">
        <f t="shared" si="89"/>
        <v>4.7688876807076088</v>
      </c>
      <c r="DT64" s="32"/>
      <c r="DU64" s="32">
        <f t="shared" si="90"/>
        <v>1.1200000000000006</v>
      </c>
      <c r="DV64" s="36">
        <f t="shared" si="91"/>
        <v>1.1200000000000006</v>
      </c>
      <c r="DW64" s="32">
        <f t="shared" si="21"/>
        <v>4.7688876807076088</v>
      </c>
      <c r="DX64" s="40">
        <f t="shared" si="92"/>
        <v>4.7688876807076088</v>
      </c>
      <c r="DY64" s="32"/>
      <c r="DZ64" s="32">
        <f t="shared" si="93"/>
        <v>1.1200000000000006</v>
      </c>
      <c r="EA64" s="32">
        <f t="shared" si="94"/>
        <v>1.1200000000000006</v>
      </c>
      <c r="EB64" s="32">
        <f t="shared" si="22"/>
        <v>4.7688876807076088</v>
      </c>
      <c r="EC64" s="40">
        <f t="shared" si="95"/>
        <v>4.7688876807076088</v>
      </c>
      <c r="ED64" s="32"/>
      <c r="EE64" s="32">
        <f t="shared" si="96"/>
        <v>1.1200000000000006</v>
      </c>
      <c r="EF64" s="36">
        <f t="shared" si="97"/>
        <v>1.1200000000000006</v>
      </c>
      <c r="EG64" s="32">
        <f t="shared" si="23"/>
        <v>4.7688876807076088</v>
      </c>
      <c r="EH64" s="40">
        <f t="shared" si="98"/>
        <v>4.7688876807076088</v>
      </c>
      <c r="EI64" s="32"/>
      <c r="EJ64" s="32">
        <f t="shared" si="99"/>
        <v>1.1200000000000006</v>
      </c>
      <c r="EK64" s="36">
        <f t="shared" si="100"/>
        <v>1.1200000000000006</v>
      </c>
      <c r="EL64" s="32">
        <f t="shared" si="24"/>
        <v>4.7688876807076088</v>
      </c>
      <c r="EM64" s="40">
        <f t="shared" si="101"/>
        <v>4.7688876807076088</v>
      </c>
      <c r="EN64" s="32"/>
      <c r="EO64" s="32">
        <f t="shared" si="102"/>
        <v>1.1200000000000006</v>
      </c>
      <c r="EP64" s="32">
        <f t="shared" si="103"/>
        <v>1.1200000000000006</v>
      </c>
      <c r="EQ64" s="32">
        <f t="shared" si="25"/>
        <v>4.7688876807076088</v>
      </c>
      <c r="ER64" s="40">
        <f t="shared" si="104"/>
        <v>4.7688876807076088</v>
      </c>
      <c r="ES64" s="32"/>
      <c r="ET64" s="32">
        <f t="shared" si="105"/>
        <v>1.1200000000000006</v>
      </c>
      <c r="EU64" s="36">
        <f t="shared" si="106"/>
        <v>1.1200000000000006</v>
      </c>
      <c r="EV64" s="32">
        <f t="shared" si="26"/>
        <v>4.7688876807076088</v>
      </c>
      <c r="EW64" s="40">
        <f t="shared" si="107"/>
        <v>4.7688876807076088</v>
      </c>
      <c r="EX64" s="32"/>
    </row>
    <row r="65" spans="20:154" s="3" customFormat="1" x14ac:dyDescent="0.25">
      <c r="T65" s="32">
        <f t="shared" si="27"/>
        <v>1.1400000000000006</v>
      </c>
      <c r="U65" s="36">
        <f t="shared" si="28"/>
        <v>1.1400000000000006</v>
      </c>
      <c r="V65" s="32">
        <f t="shared" si="0"/>
        <v>4.7732823479766022</v>
      </c>
      <c r="W65" s="40">
        <f t="shared" si="29"/>
        <v>4.7732823479766022</v>
      </c>
      <c r="X65" s="32"/>
      <c r="Y65" s="32">
        <f t="shared" si="30"/>
        <v>1.1400000000000006</v>
      </c>
      <c r="Z65" s="32">
        <f t="shared" si="31"/>
        <v>1.1400000000000006</v>
      </c>
      <c r="AA65" s="32">
        <f t="shared" si="1"/>
        <v>4.7732823479766022</v>
      </c>
      <c r="AB65" s="40">
        <f t="shared" si="32"/>
        <v>4.7732823479766022</v>
      </c>
      <c r="AC65" s="32"/>
      <c r="AD65" s="32">
        <f t="shared" si="33"/>
        <v>1.1400000000000006</v>
      </c>
      <c r="AE65" s="36">
        <f t="shared" si="34"/>
        <v>1.1400000000000006</v>
      </c>
      <c r="AF65" s="32">
        <f t="shared" si="2"/>
        <v>4.7732823479766022</v>
      </c>
      <c r="AG65" s="40">
        <f t="shared" si="35"/>
        <v>4.7732823479766022</v>
      </c>
      <c r="AH65" s="32"/>
      <c r="AI65" s="32">
        <f t="shared" si="36"/>
        <v>1.1400000000000006</v>
      </c>
      <c r="AJ65" s="36">
        <f t="shared" si="37"/>
        <v>1.1400000000000006</v>
      </c>
      <c r="AK65" s="32">
        <f t="shared" si="3"/>
        <v>4.7732823479766022</v>
      </c>
      <c r="AL65" s="40">
        <f t="shared" si="38"/>
        <v>4.7732823479766022</v>
      </c>
      <c r="AM65" s="32"/>
      <c r="AN65" s="32">
        <f t="shared" si="39"/>
        <v>1.1400000000000006</v>
      </c>
      <c r="AO65" s="32">
        <f t="shared" si="40"/>
        <v>1.1400000000000006</v>
      </c>
      <c r="AP65" s="32">
        <f t="shared" si="4"/>
        <v>4.7732823479766022</v>
      </c>
      <c r="AQ65" s="40">
        <f t="shared" si="41"/>
        <v>4.7732823479766022</v>
      </c>
      <c r="AR65" s="32"/>
      <c r="AS65" s="32">
        <f t="shared" si="42"/>
        <v>1.1400000000000006</v>
      </c>
      <c r="AT65" s="36">
        <f t="shared" si="43"/>
        <v>1.1400000000000006</v>
      </c>
      <c r="AU65" s="32">
        <f t="shared" si="5"/>
        <v>4.7732823479766022</v>
      </c>
      <c r="AV65" s="40">
        <f t="shared" si="44"/>
        <v>4.7732823479766022</v>
      </c>
      <c r="AW65" s="32"/>
      <c r="AX65" s="32">
        <f t="shared" si="45"/>
        <v>1.1400000000000006</v>
      </c>
      <c r="AY65" s="36">
        <f t="shared" si="46"/>
        <v>1.1400000000000006</v>
      </c>
      <c r="AZ65" s="32">
        <f t="shared" si="6"/>
        <v>4.7732823479766022</v>
      </c>
      <c r="BA65" s="40">
        <f t="shared" si="47"/>
        <v>4.7732823479766022</v>
      </c>
      <c r="BB65" s="32"/>
      <c r="BC65" s="32">
        <f t="shared" si="48"/>
        <v>1.1400000000000006</v>
      </c>
      <c r="BD65" s="32">
        <f t="shared" si="49"/>
        <v>1.1400000000000006</v>
      </c>
      <c r="BE65" s="32">
        <f t="shared" si="7"/>
        <v>4.7732823479766022</v>
      </c>
      <c r="BF65" s="40">
        <f t="shared" si="50"/>
        <v>4.7732823479766022</v>
      </c>
      <c r="BG65" s="32"/>
      <c r="BH65" s="32">
        <f t="shared" si="51"/>
        <v>1.1400000000000006</v>
      </c>
      <c r="BI65" s="36">
        <f t="shared" si="52"/>
        <v>1.1400000000000006</v>
      </c>
      <c r="BJ65" s="32">
        <f t="shared" si="8"/>
        <v>4.7732823479766022</v>
      </c>
      <c r="BK65" s="40">
        <f t="shared" si="53"/>
        <v>4.7732823479766022</v>
      </c>
      <c r="BL65" s="32"/>
      <c r="BM65" s="32">
        <f t="shared" si="54"/>
        <v>1.1400000000000006</v>
      </c>
      <c r="BN65" s="36">
        <f t="shared" si="55"/>
        <v>1.1400000000000006</v>
      </c>
      <c r="BO65" s="32">
        <f t="shared" si="9"/>
        <v>4.7732823479766022</v>
      </c>
      <c r="BP65" s="40">
        <f t="shared" si="56"/>
        <v>4.7732823479766022</v>
      </c>
      <c r="BQ65" s="32"/>
      <c r="BR65" s="32">
        <f t="shared" si="57"/>
        <v>1.1400000000000006</v>
      </c>
      <c r="BS65" s="32">
        <f t="shared" si="58"/>
        <v>1.1400000000000006</v>
      </c>
      <c r="BT65" s="32">
        <f t="shared" si="10"/>
        <v>4.7732823479766022</v>
      </c>
      <c r="BU65" s="40">
        <f t="shared" si="59"/>
        <v>4.7732823479766022</v>
      </c>
      <c r="BV65" s="32"/>
      <c r="BW65" s="32">
        <f t="shared" si="60"/>
        <v>1.1400000000000006</v>
      </c>
      <c r="BX65" s="36">
        <f t="shared" si="61"/>
        <v>1.1400000000000006</v>
      </c>
      <c r="BY65" s="32">
        <f t="shared" si="11"/>
        <v>4.7732823479766022</v>
      </c>
      <c r="BZ65" s="40">
        <f t="shared" si="62"/>
        <v>4.7732823479766022</v>
      </c>
      <c r="CA65" s="32"/>
      <c r="CB65" s="32">
        <f t="shared" si="63"/>
        <v>1.1400000000000006</v>
      </c>
      <c r="CC65" s="36">
        <f t="shared" si="64"/>
        <v>1.1400000000000006</v>
      </c>
      <c r="CD65" s="32">
        <f t="shared" si="12"/>
        <v>4.7732823479766022</v>
      </c>
      <c r="CE65" s="40">
        <f t="shared" si="65"/>
        <v>4.7732823479766022</v>
      </c>
      <c r="CF65" s="32"/>
      <c r="CG65" s="39">
        <f t="shared" si="66"/>
        <v>1.1400000000000006</v>
      </c>
      <c r="CH65" s="39">
        <f t="shared" si="67"/>
        <v>1.1400000000000006</v>
      </c>
      <c r="CI65" s="39">
        <f t="shared" si="13"/>
        <v>4.7732823479766022</v>
      </c>
      <c r="CJ65" s="40">
        <f t="shared" si="68"/>
        <v>4.7732823479766022</v>
      </c>
      <c r="CK65" s="39"/>
      <c r="CL65" s="32">
        <f t="shared" si="69"/>
        <v>1.1400000000000006</v>
      </c>
      <c r="CM65" s="36">
        <f t="shared" si="70"/>
        <v>1.1400000000000006</v>
      </c>
      <c r="CN65" s="32">
        <f t="shared" si="14"/>
        <v>4.7732823479766022</v>
      </c>
      <c r="CO65" s="40">
        <f t="shared" si="71"/>
        <v>4.7732823479766022</v>
      </c>
      <c r="CP65" s="32"/>
      <c r="CQ65" s="32">
        <f t="shared" si="72"/>
        <v>1.1400000000000006</v>
      </c>
      <c r="CR65" s="36">
        <f t="shared" si="73"/>
        <v>1.1400000000000006</v>
      </c>
      <c r="CS65" s="32">
        <f t="shared" si="15"/>
        <v>4.7732823479766022</v>
      </c>
      <c r="CT65" s="40">
        <f t="shared" si="74"/>
        <v>4.7732823479766022</v>
      </c>
      <c r="CU65" s="32"/>
      <c r="CV65" s="32">
        <f t="shared" si="75"/>
        <v>1.1400000000000006</v>
      </c>
      <c r="CW65" s="32">
        <f t="shared" si="76"/>
        <v>1.1400000000000006</v>
      </c>
      <c r="CX65" s="32">
        <f t="shared" si="16"/>
        <v>4.7732823479766022</v>
      </c>
      <c r="CY65" s="40">
        <f t="shared" si="77"/>
        <v>4.7732823479766022</v>
      </c>
      <c r="CZ65" s="32"/>
      <c r="DA65" s="32">
        <f t="shared" si="78"/>
        <v>1.1400000000000006</v>
      </c>
      <c r="DB65" s="36">
        <f t="shared" si="79"/>
        <v>1.1400000000000006</v>
      </c>
      <c r="DC65" s="32">
        <f t="shared" si="17"/>
        <v>4.7732823479766022</v>
      </c>
      <c r="DD65" s="40">
        <f t="shared" si="80"/>
        <v>4.7732823479766022</v>
      </c>
      <c r="DE65" s="32"/>
      <c r="DF65" s="32">
        <f t="shared" si="81"/>
        <v>1.1400000000000006</v>
      </c>
      <c r="DG65" s="36">
        <f t="shared" si="82"/>
        <v>1.1400000000000006</v>
      </c>
      <c r="DH65" s="32">
        <f t="shared" si="18"/>
        <v>4.7732823479766022</v>
      </c>
      <c r="DI65" s="40">
        <f t="shared" si="83"/>
        <v>4.7732823479766022</v>
      </c>
      <c r="DJ65" s="32"/>
      <c r="DK65" s="32">
        <f t="shared" si="84"/>
        <v>1.1400000000000006</v>
      </c>
      <c r="DL65" s="32">
        <f t="shared" si="85"/>
        <v>1.1400000000000006</v>
      </c>
      <c r="DM65" s="32">
        <f t="shared" si="19"/>
        <v>4.7732823479766022</v>
      </c>
      <c r="DN65" s="40">
        <f t="shared" si="86"/>
        <v>4.7732823479766022</v>
      </c>
      <c r="DO65" s="32"/>
      <c r="DP65" s="32">
        <f t="shared" si="87"/>
        <v>1.1400000000000006</v>
      </c>
      <c r="DQ65" s="36">
        <f t="shared" si="88"/>
        <v>1.1400000000000006</v>
      </c>
      <c r="DR65" s="32">
        <f t="shared" si="20"/>
        <v>4.7732823479766022</v>
      </c>
      <c r="DS65" s="40">
        <f t="shared" si="89"/>
        <v>4.7732823479766022</v>
      </c>
      <c r="DT65" s="32"/>
      <c r="DU65" s="32">
        <f t="shared" si="90"/>
        <v>1.1400000000000006</v>
      </c>
      <c r="DV65" s="36">
        <f t="shared" si="91"/>
        <v>1.1400000000000006</v>
      </c>
      <c r="DW65" s="32">
        <f t="shared" si="21"/>
        <v>4.7732823479766022</v>
      </c>
      <c r="DX65" s="40">
        <f t="shared" si="92"/>
        <v>4.7732823479766022</v>
      </c>
      <c r="DY65" s="32"/>
      <c r="DZ65" s="32">
        <f t="shared" si="93"/>
        <v>1.1400000000000006</v>
      </c>
      <c r="EA65" s="32">
        <f t="shared" si="94"/>
        <v>1.1400000000000006</v>
      </c>
      <c r="EB65" s="32">
        <f t="shared" si="22"/>
        <v>4.7732823479766022</v>
      </c>
      <c r="EC65" s="40">
        <f t="shared" si="95"/>
        <v>4.7732823479766022</v>
      </c>
      <c r="ED65" s="32"/>
      <c r="EE65" s="32">
        <f t="shared" si="96"/>
        <v>1.1400000000000006</v>
      </c>
      <c r="EF65" s="36">
        <f t="shared" si="97"/>
        <v>1.1400000000000006</v>
      </c>
      <c r="EG65" s="32">
        <f t="shared" si="23"/>
        <v>4.7732823479766022</v>
      </c>
      <c r="EH65" s="40">
        <f t="shared" si="98"/>
        <v>4.7732823479766022</v>
      </c>
      <c r="EI65" s="32"/>
      <c r="EJ65" s="32">
        <f t="shared" si="99"/>
        <v>1.1400000000000006</v>
      </c>
      <c r="EK65" s="36">
        <f t="shared" si="100"/>
        <v>1.1400000000000006</v>
      </c>
      <c r="EL65" s="32">
        <f t="shared" si="24"/>
        <v>4.7732823479766022</v>
      </c>
      <c r="EM65" s="40">
        <f t="shared" si="101"/>
        <v>4.7732823479766022</v>
      </c>
      <c r="EN65" s="32"/>
      <c r="EO65" s="32">
        <f t="shared" si="102"/>
        <v>1.1400000000000006</v>
      </c>
      <c r="EP65" s="32">
        <f t="shared" si="103"/>
        <v>1.1400000000000006</v>
      </c>
      <c r="EQ65" s="32">
        <f t="shared" si="25"/>
        <v>4.7732823479766022</v>
      </c>
      <c r="ER65" s="40">
        <f t="shared" si="104"/>
        <v>4.7732823479766022</v>
      </c>
      <c r="ES65" s="32"/>
      <c r="ET65" s="32">
        <f t="shared" si="105"/>
        <v>1.1400000000000006</v>
      </c>
      <c r="EU65" s="36">
        <f t="shared" si="106"/>
        <v>1.1400000000000006</v>
      </c>
      <c r="EV65" s="32">
        <f t="shared" si="26"/>
        <v>4.7732823479766022</v>
      </c>
      <c r="EW65" s="40">
        <f t="shared" si="107"/>
        <v>4.7732823479766022</v>
      </c>
      <c r="EX65" s="32"/>
    </row>
    <row r="66" spans="20:154" s="3" customFormat="1" x14ac:dyDescent="0.25">
      <c r="T66" s="32">
        <f t="shared" si="27"/>
        <v>1.1600000000000006</v>
      </c>
      <c r="U66" s="36">
        <f t="shared" si="28"/>
        <v>1.1600000000000006</v>
      </c>
      <c r="V66" s="32">
        <f t="shared" si="0"/>
        <v>4.7749685025177477</v>
      </c>
      <c r="W66" s="40">
        <f t="shared" si="29"/>
        <v>4.7749685025177477</v>
      </c>
      <c r="X66" s="32"/>
      <c r="Y66" s="32">
        <f t="shared" si="30"/>
        <v>1.1600000000000006</v>
      </c>
      <c r="Z66" s="32">
        <f t="shared" si="31"/>
        <v>1.1600000000000006</v>
      </c>
      <c r="AA66" s="32">
        <f t="shared" si="1"/>
        <v>4.7749685025177477</v>
      </c>
      <c r="AB66" s="40">
        <f t="shared" si="32"/>
        <v>4.7749685025177477</v>
      </c>
      <c r="AC66" s="32"/>
      <c r="AD66" s="32">
        <f t="shared" si="33"/>
        <v>1.1600000000000006</v>
      </c>
      <c r="AE66" s="36">
        <f t="shared" si="34"/>
        <v>1.1600000000000006</v>
      </c>
      <c r="AF66" s="32">
        <f t="shared" si="2"/>
        <v>4.7749685025177477</v>
      </c>
      <c r="AG66" s="40">
        <f t="shared" si="35"/>
        <v>4.7749685025177477</v>
      </c>
      <c r="AH66" s="32"/>
      <c r="AI66" s="32">
        <f t="shared" si="36"/>
        <v>1.1600000000000006</v>
      </c>
      <c r="AJ66" s="36">
        <f t="shared" si="37"/>
        <v>1.1600000000000006</v>
      </c>
      <c r="AK66" s="32">
        <f t="shared" si="3"/>
        <v>4.7749685025177477</v>
      </c>
      <c r="AL66" s="40">
        <f t="shared" si="38"/>
        <v>4.7749685025177477</v>
      </c>
      <c r="AM66" s="32"/>
      <c r="AN66" s="32">
        <f t="shared" si="39"/>
        <v>1.1600000000000006</v>
      </c>
      <c r="AO66" s="32">
        <f t="shared" si="40"/>
        <v>1.1600000000000006</v>
      </c>
      <c r="AP66" s="32">
        <f t="shared" si="4"/>
        <v>4.7749685025177477</v>
      </c>
      <c r="AQ66" s="40">
        <f t="shared" si="41"/>
        <v>4.7749685025177477</v>
      </c>
      <c r="AR66" s="32"/>
      <c r="AS66" s="32">
        <f t="shared" si="42"/>
        <v>1.1600000000000006</v>
      </c>
      <c r="AT66" s="36">
        <f t="shared" si="43"/>
        <v>1.1600000000000006</v>
      </c>
      <c r="AU66" s="32">
        <f t="shared" si="5"/>
        <v>4.7749685025177477</v>
      </c>
      <c r="AV66" s="40">
        <f t="shared" si="44"/>
        <v>4.7749685025177477</v>
      </c>
      <c r="AW66" s="32"/>
      <c r="AX66" s="32">
        <f t="shared" si="45"/>
        <v>1.1600000000000006</v>
      </c>
      <c r="AY66" s="36">
        <f t="shared" si="46"/>
        <v>1.1600000000000006</v>
      </c>
      <c r="AZ66" s="32">
        <f t="shared" si="6"/>
        <v>4.7749685025177477</v>
      </c>
      <c r="BA66" s="40">
        <f t="shared" si="47"/>
        <v>4.7749685025177477</v>
      </c>
      <c r="BB66" s="32"/>
      <c r="BC66" s="32">
        <f t="shared" si="48"/>
        <v>1.1600000000000006</v>
      </c>
      <c r="BD66" s="32">
        <f t="shared" si="49"/>
        <v>1.1600000000000006</v>
      </c>
      <c r="BE66" s="32">
        <f t="shared" si="7"/>
        <v>4.7749685025177477</v>
      </c>
      <c r="BF66" s="40">
        <f t="shared" si="50"/>
        <v>4.7749685025177477</v>
      </c>
      <c r="BG66" s="32"/>
      <c r="BH66" s="32">
        <f t="shared" si="51"/>
        <v>1.1600000000000006</v>
      </c>
      <c r="BI66" s="36">
        <f t="shared" si="52"/>
        <v>1.1600000000000006</v>
      </c>
      <c r="BJ66" s="32">
        <f t="shared" si="8"/>
        <v>4.7749685025177477</v>
      </c>
      <c r="BK66" s="40">
        <f t="shared" si="53"/>
        <v>4.7749685025177477</v>
      </c>
      <c r="BL66" s="32"/>
      <c r="BM66" s="32">
        <f t="shared" si="54"/>
        <v>1.1600000000000006</v>
      </c>
      <c r="BN66" s="36">
        <f t="shared" si="55"/>
        <v>1.1600000000000006</v>
      </c>
      <c r="BO66" s="32">
        <f t="shared" si="9"/>
        <v>4.7749685025177477</v>
      </c>
      <c r="BP66" s="40">
        <f t="shared" si="56"/>
        <v>4.7749685025177477</v>
      </c>
      <c r="BQ66" s="32"/>
      <c r="BR66" s="32">
        <f t="shared" si="57"/>
        <v>1.1600000000000006</v>
      </c>
      <c r="BS66" s="32">
        <f t="shared" si="58"/>
        <v>1.1600000000000006</v>
      </c>
      <c r="BT66" s="32">
        <f t="shared" si="10"/>
        <v>4.7749685025177477</v>
      </c>
      <c r="BU66" s="40">
        <f t="shared" si="59"/>
        <v>4.7749685025177477</v>
      </c>
      <c r="BV66" s="32"/>
      <c r="BW66" s="32">
        <f t="shared" si="60"/>
        <v>1.1600000000000006</v>
      </c>
      <c r="BX66" s="36">
        <f t="shared" si="61"/>
        <v>1.1600000000000006</v>
      </c>
      <c r="BY66" s="32">
        <f t="shared" si="11"/>
        <v>4.7749685025177477</v>
      </c>
      <c r="BZ66" s="40">
        <f t="shared" si="62"/>
        <v>4.7749685025177477</v>
      </c>
      <c r="CA66" s="32"/>
      <c r="CB66" s="32">
        <f t="shared" si="63"/>
        <v>1.1600000000000006</v>
      </c>
      <c r="CC66" s="36">
        <f t="shared" si="64"/>
        <v>1.1600000000000006</v>
      </c>
      <c r="CD66" s="32">
        <f t="shared" si="12"/>
        <v>4.7749685025177477</v>
      </c>
      <c r="CE66" s="40">
        <f t="shared" si="65"/>
        <v>4.7749685025177477</v>
      </c>
      <c r="CF66" s="32"/>
      <c r="CG66" s="39">
        <f t="shared" si="66"/>
        <v>1.1600000000000006</v>
      </c>
      <c r="CH66" s="39">
        <f t="shared" si="67"/>
        <v>1.1600000000000006</v>
      </c>
      <c r="CI66" s="39">
        <f t="shared" si="13"/>
        <v>4.7749685025177477</v>
      </c>
      <c r="CJ66" s="40">
        <f t="shared" si="68"/>
        <v>4.7749685025177477</v>
      </c>
      <c r="CK66" s="39"/>
      <c r="CL66" s="32">
        <f t="shared" si="69"/>
        <v>1.1600000000000006</v>
      </c>
      <c r="CM66" s="36">
        <f t="shared" si="70"/>
        <v>1.1600000000000006</v>
      </c>
      <c r="CN66" s="32">
        <f t="shared" si="14"/>
        <v>4.7749685025177477</v>
      </c>
      <c r="CO66" s="40">
        <f t="shared" si="71"/>
        <v>4.7749685025177477</v>
      </c>
      <c r="CP66" s="32"/>
      <c r="CQ66" s="32">
        <f t="shared" si="72"/>
        <v>1.1600000000000006</v>
      </c>
      <c r="CR66" s="36">
        <f t="shared" si="73"/>
        <v>1.1600000000000006</v>
      </c>
      <c r="CS66" s="32">
        <f t="shared" si="15"/>
        <v>4.7749685025177477</v>
      </c>
      <c r="CT66" s="40">
        <f t="shared" si="74"/>
        <v>4.7749685025177477</v>
      </c>
      <c r="CU66" s="32"/>
      <c r="CV66" s="32">
        <f t="shared" si="75"/>
        <v>1.1600000000000006</v>
      </c>
      <c r="CW66" s="32">
        <f t="shared" si="76"/>
        <v>1.1600000000000006</v>
      </c>
      <c r="CX66" s="32">
        <f t="shared" si="16"/>
        <v>4.7749685025177477</v>
      </c>
      <c r="CY66" s="40">
        <f t="shared" si="77"/>
        <v>4.7749685025177477</v>
      </c>
      <c r="CZ66" s="32"/>
      <c r="DA66" s="32">
        <f t="shared" si="78"/>
        <v>1.1600000000000006</v>
      </c>
      <c r="DB66" s="36">
        <f t="shared" si="79"/>
        <v>1.1600000000000006</v>
      </c>
      <c r="DC66" s="32">
        <f t="shared" si="17"/>
        <v>4.7749685025177477</v>
      </c>
      <c r="DD66" s="40">
        <f t="shared" si="80"/>
        <v>4.7749685025177477</v>
      </c>
      <c r="DE66" s="32"/>
      <c r="DF66" s="32">
        <f t="shared" si="81"/>
        <v>1.1600000000000006</v>
      </c>
      <c r="DG66" s="36">
        <f t="shared" si="82"/>
        <v>1.1600000000000006</v>
      </c>
      <c r="DH66" s="32">
        <f t="shared" si="18"/>
        <v>4.7749685025177477</v>
      </c>
      <c r="DI66" s="40">
        <f t="shared" si="83"/>
        <v>4.7749685025177477</v>
      </c>
      <c r="DJ66" s="32"/>
      <c r="DK66" s="32">
        <f t="shared" si="84"/>
        <v>1.1600000000000006</v>
      </c>
      <c r="DL66" s="32">
        <f t="shared" si="85"/>
        <v>1.1600000000000006</v>
      </c>
      <c r="DM66" s="32">
        <f t="shared" si="19"/>
        <v>4.7749685025177477</v>
      </c>
      <c r="DN66" s="40">
        <f t="shared" si="86"/>
        <v>4.7749685025177477</v>
      </c>
      <c r="DO66" s="32"/>
      <c r="DP66" s="32">
        <f t="shared" si="87"/>
        <v>1.1600000000000006</v>
      </c>
      <c r="DQ66" s="36">
        <f t="shared" si="88"/>
        <v>1.1600000000000006</v>
      </c>
      <c r="DR66" s="32">
        <f t="shared" si="20"/>
        <v>4.7749685025177477</v>
      </c>
      <c r="DS66" s="40">
        <f t="shared" si="89"/>
        <v>4.7749685025177477</v>
      </c>
      <c r="DT66" s="32"/>
      <c r="DU66" s="32">
        <f t="shared" si="90"/>
        <v>1.1600000000000006</v>
      </c>
      <c r="DV66" s="36">
        <f t="shared" si="91"/>
        <v>1.1600000000000006</v>
      </c>
      <c r="DW66" s="32">
        <f t="shared" si="21"/>
        <v>4.7749685025177477</v>
      </c>
      <c r="DX66" s="40">
        <f t="shared" si="92"/>
        <v>4.7749685025177477</v>
      </c>
      <c r="DY66" s="32"/>
      <c r="DZ66" s="32">
        <f t="shared" si="93"/>
        <v>1.1600000000000006</v>
      </c>
      <c r="EA66" s="32">
        <f t="shared" si="94"/>
        <v>1.1600000000000006</v>
      </c>
      <c r="EB66" s="32">
        <f t="shared" si="22"/>
        <v>4.7749685025177477</v>
      </c>
      <c r="EC66" s="40">
        <f t="shared" si="95"/>
        <v>4.7749685025177477</v>
      </c>
      <c r="ED66" s="32"/>
      <c r="EE66" s="32">
        <f t="shared" si="96"/>
        <v>1.1600000000000006</v>
      </c>
      <c r="EF66" s="36">
        <f t="shared" si="97"/>
        <v>1.1600000000000006</v>
      </c>
      <c r="EG66" s="32">
        <f t="shared" si="23"/>
        <v>4.7749685025177477</v>
      </c>
      <c r="EH66" s="40">
        <f t="shared" si="98"/>
        <v>4.7749685025177477</v>
      </c>
      <c r="EI66" s="32"/>
      <c r="EJ66" s="32">
        <f t="shared" si="99"/>
        <v>1.1600000000000006</v>
      </c>
      <c r="EK66" s="36">
        <f t="shared" si="100"/>
        <v>1.1600000000000006</v>
      </c>
      <c r="EL66" s="32">
        <f t="shared" si="24"/>
        <v>4.7749685025177477</v>
      </c>
      <c r="EM66" s="40">
        <f t="shared" si="101"/>
        <v>4.7749685025177477</v>
      </c>
      <c r="EN66" s="32"/>
      <c r="EO66" s="32">
        <f t="shared" si="102"/>
        <v>1.1600000000000006</v>
      </c>
      <c r="EP66" s="32">
        <f t="shared" si="103"/>
        <v>1.1600000000000006</v>
      </c>
      <c r="EQ66" s="32">
        <f t="shared" si="25"/>
        <v>4.7749685025177477</v>
      </c>
      <c r="ER66" s="40">
        <f t="shared" si="104"/>
        <v>4.7749685025177477</v>
      </c>
      <c r="ES66" s="32"/>
      <c r="ET66" s="32">
        <f t="shared" si="105"/>
        <v>1.1600000000000006</v>
      </c>
      <c r="EU66" s="36">
        <f t="shared" si="106"/>
        <v>1.1600000000000006</v>
      </c>
      <c r="EV66" s="32">
        <f t="shared" si="26"/>
        <v>4.7749685025177477</v>
      </c>
      <c r="EW66" s="40">
        <f t="shared" si="107"/>
        <v>4.7749685025177477</v>
      </c>
      <c r="EX66" s="32"/>
    </row>
    <row r="67" spans="20:154" s="3" customFormat="1" x14ac:dyDescent="0.25">
      <c r="T67" s="32">
        <f t="shared" si="27"/>
        <v>1.1800000000000006</v>
      </c>
      <c r="U67" s="36">
        <f t="shared" si="28"/>
        <v>1.1800000000000006</v>
      </c>
      <c r="V67" s="32">
        <f t="shared" si="0"/>
        <v>4.773946144331048</v>
      </c>
      <c r="W67" s="40">
        <f t="shared" si="29"/>
        <v>4.773946144331048</v>
      </c>
      <c r="X67" s="32"/>
      <c r="Y67" s="32">
        <f t="shared" si="30"/>
        <v>1.1800000000000006</v>
      </c>
      <c r="Z67" s="32">
        <f t="shared" si="31"/>
        <v>1.1800000000000006</v>
      </c>
      <c r="AA67" s="32">
        <f t="shared" si="1"/>
        <v>4.773946144331048</v>
      </c>
      <c r="AB67" s="40">
        <f t="shared" si="32"/>
        <v>4.773946144331048</v>
      </c>
      <c r="AC67" s="32"/>
      <c r="AD67" s="32">
        <f t="shared" si="33"/>
        <v>1.1800000000000006</v>
      </c>
      <c r="AE67" s="36">
        <f t="shared" si="34"/>
        <v>1.1800000000000006</v>
      </c>
      <c r="AF67" s="32">
        <f t="shared" si="2"/>
        <v>4.773946144331048</v>
      </c>
      <c r="AG67" s="40">
        <f t="shared" si="35"/>
        <v>4.773946144331048</v>
      </c>
      <c r="AH67" s="32"/>
      <c r="AI67" s="32">
        <f t="shared" si="36"/>
        <v>1.1800000000000006</v>
      </c>
      <c r="AJ67" s="36">
        <f t="shared" si="37"/>
        <v>1.1800000000000006</v>
      </c>
      <c r="AK67" s="32">
        <f t="shared" si="3"/>
        <v>4.773946144331048</v>
      </c>
      <c r="AL67" s="40">
        <f t="shared" si="38"/>
        <v>4.773946144331048</v>
      </c>
      <c r="AM67" s="32"/>
      <c r="AN67" s="32">
        <f t="shared" si="39"/>
        <v>1.1800000000000006</v>
      </c>
      <c r="AO67" s="32">
        <f t="shared" si="40"/>
        <v>1.1800000000000006</v>
      </c>
      <c r="AP67" s="32">
        <f t="shared" si="4"/>
        <v>4.773946144331048</v>
      </c>
      <c r="AQ67" s="40">
        <f t="shared" si="41"/>
        <v>4.773946144331048</v>
      </c>
      <c r="AR67" s="32"/>
      <c r="AS67" s="32">
        <f t="shared" si="42"/>
        <v>1.1800000000000006</v>
      </c>
      <c r="AT67" s="36">
        <f t="shared" si="43"/>
        <v>1.1800000000000006</v>
      </c>
      <c r="AU67" s="32">
        <f t="shared" si="5"/>
        <v>4.773946144331048</v>
      </c>
      <c r="AV67" s="40">
        <f t="shared" si="44"/>
        <v>4.773946144331048</v>
      </c>
      <c r="AW67" s="32"/>
      <c r="AX67" s="32">
        <f t="shared" si="45"/>
        <v>1.1800000000000006</v>
      </c>
      <c r="AY67" s="36">
        <f t="shared" si="46"/>
        <v>1.1800000000000006</v>
      </c>
      <c r="AZ67" s="32">
        <f t="shared" si="6"/>
        <v>4.773946144331048</v>
      </c>
      <c r="BA67" s="40">
        <f t="shared" si="47"/>
        <v>4.773946144331048</v>
      </c>
      <c r="BB67" s="32"/>
      <c r="BC67" s="32">
        <f t="shared" si="48"/>
        <v>1.1800000000000006</v>
      </c>
      <c r="BD67" s="32">
        <f t="shared" si="49"/>
        <v>1.1800000000000006</v>
      </c>
      <c r="BE67" s="32">
        <f t="shared" si="7"/>
        <v>4.773946144331048</v>
      </c>
      <c r="BF67" s="40">
        <f t="shared" si="50"/>
        <v>4.773946144331048</v>
      </c>
      <c r="BG67" s="32"/>
      <c r="BH67" s="32">
        <f t="shared" si="51"/>
        <v>1.1800000000000006</v>
      </c>
      <c r="BI67" s="36">
        <f t="shared" si="52"/>
        <v>1.1800000000000006</v>
      </c>
      <c r="BJ67" s="32">
        <f t="shared" si="8"/>
        <v>4.773946144331048</v>
      </c>
      <c r="BK67" s="40">
        <f t="shared" si="53"/>
        <v>4.773946144331048</v>
      </c>
      <c r="BL67" s="32"/>
      <c r="BM67" s="32">
        <f t="shared" si="54"/>
        <v>1.1800000000000006</v>
      </c>
      <c r="BN67" s="36">
        <f t="shared" si="55"/>
        <v>1.1800000000000006</v>
      </c>
      <c r="BO67" s="32">
        <f t="shared" si="9"/>
        <v>4.773946144331048</v>
      </c>
      <c r="BP67" s="40">
        <f t="shared" si="56"/>
        <v>4.773946144331048</v>
      </c>
      <c r="BQ67" s="32"/>
      <c r="BR67" s="32">
        <f t="shared" si="57"/>
        <v>1.1800000000000006</v>
      </c>
      <c r="BS67" s="32">
        <f t="shared" si="58"/>
        <v>1.1800000000000006</v>
      </c>
      <c r="BT67" s="32">
        <f t="shared" si="10"/>
        <v>4.773946144331048</v>
      </c>
      <c r="BU67" s="40">
        <f t="shared" si="59"/>
        <v>4.773946144331048</v>
      </c>
      <c r="BV67" s="32"/>
      <c r="BW67" s="32">
        <f t="shared" si="60"/>
        <v>1.1800000000000006</v>
      </c>
      <c r="BX67" s="36">
        <f t="shared" si="61"/>
        <v>1.1800000000000006</v>
      </c>
      <c r="BY67" s="32">
        <f t="shared" si="11"/>
        <v>4.773946144331048</v>
      </c>
      <c r="BZ67" s="40">
        <f t="shared" si="62"/>
        <v>4.773946144331048</v>
      </c>
      <c r="CA67" s="32"/>
      <c r="CB67" s="32">
        <f t="shared" si="63"/>
        <v>1.1800000000000006</v>
      </c>
      <c r="CC67" s="36">
        <f t="shared" si="64"/>
        <v>1.1800000000000006</v>
      </c>
      <c r="CD67" s="32">
        <f t="shared" si="12"/>
        <v>4.773946144331048</v>
      </c>
      <c r="CE67" s="40">
        <f t="shared" si="65"/>
        <v>4.773946144331048</v>
      </c>
      <c r="CF67" s="32"/>
      <c r="CG67" s="39">
        <f t="shared" si="66"/>
        <v>1.1800000000000006</v>
      </c>
      <c r="CH67" s="39">
        <f t="shared" si="67"/>
        <v>1.1800000000000006</v>
      </c>
      <c r="CI67" s="39">
        <f t="shared" si="13"/>
        <v>4.773946144331048</v>
      </c>
      <c r="CJ67" s="40">
        <f t="shared" si="68"/>
        <v>4.773946144331048</v>
      </c>
      <c r="CK67" s="39"/>
      <c r="CL67" s="32">
        <f t="shared" si="69"/>
        <v>1.1800000000000006</v>
      </c>
      <c r="CM67" s="36">
        <f t="shared" si="70"/>
        <v>1.1800000000000006</v>
      </c>
      <c r="CN67" s="32">
        <f t="shared" si="14"/>
        <v>4.773946144331048</v>
      </c>
      <c r="CO67" s="40">
        <f t="shared" si="71"/>
        <v>4.773946144331048</v>
      </c>
      <c r="CP67" s="32"/>
      <c r="CQ67" s="32">
        <f t="shared" si="72"/>
        <v>1.1800000000000006</v>
      </c>
      <c r="CR67" s="36">
        <f t="shared" si="73"/>
        <v>1.1800000000000006</v>
      </c>
      <c r="CS67" s="32">
        <f t="shared" si="15"/>
        <v>4.773946144331048</v>
      </c>
      <c r="CT67" s="40">
        <f t="shared" si="74"/>
        <v>4.773946144331048</v>
      </c>
      <c r="CU67" s="32"/>
      <c r="CV67" s="32">
        <f t="shared" si="75"/>
        <v>1.1800000000000006</v>
      </c>
      <c r="CW67" s="32">
        <f t="shared" si="76"/>
        <v>1.1800000000000006</v>
      </c>
      <c r="CX67" s="32">
        <f t="shared" si="16"/>
        <v>4.773946144331048</v>
      </c>
      <c r="CY67" s="40">
        <f t="shared" si="77"/>
        <v>4.773946144331048</v>
      </c>
      <c r="CZ67" s="32"/>
      <c r="DA67" s="32">
        <f t="shared" si="78"/>
        <v>1.1800000000000006</v>
      </c>
      <c r="DB67" s="36">
        <f t="shared" si="79"/>
        <v>1.1800000000000006</v>
      </c>
      <c r="DC67" s="32">
        <f t="shared" si="17"/>
        <v>4.773946144331048</v>
      </c>
      <c r="DD67" s="40">
        <f t="shared" si="80"/>
        <v>4.773946144331048</v>
      </c>
      <c r="DE67" s="32"/>
      <c r="DF67" s="32">
        <f t="shared" si="81"/>
        <v>1.1800000000000006</v>
      </c>
      <c r="DG67" s="36">
        <f t="shared" si="82"/>
        <v>1.1800000000000006</v>
      </c>
      <c r="DH67" s="32">
        <f t="shared" si="18"/>
        <v>4.773946144331048</v>
      </c>
      <c r="DI67" s="40">
        <f t="shared" si="83"/>
        <v>4.773946144331048</v>
      </c>
      <c r="DJ67" s="32"/>
      <c r="DK67" s="32">
        <f t="shared" si="84"/>
        <v>1.1800000000000006</v>
      </c>
      <c r="DL67" s="32">
        <f t="shared" si="85"/>
        <v>1.1800000000000006</v>
      </c>
      <c r="DM67" s="32">
        <f t="shared" si="19"/>
        <v>4.773946144331048</v>
      </c>
      <c r="DN67" s="40">
        <f t="shared" si="86"/>
        <v>4.773946144331048</v>
      </c>
      <c r="DO67" s="32"/>
      <c r="DP67" s="32">
        <f t="shared" si="87"/>
        <v>1.1800000000000006</v>
      </c>
      <c r="DQ67" s="36">
        <f t="shared" si="88"/>
        <v>1.1800000000000006</v>
      </c>
      <c r="DR67" s="32">
        <f t="shared" si="20"/>
        <v>4.773946144331048</v>
      </c>
      <c r="DS67" s="40">
        <f t="shared" si="89"/>
        <v>4.773946144331048</v>
      </c>
      <c r="DT67" s="32"/>
      <c r="DU67" s="32">
        <f t="shared" si="90"/>
        <v>1.1800000000000006</v>
      </c>
      <c r="DV67" s="36">
        <f t="shared" si="91"/>
        <v>1.1800000000000006</v>
      </c>
      <c r="DW67" s="32">
        <f t="shared" si="21"/>
        <v>4.773946144331048</v>
      </c>
      <c r="DX67" s="40">
        <f t="shared" si="92"/>
        <v>4.773946144331048</v>
      </c>
      <c r="DY67" s="32"/>
      <c r="DZ67" s="32">
        <f t="shared" si="93"/>
        <v>1.1800000000000006</v>
      </c>
      <c r="EA67" s="32">
        <f t="shared" si="94"/>
        <v>1.1800000000000006</v>
      </c>
      <c r="EB67" s="32">
        <f t="shared" si="22"/>
        <v>4.773946144331048</v>
      </c>
      <c r="EC67" s="40">
        <f t="shared" si="95"/>
        <v>4.773946144331048</v>
      </c>
      <c r="ED67" s="32"/>
      <c r="EE67" s="32">
        <f t="shared" si="96"/>
        <v>1.1800000000000006</v>
      </c>
      <c r="EF67" s="36">
        <f t="shared" si="97"/>
        <v>1.1800000000000006</v>
      </c>
      <c r="EG67" s="32">
        <f t="shared" si="23"/>
        <v>4.773946144331048</v>
      </c>
      <c r="EH67" s="40">
        <f t="shared" si="98"/>
        <v>4.773946144331048</v>
      </c>
      <c r="EI67" s="32"/>
      <c r="EJ67" s="32">
        <f t="shared" si="99"/>
        <v>1.1800000000000006</v>
      </c>
      <c r="EK67" s="36">
        <f t="shared" si="100"/>
        <v>1.1800000000000006</v>
      </c>
      <c r="EL67" s="32">
        <f t="shared" si="24"/>
        <v>4.773946144331048</v>
      </c>
      <c r="EM67" s="40">
        <f t="shared" si="101"/>
        <v>4.773946144331048</v>
      </c>
      <c r="EN67" s="32"/>
      <c r="EO67" s="32">
        <f t="shared" si="102"/>
        <v>1.1800000000000006</v>
      </c>
      <c r="EP67" s="32">
        <f t="shared" si="103"/>
        <v>1.1800000000000006</v>
      </c>
      <c r="EQ67" s="32">
        <f t="shared" si="25"/>
        <v>4.773946144331048</v>
      </c>
      <c r="ER67" s="40">
        <f t="shared" si="104"/>
        <v>4.773946144331048</v>
      </c>
      <c r="ES67" s="32"/>
      <c r="ET67" s="32">
        <f t="shared" si="105"/>
        <v>1.1800000000000006</v>
      </c>
      <c r="EU67" s="36">
        <f t="shared" si="106"/>
        <v>1.1800000000000006</v>
      </c>
      <c r="EV67" s="32">
        <f t="shared" si="26"/>
        <v>4.773946144331048</v>
      </c>
      <c r="EW67" s="40">
        <f t="shared" si="107"/>
        <v>4.773946144331048</v>
      </c>
      <c r="EX67" s="32"/>
    </row>
    <row r="68" spans="20:154" s="3" customFormat="1" x14ac:dyDescent="0.25">
      <c r="T68" s="32">
        <f t="shared" si="27"/>
        <v>1.2000000000000006</v>
      </c>
      <c r="U68" s="36">
        <f t="shared" si="28"/>
        <v>1.2000000000000006</v>
      </c>
      <c r="V68" s="32">
        <f t="shared" si="0"/>
        <v>4.7702152734165013</v>
      </c>
      <c r="W68" s="40">
        <f t="shared" si="29"/>
        <v>4.7702152734165013</v>
      </c>
      <c r="X68" s="32"/>
      <c r="Y68" s="32">
        <f t="shared" si="30"/>
        <v>1.2000000000000006</v>
      </c>
      <c r="Z68" s="32">
        <f t="shared" si="31"/>
        <v>1.2000000000000006</v>
      </c>
      <c r="AA68" s="32">
        <f t="shared" si="1"/>
        <v>4.7702152734165013</v>
      </c>
      <c r="AB68" s="40">
        <f t="shared" si="32"/>
        <v>4.7702152734165013</v>
      </c>
      <c r="AC68" s="32"/>
      <c r="AD68" s="32">
        <f t="shared" si="33"/>
        <v>1.2000000000000006</v>
      </c>
      <c r="AE68" s="36">
        <f t="shared" si="34"/>
        <v>1.2000000000000006</v>
      </c>
      <c r="AF68" s="32">
        <f t="shared" si="2"/>
        <v>4.7702152734165013</v>
      </c>
      <c r="AG68" s="40">
        <f t="shared" si="35"/>
        <v>4.7702152734165013</v>
      </c>
      <c r="AH68" s="32"/>
      <c r="AI68" s="32">
        <f t="shared" si="36"/>
        <v>1.2000000000000006</v>
      </c>
      <c r="AJ68" s="36">
        <f t="shared" si="37"/>
        <v>1.2000000000000006</v>
      </c>
      <c r="AK68" s="32">
        <f t="shared" si="3"/>
        <v>4.7702152734165013</v>
      </c>
      <c r="AL68" s="40">
        <f t="shared" si="38"/>
        <v>4.7702152734165013</v>
      </c>
      <c r="AM68" s="32"/>
      <c r="AN68" s="32">
        <f t="shared" si="39"/>
        <v>1.2000000000000006</v>
      </c>
      <c r="AO68" s="32">
        <f t="shared" si="40"/>
        <v>1.2000000000000006</v>
      </c>
      <c r="AP68" s="32">
        <f t="shared" si="4"/>
        <v>4.7702152734165013</v>
      </c>
      <c r="AQ68" s="40">
        <f t="shared" si="41"/>
        <v>4.7702152734165013</v>
      </c>
      <c r="AR68" s="32"/>
      <c r="AS68" s="32">
        <f t="shared" si="42"/>
        <v>1.2000000000000006</v>
      </c>
      <c r="AT68" s="36">
        <f t="shared" si="43"/>
        <v>1.2000000000000006</v>
      </c>
      <c r="AU68" s="32">
        <f t="shared" si="5"/>
        <v>4.7702152734165013</v>
      </c>
      <c r="AV68" s="40">
        <f t="shared" si="44"/>
        <v>4.7702152734165013</v>
      </c>
      <c r="AW68" s="32"/>
      <c r="AX68" s="32">
        <f t="shared" si="45"/>
        <v>1.2000000000000006</v>
      </c>
      <c r="AY68" s="36">
        <f t="shared" si="46"/>
        <v>1.2000000000000006</v>
      </c>
      <c r="AZ68" s="32">
        <f t="shared" si="6"/>
        <v>4.7702152734165013</v>
      </c>
      <c r="BA68" s="40">
        <f t="shared" si="47"/>
        <v>4.7702152734165013</v>
      </c>
      <c r="BB68" s="32"/>
      <c r="BC68" s="32">
        <f t="shared" si="48"/>
        <v>1.2000000000000006</v>
      </c>
      <c r="BD68" s="32">
        <f t="shared" si="49"/>
        <v>1.2000000000000006</v>
      </c>
      <c r="BE68" s="32">
        <f t="shared" si="7"/>
        <v>4.7702152734165013</v>
      </c>
      <c r="BF68" s="40">
        <f t="shared" si="50"/>
        <v>4.7702152734165013</v>
      </c>
      <c r="BG68" s="32"/>
      <c r="BH68" s="32">
        <f t="shared" si="51"/>
        <v>1.2000000000000006</v>
      </c>
      <c r="BI68" s="36">
        <f t="shared" si="52"/>
        <v>1.2000000000000006</v>
      </c>
      <c r="BJ68" s="32">
        <f t="shared" si="8"/>
        <v>4.7702152734165013</v>
      </c>
      <c r="BK68" s="40">
        <f t="shared" si="53"/>
        <v>4.7702152734165013</v>
      </c>
      <c r="BL68" s="32"/>
      <c r="BM68" s="32">
        <f t="shared" si="54"/>
        <v>1.2000000000000006</v>
      </c>
      <c r="BN68" s="36">
        <f t="shared" si="55"/>
        <v>1.2000000000000006</v>
      </c>
      <c r="BO68" s="32">
        <f t="shared" si="9"/>
        <v>4.7702152734165013</v>
      </c>
      <c r="BP68" s="40">
        <f t="shared" si="56"/>
        <v>4.7702152734165013</v>
      </c>
      <c r="BQ68" s="32"/>
      <c r="BR68" s="32">
        <f t="shared" si="57"/>
        <v>1.2000000000000006</v>
      </c>
      <c r="BS68" s="32">
        <f t="shared" si="58"/>
        <v>1.2000000000000006</v>
      </c>
      <c r="BT68" s="32">
        <f t="shared" si="10"/>
        <v>4.7702152734165013</v>
      </c>
      <c r="BU68" s="40">
        <f t="shared" si="59"/>
        <v>4.7702152734165013</v>
      </c>
      <c r="BV68" s="32"/>
      <c r="BW68" s="32">
        <f t="shared" si="60"/>
        <v>1.2000000000000006</v>
      </c>
      <c r="BX68" s="36">
        <f t="shared" si="61"/>
        <v>1.2000000000000006</v>
      </c>
      <c r="BY68" s="32">
        <f t="shared" si="11"/>
        <v>4.7702152734165013</v>
      </c>
      <c r="BZ68" s="40">
        <f t="shared" si="62"/>
        <v>4.7702152734165013</v>
      </c>
      <c r="CA68" s="32"/>
      <c r="CB68" s="32">
        <f t="shared" si="63"/>
        <v>1.2000000000000006</v>
      </c>
      <c r="CC68" s="36">
        <f t="shared" si="64"/>
        <v>1.2000000000000006</v>
      </c>
      <c r="CD68" s="32">
        <f t="shared" si="12"/>
        <v>4.7702152734165013</v>
      </c>
      <c r="CE68" s="40">
        <f t="shared" si="65"/>
        <v>4.7702152734165013</v>
      </c>
      <c r="CF68" s="32"/>
      <c r="CG68" s="39">
        <f t="shared" si="66"/>
        <v>1.2000000000000006</v>
      </c>
      <c r="CH68" s="39">
        <f t="shared" si="67"/>
        <v>1.2000000000000006</v>
      </c>
      <c r="CI68" s="39">
        <f t="shared" si="13"/>
        <v>4.7702152734165013</v>
      </c>
      <c r="CJ68" s="40">
        <f t="shared" si="68"/>
        <v>4.7702152734165013</v>
      </c>
      <c r="CK68" s="39"/>
      <c r="CL68" s="32">
        <f t="shared" si="69"/>
        <v>1.2000000000000006</v>
      </c>
      <c r="CM68" s="36">
        <f t="shared" si="70"/>
        <v>1.2000000000000006</v>
      </c>
      <c r="CN68" s="32">
        <f t="shared" si="14"/>
        <v>4.7702152734165013</v>
      </c>
      <c r="CO68" s="40">
        <f t="shared" si="71"/>
        <v>4.7702152734165013</v>
      </c>
      <c r="CP68" s="32"/>
      <c r="CQ68" s="32">
        <f t="shared" si="72"/>
        <v>1.2000000000000006</v>
      </c>
      <c r="CR68" s="36">
        <f t="shared" si="73"/>
        <v>1.2000000000000006</v>
      </c>
      <c r="CS68" s="32">
        <f t="shared" si="15"/>
        <v>4.7702152734165013</v>
      </c>
      <c r="CT68" s="40">
        <f t="shared" si="74"/>
        <v>4.7702152734165013</v>
      </c>
      <c r="CU68" s="32"/>
      <c r="CV68" s="32">
        <f t="shared" si="75"/>
        <v>1.2000000000000006</v>
      </c>
      <c r="CW68" s="32">
        <f t="shared" si="76"/>
        <v>1.2000000000000006</v>
      </c>
      <c r="CX68" s="32">
        <f t="shared" si="16"/>
        <v>4.7702152734165013</v>
      </c>
      <c r="CY68" s="40">
        <f t="shared" si="77"/>
        <v>4.7702152734165013</v>
      </c>
      <c r="CZ68" s="32"/>
      <c r="DA68" s="32">
        <f t="shared" si="78"/>
        <v>1.2000000000000006</v>
      </c>
      <c r="DB68" s="36">
        <f t="shared" si="79"/>
        <v>1.2000000000000006</v>
      </c>
      <c r="DC68" s="32">
        <f t="shared" si="17"/>
        <v>4.7702152734165013</v>
      </c>
      <c r="DD68" s="40">
        <f t="shared" si="80"/>
        <v>4.7702152734165013</v>
      </c>
      <c r="DE68" s="32"/>
      <c r="DF68" s="32">
        <f t="shared" si="81"/>
        <v>1.2000000000000006</v>
      </c>
      <c r="DG68" s="36">
        <f t="shared" si="82"/>
        <v>1.2000000000000006</v>
      </c>
      <c r="DH68" s="32">
        <f t="shared" si="18"/>
        <v>4.7702152734165013</v>
      </c>
      <c r="DI68" s="40">
        <f t="shared" si="83"/>
        <v>4.7702152734165013</v>
      </c>
      <c r="DJ68" s="32"/>
      <c r="DK68" s="32">
        <f t="shared" si="84"/>
        <v>1.2000000000000006</v>
      </c>
      <c r="DL68" s="32">
        <f t="shared" si="85"/>
        <v>1.2000000000000006</v>
      </c>
      <c r="DM68" s="32">
        <f t="shared" si="19"/>
        <v>4.7702152734165013</v>
      </c>
      <c r="DN68" s="40">
        <f t="shared" si="86"/>
        <v>4.7702152734165013</v>
      </c>
      <c r="DO68" s="32"/>
      <c r="DP68" s="32">
        <f t="shared" si="87"/>
        <v>1.2000000000000006</v>
      </c>
      <c r="DQ68" s="36">
        <f t="shared" si="88"/>
        <v>1.2000000000000006</v>
      </c>
      <c r="DR68" s="32">
        <f t="shared" si="20"/>
        <v>4.7702152734165013</v>
      </c>
      <c r="DS68" s="40">
        <f t="shared" si="89"/>
        <v>4.7702152734165013</v>
      </c>
      <c r="DT68" s="32"/>
      <c r="DU68" s="32">
        <f t="shared" si="90"/>
        <v>1.2000000000000006</v>
      </c>
      <c r="DV68" s="36">
        <f t="shared" si="91"/>
        <v>1.2000000000000006</v>
      </c>
      <c r="DW68" s="32">
        <f t="shared" si="21"/>
        <v>4.7702152734165013</v>
      </c>
      <c r="DX68" s="40">
        <f t="shared" si="92"/>
        <v>4.7702152734165013</v>
      </c>
      <c r="DY68" s="32"/>
      <c r="DZ68" s="32">
        <f t="shared" si="93"/>
        <v>1.2000000000000006</v>
      </c>
      <c r="EA68" s="32">
        <f t="shared" si="94"/>
        <v>1.2000000000000006</v>
      </c>
      <c r="EB68" s="32">
        <f t="shared" si="22"/>
        <v>4.7702152734165013</v>
      </c>
      <c r="EC68" s="40">
        <f t="shared" si="95"/>
        <v>4.7702152734165013</v>
      </c>
      <c r="ED68" s="32"/>
      <c r="EE68" s="32">
        <f t="shared" si="96"/>
        <v>1.2000000000000006</v>
      </c>
      <c r="EF68" s="36">
        <f t="shared" si="97"/>
        <v>1.2000000000000006</v>
      </c>
      <c r="EG68" s="32">
        <f t="shared" si="23"/>
        <v>4.7702152734165013</v>
      </c>
      <c r="EH68" s="40">
        <f t="shared" si="98"/>
        <v>4.7702152734165013</v>
      </c>
      <c r="EI68" s="32"/>
      <c r="EJ68" s="32">
        <f t="shared" si="99"/>
        <v>1.2000000000000006</v>
      </c>
      <c r="EK68" s="36">
        <f t="shared" si="100"/>
        <v>1.2000000000000006</v>
      </c>
      <c r="EL68" s="32">
        <f t="shared" si="24"/>
        <v>4.7702152734165013</v>
      </c>
      <c r="EM68" s="40">
        <f t="shared" si="101"/>
        <v>4.7702152734165013</v>
      </c>
      <c r="EN68" s="32"/>
      <c r="EO68" s="32">
        <f t="shared" si="102"/>
        <v>1.2000000000000006</v>
      </c>
      <c r="EP68" s="32">
        <f t="shared" si="103"/>
        <v>1.2000000000000006</v>
      </c>
      <c r="EQ68" s="32">
        <f t="shared" si="25"/>
        <v>4.7702152734165013</v>
      </c>
      <c r="ER68" s="40">
        <f t="shared" si="104"/>
        <v>4.7702152734165013</v>
      </c>
      <c r="ES68" s="32"/>
      <c r="ET68" s="32">
        <f t="shared" si="105"/>
        <v>1.2000000000000006</v>
      </c>
      <c r="EU68" s="36">
        <f t="shared" si="106"/>
        <v>1.2000000000000006</v>
      </c>
      <c r="EV68" s="32">
        <f t="shared" si="26"/>
        <v>4.7702152734165013</v>
      </c>
      <c r="EW68" s="40">
        <f t="shared" si="107"/>
        <v>4.7702152734165013</v>
      </c>
      <c r="EX68" s="32"/>
    </row>
    <row r="69" spans="20:154" s="3" customFormat="1" x14ac:dyDescent="0.25">
      <c r="T69" s="32">
        <f t="shared" si="27"/>
        <v>1.2200000000000006</v>
      </c>
      <c r="U69" s="36">
        <f t="shared" si="28"/>
        <v>1.2200000000000006</v>
      </c>
      <c r="V69" s="32">
        <f t="shared" si="0"/>
        <v>4.7637758897741067</v>
      </c>
      <c r="W69" s="40">
        <f t="shared" si="29"/>
        <v>4.7637758897741067</v>
      </c>
      <c r="X69" s="32"/>
      <c r="Y69" s="32">
        <f t="shared" si="30"/>
        <v>1.2200000000000006</v>
      </c>
      <c r="Z69" s="32">
        <f t="shared" si="31"/>
        <v>1.2200000000000006</v>
      </c>
      <c r="AA69" s="32">
        <f t="shared" si="1"/>
        <v>4.7637758897741067</v>
      </c>
      <c r="AB69" s="40">
        <f t="shared" si="32"/>
        <v>4.7637758897741067</v>
      </c>
      <c r="AC69" s="32"/>
      <c r="AD69" s="32">
        <f t="shared" si="33"/>
        <v>1.2200000000000006</v>
      </c>
      <c r="AE69" s="36">
        <f t="shared" si="34"/>
        <v>1.2200000000000006</v>
      </c>
      <c r="AF69" s="32">
        <f t="shared" si="2"/>
        <v>4.7637758897741067</v>
      </c>
      <c r="AG69" s="40">
        <f t="shared" si="35"/>
        <v>4.7637758897741067</v>
      </c>
      <c r="AH69" s="32"/>
      <c r="AI69" s="32">
        <f t="shared" si="36"/>
        <v>1.2200000000000006</v>
      </c>
      <c r="AJ69" s="36">
        <f t="shared" si="37"/>
        <v>1.2200000000000006</v>
      </c>
      <c r="AK69" s="32">
        <f t="shared" si="3"/>
        <v>4.7637758897741067</v>
      </c>
      <c r="AL69" s="40">
        <f t="shared" si="38"/>
        <v>4.7637758897741067</v>
      </c>
      <c r="AM69" s="32"/>
      <c r="AN69" s="32">
        <f t="shared" si="39"/>
        <v>1.2200000000000006</v>
      </c>
      <c r="AO69" s="32">
        <f t="shared" si="40"/>
        <v>1.2200000000000006</v>
      </c>
      <c r="AP69" s="32">
        <f t="shared" si="4"/>
        <v>4.7637758897741067</v>
      </c>
      <c r="AQ69" s="40">
        <f t="shared" si="41"/>
        <v>4.7637758897741067</v>
      </c>
      <c r="AR69" s="32"/>
      <c r="AS69" s="32">
        <f t="shared" si="42"/>
        <v>1.2200000000000006</v>
      </c>
      <c r="AT69" s="36">
        <f t="shared" si="43"/>
        <v>1.2200000000000006</v>
      </c>
      <c r="AU69" s="32">
        <f t="shared" si="5"/>
        <v>4.7637758897741067</v>
      </c>
      <c r="AV69" s="40">
        <f t="shared" si="44"/>
        <v>4.7637758897741067</v>
      </c>
      <c r="AW69" s="32"/>
      <c r="AX69" s="32">
        <f t="shared" si="45"/>
        <v>1.2200000000000006</v>
      </c>
      <c r="AY69" s="36">
        <f t="shared" si="46"/>
        <v>1.2200000000000006</v>
      </c>
      <c r="AZ69" s="32">
        <f t="shared" si="6"/>
        <v>4.7637758897741067</v>
      </c>
      <c r="BA69" s="40">
        <f t="shared" si="47"/>
        <v>4.7637758897741067</v>
      </c>
      <c r="BB69" s="32"/>
      <c r="BC69" s="32">
        <f t="shared" si="48"/>
        <v>1.2200000000000006</v>
      </c>
      <c r="BD69" s="32">
        <f t="shared" si="49"/>
        <v>1.2200000000000006</v>
      </c>
      <c r="BE69" s="32">
        <f t="shared" si="7"/>
        <v>4.7637758897741067</v>
      </c>
      <c r="BF69" s="40">
        <f t="shared" si="50"/>
        <v>4.7637758897741067</v>
      </c>
      <c r="BG69" s="32"/>
      <c r="BH69" s="32">
        <f t="shared" si="51"/>
        <v>1.2200000000000006</v>
      </c>
      <c r="BI69" s="36">
        <f t="shared" si="52"/>
        <v>1.2200000000000006</v>
      </c>
      <c r="BJ69" s="32">
        <f t="shared" si="8"/>
        <v>4.7637758897741067</v>
      </c>
      <c r="BK69" s="40">
        <f t="shared" si="53"/>
        <v>4.7637758897741067</v>
      </c>
      <c r="BL69" s="32"/>
      <c r="BM69" s="32">
        <f t="shared" si="54"/>
        <v>1.2200000000000006</v>
      </c>
      <c r="BN69" s="36">
        <f t="shared" si="55"/>
        <v>1.2200000000000006</v>
      </c>
      <c r="BO69" s="32">
        <f t="shared" si="9"/>
        <v>4.7637758897741067</v>
      </c>
      <c r="BP69" s="40">
        <f t="shared" si="56"/>
        <v>4.7637758897741067</v>
      </c>
      <c r="BQ69" s="32"/>
      <c r="BR69" s="32">
        <f t="shared" si="57"/>
        <v>1.2200000000000006</v>
      </c>
      <c r="BS69" s="32">
        <f t="shared" si="58"/>
        <v>1.2200000000000006</v>
      </c>
      <c r="BT69" s="32">
        <f t="shared" si="10"/>
        <v>4.7637758897741067</v>
      </c>
      <c r="BU69" s="40">
        <f t="shared" si="59"/>
        <v>4.7637758897741067</v>
      </c>
      <c r="BV69" s="32"/>
      <c r="BW69" s="32">
        <f t="shared" si="60"/>
        <v>1.2200000000000006</v>
      </c>
      <c r="BX69" s="36">
        <f t="shared" si="61"/>
        <v>1.2200000000000006</v>
      </c>
      <c r="BY69" s="32">
        <f t="shared" si="11"/>
        <v>4.7637758897741067</v>
      </c>
      <c r="BZ69" s="40">
        <f t="shared" si="62"/>
        <v>4.7637758897741067</v>
      </c>
      <c r="CA69" s="32"/>
      <c r="CB69" s="32">
        <f t="shared" si="63"/>
        <v>1.2200000000000006</v>
      </c>
      <c r="CC69" s="36">
        <f t="shared" si="64"/>
        <v>1.2200000000000006</v>
      </c>
      <c r="CD69" s="32">
        <f t="shared" si="12"/>
        <v>4.7637758897741067</v>
      </c>
      <c r="CE69" s="40">
        <f t="shared" si="65"/>
        <v>4.7637758897741067</v>
      </c>
      <c r="CF69" s="32"/>
      <c r="CG69" s="39">
        <f t="shared" si="66"/>
        <v>1.2200000000000006</v>
      </c>
      <c r="CH69" s="39">
        <f t="shared" si="67"/>
        <v>1.2200000000000006</v>
      </c>
      <c r="CI69" s="39">
        <f t="shared" si="13"/>
        <v>4.7637758897741067</v>
      </c>
      <c r="CJ69" s="40">
        <f t="shared" si="68"/>
        <v>4.7637758897741067</v>
      </c>
      <c r="CK69" s="39"/>
      <c r="CL69" s="32">
        <f t="shared" si="69"/>
        <v>1.2200000000000006</v>
      </c>
      <c r="CM69" s="36">
        <f t="shared" si="70"/>
        <v>1.2200000000000006</v>
      </c>
      <c r="CN69" s="32">
        <f t="shared" si="14"/>
        <v>4.7637758897741067</v>
      </c>
      <c r="CO69" s="40">
        <f t="shared" si="71"/>
        <v>4.7637758897741067</v>
      </c>
      <c r="CP69" s="32"/>
      <c r="CQ69" s="32">
        <f t="shared" si="72"/>
        <v>1.2200000000000006</v>
      </c>
      <c r="CR69" s="36">
        <f t="shared" si="73"/>
        <v>1.2200000000000006</v>
      </c>
      <c r="CS69" s="32">
        <f t="shared" si="15"/>
        <v>4.7637758897741067</v>
      </c>
      <c r="CT69" s="40">
        <f t="shared" si="74"/>
        <v>4.7637758897741067</v>
      </c>
      <c r="CU69" s="32"/>
      <c r="CV69" s="32">
        <f t="shared" si="75"/>
        <v>1.2200000000000006</v>
      </c>
      <c r="CW69" s="32">
        <f t="shared" si="76"/>
        <v>1.2200000000000006</v>
      </c>
      <c r="CX69" s="32">
        <f t="shared" si="16"/>
        <v>4.7637758897741067</v>
      </c>
      <c r="CY69" s="40">
        <f t="shared" si="77"/>
        <v>4.7637758897741067</v>
      </c>
      <c r="CZ69" s="32"/>
      <c r="DA69" s="32">
        <f t="shared" si="78"/>
        <v>1.2200000000000006</v>
      </c>
      <c r="DB69" s="36">
        <f t="shared" si="79"/>
        <v>1.2200000000000006</v>
      </c>
      <c r="DC69" s="32">
        <f t="shared" si="17"/>
        <v>4.7637758897741067</v>
      </c>
      <c r="DD69" s="40">
        <f t="shared" si="80"/>
        <v>4.7637758897741067</v>
      </c>
      <c r="DE69" s="32"/>
      <c r="DF69" s="32">
        <f t="shared" si="81"/>
        <v>1.2200000000000006</v>
      </c>
      <c r="DG69" s="36">
        <f t="shared" si="82"/>
        <v>1.2200000000000006</v>
      </c>
      <c r="DH69" s="32">
        <f t="shared" si="18"/>
        <v>4.7637758897741067</v>
      </c>
      <c r="DI69" s="40">
        <f t="shared" si="83"/>
        <v>4.7637758897741067</v>
      </c>
      <c r="DJ69" s="32"/>
      <c r="DK69" s="32">
        <f t="shared" si="84"/>
        <v>1.2200000000000006</v>
      </c>
      <c r="DL69" s="32">
        <f t="shared" si="85"/>
        <v>1.2200000000000006</v>
      </c>
      <c r="DM69" s="32">
        <f t="shared" si="19"/>
        <v>4.7637758897741067</v>
      </c>
      <c r="DN69" s="40">
        <f t="shared" si="86"/>
        <v>4.7637758897741067</v>
      </c>
      <c r="DO69" s="32"/>
      <c r="DP69" s="32">
        <f t="shared" si="87"/>
        <v>1.2200000000000006</v>
      </c>
      <c r="DQ69" s="36">
        <f t="shared" si="88"/>
        <v>1.2200000000000006</v>
      </c>
      <c r="DR69" s="32">
        <f t="shared" si="20"/>
        <v>4.7637758897741067</v>
      </c>
      <c r="DS69" s="40">
        <f t="shared" si="89"/>
        <v>4.7637758897741067</v>
      </c>
      <c r="DT69" s="32"/>
      <c r="DU69" s="32">
        <f t="shared" si="90"/>
        <v>1.2200000000000006</v>
      </c>
      <c r="DV69" s="36">
        <f t="shared" si="91"/>
        <v>1.2200000000000006</v>
      </c>
      <c r="DW69" s="32">
        <f t="shared" si="21"/>
        <v>4.7637758897741067</v>
      </c>
      <c r="DX69" s="40">
        <f t="shared" si="92"/>
        <v>4.7637758897741067</v>
      </c>
      <c r="DY69" s="32"/>
      <c r="DZ69" s="32">
        <f t="shared" si="93"/>
        <v>1.2200000000000006</v>
      </c>
      <c r="EA69" s="32">
        <f t="shared" si="94"/>
        <v>1.2200000000000006</v>
      </c>
      <c r="EB69" s="32">
        <f t="shared" si="22"/>
        <v>4.7637758897741067</v>
      </c>
      <c r="EC69" s="40">
        <f t="shared" si="95"/>
        <v>4.7637758897741067</v>
      </c>
      <c r="ED69" s="32"/>
      <c r="EE69" s="32">
        <f t="shared" si="96"/>
        <v>1.2200000000000006</v>
      </c>
      <c r="EF69" s="36">
        <f t="shared" si="97"/>
        <v>1.2200000000000006</v>
      </c>
      <c r="EG69" s="32">
        <f t="shared" si="23"/>
        <v>4.7637758897741067</v>
      </c>
      <c r="EH69" s="40">
        <f t="shared" si="98"/>
        <v>4.7637758897741067</v>
      </c>
      <c r="EI69" s="32"/>
      <c r="EJ69" s="32">
        <f t="shared" si="99"/>
        <v>1.2200000000000006</v>
      </c>
      <c r="EK69" s="36">
        <f t="shared" si="100"/>
        <v>1.2200000000000006</v>
      </c>
      <c r="EL69" s="32">
        <f t="shared" si="24"/>
        <v>4.7637758897741067</v>
      </c>
      <c r="EM69" s="40">
        <f t="shared" si="101"/>
        <v>4.7637758897741067</v>
      </c>
      <c r="EN69" s="32"/>
      <c r="EO69" s="32">
        <f t="shared" si="102"/>
        <v>1.2200000000000006</v>
      </c>
      <c r="EP69" s="32">
        <f t="shared" si="103"/>
        <v>1.2200000000000006</v>
      </c>
      <c r="EQ69" s="32">
        <f t="shared" si="25"/>
        <v>4.7637758897741067</v>
      </c>
      <c r="ER69" s="40">
        <f t="shared" si="104"/>
        <v>4.7637758897741067</v>
      </c>
      <c r="ES69" s="32"/>
      <c r="ET69" s="32">
        <f t="shared" si="105"/>
        <v>1.2200000000000006</v>
      </c>
      <c r="EU69" s="36">
        <f t="shared" si="106"/>
        <v>1.2200000000000006</v>
      </c>
      <c r="EV69" s="32">
        <f t="shared" si="26"/>
        <v>4.7637758897741067</v>
      </c>
      <c r="EW69" s="40">
        <f t="shared" si="107"/>
        <v>4.7637758897741067</v>
      </c>
      <c r="EX69" s="32"/>
    </row>
    <row r="70" spans="20:154" s="3" customFormat="1" x14ac:dyDescent="0.25">
      <c r="T70" s="32">
        <f t="shared" si="27"/>
        <v>1.2400000000000007</v>
      </c>
      <c r="U70" s="36">
        <f t="shared" si="28"/>
        <v>1.2400000000000007</v>
      </c>
      <c r="V70" s="32">
        <f t="shared" si="0"/>
        <v>4.7546279934038642</v>
      </c>
      <c r="W70" s="40">
        <f t="shared" si="29"/>
        <v>4.7546279934038642</v>
      </c>
      <c r="X70" s="32"/>
      <c r="Y70" s="32">
        <f t="shared" si="30"/>
        <v>1.2400000000000007</v>
      </c>
      <c r="Z70" s="32">
        <f t="shared" si="31"/>
        <v>1.2400000000000007</v>
      </c>
      <c r="AA70" s="32">
        <f t="shared" si="1"/>
        <v>4.7546279934038642</v>
      </c>
      <c r="AB70" s="40">
        <f t="shared" si="32"/>
        <v>4.7546279934038642</v>
      </c>
      <c r="AC70" s="32"/>
      <c r="AD70" s="32">
        <f t="shared" si="33"/>
        <v>1.2400000000000007</v>
      </c>
      <c r="AE70" s="36">
        <f t="shared" si="34"/>
        <v>1.2400000000000007</v>
      </c>
      <c r="AF70" s="32">
        <f t="shared" si="2"/>
        <v>4.7546279934038642</v>
      </c>
      <c r="AG70" s="40">
        <f t="shared" si="35"/>
        <v>4.7546279934038642</v>
      </c>
      <c r="AH70" s="32"/>
      <c r="AI70" s="32">
        <f t="shared" si="36"/>
        <v>1.2400000000000007</v>
      </c>
      <c r="AJ70" s="36">
        <f t="shared" si="37"/>
        <v>1.2400000000000007</v>
      </c>
      <c r="AK70" s="32">
        <f t="shared" si="3"/>
        <v>4.7546279934038642</v>
      </c>
      <c r="AL70" s="40">
        <f t="shared" si="38"/>
        <v>4.7546279934038642</v>
      </c>
      <c r="AM70" s="32"/>
      <c r="AN70" s="32">
        <f t="shared" si="39"/>
        <v>1.2400000000000007</v>
      </c>
      <c r="AO70" s="32">
        <f t="shared" si="40"/>
        <v>1.2400000000000007</v>
      </c>
      <c r="AP70" s="32">
        <f t="shared" si="4"/>
        <v>4.7546279934038642</v>
      </c>
      <c r="AQ70" s="40">
        <f t="shared" si="41"/>
        <v>4.7546279934038642</v>
      </c>
      <c r="AR70" s="32"/>
      <c r="AS70" s="32">
        <f t="shared" si="42"/>
        <v>1.2400000000000007</v>
      </c>
      <c r="AT70" s="36">
        <f t="shared" si="43"/>
        <v>1.2400000000000007</v>
      </c>
      <c r="AU70" s="32">
        <f t="shared" si="5"/>
        <v>4.7546279934038642</v>
      </c>
      <c r="AV70" s="40">
        <f t="shared" si="44"/>
        <v>4.7546279934038642</v>
      </c>
      <c r="AW70" s="32"/>
      <c r="AX70" s="32">
        <f t="shared" si="45"/>
        <v>1.2400000000000007</v>
      </c>
      <c r="AY70" s="36">
        <f t="shared" si="46"/>
        <v>1.2400000000000007</v>
      </c>
      <c r="AZ70" s="32">
        <f t="shared" si="6"/>
        <v>4.7546279934038642</v>
      </c>
      <c r="BA70" s="40">
        <f t="shared" si="47"/>
        <v>4.7546279934038642</v>
      </c>
      <c r="BB70" s="32"/>
      <c r="BC70" s="32">
        <f t="shared" si="48"/>
        <v>1.2400000000000007</v>
      </c>
      <c r="BD70" s="32">
        <f t="shared" si="49"/>
        <v>1.2400000000000007</v>
      </c>
      <c r="BE70" s="32">
        <f t="shared" si="7"/>
        <v>4.7546279934038642</v>
      </c>
      <c r="BF70" s="40">
        <f t="shared" si="50"/>
        <v>4.7546279934038642</v>
      </c>
      <c r="BG70" s="32"/>
      <c r="BH70" s="32">
        <f t="shared" si="51"/>
        <v>1.2400000000000007</v>
      </c>
      <c r="BI70" s="36">
        <f t="shared" si="52"/>
        <v>1.2400000000000007</v>
      </c>
      <c r="BJ70" s="32">
        <f t="shared" si="8"/>
        <v>4.7546279934038642</v>
      </c>
      <c r="BK70" s="40">
        <f t="shared" si="53"/>
        <v>4.7546279934038642</v>
      </c>
      <c r="BL70" s="32"/>
      <c r="BM70" s="32">
        <f t="shared" si="54"/>
        <v>1.2400000000000007</v>
      </c>
      <c r="BN70" s="36">
        <f t="shared" si="55"/>
        <v>1.2400000000000007</v>
      </c>
      <c r="BO70" s="32">
        <f t="shared" si="9"/>
        <v>4.7546279934038642</v>
      </c>
      <c r="BP70" s="40">
        <f t="shared" si="56"/>
        <v>4.7546279934038642</v>
      </c>
      <c r="BQ70" s="32"/>
      <c r="BR70" s="32">
        <f t="shared" si="57"/>
        <v>1.2400000000000007</v>
      </c>
      <c r="BS70" s="32">
        <f t="shared" si="58"/>
        <v>1.2400000000000007</v>
      </c>
      <c r="BT70" s="32">
        <f t="shared" si="10"/>
        <v>4.7546279934038642</v>
      </c>
      <c r="BU70" s="40">
        <f t="shared" si="59"/>
        <v>4.7546279934038642</v>
      </c>
      <c r="BV70" s="32"/>
      <c r="BW70" s="32">
        <f t="shared" si="60"/>
        <v>1.2400000000000007</v>
      </c>
      <c r="BX70" s="36">
        <f t="shared" si="61"/>
        <v>1.2400000000000007</v>
      </c>
      <c r="BY70" s="32">
        <f t="shared" si="11"/>
        <v>4.7546279934038642</v>
      </c>
      <c r="BZ70" s="40">
        <f t="shared" si="62"/>
        <v>4.7546279934038642</v>
      </c>
      <c r="CA70" s="32"/>
      <c r="CB70" s="32">
        <f t="shared" si="63"/>
        <v>1.2400000000000007</v>
      </c>
      <c r="CC70" s="36">
        <f t="shared" si="64"/>
        <v>1.2400000000000007</v>
      </c>
      <c r="CD70" s="32">
        <f t="shared" si="12"/>
        <v>4.7546279934038642</v>
      </c>
      <c r="CE70" s="40">
        <f t="shared" si="65"/>
        <v>4.7546279934038642</v>
      </c>
      <c r="CF70" s="32"/>
      <c r="CG70" s="39">
        <f t="shared" si="66"/>
        <v>1.2400000000000007</v>
      </c>
      <c r="CH70" s="39">
        <f t="shared" si="67"/>
        <v>1.2400000000000007</v>
      </c>
      <c r="CI70" s="39">
        <f t="shared" si="13"/>
        <v>4.7546279934038642</v>
      </c>
      <c r="CJ70" s="40">
        <f t="shared" si="68"/>
        <v>4.7546279934038642</v>
      </c>
      <c r="CK70" s="39"/>
      <c r="CL70" s="32">
        <f t="shared" si="69"/>
        <v>1.2400000000000007</v>
      </c>
      <c r="CM70" s="36">
        <f t="shared" si="70"/>
        <v>1.2400000000000007</v>
      </c>
      <c r="CN70" s="32">
        <f t="shared" si="14"/>
        <v>4.7546279934038642</v>
      </c>
      <c r="CO70" s="40">
        <f t="shared" si="71"/>
        <v>4.7546279934038642</v>
      </c>
      <c r="CP70" s="32"/>
      <c r="CQ70" s="32">
        <f t="shared" si="72"/>
        <v>1.2400000000000007</v>
      </c>
      <c r="CR70" s="36">
        <f t="shared" si="73"/>
        <v>1.2400000000000007</v>
      </c>
      <c r="CS70" s="32">
        <f t="shared" si="15"/>
        <v>4.7546279934038642</v>
      </c>
      <c r="CT70" s="40">
        <f t="shared" si="74"/>
        <v>4.7546279934038642</v>
      </c>
      <c r="CU70" s="32"/>
      <c r="CV70" s="32">
        <f t="shared" si="75"/>
        <v>1.2400000000000007</v>
      </c>
      <c r="CW70" s="32">
        <f t="shared" si="76"/>
        <v>1.2400000000000007</v>
      </c>
      <c r="CX70" s="32">
        <f t="shared" si="16"/>
        <v>4.7546279934038642</v>
      </c>
      <c r="CY70" s="40">
        <f t="shared" si="77"/>
        <v>4.7546279934038642</v>
      </c>
      <c r="CZ70" s="32"/>
      <c r="DA70" s="32">
        <f t="shared" si="78"/>
        <v>1.2400000000000007</v>
      </c>
      <c r="DB70" s="36">
        <f t="shared" si="79"/>
        <v>1.2400000000000007</v>
      </c>
      <c r="DC70" s="32">
        <f t="shared" si="17"/>
        <v>4.7546279934038642</v>
      </c>
      <c r="DD70" s="40">
        <f t="shared" si="80"/>
        <v>4.7546279934038642</v>
      </c>
      <c r="DE70" s="32"/>
      <c r="DF70" s="32">
        <f t="shared" si="81"/>
        <v>1.2400000000000007</v>
      </c>
      <c r="DG70" s="36">
        <f t="shared" si="82"/>
        <v>1.2400000000000007</v>
      </c>
      <c r="DH70" s="32">
        <f t="shared" si="18"/>
        <v>4.7546279934038642</v>
      </c>
      <c r="DI70" s="40">
        <f t="shared" si="83"/>
        <v>4.7546279934038642</v>
      </c>
      <c r="DJ70" s="32"/>
      <c r="DK70" s="32">
        <f t="shared" si="84"/>
        <v>1.2400000000000007</v>
      </c>
      <c r="DL70" s="32">
        <f t="shared" si="85"/>
        <v>1.2400000000000007</v>
      </c>
      <c r="DM70" s="32">
        <f t="shared" si="19"/>
        <v>4.7546279934038642</v>
      </c>
      <c r="DN70" s="40">
        <f t="shared" si="86"/>
        <v>4.7546279934038642</v>
      </c>
      <c r="DO70" s="32"/>
      <c r="DP70" s="32">
        <f t="shared" si="87"/>
        <v>1.2400000000000007</v>
      </c>
      <c r="DQ70" s="36">
        <f t="shared" si="88"/>
        <v>1.2400000000000007</v>
      </c>
      <c r="DR70" s="32">
        <f t="shared" si="20"/>
        <v>4.7546279934038642</v>
      </c>
      <c r="DS70" s="40">
        <f t="shared" si="89"/>
        <v>4.7546279934038642</v>
      </c>
      <c r="DT70" s="32"/>
      <c r="DU70" s="32">
        <f t="shared" si="90"/>
        <v>1.2400000000000007</v>
      </c>
      <c r="DV70" s="36">
        <f t="shared" si="91"/>
        <v>1.2400000000000007</v>
      </c>
      <c r="DW70" s="32">
        <f t="shared" si="21"/>
        <v>4.7546279934038642</v>
      </c>
      <c r="DX70" s="40">
        <f t="shared" si="92"/>
        <v>4.7546279934038642</v>
      </c>
      <c r="DY70" s="32"/>
      <c r="DZ70" s="32">
        <f t="shared" si="93"/>
        <v>1.2400000000000007</v>
      </c>
      <c r="EA70" s="32">
        <f t="shared" si="94"/>
        <v>1.2400000000000007</v>
      </c>
      <c r="EB70" s="32">
        <f t="shared" si="22"/>
        <v>4.7546279934038642</v>
      </c>
      <c r="EC70" s="40">
        <f t="shared" si="95"/>
        <v>4.7546279934038642</v>
      </c>
      <c r="ED70" s="32"/>
      <c r="EE70" s="32">
        <f t="shared" si="96"/>
        <v>1.2400000000000007</v>
      </c>
      <c r="EF70" s="36">
        <f t="shared" si="97"/>
        <v>1.2400000000000007</v>
      </c>
      <c r="EG70" s="32">
        <f t="shared" si="23"/>
        <v>4.7546279934038642</v>
      </c>
      <c r="EH70" s="40">
        <f t="shared" si="98"/>
        <v>4.7546279934038642</v>
      </c>
      <c r="EI70" s="32"/>
      <c r="EJ70" s="32">
        <f t="shared" si="99"/>
        <v>1.2400000000000007</v>
      </c>
      <c r="EK70" s="36">
        <f t="shared" si="100"/>
        <v>1.2400000000000007</v>
      </c>
      <c r="EL70" s="32">
        <f t="shared" si="24"/>
        <v>4.7546279934038642</v>
      </c>
      <c r="EM70" s="40">
        <f t="shared" si="101"/>
        <v>4.7546279934038642</v>
      </c>
      <c r="EN70" s="32"/>
      <c r="EO70" s="32">
        <f t="shared" si="102"/>
        <v>1.2400000000000007</v>
      </c>
      <c r="EP70" s="32">
        <f t="shared" si="103"/>
        <v>1.2400000000000007</v>
      </c>
      <c r="EQ70" s="32">
        <f t="shared" si="25"/>
        <v>4.7546279934038642</v>
      </c>
      <c r="ER70" s="40">
        <f t="shared" si="104"/>
        <v>4.7546279934038642</v>
      </c>
      <c r="ES70" s="32"/>
      <c r="ET70" s="32">
        <f t="shared" si="105"/>
        <v>1.2400000000000007</v>
      </c>
      <c r="EU70" s="36">
        <f t="shared" si="106"/>
        <v>1.2400000000000007</v>
      </c>
      <c r="EV70" s="32">
        <f t="shared" si="26"/>
        <v>4.7546279934038642</v>
      </c>
      <c r="EW70" s="40">
        <f t="shared" si="107"/>
        <v>4.7546279934038642</v>
      </c>
      <c r="EX70" s="32"/>
    </row>
    <row r="71" spans="20:154" s="3" customFormat="1" x14ac:dyDescent="0.25">
      <c r="T71" s="32">
        <f t="shared" si="27"/>
        <v>1.2600000000000007</v>
      </c>
      <c r="U71" s="36">
        <f t="shared" si="28"/>
        <v>1.2600000000000007</v>
      </c>
      <c r="V71" s="32">
        <f t="shared" si="0"/>
        <v>4.7427715843057765</v>
      </c>
      <c r="W71" s="40">
        <f t="shared" si="29"/>
        <v>4.7427715843057765</v>
      </c>
      <c r="X71" s="32"/>
      <c r="Y71" s="32">
        <f t="shared" si="30"/>
        <v>1.2600000000000007</v>
      </c>
      <c r="Z71" s="32">
        <f t="shared" si="31"/>
        <v>1.2600000000000007</v>
      </c>
      <c r="AA71" s="32">
        <f t="shared" si="1"/>
        <v>4.7427715843057765</v>
      </c>
      <c r="AB71" s="40">
        <f t="shared" si="32"/>
        <v>4.7427715843057765</v>
      </c>
      <c r="AC71" s="32"/>
      <c r="AD71" s="32">
        <f t="shared" si="33"/>
        <v>1.2600000000000007</v>
      </c>
      <c r="AE71" s="36">
        <f t="shared" si="34"/>
        <v>1.2600000000000007</v>
      </c>
      <c r="AF71" s="32">
        <f t="shared" si="2"/>
        <v>4.7427715843057765</v>
      </c>
      <c r="AG71" s="40">
        <f t="shared" si="35"/>
        <v>4.7427715843057765</v>
      </c>
      <c r="AH71" s="32"/>
      <c r="AI71" s="32">
        <f t="shared" si="36"/>
        <v>1.2600000000000007</v>
      </c>
      <c r="AJ71" s="36">
        <f t="shared" si="37"/>
        <v>1.2600000000000007</v>
      </c>
      <c r="AK71" s="32">
        <f t="shared" si="3"/>
        <v>4.7427715843057765</v>
      </c>
      <c r="AL71" s="40">
        <f t="shared" si="38"/>
        <v>4.7427715843057765</v>
      </c>
      <c r="AM71" s="32"/>
      <c r="AN71" s="32">
        <f t="shared" si="39"/>
        <v>1.2600000000000007</v>
      </c>
      <c r="AO71" s="32">
        <f t="shared" si="40"/>
        <v>1.2600000000000007</v>
      </c>
      <c r="AP71" s="32">
        <f t="shared" si="4"/>
        <v>4.7427715843057765</v>
      </c>
      <c r="AQ71" s="40">
        <f t="shared" si="41"/>
        <v>4.7427715843057765</v>
      </c>
      <c r="AR71" s="32"/>
      <c r="AS71" s="32">
        <f t="shared" si="42"/>
        <v>1.2600000000000007</v>
      </c>
      <c r="AT71" s="36">
        <f t="shared" si="43"/>
        <v>1.2600000000000007</v>
      </c>
      <c r="AU71" s="32">
        <f t="shared" si="5"/>
        <v>4.7427715843057765</v>
      </c>
      <c r="AV71" s="40">
        <f t="shared" si="44"/>
        <v>4.7427715843057765</v>
      </c>
      <c r="AW71" s="32"/>
      <c r="AX71" s="32">
        <f t="shared" si="45"/>
        <v>1.2600000000000007</v>
      </c>
      <c r="AY71" s="36">
        <f t="shared" si="46"/>
        <v>1.2600000000000007</v>
      </c>
      <c r="AZ71" s="32">
        <f t="shared" si="6"/>
        <v>4.7427715843057765</v>
      </c>
      <c r="BA71" s="40">
        <f t="shared" si="47"/>
        <v>4.7427715843057765</v>
      </c>
      <c r="BB71" s="32"/>
      <c r="BC71" s="32">
        <f t="shared" si="48"/>
        <v>1.2600000000000007</v>
      </c>
      <c r="BD71" s="32">
        <f t="shared" si="49"/>
        <v>1.2600000000000007</v>
      </c>
      <c r="BE71" s="32">
        <f t="shared" si="7"/>
        <v>4.7427715843057765</v>
      </c>
      <c r="BF71" s="40">
        <f t="shared" si="50"/>
        <v>4.7427715843057765</v>
      </c>
      <c r="BG71" s="32"/>
      <c r="BH71" s="32">
        <f t="shared" si="51"/>
        <v>1.2600000000000007</v>
      </c>
      <c r="BI71" s="36">
        <f t="shared" si="52"/>
        <v>1.2600000000000007</v>
      </c>
      <c r="BJ71" s="32">
        <f t="shared" si="8"/>
        <v>4.7427715843057765</v>
      </c>
      <c r="BK71" s="40">
        <f t="shared" si="53"/>
        <v>4.7427715843057765</v>
      </c>
      <c r="BL71" s="32"/>
      <c r="BM71" s="32">
        <f t="shared" si="54"/>
        <v>1.2600000000000007</v>
      </c>
      <c r="BN71" s="36">
        <f t="shared" si="55"/>
        <v>1.2600000000000007</v>
      </c>
      <c r="BO71" s="32">
        <f t="shared" si="9"/>
        <v>4.7427715843057765</v>
      </c>
      <c r="BP71" s="40">
        <f t="shared" si="56"/>
        <v>4.7427715843057765</v>
      </c>
      <c r="BQ71" s="32"/>
      <c r="BR71" s="32">
        <f t="shared" si="57"/>
        <v>1.2600000000000007</v>
      </c>
      <c r="BS71" s="32">
        <f t="shared" si="58"/>
        <v>1.2600000000000007</v>
      </c>
      <c r="BT71" s="32">
        <f t="shared" si="10"/>
        <v>4.7427715843057765</v>
      </c>
      <c r="BU71" s="40">
        <f t="shared" si="59"/>
        <v>4.7427715843057765</v>
      </c>
      <c r="BV71" s="32"/>
      <c r="BW71" s="32">
        <f t="shared" si="60"/>
        <v>1.2600000000000007</v>
      </c>
      <c r="BX71" s="36">
        <f t="shared" si="61"/>
        <v>1.2600000000000007</v>
      </c>
      <c r="BY71" s="32">
        <f t="shared" si="11"/>
        <v>4.7427715843057765</v>
      </c>
      <c r="BZ71" s="40">
        <f t="shared" si="62"/>
        <v>4.7427715843057765</v>
      </c>
      <c r="CA71" s="32"/>
      <c r="CB71" s="32">
        <f t="shared" si="63"/>
        <v>1.2600000000000007</v>
      </c>
      <c r="CC71" s="36">
        <f t="shared" si="64"/>
        <v>1.2600000000000007</v>
      </c>
      <c r="CD71" s="32">
        <f t="shared" si="12"/>
        <v>4.7427715843057765</v>
      </c>
      <c r="CE71" s="40">
        <f t="shared" si="65"/>
        <v>4.7427715843057765</v>
      </c>
      <c r="CF71" s="32"/>
      <c r="CG71" s="39">
        <f t="shared" si="66"/>
        <v>1.2600000000000007</v>
      </c>
      <c r="CH71" s="39">
        <f t="shared" si="67"/>
        <v>1.2600000000000007</v>
      </c>
      <c r="CI71" s="39">
        <f t="shared" si="13"/>
        <v>4.7427715843057765</v>
      </c>
      <c r="CJ71" s="40">
        <f t="shared" si="68"/>
        <v>4.7427715843057765</v>
      </c>
      <c r="CK71" s="39"/>
      <c r="CL71" s="32">
        <f t="shared" si="69"/>
        <v>1.2600000000000007</v>
      </c>
      <c r="CM71" s="36">
        <f t="shared" si="70"/>
        <v>1.2600000000000007</v>
      </c>
      <c r="CN71" s="32">
        <f t="shared" si="14"/>
        <v>4.7427715843057765</v>
      </c>
      <c r="CO71" s="40">
        <f t="shared" si="71"/>
        <v>4.7427715843057765</v>
      </c>
      <c r="CP71" s="32"/>
      <c r="CQ71" s="32">
        <f t="shared" si="72"/>
        <v>1.2600000000000007</v>
      </c>
      <c r="CR71" s="36">
        <f t="shared" si="73"/>
        <v>1.2600000000000007</v>
      </c>
      <c r="CS71" s="32">
        <f t="shared" si="15"/>
        <v>4.7427715843057765</v>
      </c>
      <c r="CT71" s="40">
        <f t="shared" si="74"/>
        <v>4.7427715843057765</v>
      </c>
      <c r="CU71" s="32"/>
      <c r="CV71" s="32">
        <f t="shared" si="75"/>
        <v>1.2600000000000007</v>
      </c>
      <c r="CW71" s="32">
        <f t="shared" si="76"/>
        <v>1.2600000000000007</v>
      </c>
      <c r="CX71" s="32">
        <f t="shared" si="16"/>
        <v>4.7427715843057765</v>
      </c>
      <c r="CY71" s="40">
        <f t="shared" si="77"/>
        <v>4.7427715843057765</v>
      </c>
      <c r="CZ71" s="32"/>
      <c r="DA71" s="32">
        <f t="shared" si="78"/>
        <v>1.2600000000000007</v>
      </c>
      <c r="DB71" s="36">
        <f t="shared" si="79"/>
        <v>1.2600000000000007</v>
      </c>
      <c r="DC71" s="32">
        <f t="shared" si="17"/>
        <v>4.7427715843057765</v>
      </c>
      <c r="DD71" s="40">
        <f t="shared" si="80"/>
        <v>4.7427715843057765</v>
      </c>
      <c r="DE71" s="32"/>
      <c r="DF71" s="32">
        <f t="shared" si="81"/>
        <v>1.2600000000000007</v>
      </c>
      <c r="DG71" s="36">
        <f t="shared" si="82"/>
        <v>1.2600000000000007</v>
      </c>
      <c r="DH71" s="32">
        <f t="shared" si="18"/>
        <v>4.7427715843057765</v>
      </c>
      <c r="DI71" s="40">
        <f t="shared" si="83"/>
        <v>4.7427715843057765</v>
      </c>
      <c r="DJ71" s="32"/>
      <c r="DK71" s="32">
        <f t="shared" si="84"/>
        <v>1.2600000000000007</v>
      </c>
      <c r="DL71" s="32">
        <f t="shared" si="85"/>
        <v>1.2600000000000007</v>
      </c>
      <c r="DM71" s="32">
        <f t="shared" si="19"/>
        <v>4.7427715843057765</v>
      </c>
      <c r="DN71" s="40">
        <f t="shared" si="86"/>
        <v>4.7427715843057765</v>
      </c>
      <c r="DO71" s="32"/>
      <c r="DP71" s="32">
        <f t="shared" si="87"/>
        <v>1.2600000000000007</v>
      </c>
      <c r="DQ71" s="36">
        <f t="shared" si="88"/>
        <v>1.2600000000000007</v>
      </c>
      <c r="DR71" s="32">
        <f t="shared" si="20"/>
        <v>4.7427715843057765</v>
      </c>
      <c r="DS71" s="40">
        <f t="shared" si="89"/>
        <v>4.7427715843057765</v>
      </c>
      <c r="DT71" s="32"/>
      <c r="DU71" s="32">
        <f t="shared" si="90"/>
        <v>1.2600000000000007</v>
      </c>
      <c r="DV71" s="36">
        <f t="shared" si="91"/>
        <v>1.2600000000000007</v>
      </c>
      <c r="DW71" s="32">
        <f t="shared" si="21"/>
        <v>4.7427715843057765</v>
      </c>
      <c r="DX71" s="40">
        <f t="shared" si="92"/>
        <v>4.7427715843057765</v>
      </c>
      <c r="DY71" s="32"/>
      <c r="DZ71" s="32">
        <f t="shared" si="93"/>
        <v>1.2600000000000007</v>
      </c>
      <c r="EA71" s="32">
        <f t="shared" si="94"/>
        <v>1.2600000000000007</v>
      </c>
      <c r="EB71" s="32">
        <f t="shared" si="22"/>
        <v>4.7427715843057765</v>
      </c>
      <c r="EC71" s="40">
        <f t="shared" si="95"/>
        <v>4.7427715843057765</v>
      </c>
      <c r="ED71" s="32"/>
      <c r="EE71" s="32">
        <f t="shared" si="96"/>
        <v>1.2600000000000007</v>
      </c>
      <c r="EF71" s="36">
        <f t="shared" si="97"/>
        <v>1.2600000000000007</v>
      </c>
      <c r="EG71" s="32">
        <f t="shared" si="23"/>
        <v>4.7427715843057765</v>
      </c>
      <c r="EH71" s="40">
        <f t="shared" si="98"/>
        <v>4.7427715843057765</v>
      </c>
      <c r="EI71" s="32"/>
      <c r="EJ71" s="32">
        <f t="shared" si="99"/>
        <v>1.2600000000000007</v>
      </c>
      <c r="EK71" s="36">
        <f t="shared" si="100"/>
        <v>1.2600000000000007</v>
      </c>
      <c r="EL71" s="32">
        <f t="shared" si="24"/>
        <v>4.7427715843057765</v>
      </c>
      <c r="EM71" s="40">
        <f t="shared" si="101"/>
        <v>4.7427715843057765</v>
      </c>
      <c r="EN71" s="32"/>
      <c r="EO71" s="32">
        <f t="shared" si="102"/>
        <v>1.2600000000000007</v>
      </c>
      <c r="EP71" s="32">
        <f t="shared" si="103"/>
        <v>1.2600000000000007</v>
      </c>
      <c r="EQ71" s="32">
        <f t="shared" si="25"/>
        <v>4.7427715843057765</v>
      </c>
      <c r="ER71" s="40">
        <f t="shared" si="104"/>
        <v>4.7427715843057765</v>
      </c>
      <c r="ES71" s="32"/>
      <c r="ET71" s="32">
        <f t="shared" si="105"/>
        <v>1.2600000000000007</v>
      </c>
      <c r="EU71" s="36">
        <f t="shared" si="106"/>
        <v>1.2600000000000007</v>
      </c>
      <c r="EV71" s="32">
        <f t="shared" si="26"/>
        <v>4.7427715843057765</v>
      </c>
      <c r="EW71" s="40">
        <f t="shared" si="107"/>
        <v>4.7427715843057765</v>
      </c>
      <c r="EX71" s="32"/>
    </row>
    <row r="72" spans="20:154" s="3" customFormat="1" x14ac:dyDescent="0.25">
      <c r="T72" s="32">
        <f t="shared" si="27"/>
        <v>1.2800000000000007</v>
      </c>
      <c r="U72" s="36">
        <f t="shared" si="28"/>
        <v>1.2800000000000007</v>
      </c>
      <c r="V72" s="32">
        <f t="shared" ref="V72:V108" si="108">T72*TAN(RADIANS(X$7))-(IF($B$4, 9.807, 32.174)*T72^2)/(2*W$7^2*COS(RADIANS(X$7))^2)+$D$7</f>
        <v>4.72820666247984</v>
      </c>
      <c r="W72" s="40">
        <f t="shared" si="29"/>
        <v>4.72820666247984</v>
      </c>
      <c r="X72" s="32"/>
      <c r="Y72" s="32">
        <f t="shared" si="30"/>
        <v>1.2800000000000007</v>
      </c>
      <c r="Z72" s="32">
        <f t="shared" si="31"/>
        <v>1.2800000000000007</v>
      </c>
      <c r="AA72" s="32">
        <f t="shared" ref="AA72:AA108" si="109">Y72*TAN(RADIANS(AC$7))-(IF($B$4, 9.807, 32.174)*Y72^2)/(2*AB$7^2*COS(RADIANS(AC$7))^2)+$D$7</f>
        <v>4.72820666247984</v>
      </c>
      <c r="AB72" s="40">
        <f t="shared" si="32"/>
        <v>4.72820666247984</v>
      </c>
      <c r="AC72" s="32"/>
      <c r="AD72" s="32">
        <f t="shared" si="33"/>
        <v>1.2800000000000007</v>
      </c>
      <c r="AE72" s="36">
        <f t="shared" si="34"/>
        <v>1.2800000000000007</v>
      </c>
      <c r="AF72" s="32">
        <f t="shared" ref="AF72:AF108" si="110">AD72*TAN(RADIANS(AH$7))-(IF($B$4, 9.807, 32.174)*AD72^2)/(2*AG$7^2*COS(RADIANS(AH$7))^2)+$D$7</f>
        <v>4.72820666247984</v>
      </c>
      <c r="AG72" s="40">
        <f t="shared" si="35"/>
        <v>4.72820666247984</v>
      </c>
      <c r="AH72" s="32"/>
      <c r="AI72" s="32">
        <f t="shared" si="36"/>
        <v>1.2800000000000007</v>
      </c>
      <c r="AJ72" s="36">
        <f t="shared" si="37"/>
        <v>1.2800000000000007</v>
      </c>
      <c r="AK72" s="32">
        <f t="shared" ref="AK72:AK108" si="111">AI72*TAN(RADIANS(AM$7))-(IF($B$4, 9.807, 32.174)*AI72^2)/(2*AL$7^2*COS(RADIANS(AM$7))^2)+$D$7</f>
        <v>4.72820666247984</v>
      </c>
      <c r="AL72" s="40">
        <f t="shared" si="38"/>
        <v>4.72820666247984</v>
      </c>
      <c r="AM72" s="32"/>
      <c r="AN72" s="32">
        <f t="shared" si="39"/>
        <v>1.2800000000000007</v>
      </c>
      <c r="AO72" s="32">
        <f t="shared" si="40"/>
        <v>1.2800000000000007</v>
      </c>
      <c r="AP72" s="32">
        <f t="shared" ref="AP72:AP108" si="112">AN72*TAN(RADIANS(AR$7))-(IF($B$4, 9.807, 32.174)*AN72^2)/(2*AQ$7^2*COS(RADIANS(AR$7))^2)+$D$7</f>
        <v>4.72820666247984</v>
      </c>
      <c r="AQ72" s="40">
        <f t="shared" si="41"/>
        <v>4.72820666247984</v>
      </c>
      <c r="AR72" s="32"/>
      <c r="AS72" s="32">
        <f t="shared" si="42"/>
        <v>1.2800000000000007</v>
      </c>
      <c r="AT72" s="36">
        <f t="shared" si="43"/>
        <v>1.2800000000000007</v>
      </c>
      <c r="AU72" s="32">
        <f t="shared" ref="AU72:AU108" si="113">AS72*TAN(RADIANS(AW$7))-(IF($B$4, 9.807, 32.174)*AS72^2)/(2*AV$7^2*COS(RADIANS(AW$7))^2)+$D$7</f>
        <v>4.72820666247984</v>
      </c>
      <c r="AV72" s="40">
        <f t="shared" si="44"/>
        <v>4.72820666247984</v>
      </c>
      <c r="AW72" s="32"/>
      <c r="AX72" s="32">
        <f t="shared" si="45"/>
        <v>1.2800000000000007</v>
      </c>
      <c r="AY72" s="36">
        <f t="shared" si="46"/>
        <v>1.2800000000000007</v>
      </c>
      <c r="AZ72" s="32">
        <f t="shared" ref="AZ72:AZ108" si="114">AX72*TAN(RADIANS(BB$7))-(IF($B$4, 9.807, 32.174)*AX72^2)/(2*BA$7^2*COS(RADIANS(BB$7))^2)+$D$7</f>
        <v>4.72820666247984</v>
      </c>
      <c r="BA72" s="40">
        <f t="shared" si="47"/>
        <v>4.72820666247984</v>
      </c>
      <c r="BB72" s="32"/>
      <c r="BC72" s="32">
        <f t="shared" si="48"/>
        <v>1.2800000000000007</v>
      </c>
      <c r="BD72" s="32">
        <f t="shared" si="49"/>
        <v>1.2800000000000007</v>
      </c>
      <c r="BE72" s="32">
        <f t="shared" ref="BE72:BE108" si="115">BC72*TAN(RADIANS(BG$7))-(IF($B$4, 9.807, 32.174)*BC72^2)/(2*BF$7^2*COS(RADIANS(BG$7))^2)+$D$7</f>
        <v>4.72820666247984</v>
      </c>
      <c r="BF72" s="40">
        <f t="shared" si="50"/>
        <v>4.72820666247984</v>
      </c>
      <c r="BG72" s="32"/>
      <c r="BH72" s="32">
        <f t="shared" si="51"/>
        <v>1.2800000000000007</v>
      </c>
      <c r="BI72" s="36">
        <f t="shared" si="52"/>
        <v>1.2800000000000007</v>
      </c>
      <c r="BJ72" s="32">
        <f t="shared" ref="BJ72:BJ108" si="116">BH72*TAN(RADIANS(BL$7))-(IF($B$4, 9.807, 32.174)*BH72^2)/(2*BK$7^2*COS(RADIANS(BL$7))^2)+$D$7</f>
        <v>4.72820666247984</v>
      </c>
      <c r="BK72" s="40">
        <f t="shared" si="53"/>
        <v>4.72820666247984</v>
      </c>
      <c r="BL72" s="32"/>
      <c r="BM72" s="32">
        <f t="shared" si="54"/>
        <v>1.2800000000000007</v>
      </c>
      <c r="BN72" s="36">
        <f t="shared" si="55"/>
        <v>1.2800000000000007</v>
      </c>
      <c r="BO72" s="32">
        <f t="shared" ref="BO72:BO108" si="117">BM72*TAN(RADIANS(BQ$7))-(IF($B$4, 9.807, 32.174)*BM72^2)/(2*BP$7^2*COS(RADIANS(BQ$7))^2)+$D$7</f>
        <v>4.72820666247984</v>
      </c>
      <c r="BP72" s="40">
        <f t="shared" si="56"/>
        <v>4.72820666247984</v>
      </c>
      <c r="BQ72" s="32"/>
      <c r="BR72" s="32">
        <f t="shared" si="57"/>
        <v>1.2800000000000007</v>
      </c>
      <c r="BS72" s="32">
        <f t="shared" si="58"/>
        <v>1.2800000000000007</v>
      </c>
      <c r="BT72" s="32">
        <f t="shared" ref="BT72:BT108" si="118">BR72*TAN(RADIANS(BV$7))-(IF($B$4, 9.807, 32.174)*BR72^2)/(2*BU$7^2*COS(RADIANS(BV$7))^2)+$D$7</f>
        <v>4.72820666247984</v>
      </c>
      <c r="BU72" s="40">
        <f t="shared" si="59"/>
        <v>4.72820666247984</v>
      </c>
      <c r="BV72" s="32"/>
      <c r="BW72" s="32">
        <f t="shared" si="60"/>
        <v>1.2800000000000007</v>
      </c>
      <c r="BX72" s="36">
        <f t="shared" si="61"/>
        <v>1.2800000000000007</v>
      </c>
      <c r="BY72" s="32">
        <f t="shared" ref="BY72:BY108" si="119">BW72*TAN(RADIANS(CA$7))-(IF($B$4, 9.807, 32.174)*BW72^2)/(2*BZ$7^2*COS(RADIANS(CA$7))^2)+$D$7</f>
        <v>4.72820666247984</v>
      </c>
      <c r="BZ72" s="40">
        <f t="shared" si="62"/>
        <v>4.72820666247984</v>
      </c>
      <c r="CA72" s="32"/>
      <c r="CB72" s="32">
        <f t="shared" si="63"/>
        <v>1.2800000000000007</v>
      </c>
      <c r="CC72" s="36">
        <f t="shared" si="64"/>
        <v>1.2800000000000007</v>
      </c>
      <c r="CD72" s="32">
        <f t="shared" ref="CD72:CD108" si="120">CB72*TAN(RADIANS(CF$7))-(IF($B$4, 9.807, 32.174)*CB72^2)/(2*CE$7^2*COS(RADIANS(CF$7))^2)+$D$7</f>
        <v>4.72820666247984</v>
      </c>
      <c r="CE72" s="40">
        <f t="shared" si="65"/>
        <v>4.72820666247984</v>
      </c>
      <c r="CF72" s="32"/>
      <c r="CG72" s="39">
        <f t="shared" si="66"/>
        <v>1.2800000000000007</v>
      </c>
      <c r="CH72" s="39">
        <f t="shared" si="67"/>
        <v>1.2800000000000007</v>
      </c>
      <c r="CI72" s="39">
        <f t="shared" ref="CI72:CI108" si="121">CG72*TAN(RADIANS(CK$7))-(IF($B$4, 9.807, 32.174)*CG72^2)/(2*CJ$7^2*COS(RADIANS(CK$7))^2)+$D$7</f>
        <v>4.72820666247984</v>
      </c>
      <c r="CJ72" s="40">
        <f t="shared" si="68"/>
        <v>4.72820666247984</v>
      </c>
      <c r="CK72" s="39"/>
      <c r="CL72" s="32">
        <f t="shared" si="69"/>
        <v>1.2800000000000007</v>
      </c>
      <c r="CM72" s="36">
        <f t="shared" si="70"/>
        <v>1.2800000000000007</v>
      </c>
      <c r="CN72" s="32">
        <f t="shared" ref="CN72:CN108" si="122">CL72*TAN(RADIANS(CP$7))-(IF($B$4, 9.807, 32.174)*CL72^2)/(2*CO$7^2*COS(RADIANS(CP$7))^2)+$D$7</f>
        <v>4.72820666247984</v>
      </c>
      <c r="CO72" s="40">
        <f t="shared" si="71"/>
        <v>4.72820666247984</v>
      </c>
      <c r="CP72" s="32"/>
      <c r="CQ72" s="32">
        <f t="shared" si="72"/>
        <v>1.2800000000000007</v>
      </c>
      <c r="CR72" s="36">
        <f t="shared" si="73"/>
        <v>1.2800000000000007</v>
      </c>
      <c r="CS72" s="32">
        <f t="shared" ref="CS72:CS108" si="123">CQ72*TAN(RADIANS(CU$7))-(IF($B$4, 9.807, 32.174)*CQ72^2)/(2*CT$7^2*COS(RADIANS(CU$7))^2)+$D$7</f>
        <v>4.72820666247984</v>
      </c>
      <c r="CT72" s="40">
        <f t="shared" si="74"/>
        <v>4.72820666247984</v>
      </c>
      <c r="CU72" s="32"/>
      <c r="CV72" s="32">
        <f t="shared" si="75"/>
        <v>1.2800000000000007</v>
      </c>
      <c r="CW72" s="32">
        <f t="shared" si="76"/>
        <v>1.2800000000000007</v>
      </c>
      <c r="CX72" s="32">
        <f t="shared" ref="CX72:CX108" si="124">CV72*TAN(RADIANS(CZ$7))-(IF($B$4, 9.807, 32.174)*CV72^2)/(2*CY$7^2*COS(RADIANS(CZ$7))^2)+$D$7</f>
        <v>4.72820666247984</v>
      </c>
      <c r="CY72" s="40">
        <f t="shared" si="77"/>
        <v>4.72820666247984</v>
      </c>
      <c r="CZ72" s="32"/>
      <c r="DA72" s="32">
        <f t="shared" si="78"/>
        <v>1.2800000000000007</v>
      </c>
      <c r="DB72" s="36">
        <f t="shared" si="79"/>
        <v>1.2800000000000007</v>
      </c>
      <c r="DC72" s="32">
        <f t="shared" ref="DC72:DC108" si="125">DA72*TAN(RADIANS(DE$7))-(IF($B$4, 9.807, 32.174)*DA72^2)/(2*DD$7^2*COS(RADIANS(DE$7))^2)+$D$7</f>
        <v>4.72820666247984</v>
      </c>
      <c r="DD72" s="40">
        <f t="shared" si="80"/>
        <v>4.72820666247984</v>
      </c>
      <c r="DE72" s="32"/>
      <c r="DF72" s="32">
        <f t="shared" si="81"/>
        <v>1.2800000000000007</v>
      </c>
      <c r="DG72" s="36">
        <f t="shared" si="82"/>
        <v>1.2800000000000007</v>
      </c>
      <c r="DH72" s="32">
        <f t="shared" ref="DH72:DH108" si="126">DF72*TAN(RADIANS(DJ$7))-(IF($B$4, 9.807, 32.174)*DF72^2)/(2*DI$7^2*COS(RADIANS(DJ$7))^2)+$D$7</f>
        <v>4.72820666247984</v>
      </c>
      <c r="DI72" s="40">
        <f t="shared" si="83"/>
        <v>4.72820666247984</v>
      </c>
      <c r="DJ72" s="32"/>
      <c r="DK72" s="32">
        <f t="shared" si="84"/>
        <v>1.2800000000000007</v>
      </c>
      <c r="DL72" s="32">
        <f t="shared" si="85"/>
        <v>1.2800000000000007</v>
      </c>
      <c r="DM72" s="32">
        <f t="shared" ref="DM72:DM108" si="127">DK72*TAN(RADIANS(DO$7))-(IF($B$4, 9.807, 32.174)*DK72^2)/(2*DN$7^2*COS(RADIANS(DO$7))^2)+$D$7</f>
        <v>4.72820666247984</v>
      </c>
      <c r="DN72" s="40">
        <f t="shared" si="86"/>
        <v>4.72820666247984</v>
      </c>
      <c r="DO72" s="32"/>
      <c r="DP72" s="32">
        <f t="shared" si="87"/>
        <v>1.2800000000000007</v>
      </c>
      <c r="DQ72" s="36">
        <f t="shared" si="88"/>
        <v>1.2800000000000007</v>
      </c>
      <c r="DR72" s="32">
        <f t="shared" ref="DR72:DR108" si="128">DP72*TAN(RADIANS(DT$7))-(IF($B$4, 9.807, 32.174)*DP72^2)/(2*DS$7^2*COS(RADIANS(DT$7))^2)+$D$7</f>
        <v>4.72820666247984</v>
      </c>
      <c r="DS72" s="40">
        <f t="shared" si="89"/>
        <v>4.72820666247984</v>
      </c>
      <c r="DT72" s="32"/>
      <c r="DU72" s="32">
        <f t="shared" si="90"/>
        <v>1.2800000000000007</v>
      </c>
      <c r="DV72" s="36">
        <f t="shared" si="91"/>
        <v>1.2800000000000007</v>
      </c>
      <c r="DW72" s="32">
        <f t="shared" ref="DW72:DW108" si="129">DU72*TAN(RADIANS(DY$7))-(IF($B$4, 9.807, 32.174)*DU72^2)/(2*DX$7^2*COS(RADIANS(DY$7))^2)+$D$7</f>
        <v>4.72820666247984</v>
      </c>
      <c r="DX72" s="40">
        <f t="shared" si="92"/>
        <v>4.72820666247984</v>
      </c>
      <c r="DY72" s="32"/>
      <c r="DZ72" s="32">
        <f t="shared" si="93"/>
        <v>1.2800000000000007</v>
      </c>
      <c r="EA72" s="32">
        <f t="shared" si="94"/>
        <v>1.2800000000000007</v>
      </c>
      <c r="EB72" s="32">
        <f t="shared" ref="EB72:EB108" si="130">DZ72*TAN(RADIANS(ED$7))-(IF($B$4, 9.807, 32.174)*DZ72^2)/(2*EC$7^2*COS(RADIANS(ED$7))^2)+$D$7</f>
        <v>4.72820666247984</v>
      </c>
      <c r="EC72" s="40">
        <f t="shared" si="95"/>
        <v>4.72820666247984</v>
      </c>
      <c r="ED72" s="32"/>
      <c r="EE72" s="32">
        <f t="shared" si="96"/>
        <v>1.2800000000000007</v>
      </c>
      <c r="EF72" s="36">
        <f t="shared" si="97"/>
        <v>1.2800000000000007</v>
      </c>
      <c r="EG72" s="32">
        <f t="shared" ref="EG72:EG108" si="131">EE72*TAN(RADIANS(EI$7))-(IF($B$4, 9.807, 32.174)*EE72^2)/(2*EH$7^2*COS(RADIANS(EI$7))^2)+$D$7</f>
        <v>4.72820666247984</v>
      </c>
      <c r="EH72" s="40">
        <f t="shared" si="98"/>
        <v>4.72820666247984</v>
      </c>
      <c r="EI72" s="32"/>
      <c r="EJ72" s="32">
        <f t="shared" si="99"/>
        <v>1.2800000000000007</v>
      </c>
      <c r="EK72" s="36">
        <f t="shared" si="100"/>
        <v>1.2800000000000007</v>
      </c>
      <c r="EL72" s="32">
        <f t="shared" ref="EL72:EL108" si="132">EJ72*TAN(RADIANS(EN$7))-(IF($B$4, 9.807, 32.174)*EJ72^2)/(2*EM$7^2*COS(RADIANS(EN$7))^2)+$D$7</f>
        <v>4.72820666247984</v>
      </c>
      <c r="EM72" s="40">
        <f t="shared" si="101"/>
        <v>4.72820666247984</v>
      </c>
      <c r="EN72" s="32"/>
      <c r="EO72" s="32">
        <f t="shared" si="102"/>
        <v>1.2800000000000007</v>
      </c>
      <c r="EP72" s="32">
        <f t="shared" si="103"/>
        <v>1.2800000000000007</v>
      </c>
      <c r="EQ72" s="32">
        <f t="shared" ref="EQ72:EQ108" si="133">EO72*TAN(RADIANS(ES$7))-(IF($B$4, 9.807, 32.174)*EO72^2)/(2*ER$7^2*COS(RADIANS(ES$7))^2)+$D$7</f>
        <v>4.72820666247984</v>
      </c>
      <c r="ER72" s="40">
        <f t="shared" si="104"/>
        <v>4.72820666247984</v>
      </c>
      <c r="ES72" s="32"/>
      <c r="ET72" s="32">
        <f t="shared" si="105"/>
        <v>1.2800000000000007</v>
      </c>
      <c r="EU72" s="36">
        <f t="shared" si="106"/>
        <v>1.2800000000000007</v>
      </c>
      <c r="EV72" s="32">
        <f t="shared" ref="EV72:EV108" si="134">ET72*TAN(RADIANS(EX$7))-(IF($B$4, 9.807, 32.174)*ET72^2)/(2*EW$7^2*COS(RADIANS(EX$7))^2)+$D$7</f>
        <v>4.72820666247984</v>
      </c>
      <c r="EW72" s="40">
        <f t="shared" si="107"/>
        <v>4.72820666247984</v>
      </c>
      <c r="EX72" s="32"/>
    </row>
    <row r="73" spans="20:154" s="3" customFormat="1" x14ac:dyDescent="0.25">
      <c r="T73" s="32">
        <f t="shared" ref="T73:T108" si="135">T72+T$7/100</f>
        <v>1.3000000000000007</v>
      </c>
      <c r="U73" s="36">
        <f t="shared" ref="U73:U108" si="136">T73+IF($I$3="Forward", $D$9, $G$9)</f>
        <v>1.3000000000000007</v>
      </c>
      <c r="V73" s="32">
        <f t="shared" si="108"/>
        <v>4.7109332279260574</v>
      </c>
      <c r="W73" s="40">
        <f t="shared" ref="W73:W108" si="137">MIN($V$5,V73)</f>
        <v>4.7109332279260574</v>
      </c>
      <c r="X73" s="32"/>
      <c r="Y73" s="32">
        <f t="shared" ref="Y73:Y108" si="138">Y72+Y$7/100</f>
        <v>1.3000000000000007</v>
      </c>
      <c r="Z73" s="32">
        <f t="shared" ref="Z73:Z108" si="139">Y73</f>
        <v>1.3000000000000007</v>
      </c>
      <c r="AA73" s="32">
        <f t="shared" si="109"/>
        <v>4.7109332279260574</v>
      </c>
      <c r="AB73" s="40">
        <f t="shared" ref="AB73:AB108" si="140">MIN($V$5,AA73)</f>
        <v>4.7109332279260574</v>
      </c>
      <c r="AC73" s="32"/>
      <c r="AD73" s="32">
        <f t="shared" ref="AD73:AD108" si="141">AD72+AD$7/100</f>
        <v>1.3000000000000007</v>
      </c>
      <c r="AE73" s="36">
        <f t="shared" ref="AE73:AE108" si="142">AD73-IF($I$3="Forward", $D$9, $G$9)</f>
        <v>1.3000000000000007</v>
      </c>
      <c r="AF73" s="32">
        <f t="shared" si="110"/>
        <v>4.7109332279260574</v>
      </c>
      <c r="AG73" s="40">
        <f t="shared" ref="AG73:AG108" si="143">MIN($V$5,AF73)</f>
        <v>4.7109332279260574</v>
      </c>
      <c r="AH73" s="32"/>
      <c r="AI73" s="32">
        <f t="shared" ref="AI73:AI108" si="144">AI72+AI$7/100</f>
        <v>1.3000000000000007</v>
      </c>
      <c r="AJ73" s="36">
        <f t="shared" ref="AJ73:AJ108" si="145">AI73+IF($I$3="Forward", $D$9, $G$9)</f>
        <v>1.3000000000000007</v>
      </c>
      <c r="AK73" s="32">
        <f t="shared" si="111"/>
        <v>4.7109332279260574</v>
      </c>
      <c r="AL73" s="40">
        <f t="shared" ref="AL73:AL108" si="146">MIN($V$5,AK73)</f>
        <v>4.7109332279260574</v>
      </c>
      <c r="AM73" s="32"/>
      <c r="AN73" s="32">
        <f t="shared" ref="AN73:AN108" si="147">AN72+AN$7/100</f>
        <v>1.3000000000000007</v>
      </c>
      <c r="AO73" s="32">
        <f t="shared" ref="AO73:AO108" si="148">AN73</f>
        <v>1.3000000000000007</v>
      </c>
      <c r="AP73" s="32">
        <f t="shared" si="112"/>
        <v>4.7109332279260574</v>
      </c>
      <c r="AQ73" s="40">
        <f t="shared" ref="AQ73:AQ108" si="149">MIN($V$5,AP73)</f>
        <v>4.7109332279260574</v>
      </c>
      <c r="AR73" s="32"/>
      <c r="AS73" s="32">
        <f t="shared" ref="AS73:AS108" si="150">AS72+AS$7/100</f>
        <v>1.3000000000000007</v>
      </c>
      <c r="AT73" s="36">
        <f t="shared" ref="AT73:AT108" si="151">AS73-IF($I$3="Forward", $D$9, $G$9)</f>
        <v>1.3000000000000007</v>
      </c>
      <c r="AU73" s="32">
        <f t="shared" si="113"/>
        <v>4.7109332279260574</v>
      </c>
      <c r="AV73" s="40">
        <f t="shared" ref="AV73:AV108" si="152">MIN($V$5,AU73)</f>
        <v>4.7109332279260574</v>
      </c>
      <c r="AW73" s="32"/>
      <c r="AX73" s="32">
        <f t="shared" ref="AX73:AX108" si="153">AX72+AX$7/100</f>
        <v>1.3000000000000007</v>
      </c>
      <c r="AY73" s="36">
        <f t="shared" ref="AY73:AY108" si="154">AX73+IF($I$3="Forward", $D$9, $G$9)</f>
        <v>1.3000000000000007</v>
      </c>
      <c r="AZ73" s="32">
        <f t="shared" si="114"/>
        <v>4.7109332279260574</v>
      </c>
      <c r="BA73" s="40">
        <f t="shared" ref="BA73:BA108" si="155">MIN($V$5,AZ73)</f>
        <v>4.7109332279260574</v>
      </c>
      <c r="BB73" s="32"/>
      <c r="BC73" s="32">
        <f t="shared" ref="BC73:BC108" si="156">BC72+BC$7/100</f>
        <v>1.3000000000000007</v>
      </c>
      <c r="BD73" s="32">
        <f t="shared" ref="BD73:BD108" si="157">BC73</f>
        <v>1.3000000000000007</v>
      </c>
      <c r="BE73" s="32">
        <f t="shared" si="115"/>
        <v>4.7109332279260574</v>
      </c>
      <c r="BF73" s="40">
        <f t="shared" ref="BF73:BF108" si="158">MIN($V$5,BE73)</f>
        <v>4.7109332279260574</v>
      </c>
      <c r="BG73" s="32"/>
      <c r="BH73" s="32">
        <f t="shared" ref="BH73:BH108" si="159">BH72+BH$7/100</f>
        <v>1.3000000000000007</v>
      </c>
      <c r="BI73" s="36">
        <f t="shared" ref="BI73:BI108" si="160">BH73-IF($I$3="Forward", $D$9, $G$9)</f>
        <v>1.3000000000000007</v>
      </c>
      <c r="BJ73" s="32">
        <f t="shared" si="116"/>
        <v>4.7109332279260574</v>
      </c>
      <c r="BK73" s="40">
        <f t="shared" ref="BK73:BK108" si="161">MIN($V$5,BJ73)</f>
        <v>4.7109332279260574</v>
      </c>
      <c r="BL73" s="32"/>
      <c r="BM73" s="32">
        <f t="shared" ref="BM73:BM108" si="162">BM72+BM$7/100</f>
        <v>1.3000000000000007</v>
      </c>
      <c r="BN73" s="36">
        <f t="shared" ref="BN73:BN108" si="163">BM73+IF($I$3="Forward", $D$9, $G$9)</f>
        <v>1.3000000000000007</v>
      </c>
      <c r="BO73" s="32">
        <f t="shared" si="117"/>
        <v>4.7109332279260574</v>
      </c>
      <c r="BP73" s="40">
        <f t="shared" ref="BP73:BP108" si="164">MIN($V$5,BO73)</f>
        <v>4.7109332279260574</v>
      </c>
      <c r="BQ73" s="32"/>
      <c r="BR73" s="32">
        <f t="shared" ref="BR73:BR108" si="165">BR72+BR$7/100</f>
        <v>1.3000000000000007</v>
      </c>
      <c r="BS73" s="32">
        <f t="shared" ref="BS73:BS108" si="166">BR73</f>
        <v>1.3000000000000007</v>
      </c>
      <c r="BT73" s="32">
        <f t="shared" si="118"/>
        <v>4.7109332279260574</v>
      </c>
      <c r="BU73" s="40">
        <f t="shared" ref="BU73:BU108" si="167">MIN($V$5,BT73)</f>
        <v>4.7109332279260574</v>
      </c>
      <c r="BV73" s="32"/>
      <c r="BW73" s="32">
        <f t="shared" ref="BW73:BW108" si="168">BW72+BW$7/100</f>
        <v>1.3000000000000007</v>
      </c>
      <c r="BX73" s="36">
        <f t="shared" ref="BX73:BX108" si="169">BW73-IF($I$3="Forward", $D$9, $G$9)</f>
        <v>1.3000000000000007</v>
      </c>
      <c r="BY73" s="32">
        <f t="shared" si="119"/>
        <v>4.7109332279260574</v>
      </c>
      <c r="BZ73" s="40">
        <f t="shared" ref="BZ73:BZ108" si="170">MIN($V$5,BY73)</f>
        <v>4.7109332279260574</v>
      </c>
      <c r="CA73" s="32"/>
      <c r="CB73" s="32">
        <f t="shared" ref="CB73:CB108" si="171">CB72+CB$7/100</f>
        <v>1.3000000000000007</v>
      </c>
      <c r="CC73" s="36">
        <f t="shared" ref="CC73:CC108" si="172">CB73+IF($I$3="Forward", $D$9, $G$9)</f>
        <v>1.3000000000000007</v>
      </c>
      <c r="CD73" s="32">
        <f t="shared" si="120"/>
        <v>4.7109332279260574</v>
      </c>
      <c r="CE73" s="40">
        <f t="shared" ref="CE73:CE108" si="173">MIN($V$5,CD73)</f>
        <v>4.7109332279260574</v>
      </c>
      <c r="CF73" s="32"/>
      <c r="CG73" s="39">
        <f t="shared" ref="CG73:CG108" si="174">CG72+CG$7/100</f>
        <v>1.3000000000000007</v>
      </c>
      <c r="CH73" s="39">
        <f t="shared" ref="CH73:CH108" si="175">CG73</f>
        <v>1.3000000000000007</v>
      </c>
      <c r="CI73" s="39">
        <f t="shared" si="121"/>
        <v>4.7109332279260574</v>
      </c>
      <c r="CJ73" s="40">
        <f t="shared" ref="CJ73:CJ108" si="176">MIN($V$5,CI73)</f>
        <v>4.7109332279260574</v>
      </c>
      <c r="CK73" s="39"/>
      <c r="CL73" s="32">
        <f t="shared" ref="CL73:CL108" si="177">CL72+CL$7/100</f>
        <v>1.3000000000000007</v>
      </c>
      <c r="CM73" s="36">
        <f t="shared" ref="CM73:CM108" si="178">CL73-IF($I$3="Forward", $D$9, $G$9)</f>
        <v>1.3000000000000007</v>
      </c>
      <c r="CN73" s="32">
        <f t="shared" si="122"/>
        <v>4.7109332279260574</v>
      </c>
      <c r="CO73" s="40">
        <f t="shared" ref="CO73:CO108" si="179">MIN($V$5,CN73)</f>
        <v>4.7109332279260574</v>
      </c>
      <c r="CP73" s="32"/>
      <c r="CQ73" s="32">
        <f t="shared" ref="CQ73:CQ108" si="180">CQ72+CQ$7/100</f>
        <v>1.3000000000000007</v>
      </c>
      <c r="CR73" s="36">
        <f t="shared" ref="CR73:CR108" si="181">CQ73+IF($I$3="Forward", $D$9, $G$9)</f>
        <v>1.3000000000000007</v>
      </c>
      <c r="CS73" s="32">
        <f t="shared" si="123"/>
        <v>4.7109332279260574</v>
      </c>
      <c r="CT73" s="40">
        <f t="shared" ref="CT73:CT108" si="182">MIN($V$5,CS73)</f>
        <v>4.7109332279260574</v>
      </c>
      <c r="CU73" s="32"/>
      <c r="CV73" s="32">
        <f t="shared" ref="CV73:CV108" si="183">CV72+CV$7/100</f>
        <v>1.3000000000000007</v>
      </c>
      <c r="CW73" s="32">
        <f t="shared" ref="CW73:CW108" si="184">CV73</f>
        <v>1.3000000000000007</v>
      </c>
      <c r="CX73" s="32">
        <f t="shared" si="124"/>
        <v>4.7109332279260574</v>
      </c>
      <c r="CY73" s="40">
        <f t="shared" ref="CY73:CY108" si="185">MIN($V$5,CX73)</f>
        <v>4.7109332279260574</v>
      </c>
      <c r="CZ73" s="32"/>
      <c r="DA73" s="32">
        <f t="shared" ref="DA73:DA108" si="186">DA72+DA$7/100</f>
        <v>1.3000000000000007</v>
      </c>
      <c r="DB73" s="36">
        <f t="shared" ref="DB73:DB108" si="187">DA73-IF($I$3="Forward", $D$9, $G$9)</f>
        <v>1.3000000000000007</v>
      </c>
      <c r="DC73" s="32">
        <f t="shared" si="125"/>
        <v>4.7109332279260574</v>
      </c>
      <c r="DD73" s="40">
        <f t="shared" ref="DD73:DD108" si="188">MIN($V$5,DC73)</f>
        <v>4.7109332279260574</v>
      </c>
      <c r="DE73" s="32"/>
      <c r="DF73" s="32">
        <f t="shared" ref="DF73:DF108" si="189">DF72+DF$7/100</f>
        <v>1.3000000000000007</v>
      </c>
      <c r="DG73" s="36">
        <f t="shared" ref="DG73:DG108" si="190">DF73+IF($I$3="Forward", $D$9, $G$9)</f>
        <v>1.3000000000000007</v>
      </c>
      <c r="DH73" s="32">
        <f t="shared" si="126"/>
        <v>4.7109332279260574</v>
      </c>
      <c r="DI73" s="40">
        <f t="shared" ref="DI73:DI108" si="191">MIN($V$5,DH73)</f>
        <v>4.7109332279260574</v>
      </c>
      <c r="DJ73" s="32"/>
      <c r="DK73" s="32">
        <f t="shared" ref="DK73:DK108" si="192">DK72+DK$7/100</f>
        <v>1.3000000000000007</v>
      </c>
      <c r="DL73" s="32">
        <f t="shared" ref="DL73:DL108" si="193">DK73</f>
        <v>1.3000000000000007</v>
      </c>
      <c r="DM73" s="32">
        <f t="shared" si="127"/>
        <v>4.7109332279260574</v>
      </c>
      <c r="DN73" s="40">
        <f t="shared" ref="DN73:DN108" si="194">MIN($V$5,DM73)</f>
        <v>4.7109332279260574</v>
      </c>
      <c r="DO73" s="32"/>
      <c r="DP73" s="32">
        <f t="shared" ref="DP73:DP108" si="195">DP72+DP$7/100</f>
        <v>1.3000000000000007</v>
      </c>
      <c r="DQ73" s="36">
        <f t="shared" ref="DQ73:DQ108" si="196">DP73-IF($I$3="Forward", $D$9, $G$9)</f>
        <v>1.3000000000000007</v>
      </c>
      <c r="DR73" s="32">
        <f t="shared" si="128"/>
        <v>4.7109332279260574</v>
      </c>
      <c r="DS73" s="40">
        <f t="shared" ref="DS73:DS108" si="197">MIN($V$5,DR73)</f>
        <v>4.7109332279260574</v>
      </c>
      <c r="DT73" s="32"/>
      <c r="DU73" s="32">
        <f t="shared" ref="DU73:DU108" si="198">DU72+DU$7/100</f>
        <v>1.3000000000000007</v>
      </c>
      <c r="DV73" s="36">
        <f t="shared" ref="DV73:DV108" si="199">DU73+IF($I$3="Forward", $D$9, $G$9)</f>
        <v>1.3000000000000007</v>
      </c>
      <c r="DW73" s="32">
        <f t="shared" si="129"/>
        <v>4.7109332279260574</v>
      </c>
      <c r="DX73" s="40">
        <f t="shared" ref="DX73:DX108" si="200">MIN($V$5,DW73)</f>
        <v>4.7109332279260574</v>
      </c>
      <c r="DY73" s="32"/>
      <c r="DZ73" s="32">
        <f t="shared" ref="DZ73:DZ108" si="201">DZ72+DZ$7/100</f>
        <v>1.3000000000000007</v>
      </c>
      <c r="EA73" s="32">
        <f t="shared" ref="EA73:EA108" si="202">DZ73</f>
        <v>1.3000000000000007</v>
      </c>
      <c r="EB73" s="32">
        <f t="shared" si="130"/>
        <v>4.7109332279260574</v>
      </c>
      <c r="EC73" s="40">
        <f t="shared" ref="EC73:EC108" si="203">MIN($V$5,EB73)</f>
        <v>4.7109332279260574</v>
      </c>
      <c r="ED73" s="32"/>
      <c r="EE73" s="32">
        <f t="shared" ref="EE73:EE108" si="204">EE72+EE$7/100</f>
        <v>1.3000000000000007</v>
      </c>
      <c r="EF73" s="36">
        <f t="shared" ref="EF73:EF108" si="205">EE73-IF($I$3="Forward", $D$9, $G$9)</f>
        <v>1.3000000000000007</v>
      </c>
      <c r="EG73" s="32">
        <f t="shared" si="131"/>
        <v>4.7109332279260574</v>
      </c>
      <c r="EH73" s="40">
        <f t="shared" ref="EH73:EH108" si="206">MIN($V$5,EG73)</f>
        <v>4.7109332279260574</v>
      </c>
      <c r="EI73" s="32"/>
      <c r="EJ73" s="32">
        <f t="shared" ref="EJ73:EJ108" si="207">EJ72+EJ$7/100</f>
        <v>1.3000000000000007</v>
      </c>
      <c r="EK73" s="36">
        <f t="shared" ref="EK73:EK108" si="208">EJ73+IF($I$3="Forward", $D$9, $G$9)</f>
        <v>1.3000000000000007</v>
      </c>
      <c r="EL73" s="32">
        <f t="shared" si="132"/>
        <v>4.7109332279260574</v>
      </c>
      <c r="EM73" s="40">
        <f t="shared" ref="EM73:EM108" si="209">MIN($V$5,EL73)</f>
        <v>4.7109332279260574</v>
      </c>
      <c r="EN73" s="32"/>
      <c r="EO73" s="32">
        <f t="shared" ref="EO73:EO108" si="210">EO72+EO$7/100</f>
        <v>1.3000000000000007</v>
      </c>
      <c r="EP73" s="32">
        <f t="shared" ref="EP73:EP108" si="211">EO73</f>
        <v>1.3000000000000007</v>
      </c>
      <c r="EQ73" s="32">
        <f t="shared" si="133"/>
        <v>4.7109332279260574</v>
      </c>
      <c r="ER73" s="40">
        <f t="shared" ref="ER73:ER108" si="212">MIN($V$5,EQ73)</f>
        <v>4.7109332279260574</v>
      </c>
      <c r="ES73" s="32"/>
      <c r="ET73" s="32">
        <f t="shared" ref="ET73:ET108" si="213">ET72+ET$7/100</f>
        <v>1.3000000000000007</v>
      </c>
      <c r="EU73" s="36">
        <f t="shared" ref="EU73:EU108" si="214">ET73-IF($I$3="Forward", $D$9, $G$9)</f>
        <v>1.3000000000000007</v>
      </c>
      <c r="EV73" s="32">
        <f t="shared" si="134"/>
        <v>4.7109332279260574</v>
      </c>
      <c r="EW73" s="40">
        <f t="shared" ref="EW73:EW108" si="215">MIN($V$5,EV73)</f>
        <v>4.7109332279260574</v>
      </c>
      <c r="EX73" s="32"/>
    </row>
    <row r="74" spans="20:154" s="3" customFormat="1" x14ac:dyDescent="0.25">
      <c r="T74" s="32">
        <f t="shared" si="135"/>
        <v>1.3200000000000007</v>
      </c>
      <c r="U74" s="36">
        <f t="shared" si="136"/>
        <v>1.3200000000000007</v>
      </c>
      <c r="V74" s="32">
        <f t="shared" si="108"/>
        <v>4.6909512806444269</v>
      </c>
      <c r="W74" s="40">
        <f t="shared" si="137"/>
        <v>4.6909512806444269</v>
      </c>
      <c r="X74" s="32"/>
      <c r="Y74" s="32">
        <f t="shared" si="138"/>
        <v>1.3200000000000007</v>
      </c>
      <c r="Z74" s="32">
        <f t="shared" si="139"/>
        <v>1.3200000000000007</v>
      </c>
      <c r="AA74" s="32">
        <f t="shared" si="109"/>
        <v>4.6909512806444269</v>
      </c>
      <c r="AB74" s="40">
        <f t="shared" si="140"/>
        <v>4.6909512806444269</v>
      </c>
      <c r="AC74" s="32"/>
      <c r="AD74" s="32">
        <f t="shared" si="141"/>
        <v>1.3200000000000007</v>
      </c>
      <c r="AE74" s="36">
        <f t="shared" si="142"/>
        <v>1.3200000000000007</v>
      </c>
      <c r="AF74" s="32">
        <f t="shared" si="110"/>
        <v>4.6909512806444269</v>
      </c>
      <c r="AG74" s="40">
        <f t="shared" si="143"/>
        <v>4.6909512806444269</v>
      </c>
      <c r="AH74" s="32"/>
      <c r="AI74" s="32">
        <f t="shared" si="144"/>
        <v>1.3200000000000007</v>
      </c>
      <c r="AJ74" s="36">
        <f t="shared" si="145"/>
        <v>1.3200000000000007</v>
      </c>
      <c r="AK74" s="32">
        <f t="shared" si="111"/>
        <v>4.6909512806444269</v>
      </c>
      <c r="AL74" s="40">
        <f t="shared" si="146"/>
        <v>4.6909512806444269</v>
      </c>
      <c r="AM74" s="32"/>
      <c r="AN74" s="32">
        <f t="shared" si="147"/>
        <v>1.3200000000000007</v>
      </c>
      <c r="AO74" s="32">
        <f t="shared" si="148"/>
        <v>1.3200000000000007</v>
      </c>
      <c r="AP74" s="32">
        <f t="shared" si="112"/>
        <v>4.6909512806444269</v>
      </c>
      <c r="AQ74" s="40">
        <f t="shared" si="149"/>
        <v>4.6909512806444269</v>
      </c>
      <c r="AR74" s="32"/>
      <c r="AS74" s="32">
        <f t="shared" si="150"/>
        <v>1.3200000000000007</v>
      </c>
      <c r="AT74" s="36">
        <f t="shared" si="151"/>
        <v>1.3200000000000007</v>
      </c>
      <c r="AU74" s="32">
        <f t="shared" si="113"/>
        <v>4.6909512806444269</v>
      </c>
      <c r="AV74" s="40">
        <f t="shared" si="152"/>
        <v>4.6909512806444269</v>
      </c>
      <c r="AW74" s="32"/>
      <c r="AX74" s="32">
        <f t="shared" si="153"/>
        <v>1.3200000000000007</v>
      </c>
      <c r="AY74" s="36">
        <f t="shared" si="154"/>
        <v>1.3200000000000007</v>
      </c>
      <c r="AZ74" s="32">
        <f t="shared" si="114"/>
        <v>4.6909512806444269</v>
      </c>
      <c r="BA74" s="40">
        <f t="shared" si="155"/>
        <v>4.6909512806444269</v>
      </c>
      <c r="BB74" s="32"/>
      <c r="BC74" s="32">
        <f t="shared" si="156"/>
        <v>1.3200000000000007</v>
      </c>
      <c r="BD74" s="32">
        <f t="shared" si="157"/>
        <v>1.3200000000000007</v>
      </c>
      <c r="BE74" s="32">
        <f t="shared" si="115"/>
        <v>4.6909512806444269</v>
      </c>
      <c r="BF74" s="40">
        <f t="shared" si="158"/>
        <v>4.6909512806444269</v>
      </c>
      <c r="BG74" s="32"/>
      <c r="BH74" s="32">
        <f t="shared" si="159"/>
        <v>1.3200000000000007</v>
      </c>
      <c r="BI74" s="36">
        <f t="shared" si="160"/>
        <v>1.3200000000000007</v>
      </c>
      <c r="BJ74" s="32">
        <f t="shared" si="116"/>
        <v>4.6909512806444269</v>
      </c>
      <c r="BK74" s="40">
        <f t="shared" si="161"/>
        <v>4.6909512806444269</v>
      </c>
      <c r="BL74" s="32"/>
      <c r="BM74" s="32">
        <f t="shared" si="162"/>
        <v>1.3200000000000007</v>
      </c>
      <c r="BN74" s="36">
        <f t="shared" si="163"/>
        <v>1.3200000000000007</v>
      </c>
      <c r="BO74" s="32">
        <f t="shared" si="117"/>
        <v>4.6909512806444269</v>
      </c>
      <c r="BP74" s="40">
        <f t="shared" si="164"/>
        <v>4.6909512806444269</v>
      </c>
      <c r="BQ74" s="32"/>
      <c r="BR74" s="32">
        <f t="shared" si="165"/>
        <v>1.3200000000000007</v>
      </c>
      <c r="BS74" s="32">
        <f t="shared" si="166"/>
        <v>1.3200000000000007</v>
      </c>
      <c r="BT74" s="32">
        <f t="shared" si="118"/>
        <v>4.6909512806444269</v>
      </c>
      <c r="BU74" s="40">
        <f t="shared" si="167"/>
        <v>4.6909512806444269</v>
      </c>
      <c r="BV74" s="32"/>
      <c r="BW74" s="32">
        <f t="shared" si="168"/>
        <v>1.3200000000000007</v>
      </c>
      <c r="BX74" s="36">
        <f t="shared" si="169"/>
        <v>1.3200000000000007</v>
      </c>
      <c r="BY74" s="32">
        <f t="shared" si="119"/>
        <v>4.6909512806444269</v>
      </c>
      <c r="BZ74" s="40">
        <f t="shared" si="170"/>
        <v>4.6909512806444269</v>
      </c>
      <c r="CA74" s="32"/>
      <c r="CB74" s="32">
        <f t="shared" si="171"/>
        <v>1.3200000000000007</v>
      </c>
      <c r="CC74" s="36">
        <f t="shared" si="172"/>
        <v>1.3200000000000007</v>
      </c>
      <c r="CD74" s="32">
        <f t="shared" si="120"/>
        <v>4.6909512806444269</v>
      </c>
      <c r="CE74" s="40">
        <f t="shared" si="173"/>
        <v>4.6909512806444269</v>
      </c>
      <c r="CF74" s="32"/>
      <c r="CG74" s="39">
        <f t="shared" si="174"/>
        <v>1.3200000000000007</v>
      </c>
      <c r="CH74" s="39">
        <f t="shared" si="175"/>
        <v>1.3200000000000007</v>
      </c>
      <c r="CI74" s="39">
        <f t="shared" si="121"/>
        <v>4.6909512806444269</v>
      </c>
      <c r="CJ74" s="40">
        <f t="shared" si="176"/>
        <v>4.6909512806444269</v>
      </c>
      <c r="CK74" s="39"/>
      <c r="CL74" s="32">
        <f t="shared" si="177"/>
        <v>1.3200000000000007</v>
      </c>
      <c r="CM74" s="36">
        <f t="shared" si="178"/>
        <v>1.3200000000000007</v>
      </c>
      <c r="CN74" s="32">
        <f t="shared" si="122"/>
        <v>4.6909512806444269</v>
      </c>
      <c r="CO74" s="40">
        <f t="shared" si="179"/>
        <v>4.6909512806444269</v>
      </c>
      <c r="CP74" s="32"/>
      <c r="CQ74" s="32">
        <f t="shared" si="180"/>
        <v>1.3200000000000007</v>
      </c>
      <c r="CR74" s="36">
        <f t="shared" si="181"/>
        <v>1.3200000000000007</v>
      </c>
      <c r="CS74" s="32">
        <f t="shared" si="123"/>
        <v>4.6909512806444269</v>
      </c>
      <c r="CT74" s="40">
        <f t="shared" si="182"/>
        <v>4.6909512806444269</v>
      </c>
      <c r="CU74" s="32"/>
      <c r="CV74" s="32">
        <f t="shared" si="183"/>
        <v>1.3200000000000007</v>
      </c>
      <c r="CW74" s="32">
        <f t="shared" si="184"/>
        <v>1.3200000000000007</v>
      </c>
      <c r="CX74" s="32">
        <f t="shared" si="124"/>
        <v>4.6909512806444269</v>
      </c>
      <c r="CY74" s="40">
        <f t="shared" si="185"/>
        <v>4.6909512806444269</v>
      </c>
      <c r="CZ74" s="32"/>
      <c r="DA74" s="32">
        <f t="shared" si="186"/>
        <v>1.3200000000000007</v>
      </c>
      <c r="DB74" s="36">
        <f t="shared" si="187"/>
        <v>1.3200000000000007</v>
      </c>
      <c r="DC74" s="32">
        <f t="shared" si="125"/>
        <v>4.6909512806444269</v>
      </c>
      <c r="DD74" s="40">
        <f t="shared" si="188"/>
        <v>4.6909512806444269</v>
      </c>
      <c r="DE74" s="32"/>
      <c r="DF74" s="32">
        <f t="shared" si="189"/>
        <v>1.3200000000000007</v>
      </c>
      <c r="DG74" s="36">
        <f t="shared" si="190"/>
        <v>1.3200000000000007</v>
      </c>
      <c r="DH74" s="32">
        <f t="shared" si="126"/>
        <v>4.6909512806444269</v>
      </c>
      <c r="DI74" s="40">
        <f t="shared" si="191"/>
        <v>4.6909512806444269</v>
      </c>
      <c r="DJ74" s="32"/>
      <c r="DK74" s="32">
        <f t="shared" si="192"/>
        <v>1.3200000000000007</v>
      </c>
      <c r="DL74" s="32">
        <f t="shared" si="193"/>
        <v>1.3200000000000007</v>
      </c>
      <c r="DM74" s="32">
        <f t="shared" si="127"/>
        <v>4.6909512806444269</v>
      </c>
      <c r="DN74" s="40">
        <f t="shared" si="194"/>
        <v>4.6909512806444269</v>
      </c>
      <c r="DO74" s="32"/>
      <c r="DP74" s="32">
        <f t="shared" si="195"/>
        <v>1.3200000000000007</v>
      </c>
      <c r="DQ74" s="36">
        <f t="shared" si="196"/>
        <v>1.3200000000000007</v>
      </c>
      <c r="DR74" s="32">
        <f t="shared" si="128"/>
        <v>4.6909512806444269</v>
      </c>
      <c r="DS74" s="40">
        <f t="shared" si="197"/>
        <v>4.6909512806444269</v>
      </c>
      <c r="DT74" s="32"/>
      <c r="DU74" s="32">
        <f t="shared" si="198"/>
        <v>1.3200000000000007</v>
      </c>
      <c r="DV74" s="36">
        <f t="shared" si="199"/>
        <v>1.3200000000000007</v>
      </c>
      <c r="DW74" s="32">
        <f t="shared" si="129"/>
        <v>4.6909512806444269</v>
      </c>
      <c r="DX74" s="40">
        <f t="shared" si="200"/>
        <v>4.6909512806444269</v>
      </c>
      <c r="DY74" s="32"/>
      <c r="DZ74" s="32">
        <f t="shared" si="201"/>
        <v>1.3200000000000007</v>
      </c>
      <c r="EA74" s="32">
        <f t="shared" si="202"/>
        <v>1.3200000000000007</v>
      </c>
      <c r="EB74" s="32">
        <f t="shared" si="130"/>
        <v>4.6909512806444269</v>
      </c>
      <c r="EC74" s="40">
        <f t="shared" si="203"/>
        <v>4.6909512806444269</v>
      </c>
      <c r="ED74" s="32"/>
      <c r="EE74" s="32">
        <f t="shared" si="204"/>
        <v>1.3200000000000007</v>
      </c>
      <c r="EF74" s="36">
        <f t="shared" si="205"/>
        <v>1.3200000000000007</v>
      </c>
      <c r="EG74" s="32">
        <f t="shared" si="131"/>
        <v>4.6909512806444269</v>
      </c>
      <c r="EH74" s="40">
        <f t="shared" si="206"/>
        <v>4.6909512806444269</v>
      </c>
      <c r="EI74" s="32"/>
      <c r="EJ74" s="32">
        <f t="shared" si="207"/>
        <v>1.3200000000000007</v>
      </c>
      <c r="EK74" s="36">
        <f t="shared" si="208"/>
        <v>1.3200000000000007</v>
      </c>
      <c r="EL74" s="32">
        <f t="shared" si="132"/>
        <v>4.6909512806444269</v>
      </c>
      <c r="EM74" s="40">
        <f t="shared" si="209"/>
        <v>4.6909512806444269</v>
      </c>
      <c r="EN74" s="32"/>
      <c r="EO74" s="32">
        <f t="shared" si="210"/>
        <v>1.3200000000000007</v>
      </c>
      <c r="EP74" s="32">
        <f t="shared" si="211"/>
        <v>1.3200000000000007</v>
      </c>
      <c r="EQ74" s="32">
        <f t="shared" si="133"/>
        <v>4.6909512806444269</v>
      </c>
      <c r="ER74" s="40">
        <f t="shared" si="212"/>
        <v>4.6909512806444269</v>
      </c>
      <c r="ES74" s="32"/>
      <c r="ET74" s="32">
        <f t="shared" si="213"/>
        <v>1.3200000000000007</v>
      </c>
      <c r="EU74" s="36">
        <f t="shared" si="214"/>
        <v>1.3200000000000007</v>
      </c>
      <c r="EV74" s="32">
        <f t="shared" si="134"/>
        <v>4.6909512806444269</v>
      </c>
      <c r="EW74" s="40">
        <f t="shared" si="215"/>
        <v>4.6909512806444269</v>
      </c>
      <c r="EX74" s="32"/>
    </row>
    <row r="75" spans="20:154" s="3" customFormat="1" x14ac:dyDescent="0.25">
      <c r="T75" s="32">
        <f t="shared" si="135"/>
        <v>1.3400000000000007</v>
      </c>
      <c r="U75" s="36">
        <f t="shared" si="136"/>
        <v>1.3400000000000007</v>
      </c>
      <c r="V75" s="32">
        <f t="shared" si="108"/>
        <v>4.6682608206349512</v>
      </c>
      <c r="W75" s="40">
        <f t="shared" si="137"/>
        <v>4.6682608206349512</v>
      </c>
      <c r="X75" s="32"/>
      <c r="Y75" s="32">
        <f t="shared" si="138"/>
        <v>1.3400000000000007</v>
      </c>
      <c r="Z75" s="32">
        <f t="shared" si="139"/>
        <v>1.3400000000000007</v>
      </c>
      <c r="AA75" s="32">
        <f t="shared" si="109"/>
        <v>4.6682608206349512</v>
      </c>
      <c r="AB75" s="40">
        <f t="shared" si="140"/>
        <v>4.6682608206349512</v>
      </c>
      <c r="AC75" s="32"/>
      <c r="AD75" s="32">
        <f t="shared" si="141"/>
        <v>1.3400000000000007</v>
      </c>
      <c r="AE75" s="36">
        <f t="shared" si="142"/>
        <v>1.3400000000000007</v>
      </c>
      <c r="AF75" s="32">
        <f t="shared" si="110"/>
        <v>4.6682608206349512</v>
      </c>
      <c r="AG75" s="40">
        <f t="shared" si="143"/>
        <v>4.6682608206349512</v>
      </c>
      <c r="AH75" s="32"/>
      <c r="AI75" s="32">
        <f t="shared" si="144"/>
        <v>1.3400000000000007</v>
      </c>
      <c r="AJ75" s="36">
        <f t="shared" si="145"/>
        <v>1.3400000000000007</v>
      </c>
      <c r="AK75" s="32">
        <f t="shared" si="111"/>
        <v>4.6682608206349512</v>
      </c>
      <c r="AL75" s="40">
        <f t="shared" si="146"/>
        <v>4.6682608206349512</v>
      </c>
      <c r="AM75" s="32"/>
      <c r="AN75" s="32">
        <f t="shared" si="147"/>
        <v>1.3400000000000007</v>
      </c>
      <c r="AO75" s="32">
        <f t="shared" si="148"/>
        <v>1.3400000000000007</v>
      </c>
      <c r="AP75" s="32">
        <f t="shared" si="112"/>
        <v>4.6682608206349512</v>
      </c>
      <c r="AQ75" s="40">
        <f t="shared" si="149"/>
        <v>4.6682608206349512</v>
      </c>
      <c r="AR75" s="32"/>
      <c r="AS75" s="32">
        <f t="shared" si="150"/>
        <v>1.3400000000000007</v>
      </c>
      <c r="AT75" s="36">
        <f t="shared" si="151"/>
        <v>1.3400000000000007</v>
      </c>
      <c r="AU75" s="32">
        <f t="shared" si="113"/>
        <v>4.6682608206349512</v>
      </c>
      <c r="AV75" s="40">
        <f t="shared" si="152"/>
        <v>4.6682608206349512</v>
      </c>
      <c r="AW75" s="32"/>
      <c r="AX75" s="32">
        <f t="shared" si="153"/>
        <v>1.3400000000000007</v>
      </c>
      <c r="AY75" s="36">
        <f t="shared" si="154"/>
        <v>1.3400000000000007</v>
      </c>
      <c r="AZ75" s="32">
        <f t="shared" si="114"/>
        <v>4.6682608206349512</v>
      </c>
      <c r="BA75" s="40">
        <f t="shared" si="155"/>
        <v>4.6682608206349512</v>
      </c>
      <c r="BB75" s="32"/>
      <c r="BC75" s="32">
        <f t="shared" si="156"/>
        <v>1.3400000000000007</v>
      </c>
      <c r="BD75" s="32">
        <f t="shared" si="157"/>
        <v>1.3400000000000007</v>
      </c>
      <c r="BE75" s="32">
        <f t="shared" si="115"/>
        <v>4.6682608206349512</v>
      </c>
      <c r="BF75" s="40">
        <f t="shared" si="158"/>
        <v>4.6682608206349512</v>
      </c>
      <c r="BG75" s="32"/>
      <c r="BH75" s="32">
        <f t="shared" si="159"/>
        <v>1.3400000000000007</v>
      </c>
      <c r="BI75" s="36">
        <f t="shared" si="160"/>
        <v>1.3400000000000007</v>
      </c>
      <c r="BJ75" s="32">
        <f t="shared" si="116"/>
        <v>4.6682608206349512</v>
      </c>
      <c r="BK75" s="40">
        <f t="shared" si="161"/>
        <v>4.6682608206349512</v>
      </c>
      <c r="BL75" s="32"/>
      <c r="BM75" s="32">
        <f t="shared" si="162"/>
        <v>1.3400000000000007</v>
      </c>
      <c r="BN75" s="36">
        <f t="shared" si="163"/>
        <v>1.3400000000000007</v>
      </c>
      <c r="BO75" s="32">
        <f t="shared" si="117"/>
        <v>4.6682608206349512</v>
      </c>
      <c r="BP75" s="40">
        <f t="shared" si="164"/>
        <v>4.6682608206349512</v>
      </c>
      <c r="BQ75" s="32"/>
      <c r="BR75" s="32">
        <f t="shared" si="165"/>
        <v>1.3400000000000007</v>
      </c>
      <c r="BS75" s="32">
        <f t="shared" si="166"/>
        <v>1.3400000000000007</v>
      </c>
      <c r="BT75" s="32">
        <f t="shared" si="118"/>
        <v>4.6682608206349512</v>
      </c>
      <c r="BU75" s="40">
        <f t="shared" si="167"/>
        <v>4.6682608206349512</v>
      </c>
      <c r="BV75" s="32"/>
      <c r="BW75" s="32">
        <f t="shared" si="168"/>
        <v>1.3400000000000007</v>
      </c>
      <c r="BX75" s="36">
        <f t="shared" si="169"/>
        <v>1.3400000000000007</v>
      </c>
      <c r="BY75" s="32">
        <f t="shared" si="119"/>
        <v>4.6682608206349512</v>
      </c>
      <c r="BZ75" s="40">
        <f t="shared" si="170"/>
        <v>4.6682608206349512</v>
      </c>
      <c r="CA75" s="32"/>
      <c r="CB75" s="32">
        <f t="shared" si="171"/>
        <v>1.3400000000000007</v>
      </c>
      <c r="CC75" s="36">
        <f t="shared" si="172"/>
        <v>1.3400000000000007</v>
      </c>
      <c r="CD75" s="32">
        <f t="shared" si="120"/>
        <v>4.6682608206349512</v>
      </c>
      <c r="CE75" s="40">
        <f t="shared" si="173"/>
        <v>4.6682608206349512</v>
      </c>
      <c r="CF75" s="32"/>
      <c r="CG75" s="39">
        <f t="shared" si="174"/>
        <v>1.3400000000000007</v>
      </c>
      <c r="CH75" s="39">
        <f t="shared" si="175"/>
        <v>1.3400000000000007</v>
      </c>
      <c r="CI75" s="39">
        <f t="shared" si="121"/>
        <v>4.6682608206349512</v>
      </c>
      <c r="CJ75" s="40">
        <f t="shared" si="176"/>
        <v>4.6682608206349512</v>
      </c>
      <c r="CK75" s="39"/>
      <c r="CL75" s="32">
        <f t="shared" si="177"/>
        <v>1.3400000000000007</v>
      </c>
      <c r="CM75" s="36">
        <f t="shared" si="178"/>
        <v>1.3400000000000007</v>
      </c>
      <c r="CN75" s="32">
        <f t="shared" si="122"/>
        <v>4.6682608206349512</v>
      </c>
      <c r="CO75" s="40">
        <f t="shared" si="179"/>
        <v>4.6682608206349512</v>
      </c>
      <c r="CP75" s="32"/>
      <c r="CQ75" s="32">
        <f t="shared" si="180"/>
        <v>1.3400000000000007</v>
      </c>
      <c r="CR75" s="36">
        <f t="shared" si="181"/>
        <v>1.3400000000000007</v>
      </c>
      <c r="CS75" s="32">
        <f t="shared" si="123"/>
        <v>4.6682608206349512</v>
      </c>
      <c r="CT75" s="40">
        <f t="shared" si="182"/>
        <v>4.6682608206349512</v>
      </c>
      <c r="CU75" s="32"/>
      <c r="CV75" s="32">
        <f t="shared" si="183"/>
        <v>1.3400000000000007</v>
      </c>
      <c r="CW75" s="32">
        <f t="shared" si="184"/>
        <v>1.3400000000000007</v>
      </c>
      <c r="CX75" s="32">
        <f t="shared" si="124"/>
        <v>4.6682608206349512</v>
      </c>
      <c r="CY75" s="40">
        <f t="shared" si="185"/>
        <v>4.6682608206349512</v>
      </c>
      <c r="CZ75" s="32"/>
      <c r="DA75" s="32">
        <f t="shared" si="186"/>
        <v>1.3400000000000007</v>
      </c>
      <c r="DB75" s="36">
        <f t="shared" si="187"/>
        <v>1.3400000000000007</v>
      </c>
      <c r="DC75" s="32">
        <f t="shared" si="125"/>
        <v>4.6682608206349512</v>
      </c>
      <c r="DD75" s="40">
        <f t="shared" si="188"/>
        <v>4.6682608206349512</v>
      </c>
      <c r="DE75" s="32"/>
      <c r="DF75" s="32">
        <f t="shared" si="189"/>
        <v>1.3400000000000007</v>
      </c>
      <c r="DG75" s="36">
        <f t="shared" si="190"/>
        <v>1.3400000000000007</v>
      </c>
      <c r="DH75" s="32">
        <f t="shared" si="126"/>
        <v>4.6682608206349512</v>
      </c>
      <c r="DI75" s="40">
        <f t="shared" si="191"/>
        <v>4.6682608206349512</v>
      </c>
      <c r="DJ75" s="32"/>
      <c r="DK75" s="32">
        <f t="shared" si="192"/>
        <v>1.3400000000000007</v>
      </c>
      <c r="DL75" s="32">
        <f t="shared" si="193"/>
        <v>1.3400000000000007</v>
      </c>
      <c r="DM75" s="32">
        <f t="shared" si="127"/>
        <v>4.6682608206349512</v>
      </c>
      <c r="DN75" s="40">
        <f t="shared" si="194"/>
        <v>4.6682608206349512</v>
      </c>
      <c r="DO75" s="32"/>
      <c r="DP75" s="32">
        <f t="shared" si="195"/>
        <v>1.3400000000000007</v>
      </c>
      <c r="DQ75" s="36">
        <f t="shared" si="196"/>
        <v>1.3400000000000007</v>
      </c>
      <c r="DR75" s="32">
        <f t="shared" si="128"/>
        <v>4.6682608206349512</v>
      </c>
      <c r="DS75" s="40">
        <f t="shared" si="197"/>
        <v>4.6682608206349512</v>
      </c>
      <c r="DT75" s="32"/>
      <c r="DU75" s="32">
        <f t="shared" si="198"/>
        <v>1.3400000000000007</v>
      </c>
      <c r="DV75" s="36">
        <f t="shared" si="199"/>
        <v>1.3400000000000007</v>
      </c>
      <c r="DW75" s="32">
        <f t="shared" si="129"/>
        <v>4.6682608206349512</v>
      </c>
      <c r="DX75" s="40">
        <f t="shared" si="200"/>
        <v>4.6682608206349512</v>
      </c>
      <c r="DY75" s="32"/>
      <c r="DZ75" s="32">
        <f t="shared" si="201"/>
        <v>1.3400000000000007</v>
      </c>
      <c r="EA75" s="32">
        <f t="shared" si="202"/>
        <v>1.3400000000000007</v>
      </c>
      <c r="EB75" s="32">
        <f t="shared" si="130"/>
        <v>4.6682608206349512</v>
      </c>
      <c r="EC75" s="40">
        <f t="shared" si="203"/>
        <v>4.6682608206349512</v>
      </c>
      <c r="ED75" s="32"/>
      <c r="EE75" s="32">
        <f t="shared" si="204"/>
        <v>1.3400000000000007</v>
      </c>
      <c r="EF75" s="36">
        <f t="shared" si="205"/>
        <v>1.3400000000000007</v>
      </c>
      <c r="EG75" s="32">
        <f t="shared" si="131"/>
        <v>4.6682608206349512</v>
      </c>
      <c r="EH75" s="40">
        <f t="shared" si="206"/>
        <v>4.6682608206349512</v>
      </c>
      <c r="EI75" s="32"/>
      <c r="EJ75" s="32">
        <f t="shared" si="207"/>
        <v>1.3400000000000007</v>
      </c>
      <c r="EK75" s="36">
        <f t="shared" si="208"/>
        <v>1.3400000000000007</v>
      </c>
      <c r="EL75" s="32">
        <f t="shared" si="132"/>
        <v>4.6682608206349512</v>
      </c>
      <c r="EM75" s="40">
        <f t="shared" si="209"/>
        <v>4.6682608206349512</v>
      </c>
      <c r="EN75" s="32"/>
      <c r="EO75" s="32">
        <f t="shared" si="210"/>
        <v>1.3400000000000007</v>
      </c>
      <c r="EP75" s="32">
        <f t="shared" si="211"/>
        <v>1.3400000000000007</v>
      </c>
      <c r="EQ75" s="32">
        <f t="shared" si="133"/>
        <v>4.6682608206349512</v>
      </c>
      <c r="ER75" s="40">
        <f t="shared" si="212"/>
        <v>4.6682608206349512</v>
      </c>
      <c r="ES75" s="32"/>
      <c r="ET75" s="32">
        <f t="shared" si="213"/>
        <v>1.3400000000000007</v>
      </c>
      <c r="EU75" s="36">
        <f t="shared" si="214"/>
        <v>1.3400000000000007</v>
      </c>
      <c r="EV75" s="32">
        <f t="shared" si="134"/>
        <v>4.6682608206349512</v>
      </c>
      <c r="EW75" s="40">
        <f t="shared" si="215"/>
        <v>4.6682608206349512</v>
      </c>
      <c r="EX75" s="32"/>
    </row>
    <row r="76" spans="20:154" s="3" customFormat="1" x14ac:dyDescent="0.25">
      <c r="T76" s="32">
        <f t="shared" si="135"/>
        <v>1.3600000000000008</v>
      </c>
      <c r="U76" s="36">
        <f t="shared" si="136"/>
        <v>1.3600000000000008</v>
      </c>
      <c r="V76" s="32">
        <f t="shared" si="108"/>
        <v>4.6428618478976267</v>
      </c>
      <c r="W76" s="40">
        <f t="shared" si="137"/>
        <v>4.6428618478976267</v>
      </c>
      <c r="X76" s="32"/>
      <c r="Y76" s="32">
        <f t="shared" si="138"/>
        <v>1.3600000000000008</v>
      </c>
      <c r="Z76" s="32">
        <f t="shared" si="139"/>
        <v>1.3600000000000008</v>
      </c>
      <c r="AA76" s="32">
        <f t="shared" si="109"/>
        <v>4.6428618478976267</v>
      </c>
      <c r="AB76" s="40">
        <f t="shared" si="140"/>
        <v>4.6428618478976267</v>
      </c>
      <c r="AC76" s="32"/>
      <c r="AD76" s="32">
        <f t="shared" si="141"/>
        <v>1.3600000000000008</v>
      </c>
      <c r="AE76" s="36">
        <f t="shared" si="142"/>
        <v>1.3600000000000008</v>
      </c>
      <c r="AF76" s="32">
        <f t="shared" si="110"/>
        <v>4.6428618478976267</v>
      </c>
      <c r="AG76" s="40">
        <f t="shared" si="143"/>
        <v>4.6428618478976267</v>
      </c>
      <c r="AH76" s="32"/>
      <c r="AI76" s="32">
        <f t="shared" si="144"/>
        <v>1.3600000000000008</v>
      </c>
      <c r="AJ76" s="36">
        <f t="shared" si="145"/>
        <v>1.3600000000000008</v>
      </c>
      <c r="AK76" s="32">
        <f t="shared" si="111"/>
        <v>4.6428618478976267</v>
      </c>
      <c r="AL76" s="40">
        <f t="shared" si="146"/>
        <v>4.6428618478976267</v>
      </c>
      <c r="AM76" s="32"/>
      <c r="AN76" s="32">
        <f t="shared" si="147"/>
        <v>1.3600000000000008</v>
      </c>
      <c r="AO76" s="32">
        <f t="shared" si="148"/>
        <v>1.3600000000000008</v>
      </c>
      <c r="AP76" s="32">
        <f t="shared" si="112"/>
        <v>4.6428618478976267</v>
      </c>
      <c r="AQ76" s="40">
        <f t="shared" si="149"/>
        <v>4.6428618478976267</v>
      </c>
      <c r="AR76" s="32"/>
      <c r="AS76" s="32">
        <f t="shared" si="150"/>
        <v>1.3600000000000008</v>
      </c>
      <c r="AT76" s="36">
        <f t="shared" si="151"/>
        <v>1.3600000000000008</v>
      </c>
      <c r="AU76" s="32">
        <f t="shared" si="113"/>
        <v>4.6428618478976267</v>
      </c>
      <c r="AV76" s="40">
        <f t="shared" si="152"/>
        <v>4.6428618478976267</v>
      </c>
      <c r="AW76" s="32"/>
      <c r="AX76" s="32">
        <f t="shared" si="153"/>
        <v>1.3600000000000008</v>
      </c>
      <c r="AY76" s="36">
        <f t="shared" si="154"/>
        <v>1.3600000000000008</v>
      </c>
      <c r="AZ76" s="32">
        <f t="shared" si="114"/>
        <v>4.6428618478976267</v>
      </c>
      <c r="BA76" s="40">
        <f t="shared" si="155"/>
        <v>4.6428618478976267</v>
      </c>
      <c r="BB76" s="32"/>
      <c r="BC76" s="32">
        <f t="shared" si="156"/>
        <v>1.3600000000000008</v>
      </c>
      <c r="BD76" s="32">
        <f t="shared" si="157"/>
        <v>1.3600000000000008</v>
      </c>
      <c r="BE76" s="32">
        <f t="shared" si="115"/>
        <v>4.6428618478976267</v>
      </c>
      <c r="BF76" s="40">
        <f t="shared" si="158"/>
        <v>4.6428618478976267</v>
      </c>
      <c r="BG76" s="32"/>
      <c r="BH76" s="32">
        <f t="shared" si="159"/>
        <v>1.3600000000000008</v>
      </c>
      <c r="BI76" s="36">
        <f t="shared" si="160"/>
        <v>1.3600000000000008</v>
      </c>
      <c r="BJ76" s="32">
        <f t="shared" si="116"/>
        <v>4.6428618478976267</v>
      </c>
      <c r="BK76" s="40">
        <f t="shared" si="161"/>
        <v>4.6428618478976267</v>
      </c>
      <c r="BL76" s="32"/>
      <c r="BM76" s="32">
        <f t="shared" si="162"/>
        <v>1.3600000000000008</v>
      </c>
      <c r="BN76" s="36">
        <f t="shared" si="163"/>
        <v>1.3600000000000008</v>
      </c>
      <c r="BO76" s="32">
        <f t="shared" si="117"/>
        <v>4.6428618478976267</v>
      </c>
      <c r="BP76" s="40">
        <f t="shared" si="164"/>
        <v>4.6428618478976267</v>
      </c>
      <c r="BQ76" s="32"/>
      <c r="BR76" s="32">
        <f t="shared" si="165"/>
        <v>1.3600000000000008</v>
      </c>
      <c r="BS76" s="32">
        <f t="shared" si="166"/>
        <v>1.3600000000000008</v>
      </c>
      <c r="BT76" s="32">
        <f t="shared" si="118"/>
        <v>4.6428618478976267</v>
      </c>
      <c r="BU76" s="40">
        <f t="shared" si="167"/>
        <v>4.6428618478976267</v>
      </c>
      <c r="BV76" s="32"/>
      <c r="BW76" s="32">
        <f t="shared" si="168"/>
        <v>1.3600000000000008</v>
      </c>
      <c r="BX76" s="36">
        <f t="shared" si="169"/>
        <v>1.3600000000000008</v>
      </c>
      <c r="BY76" s="32">
        <f t="shared" si="119"/>
        <v>4.6428618478976267</v>
      </c>
      <c r="BZ76" s="40">
        <f t="shared" si="170"/>
        <v>4.6428618478976267</v>
      </c>
      <c r="CA76" s="32"/>
      <c r="CB76" s="32">
        <f t="shared" si="171"/>
        <v>1.3600000000000008</v>
      </c>
      <c r="CC76" s="36">
        <f t="shared" si="172"/>
        <v>1.3600000000000008</v>
      </c>
      <c r="CD76" s="32">
        <f t="shared" si="120"/>
        <v>4.6428618478976267</v>
      </c>
      <c r="CE76" s="40">
        <f t="shared" si="173"/>
        <v>4.6428618478976267</v>
      </c>
      <c r="CF76" s="32"/>
      <c r="CG76" s="39">
        <f t="shared" si="174"/>
        <v>1.3600000000000008</v>
      </c>
      <c r="CH76" s="39">
        <f t="shared" si="175"/>
        <v>1.3600000000000008</v>
      </c>
      <c r="CI76" s="39">
        <f t="shared" si="121"/>
        <v>4.6428618478976267</v>
      </c>
      <c r="CJ76" s="40">
        <f t="shared" si="176"/>
        <v>4.6428618478976267</v>
      </c>
      <c r="CK76" s="39"/>
      <c r="CL76" s="32">
        <f t="shared" si="177"/>
        <v>1.3600000000000008</v>
      </c>
      <c r="CM76" s="36">
        <f t="shared" si="178"/>
        <v>1.3600000000000008</v>
      </c>
      <c r="CN76" s="32">
        <f t="shared" si="122"/>
        <v>4.6428618478976267</v>
      </c>
      <c r="CO76" s="40">
        <f t="shared" si="179"/>
        <v>4.6428618478976267</v>
      </c>
      <c r="CP76" s="32"/>
      <c r="CQ76" s="32">
        <f t="shared" si="180"/>
        <v>1.3600000000000008</v>
      </c>
      <c r="CR76" s="36">
        <f t="shared" si="181"/>
        <v>1.3600000000000008</v>
      </c>
      <c r="CS76" s="32">
        <f t="shared" si="123"/>
        <v>4.6428618478976267</v>
      </c>
      <c r="CT76" s="40">
        <f t="shared" si="182"/>
        <v>4.6428618478976267</v>
      </c>
      <c r="CU76" s="32"/>
      <c r="CV76" s="32">
        <f t="shared" si="183"/>
        <v>1.3600000000000008</v>
      </c>
      <c r="CW76" s="32">
        <f t="shared" si="184"/>
        <v>1.3600000000000008</v>
      </c>
      <c r="CX76" s="32">
        <f t="shared" si="124"/>
        <v>4.6428618478976267</v>
      </c>
      <c r="CY76" s="40">
        <f t="shared" si="185"/>
        <v>4.6428618478976267</v>
      </c>
      <c r="CZ76" s="32"/>
      <c r="DA76" s="32">
        <f t="shared" si="186"/>
        <v>1.3600000000000008</v>
      </c>
      <c r="DB76" s="36">
        <f t="shared" si="187"/>
        <v>1.3600000000000008</v>
      </c>
      <c r="DC76" s="32">
        <f t="shared" si="125"/>
        <v>4.6428618478976267</v>
      </c>
      <c r="DD76" s="40">
        <f t="shared" si="188"/>
        <v>4.6428618478976267</v>
      </c>
      <c r="DE76" s="32"/>
      <c r="DF76" s="32">
        <f t="shared" si="189"/>
        <v>1.3600000000000008</v>
      </c>
      <c r="DG76" s="36">
        <f t="shared" si="190"/>
        <v>1.3600000000000008</v>
      </c>
      <c r="DH76" s="32">
        <f t="shared" si="126"/>
        <v>4.6428618478976267</v>
      </c>
      <c r="DI76" s="40">
        <f t="shared" si="191"/>
        <v>4.6428618478976267</v>
      </c>
      <c r="DJ76" s="32"/>
      <c r="DK76" s="32">
        <f t="shared" si="192"/>
        <v>1.3600000000000008</v>
      </c>
      <c r="DL76" s="32">
        <f t="shared" si="193"/>
        <v>1.3600000000000008</v>
      </c>
      <c r="DM76" s="32">
        <f t="shared" si="127"/>
        <v>4.6428618478976267</v>
      </c>
      <c r="DN76" s="40">
        <f t="shared" si="194"/>
        <v>4.6428618478976267</v>
      </c>
      <c r="DO76" s="32"/>
      <c r="DP76" s="32">
        <f t="shared" si="195"/>
        <v>1.3600000000000008</v>
      </c>
      <c r="DQ76" s="36">
        <f t="shared" si="196"/>
        <v>1.3600000000000008</v>
      </c>
      <c r="DR76" s="32">
        <f t="shared" si="128"/>
        <v>4.6428618478976267</v>
      </c>
      <c r="DS76" s="40">
        <f t="shared" si="197"/>
        <v>4.6428618478976267</v>
      </c>
      <c r="DT76" s="32"/>
      <c r="DU76" s="32">
        <f t="shared" si="198"/>
        <v>1.3600000000000008</v>
      </c>
      <c r="DV76" s="36">
        <f t="shared" si="199"/>
        <v>1.3600000000000008</v>
      </c>
      <c r="DW76" s="32">
        <f t="shared" si="129"/>
        <v>4.6428618478976267</v>
      </c>
      <c r="DX76" s="40">
        <f t="shared" si="200"/>
        <v>4.6428618478976267</v>
      </c>
      <c r="DY76" s="32"/>
      <c r="DZ76" s="32">
        <f t="shared" si="201"/>
        <v>1.3600000000000008</v>
      </c>
      <c r="EA76" s="32">
        <f t="shared" si="202"/>
        <v>1.3600000000000008</v>
      </c>
      <c r="EB76" s="32">
        <f t="shared" si="130"/>
        <v>4.6428618478976267</v>
      </c>
      <c r="EC76" s="40">
        <f t="shared" si="203"/>
        <v>4.6428618478976267</v>
      </c>
      <c r="ED76" s="32"/>
      <c r="EE76" s="32">
        <f t="shared" si="204"/>
        <v>1.3600000000000008</v>
      </c>
      <c r="EF76" s="36">
        <f t="shared" si="205"/>
        <v>1.3600000000000008</v>
      </c>
      <c r="EG76" s="32">
        <f t="shared" si="131"/>
        <v>4.6428618478976267</v>
      </c>
      <c r="EH76" s="40">
        <f t="shared" si="206"/>
        <v>4.6428618478976267</v>
      </c>
      <c r="EI76" s="32"/>
      <c r="EJ76" s="32">
        <f t="shared" si="207"/>
        <v>1.3600000000000008</v>
      </c>
      <c r="EK76" s="36">
        <f t="shared" si="208"/>
        <v>1.3600000000000008</v>
      </c>
      <c r="EL76" s="32">
        <f t="shared" si="132"/>
        <v>4.6428618478976267</v>
      </c>
      <c r="EM76" s="40">
        <f t="shared" si="209"/>
        <v>4.6428618478976267</v>
      </c>
      <c r="EN76" s="32"/>
      <c r="EO76" s="32">
        <f t="shared" si="210"/>
        <v>1.3600000000000008</v>
      </c>
      <c r="EP76" s="32">
        <f t="shared" si="211"/>
        <v>1.3600000000000008</v>
      </c>
      <c r="EQ76" s="32">
        <f t="shared" si="133"/>
        <v>4.6428618478976267</v>
      </c>
      <c r="ER76" s="40">
        <f t="shared" si="212"/>
        <v>4.6428618478976267</v>
      </c>
      <c r="ES76" s="32"/>
      <c r="ET76" s="32">
        <f t="shared" si="213"/>
        <v>1.3600000000000008</v>
      </c>
      <c r="EU76" s="36">
        <f t="shared" si="214"/>
        <v>1.3600000000000008</v>
      </c>
      <c r="EV76" s="32">
        <f t="shared" si="134"/>
        <v>4.6428618478976267</v>
      </c>
      <c r="EW76" s="40">
        <f t="shared" si="215"/>
        <v>4.6428618478976267</v>
      </c>
      <c r="EX76" s="32"/>
    </row>
    <row r="77" spans="20:154" s="3" customFormat="1" x14ac:dyDescent="0.25">
      <c r="T77" s="32">
        <f t="shared" si="135"/>
        <v>1.3800000000000008</v>
      </c>
      <c r="U77" s="36">
        <f t="shared" si="136"/>
        <v>1.3800000000000008</v>
      </c>
      <c r="V77" s="32">
        <f t="shared" si="108"/>
        <v>4.6147543624324552</v>
      </c>
      <c r="W77" s="40">
        <f t="shared" si="137"/>
        <v>4.6147543624324552</v>
      </c>
      <c r="X77" s="32"/>
      <c r="Y77" s="32">
        <f t="shared" si="138"/>
        <v>1.3800000000000008</v>
      </c>
      <c r="Z77" s="32">
        <f t="shared" si="139"/>
        <v>1.3800000000000008</v>
      </c>
      <c r="AA77" s="32">
        <f t="shared" si="109"/>
        <v>4.6147543624324552</v>
      </c>
      <c r="AB77" s="40">
        <f t="shared" si="140"/>
        <v>4.6147543624324552</v>
      </c>
      <c r="AC77" s="32"/>
      <c r="AD77" s="32">
        <f t="shared" si="141"/>
        <v>1.3800000000000008</v>
      </c>
      <c r="AE77" s="36">
        <f t="shared" si="142"/>
        <v>1.3800000000000008</v>
      </c>
      <c r="AF77" s="32">
        <f t="shared" si="110"/>
        <v>4.6147543624324552</v>
      </c>
      <c r="AG77" s="40">
        <f t="shared" si="143"/>
        <v>4.6147543624324552</v>
      </c>
      <c r="AH77" s="32"/>
      <c r="AI77" s="32">
        <f t="shared" si="144"/>
        <v>1.3800000000000008</v>
      </c>
      <c r="AJ77" s="36">
        <f t="shared" si="145"/>
        <v>1.3800000000000008</v>
      </c>
      <c r="AK77" s="32">
        <f t="shared" si="111"/>
        <v>4.6147543624324552</v>
      </c>
      <c r="AL77" s="40">
        <f t="shared" si="146"/>
        <v>4.6147543624324552</v>
      </c>
      <c r="AM77" s="32"/>
      <c r="AN77" s="32">
        <f t="shared" si="147"/>
        <v>1.3800000000000008</v>
      </c>
      <c r="AO77" s="32">
        <f t="shared" si="148"/>
        <v>1.3800000000000008</v>
      </c>
      <c r="AP77" s="32">
        <f t="shared" si="112"/>
        <v>4.6147543624324552</v>
      </c>
      <c r="AQ77" s="40">
        <f t="shared" si="149"/>
        <v>4.6147543624324552</v>
      </c>
      <c r="AR77" s="32"/>
      <c r="AS77" s="32">
        <f t="shared" si="150"/>
        <v>1.3800000000000008</v>
      </c>
      <c r="AT77" s="36">
        <f t="shared" si="151"/>
        <v>1.3800000000000008</v>
      </c>
      <c r="AU77" s="32">
        <f t="shared" si="113"/>
        <v>4.6147543624324552</v>
      </c>
      <c r="AV77" s="40">
        <f t="shared" si="152"/>
        <v>4.6147543624324552</v>
      </c>
      <c r="AW77" s="32"/>
      <c r="AX77" s="32">
        <f t="shared" si="153"/>
        <v>1.3800000000000008</v>
      </c>
      <c r="AY77" s="36">
        <f t="shared" si="154"/>
        <v>1.3800000000000008</v>
      </c>
      <c r="AZ77" s="32">
        <f t="shared" si="114"/>
        <v>4.6147543624324552</v>
      </c>
      <c r="BA77" s="40">
        <f t="shared" si="155"/>
        <v>4.6147543624324552</v>
      </c>
      <c r="BB77" s="32"/>
      <c r="BC77" s="32">
        <f t="shared" si="156"/>
        <v>1.3800000000000008</v>
      </c>
      <c r="BD77" s="32">
        <f t="shared" si="157"/>
        <v>1.3800000000000008</v>
      </c>
      <c r="BE77" s="32">
        <f t="shared" si="115"/>
        <v>4.6147543624324552</v>
      </c>
      <c r="BF77" s="40">
        <f t="shared" si="158"/>
        <v>4.6147543624324552</v>
      </c>
      <c r="BG77" s="32"/>
      <c r="BH77" s="32">
        <f t="shared" si="159"/>
        <v>1.3800000000000008</v>
      </c>
      <c r="BI77" s="36">
        <f t="shared" si="160"/>
        <v>1.3800000000000008</v>
      </c>
      <c r="BJ77" s="32">
        <f t="shared" si="116"/>
        <v>4.6147543624324552</v>
      </c>
      <c r="BK77" s="40">
        <f t="shared" si="161"/>
        <v>4.6147543624324552</v>
      </c>
      <c r="BL77" s="32"/>
      <c r="BM77" s="32">
        <f t="shared" si="162"/>
        <v>1.3800000000000008</v>
      </c>
      <c r="BN77" s="36">
        <f t="shared" si="163"/>
        <v>1.3800000000000008</v>
      </c>
      <c r="BO77" s="32">
        <f t="shared" si="117"/>
        <v>4.6147543624324552</v>
      </c>
      <c r="BP77" s="40">
        <f t="shared" si="164"/>
        <v>4.6147543624324552</v>
      </c>
      <c r="BQ77" s="32"/>
      <c r="BR77" s="32">
        <f t="shared" si="165"/>
        <v>1.3800000000000008</v>
      </c>
      <c r="BS77" s="32">
        <f t="shared" si="166"/>
        <v>1.3800000000000008</v>
      </c>
      <c r="BT77" s="32">
        <f t="shared" si="118"/>
        <v>4.6147543624324552</v>
      </c>
      <c r="BU77" s="40">
        <f t="shared" si="167"/>
        <v>4.6147543624324552</v>
      </c>
      <c r="BV77" s="32"/>
      <c r="BW77" s="32">
        <f t="shared" si="168"/>
        <v>1.3800000000000008</v>
      </c>
      <c r="BX77" s="36">
        <f t="shared" si="169"/>
        <v>1.3800000000000008</v>
      </c>
      <c r="BY77" s="32">
        <f t="shared" si="119"/>
        <v>4.6147543624324552</v>
      </c>
      <c r="BZ77" s="40">
        <f t="shared" si="170"/>
        <v>4.6147543624324552</v>
      </c>
      <c r="CA77" s="32"/>
      <c r="CB77" s="32">
        <f t="shared" si="171"/>
        <v>1.3800000000000008</v>
      </c>
      <c r="CC77" s="36">
        <f t="shared" si="172"/>
        <v>1.3800000000000008</v>
      </c>
      <c r="CD77" s="32">
        <f t="shared" si="120"/>
        <v>4.6147543624324552</v>
      </c>
      <c r="CE77" s="40">
        <f t="shared" si="173"/>
        <v>4.6147543624324552</v>
      </c>
      <c r="CF77" s="32"/>
      <c r="CG77" s="39">
        <f t="shared" si="174"/>
        <v>1.3800000000000008</v>
      </c>
      <c r="CH77" s="39">
        <f t="shared" si="175"/>
        <v>1.3800000000000008</v>
      </c>
      <c r="CI77" s="39">
        <f t="shared" si="121"/>
        <v>4.6147543624324552</v>
      </c>
      <c r="CJ77" s="40">
        <f t="shared" si="176"/>
        <v>4.6147543624324552</v>
      </c>
      <c r="CK77" s="39"/>
      <c r="CL77" s="32">
        <f t="shared" si="177"/>
        <v>1.3800000000000008</v>
      </c>
      <c r="CM77" s="36">
        <f t="shared" si="178"/>
        <v>1.3800000000000008</v>
      </c>
      <c r="CN77" s="32">
        <f t="shared" si="122"/>
        <v>4.6147543624324552</v>
      </c>
      <c r="CO77" s="40">
        <f t="shared" si="179"/>
        <v>4.6147543624324552</v>
      </c>
      <c r="CP77" s="32"/>
      <c r="CQ77" s="32">
        <f t="shared" si="180"/>
        <v>1.3800000000000008</v>
      </c>
      <c r="CR77" s="36">
        <f t="shared" si="181"/>
        <v>1.3800000000000008</v>
      </c>
      <c r="CS77" s="32">
        <f t="shared" si="123"/>
        <v>4.6147543624324552</v>
      </c>
      <c r="CT77" s="40">
        <f t="shared" si="182"/>
        <v>4.6147543624324552</v>
      </c>
      <c r="CU77" s="32"/>
      <c r="CV77" s="32">
        <f t="shared" si="183"/>
        <v>1.3800000000000008</v>
      </c>
      <c r="CW77" s="32">
        <f t="shared" si="184"/>
        <v>1.3800000000000008</v>
      </c>
      <c r="CX77" s="32">
        <f t="shared" si="124"/>
        <v>4.6147543624324552</v>
      </c>
      <c r="CY77" s="40">
        <f t="shared" si="185"/>
        <v>4.6147543624324552</v>
      </c>
      <c r="CZ77" s="32"/>
      <c r="DA77" s="32">
        <f t="shared" si="186"/>
        <v>1.3800000000000008</v>
      </c>
      <c r="DB77" s="36">
        <f t="shared" si="187"/>
        <v>1.3800000000000008</v>
      </c>
      <c r="DC77" s="32">
        <f t="shared" si="125"/>
        <v>4.6147543624324552</v>
      </c>
      <c r="DD77" s="40">
        <f t="shared" si="188"/>
        <v>4.6147543624324552</v>
      </c>
      <c r="DE77" s="32"/>
      <c r="DF77" s="32">
        <f t="shared" si="189"/>
        <v>1.3800000000000008</v>
      </c>
      <c r="DG77" s="36">
        <f t="shared" si="190"/>
        <v>1.3800000000000008</v>
      </c>
      <c r="DH77" s="32">
        <f t="shared" si="126"/>
        <v>4.6147543624324552</v>
      </c>
      <c r="DI77" s="40">
        <f t="shared" si="191"/>
        <v>4.6147543624324552</v>
      </c>
      <c r="DJ77" s="32"/>
      <c r="DK77" s="32">
        <f t="shared" si="192"/>
        <v>1.3800000000000008</v>
      </c>
      <c r="DL77" s="32">
        <f t="shared" si="193"/>
        <v>1.3800000000000008</v>
      </c>
      <c r="DM77" s="32">
        <f t="shared" si="127"/>
        <v>4.6147543624324552</v>
      </c>
      <c r="DN77" s="40">
        <f t="shared" si="194"/>
        <v>4.6147543624324552</v>
      </c>
      <c r="DO77" s="32"/>
      <c r="DP77" s="32">
        <f t="shared" si="195"/>
        <v>1.3800000000000008</v>
      </c>
      <c r="DQ77" s="36">
        <f t="shared" si="196"/>
        <v>1.3800000000000008</v>
      </c>
      <c r="DR77" s="32">
        <f t="shared" si="128"/>
        <v>4.6147543624324552</v>
      </c>
      <c r="DS77" s="40">
        <f t="shared" si="197"/>
        <v>4.6147543624324552</v>
      </c>
      <c r="DT77" s="32"/>
      <c r="DU77" s="32">
        <f t="shared" si="198"/>
        <v>1.3800000000000008</v>
      </c>
      <c r="DV77" s="36">
        <f t="shared" si="199"/>
        <v>1.3800000000000008</v>
      </c>
      <c r="DW77" s="32">
        <f t="shared" si="129"/>
        <v>4.6147543624324552</v>
      </c>
      <c r="DX77" s="40">
        <f t="shared" si="200"/>
        <v>4.6147543624324552</v>
      </c>
      <c r="DY77" s="32"/>
      <c r="DZ77" s="32">
        <f t="shared" si="201"/>
        <v>1.3800000000000008</v>
      </c>
      <c r="EA77" s="32">
        <f t="shared" si="202"/>
        <v>1.3800000000000008</v>
      </c>
      <c r="EB77" s="32">
        <f t="shared" si="130"/>
        <v>4.6147543624324552</v>
      </c>
      <c r="EC77" s="40">
        <f t="shared" si="203"/>
        <v>4.6147543624324552</v>
      </c>
      <c r="ED77" s="32"/>
      <c r="EE77" s="32">
        <f t="shared" si="204"/>
        <v>1.3800000000000008</v>
      </c>
      <c r="EF77" s="36">
        <f t="shared" si="205"/>
        <v>1.3800000000000008</v>
      </c>
      <c r="EG77" s="32">
        <f t="shared" si="131"/>
        <v>4.6147543624324552</v>
      </c>
      <c r="EH77" s="40">
        <f t="shared" si="206"/>
        <v>4.6147543624324552</v>
      </c>
      <c r="EI77" s="32"/>
      <c r="EJ77" s="32">
        <f t="shared" si="207"/>
        <v>1.3800000000000008</v>
      </c>
      <c r="EK77" s="36">
        <f t="shared" si="208"/>
        <v>1.3800000000000008</v>
      </c>
      <c r="EL77" s="32">
        <f t="shared" si="132"/>
        <v>4.6147543624324552</v>
      </c>
      <c r="EM77" s="40">
        <f t="shared" si="209"/>
        <v>4.6147543624324552</v>
      </c>
      <c r="EN77" s="32"/>
      <c r="EO77" s="32">
        <f t="shared" si="210"/>
        <v>1.3800000000000008</v>
      </c>
      <c r="EP77" s="32">
        <f t="shared" si="211"/>
        <v>1.3800000000000008</v>
      </c>
      <c r="EQ77" s="32">
        <f t="shared" si="133"/>
        <v>4.6147543624324552</v>
      </c>
      <c r="ER77" s="40">
        <f t="shared" si="212"/>
        <v>4.6147543624324552</v>
      </c>
      <c r="ES77" s="32"/>
      <c r="ET77" s="32">
        <f t="shared" si="213"/>
        <v>1.3800000000000008</v>
      </c>
      <c r="EU77" s="36">
        <f t="shared" si="214"/>
        <v>1.3800000000000008</v>
      </c>
      <c r="EV77" s="32">
        <f t="shared" si="134"/>
        <v>4.6147543624324552</v>
      </c>
      <c r="EW77" s="40">
        <f t="shared" si="215"/>
        <v>4.6147543624324552</v>
      </c>
      <c r="EX77" s="32"/>
    </row>
    <row r="78" spans="20:154" s="3" customFormat="1" x14ac:dyDescent="0.25">
      <c r="T78" s="32">
        <f t="shared" si="135"/>
        <v>1.4000000000000008</v>
      </c>
      <c r="U78" s="36">
        <f t="shared" si="136"/>
        <v>1.4000000000000008</v>
      </c>
      <c r="V78" s="32">
        <f t="shared" si="108"/>
        <v>4.5839383642394385</v>
      </c>
      <c r="W78" s="40">
        <f t="shared" si="137"/>
        <v>4.5839383642394385</v>
      </c>
      <c r="X78" s="32"/>
      <c r="Y78" s="32">
        <f t="shared" si="138"/>
        <v>1.4000000000000008</v>
      </c>
      <c r="Z78" s="32">
        <f t="shared" si="139"/>
        <v>1.4000000000000008</v>
      </c>
      <c r="AA78" s="32">
        <f t="shared" si="109"/>
        <v>4.5839383642394385</v>
      </c>
      <c r="AB78" s="40">
        <f t="shared" si="140"/>
        <v>4.5839383642394385</v>
      </c>
      <c r="AC78" s="32"/>
      <c r="AD78" s="32">
        <f t="shared" si="141"/>
        <v>1.4000000000000008</v>
      </c>
      <c r="AE78" s="36">
        <f t="shared" si="142"/>
        <v>1.4000000000000008</v>
      </c>
      <c r="AF78" s="32">
        <f t="shared" si="110"/>
        <v>4.5839383642394385</v>
      </c>
      <c r="AG78" s="40">
        <f t="shared" si="143"/>
        <v>4.5839383642394385</v>
      </c>
      <c r="AH78" s="32"/>
      <c r="AI78" s="32">
        <f t="shared" si="144"/>
        <v>1.4000000000000008</v>
      </c>
      <c r="AJ78" s="36">
        <f t="shared" si="145"/>
        <v>1.4000000000000008</v>
      </c>
      <c r="AK78" s="32">
        <f t="shared" si="111"/>
        <v>4.5839383642394385</v>
      </c>
      <c r="AL78" s="40">
        <f t="shared" si="146"/>
        <v>4.5839383642394385</v>
      </c>
      <c r="AM78" s="32"/>
      <c r="AN78" s="32">
        <f t="shared" si="147"/>
        <v>1.4000000000000008</v>
      </c>
      <c r="AO78" s="32">
        <f t="shared" si="148"/>
        <v>1.4000000000000008</v>
      </c>
      <c r="AP78" s="32">
        <f t="shared" si="112"/>
        <v>4.5839383642394385</v>
      </c>
      <c r="AQ78" s="40">
        <f t="shared" si="149"/>
        <v>4.5839383642394385</v>
      </c>
      <c r="AR78" s="32"/>
      <c r="AS78" s="32">
        <f t="shared" si="150"/>
        <v>1.4000000000000008</v>
      </c>
      <c r="AT78" s="36">
        <f t="shared" si="151"/>
        <v>1.4000000000000008</v>
      </c>
      <c r="AU78" s="32">
        <f t="shared" si="113"/>
        <v>4.5839383642394385</v>
      </c>
      <c r="AV78" s="40">
        <f t="shared" si="152"/>
        <v>4.5839383642394385</v>
      </c>
      <c r="AW78" s="32"/>
      <c r="AX78" s="32">
        <f t="shared" si="153"/>
        <v>1.4000000000000008</v>
      </c>
      <c r="AY78" s="36">
        <f t="shared" si="154"/>
        <v>1.4000000000000008</v>
      </c>
      <c r="AZ78" s="32">
        <f t="shared" si="114"/>
        <v>4.5839383642394385</v>
      </c>
      <c r="BA78" s="40">
        <f t="shared" si="155"/>
        <v>4.5839383642394385</v>
      </c>
      <c r="BB78" s="32"/>
      <c r="BC78" s="32">
        <f t="shared" si="156"/>
        <v>1.4000000000000008</v>
      </c>
      <c r="BD78" s="32">
        <f t="shared" si="157"/>
        <v>1.4000000000000008</v>
      </c>
      <c r="BE78" s="32">
        <f t="shared" si="115"/>
        <v>4.5839383642394385</v>
      </c>
      <c r="BF78" s="40">
        <f t="shared" si="158"/>
        <v>4.5839383642394385</v>
      </c>
      <c r="BG78" s="32"/>
      <c r="BH78" s="32">
        <f t="shared" si="159"/>
        <v>1.4000000000000008</v>
      </c>
      <c r="BI78" s="36">
        <f t="shared" si="160"/>
        <v>1.4000000000000008</v>
      </c>
      <c r="BJ78" s="32">
        <f t="shared" si="116"/>
        <v>4.5839383642394385</v>
      </c>
      <c r="BK78" s="40">
        <f t="shared" si="161"/>
        <v>4.5839383642394385</v>
      </c>
      <c r="BL78" s="32"/>
      <c r="BM78" s="32">
        <f t="shared" si="162"/>
        <v>1.4000000000000008</v>
      </c>
      <c r="BN78" s="36">
        <f t="shared" si="163"/>
        <v>1.4000000000000008</v>
      </c>
      <c r="BO78" s="32">
        <f t="shared" si="117"/>
        <v>4.5839383642394385</v>
      </c>
      <c r="BP78" s="40">
        <f t="shared" si="164"/>
        <v>4.5839383642394385</v>
      </c>
      <c r="BQ78" s="32"/>
      <c r="BR78" s="32">
        <f t="shared" si="165"/>
        <v>1.4000000000000008</v>
      </c>
      <c r="BS78" s="32">
        <f t="shared" si="166"/>
        <v>1.4000000000000008</v>
      </c>
      <c r="BT78" s="32">
        <f t="shared" si="118"/>
        <v>4.5839383642394385</v>
      </c>
      <c r="BU78" s="40">
        <f t="shared" si="167"/>
        <v>4.5839383642394385</v>
      </c>
      <c r="BV78" s="32"/>
      <c r="BW78" s="32">
        <f t="shared" si="168"/>
        <v>1.4000000000000008</v>
      </c>
      <c r="BX78" s="36">
        <f t="shared" si="169"/>
        <v>1.4000000000000008</v>
      </c>
      <c r="BY78" s="32">
        <f t="shared" si="119"/>
        <v>4.5839383642394385</v>
      </c>
      <c r="BZ78" s="40">
        <f t="shared" si="170"/>
        <v>4.5839383642394385</v>
      </c>
      <c r="CA78" s="32"/>
      <c r="CB78" s="32">
        <f t="shared" si="171"/>
        <v>1.4000000000000008</v>
      </c>
      <c r="CC78" s="36">
        <f t="shared" si="172"/>
        <v>1.4000000000000008</v>
      </c>
      <c r="CD78" s="32">
        <f t="shared" si="120"/>
        <v>4.5839383642394385</v>
      </c>
      <c r="CE78" s="40">
        <f t="shared" si="173"/>
        <v>4.5839383642394385</v>
      </c>
      <c r="CF78" s="32"/>
      <c r="CG78" s="39">
        <f t="shared" si="174"/>
        <v>1.4000000000000008</v>
      </c>
      <c r="CH78" s="39">
        <f t="shared" si="175"/>
        <v>1.4000000000000008</v>
      </c>
      <c r="CI78" s="39">
        <f t="shared" si="121"/>
        <v>4.5839383642394385</v>
      </c>
      <c r="CJ78" s="40">
        <f t="shared" si="176"/>
        <v>4.5839383642394385</v>
      </c>
      <c r="CK78" s="39"/>
      <c r="CL78" s="32">
        <f t="shared" si="177"/>
        <v>1.4000000000000008</v>
      </c>
      <c r="CM78" s="36">
        <f t="shared" si="178"/>
        <v>1.4000000000000008</v>
      </c>
      <c r="CN78" s="32">
        <f t="shared" si="122"/>
        <v>4.5839383642394385</v>
      </c>
      <c r="CO78" s="40">
        <f t="shared" si="179"/>
        <v>4.5839383642394385</v>
      </c>
      <c r="CP78" s="32"/>
      <c r="CQ78" s="32">
        <f t="shared" si="180"/>
        <v>1.4000000000000008</v>
      </c>
      <c r="CR78" s="36">
        <f t="shared" si="181"/>
        <v>1.4000000000000008</v>
      </c>
      <c r="CS78" s="32">
        <f t="shared" si="123"/>
        <v>4.5839383642394385</v>
      </c>
      <c r="CT78" s="40">
        <f t="shared" si="182"/>
        <v>4.5839383642394385</v>
      </c>
      <c r="CU78" s="32"/>
      <c r="CV78" s="32">
        <f t="shared" si="183"/>
        <v>1.4000000000000008</v>
      </c>
      <c r="CW78" s="32">
        <f t="shared" si="184"/>
        <v>1.4000000000000008</v>
      </c>
      <c r="CX78" s="32">
        <f t="shared" si="124"/>
        <v>4.5839383642394385</v>
      </c>
      <c r="CY78" s="40">
        <f t="shared" si="185"/>
        <v>4.5839383642394385</v>
      </c>
      <c r="CZ78" s="32"/>
      <c r="DA78" s="32">
        <f t="shared" si="186"/>
        <v>1.4000000000000008</v>
      </c>
      <c r="DB78" s="36">
        <f t="shared" si="187"/>
        <v>1.4000000000000008</v>
      </c>
      <c r="DC78" s="32">
        <f t="shared" si="125"/>
        <v>4.5839383642394385</v>
      </c>
      <c r="DD78" s="40">
        <f t="shared" si="188"/>
        <v>4.5839383642394385</v>
      </c>
      <c r="DE78" s="32"/>
      <c r="DF78" s="32">
        <f t="shared" si="189"/>
        <v>1.4000000000000008</v>
      </c>
      <c r="DG78" s="36">
        <f t="shared" si="190"/>
        <v>1.4000000000000008</v>
      </c>
      <c r="DH78" s="32">
        <f t="shared" si="126"/>
        <v>4.5839383642394385</v>
      </c>
      <c r="DI78" s="40">
        <f t="shared" si="191"/>
        <v>4.5839383642394385</v>
      </c>
      <c r="DJ78" s="32"/>
      <c r="DK78" s="32">
        <f t="shared" si="192"/>
        <v>1.4000000000000008</v>
      </c>
      <c r="DL78" s="32">
        <f t="shared" si="193"/>
        <v>1.4000000000000008</v>
      </c>
      <c r="DM78" s="32">
        <f t="shared" si="127"/>
        <v>4.5839383642394385</v>
      </c>
      <c r="DN78" s="40">
        <f t="shared" si="194"/>
        <v>4.5839383642394385</v>
      </c>
      <c r="DO78" s="32"/>
      <c r="DP78" s="32">
        <f t="shared" si="195"/>
        <v>1.4000000000000008</v>
      </c>
      <c r="DQ78" s="36">
        <f t="shared" si="196"/>
        <v>1.4000000000000008</v>
      </c>
      <c r="DR78" s="32">
        <f t="shared" si="128"/>
        <v>4.5839383642394385</v>
      </c>
      <c r="DS78" s="40">
        <f t="shared" si="197"/>
        <v>4.5839383642394385</v>
      </c>
      <c r="DT78" s="32"/>
      <c r="DU78" s="32">
        <f t="shared" si="198"/>
        <v>1.4000000000000008</v>
      </c>
      <c r="DV78" s="36">
        <f t="shared" si="199"/>
        <v>1.4000000000000008</v>
      </c>
      <c r="DW78" s="32">
        <f t="shared" si="129"/>
        <v>4.5839383642394385</v>
      </c>
      <c r="DX78" s="40">
        <f t="shared" si="200"/>
        <v>4.5839383642394385</v>
      </c>
      <c r="DY78" s="32"/>
      <c r="DZ78" s="32">
        <f t="shared" si="201"/>
        <v>1.4000000000000008</v>
      </c>
      <c r="EA78" s="32">
        <f t="shared" si="202"/>
        <v>1.4000000000000008</v>
      </c>
      <c r="EB78" s="32">
        <f t="shared" si="130"/>
        <v>4.5839383642394385</v>
      </c>
      <c r="EC78" s="40">
        <f t="shared" si="203"/>
        <v>4.5839383642394385</v>
      </c>
      <c r="ED78" s="32"/>
      <c r="EE78" s="32">
        <f t="shared" si="204"/>
        <v>1.4000000000000008</v>
      </c>
      <c r="EF78" s="36">
        <f t="shared" si="205"/>
        <v>1.4000000000000008</v>
      </c>
      <c r="EG78" s="32">
        <f t="shared" si="131"/>
        <v>4.5839383642394385</v>
      </c>
      <c r="EH78" s="40">
        <f t="shared" si="206"/>
        <v>4.5839383642394385</v>
      </c>
      <c r="EI78" s="32"/>
      <c r="EJ78" s="32">
        <f t="shared" si="207"/>
        <v>1.4000000000000008</v>
      </c>
      <c r="EK78" s="36">
        <f t="shared" si="208"/>
        <v>1.4000000000000008</v>
      </c>
      <c r="EL78" s="32">
        <f t="shared" si="132"/>
        <v>4.5839383642394385</v>
      </c>
      <c r="EM78" s="40">
        <f t="shared" si="209"/>
        <v>4.5839383642394385</v>
      </c>
      <c r="EN78" s="32"/>
      <c r="EO78" s="32">
        <f t="shared" si="210"/>
        <v>1.4000000000000008</v>
      </c>
      <c r="EP78" s="32">
        <f t="shared" si="211"/>
        <v>1.4000000000000008</v>
      </c>
      <c r="EQ78" s="32">
        <f t="shared" si="133"/>
        <v>4.5839383642394385</v>
      </c>
      <c r="ER78" s="40">
        <f t="shared" si="212"/>
        <v>4.5839383642394385</v>
      </c>
      <c r="ES78" s="32"/>
      <c r="ET78" s="32">
        <f t="shared" si="213"/>
        <v>1.4000000000000008</v>
      </c>
      <c r="EU78" s="36">
        <f t="shared" si="214"/>
        <v>1.4000000000000008</v>
      </c>
      <c r="EV78" s="32">
        <f t="shared" si="134"/>
        <v>4.5839383642394385</v>
      </c>
      <c r="EW78" s="40">
        <f t="shared" si="215"/>
        <v>4.5839383642394385</v>
      </c>
      <c r="EX78" s="32"/>
    </row>
    <row r="79" spans="20:154" s="3" customFormat="1" x14ac:dyDescent="0.25">
      <c r="T79" s="32">
        <f t="shared" si="135"/>
        <v>1.4200000000000008</v>
      </c>
      <c r="U79" s="36">
        <f t="shared" si="136"/>
        <v>1.4200000000000008</v>
      </c>
      <c r="V79" s="32">
        <f t="shared" si="108"/>
        <v>4.550413853318573</v>
      </c>
      <c r="W79" s="40">
        <f t="shared" si="137"/>
        <v>4.550413853318573</v>
      </c>
      <c r="X79" s="32"/>
      <c r="Y79" s="32">
        <f t="shared" si="138"/>
        <v>1.4200000000000008</v>
      </c>
      <c r="Z79" s="32">
        <f t="shared" si="139"/>
        <v>1.4200000000000008</v>
      </c>
      <c r="AA79" s="32">
        <f t="shared" si="109"/>
        <v>4.550413853318573</v>
      </c>
      <c r="AB79" s="40">
        <f t="shared" si="140"/>
        <v>4.550413853318573</v>
      </c>
      <c r="AC79" s="32"/>
      <c r="AD79" s="32">
        <f t="shared" si="141"/>
        <v>1.4200000000000008</v>
      </c>
      <c r="AE79" s="36">
        <f t="shared" si="142"/>
        <v>1.4200000000000008</v>
      </c>
      <c r="AF79" s="32">
        <f t="shared" si="110"/>
        <v>4.550413853318573</v>
      </c>
      <c r="AG79" s="40">
        <f t="shared" si="143"/>
        <v>4.550413853318573</v>
      </c>
      <c r="AH79" s="32"/>
      <c r="AI79" s="32">
        <f t="shared" si="144"/>
        <v>1.4200000000000008</v>
      </c>
      <c r="AJ79" s="36">
        <f t="shared" si="145"/>
        <v>1.4200000000000008</v>
      </c>
      <c r="AK79" s="32">
        <f t="shared" si="111"/>
        <v>4.550413853318573</v>
      </c>
      <c r="AL79" s="40">
        <f t="shared" si="146"/>
        <v>4.550413853318573</v>
      </c>
      <c r="AM79" s="32"/>
      <c r="AN79" s="32">
        <f t="shared" si="147"/>
        <v>1.4200000000000008</v>
      </c>
      <c r="AO79" s="32">
        <f t="shared" si="148"/>
        <v>1.4200000000000008</v>
      </c>
      <c r="AP79" s="32">
        <f t="shared" si="112"/>
        <v>4.550413853318573</v>
      </c>
      <c r="AQ79" s="40">
        <f t="shared" si="149"/>
        <v>4.550413853318573</v>
      </c>
      <c r="AR79" s="32"/>
      <c r="AS79" s="32">
        <f t="shared" si="150"/>
        <v>1.4200000000000008</v>
      </c>
      <c r="AT79" s="36">
        <f t="shared" si="151"/>
        <v>1.4200000000000008</v>
      </c>
      <c r="AU79" s="32">
        <f t="shared" si="113"/>
        <v>4.550413853318573</v>
      </c>
      <c r="AV79" s="40">
        <f t="shared" si="152"/>
        <v>4.550413853318573</v>
      </c>
      <c r="AW79" s="32"/>
      <c r="AX79" s="32">
        <f t="shared" si="153"/>
        <v>1.4200000000000008</v>
      </c>
      <c r="AY79" s="36">
        <f t="shared" si="154"/>
        <v>1.4200000000000008</v>
      </c>
      <c r="AZ79" s="32">
        <f t="shared" si="114"/>
        <v>4.550413853318573</v>
      </c>
      <c r="BA79" s="40">
        <f t="shared" si="155"/>
        <v>4.550413853318573</v>
      </c>
      <c r="BB79" s="32"/>
      <c r="BC79" s="32">
        <f t="shared" si="156"/>
        <v>1.4200000000000008</v>
      </c>
      <c r="BD79" s="32">
        <f t="shared" si="157"/>
        <v>1.4200000000000008</v>
      </c>
      <c r="BE79" s="32">
        <f t="shared" si="115"/>
        <v>4.550413853318573</v>
      </c>
      <c r="BF79" s="40">
        <f t="shared" si="158"/>
        <v>4.550413853318573</v>
      </c>
      <c r="BG79" s="32"/>
      <c r="BH79" s="32">
        <f t="shared" si="159"/>
        <v>1.4200000000000008</v>
      </c>
      <c r="BI79" s="36">
        <f t="shared" si="160"/>
        <v>1.4200000000000008</v>
      </c>
      <c r="BJ79" s="32">
        <f t="shared" si="116"/>
        <v>4.550413853318573</v>
      </c>
      <c r="BK79" s="40">
        <f t="shared" si="161"/>
        <v>4.550413853318573</v>
      </c>
      <c r="BL79" s="32"/>
      <c r="BM79" s="32">
        <f t="shared" si="162"/>
        <v>1.4200000000000008</v>
      </c>
      <c r="BN79" s="36">
        <f t="shared" si="163"/>
        <v>1.4200000000000008</v>
      </c>
      <c r="BO79" s="32">
        <f t="shared" si="117"/>
        <v>4.550413853318573</v>
      </c>
      <c r="BP79" s="40">
        <f t="shared" si="164"/>
        <v>4.550413853318573</v>
      </c>
      <c r="BQ79" s="32"/>
      <c r="BR79" s="32">
        <f t="shared" si="165"/>
        <v>1.4200000000000008</v>
      </c>
      <c r="BS79" s="32">
        <f t="shared" si="166"/>
        <v>1.4200000000000008</v>
      </c>
      <c r="BT79" s="32">
        <f t="shared" si="118"/>
        <v>4.550413853318573</v>
      </c>
      <c r="BU79" s="40">
        <f t="shared" si="167"/>
        <v>4.550413853318573</v>
      </c>
      <c r="BV79" s="32"/>
      <c r="BW79" s="32">
        <f t="shared" si="168"/>
        <v>1.4200000000000008</v>
      </c>
      <c r="BX79" s="36">
        <f t="shared" si="169"/>
        <v>1.4200000000000008</v>
      </c>
      <c r="BY79" s="32">
        <f t="shared" si="119"/>
        <v>4.550413853318573</v>
      </c>
      <c r="BZ79" s="40">
        <f t="shared" si="170"/>
        <v>4.550413853318573</v>
      </c>
      <c r="CA79" s="32"/>
      <c r="CB79" s="32">
        <f t="shared" si="171"/>
        <v>1.4200000000000008</v>
      </c>
      <c r="CC79" s="36">
        <f t="shared" si="172"/>
        <v>1.4200000000000008</v>
      </c>
      <c r="CD79" s="32">
        <f t="shared" si="120"/>
        <v>4.550413853318573</v>
      </c>
      <c r="CE79" s="40">
        <f t="shared" si="173"/>
        <v>4.550413853318573</v>
      </c>
      <c r="CF79" s="32"/>
      <c r="CG79" s="39">
        <f t="shared" si="174"/>
        <v>1.4200000000000008</v>
      </c>
      <c r="CH79" s="39">
        <f t="shared" si="175"/>
        <v>1.4200000000000008</v>
      </c>
      <c r="CI79" s="39">
        <f t="shared" si="121"/>
        <v>4.550413853318573</v>
      </c>
      <c r="CJ79" s="40">
        <f t="shared" si="176"/>
        <v>4.550413853318573</v>
      </c>
      <c r="CK79" s="39"/>
      <c r="CL79" s="32">
        <f t="shared" si="177"/>
        <v>1.4200000000000008</v>
      </c>
      <c r="CM79" s="36">
        <f t="shared" si="178"/>
        <v>1.4200000000000008</v>
      </c>
      <c r="CN79" s="32">
        <f t="shared" si="122"/>
        <v>4.550413853318573</v>
      </c>
      <c r="CO79" s="40">
        <f t="shared" si="179"/>
        <v>4.550413853318573</v>
      </c>
      <c r="CP79" s="32"/>
      <c r="CQ79" s="32">
        <f t="shared" si="180"/>
        <v>1.4200000000000008</v>
      </c>
      <c r="CR79" s="36">
        <f t="shared" si="181"/>
        <v>1.4200000000000008</v>
      </c>
      <c r="CS79" s="32">
        <f t="shared" si="123"/>
        <v>4.550413853318573</v>
      </c>
      <c r="CT79" s="40">
        <f t="shared" si="182"/>
        <v>4.550413853318573</v>
      </c>
      <c r="CU79" s="32"/>
      <c r="CV79" s="32">
        <f t="shared" si="183"/>
        <v>1.4200000000000008</v>
      </c>
      <c r="CW79" s="32">
        <f t="shared" si="184"/>
        <v>1.4200000000000008</v>
      </c>
      <c r="CX79" s="32">
        <f t="shared" si="124"/>
        <v>4.550413853318573</v>
      </c>
      <c r="CY79" s="40">
        <f t="shared" si="185"/>
        <v>4.550413853318573</v>
      </c>
      <c r="CZ79" s="32"/>
      <c r="DA79" s="32">
        <f t="shared" si="186"/>
        <v>1.4200000000000008</v>
      </c>
      <c r="DB79" s="36">
        <f t="shared" si="187"/>
        <v>1.4200000000000008</v>
      </c>
      <c r="DC79" s="32">
        <f t="shared" si="125"/>
        <v>4.550413853318573</v>
      </c>
      <c r="DD79" s="40">
        <f t="shared" si="188"/>
        <v>4.550413853318573</v>
      </c>
      <c r="DE79" s="32"/>
      <c r="DF79" s="32">
        <f t="shared" si="189"/>
        <v>1.4200000000000008</v>
      </c>
      <c r="DG79" s="36">
        <f t="shared" si="190"/>
        <v>1.4200000000000008</v>
      </c>
      <c r="DH79" s="32">
        <f t="shared" si="126"/>
        <v>4.550413853318573</v>
      </c>
      <c r="DI79" s="40">
        <f t="shared" si="191"/>
        <v>4.550413853318573</v>
      </c>
      <c r="DJ79" s="32"/>
      <c r="DK79" s="32">
        <f t="shared" si="192"/>
        <v>1.4200000000000008</v>
      </c>
      <c r="DL79" s="32">
        <f t="shared" si="193"/>
        <v>1.4200000000000008</v>
      </c>
      <c r="DM79" s="32">
        <f t="shared" si="127"/>
        <v>4.550413853318573</v>
      </c>
      <c r="DN79" s="40">
        <f t="shared" si="194"/>
        <v>4.550413853318573</v>
      </c>
      <c r="DO79" s="32"/>
      <c r="DP79" s="32">
        <f t="shared" si="195"/>
        <v>1.4200000000000008</v>
      </c>
      <c r="DQ79" s="36">
        <f t="shared" si="196"/>
        <v>1.4200000000000008</v>
      </c>
      <c r="DR79" s="32">
        <f t="shared" si="128"/>
        <v>4.550413853318573</v>
      </c>
      <c r="DS79" s="40">
        <f t="shared" si="197"/>
        <v>4.550413853318573</v>
      </c>
      <c r="DT79" s="32"/>
      <c r="DU79" s="32">
        <f t="shared" si="198"/>
        <v>1.4200000000000008</v>
      </c>
      <c r="DV79" s="36">
        <f t="shared" si="199"/>
        <v>1.4200000000000008</v>
      </c>
      <c r="DW79" s="32">
        <f t="shared" si="129"/>
        <v>4.550413853318573</v>
      </c>
      <c r="DX79" s="40">
        <f t="shared" si="200"/>
        <v>4.550413853318573</v>
      </c>
      <c r="DY79" s="32"/>
      <c r="DZ79" s="32">
        <f t="shared" si="201"/>
        <v>1.4200000000000008</v>
      </c>
      <c r="EA79" s="32">
        <f t="shared" si="202"/>
        <v>1.4200000000000008</v>
      </c>
      <c r="EB79" s="32">
        <f t="shared" si="130"/>
        <v>4.550413853318573</v>
      </c>
      <c r="EC79" s="40">
        <f t="shared" si="203"/>
        <v>4.550413853318573</v>
      </c>
      <c r="ED79" s="32"/>
      <c r="EE79" s="32">
        <f t="shared" si="204"/>
        <v>1.4200000000000008</v>
      </c>
      <c r="EF79" s="36">
        <f t="shared" si="205"/>
        <v>1.4200000000000008</v>
      </c>
      <c r="EG79" s="32">
        <f t="shared" si="131"/>
        <v>4.550413853318573</v>
      </c>
      <c r="EH79" s="40">
        <f t="shared" si="206"/>
        <v>4.550413853318573</v>
      </c>
      <c r="EI79" s="32"/>
      <c r="EJ79" s="32">
        <f t="shared" si="207"/>
        <v>1.4200000000000008</v>
      </c>
      <c r="EK79" s="36">
        <f t="shared" si="208"/>
        <v>1.4200000000000008</v>
      </c>
      <c r="EL79" s="32">
        <f t="shared" si="132"/>
        <v>4.550413853318573</v>
      </c>
      <c r="EM79" s="40">
        <f t="shared" si="209"/>
        <v>4.550413853318573</v>
      </c>
      <c r="EN79" s="32"/>
      <c r="EO79" s="32">
        <f t="shared" si="210"/>
        <v>1.4200000000000008</v>
      </c>
      <c r="EP79" s="32">
        <f t="shared" si="211"/>
        <v>1.4200000000000008</v>
      </c>
      <c r="EQ79" s="32">
        <f t="shared" si="133"/>
        <v>4.550413853318573</v>
      </c>
      <c r="ER79" s="40">
        <f t="shared" si="212"/>
        <v>4.550413853318573</v>
      </c>
      <c r="ES79" s="32"/>
      <c r="ET79" s="32">
        <f t="shared" si="213"/>
        <v>1.4200000000000008</v>
      </c>
      <c r="EU79" s="36">
        <f t="shared" si="214"/>
        <v>1.4200000000000008</v>
      </c>
      <c r="EV79" s="32">
        <f t="shared" si="134"/>
        <v>4.550413853318573</v>
      </c>
      <c r="EW79" s="40">
        <f t="shared" si="215"/>
        <v>4.550413853318573</v>
      </c>
      <c r="EX79" s="32"/>
    </row>
    <row r="80" spans="20:154" s="3" customFormat="1" x14ac:dyDescent="0.25">
      <c r="T80" s="32">
        <f t="shared" si="135"/>
        <v>1.4400000000000008</v>
      </c>
      <c r="U80" s="36">
        <f t="shared" si="136"/>
        <v>1.4400000000000008</v>
      </c>
      <c r="V80" s="32">
        <f t="shared" si="108"/>
        <v>4.5141808296698596</v>
      </c>
      <c r="W80" s="40">
        <f t="shared" si="137"/>
        <v>4.5141808296698596</v>
      </c>
      <c r="X80" s="32"/>
      <c r="Y80" s="32">
        <f t="shared" si="138"/>
        <v>1.4400000000000008</v>
      </c>
      <c r="Z80" s="32">
        <f t="shared" si="139"/>
        <v>1.4400000000000008</v>
      </c>
      <c r="AA80" s="32">
        <f t="shared" si="109"/>
        <v>4.5141808296698596</v>
      </c>
      <c r="AB80" s="40">
        <f t="shared" si="140"/>
        <v>4.5141808296698596</v>
      </c>
      <c r="AC80" s="32"/>
      <c r="AD80" s="32">
        <f t="shared" si="141"/>
        <v>1.4400000000000008</v>
      </c>
      <c r="AE80" s="36">
        <f t="shared" si="142"/>
        <v>1.4400000000000008</v>
      </c>
      <c r="AF80" s="32">
        <f t="shared" si="110"/>
        <v>4.5141808296698596</v>
      </c>
      <c r="AG80" s="40">
        <f t="shared" si="143"/>
        <v>4.5141808296698596</v>
      </c>
      <c r="AH80" s="32"/>
      <c r="AI80" s="32">
        <f t="shared" si="144"/>
        <v>1.4400000000000008</v>
      </c>
      <c r="AJ80" s="36">
        <f t="shared" si="145"/>
        <v>1.4400000000000008</v>
      </c>
      <c r="AK80" s="32">
        <f t="shared" si="111"/>
        <v>4.5141808296698596</v>
      </c>
      <c r="AL80" s="40">
        <f t="shared" si="146"/>
        <v>4.5141808296698596</v>
      </c>
      <c r="AM80" s="32"/>
      <c r="AN80" s="32">
        <f t="shared" si="147"/>
        <v>1.4400000000000008</v>
      </c>
      <c r="AO80" s="32">
        <f t="shared" si="148"/>
        <v>1.4400000000000008</v>
      </c>
      <c r="AP80" s="32">
        <f t="shared" si="112"/>
        <v>4.5141808296698596</v>
      </c>
      <c r="AQ80" s="40">
        <f t="shared" si="149"/>
        <v>4.5141808296698596</v>
      </c>
      <c r="AR80" s="32"/>
      <c r="AS80" s="32">
        <f t="shared" si="150"/>
        <v>1.4400000000000008</v>
      </c>
      <c r="AT80" s="36">
        <f t="shared" si="151"/>
        <v>1.4400000000000008</v>
      </c>
      <c r="AU80" s="32">
        <f t="shared" si="113"/>
        <v>4.5141808296698596</v>
      </c>
      <c r="AV80" s="40">
        <f t="shared" si="152"/>
        <v>4.5141808296698596</v>
      </c>
      <c r="AW80" s="32"/>
      <c r="AX80" s="32">
        <f t="shared" si="153"/>
        <v>1.4400000000000008</v>
      </c>
      <c r="AY80" s="36">
        <f t="shared" si="154"/>
        <v>1.4400000000000008</v>
      </c>
      <c r="AZ80" s="32">
        <f t="shared" si="114"/>
        <v>4.5141808296698596</v>
      </c>
      <c r="BA80" s="40">
        <f t="shared" si="155"/>
        <v>4.5141808296698596</v>
      </c>
      <c r="BB80" s="32"/>
      <c r="BC80" s="32">
        <f t="shared" si="156"/>
        <v>1.4400000000000008</v>
      </c>
      <c r="BD80" s="32">
        <f t="shared" si="157"/>
        <v>1.4400000000000008</v>
      </c>
      <c r="BE80" s="32">
        <f t="shared" si="115"/>
        <v>4.5141808296698596</v>
      </c>
      <c r="BF80" s="40">
        <f t="shared" si="158"/>
        <v>4.5141808296698596</v>
      </c>
      <c r="BG80" s="32"/>
      <c r="BH80" s="32">
        <f t="shared" si="159"/>
        <v>1.4400000000000008</v>
      </c>
      <c r="BI80" s="36">
        <f t="shared" si="160"/>
        <v>1.4400000000000008</v>
      </c>
      <c r="BJ80" s="32">
        <f t="shared" si="116"/>
        <v>4.5141808296698596</v>
      </c>
      <c r="BK80" s="40">
        <f t="shared" si="161"/>
        <v>4.5141808296698596</v>
      </c>
      <c r="BL80" s="32"/>
      <c r="BM80" s="32">
        <f t="shared" si="162"/>
        <v>1.4400000000000008</v>
      </c>
      <c r="BN80" s="36">
        <f t="shared" si="163"/>
        <v>1.4400000000000008</v>
      </c>
      <c r="BO80" s="32">
        <f t="shared" si="117"/>
        <v>4.5141808296698596</v>
      </c>
      <c r="BP80" s="40">
        <f t="shared" si="164"/>
        <v>4.5141808296698596</v>
      </c>
      <c r="BQ80" s="32"/>
      <c r="BR80" s="32">
        <f t="shared" si="165"/>
        <v>1.4400000000000008</v>
      </c>
      <c r="BS80" s="32">
        <f t="shared" si="166"/>
        <v>1.4400000000000008</v>
      </c>
      <c r="BT80" s="32">
        <f t="shared" si="118"/>
        <v>4.5141808296698596</v>
      </c>
      <c r="BU80" s="40">
        <f t="shared" si="167"/>
        <v>4.5141808296698596</v>
      </c>
      <c r="BV80" s="32"/>
      <c r="BW80" s="32">
        <f t="shared" si="168"/>
        <v>1.4400000000000008</v>
      </c>
      <c r="BX80" s="36">
        <f t="shared" si="169"/>
        <v>1.4400000000000008</v>
      </c>
      <c r="BY80" s="32">
        <f t="shared" si="119"/>
        <v>4.5141808296698596</v>
      </c>
      <c r="BZ80" s="40">
        <f t="shared" si="170"/>
        <v>4.5141808296698596</v>
      </c>
      <c r="CA80" s="32"/>
      <c r="CB80" s="32">
        <f t="shared" si="171"/>
        <v>1.4400000000000008</v>
      </c>
      <c r="CC80" s="36">
        <f t="shared" si="172"/>
        <v>1.4400000000000008</v>
      </c>
      <c r="CD80" s="32">
        <f t="shared" si="120"/>
        <v>4.5141808296698596</v>
      </c>
      <c r="CE80" s="40">
        <f t="shared" si="173"/>
        <v>4.5141808296698596</v>
      </c>
      <c r="CF80" s="32"/>
      <c r="CG80" s="39">
        <f t="shared" si="174"/>
        <v>1.4400000000000008</v>
      </c>
      <c r="CH80" s="39">
        <f t="shared" si="175"/>
        <v>1.4400000000000008</v>
      </c>
      <c r="CI80" s="39">
        <f t="shared" si="121"/>
        <v>4.5141808296698596</v>
      </c>
      <c r="CJ80" s="40">
        <f t="shared" si="176"/>
        <v>4.5141808296698596</v>
      </c>
      <c r="CK80" s="39"/>
      <c r="CL80" s="32">
        <f t="shared" si="177"/>
        <v>1.4400000000000008</v>
      </c>
      <c r="CM80" s="36">
        <f t="shared" si="178"/>
        <v>1.4400000000000008</v>
      </c>
      <c r="CN80" s="32">
        <f t="shared" si="122"/>
        <v>4.5141808296698596</v>
      </c>
      <c r="CO80" s="40">
        <f t="shared" si="179"/>
        <v>4.5141808296698596</v>
      </c>
      <c r="CP80" s="32"/>
      <c r="CQ80" s="32">
        <f t="shared" si="180"/>
        <v>1.4400000000000008</v>
      </c>
      <c r="CR80" s="36">
        <f t="shared" si="181"/>
        <v>1.4400000000000008</v>
      </c>
      <c r="CS80" s="32">
        <f t="shared" si="123"/>
        <v>4.5141808296698596</v>
      </c>
      <c r="CT80" s="40">
        <f t="shared" si="182"/>
        <v>4.5141808296698596</v>
      </c>
      <c r="CU80" s="32"/>
      <c r="CV80" s="32">
        <f t="shared" si="183"/>
        <v>1.4400000000000008</v>
      </c>
      <c r="CW80" s="32">
        <f t="shared" si="184"/>
        <v>1.4400000000000008</v>
      </c>
      <c r="CX80" s="32">
        <f t="shared" si="124"/>
        <v>4.5141808296698596</v>
      </c>
      <c r="CY80" s="40">
        <f t="shared" si="185"/>
        <v>4.5141808296698596</v>
      </c>
      <c r="CZ80" s="32"/>
      <c r="DA80" s="32">
        <f t="shared" si="186"/>
        <v>1.4400000000000008</v>
      </c>
      <c r="DB80" s="36">
        <f t="shared" si="187"/>
        <v>1.4400000000000008</v>
      </c>
      <c r="DC80" s="32">
        <f t="shared" si="125"/>
        <v>4.5141808296698596</v>
      </c>
      <c r="DD80" s="40">
        <f t="shared" si="188"/>
        <v>4.5141808296698596</v>
      </c>
      <c r="DE80" s="32"/>
      <c r="DF80" s="32">
        <f t="shared" si="189"/>
        <v>1.4400000000000008</v>
      </c>
      <c r="DG80" s="36">
        <f t="shared" si="190"/>
        <v>1.4400000000000008</v>
      </c>
      <c r="DH80" s="32">
        <f t="shared" si="126"/>
        <v>4.5141808296698596</v>
      </c>
      <c r="DI80" s="40">
        <f t="shared" si="191"/>
        <v>4.5141808296698596</v>
      </c>
      <c r="DJ80" s="32"/>
      <c r="DK80" s="32">
        <f t="shared" si="192"/>
        <v>1.4400000000000008</v>
      </c>
      <c r="DL80" s="32">
        <f t="shared" si="193"/>
        <v>1.4400000000000008</v>
      </c>
      <c r="DM80" s="32">
        <f t="shared" si="127"/>
        <v>4.5141808296698596</v>
      </c>
      <c r="DN80" s="40">
        <f t="shared" si="194"/>
        <v>4.5141808296698596</v>
      </c>
      <c r="DO80" s="32"/>
      <c r="DP80" s="32">
        <f t="shared" si="195"/>
        <v>1.4400000000000008</v>
      </c>
      <c r="DQ80" s="36">
        <f t="shared" si="196"/>
        <v>1.4400000000000008</v>
      </c>
      <c r="DR80" s="32">
        <f t="shared" si="128"/>
        <v>4.5141808296698596</v>
      </c>
      <c r="DS80" s="40">
        <f t="shared" si="197"/>
        <v>4.5141808296698596</v>
      </c>
      <c r="DT80" s="32"/>
      <c r="DU80" s="32">
        <f t="shared" si="198"/>
        <v>1.4400000000000008</v>
      </c>
      <c r="DV80" s="36">
        <f t="shared" si="199"/>
        <v>1.4400000000000008</v>
      </c>
      <c r="DW80" s="32">
        <f t="shared" si="129"/>
        <v>4.5141808296698596</v>
      </c>
      <c r="DX80" s="40">
        <f t="shared" si="200"/>
        <v>4.5141808296698596</v>
      </c>
      <c r="DY80" s="32"/>
      <c r="DZ80" s="32">
        <f t="shared" si="201"/>
        <v>1.4400000000000008</v>
      </c>
      <c r="EA80" s="32">
        <f t="shared" si="202"/>
        <v>1.4400000000000008</v>
      </c>
      <c r="EB80" s="32">
        <f t="shared" si="130"/>
        <v>4.5141808296698596</v>
      </c>
      <c r="EC80" s="40">
        <f t="shared" si="203"/>
        <v>4.5141808296698596</v>
      </c>
      <c r="ED80" s="32"/>
      <c r="EE80" s="32">
        <f t="shared" si="204"/>
        <v>1.4400000000000008</v>
      </c>
      <c r="EF80" s="36">
        <f t="shared" si="205"/>
        <v>1.4400000000000008</v>
      </c>
      <c r="EG80" s="32">
        <f t="shared" si="131"/>
        <v>4.5141808296698596</v>
      </c>
      <c r="EH80" s="40">
        <f t="shared" si="206"/>
        <v>4.5141808296698596</v>
      </c>
      <c r="EI80" s="32"/>
      <c r="EJ80" s="32">
        <f t="shared" si="207"/>
        <v>1.4400000000000008</v>
      </c>
      <c r="EK80" s="36">
        <f t="shared" si="208"/>
        <v>1.4400000000000008</v>
      </c>
      <c r="EL80" s="32">
        <f t="shared" si="132"/>
        <v>4.5141808296698596</v>
      </c>
      <c r="EM80" s="40">
        <f t="shared" si="209"/>
        <v>4.5141808296698596</v>
      </c>
      <c r="EN80" s="32"/>
      <c r="EO80" s="32">
        <f t="shared" si="210"/>
        <v>1.4400000000000008</v>
      </c>
      <c r="EP80" s="32">
        <f t="shared" si="211"/>
        <v>1.4400000000000008</v>
      </c>
      <c r="EQ80" s="32">
        <f t="shared" si="133"/>
        <v>4.5141808296698596</v>
      </c>
      <c r="ER80" s="40">
        <f t="shared" si="212"/>
        <v>4.5141808296698596</v>
      </c>
      <c r="ES80" s="32"/>
      <c r="ET80" s="32">
        <f t="shared" si="213"/>
        <v>1.4400000000000008</v>
      </c>
      <c r="EU80" s="36">
        <f t="shared" si="214"/>
        <v>1.4400000000000008</v>
      </c>
      <c r="EV80" s="32">
        <f t="shared" si="134"/>
        <v>4.5141808296698596</v>
      </c>
      <c r="EW80" s="40">
        <f t="shared" si="215"/>
        <v>4.5141808296698596</v>
      </c>
      <c r="EX80" s="32"/>
    </row>
    <row r="81" spans="20:154" s="3" customFormat="1" x14ac:dyDescent="0.25">
      <c r="T81" s="32">
        <f t="shared" si="135"/>
        <v>1.4600000000000009</v>
      </c>
      <c r="U81" s="36">
        <f t="shared" si="136"/>
        <v>1.4600000000000009</v>
      </c>
      <c r="V81" s="32">
        <f t="shared" si="108"/>
        <v>4.4752392932933001</v>
      </c>
      <c r="W81" s="40">
        <f t="shared" si="137"/>
        <v>4.4752392932933001</v>
      </c>
      <c r="X81" s="32"/>
      <c r="Y81" s="32">
        <f t="shared" si="138"/>
        <v>1.4600000000000009</v>
      </c>
      <c r="Z81" s="32">
        <f t="shared" si="139"/>
        <v>1.4600000000000009</v>
      </c>
      <c r="AA81" s="32">
        <f t="shared" si="109"/>
        <v>4.4752392932933001</v>
      </c>
      <c r="AB81" s="40">
        <f t="shared" si="140"/>
        <v>4.4752392932933001</v>
      </c>
      <c r="AC81" s="32"/>
      <c r="AD81" s="32">
        <f t="shared" si="141"/>
        <v>1.4600000000000009</v>
      </c>
      <c r="AE81" s="36">
        <f t="shared" si="142"/>
        <v>1.4600000000000009</v>
      </c>
      <c r="AF81" s="32">
        <f t="shared" si="110"/>
        <v>4.4752392932933001</v>
      </c>
      <c r="AG81" s="40">
        <f t="shared" si="143"/>
        <v>4.4752392932933001</v>
      </c>
      <c r="AH81" s="32"/>
      <c r="AI81" s="32">
        <f t="shared" si="144"/>
        <v>1.4600000000000009</v>
      </c>
      <c r="AJ81" s="36">
        <f t="shared" si="145"/>
        <v>1.4600000000000009</v>
      </c>
      <c r="AK81" s="32">
        <f t="shared" si="111"/>
        <v>4.4752392932933001</v>
      </c>
      <c r="AL81" s="40">
        <f t="shared" si="146"/>
        <v>4.4752392932933001</v>
      </c>
      <c r="AM81" s="32"/>
      <c r="AN81" s="32">
        <f t="shared" si="147"/>
        <v>1.4600000000000009</v>
      </c>
      <c r="AO81" s="32">
        <f t="shared" si="148"/>
        <v>1.4600000000000009</v>
      </c>
      <c r="AP81" s="32">
        <f t="shared" si="112"/>
        <v>4.4752392932933001</v>
      </c>
      <c r="AQ81" s="40">
        <f t="shared" si="149"/>
        <v>4.4752392932933001</v>
      </c>
      <c r="AR81" s="32"/>
      <c r="AS81" s="32">
        <f t="shared" si="150"/>
        <v>1.4600000000000009</v>
      </c>
      <c r="AT81" s="36">
        <f t="shared" si="151"/>
        <v>1.4600000000000009</v>
      </c>
      <c r="AU81" s="32">
        <f t="shared" si="113"/>
        <v>4.4752392932933001</v>
      </c>
      <c r="AV81" s="40">
        <f t="shared" si="152"/>
        <v>4.4752392932933001</v>
      </c>
      <c r="AW81" s="32"/>
      <c r="AX81" s="32">
        <f t="shared" si="153"/>
        <v>1.4600000000000009</v>
      </c>
      <c r="AY81" s="36">
        <f t="shared" si="154"/>
        <v>1.4600000000000009</v>
      </c>
      <c r="AZ81" s="32">
        <f t="shared" si="114"/>
        <v>4.4752392932933001</v>
      </c>
      <c r="BA81" s="40">
        <f t="shared" si="155"/>
        <v>4.4752392932933001</v>
      </c>
      <c r="BB81" s="32"/>
      <c r="BC81" s="32">
        <f t="shared" si="156"/>
        <v>1.4600000000000009</v>
      </c>
      <c r="BD81" s="32">
        <f t="shared" si="157"/>
        <v>1.4600000000000009</v>
      </c>
      <c r="BE81" s="32">
        <f t="shared" si="115"/>
        <v>4.4752392932933001</v>
      </c>
      <c r="BF81" s="40">
        <f t="shared" si="158"/>
        <v>4.4752392932933001</v>
      </c>
      <c r="BG81" s="32"/>
      <c r="BH81" s="32">
        <f t="shared" si="159"/>
        <v>1.4600000000000009</v>
      </c>
      <c r="BI81" s="36">
        <f t="shared" si="160"/>
        <v>1.4600000000000009</v>
      </c>
      <c r="BJ81" s="32">
        <f t="shared" si="116"/>
        <v>4.4752392932933001</v>
      </c>
      <c r="BK81" s="40">
        <f t="shared" si="161"/>
        <v>4.4752392932933001</v>
      </c>
      <c r="BL81" s="32"/>
      <c r="BM81" s="32">
        <f t="shared" si="162"/>
        <v>1.4600000000000009</v>
      </c>
      <c r="BN81" s="36">
        <f t="shared" si="163"/>
        <v>1.4600000000000009</v>
      </c>
      <c r="BO81" s="32">
        <f t="shared" si="117"/>
        <v>4.4752392932933001</v>
      </c>
      <c r="BP81" s="40">
        <f t="shared" si="164"/>
        <v>4.4752392932933001</v>
      </c>
      <c r="BQ81" s="32"/>
      <c r="BR81" s="32">
        <f t="shared" si="165"/>
        <v>1.4600000000000009</v>
      </c>
      <c r="BS81" s="32">
        <f t="shared" si="166"/>
        <v>1.4600000000000009</v>
      </c>
      <c r="BT81" s="32">
        <f t="shared" si="118"/>
        <v>4.4752392932933001</v>
      </c>
      <c r="BU81" s="40">
        <f t="shared" si="167"/>
        <v>4.4752392932933001</v>
      </c>
      <c r="BV81" s="32"/>
      <c r="BW81" s="32">
        <f t="shared" si="168"/>
        <v>1.4600000000000009</v>
      </c>
      <c r="BX81" s="36">
        <f t="shared" si="169"/>
        <v>1.4600000000000009</v>
      </c>
      <c r="BY81" s="32">
        <f t="shared" si="119"/>
        <v>4.4752392932933001</v>
      </c>
      <c r="BZ81" s="40">
        <f t="shared" si="170"/>
        <v>4.4752392932933001</v>
      </c>
      <c r="CA81" s="32"/>
      <c r="CB81" s="32">
        <f t="shared" si="171"/>
        <v>1.4600000000000009</v>
      </c>
      <c r="CC81" s="36">
        <f t="shared" si="172"/>
        <v>1.4600000000000009</v>
      </c>
      <c r="CD81" s="32">
        <f t="shared" si="120"/>
        <v>4.4752392932933001</v>
      </c>
      <c r="CE81" s="40">
        <f t="shared" si="173"/>
        <v>4.4752392932933001</v>
      </c>
      <c r="CF81" s="32"/>
      <c r="CG81" s="39">
        <f t="shared" si="174"/>
        <v>1.4600000000000009</v>
      </c>
      <c r="CH81" s="39">
        <f t="shared" si="175"/>
        <v>1.4600000000000009</v>
      </c>
      <c r="CI81" s="39">
        <f t="shared" si="121"/>
        <v>4.4752392932933001</v>
      </c>
      <c r="CJ81" s="40">
        <f t="shared" si="176"/>
        <v>4.4752392932933001</v>
      </c>
      <c r="CK81" s="39"/>
      <c r="CL81" s="32">
        <f t="shared" si="177"/>
        <v>1.4600000000000009</v>
      </c>
      <c r="CM81" s="36">
        <f t="shared" si="178"/>
        <v>1.4600000000000009</v>
      </c>
      <c r="CN81" s="32">
        <f t="shared" si="122"/>
        <v>4.4752392932933001</v>
      </c>
      <c r="CO81" s="40">
        <f t="shared" si="179"/>
        <v>4.4752392932933001</v>
      </c>
      <c r="CP81" s="32"/>
      <c r="CQ81" s="32">
        <f t="shared" si="180"/>
        <v>1.4600000000000009</v>
      </c>
      <c r="CR81" s="36">
        <f t="shared" si="181"/>
        <v>1.4600000000000009</v>
      </c>
      <c r="CS81" s="32">
        <f t="shared" si="123"/>
        <v>4.4752392932933001</v>
      </c>
      <c r="CT81" s="40">
        <f t="shared" si="182"/>
        <v>4.4752392932933001</v>
      </c>
      <c r="CU81" s="32"/>
      <c r="CV81" s="32">
        <f t="shared" si="183"/>
        <v>1.4600000000000009</v>
      </c>
      <c r="CW81" s="32">
        <f t="shared" si="184"/>
        <v>1.4600000000000009</v>
      </c>
      <c r="CX81" s="32">
        <f t="shared" si="124"/>
        <v>4.4752392932933001</v>
      </c>
      <c r="CY81" s="40">
        <f t="shared" si="185"/>
        <v>4.4752392932933001</v>
      </c>
      <c r="CZ81" s="32"/>
      <c r="DA81" s="32">
        <f t="shared" si="186"/>
        <v>1.4600000000000009</v>
      </c>
      <c r="DB81" s="36">
        <f t="shared" si="187"/>
        <v>1.4600000000000009</v>
      </c>
      <c r="DC81" s="32">
        <f t="shared" si="125"/>
        <v>4.4752392932933001</v>
      </c>
      <c r="DD81" s="40">
        <f t="shared" si="188"/>
        <v>4.4752392932933001</v>
      </c>
      <c r="DE81" s="32"/>
      <c r="DF81" s="32">
        <f t="shared" si="189"/>
        <v>1.4600000000000009</v>
      </c>
      <c r="DG81" s="36">
        <f t="shared" si="190"/>
        <v>1.4600000000000009</v>
      </c>
      <c r="DH81" s="32">
        <f t="shared" si="126"/>
        <v>4.4752392932933001</v>
      </c>
      <c r="DI81" s="40">
        <f t="shared" si="191"/>
        <v>4.4752392932933001</v>
      </c>
      <c r="DJ81" s="32"/>
      <c r="DK81" s="32">
        <f t="shared" si="192"/>
        <v>1.4600000000000009</v>
      </c>
      <c r="DL81" s="32">
        <f t="shared" si="193"/>
        <v>1.4600000000000009</v>
      </c>
      <c r="DM81" s="32">
        <f t="shared" si="127"/>
        <v>4.4752392932933001</v>
      </c>
      <c r="DN81" s="40">
        <f t="shared" si="194"/>
        <v>4.4752392932933001</v>
      </c>
      <c r="DO81" s="32"/>
      <c r="DP81" s="32">
        <f t="shared" si="195"/>
        <v>1.4600000000000009</v>
      </c>
      <c r="DQ81" s="36">
        <f t="shared" si="196"/>
        <v>1.4600000000000009</v>
      </c>
      <c r="DR81" s="32">
        <f t="shared" si="128"/>
        <v>4.4752392932933001</v>
      </c>
      <c r="DS81" s="40">
        <f t="shared" si="197"/>
        <v>4.4752392932933001</v>
      </c>
      <c r="DT81" s="32"/>
      <c r="DU81" s="32">
        <f t="shared" si="198"/>
        <v>1.4600000000000009</v>
      </c>
      <c r="DV81" s="36">
        <f t="shared" si="199"/>
        <v>1.4600000000000009</v>
      </c>
      <c r="DW81" s="32">
        <f t="shared" si="129"/>
        <v>4.4752392932933001</v>
      </c>
      <c r="DX81" s="40">
        <f t="shared" si="200"/>
        <v>4.4752392932933001</v>
      </c>
      <c r="DY81" s="32"/>
      <c r="DZ81" s="32">
        <f t="shared" si="201"/>
        <v>1.4600000000000009</v>
      </c>
      <c r="EA81" s="32">
        <f t="shared" si="202"/>
        <v>1.4600000000000009</v>
      </c>
      <c r="EB81" s="32">
        <f t="shared" si="130"/>
        <v>4.4752392932933001</v>
      </c>
      <c r="EC81" s="40">
        <f t="shared" si="203"/>
        <v>4.4752392932933001</v>
      </c>
      <c r="ED81" s="32"/>
      <c r="EE81" s="32">
        <f t="shared" si="204"/>
        <v>1.4600000000000009</v>
      </c>
      <c r="EF81" s="36">
        <f t="shared" si="205"/>
        <v>1.4600000000000009</v>
      </c>
      <c r="EG81" s="32">
        <f t="shared" si="131"/>
        <v>4.4752392932933001</v>
      </c>
      <c r="EH81" s="40">
        <f t="shared" si="206"/>
        <v>4.4752392932933001</v>
      </c>
      <c r="EI81" s="32"/>
      <c r="EJ81" s="32">
        <f t="shared" si="207"/>
        <v>1.4600000000000009</v>
      </c>
      <c r="EK81" s="36">
        <f t="shared" si="208"/>
        <v>1.4600000000000009</v>
      </c>
      <c r="EL81" s="32">
        <f t="shared" si="132"/>
        <v>4.4752392932933001</v>
      </c>
      <c r="EM81" s="40">
        <f t="shared" si="209"/>
        <v>4.4752392932933001</v>
      </c>
      <c r="EN81" s="32"/>
      <c r="EO81" s="32">
        <f t="shared" si="210"/>
        <v>1.4600000000000009</v>
      </c>
      <c r="EP81" s="32">
        <f t="shared" si="211"/>
        <v>1.4600000000000009</v>
      </c>
      <c r="EQ81" s="32">
        <f t="shared" si="133"/>
        <v>4.4752392932933001</v>
      </c>
      <c r="ER81" s="40">
        <f t="shared" si="212"/>
        <v>4.4752392932933001</v>
      </c>
      <c r="ES81" s="32"/>
      <c r="ET81" s="32">
        <f t="shared" si="213"/>
        <v>1.4600000000000009</v>
      </c>
      <c r="EU81" s="36">
        <f t="shared" si="214"/>
        <v>1.4600000000000009</v>
      </c>
      <c r="EV81" s="32">
        <f t="shared" si="134"/>
        <v>4.4752392932933001</v>
      </c>
      <c r="EW81" s="40">
        <f t="shared" si="215"/>
        <v>4.4752392932933001</v>
      </c>
      <c r="EX81" s="32"/>
    </row>
    <row r="82" spans="20:154" s="3" customFormat="1" x14ac:dyDescent="0.25">
      <c r="T82" s="32">
        <f t="shared" si="135"/>
        <v>1.4800000000000009</v>
      </c>
      <c r="U82" s="36">
        <f t="shared" si="136"/>
        <v>1.4800000000000009</v>
      </c>
      <c r="V82" s="32">
        <f t="shared" si="108"/>
        <v>4.4335892441888944</v>
      </c>
      <c r="W82" s="40">
        <f t="shared" si="137"/>
        <v>4.4335892441888944</v>
      </c>
      <c r="X82" s="32"/>
      <c r="Y82" s="32">
        <f t="shared" si="138"/>
        <v>1.4800000000000009</v>
      </c>
      <c r="Z82" s="32">
        <f t="shared" si="139"/>
        <v>1.4800000000000009</v>
      </c>
      <c r="AA82" s="32">
        <f t="shared" si="109"/>
        <v>4.4335892441888944</v>
      </c>
      <c r="AB82" s="40">
        <f t="shared" si="140"/>
        <v>4.4335892441888944</v>
      </c>
      <c r="AC82" s="32"/>
      <c r="AD82" s="32">
        <f t="shared" si="141"/>
        <v>1.4800000000000009</v>
      </c>
      <c r="AE82" s="36">
        <f t="shared" si="142"/>
        <v>1.4800000000000009</v>
      </c>
      <c r="AF82" s="32">
        <f t="shared" si="110"/>
        <v>4.4335892441888944</v>
      </c>
      <c r="AG82" s="40">
        <f t="shared" si="143"/>
        <v>4.4335892441888944</v>
      </c>
      <c r="AH82" s="32"/>
      <c r="AI82" s="32">
        <f t="shared" si="144"/>
        <v>1.4800000000000009</v>
      </c>
      <c r="AJ82" s="36">
        <f t="shared" si="145"/>
        <v>1.4800000000000009</v>
      </c>
      <c r="AK82" s="32">
        <f t="shared" si="111"/>
        <v>4.4335892441888944</v>
      </c>
      <c r="AL82" s="40">
        <f t="shared" si="146"/>
        <v>4.4335892441888944</v>
      </c>
      <c r="AM82" s="32"/>
      <c r="AN82" s="32">
        <f t="shared" si="147"/>
        <v>1.4800000000000009</v>
      </c>
      <c r="AO82" s="32">
        <f t="shared" si="148"/>
        <v>1.4800000000000009</v>
      </c>
      <c r="AP82" s="32">
        <f t="shared" si="112"/>
        <v>4.4335892441888944</v>
      </c>
      <c r="AQ82" s="40">
        <f t="shared" si="149"/>
        <v>4.4335892441888944</v>
      </c>
      <c r="AR82" s="32"/>
      <c r="AS82" s="32">
        <f t="shared" si="150"/>
        <v>1.4800000000000009</v>
      </c>
      <c r="AT82" s="36">
        <f t="shared" si="151"/>
        <v>1.4800000000000009</v>
      </c>
      <c r="AU82" s="32">
        <f t="shared" si="113"/>
        <v>4.4335892441888944</v>
      </c>
      <c r="AV82" s="40">
        <f t="shared" si="152"/>
        <v>4.4335892441888944</v>
      </c>
      <c r="AW82" s="32"/>
      <c r="AX82" s="32">
        <f t="shared" si="153"/>
        <v>1.4800000000000009</v>
      </c>
      <c r="AY82" s="36">
        <f t="shared" si="154"/>
        <v>1.4800000000000009</v>
      </c>
      <c r="AZ82" s="32">
        <f t="shared" si="114"/>
        <v>4.4335892441888944</v>
      </c>
      <c r="BA82" s="40">
        <f t="shared" si="155"/>
        <v>4.4335892441888944</v>
      </c>
      <c r="BB82" s="32"/>
      <c r="BC82" s="32">
        <f t="shared" si="156"/>
        <v>1.4800000000000009</v>
      </c>
      <c r="BD82" s="32">
        <f t="shared" si="157"/>
        <v>1.4800000000000009</v>
      </c>
      <c r="BE82" s="32">
        <f t="shared" si="115"/>
        <v>4.4335892441888944</v>
      </c>
      <c r="BF82" s="40">
        <f t="shared" si="158"/>
        <v>4.4335892441888944</v>
      </c>
      <c r="BG82" s="32"/>
      <c r="BH82" s="32">
        <f t="shared" si="159"/>
        <v>1.4800000000000009</v>
      </c>
      <c r="BI82" s="36">
        <f t="shared" si="160"/>
        <v>1.4800000000000009</v>
      </c>
      <c r="BJ82" s="32">
        <f t="shared" si="116"/>
        <v>4.4335892441888944</v>
      </c>
      <c r="BK82" s="40">
        <f t="shared" si="161"/>
        <v>4.4335892441888944</v>
      </c>
      <c r="BL82" s="32"/>
      <c r="BM82" s="32">
        <f t="shared" si="162"/>
        <v>1.4800000000000009</v>
      </c>
      <c r="BN82" s="36">
        <f t="shared" si="163"/>
        <v>1.4800000000000009</v>
      </c>
      <c r="BO82" s="32">
        <f t="shared" si="117"/>
        <v>4.4335892441888944</v>
      </c>
      <c r="BP82" s="40">
        <f t="shared" si="164"/>
        <v>4.4335892441888944</v>
      </c>
      <c r="BQ82" s="32"/>
      <c r="BR82" s="32">
        <f t="shared" si="165"/>
        <v>1.4800000000000009</v>
      </c>
      <c r="BS82" s="32">
        <f t="shared" si="166"/>
        <v>1.4800000000000009</v>
      </c>
      <c r="BT82" s="32">
        <f t="shared" si="118"/>
        <v>4.4335892441888944</v>
      </c>
      <c r="BU82" s="40">
        <f t="shared" si="167"/>
        <v>4.4335892441888944</v>
      </c>
      <c r="BV82" s="32"/>
      <c r="BW82" s="32">
        <f t="shared" si="168"/>
        <v>1.4800000000000009</v>
      </c>
      <c r="BX82" s="36">
        <f t="shared" si="169"/>
        <v>1.4800000000000009</v>
      </c>
      <c r="BY82" s="32">
        <f t="shared" si="119"/>
        <v>4.4335892441888944</v>
      </c>
      <c r="BZ82" s="40">
        <f t="shared" si="170"/>
        <v>4.4335892441888944</v>
      </c>
      <c r="CA82" s="32"/>
      <c r="CB82" s="32">
        <f t="shared" si="171"/>
        <v>1.4800000000000009</v>
      </c>
      <c r="CC82" s="36">
        <f t="shared" si="172"/>
        <v>1.4800000000000009</v>
      </c>
      <c r="CD82" s="32">
        <f t="shared" si="120"/>
        <v>4.4335892441888944</v>
      </c>
      <c r="CE82" s="40">
        <f t="shared" si="173"/>
        <v>4.4335892441888944</v>
      </c>
      <c r="CF82" s="32"/>
      <c r="CG82" s="39">
        <f t="shared" si="174"/>
        <v>1.4800000000000009</v>
      </c>
      <c r="CH82" s="39">
        <f t="shared" si="175"/>
        <v>1.4800000000000009</v>
      </c>
      <c r="CI82" s="39">
        <f t="shared" si="121"/>
        <v>4.4335892441888944</v>
      </c>
      <c r="CJ82" s="40">
        <f t="shared" si="176"/>
        <v>4.4335892441888944</v>
      </c>
      <c r="CK82" s="39"/>
      <c r="CL82" s="32">
        <f t="shared" si="177"/>
        <v>1.4800000000000009</v>
      </c>
      <c r="CM82" s="36">
        <f t="shared" si="178"/>
        <v>1.4800000000000009</v>
      </c>
      <c r="CN82" s="32">
        <f t="shared" si="122"/>
        <v>4.4335892441888944</v>
      </c>
      <c r="CO82" s="40">
        <f t="shared" si="179"/>
        <v>4.4335892441888944</v>
      </c>
      <c r="CP82" s="32"/>
      <c r="CQ82" s="32">
        <f t="shared" si="180"/>
        <v>1.4800000000000009</v>
      </c>
      <c r="CR82" s="36">
        <f t="shared" si="181"/>
        <v>1.4800000000000009</v>
      </c>
      <c r="CS82" s="32">
        <f t="shared" si="123"/>
        <v>4.4335892441888944</v>
      </c>
      <c r="CT82" s="40">
        <f t="shared" si="182"/>
        <v>4.4335892441888944</v>
      </c>
      <c r="CU82" s="32"/>
      <c r="CV82" s="32">
        <f t="shared" si="183"/>
        <v>1.4800000000000009</v>
      </c>
      <c r="CW82" s="32">
        <f t="shared" si="184"/>
        <v>1.4800000000000009</v>
      </c>
      <c r="CX82" s="32">
        <f t="shared" si="124"/>
        <v>4.4335892441888944</v>
      </c>
      <c r="CY82" s="40">
        <f t="shared" si="185"/>
        <v>4.4335892441888944</v>
      </c>
      <c r="CZ82" s="32"/>
      <c r="DA82" s="32">
        <f t="shared" si="186"/>
        <v>1.4800000000000009</v>
      </c>
      <c r="DB82" s="36">
        <f t="shared" si="187"/>
        <v>1.4800000000000009</v>
      </c>
      <c r="DC82" s="32">
        <f t="shared" si="125"/>
        <v>4.4335892441888944</v>
      </c>
      <c r="DD82" s="40">
        <f t="shared" si="188"/>
        <v>4.4335892441888944</v>
      </c>
      <c r="DE82" s="32"/>
      <c r="DF82" s="32">
        <f t="shared" si="189"/>
        <v>1.4800000000000009</v>
      </c>
      <c r="DG82" s="36">
        <f t="shared" si="190"/>
        <v>1.4800000000000009</v>
      </c>
      <c r="DH82" s="32">
        <f t="shared" si="126"/>
        <v>4.4335892441888944</v>
      </c>
      <c r="DI82" s="40">
        <f t="shared" si="191"/>
        <v>4.4335892441888944</v>
      </c>
      <c r="DJ82" s="32"/>
      <c r="DK82" s="32">
        <f t="shared" si="192"/>
        <v>1.4800000000000009</v>
      </c>
      <c r="DL82" s="32">
        <f t="shared" si="193"/>
        <v>1.4800000000000009</v>
      </c>
      <c r="DM82" s="32">
        <f t="shared" si="127"/>
        <v>4.4335892441888944</v>
      </c>
      <c r="DN82" s="40">
        <f t="shared" si="194"/>
        <v>4.4335892441888944</v>
      </c>
      <c r="DO82" s="32"/>
      <c r="DP82" s="32">
        <f t="shared" si="195"/>
        <v>1.4800000000000009</v>
      </c>
      <c r="DQ82" s="36">
        <f t="shared" si="196"/>
        <v>1.4800000000000009</v>
      </c>
      <c r="DR82" s="32">
        <f t="shared" si="128"/>
        <v>4.4335892441888944</v>
      </c>
      <c r="DS82" s="40">
        <f t="shared" si="197"/>
        <v>4.4335892441888944</v>
      </c>
      <c r="DT82" s="32"/>
      <c r="DU82" s="32">
        <f t="shared" si="198"/>
        <v>1.4800000000000009</v>
      </c>
      <c r="DV82" s="36">
        <f t="shared" si="199"/>
        <v>1.4800000000000009</v>
      </c>
      <c r="DW82" s="32">
        <f t="shared" si="129"/>
        <v>4.4335892441888944</v>
      </c>
      <c r="DX82" s="40">
        <f t="shared" si="200"/>
        <v>4.4335892441888944</v>
      </c>
      <c r="DY82" s="32"/>
      <c r="DZ82" s="32">
        <f t="shared" si="201"/>
        <v>1.4800000000000009</v>
      </c>
      <c r="EA82" s="32">
        <f t="shared" si="202"/>
        <v>1.4800000000000009</v>
      </c>
      <c r="EB82" s="32">
        <f t="shared" si="130"/>
        <v>4.4335892441888944</v>
      </c>
      <c r="EC82" s="40">
        <f t="shared" si="203"/>
        <v>4.4335892441888944</v>
      </c>
      <c r="ED82" s="32"/>
      <c r="EE82" s="32">
        <f t="shared" si="204"/>
        <v>1.4800000000000009</v>
      </c>
      <c r="EF82" s="36">
        <f t="shared" si="205"/>
        <v>1.4800000000000009</v>
      </c>
      <c r="EG82" s="32">
        <f t="shared" si="131"/>
        <v>4.4335892441888944</v>
      </c>
      <c r="EH82" s="40">
        <f t="shared" si="206"/>
        <v>4.4335892441888944</v>
      </c>
      <c r="EI82" s="32"/>
      <c r="EJ82" s="32">
        <f t="shared" si="207"/>
        <v>1.4800000000000009</v>
      </c>
      <c r="EK82" s="36">
        <f t="shared" si="208"/>
        <v>1.4800000000000009</v>
      </c>
      <c r="EL82" s="32">
        <f t="shared" si="132"/>
        <v>4.4335892441888944</v>
      </c>
      <c r="EM82" s="40">
        <f t="shared" si="209"/>
        <v>4.4335892441888944</v>
      </c>
      <c r="EN82" s="32"/>
      <c r="EO82" s="32">
        <f t="shared" si="210"/>
        <v>1.4800000000000009</v>
      </c>
      <c r="EP82" s="32">
        <f t="shared" si="211"/>
        <v>1.4800000000000009</v>
      </c>
      <c r="EQ82" s="32">
        <f t="shared" si="133"/>
        <v>4.4335892441888944</v>
      </c>
      <c r="ER82" s="40">
        <f t="shared" si="212"/>
        <v>4.4335892441888944</v>
      </c>
      <c r="ES82" s="32"/>
      <c r="ET82" s="32">
        <f t="shared" si="213"/>
        <v>1.4800000000000009</v>
      </c>
      <c r="EU82" s="36">
        <f t="shared" si="214"/>
        <v>1.4800000000000009</v>
      </c>
      <c r="EV82" s="32">
        <f t="shared" si="134"/>
        <v>4.4335892441888944</v>
      </c>
      <c r="EW82" s="40">
        <f t="shared" si="215"/>
        <v>4.4335892441888944</v>
      </c>
      <c r="EX82" s="32"/>
    </row>
    <row r="83" spans="20:154" s="3" customFormat="1" x14ac:dyDescent="0.25">
      <c r="T83" s="32">
        <f t="shared" si="135"/>
        <v>1.5000000000000009</v>
      </c>
      <c r="U83" s="36">
        <f t="shared" si="136"/>
        <v>1.5000000000000009</v>
      </c>
      <c r="V83" s="32">
        <f t="shared" si="108"/>
        <v>4.38923068235664</v>
      </c>
      <c r="W83" s="40">
        <f t="shared" si="137"/>
        <v>4.38923068235664</v>
      </c>
      <c r="X83" s="32"/>
      <c r="Y83" s="32">
        <f t="shared" si="138"/>
        <v>1.5000000000000009</v>
      </c>
      <c r="Z83" s="32">
        <f t="shared" si="139"/>
        <v>1.5000000000000009</v>
      </c>
      <c r="AA83" s="32">
        <f t="shared" si="109"/>
        <v>4.38923068235664</v>
      </c>
      <c r="AB83" s="40">
        <f t="shared" si="140"/>
        <v>4.38923068235664</v>
      </c>
      <c r="AC83" s="32"/>
      <c r="AD83" s="32">
        <f t="shared" si="141"/>
        <v>1.5000000000000009</v>
      </c>
      <c r="AE83" s="36">
        <f t="shared" si="142"/>
        <v>1.5000000000000009</v>
      </c>
      <c r="AF83" s="32">
        <f t="shared" si="110"/>
        <v>4.38923068235664</v>
      </c>
      <c r="AG83" s="40">
        <f t="shared" si="143"/>
        <v>4.38923068235664</v>
      </c>
      <c r="AH83" s="32"/>
      <c r="AI83" s="32">
        <f t="shared" si="144"/>
        <v>1.5000000000000009</v>
      </c>
      <c r="AJ83" s="36">
        <f t="shared" si="145"/>
        <v>1.5000000000000009</v>
      </c>
      <c r="AK83" s="32">
        <f t="shared" si="111"/>
        <v>4.38923068235664</v>
      </c>
      <c r="AL83" s="40">
        <f t="shared" si="146"/>
        <v>4.38923068235664</v>
      </c>
      <c r="AM83" s="32"/>
      <c r="AN83" s="32">
        <f t="shared" si="147"/>
        <v>1.5000000000000009</v>
      </c>
      <c r="AO83" s="32">
        <f t="shared" si="148"/>
        <v>1.5000000000000009</v>
      </c>
      <c r="AP83" s="32">
        <f t="shared" si="112"/>
        <v>4.38923068235664</v>
      </c>
      <c r="AQ83" s="40">
        <f t="shared" si="149"/>
        <v>4.38923068235664</v>
      </c>
      <c r="AR83" s="32"/>
      <c r="AS83" s="32">
        <f t="shared" si="150"/>
        <v>1.5000000000000009</v>
      </c>
      <c r="AT83" s="36">
        <f t="shared" si="151"/>
        <v>1.5000000000000009</v>
      </c>
      <c r="AU83" s="32">
        <f t="shared" si="113"/>
        <v>4.38923068235664</v>
      </c>
      <c r="AV83" s="40">
        <f t="shared" si="152"/>
        <v>4.38923068235664</v>
      </c>
      <c r="AW83" s="32"/>
      <c r="AX83" s="32">
        <f t="shared" si="153"/>
        <v>1.5000000000000009</v>
      </c>
      <c r="AY83" s="36">
        <f t="shared" si="154"/>
        <v>1.5000000000000009</v>
      </c>
      <c r="AZ83" s="32">
        <f t="shared" si="114"/>
        <v>4.38923068235664</v>
      </c>
      <c r="BA83" s="40">
        <f t="shared" si="155"/>
        <v>4.38923068235664</v>
      </c>
      <c r="BB83" s="32"/>
      <c r="BC83" s="32">
        <f t="shared" si="156"/>
        <v>1.5000000000000009</v>
      </c>
      <c r="BD83" s="32">
        <f t="shared" si="157"/>
        <v>1.5000000000000009</v>
      </c>
      <c r="BE83" s="32">
        <f t="shared" si="115"/>
        <v>4.38923068235664</v>
      </c>
      <c r="BF83" s="40">
        <f t="shared" si="158"/>
        <v>4.38923068235664</v>
      </c>
      <c r="BG83" s="32"/>
      <c r="BH83" s="32">
        <f t="shared" si="159"/>
        <v>1.5000000000000009</v>
      </c>
      <c r="BI83" s="36">
        <f t="shared" si="160"/>
        <v>1.5000000000000009</v>
      </c>
      <c r="BJ83" s="32">
        <f t="shared" si="116"/>
        <v>4.38923068235664</v>
      </c>
      <c r="BK83" s="40">
        <f t="shared" si="161"/>
        <v>4.38923068235664</v>
      </c>
      <c r="BL83" s="32"/>
      <c r="BM83" s="32">
        <f t="shared" si="162"/>
        <v>1.5000000000000009</v>
      </c>
      <c r="BN83" s="36">
        <f t="shared" si="163"/>
        <v>1.5000000000000009</v>
      </c>
      <c r="BO83" s="32">
        <f t="shared" si="117"/>
        <v>4.38923068235664</v>
      </c>
      <c r="BP83" s="40">
        <f t="shared" si="164"/>
        <v>4.38923068235664</v>
      </c>
      <c r="BQ83" s="32"/>
      <c r="BR83" s="32">
        <f t="shared" si="165"/>
        <v>1.5000000000000009</v>
      </c>
      <c r="BS83" s="32">
        <f t="shared" si="166"/>
        <v>1.5000000000000009</v>
      </c>
      <c r="BT83" s="32">
        <f t="shared" si="118"/>
        <v>4.38923068235664</v>
      </c>
      <c r="BU83" s="40">
        <f t="shared" si="167"/>
        <v>4.38923068235664</v>
      </c>
      <c r="BV83" s="32"/>
      <c r="BW83" s="32">
        <f t="shared" si="168"/>
        <v>1.5000000000000009</v>
      </c>
      <c r="BX83" s="36">
        <f t="shared" si="169"/>
        <v>1.5000000000000009</v>
      </c>
      <c r="BY83" s="32">
        <f t="shared" si="119"/>
        <v>4.38923068235664</v>
      </c>
      <c r="BZ83" s="40">
        <f t="shared" si="170"/>
        <v>4.38923068235664</v>
      </c>
      <c r="CA83" s="32"/>
      <c r="CB83" s="32">
        <f t="shared" si="171"/>
        <v>1.5000000000000009</v>
      </c>
      <c r="CC83" s="36">
        <f t="shared" si="172"/>
        <v>1.5000000000000009</v>
      </c>
      <c r="CD83" s="32">
        <f t="shared" si="120"/>
        <v>4.38923068235664</v>
      </c>
      <c r="CE83" s="40">
        <f t="shared" si="173"/>
        <v>4.38923068235664</v>
      </c>
      <c r="CF83" s="32"/>
      <c r="CG83" s="39">
        <f t="shared" si="174"/>
        <v>1.5000000000000009</v>
      </c>
      <c r="CH83" s="39">
        <f t="shared" si="175"/>
        <v>1.5000000000000009</v>
      </c>
      <c r="CI83" s="39">
        <f t="shared" si="121"/>
        <v>4.38923068235664</v>
      </c>
      <c r="CJ83" s="40">
        <f t="shared" si="176"/>
        <v>4.38923068235664</v>
      </c>
      <c r="CK83" s="39"/>
      <c r="CL83" s="32">
        <f t="shared" si="177"/>
        <v>1.5000000000000009</v>
      </c>
      <c r="CM83" s="36">
        <f t="shared" si="178"/>
        <v>1.5000000000000009</v>
      </c>
      <c r="CN83" s="32">
        <f t="shared" si="122"/>
        <v>4.38923068235664</v>
      </c>
      <c r="CO83" s="40">
        <f t="shared" si="179"/>
        <v>4.38923068235664</v>
      </c>
      <c r="CP83" s="32"/>
      <c r="CQ83" s="32">
        <f t="shared" si="180"/>
        <v>1.5000000000000009</v>
      </c>
      <c r="CR83" s="36">
        <f t="shared" si="181"/>
        <v>1.5000000000000009</v>
      </c>
      <c r="CS83" s="32">
        <f t="shared" si="123"/>
        <v>4.38923068235664</v>
      </c>
      <c r="CT83" s="40">
        <f t="shared" si="182"/>
        <v>4.38923068235664</v>
      </c>
      <c r="CU83" s="32"/>
      <c r="CV83" s="32">
        <f t="shared" si="183"/>
        <v>1.5000000000000009</v>
      </c>
      <c r="CW83" s="32">
        <f t="shared" si="184"/>
        <v>1.5000000000000009</v>
      </c>
      <c r="CX83" s="32">
        <f t="shared" si="124"/>
        <v>4.38923068235664</v>
      </c>
      <c r="CY83" s="40">
        <f t="shared" si="185"/>
        <v>4.38923068235664</v>
      </c>
      <c r="CZ83" s="32"/>
      <c r="DA83" s="32">
        <f t="shared" si="186"/>
        <v>1.5000000000000009</v>
      </c>
      <c r="DB83" s="36">
        <f t="shared" si="187"/>
        <v>1.5000000000000009</v>
      </c>
      <c r="DC83" s="32">
        <f t="shared" si="125"/>
        <v>4.38923068235664</v>
      </c>
      <c r="DD83" s="40">
        <f t="shared" si="188"/>
        <v>4.38923068235664</v>
      </c>
      <c r="DE83" s="32"/>
      <c r="DF83" s="32">
        <f t="shared" si="189"/>
        <v>1.5000000000000009</v>
      </c>
      <c r="DG83" s="36">
        <f t="shared" si="190"/>
        <v>1.5000000000000009</v>
      </c>
      <c r="DH83" s="32">
        <f t="shared" si="126"/>
        <v>4.38923068235664</v>
      </c>
      <c r="DI83" s="40">
        <f t="shared" si="191"/>
        <v>4.38923068235664</v>
      </c>
      <c r="DJ83" s="32"/>
      <c r="DK83" s="32">
        <f t="shared" si="192"/>
        <v>1.5000000000000009</v>
      </c>
      <c r="DL83" s="32">
        <f t="shared" si="193"/>
        <v>1.5000000000000009</v>
      </c>
      <c r="DM83" s="32">
        <f t="shared" si="127"/>
        <v>4.38923068235664</v>
      </c>
      <c r="DN83" s="40">
        <f t="shared" si="194"/>
        <v>4.38923068235664</v>
      </c>
      <c r="DO83" s="32"/>
      <c r="DP83" s="32">
        <f t="shared" si="195"/>
        <v>1.5000000000000009</v>
      </c>
      <c r="DQ83" s="36">
        <f t="shared" si="196"/>
        <v>1.5000000000000009</v>
      </c>
      <c r="DR83" s="32">
        <f t="shared" si="128"/>
        <v>4.38923068235664</v>
      </c>
      <c r="DS83" s="40">
        <f t="shared" si="197"/>
        <v>4.38923068235664</v>
      </c>
      <c r="DT83" s="32"/>
      <c r="DU83" s="32">
        <f t="shared" si="198"/>
        <v>1.5000000000000009</v>
      </c>
      <c r="DV83" s="36">
        <f t="shared" si="199"/>
        <v>1.5000000000000009</v>
      </c>
      <c r="DW83" s="32">
        <f t="shared" si="129"/>
        <v>4.38923068235664</v>
      </c>
      <c r="DX83" s="40">
        <f t="shared" si="200"/>
        <v>4.38923068235664</v>
      </c>
      <c r="DY83" s="32"/>
      <c r="DZ83" s="32">
        <f t="shared" si="201"/>
        <v>1.5000000000000009</v>
      </c>
      <c r="EA83" s="32">
        <f t="shared" si="202"/>
        <v>1.5000000000000009</v>
      </c>
      <c r="EB83" s="32">
        <f t="shared" si="130"/>
        <v>4.38923068235664</v>
      </c>
      <c r="EC83" s="40">
        <f t="shared" si="203"/>
        <v>4.38923068235664</v>
      </c>
      <c r="ED83" s="32"/>
      <c r="EE83" s="32">
        <f t="shared" si="204"/>
        <v>1.5000000000000009</v>
      </c>
      <c r="EF83" s="36">
        <f t="shared" si="205"/>
        <v>1.5000000000000009</v>
      </c>
      <c r="EG83" s="32">
        <f t="shared" si="131"/>
        <v>4.38923068235664</v>
      </c>
      <c r="EH83" s="40">
        <f t="shared" si="206"/>
        <v>4.38923068235664</v>
      </c>
      <c r="EI83" s="32"/>
      <c r="EJ83" s="32">
        <f t="shared" si="207"/>
        <v>1.5000000000000009</v>
      </c>
      <c r="EK83" s="36">
        <f t="shared" si="208"/>
        <v>1.5000000000000009</v>
      </c>
      <c r="EL83" s="32">
        <f t="shared" si="132"/>
        <v>4.38923068235664</v>
      </c>
      <c r="EM83" s="40">
        <f t="shared" si="209"/>
        <v>4.38923068235664</v>
      </c>
      <c r="EN83" s="32"/>
      <c r="EO83" s="32">
        <f t="shared" si="210"/>
        <v>1.5000000000000009</v>
      </c>
      <c r="EP83" s="32">
        <f t="shared" si="211"/>
        <v>1.5000000000000009</v>
      </c>
      <c r="EQ83" s="32">
        <f t="shared" si="133"/>
        <v>4.38923068235664</v>
      </c>
      <c r="ER83" s="40">
        <f t="shared" si="212"/>
        <v>4.38923068235664</v>
      </c>
      <c r="ES83" s="32"/>
      <c r="ET83" s="32">
        <f t="shared" si="213"/>
        <v>1.5000000000000009</v>
      </c>
      <c r="EU83" s="36">
        <f t="shared" si="214"/>
        <v>1.5000000000000009</v>
      </c>
      <c r="EV83" s="32">
        <f t="shared" si="134"/>
        <v>4.38923068235664</v>
      </c>
      <c r="EW83" s="40">
        <f t="shared" si="215"/>
        <v>4.38923068235664</v>
      </c>
      <c r="EX83" s="32"/>
    </row>
    <row r="84" spans="20:154" s="3" customFormat="1" x14ac:dyDescent="0.25">
      <c r="T84" s="32">
        <f t="shared" si="135"/>
        <v>1.5200000000000009</v>
      </c>
      <c r="U84" s="36">
        <f t="shared" si="136"/>
        <v>1.5200000000000009</v>
      </c>
      <c r="V84" s="32">
        <f t="shared" si="108"/>
        <v>4.3421636077965386</v>
      </c>
      <c r="W84" s="40">
        <f t="shared" si="137"/>
        <v>4.3421636077965386</v>
      </c>
      <c r="X84" s="32"/>
      <c r="Y84" s="32">
        <f t="shared" si="138"/>
        <v>1.5200000000000009</v>
      </c>
      <c r="Z84" s="32">
        <f t="shared" si="139"/>
        <v>1.5200000000000009</v>
      </c>
      <c r="AA84" s="32">
        <f t="shared" si="109"/>
        <v>4.3421636077965386</v>
      </c>
      <c r="AB84" s="40">
        <f t="shared" si="140"/>
        <v>4.3421636077965386</v>
      </c>
      <c r="AC84" s="32"/>
      <c r="AD84" s="32">
        <f t="shared" si="141"/>
        <v>1.5200000000000009</v>
      </c>
      <c r="AE84" s="36">
        <f t="shared" si="142"/>
        <v>1.5200000000000009</v>
      </c>
      <c r="AF84" s="32">
        <f t="shared" si="110"/>
        <v>4.3421636077965386</v>
      </c>
      <c r="AG84" s="40">
        <f t="shared" si="143"/>
        <v>4.3421636077965386</v>
      </c>
      <c r="AH84" s="32"/>
      <c r="AI84" s="32">
        <f t="shared" si="144"/>
        <v>1.5200000000000009</v>
      </c>
      <c r="AJ84" s="36">
        <f t="shared" si="145"/>
        <v>1.5200000000000009</v>
      </c>
      <c r="AK84" s="32">
        <f t="shared" si="111"/>
        <v>4.3421636077965386</v>
      </c>
      <c r="AL84" s="40">
        <f t="shared" si="146"/>
        <v>4.3421636077965386</v>
      </c>
      <c r="AM84" s="32"/>
      <c r="AN84" s="32">
        <f t="shared" si="147"/>
        <v>1.5200000000000009</v>
      </c>
      <c r="AO84" s="32">
        <f t="shared" si="148"/>
        <v>1.5200000000000009</v>
      </c>
      <c r="AP84" s="32">
        <f t="shared" si="112"/>
        <v>4.3421636077965386</v>
      </c>
      <c r="AQ84" s="40">
        <f t="shared" si="149"/>
        <v>4.3421636077965386</v>
      </c>
      <c r="AR84" s="32"/>
      <c r="AS84" s="32">
        <f t="shared" si="150"/>
        <v>1.5200000000000009</v>
      </c>
      <c r="AT84" s="36">
        <f t="shared" si="151"/>
        <v>1.5200000000000009</v>
      </c>
      <c r="AU84" s="32">
        <f t="shared" si="113"/>
        <v>4.3421636077965386</v>
      </c>
      <c r="AV84" s="40">
        <f t="shared" si="152"/>
        <v>4.3421636077965386</v>
      </c>
      <c r="AW84" s="32"/>
      <c r="AX84" s="32">
        <f t="shared" si="153"/>
        <v>1.5200000000000009</v>
      </c>
      <c r="AY84" s="36">
        <f t="shared" si="154"/>
        <v>1.5200000000000009</v>
      </c>
      <c r="AZ84" s="32">
        <f t="shared" si="114"/>
        <v>4.3421636077965386</v>
      </c>
      <c r="BA84" s="40">
        <f t="shared" si="155"/>
        <v>4.3421636077965386</v>
      </c>
      <c r="BB84" s="32"/>
      <c r="BC84" s="32">
        <f t="shared" si="156"/>
        <v>1.5200000000000009</v>
      </c>
      <c r="BD84" s="32">
        <f t="shared" si="157"/>
        <v>1.5200000000000009</v>
      </c>
      <c r="BE84" s="32">
        <f t="shared" si="115"/>
        <v>4.3421636077965386</v>
      </c>
      <c r="BF84" s="40">
        <f t="shared" si="158"/>
        <v>4.3421636077965386</v>
      </c>
      <c r="BG84" s="32"/>
      <c r="BH84" s="32">
        <f t="shared" si="159"/>
        <v>1.5200000000000009</v>
      </c>
      <c r="BI84" s="36">
        <f t="shared" si="160"/>
        <v>1.5200000000000009</v>
      </c>
      <c r="BJ84" s="32">
        <f t="shared" si="116"/>
        <v>4.3421636077965386</v>
      </c>
      <c r="BK84" s="40">
        <f t="shared" si="161"/>
        <v>4.3421636077965386</v>
      </c>
      <c r="BL84" s="32"/>
      <c r="BM84" s="32">
        <f t="shared" si="162"/>
        <v>1.5200000000000009</v>
      </c>
      <c r="BN84" s="36">
        <f t="shared" si="163"/>
        <v>1.5200000000000009</v>
      </c>
      <c r="BO84" s="32">
        <f t="shared" si="117"/>
        <v>4.3421636077965386</v>
      </c>
      <c r="BP84" s="40">
        <f t="shared" si="164"/>
        <v>4.3421636077965386</v>
      </c>
      <c r="BQ84" s="32"/>
      <c r="BR84" s="32">
        <f t="shared" si="165"/>
        <v>1.5200000000000009</v>
      </c>
      <c r="BS84" s="32">
        <f t="shared" si="166"/>
        <v>1.5200000000000009</v>
      </c>
      <c r="BT84" s="32">
        <f t="shared" si="118"/>
        <v>4.3421636077965386</v>
      </c>
      <c r="BU84" s="40">
        <f t="shared" si="167"/>
        <v>4.3421636077965386</v>
      </c>
      <c r="BV84" s="32"/>
      <c r="BW84" s="32">
        <f t="shared" si="168"/>
        <v>1.5200000000000009</v>
      </c>
      <c r="BX84" s="36">
        <f t="shared" si="169"/>
        <v>1.5200000000000009</v>
      </c>
      <c r="BY84" s="32">
        <f t="shared" si="119"/>
        <v>4.3421636077965386</v>
      </c>
      <c r="BZ84" s="40">
        <f t="shared" si="170"/>
        <v>4.3421636077965386</v>
      </c>
      <c r="CA84" s="32"/>
      <c r="CB84" s="32">
        <f t="shared" si="171"/>
        <v>1.5200000000000009</v>
      </c>
      <c r="CC84" s="36">
        <f t="shared" si="172"/>
        <v>1.5200000000000009</v>
      </c>
      <c r="CD84" s="32">
        <f t="shared" si="120"/>
        <v>4.3421636077965386</v>
      </c>
      <c r="CE84" s="40">
        <f t="shared" si="173"/>
        <v>4.3421636077965386</v>
      </c>
      <c r="CF84" s="32"/>
      <c r="CG84" s="39">
        <f t="shared" si="174"/>
        <v>1.5200000000000009</v>
      </c>
      <c r="CH84" s="39">
        <f t="shared" si="175"/>
        <v>1.5200000000000009</v>
      </c>
      <c r="CI84" s="39">
        <f t="shared" si="121"/>
        <v>4.3421636077965386</v>
      </c>
      <c r="CJ84" s="40">
        <f t="shared" si="176"/>
        <v>4.3421636077965386</v>
      </c>
      <c r="CK84" s="39"/>
      <c r="CL84" s="32">
        <f t="shared" si="177"/>
        <v>1.5200000000000009</v>
      </c>
      <c r="CM84" s="36">
        <f t="shared" si="178"/>
        <v>1.5200000000000009</v>
      </c>
      <c r="CN84" s="32">
        <f t="shared" si="122"/>
        <v>4.3421636077965386</v>
      </c>
      <c r="CO84" s="40">
        <f t="shared" si="179"/>
        <v>4.3421636077965386</v>
      </c>
      <c r="CP84" s="32"/>
      <c r="CQ84" s="32">
        <f t="shared" si="180"/>
        <v>1.5200000000000009</v>
      </c>
      <c r="CR84" s="36">
        <f t="shared" si="181"/>
        <v>1.5200000000000009</v>
      </c>
      <c r="CS84" s="32">
        <f t="shared" si="123"/>
        <v>4.3421636077965386</v>
      </c>
      <c r="CT84" s="40">
        <f t="shared" si="182"/>
        <v>4.3421636077965386</v>
      </c>
      <c r="CU84" s="32"/>
      <c r="CV84" s="32">
        <f t="shared" si="183"/>
        <v>1.5200000000000009</v>
      </c>
      <c r="CW84" s="32">
        <f t="shared" si="184"/>
        <v>1.5200000000000009</v>
      </c>
      <c r="CX84" s="32">
        <f t="shared" si="124"/>
        <v>4.3421636077965386</v>
      </c>
      <c r="CY84" s="40">
        <f t="shared" si="185"/>
        <v>4.3421636077965386</v>
      </c>
      <c r="CZ84" s="32"/>
      <c r="DA84" s="32">
        <f t="shared" si="186"/>
        <v>1.5200000000000009</v>
      </c>
      <c r="DB84" s="36">
        <f t="shared" si="187"/>
        <v>1.5200000000000009</v>
      </c>
      <c r="DC84" s="32">
        <f t="shared" si="125"/>
        <v>4.3421636077965386</v>
      </c>
      <c r="DD84" s="40">
        <f t="shared" si="188"/>
        <v>4.3421636077965386</v>
      </c>
      <c r="DE84" s="32"/>
      <c r="DF84" s="32">
        <f t="shared" si="189"/>
        <v>1.5200000000000009</v>
      </c>
      <c r="DG84" s="36">
        <f t="shared" si="190"/>
        <v>1.5200000000000009</v>
      </c>
      <c r="DH84" s="32">
        <f t="shared" si="126"/>
        <v>4.3421636077965386</v>
      </c>
      <c r="DI84" s="40">
        <f t="shared" si="191"/>
        <v>4.3421636077965386</v>
      </c>
      <c r="DJ84" s="32"/>
      <c r="DK84" s="32">
        <f t="shared" si="192"/>
        <v>1.5200000000000009</v>
      </c>
      <c r="DL84" s="32">
        <f t="shared" si="193"/>
        <v>1.5200000000000009</v>
      </c>
      <c r="DM84" s="32">
        <f t="shared" si="127"/>
        <v>4.3421636077965386</v>
      </c>
      <c r="DN84" s="40">
        <f t="shared" si="194"/>
        <v>4.3421636077965386</v>
      </c>
      <c r="DO84" s="32"/>
      <c r="DP84" s="32">
        <f t="shared" si="195"/>
        <v>1.5200000000000009</v>
      </c>
      <c r="DQ84" s="36">
        <f t="shared" si="196"/>
        <v>1.5200000000000009</v>
      </c>
      <c r="DR84" s="32">
        <f t="shared" si="128"/>
        <v>4.3421636077965386</v>
      </c>
      <c r="DS84" s="40">
        <f t="shared" si="197"/>
        <v>4.3421636077965386</v>
      </c>
      <c r="DT84" s="32"/>
      <c r="DU84" s="32">
        <f t="shared" si="198"/>
        <v>1.5200000000000009</v>
      </c>
      <c r="DV84" s="36">
        <f t="shared" si="199"/>
        <v>1.5200000000000009</v>
      </c>
      <c r="DW84" s="32">
        <f t="shared" si="129"/>
        <v>4.3421636077965386</v>
      </c>
      <c r="DX84" s="40">
        <f t="shared" si="200"/>
        <v>4.3421636077965386</v>
      </c>
      <c r="DY84" s="32"/>
      <c r="DZ84" s="32">
        <f t="shared" si="201"/>
        <v>1.5200000000000009</v>
      </c>
      <c r="EA84" s="32">
        <f t="shared" si="202"/>
        <v>1.5200000000000009</v>
      </c>
      <c r="EB84" s="32">
        <f t="shared" si="130"/>
        <v>4.3421636077965386</v>
      </c>
      <c r="EC84" s="40">
        <f t="shared" si="203"/>
        <v>4.3421636077965386</v>
      </c>
      <c r="ED84" s="32"/>
      <c r="EE84" s="32">
        <f t="shared" si="204"/>
        <v>1.5200000000000009</v>
      </c>
      <c r="EF84" s="36">
        <f t="shared" si="205"/>
        <v>1.5200000000000009</v>
      </c>
      <c r="EG84" s="32">
        <f t="shared" si="131"/>
        <v>4.3421636077965386</v>
      </c>
      <c r="EH84" s="40">
        <f t="shared" si="206"/>
        <v>4.3421636077965386</v>
      </c>
      <c r="EI84" s="32"/>
      <c r="EJ84" s="32">
        <f t="shared" si="207"/>
        <v>1.5200000000000009</v>
      </c>
      <c r="EK84" s="36">
        <f t="shared" si="208"/>
        <v>1.5200000000000009</v>
      </c>
      <c r="EL84" s="32">
        <f t="shared" si="132"/>
        <v>4.3421636077965386</v>
      </c>
      <c r="EM84" s="40">
        <f t="shared" si="209"/>
        <v>4.3421636077965386</v>
      </c>
      <c r="EN84" s="32"/>
      <c r="EO84" s="32">
        <f t="shared" si="210"/>
        <v>1.5200000000000009</v>
      </c>
      <c r="EP84" s="32">
        <f t="shared" si="211"/>
        <v>1.5200000000000009</v>
      </c>
      <c r="EQ84" s="32">
        <f t="shared" si="133"/>
        <v>4.3421636077965386</v>
      </c>
      <c r="ER84" s="40">
        <f t="shared" si="212"/>
        <v>4.3421636077965386</v>
      </c>
      <c r="ES84" s="32"/>
      <c r="ET84" s="32">
        <f t="shared" si="213"/>
        <v>1.5200000000000009</v>
      </c>
      <c r="EU84" s="36">
        <f t="shared" si="214"/>
        <v>1.5200000000000009</v>
      </c>
      <c r="EV84" s="32">
        <f t="shared" si="134"/>
        <v>4.3421636077965386</v>
      </c>
      <c r="EW84" s="40">
        <f t="shared" si="215"/>
        <v>4.3421636077965386</v>
      </c>
      <c r="EX84" s="32"/>
    </row>
    <row r="85" spans="20:154" s="3" customFormat="1" x14ac:dyDescent="0.25">
      <c r="T85" s="32">
        <f t="shared" si="135"/>
        <v>1.5400000000000009</v>
      </c>
      <c r="U85" s="36">
        <f t="shared" si="136"/>
        <v>1.5400000000000009</v>
      </c>
      <c r="V85" s="32">
        <f t="shared" si="108"/>
        <v>4.2923880205085885</v>
      </c>
      <c r="W85" s="40">
        <f t="shared" si="137"/>
        <v>4.2923880205085885</v>
      </c>
      <c r="X85" s="32"/>
      <c r="Y85" s="32">
        <f t="shared" si="138"/>
        <v>1.5400000000000009</v>
      </c>
      <c r="Z85" s="32">
        <f t="shared" si="139"/>
        <v>1.5400000000000009</v>
      </c>
      <c r="AA85" s="32">
        <f t="shared" si="109"/>
        <v>4.2923880205085885</v>
      </c>
      <c r="AB85" s="40">
        <f t="shared" si="140"/>
        <v>4.2923880205085885</v>
      </c>
      <c r="AC85" s="32"/>
      <c r="AD85" s="32">
        <f t="shared" si="141"/>
        <v>1.5400000000000009</v>
      </c>
      <c r="AE85" s="36">
        <f t="shared" si="142"/>
        <v>1.5400000000000009</v>
      </c>
      <c r="AF85" s="32">
        <f t="shared" si="110"/>
        <v>4.2923880205085885</v>
      </c>
      <c r="AG85" s="40">
        <f t="shared" si="143"/>
        <v>4.2923880205085885</v>
      </c>
      <c r="AH85" s="32"/>
      <c r="AI85" s="32">
        <f t="shared" si="144"/>
        <v>1.5400000000000009</v>
      </c>
      <c r="AJ85" s="36">
        <f t="shared" si="145"/>
        <v>1.5400000000000009</v>
      </c>
      <c r="AK85" s="32">
        <f t="shared" si="111"/>
        <v>4.2923880205085885</v>
      </c>
      <c r="AL85" s="40">
        <f t="shared" si="146"/>
        <v>4.2923880205085885</v>
      </c>
      <c r="AM85" s="32"/>
      <c r="AN85" s="32">
        <f t="shared" si="147"/>
        <v>1.5400000000000009</v>
      </c>
      <c r="AO85" s="32">
        <f t="shared" si="148"/>
        <v>1.5400000000000009</v>
      </c>
      <c r="AP85" s="32">
        <f t="shared" si="112"/>
        <v>4.2923880205085885</v>
      </c>
      <c r="AQ85" s="40">
        <f t="shared" si="149"/>
        <v>4.2923880205085885</v>
      </c>
      <c r="AR85" s="32"/>
      <c r="AS85" s="32">
        <f t="shared" si="150"/>
        <v>1.5400000000000009</v>
      </c>
      <c r="AT85" s="36">
        <f t="shared" si="151"/>
        <v>1.5400000000000009</v>
      </c>
      <c r="AU85" s="32">
        <f t="shared" si="113"/>
        <v>4.2923880205085885</v>
      </c>
      <c r="AV85" s="40">
        <f t="shared" si="152"/>
        <v>4.2923880205085885</v>
      </c>
      <c r="AW85" s="32"/>
      <c r="AX85" s="32">
        <f t="shared" si="153"/>
        <v>1.5400000000000009</v>
      </c>
      <c r="AY85" s="36">
        <f t="shared" si="154"/>
        <v>1.5400000000000009</v>
      </c>
      <c r="AZ85" s="32">
        <f t="shared" si="114"/>
        <v>4.2923880205085885</v>
      </c>
      <c r="BA85" s="40">
        <f t="shared" si="155"/>
        <v>4.2923880205085885</v>
      </c>
      <c r="BB85" s="32"/>
      <c r="BC85" s="32">
        <f t="shared" si="156"/>
        <v>1.5400000000000009</v>
      </c>
      <c r="BD85" s="32">
        <f t="shared" si="157"/>
        <v>1.5400000000000009</v>
      </c>
      <c r="BE85" s="32">
        <f t="shared" si="115"/>
        <v>4.2923880205085885</v>
      </c>
      <c r="BF85" s="40">
        <f t="shared" si="158"/>
        <v>4.2923880205085885</v>
      </c>
      <c r="BG85" s="32"/>
      <c r="BH85" s="32">
        <f t="shared" si="159"/>
        <v>1.5400000000000009</v>
      </c>
      <c r="BI85" s="36">
        <f t="shared" si="160"/>
        <v>1.5400000000000009</v>
      </c>
      <c r="BJ85" s="32">
        <f t="shared" si="116"/>
        <v>4.2923880205085885</v>
      </c>
      <c r="BK85" s="40">
        <f t="shared" si="161"/>
        <v>4.2923880205085885</v>
      </c>
      <c r="BL85" s="32"/>
      <c r="BM85" s="32">
        <f t="shared" si="162"/>
        <v>1.5400000000000009</v>
      </c>
      <c r="BN85" s="36">
        <f t="shared" si="163"/>
        <v>1.5400000000000009</v>
      </c>
      <c r="BO85" s="32">
        <f t="shared" si="117"/>
        <v>4.2923880205085885</v>
      </c>
      <c r="BP85" s="40">
        <f t="shared" si="164"/>
        <v>4.2923880205085885</v>
      </c>
      <c r="BQ85" s="32"/>
      <c r="BR85" s="32">
        <f t="shared" si="165"/>
        <v>1.5400000000000009</v>
      </c>
      <c r="BS85" s="32">
        <f t="shared" si="166"/>
        <v>1.5400000000000009</v>
      </c>
      <c r="BT85" s="32">
        <f t="shared" si="118"/>
        <v>4.2923880205085885</v>
      </c>
      <c r="BU85" s="40">
        <f t="shared" si="167"/>
        <v>4.2923880205085885</v>
      </c>
      <c r="BV85" s="32"/>
      <c r="BW85" s="32">
        <f t="shared" si="168"/>
        <v>1.5400000000000009</v>
      </c>
      <c r="BX85" s="36">
        <f t="shared" si="169"/>
        <v>1.5400000000000009</v>
      </c>
      <c r="BY85" s="32">
        <f t="shared" si="119"/>
        <v>4.2923880205085885</v>
      </c>
      <c r="BZ85" s="40">
        <f t="shared" si="170"/>
        <v>4.2923880205085885</v>
      </c>
      <c r="CA85" s="32"/>
      <c r="CB85" s="32">
        <f t="shared" si="171"/>
        <v>1.5400000000000009</v>
      </c>
      <c r="CC85" s="36">
        <f t="shared" si="172"/>
        <v>1.5400000000000009</v>
      </c>
      <c r="CD85" s="32">
        <f t="shared" si="120"/>
        <v>4.2923880205085885</v>
      </c>
      <c r="CE85" s="40">
        <f t="shared" si="173"/>
        <v>4.2923880205085885</v>
      </c>
      <c r="CF85" s="32"/>
      <c r="CG85" s="39">
        <f t="shared" si="174"/>
        <v>1.5400000000000009</v>
      </c>
      <c r="CH85" s="39">
        <f t="shared" si="175"/>
        <v>1.5400000000000009</v>
      </c>
      <c r="CI85" s="39">
        <f t="shared" si="121"/>
        <v>4.2923880205085885</v>
      </c>
      <c r="CJ85" s="40">
        <f t="shared" si="176"/>
        <v>4.2923880205085885</v>
      </c>
      <c r="CK85" s="39"/>
      <c r="CL85" s="32">
        <f t="shared" si="177"/>
        <v>1.5400000000000009</v>
      </c>
      <c r="CM85" s="36">
        <f t="shared" si="178"/>
        <v>1.5400000000000009</v>
      </c>
      <c r="CN85" s="32">
        <f t="shared" si="122"/>
        <v>4.2923880205085885</v>
      </c>
      <c r="CO85" s="40">
        <f t="shared" si="179"/>
        <v>4.2923880205085885</v>
      </c>
      <c r="CP85" s="32"/>
      <c r="CQ85" s="32">
        <f t="shared" si="180"/>
        <v>1.5400000000000009</v>
      </c>
      <c r="CR85" s="36">
        <f t="shared" si="181"/>
        <v>1.5400000000000009</v>
      </c>
      <c r="CS85" s="32">
        <f t="shared" si="123"/>
        <v>4.2923880205085885</v>
      </c>
      <c r="CT85" s="40">
        <f t="shared" si="182"/>
        <v>4.2923880205085885</v>
      </c>
      <c r="CU85" s="32"/>
      <c r="CV85" s="32">
        <f t="shared" si="183"/>
        <v>1.5400000000000009</v>
      </c>
      <c r="CW85" s="32">
        <f t="shared" si="184"/>
        <v>1.5400000000000009</v>
      </c>
      <c r="CX85" s="32">
        <f t="shared" si="124"/>
        <v>4.2923880205085885</v>
      </c>
      <c r="CY85" s="40">
        <f t="shared" si="185"/>
        <v>4.2923880205085885</v>
      </c>
      <c r="CZ85" s="32"/>
      <c r="DA85" s="32">
        <f t="shared" si="186"/>
        <v>1.5400000000000009</v>
      </c>
      <c r="DB85" s="36">
        <f t="shared" si="187"/>
        <v>1.5400000000000009</v>
      </c>
      <c r="DC85" s="32">
        <f t="shared" si="125"/>
        <v>4.2923880205085885</v>
      </c>
      <c r="DD85" s="40">
        <f t="shared" si="188"/>
        <v>4.2923880205085885</v>
      </c>
      <c r="DE85" s="32"/>
      <c r="DF85" s="32">
        <f t="shared" si="189"/>
        <v>1.5400000000000009</v>
      </c>
      <c r="DG85" s="36">
        <f t="shared" si="190"/>
        <v>1.5400000000000009</v>
      </c>
      <c r="DH85" s="32">
        <f t="shared" si="126"/>
        <v>4.2923880205085885</v>
      </c>
      <c r="DI85" s="40">
        <f t="shared" si="191"/>
        <v>4.2923880205085885</v>
      </c>
      <c r="DJ85" s="32"/>
      <c r="DK85" s="32">
        <f t="shared" si="192"/>
        <v>1.5400000000000009</v>
      </c>
      <c r="DL85" s="32">
        <f t="shared" si="193"/>
        <v>1.5400000000000009</v>
      </c>
      <c r="DM85" s="32">
        <f t="shared" si="127"/>
        <v>4.2923880205085885</v>
      </c>
      <c r="DN85" s="40">
        <f t="shared" si="194"/>
        <v>4.2923880205085885</v>
      </c>
      <c r="DO85" s="32"/>
      <c r="DP85" s="32">
        <f t="shared" si="195"/>
        <v>1.5400000000000009</v>
      </c>
      <c r="DQ85" s="36">
        <f t="shared" si="196"/>
        <v>1.5400000000000009</v>
      </c>
      <c r="DR85" s="32">
        <f t="shared" si="128"/>
        <v>4.2923880205085885</v>
      </c>
      <c r="DS85" s="40">
        <f t="shared" si="197"/>
        <v>4.2923880205085885</v>
      </c>
      <c r="DT85" s="32"/>
      <c r="DU85" s="32">
        <f t="shared" si="198"/>
        <v>1.5400000000000009</v>
      </c>
      <c r="DV85" s="36">
        <f t="shared" si="199"/>
        <v>1.5400000000000009</v>
      </c>
      <c r="DW85" s="32">
        <f t="shared" si="129"/>
        <v>4.2923880205085885</v>
      </c>
      <c r="DX85" s="40">
        <f t="shared" si="200"/>
        <v>4.2923880205085885</v>
      </c>
      <c r="DY85" s="32"/>
      <c r="DZ85" s="32">
        <f t="shared" si="201"/>
        <v>1.5400000000000009</v>
      </c>
      <c r="EA85" s="32">
        <f t="shared" si="202"/>
        <v>1.5400000000000009</v>
      </c>
      <c r="EB85" s="32">
        <f t="shared" si="130"/>
        <v>4.2923880205085885</v>
      </c>
      <c r="EC85" s="40">
        <f t="shared" si="203"/>
        <v>4.2923880205085885</v>
      </c>
      <c r="ED85" s="32"/>
      <c r="EE85" s="32">
        <f t="shared" si="204"/>
        <v>1.5400000000000009</v>
      </c>
      <c r="EF85" s="36">
        <f t="shared" si="205"/>
        <v>1.5400000000000009</v>
      </c>
      <c r="EG85" s="32">
        <f t="shared" si="131"/>
        <v>4.2923880205085885</v>
      </c>
      <c r="EH85" s="40">
        <f t="shared" si="206"/>
        <v>4.2923880205085885</v>
      </c>
      <c r="EI85" s="32"/>
      <c r="EJ85" s="32">
        <f t="shared" si="207"/>
        <v>1.5400000000000009</v>
      </c>
      <c r="EK85" s="36">
        <f t="shared" si="208"/>
        <v>1.5400000000000009</v>
      </c>
      <c r="EL85" s="32">
        <f t="shared" si="132"/>
        <v>4.2923880205085885</v>
      </c>
      <c r="EM85" s="40">
        <f t="shared" si="209"/>
        <v>4.2923880205085885</v>
      </c>
      <c r="EN85" s="32"/>
      <c r="EO85" s="32">
        <f t="shared" si="210"/>
        <v>1.5400000000000009</v>
      </c>
      <c r="EP85" s="32">
        <f t="shared" si="211"/>
        <v>1.5400000000000009</v>
      </c>
      <c r="EQ85" s="32">
        <f t="shared" si="133"/>
        <v>4.2923880205085885</v>
      </c>
      <c r="ER85" s="40">
        <f t="shared" si="212"/>
        <v>4.2923880205085885</v>
      </c>
      <c r="ES85" s="32"/>
      <c r="ET85" s="32">
        <f t="shared" si="213"/>
        <v>1.5400000000000009</v>
      </c>
      <c r="EU85" s="36">
        <f t="shared" si="214"/>
        <v>1.5400000000000009</v>
      </c>
      <c r="EV85" s="32">
        <f t="shared" si="134"/>
        <v>4.2923880205085885</v>
      </c>
      <c r="EW85" s="40">
        <f t="shared" si="215"/>
        <v>4.2923880205085885</v>
      </c>
      <c r="EX85" s="32"/>
    </row>
    <row r="86" spans="20:154" s="3" customFormat="1" x14ac:dyDescent="0.25">
      <c r="T86" s="32">
        <f t="shared" si="135"/>
        <v>1.5600000000000009</v>
      </c>
      <c r="U86" s="36">
        <f t="shared" si="136"/>
        <v>1.5600000000000009</v>
      </c>
      <c r="V86" s="32">
        <f t="shared" si="108"/>
        <v>4.2399039204927975</v>
      </c>
      <c r="W86" s="40">
        <f t="shared" si="137"/>
        <v>4.2399039204927975</v>
      </c>
      <c r="X86" s="32"/>
      <c r="Y86" s="32">
        <f t="shared" si="138"/>
        <v>1.5600000000000009</v>
      </c>
      <c r="Z86" s="32">
        <f t="shared" si="139"/>
        <v>1.5600000000000009</v>
      </c>
      <c r="AA86" s="32">
        <f t="shared" si="109"/>
        <v>4.2399039204927975</v>
      </c>
      <c r="AB86" s="40">
        <f t="shared" si="140"/>
        <v>4.2399039204927975</v>
      </c>
      <c r="AC86" s="32"/>
      <c r="AD86" s="32">
        <f t="shared" si="141"/>
        <v>1.5600000000000009</v>
      </c>
      <c r="AE86" s="36">
        <f t="shared" si="142"/>
        <v>1.5600000000000009</v>
      </c>
      <c r="AF86" s="32">
        <f t="shared" si="110"/>
        <v>4.2399039204927975</v>
      </c>
      <c r="AG86" s="40">
        <f t="shared" si="143"/>
        <v>4.2399039204927975</v>
      </c>
      <c r="AH86" s="32"/>
      <c r="AI86" s="32">
        <f t="shared" si="144"/>
        <v>1.5600000000000009</v>
      </c>
      <c r="AJ86" s="36">
        <f t="shared" si="145"/>
        <v>1.5600000000000009</v>
      </c>
      <c r="AK86" s="32">
        <f t="shared" si="111"/>
        <v>4.2399039204927975</v>
      </c>
      <c r="AL86" s="40">
        <f t="shared" si="146"/>
        <v>4.2399039204927975</v>
      </c>
      <c r="AM86" s="32"/>
      <c r="AN86" s="32">
        <f t="shared" si="147"/>
        <v>1.5600000000000009</v>
      </c>
      <c r="AO86" s="32">
        <f t="shared" si="148"/>
        <v>1.5600000000000009</v>
      </c>
      <c r="AP86" s="32">
        <f t="shared" si="112"/>
        <v>4.2399039204927975</v>
      </c>
      <c r="AQ86" s="40">
        <f t="shared" si="149"/>
        <v>4.2399039204927975</v>
      </c>
      <c r="AR86" s="32"/>
      <c r="AS86" s="32">
        <f t="shared" si="150"/>
        <v>1.5600000000000009</v>
      </c>
      <c r="AT86" s="36">
        <f t="shared" si="151"/>
        <v>1.5600000000000009</v>
      </c>
      <c r="AU86" s="32">
        <f t="shared" si="113"/>
        <v>4.2399039204927975</v>
      </c>
      <c r="AV86" s="40">
        <f t="shared" si="152"/>
        <v>4.2399039204927975</v>
      </c>
      <c r="AW86" s="32"/>
      <c r="AX86" s="32">
        <f t="shared" si="153"/>
        <v>1.5600000000000009</v>
      </c>
      <c r="AY86" s="36">
        <f t="shared" si="154"/>
        <v>1.5600000000000009</v>
      </c>
      <c r="AZ86" s="32">
        <f t="shared" si="114"/>
        <v>4.2399039204927975</v>
      </c>
      <c r="BA86" s="40">
        <f t="shared" si="155"/>
        <v>4.2399039204927975</v>
      </c>
      <c r="BB86" s="32"/>
      <c r="BC86" s="32">
        <f t="shared" si="156"/>
        <v>1.5600000000000009</v>
      </c>
      <c r="BD86" s="32">
        <f t="shared" si="157"/>
        <v>1.5600000000000009</v>
      </c>
      <c r="BE86" s="32">
        <f t="shared" si="115"/>
        <v>4.2399039204927975</v>
      </c>
      <c r="BF86" s="40">
        <f t="shared" si="158"/>
        <v>4.2399039204927975</v>
      </c>
      <c r="BG86" s="32"/>
      <c r="BH86" s="32">
        <f t="shared" si="159"/>
        <v>1.5600000000000009</v>
      </c>
      <c r="BI86" s="36">
        <f t="shared" si="160"/>
        <v>1.5600000000000009</v>
      </c>
      <c r="BJ86" s="32">
        <f t="shared" si="116"/>
        <v>4.2399039204927975</v>
      </c>
      <c r="BK86" s="40">
        <f t="shared" si="161"/>
        <v>4.2399039204927975</v>
      </c>
      <c r="BL86" s="32"/>
      <c r="BM86" s="32">
        <f t="shared" si="162"/>
        <v>1.5600000000000009</v>
      </c>
      <c r="BN86" s="36">
        <f t="shared" si="163"/>
        <v>1.5600000000000009</v>
      </c>
      <c r="BO86" s="32">
        <f t="shared" si="117"/>
        <v>4.2399039204927975</v>
      </c>
      <c r="BP86" s="40">
        <f t="shared" si="164"/>
        <v>4.2399039204927975</v>
      </c>
      <c r="BQ86" s="32"/>
      <c r="BR86" s="32">
        <f t="shared" si="165"/>
        <v>1.5600000000000009</v>
      </c>
      <c r="BS86" s="32">
        <f t="shared" si="166"/>
        <v>1.5600000000000009</v>
      </c>
      <c r="BT86" s="32">
        <f t="shared" si="118"/>
        <v>4.2399039204927975</v>
      </c>
      <c r="BU86" s="40">
        <f t="shared" si="167"/>
        <v>4.2399039204927975</v>
      </c>
      <c r="BV86" s="32"/>
      <c r="BW86" s="32">
        <f t="shared" si="168"/>
        <v>1.5600000000000009</v>
      </c>
      <c r="BX86" s="36">
        <f t="shared" si="169"/>
        <v>1.5600000000000009</v>
      </c>
      <c r="BY86" s="32">
        <f t="shared" si="119"/>
        <v>4.2399039204927975</v>
      </c>
      <c r="BZ86" s="40">
        <f t="shared" si="170"/>
        <v>4.2399039204927975</v>
      </c>
      <c r="CA86" s="32"/>
      <c r="CB86" s="32">
        <f t="shared" si="171"/>
        <v>1.5600000000000009</v>
      </c>
      <c r="CC86" s="36">
        <f t="shared" si="172"/>
        <v>1.5600000000000009</v>
      </c>
      <c r="CD86" s="32">
        <f t="shared" si="120"/>
        <v>4.2399039204927975</v>
      </c>
      <c r="CE86" s="40">
        <f t="shared" si="173"/>
        <v>4.2399039204927975</v>
      </c>
      <c r="CF86" s="32"/>
      <c r="CG86" s="39">
        <f t="shared" si="174"/>
        <v>1.5600000000000009</v>
      </c>
      <c r="CH86" s="39">
        <f t="shared" si="175"/>
        <v>1.5600000000000009</v>
      </c>
      <c r="CI86" s="39">
        <f t="shared" si="121"/>
        <v>4.2399039204927975</v>
      </c>
      <c r="CJ86" s="40">
        <f t="shared" si="176"/>
        <v>4.2399039204927975</v>
      </c>
      <c r="CK86" s="39"/>
      <c r="CL86" s="32">
        <f t="shared" si="177"/>
        <v>1.5600000000000009</v>
      </c>
      <c r="CM86" s="36">
        <f t="shared" si="178"/>
        <v>1.5600000000000009</v>
      </c>
      <c r="CN86" s="32">
        <f t="shared" si="122"/>
        <v>4.2399039204927975</v>
      </c>
      <c r="CO86" s="40">
        <f t="shared" si="179"/>
        <v>4.2399039204927975</v>
      </c>
      <c r="CP86" s="32"/>
      <c r="CQ86" s="32">
        <f t="shared" si="180"/>
        <v>1.5600000000000009</v>
      </c>
      <c r="CR86" s="36">
        <f t="shared" si="181"/>
        <v>1.5600000000000009</v>
      </c>
      <c r="CS86" s="32">
        <f t="shared" si="123"/>
        <v>4.2399039204927975</v>
      </c>
      <c r="CT86" s="40">
        <f t="shared" si="182"/>
        <v>4.2399039204927975</v>
      </c>
      <c r="CU86" s="32"/>
      <c r="CV86" s="32">
        <f t="shared" si="183"/>
        <v>1.5600000000000009</v>
      </c>
      <c r="CW86" s="32">
        <f t="shared" si="184"/>
        <v>1.5600000000000009</v>
      </c>
      <c r="CX86" s="32">
        <f t="shared" si="124"/>
        <v>4.2399039204927975</v>
      </c>
      <c r="CY86" s="40">
        <f t="shared" si="185"/>
        <v>4.2399039204927975</v>
      </c>
      <c r="CZ86" s="32"/>
      <c r="DA86" s="32">
        <f t="shared" si="186"/>
        <v>1.5600000000000009</v>
      </c>
      <c r="DB86" s="36">
        <f t="shared" si="187"/>
        <v>1.5600000000000009</v>
      </c>
      <c r="DC86" s="32">
        <f t="shared" si="125"/>
        <v>4.2399039204927975</v>
      </c>
      <c r="DD86" s="40">
        <f t="shared" si="188"/>
        <v>4.2399039204927975</v>
      </c>
      <c r="DE86" s="32"/>
      <c r="DF86" s="32">
        <f t="shared" si="189"/>
        <v>1.5600000000000009</v>
      </c>
      <c r="DG86" s="36">
        <f t="shared" si="190"/>
        <v>1.5600000000000009</v>
      </c>
      <c r="DH86" s="32">
        <f t="shared" si="126"/>
        <v>4.2399039204927975</v>
      </c>
      <c r="DI86" s="40">
        <f t="shared" si="191"/>
        <v>4.2399039204927975</v>
      </c>
      <c r="DJ86" s="32"/>
      <c r="DK86" s="32">
        <f t="shared" si="192"/>
        <v>1.5600000000000009</v>
      </c>
      <c r="DL86" s="32">
        <f t="shared" si="193"/>
        <v>1.5600000000000009</v>
      </c>
      <c r="DM86" s="32">
        <f t="shared" si="127"/>
        <v>4.2399039204927975</v>
      </c>
      <c r="DN86" s="40">
        <f t="shared" si="194"/>
        <v>4.2399039204927975</v>
      </c>
      <c r="DO86" s="32"/>
      <c r="DP86" s="32">
        <f t="shared" si="195"/>
        <v>1.5600000000000009</v>
      </c>
      <c r="DQ86" s="36">
        <f t="shared" si="196"/>
        <v>1.5600000000000009</v>
      </c>
      <c r="DR86" s="32">
        <f t="shared" si="128"/>
        <v>4.2399039204927975</v>
      </c>
      <c r="DS86" s="40">
        <f t="shared" si="197"/>
        <v>4.2399039204927975</v>
      </c>
      <c r="DT86" s="32"/>
      <c r="DU86" s="32">
        <f t="shared" si="198"/>
        <v>1.5600000000000009</v>
      </c>
      <c r="DV86" s="36">
        <f t="shared" si="199"/>
        <v>1.5600000000000009</v>
      </c>
      <c r="DW86" s="32">
        <f t="shared" si="129"/>
        <v>4.2399039204927975</v>
      </c>
      <c r="DX86" s="40">
        <f t="shared" si="200"/>
        <v>4.2399039204927975</v>
      </c>
      <c r="DY86" s="32"/>
      <c r="DZ86" s="32">
        <f t="shared" si="201"/>
        <v>1.5600000000000009</v>
      </c>
      <c r="EA86" s="32">
        <f t="shared" si="202"/>
        <v>1.5600000000000009</v>
      </c>
      <c r="EB86" s="32">
        <f t="shared" si="130"/>
        <v>4.2399039204927975</v>
      </c>
      <c r="EC86" s="40">
        <f t="shared" si="203"/>
        <v>4.2399039204927975</v>
      </c>
      <c r="ED86" s="32"/>
      <c r="EE86" s="32">
        <f t="shared" si="204"/>
        <v>1.5600000000000009</v>
      </c>
      <c r="EF86" s="36">
        <f t="shared" si="205"/>
        <v>1.5600000000000009</v>
      </c>
      <c r="EG86" s="32">
        <f t="shared" si="131"/>
        <v>4.2399039204927975</v>
      </c>
      <c r="EH86" s="40">
        <f t="shared" si="206"/>
        <v>4.2399039204927975</v>
      </c>
      <c r="EI86" s="32"/>
      <c r="EJ86" s="32">
        <f t="shared" si="207"/>
        <v>1.5600000000000009</v>
      </c>
      <c r="EK86" s="36">
        <f t="shared" si="208"/>
        <v>1.5600000000000009</v>
      </c>
      <c r="EL86" s="32">
        <f t="shared" si="132"/>
        <v>4.2399039204927975</v>
      </c>
      <c r="EM86" s="40">
        <f t="shared" si="209"/>
        <v>4.2399039204927975</v>
      </c>
      <c r="EN86" s="32"/>
      <c r="EO86" s="32">
        <f t="shared" si="210"/>
        <v>1.5600000000000009</v>
      </c>
      <c r="EP86" s="32">
        <f t="shared" si="211"/>
        <v>1.5600000000000009</v>
      </c>
      <c r="EQ86" s="32">
        <f t="shared" si="133"/>
        <v>4.2399039204927975</v>
      </c>
      <c r="ER86" s="40">
        <f t="shared" si="212"/>
        <v>4.2399039204927975</v>
      </c>
      <c r="ES86" s="32"/>
      <c r="ET86" s="32">
        <f t="shared" si="213"/>
        <v>1.5600000000000009</v>
      </c>
      <c r="EU86" s="36">
        <f t="shared" si="214"/>
        <v>1.5600000000000009</v>
      </c>
      <c r="EV86" s="32">
        <f t="shared" si="134"/>
        <v>4.2399039204927975</v>
      </c>
      <c r="EW86" s="40">
        <f t="shared" si="215"/>
        <v>4.2399039204927975</v>
      </c>
      <c r="EX86" s="32"/>
    </row>
    <row r="87" spans="20:154" s="3" customFormat="1" x14ac:dyDescent="0.25">
      <c r="T87" s="32">
        <f t="shared" si="135"/>
        <v>1.580000000000001</v>
      </c>
      <c r="U87" s="36">
        <f t="shared" si="136"/>
        <v>1.580000000000001</v>
      </c>
      <c r="V87" s="32">
        <f t="shared" si="108"/>
        <v>4.1847113077491533</v>
      </c>
      <c r="W87" s="40">
        <f t="shared" si="137"/>
        <v>4.1847113077491533</v>
      </c>
      <c r="X87" s="32"/>
      <c r="Y87" s="32">
        <f t="shared" si="138"/>
        <v>1.580000000000001</v>
      </c>
      <c r="Z87" s="32">
        <f t="shared" si="139"/>
        <v>1.580000000000001</v>
      </c>
      <c r="AA87" s="32">
        <f t="shared" si="109"/>
        <v>4.1847113077491533</v>
      </c>
      <c r="AB87" s="40">
        <f t="shared" si="140"/>
        <v>4.1847113077491533</v>
      </c>
      <c r="AC87" s="32"/>
      <c r="AD87" s="32">
        <f t="shared" si="141"/>
        <v>1.580000000000001</v>
      </c>
      <c r="AE87" s="36">
        <f t="shared" si="142"/>
        <v>1.580000000000001</v>
      </c>
      <c r="AF87" s="32">
        <f t="shared" si="110"/>
        <v>4.1847113077491533</v>
      </c>
      <c r="AG87" s="40">
        <f t="shared" si="143"/>
        <v>4.1847113077491533</v>
      </c>
      <c r="AH87" s="32"/>
      <c r="AI87" s="32">
        <f t="shared" si="144"/>
        <v>1.580000000000001</v>
      </c>
      <c r="AJ87" s="36">
        <f t="shared" si="145"/>
        <v>1.580000000000001</v>
      </c>
      <c r="AK87" s="32">
        <f t="shared" si="111"/>
        <v>4.1847113077491533</v>
      </c>
      <c r="AL87" s="40">
        <f t="shared" si="146"/>
        <v>4.1847113077491533</v>
      </c>
      <c r="AM87" s="32"/>
      <c r="AN87" s="32">
        <f t="shared" si="147"/>
        <v>1.580000000000001</v>
      </c>
      <c r="AO87" s="32">
        <f t="shared" si="148"/>
        <v>1.580000000000001</v>
      </c>
      <c r="AP87" s="32">
        <f t="shared" si="112"/>
        <v>4.1847113077491533</v>
      </c>
      <c r="AQ87" s="40">
        <f t="shared" si="149"/>
        <v>4.1847113077491533</v>
      </c>
      <c r="AR87" s="32"/>
      <c r="AS87" s="32">
        <f t="shared" si="150"/>
        <v>1.580000000000001</v>
      </c>
      <c r="AT87" s="36">
        <f t="shared" si="151"/>
        <v>1.580000000000001</v>
      </c>
      <c r="AU87" s="32">
        <f t="shared" si="113"/>
        <v>4.1847113077491533</v>
      </c>
      <c r="AV87" s="40">
        <f t="shared" si="152"/>
        <v>4.1847113077491533</v>
      </c>
      <c r="AW87" s="32"/>
      <c r="AX87" s="32">
        <f t="shared" si="153"/>
        <v>1.580000000000001</v>
      </c>
      <c r="AY87" s="36">
        <f t="shared" si="154"/>
        <v>1.580000000000001</v>
      </c>
      <c r="AZ87" s="32">
        <f t="shared" si="114"/>
        <v>4.1847113077491533</v>
      </c>
      <c r="BA87" s="40">
        <f t="shared" si="155"/>
        <v>4.1847113077491533</v>
      </c>
      <c r="BB87" s="32"/>
      <c r="BC87" s="32">
        <f t="shared" si="156"/>
        <v>1.580000000000001</v>
      </c>
      <c r="BD87" s="32">
        <f t="shared" si="157"/>
        <v>1.580000000000001</v>
      </c>
      <c r="BE87" s="32">
        <f t="shared" si="115"/>
        <v>4.1847113077491533</v>
      </c>
      <c r="BF87" s="40">
        <f t="shared" si="158"/>
        <v>4.1847113077491533</v>
      </c>
      <c r="BG87" s="32"/>
      <c r="BH87" s="32">
        <f t="shared" si="159"/>
        <v>1.580000000000001</v>
      </c>
      <c r="BI87" s="36">
        <f t="shared" si="160"/>
        <v>1.580000000000001</v>
      </c>
      <c r="BJ87" s="32">
        <f t="shared" si="116"/>
        <v>4.1847113077491533</v>
      </c>
      <c r="BK87" s="40">
        <f t="shared" si="161"/>
        <v>4.1847113077491533</v>
      </c>
      <c r="BL87" s="32"/>
      <c r="BM87" s="32">
        <f t="shared" si="162"/>
        <v>1.580000000000001</v>
      </c>
      <c r="BN87" s="36">
        <f t="shared" si="163"/>
        <v>1.580000000000001</v>
      </c>
      <c r="BO87" s="32">
        <f t="shared" si="117"/>
        <v>4.1847113077491533</v>
      </c>
      <c r="BP87" s="40">
        <f t="shared" si="164"/>
        <v>4.1847113077491533</v>
      </c>
      <c r="BQ87" s="32"/>
      <c r="BR87" s="32">
        <f t="shared" si="165"/>
        <v>1.580000000000001</v>
      </c>
      <c r="BS87" s="32">
        <f t="shared" si="166"/>
        <v>1.580000000000001</v>
      </c>
      <c r="BT87" s="32">
        <f t="shared" si="118"/>
        <v>4.1847113077491533</v>
      </c>
      <c r="BU87" s="40">
        <f t="shared" si="167"/>
        <v>4.1847113077491533</v>
      </c>
      <c r="BV87" s="32"/>
      <c r="BW87" s="32">
        <f t="shared" si="168"/>
        <v>1.580000000000001</v>
      </c>
      <c r="BX87" s="36">
        <f t="shared" si="169"/>
        <v>1.580000000000001</v>
      </c>
      <c r="BY87" s="32">
        <f t="shared" si="119"/>
        <v>4.1847113077491533</v>
      </c>
      <c r="BZ87" s="40">
        <f t="shared" si="170"/>
        <v>4.1847113077491533</v>
      </c>
      <c r="CA87" s="32"/>
      <c r="CB87" s="32">
        <f t="shared" si="171"/>
        <v>1.580000000000001</v>
      </c>
      <c r="CC87" s="36">
        <f t="shared" si="172"/>
        <v>1.580000000000001</v>
      </c>
      <c r="CD87" s="32">
        <f t="shared" si="120"/>
        <v>4.1847113077491533</v>
      </c>
      <c r="CE87" s="40">
        <f t="shared" si="173"/>
        <v>4.1847113077491533</v>
      </c>
      <c r="CF87" s="32"/>
      <c r="CG87" s="39">
        <f t="shared" si="174"/>
        <v>1.580000000000001</v>
      </c>
      <c r="CH87" s="39">
        <f t="shared" si="175"/>
        <v>1.580000000000001</v>
      </c>
      <c r="CI87" s="39">
        <f t="shared" si="121"/>
        <v>4.1847113077491533</v>
      </c>
      <c r="CJ87" s="40">
        <f t="shared" si="176"/>
        <v>4.1847113077491533</v>
      </c>
      <c r="CK87" s="39"/>
      <c r="CL87" s="32">
        <f t="shared" si="177"/>
        <v>1.580000000000001</v>
      </c>
      <c r="CM87" s="36">
        <f t="shared" si="178"/>
        <v>1.580000000000001</v>
      </c>
      <c r="CN87" s="32">
        <f t="shared" si="122"/>
        <v>4.1847113077491533</v>
      </c>
      <c r="CO87" s="40">
        <f t="shared" si="179"/>
        <v>4.1847113077491533</v>
      </c>
      <c r="CP87" s="32"/>
      <c r="CQ87" s="32">
        <f t="shared" si="180"/>
        <v>1.580000000000001</v>
      </c>
      <c r="CR87" s="36">
        <f t="shared" si="181"/>
        <v>1.580000000000001</v>
      </c>
      <c r="CS87" s="32">
        <f t="shared" si="123"/>
        <v>4.1847113077491533</v>
      </c>
      <c r="CT87" s="40">
        <f t="shared" si="182"/>
        <v>4.1847113077491533</v>
      </c>
      <c r="CU87" s="32"/>
      <c r="CV87" s="32">
        <f t="shared" si="183"/>
        <v>1.580000000000001</v>
      </c>
      <c r="CW87" s="32">
        <f t="shared" si="184"/>
        <v>1.580000000000001</v>
      </c>
      <c r="CX87" s="32">
        <f t="shared" si="124"/>
        <v>4.1847113077491533</v>
      </c>
      <c r="CY87" s="40">
        <f t="shared" si="185"/>
        <v>4.1847113077491533</v>
      </c>
      <c r="CZ87" s="32"/>
      <c r="DA87" s="32">
        <f t="shared" si="186"/>
        <v>1.580000000000001</v>
      </c>
      <c r="DB87" s="36">
        <f t="shared" si="187"/>
        <v>1.580000000000001</v>
      </c>
      <c r="DC87" s="32">
        <f t="shared" si="125"/>
        <v>4.1847113077491533</v>
      </c>
      <c r="DD87" s="40">
        <f t="shared" si="188"/>
        <v>4.1847113077491533</v>
      </c>
      <c r="DE87" s="32"/>
      <c r="DF87" s="32">
        <f t="shared" si="189"/>
        <v>1.580000000000001</v>
      </c>
      <c r="DG87" s="36">
        <f t="shared" si="190"/>
        <v>1.580000000000001</v>
      </c>
      <c r="DH87" s="32">
        <f t="shared" si="126"/>
        <v>4.1847113077491533</v>
      </c>
      <c r="DI87" s="40">
        <f t="shared" si="191"/>
        <v>4.1847113077491533</v>
      </c>
      <c r="DJ87" s="32"/>
      <c r="DK87" s="32">
        <f t="shared" si="192"/>
        <v>1.580000000000001</v>
      </c>
      <c r="DL87" s="32">
        <f t="shared" si="193"/>
        <v>1.580000000000001</v>
      </c>
      <c r="DM87" s="32">
        <f t="shared" si="127"/>
        <v>4.1847113077491533</v>
      </c>
      <c r="DN87" s="40">
        <f t="shared" si="194"/>
        <v>4.1847113077491533</v>
      </c>
      <c r="DO87" s="32"/>
      <c r="DP87" s="32">
        <f t="shared" si="195"/>
        <v>1.580000000000001</v>
      </c>
      <c r="DQ87" s="36">
        <f t="shared" si="196"/>
        <v>1.580000000000001</v>
      </c>
      <c r="DR87" s="32">
        <f t="shared" si="128"/>
        <v>4.1847113077491533</v>
      </c>
      <c r="DS87" s="40">
        <f t="shared" si="197"/>
        <v>4.1847113077491533</v>
      </c>
      <c r="DT87" s="32"/>
      <c r="DU87" s="32">
        <f t="shared" si="198"/>
        <v>1.580000000000001</v>
      </c>
      <c r="DV87" s="36">
        <f t="shared" si="199"/>
        <v>1.580000000000001</v>
      </c>
      <c r="DW87" s="32">
        <f t="shared" si="129"/>
        <v>4.1847113077491533</v>
      </c>
      <c r="DX87" s="40">
        <f t="shared" si="200"/>
        <v>4.1847113077491533</v>
      </c>
      <c r="DY87" s="32"/>
      <c r="DZ87" s="32">
        <f t="shared" si="201"/>
        <v>1.580000000000001</v>
      </c>
      <c r="EA87" s="32">
        <f t="shared" si="202"/>
        <v>1.580000000000001</v>
      </c>
      <c r="EB87" s="32">
        <f t="shared" si="130"/>
        <v>4.1847113077491533</v>
      </c>
      <c r="EC87" s="40">
        <f t="shared" si="203"/>
        <v>4.1847113077491533</v>
      </c>
      <c r="ED87" s="32"/>
      <c r="EE87" s="32">
        <f t="shared" si="204"/>
        <v>1.580000000000001</v>
      </c>
      <c r="EF87" s="36">
        <f t="shared" si="205"/>
        <v>1.580000000000001</v>
      </c>
      <c r="EG87" s="32">
        <f t="shared" si="131"/>
        <v>4.1847113077491533</v>
      </c>
      <c r="EH87" s="40">
        <f t="shared" si="206"/>
        <v>4.1847113077491533</v>
      </c>
      <c r="EI87" s="32"/>
      <c r="EJ87" s="32">
        <f t="shared" si="207"/>
        <v>1.580000000000001</v>
      </c>
      <c r="EK87" s="36">
        <f t="shared" si="208"/>
        <v>1.580000000000001</v>
      </c>
      <c r="EL87" s="32">
        <f t="shared" si="132"/>
        <v>4.1847113077491533</v>
      </c>
      <c r="EM87" s="40">
        <f t="shared" si="209"/>
        <v>4.1847113077491533</v>
      </c>
      <c r="EN87" s="32"/>
      <c r="EO87" s="32">
        <f t="shared" si="210"/>
        <v>1.580000000000001</v>
      </c>
      <c r="EP87" s="32">
        <f t="shared" si="211"/>
        <v>1.580000000000001</v>
      </c>
      <c r="EQ87" s="32">
        <f t="shared" si="133"/>
        <v>4.1847113077491533</v>
      </c>
      <c r="ER87" s="40">
        <f t="shared" si="212"/>
        <v>4.1847113077491533</v>
      </c>
      <c r="ES87" s="32"/>
      <c r="ET87" s="32">
        <f t="shared" si="213"/>
        <v>1.580000000000001</v>
      </c>
      <c r="EU87" s="36">
        <f t="shared" si="214"/>
        <v>1.580000000000001</v>
      </c>
      <c r="EV87" s="32">
        <f t="shared" si="134"/>
        <v>4.1847113077491533</v>
      </c>
      <c r="EW87" s="40">
        <f t="shared" si="215"/>
        <v>4.1847113077491533</v>
      </c>
      <c r="EX87" s="32"/>
    </row>
    <row r="88" spans="20:154" s="3" customFormat="1" x14ac:dyDescent="0.25">
      <c r="T88" s="32">
        <f t="shared" si="135"/>
        <v>1.600000000000001</v>
      </c>
      <c r="U88" s="36">
        <f t="shared" si="136"/>
        <v>1.600000000000001</v>
      </c>
      <c r="V88" s="32">
        <f t="shared" si="108"/>
        <v>4.1268101822776631</v>
      </c>
      <c r="W88" s="40">
        <f t="shared" si="137"/>
        <v>4.1268101822776631</v>
      </c>
      <c r="X88" s="32"/>
      <c r="Y88" s="32">
        <f t="shared" si="138"/>
        <v>1.600000000000001</v>
      </c>
      <c r="Z88" s="32">
        <f t="shared" si="139"/>
        <v>1.600000000000001</v>
      </c>
      <c r="AA88" s="32">
        <f t="shared" si="109"/>
        <v>4.1268101822776631</v>
      </c>
      <c r="AB88" s="40">
        <f t="shared" si="140"/>
        <v>4.1268101822776631</v>
      </c>
      <c r="AC88" s="32"/>
      <c r="AD88" s="32">
        <f t="shared" si="141"/>
        <v>1.600000000000001</v>
      </c>
      <c r="AE88" s="36">
        <f t="shared" si="142"/>
        <v>1.600000000000001</v>
      </c>
      <c r="AF88" s="32">
        <f t="shared" si="110"/>
        <v>4.1268101822776631</v>
      </c>
      <c r="AG88" s="40">
        <f t="shared" si="143"/>
        <v>4.1268101822776631</v>
      </c>
      <c r="AH88" s="32"/>
      <c r="AI88" s="32">
        <f t="shared" si="144"/>
        <v>1.600000000000001</v>
      </c>
      <c r="AJ88" s="36">
        <f t="shared" si="145"/>
        <v>1.600000000000001</v>
      </c>
      <c r="AK88" s="32">
        <f t="shared" si="111"/>
        <v>4.1268101822776631</v>
      </c>
      <c r="AL88" s="40">
        <f t="shared" si="146"/>
        <v>4.1268101822776631</v>
      </c>
      <c r="AM88" s="32"/>
      <c r="AN88" s="32">
        <f t="shared" si="147"/>
        <v>1.600000000000001</v>
      </c>
      <c r="AO88" s="32">
        <f t="shared" si="148"/>
        <v>1.600000000000001</v>
      </c>
      <c r="AP88" s="32">
        <f t="shared" si="112"/>
        <v>4.1268101822776631</v>
      </c>
      <c r="AQ88" s="40">
        <f t="shared" si="149"/>
        <v>4.1268101822776631</v>
      </c>
      <c r="AR88" s="32"/>
      <c r="AS88" s="32">
        <f t="shared" si="150"/>
        <v>1.600000000000001</v>
      </c>
      <c r="AT88" s="36">
        <f t="shared" si="151"/>
        <v>1.600000000000001</v>
      </c>
      <c r="AU88" s="32">
        <f t="shared" si="113"/>
        <v>4.1268101822776631</v>
      </c>
      <c r="AV88" s="40">
        <f t="shared" si="152"/>
        <v>4.1268101822776631</v>
      </c>
      <c r="AW88" s="32"/>
      <c r="AX88" s="32">
        <f t="shared" si="153"/>
        <v>1.600000000000001</v>
      </c>
      <c r="AY88" s="36">
        <f t="shared" si="154"/>
        <v>1.600000000000001</v>
      </c>
      <c r="AZ88" s="32">
        <f t="shared" si="114"/>
        <v>4.1268101822776631</v>
      </c>
      <c r="BA88" s="40">
        <f t="shared" si="155"/>
        <v>4.1268101822776631</v>
      </c>
      <c r="BB88" s="32"/>
      <c r="BC88" s="32">
        <f t="shared" si="156"/>
        <v>1.600000000000001</v>
      </c>
      <c r="BD88" s="32">
        <f t="shared" si="157"/>
        <v>1.600000000000001</v>
      </c>
      <c r="BE88" s="32">
        <f t="shared" si="115"/>
        <v>4.1268101822776631</v>
      </c>
      <c r="BF88" s="40">
        <f t="shared" si="158"/>
        <v>4.1268101822776631</v>
      </c>
      <c r="BG88" s="32"/>
      <c r="BH88" s="32">
        <f t="shared" si="159"/>
        <v>1.600000000000001</v>
      </c>
      <c r="BI88" s="36">
        <f t="shared" si="160"/>
        <v>1.600000000000001</v>
      </c>
      <c r="BJ88" s="32">
        <f t="shared" si="116"/>
        <v>4.1268101822776631</v>
      </c>
      <c r="BK88" s="40">
        <f t="shared" si="161"/>
        <v>4.1268101822776631</v>
      </c>
      <c r="BL88" s="32"/>
      <c r="BM88" s="32">
        <f t="shared" si="162"/>
        <v>1.600000000000001</v>
      </c>
      <c r="BN88" s="36">
        <f t="shared" si="163"/>
        <v>1.600000000000001</v>
      </c>
      <c r="BO88" s="32">
        <f t="shared" si="117"/>
        <v>4.1268101822776631</v>
      </c>
      <c r="BP88" s="40">
        <f t="shared" si="164"/>
        <v>4.1268101822776631</v>
      </c>
      <c r="BQ88" s="32"/>
      <c r="BR88" s="32">
        <f t="shared" si="165"/>
        <v>1.600000000000001</v>
      </c>
      <c r="BS88" s="32">
        <f t="shared" si="166"/>
        <v>1.600000000000001</v>
      </c>
      <c r="BT88" s="32">
        <f t="shared" si="118"/>
        <v>4.1268101822776631</v>
      </c>
      <c r="BU88" s="40">
        <f t="shared" si="167"/>
        <v>4.1268101822776631</v>
      </c>
      <c r="BV88" s="32"/>
      <c r="BW88" s="32">
        <f t="shared" si="168"/>
        <v>1.600000000000001</v>
      </c>
      <c r="BX88" s="36">
        <f t="shared" si="169"/>
        <v>1.600000000000001</v>
      </c>
      <c r="BY88" s="32">
        <f t="shared" si="119"/>
        <v>4.1268101822776631</v>
      </c>
      <c r="BZ88" s="40">
        <f t="shared" si="170"/>
        <v>4.1268101822776631</v>
      </c>
      <c r="CA88" s="32"/>
      <c r="CB88" s="32">
        <f t="shared" si="171"/>
        <v>1.600000000000001</v>
      </c>
      <c r="CC88" s="36">
        <f t="shared" si="172"/>
        <v>1.600000000000001</v>
      </c>
      <c r="CD88" s="32">
        <f t="shared" si="120"/>
        <v>4.1268101822776631</v>
      </c>
      <c r="CE88" s="40">
        <f t="shared" si="173"/>
        <v>4.1268101822776631</v>
      </c>
      <c r="CF88" s="32"/>
      <c r="CG88" s="39">
        <f t="shared" si="174"/>
        <v>1.600000000000001</v>
      </c>
      <c r="CH88" s="39">
        <f t="shared" si="175"/>
        <v>1.600000000000001</v>
      </c>
      <c r="CI88" s="39">
        <f t="shared" si="121"/>
        <v>4.1268101822776631</v>
      </c>
      <c r="CJ88" s="40">
        <f t="shared" si="176"/>
        <v>4.1268101822776631</v>
      </c>
      <c r="CK88" s="39"/>
      <c r="CL88" s="32">
        <f t="shared" si="177"/>
        <v>1.600000000000001</v>
      </c>
      <c r="CM88" s="36">
        <f t="shared" si="178"/>
        <v>1.600000000000001</v>
      </c>
      <c r="CN88" s="32">
        <f t="shared" si="122"/>
        <v>4.1268101822776631</v>
      </c>
      <c r="CO88" s="40">
        <f t="shared" si="179"/>
        <v>4.1268101822776631</v>
      </c>
      <c r="CP88" s="32"/>
      <c r="CQ88" s="32">
        <f t="shared" si="180"/>
        <v>1.600000000000001</v>
      </c>
      <c r="CR88" s="36">
        <f t="shared" si="181"/>
        <v>1.600000000000001</v>
      </c>
      <c r="CS88" s="32">
        <f t="shared" si="123"/>
        <v>4.1268101822776631</v>
      </c>
      <c r="CT88" s="40">
        <f t="shared" si="182"/>
        <v>4.1268101822776631</v>
      </c>
      <c r="CU88" s="32"/>
      <c r="CV88" s="32">
        <f t="shared" si="183"/>
        <v>1.600000000000001</v>
      </c>
      <c r="CW88" s="32">
        <f t="shared" si="184"/>
        <v>1.600000000000001</v>
      </c>
      <c r="CX88" s="32">
        <f t="shared" si="124"/>
        <v>4.1268101822776631</v>
      </c>
      <c r="CY88" s="40">
        <f t="shared" si="185"/>
        <v>4.1268101822776631</v>
      </c>
      <c r="CZ88" s="32"/>
      <c r="DA88" s="32">
        <f t="shared" si="186"/>
        <v>1.600000000000001</v>
      </c>
      <c r="DB88" s="36">
        <f t="shared" si="187"/>
        <v>1.600000000000001</v>
      </c>
      <c r="DC88" s="32">
        <f t="shared" si="125"/>
        <v>4.1268101822776631</v>
      </c>
      <c r="DD88" s="40">
        <f t="shared" si="188"/>
        <v>4.1268101822776631</v>
      </c>
      <c r="DE88" s="32"/>
      <c r="DF88" s="32">
        <f t="shared" si="189"/>
        <v>1.600000000000001</v>
      </c>
      <c r="DG88" s="36">
        <f t="shared" si="190"/>
        <v>1.600000000000001</v>
      </c>
      <c r="DH88" s="32">
        <f t="shared" si="126"/>
        <v>4.1268101822776631</v>
      </c>
      <c r="DI88" s="40">
        <f t="shared" si="191"/>
        <v>4.1268101822776631</v>
      </c>
      <c r="DJ88" s="32"/>
      <c r="DK88" s="32">
        <f t="shared" si="192"/>
        <v>1.600000000000001</v>
      </c>
      <c r="DL88" s="32">
        <f t="shared" si="193"/>
        <v>1.600000000000001</v>
      </c>
      <c r="DM88" s="32">
        <f t="shared" si="127"/>
        <v>4.1268101822776631</v>
      </c>
      <c r="DN88" s="40">
        <f t="shared" si="194"/>
        <v>4.1268101822776631</v>
      </c>
      <c r="DO88" s="32"/>
      <c r="DP88" s="32">
        <f t="shared" si="195"/>
        <v>1.600000000000001</v>
      </c>
      <c r="DQ88" s="36">
        <f t="shared" si="196"/>
        <v>1.600000000000001</v>
      </c>
      <c r="DR88" s="32">
        <f t="shared" si="128"/>
        <v>4.1268101822776631</v>
      </c>
      <c r="DS88" s="40">
        <f t="shared" si="197"/>
        <v>4.1268101822776631</v>
      </c>
      <c r="DT88" s="32"/>
      <c r="DU88" s="32">
        <f t="shared" si="198"/>
        <v>1.600000000000001</v>
      </c>
      <c r="DV88" s="36">
        <f t="shared" si="199"/>
        <v>1.600000000000001</v>
      </c>
      <c r="DW88" s="32">
        <f t="shared" si="129"/>
        <v>4.1268101822776631</v>
      </c>
      <c r="DX88" s="40">
        <f t="shared" si="200"/>
        <v>4.1268101822776631</v>
      </c>
      <c r="DY88" s="32"/>
      <c r="DZ88" s="32">
        <f t="shared" si="201"/>
        <v>1.600000000000001</v>
      </c>
      <c r="EA88" s="32">
        <f t="shared" si="202"/>
        <v>1.600000000000001</v>
      </c>
      <c r="EB88" s="32">
        <f t="shared" si="130"/>
        <v>4.1268101822776631</v>
      </c>
      <c r="EC88" s="40">
        <f t="shared" si="203"/>
        <v>4.1268101822776631</v>
      </c>
      <c r="ED88" s="32"/>
      <c r="EE88" s="32">
        <f t="shared" si="204"/>
        <v>1.600000000000001</v>
      </c>
      <c r="EF88" s="36">
        <f t="shared" si="205"/>
        <v>1.600000000000001</v>
      </c>
      <c r="EG88" s="32">
        <f t="shared" si="131"/>
        <v>4.1268101822776631</v>
      </c>
      <c r="EH88" s="40">
        <f t="shared" si="206"/>
        <v>4.1268101822776631</v>
      </c>
      <c r="EI88" s="32"/>
      <c r="EJ88" s="32">
        <f t="shared" si="207"/>
        <v>1.600000000000001</v>
      </c>
      <c r="EK88" s="36">
        <f t="shared" si="208"/>
        <v>1.600000000000001</v>
      </c>
      <c r="EL88" s="32">
        <f t="shared" si="132"/>
        <v>4.1268101822776631</v>
      </c>
      <c r="EM88" s="40">
        <f t="shared" si="209"/>
        <v>4.1268101822776631</v>
      </c>
      <c r="EN88" s="32"/>
      <c r="EO88" s="32">
        <f t="shared" si="210"/>
        <v>1.600000000000001</v>
      </c>
      <c r="EP88" s="32">
        <f t="shared" si="211"/>
        <v>1.600000000000001</v>
      </c>
      <c r="EQ88" s="32">
        <f t="shared" si="133"/>
        <v>4.1268101822776631</v>
      </c>
      <c r="ER88" s="40">
        <f t="shared" si="212"/>
        <v>4.1268101822776631</v>
      </c>
      <c r="ES88" s="32"/>
      <c r="ET88" s="32">
        <f t="shared" si="213"/>
        <v>1.600000000000001</v>
      </c>
      <c r="EU88" s="36">
        <f t="shared" si="214"/>
        <v>1.600000000000001</v>
      </c>
      <c r="EV88" s="32">
        <f t="shared" si="134"/>
        <v>4.1268101822776631</v>
      </c>
      <c r="EW88" s="40">
        <f t="shared" si="215"/>
        <v>4.1268101822776631</v>
      </c>
      <c r="EX88" s="32"/>
    </row>
    <row r="89" spans="20:154" s="3" customFormat="1" x14ac:dyDescent="0.25">
      <c r="T89" s="32">
        <f t="shared" si="135"/>
        <v>1.620000000000001</v>
      </c>
      <c r="U89" s="36">
        <f t="shared" si="136"/>
        <v>1.620000000000001</v>
      </c>
      <c r="V89" s="32">
        <f t="shared" si="108"/>
        <v>4.0662005440783302</v>
      </c>
      <c r="W89" s="40">
        <f t="shared" si="137"/>
        <v>4.0662005440783302</v>
      </c>
      <c r="X89" s="32"/>
      <c r="Y89" s="32">
        <f t="shared" si="138"/>
        <v>1.620000000000001</v>
      </c>
      <c r="Z89" s="32">
        <f t="shared" si="139"/>
        <v>1.620000000000001</v>
      </c>
      <c r="AA89" s="32">
        <f t="shared" si="109"/>
        <v>4.0662005440783302</v>
      </c>
      <c r="AB89" s="40">
        <f t="shared" si="140"/>
        <v>4.0662005440783302</v>
      </c>
      <c r="AC89" s="32"/>
      <c r="AD89" s="32">
        <f t="shared" si="141"/>
        <v>1.620000000000001</v>
      </c>
      <c r="AE89" s="36">
        <f t="shared" si="142"/>
        <v>1.620000000000001</v>
      </c>
      <c r="AF89" s="32">
        <f t="shared" si="110"/>
        <v>4.0662005440783302</v>
      </c>
      <c r="AG89" s="40">
        <f t="shared" si="143"/>
        <v>4.0662005440783302</v>
      </c>
      <c r="AH89" s="32"/>
      <c r="AI89" s="32">
        <f t="shared" si="144"/>
        <v>1.620000000000001</v>
      </c>
      <c r="AJ89" s="36">
        <f t="shared" si="145"/>
        <v>1.620000000000001</v>
      </c>
      <c r="AK89" s="32">
        <f t="shared" si="111"/>
        <v>4.0662005440783302</v>
      </c>
      <c r="AL89" s="40">
        <f t="shared" si="146"/>
        <v>4.0662005440783302</v>
      </c>
      <c r="AM89" s="32"/>
      <c r="AN89" s="32">
        <f t="shared" si="147"/>
        <v>1.620000000000001</v>
      </c>
      <c r="AO89" s="32">
        <f t="shared" si="148"/>
        <v>1.620000000000001</v>
      </c>
      <c r="AP89" s="32">
        <f t="shared" si="112"/>
        <v>4.0662005440783302</v>
      </c>
      <c r="AQ89" s="40">
        <f t="shared" si="149"/>
        <v>4.0662005440783302</v>
      </c>
      <c r="AR89" s="32"/>
      <c r="AS89" s="32">
        <f t="shared" si="150"/>
        <v>1.620000000000001</v>
      </c>
      <c r="AT89" s="36">
        <f t="shared" si="151"/>
        <v>1.620000000000001</v>
      </c>
      <c r="AU89" s="32">
        <f t="shared" si="113"/>
        <v>4.0662005440783302</v>
      </c>
      <c r="AV89" s="40">
        <f t="shared" si="152"/>
        <v>4.0662005440783302</v>
      </c>
      <c r="AW89" s="32"/>
      <c r="AX89" s="32">
        <f t="shared" si="153"/>
        <v>1.620000000000001</v>
      </c>
      <c r="AY89" s="36">
        <f t="shared" si="154"/>
        <v>1.620000000000001</v>
      </c>
      <c r="AZ89" s="32">
        <f t="shared" si="114"/>
        <v>4.0662005440783302</v>
      </c>
      <c r="BA89" s="40">
        <f t="shared" si="155"/>
        <v>4.0662005440783302</v>
      </c>
      <c r="BB89" s="32"/>
      <c r="BC89" s="32">
        <f t="shared" si="156"/>
        <v>1.620000000000001</v>
      </c>
      <c r="BD89" s="32">
        <f t="shared" si="157"/>
        <v>1.620000000000001</v>
      </c>
      <c r="BE89" s="32">
        <f t="shared" si="115"/>
        <v>4.0662005440783302</v>
      </c>
      <c r="BF89" s="40">
        <f t="shared" si="158"/>
        <v>4.0662005440783302</v>
      </c>
      <c r="BG89" s="32"/>
      <c r="BH89" s="32">
        <f t="shared" si="159"/>
        <v>1.620000000000001</v>
      </c>
      <c r="BI89" s="36">
        <f t="shared" si="160"/>
        <v>1.620000000000001</v>
      </c>
      <c r="BJ89" s="32">
        <f t="shared" si="116"/>
        <v>4.0662005440783302</v>
      </c>
      <c r="BK89" s="40">
        <f t="shared" si="161"/>
        <v>4.0662005440783302</v>
      </c>
      <c r="BL89" s="32"/>
      <c r="BM89" s="32">
        <f t="shared" si="162"/>
        <v>1.620000000000001</v>
      </c>
      <c r="BN89" s="36">
        <f t="shared" si="163"/>
        <v>1.620000000000001</v>
      </c>
      <c r="BO89" s="32">
        <f t="shared" si="117"/>
        <v>4.0662005440783302</v>
      </c>
      <c r="BP89" s="40">
        <f t="shared" si="164"/>
        <v>4.0662005440783302</v>
      </c>
      <c r="BQ89" s="32"/>
      <c r="BR89" s="32">
        <f t="shared" si="165"/>
        <v>1.620000000000001</v>
      </c>
      <c r="BS89" s="32">
        <f t="shared" si="166"/>
        <v>1.620000000000001</v>
      </c>
      <c r="BT89" s="32">
        <f t="shared" si="118"/>
        <v>4.0662005440783302</v>
      </c>
      <c r="BU89" s="40">
        <f t="shared" si="167"/>
        <v>4.0662005440783302</v>
      </c>
      <c r="BV89" s="32"/>
      <c r="BW89" s="32">
        <f t="shared" si="168"/>
        <v>1.620000000000001</v>
      </c>
      <c r="BX89" s="36">
        <f t="shared" si="169"/>
        <v>1.620000000000001</v>
      </c>
      <c r="BY89" s="32">
        <f t="shared" si="119"/>
        <v>4.0662005440783302</v>
      </c>
      <c r="BZ89" s="40">
        <f t="shared" si="170"/>
        <v>4.0662005440783302</v>
      </c>
      <c r="CA89" s="32"/>
      <c r="CB89" s="32">
        <f t="shared" si="171"/>
        <v>1.620000000000001</v>
      </c>
      <c r="CC89" s="36">
        <f t="shared" si="172"/>
        <v>1.620000000000001</v>
      </c>
      <c r="CD89" s="32">
        <f t="shared" si="120"/>
        <v>4.0662005440783302</v>
      </c>
      <c r="CE89" s="40">
        <f t="shared" si="173"/>
        <v>4.0662005440783302</v>
      </c>
      <c r="CF89" s="32"/>
      <c r="CG89" s="39">
        <f t="shared" si="174"/>
        <v>1.620000000000001</v>
      </c>
      <c r="CH89" s="39">
        <f t="shared" si="175"/>
        <v>1.620000000000001</v>
      </c>
      <c r="CI89" s="39">
        <f t="shared" si="121"/>
        <v>4.0662005440783302</v>
      </c>
      <c r="CJ89" s="40">
        <f t="shared" si="176"/>
        <v>4.0662005440783302</v>
      </c>
      <c r="CK89" s="39"/>
      <c r="CL89" s="32">
        <f t="shared" si="177"/>
        <v>1.620000000000001</v>
      </c>
      <c r="CM89" s="36">
        <f t="shared" si="178"/>
        <v>1.620000000000001</v>
      </c>
      <c r="CN89" s="32">
        <f t="shared" si="122"/>
        <v>4.0662005440783302</v>
      </c>
      <c r="CO89" s="40">
        <f t="shared" si="179"/>
        <v>4.0662005440783302</v>
      </c>
      <c r="CP89" s="32"/>
      <c r="CQ89" s="32">
        <f t="shared" si="180"/>
        <v>1.620000000000001</v>
      </c>
      <c r="CR89" s="36">
        <f t="shared" si="181"/>
        <v>1.620000000000001</v>
      </c>
      <c r="CS89" s="32">
        <f t="shared" si="123"/>
        <v>4.0662005440783302</v>
      </c>
      <c r="CT89" s="40">
        <f t="shared" si="182"/>
        <v>4.0662005440783302</v>
      </c>
      <c r="CU89" s="32"/>
      <c r="CV89" s="32">
        <f t="shared" si="183"/>
        <v>1.620000000000001</v>
      </c>
      <c r="CW89" s="32">
        <f t="shared" si="184"/>
        <v>1.620000000000001</v>
      </c>
      <c r="CX89" s="32">
        <f t="shared" si="124"/>
        <v>4.0662005440783302</v>
      </c>
      <c r="CY89" s="40">
        <f t="shared" si="185"/>
        <v>4.0662005440783302</v>
      </c>
      <c r="CZ89" s="32"/>
      <c r="DA89" s="32">
        <f t="shared" si="186"/>
        <v>1.620000000000001</v>
      </c>
      <c r="DB89" s="36">
        <f t="shared" si="187"/>
        <v>1.620000000000001</v>
      </c>
      <c r="DC89" s="32">
        <f t="shared" si="125"/>
        <v>4.0662005440783302</v>
      </c>
      <c r="DD89" s="40">
        <f t="shared" si="188"/>
        <v>4.0662005440783302</v>
      </c>
      <c r="DE89" s="32"/>
      <c r="DF89" s="32">
        <f t="shared" si="189"/>
        <v>1.620000000000001</v>
      </c>
      <c r="DG89" s="36">
        <f t="shared" si="190"/>
        <v>1.620000000000001</v>
      </c>
      <c r="DH89" s="32">
        <f t="shared" si="126"/>
        <v>4.0662005440783302</v>
      </c>
      <c r="DI89" s="40">
        <f t="shared" si="191"/>
        <v>4.0662005440783302</v>
      </c>
      <c r="DJ89" s="32"/>
      <c r="DK89" s="32">
        <f t="shared" si="192"/>
        <v>1.620000000000001</v>
      </c>
      <c r="DL89" s="32">
        <f t="shared" si="193"/>
        <v>1.620000000000001</v>
      </c>
      <c r="DM89" s="32">
        <f t="shared" si="127"/>
        <v>4.0662005440783302</v>
      </c>
      <c r="DN89" s="40">
        <f t="shared" si="194"/>
        <v>4.0662005440783302</v>
      </c>
      <c r="DO89" s="32"/>
      <c r="DP89" s="32">
        <f t="shared" si="195"/>
        <v>1.620000000000001</v>
      </c>
      <c r="DQ89" s="36">
        <f t="shared" si="196"/>
        <v>1.620000000000001</v>
      </c>
      <c r="DR89" s="32">
        <f t="shared" si="128"/>
        <v>4.0662005440783302</v>
      </c>
      <c r="DS89" s="40">
        <f t="shared" si="197"/>
        <v>4.0662005440783302</v>
      </c>
      <c r="DT89" s="32"/>
      <c r="DU89" s="32">
        <f t="shared" si="198"/>
        <v>1.620000000000001</v>
      </c>
      <c r="DV89" s="36">
        <f t="shared" si="199"/>
        <v>1.620000000000001</v>
      </c>
      <c r="DW89" s="32">
        <f t="shared" si="129"/>
        <v>4.0662005440783302</v>
      </c>
      <c r="DX89" s="40">
        <f t="shared" si="200"/>
        <v>4.0662005440783302</v>
      </c>
      <c r="DY89" s="32"/>
      <c r="DZ89" s="32">
        <f t="shared" si="201"/>
        <v>1.620000000000001</v>
      </c>
      <c r="EA89" s="32">
        <f t="shared" si="202"/>
        <v>1.620000000000001</v>
      </c>
      <c r="EB89" s="32">
        <f t="shared" si="130"/>
        <v>4.0662005440783302</v>
      </c>
      <c r="EC89" s="40">
        <f t="shared" si="203"/>
        <v>4.0662005440783302</v>
      </c>
      <c r="ED89" s="32"/>
      <c r="EE89" s="32">
        <f t="shared" si="204"/>
        <v>1.620000000000001</v>
      </c>
      <c r="EF89" s="36">
        <f t="shared" si="205"/>
        <v>1.620000000000001</v>
      </c>
      <c r="EG89" s="32">
        <f t="shared" si="131"/>
        <v>4.0662005440783302</v>
      </c>
      <c r="EH89" s="40">
        <f t="shared" si="206"/>
        <v>4.0662005440783302</v>
      </c>
      <c r="EI89" s="32"/>
      <c r="EJ89" s="32">
        <f t="shared" si="207"/>
        <v>1.620000000000001</v>
      </c>
      <c r="EK89" s="36">
        <f t="shared" si="208"/>
        <v>1.620000000000001</v>
      </c>
      <c r="EL89" s="32">
        <f t="shared" si="132"/>
        <v>4.0662005440783302</v>
      </c>
      <c r="EM89" s="40">
        <f t="shared" si="209"/>
        <v>4.0662005440783302</v>
      </c>
      <c r="EN89" s="32"/>
      <c r="EO89" s="32">
        <f t="shared" si="210"/>
        <v>1.620000000000001</v>
      </c>
      <c r="EP89" s="32">
        <f t="shared" si="211"/>
        <v>1.620000000000001</v>
      </c>
      <c r="EQ89" s="32">
        <f t="shared" si="133"/>
        <v>4.0662005440783302</v>
      </c>
      <c r="ER89" s="40">
        <f t="shared" si="212"/>
        <v>4.0662005440783302</v>
      </c>
      <c r="ES89" s="32"/>
      <c r="ET89" s="32">
        <f t="shared" si="213"/>
        <v>1.620000000000001</v>
      </c>
      <c r="EU89" s="36">
        <f t="shared" si="214"/>
        <v>1.620000000000001</v>
      </c>
      <c r="EV89" s="32">
        <f t="shared" si="134"/>
        <v>4.0662005440783302</v>
      </c>
      <c r="EW89" s="40">
        <f t="shared" si="215"/>
        <v>4.0662005440783302</v>
      </c>
      <c r="EX89" s="32"/>
    </row>
    <row r="90" spans="20:154" s="3" customFormat="1" x14ac:dyDescent="0.25">
      <c r="T90" s="32">
        <f t="shared" si="135"/>
        <v>1.640000000000001</v>
      </c>
      <c r="U90" s="36">
        <f t="shared" si="136"/>
        <v>1.640000000000001</v>
      </c>
      <c r="V90" s="32">
        <f t="shared" si="108"/>
        <v>4.0028823931511459</v>
      </c>
      <c r="W90" s="40">
        <f t="shared" si="137"/>
        <v>4.0028823931511459</v>
      </c>
      <c r="X90" s="32"/>
      <c r="Y90" s="32">
        <f t="shared" si="138"/>
        <v>1.640000000000001</v>
      </c>
      <c r="Z90" s="32">
        <f t="shared" si="139"/>
        <v>1.640000000000001</v>
      </c>
      <c r="AA90" s="32">
        <f t="shared" si="109"/>
        <v>4.0028823931511459</v>
      </c>
      <c r="AB90" s="40">
        <f t="shared" si="140"/>
        <v>4.0028823931511459</v>
      </c>
      <c r="AC90" s="32"/>
      <c r="AD90" s="32">
        <f t="shared" si="141"/>
        <v>1.640000000000001</v>
      </c>
      <c r="AE90" s="36">
        <f t="shared" si="142"/>
        <v>1.640000000000001</v>
      </c>
      <c r="AF90" s="32">
        <f t="shared" si="110"/>
        <v>4.0028823931511459</v>
      </c>
      <c r="AG90" s="40">
        <f t="shared" si="143"/>
        <v>4.0028823931511459</v>
      </c>
      <c r="AH90" s="32"/>
      <c r="AI90" s="32">
        <f t="shared" si="144"/>
        <v>1.640000000000001</v>
      </c>
      <c r="AJ90" s="36">
        <f t="shared" si="145"/>
        <v>1.640000000000001</v>
      </c>
      <c r="AK90" s="32">
        <f t="shared" si="111"/>
        <v>4.0028823931511459</v>
      </c>
      <c r="AL90" s="40">
        <f t="shared" si="146"/>
        <v>4.0028823931511459</v>
      </c>
      <c r="AM90" s="32"/>
      <c r="AN90" s="32">
        <f t="shared" si="147"/>
        <v>1.640000000000001</v>
      </c>
      <c r="AO90" s="32">
        <f t="shared" si="148"/>
        <v>1.640000000000001</v>
      </c>
      <c r="AP90" s="32">
        <f t="shared" si="112"/>
        <v>4.0028823931511459</v>
      </c>
      <c r="AQ90" s="40">
        <f t="shared" si="149"/>
        <v>4.0028823931511459</v>
      </c>
      <c r="AR90" s="32"/>
      <c r="AS90" s="32">
        <f t="shared" si="150"/>
        <v>1.640000000000001</v>
      </c>
      <c r="AT90" s="36">
        <f t="shared" si="151"/>
        <v>1.640000000000001</v>
      </c>
      <c r="AU90" s="32">
        <f t="shared" si="113"/>
        <v>4.0028823931511459</v>
      </c>
      <c r="AV90" s="40">
        <f t="shared" si="152"/>
        <v>4.0028823931511459</v>
      </c>
      <c r="AW90" s="32"/>
      <c r="AX90" s="32">
        <f t="shared" si="153"/>
        <v>1.640000000000001</v>
      </c>
      <c r="AY90" s="36">
        <f t="shared" si="154"/>
        <v>1.640000000000001</v>
      </c>
      <c r="AZ90" s="32">
        <f t="shared" si="114"/>
        <v>4.0028823931511459</v>
      </c>
      <c r="BA90" s="40">
        <f t="shared" si="155"/>
        <v>4.0028823931511459</v>
      </c>
      <c r="BB90" s="32"/>
      <c r="BC90" s="32">
        <f t="shared" si="156"/>
        <v>1.640000000000001</v>
      </c>
      <c r="BD90" s="32">
        <f t="shared" si="157"/>
        <v>1.640000000000001</v>
      </c>
      <c r="BE90" s="32">
        <f t="shared" si="115"/>
        <v>4.0028823931511459</v>
      </c>
      <c r="BF90" s="40">
        <f t="shared" si="158"/>
        <v>4.0028823931511459</v>
      </c>
      <c r="BG90" s="32"/>
      <c r="BH90" s="32">
        <f t="shared" si="159"/>
        <v>1.640000000000001</v>
      </c>
      <c r="BI90" s="36">
        <f t="shared" si="160"/>
        <v>1.640000000000001</v>
      </c>
      <c r="BJ90" s="32">
        <f t="shared" si="116"/>
        <v>4.0028823931511459</v>
      </c>
      <c r="BK90" s="40">
        <f t="shared" si="161"/>
        <v>4.0028823931511459</v>
      </c>
      <c r="BL90" s="32"/>
      <c r="BM90" s="32">
        <f t="shared" si="162"/>
        <v>1.640000000000001</v>
      </c>
      <c r="BN90" s="36">
        <f t="shared" si="163"/>
        <v>1.640000000000001</v>
      </c>
      <c r="BO90" s="32">
        <f t="shared" si="117"/>
        <v>4.0028823931511459</v>
      </c>
      <c r="BP90" s="40">
        <f t="shared" si="164"/>
        <v>4.0028823931511459</v>
      </c>
      <c r="BQ90" s="32"/>
      <c r="BR90" s="32">
        <f t="shared" si="165"/>
        <v>1.640000000000001</v>
      </c>
      <c r="BS90" s="32">
        <f t="shared" si="166"/>
        <v>1.640000000000001</v>
      </c>
      <c r="BT90" s="32">
        <f t="shared" si="118"/>
        <v>4.0028823931511459</v>
      </c>
      <c r="BU90" s="40">
        <f t="shared" si="167"/>
        <v>4.0028823931511459</v>
      </c>
      <c r="BV90" s="32"/>
      <c r="BW90" s="32">
        <f t="shared" si="168"/>
        <v>1.640000000000001</v>
      </c>
      <c r="BX90" s="36">
        <f t="shared" si="169"/>
        <v>1.640000000000001</v>
      </c>
      <c r="BY90" s="32">
        <f t="shared" si="119"/>
        <v>4.0028823931511459</v>
      </c>
      <c r="BZ90" s="40">
        <f t="shared" si="170"/>
        <v>4.0028823931511459</v>
      </c>
      <c r="CA90" s="32"/>
      <c r="CB90" s="32">
        <f t="shared" si="171"/>
        <v>1.640000000000001</v>
      </c>
      <c r="CC90" s="36">
        <f t="shared" si="172"/>
        <v>1.640000000000001</v>
      </c>
      <c r="CD90" s="32">
        <f t="shared" si="120"/>
        <v>4.0028823931511459</v>
      </c>
      <c r="CE90" s="40">
        <f t="shared" si="173"/>
        <v>4.0028823931511459</v>
      </c>
      <c r="CF90" s="32"/>
      <c r="CG90" s="39">
        <f t="shared" si="174"/>
        <v>1.640000000000001</v>
      </c>
      <c r="CH90" s="39">
        <f t="shared" si="175"/>
        <v>1.640000000000001</v>
      </c>
      <c r="CI90" s="39">
        <f t="shared" si="121"/>
        <v>4.0028823931511459</v>
      </c>
      <c r="CJ90" s="40">
        <f t="shared" si="176"/>
        <v>4.0028823931511459</v>
      </c>
      <c r="CK90" s="39"/>
      <c r="CL90" s="32">
        <f t="shared" si="177"/>
        <v>1.640000000000001</v>
      </c>
      <c r="CM90" s="36">
        <f t="shared" si="178"/>
        <v>1.640000000000001</v>
      </c>
      <c r="CN90" s="32">
        <f t="shared" si="122"/>
        <v>4.0028823931511459</v>
      </c>
      <c r="CO90" s="40">
        <f t="shared" si="179"/>
        <v>4.0028823931511459</v>
      </c>
      <c r="CP90" s="32"/>
      <c r="CQ90" s="32">
        <f t="shared" si="180"/>
        <v>1.640000000000001</v>
      </c>
      <c r="CR90" s="36">
        <f t="shared" si="181"/>
        <v>1.640000000000001</v>
      </c>
      <c r="CS90" s="32">
        <f t="shared" si="123"/>
        <v>4.0028823931511459</v>
      </c>
      <c r="CT90" s="40">
        <f t="shared" si="182"/>
        <v>4.0028823931511459</v>
      </c>
      <c r="CU90" s="32"/>
      <c r="CV90" s="32">
        <f t="shared" si="183"/>
        <v>1.640000000000001</v>
      </c>
      <c r="CW90" s="32">
        <f t="shared" si="184"/>
        <v>1.640000000000001</v>
      </c>
      <c r="CX90" s="32">
        <f t="shared" si="124"/>
        <v>4.0028823931511459</v>
      </c>
      <c r="CY90" s="40">
        <f t="shared" si="185"/>
        <v>4.0028823931511459</v>
      </c>
      <c r="CZ90" s="32"/>
      <c r="DA90" s="32">
        <f t="shared" si="186"/>
        <v>1.640000000000001</v>
      </c>
      <c r="DB90" s="36">
        <f t="shared" si="187"/>
        <v>1.640000000000001</v>
      </c>
      <c r="DC90" s="32">
        <f t="shared" si="125"/>
        <v>4.0028823931511459</v>
      </c>
      <c r="DD90" s="40">
        <f t="shared" si="188"/>
        <v>4.0028823931511459</v>
      </c>
      <c r="DE90" s="32"/>
      <c r="DF90" s="32">
        <f t="shared" si="189"/>
        <v>1.640000000000001</v>
      </c>
      <c r="DG90" s="36">
        <f t="shared" si="190"/>
        <v>1.640000000000001</v>
      </c>
      <c r="DH90" s="32">
        <f t="shared" si="126"/>
        <v>4.0028823931511459</v>
      </c>
      <c r="DI90" s="40">
        <f t="shared" si="191"/>
        <v>4.0028823931511459</v>
      </c>
      <c r="DJ90" s="32"/>
      <c r="DK90" s="32">
        <f t="shared" si="192"/>
        <v>1.640000000000001</v>
      </c>
      <c r="DL90" s="32">
        <f t="shared" si="193"/>
        <v>1.640000000000001</v>
      </c>
      <c r="DM90" s="32">
        <f t="shared" si="127"/>
        <v>4.0028823931511459</v>
      </c>
      <c r="DN90" s="40">
        <f t="shared" si="194"/>
        <v>4.0028823931511459</v>
      </c>
      <c r="DO90" s="32"/>
      <c r="DP90" s="32">
        <f t="shared" si="195"/>
        <v>1.640000000000001</v>
      </c>
      <c r="DQ90" s="36">
        <f t="shared" si="196"/>
        <v>1.640000000000001</v>
      </c>
      <c r="DR90" s="32">
        <f t="shared" si="128"/>
        <v>4.0028823931511459</v>
      </c>
      <c r="DS90" s="40">
        <f t="shared" si="197"/>
        <v>4.0028823931511459</v>
      </c>
      <c r="DT90" s="32"/>
      <c r="DU90" s="32">
        <f t="shared" si="198"/>
        <v>1.640000000000001</v>
      </c>
      <c r="DV90" s="36">
        <f t="shared" si="199"/>
        <v>1.640000000000001</v>
      </c>
      <c r="DW90" s="32">
        <f t="shared" si="129"/>
        <v>4.0028823931511459</v>
      </c>
      <c r="DX90" s="40">
        <f t="shared" si="200"/>
        <v>4.0028823931511459</v>
      </c>
      <c r="DY90" s="32"/>
      <c r="DZ90" s="32">
        <f t="shared" si="201"/>
        <v>1.640000000000001</v>
      </c>
      <c r="EA90" s="32">
        <f t="shared" si="202"/>
        <v>1.640000000000001</v>
      </c>
      <c r="EB90" s="32">
        <f t="shared" si="130"/>
        <v>4.0028823931511459</v>
      </c>
      <c r="EC90" s="40">
        <f t="shared" si="203"/>
        <v>4.0028823931511459</v>
      </c>
      <c r="ED90" s="32"/>
      <c r="EE90" s="32">
        <f t="shared" si="204"/>
        <v>1.640000000000001</v>
      </c>
      <c r="EF90" s="36">
        <f t="shared" si="205"/>
        <v>1.640000000000001</v>
      </c>
      <c r="EG90" s="32">
        <f t="shared" si="131"/>
        <v>4.0028823931511459</v>
      </c>
      <c r="EH90" s="40">
        <f t="shared" si="206"/>
        <v>4.0028823931511459</v>
      </c>
      <c r="EI90" s="32"/>
      <c r="EJ90" s="32">
        <f t="shared" si="207"/>
        <v>1.640000000000001</v>
      </c>
      <c r="EK90" s="36">
        <f t="shared" si="208"/>
        <v>1.640000000000001</v>
      </c>
      <c r="EL90" s="32">
        <f t="shared" si="132"/>
        <v>4.0028823931511459</v>
      </c>
      <c r="EM90" s="40">
        <f t="shared" si="209"/>
        <v>4.0028823931511459</v>
      </c>
      <c r="EN90" s="32"/>
      <c r="EO90" s="32">
        <f t="shared" si="210"/>
        <v>1.640000000000001</v>
      </c>
      <c r="EP90" s="32">
        <f t="shared" si="211"/>
        <v>1.640000000000001</v>
      </c>
      <c r="EQ90" s="32">
        <f t="shared" si="133"/>
        <v>4.0028823931511459</v>
      </c>
      <c r="ER90" s="40">
        <f t="shared" si="212"/>
        <v>4.0028823931511459</v>
      </c>
      <c r="ES90" s="32"/>
      <c r="ET90" s="32">
        <f t="shared" si="213"/>
        <v>1.640000000000001</v>
      </c>
      <c r="EU90" s="36">
        <f t="shared" si="214"/>
        <v>1.640000000000001</v>
      </c>
      <c r="EV90" s="32">
        <f t="shared" si="134"/>
        <v>4.0028823931511459</v>
      </c>
      <c r="EW90" s="40">
        <f t="shared" si="215"/>
        <v>4.0028823931511459</v>
      </c>
      <c r="EX90" s="32"/>
    </row>
    <row r="91" spans="20:154" s="3" customFormat="1" x14ac:dyDescent="0.25">
      <c r="T91" s="32">
        <f t="shared" si="135"/>
        <v>1.660000000000001</v>
      </c>
      <c r="U91" s="36">
        <f t="shared" si="136"/>
        <v>1.660000000000001</v>
      </c>
      <c r="V91" s="32">
        <f t="shared" si="108"/>
        <v>3.9368557294961137</v>
      </c>
      <c r="W91" s="40">
        <f t="shared" si="137"/>
        <v>3.9368557294961137</v>
      </c>
      <c r="X91" s="32"/>
      <c r="Y91" s="32">
        <f t="shared" si="138"/>
        <v>1.660000000000001</v>
      </c>
      <c r="Z91" s="32">
        <f t="shared" si="139"/>
        <v>1.660000000000001</v>
      </c>
      <c r="AA91" s="32">
        <f t="shared" si="109"/>
        <v>3.9368557294961137</v>
      </c>
      <c r="AB91" s="40">
        <f t="shared" si="140"/>
        <v>3.9368557294961137</v>
      </c>
      <c r="AC91" s="32"/>
      <c r="AD91" s="32">
        <f t="shared" si="141"/>
        <v>1.660000000000001</v>
      </c>
      <c r="AE91" s="36">
        <f t="shared" si="142"/>
        <v>1.660000000000001</v>
      </c>
      <c r="AF91" s="32">
        <f t="shared" si="110"/>
        <v>3.9368557294961137</v>
      </c>
      <c r="AG91" s="40">
        <f t="shared" si="143"/>
        <v>3.9368557294961137</v>
      </c>
      <c r="AH91" s="32"/>
      <c r="AI91" s="32">
        <f t="shared" si="144"/>
        <v>1.660000000000001</v>
      </c>
      <c r="AJ91" s="36">
        <f t="shared" si="145"/>
        <v>1.660000000000001</v>
      </c>
      <c r="AK91" s="32">
        <f t="shared" si="111"/>
        <v>3.9368557294961137</v>
      </c>
      <c r="AL91" s="40">
        <f t="shared" si="146"/>
        <v>3.9368557294961137</v>
      </c>
      <c r="AM91" s="32"/>
      <c r="AN91" s="32">
        <f t="shared" si="147"/>
        <v>1.660000000000001</v>
      </c>
      <c r="AO91" s="32">
        <f t="shared" si="148"/>
        <v>1.660000000000001</v>
      </c>
      <c r="AP91" s="32">
        <f t="shared" si="112"/>
        <v>3.9368557294961137</v>
      </c>
      <c r="AQ91" s="40">
        <f t="shared" si="149"/>
        <v>3.9368557294961137</v>
      </c>
      <c r="AR91" s="32"/>
      <c r="AS91" s="32">
        <f t="shared" si="150"/>
        <v>1.660000000000001</v>
      </c>
      <c r="AT91" s="36">
        <f t="shared" si="151"/>
        <v>1.660000000000001</v>
      </c>
      <c r="AU91" s="32">
        <f t="shared" si="113"/>
        <v>3.9368557294961137</v>
      </c>
      <c r="AV91" s="40">
        <f t="shared" si="152"/>
        <v>3.9368557294961137</v>
      </c>
      <c r="AW91" s="32"/>
      <c r="AX91" s="32">
        <f t="shared" si="153"/>
        <v>1.660000000000001</v>
      </c>
      <c r="AY91" s="36">
        <f t="shared" si="154"/>
        <v>1.660000000000001</v>
      </c>
      <c r="AZ91" s="32">
        <f t="shared" si="114"/>
        <v>3.9368557294961137</v>
      </c>
      <c r="BA91" s="40">
        <f t="shared" si="155"/>
        <v>3.9368557294961137</v>
      </c>
      <c r="BB91" s="32"/>
      <c r="BC91" s="32">
        <f t="shared" si="156"/>
        <v>1.660000000000001</v>
      </c>
      <c r="BD91" s="32">
        <f t="shared" si="157"/>
        <v>1.660000000000001</v>
      </c>
      <c r="BE91" s="32">
        <f t="shared" si="115"/>
        <v>3.9368557294961137</v>
      </c>
      <c r="BF91" s="40">
        <f t="shared" si="158"/>
        <v>3.9368557294961137</v>
      </c>
      <c r="BG91" s="32"/>
      <c r="BH91" s="32">
        <f t="shared" si="159"/>
        <v>1.660000000000001</v>
      </c>
      <c r="BI91" s="36">
        <f t="shared" si="160"/>
        <v>1.660000000000001</v>
      </c>
      <c r="BJ91" s="32">
        <f t="shared" si="116"/>
        <v>3.9368557294961137</v>
      </c>
      <c r="BK91" s="40">
        <f t="shared" si="161"/>
        <v>3.9368557294961137</v>
      </c>
      <c r="BL91" s="32"/>
      <c r="BM91" s="32">
        <f t="shared" si="162"/>
        <v>1.660000000000001</v>
      </c>
      <c r="BN91" s="36">
        <f t="shared" si="163"/>
        <v>1.660000000000001</v>
      </c>
      <c r="BO91" s="32">
        <f t="shared" si="117"/>
        <v>3.9368557294961137</v>
      </c>
      <c r="BP91" s="40">
        <f t="shared" si="164"/>
        <v>3.9368557294961137</v>
      </c>
      <c r="BQ91" s="32"/>
      <c r="BR91" s="32">
        <f t="shared" si="165"/>
        <v>1.660000000000001</v>
      </c>
      <c r="BS91" s="32">
        <f t="shared" si="166"/>
        <v>1.660000000000001</v>
      </c>
      <c r="BT91" s="32">
        <f t="shared" si="118"/>
        <v>3.9368557294961137</v>
      </c>
      <c r="BU91" s="40">
        <f t="shared" si="167"/>
        <v>3.9368557294961137</v>
      </c>
      <c r="BV91" s="32"/>
      <c r="BW91" s="32">
        <f t="shared" si="168"/>
        <v>1.660000000000001</v>
      </c>
      <c r="BX91" s="36">
        <f t="shared" si="169"/>
        <v>1.660000000000001</v>
      </c>
      <c r="BY91" s="32">
        <f t="shared" si="119"/>
        <v>3.9368557294961137</v>
      </c>
      <c r="BZ91" s="40">
        <f t="shared" si="170"/>
        <v>3.9368557294961137</v>
      </c>
      <c r="CA91" s="32"/>
      <c r="CB91" s="32">
        <f t="shared" si="171"/>
        <v>1.660000000000001</v>
      </c>
      <c r="CC91" s="36">
        <f t="shared" si="172"/>
        <v>1.660000000000001</v>
      </c>
      <c r="CD91" s="32">
        <f t="shared" si="120"/>
        <v>3.9368557294961137</v>
      </c>
      <c r="CE91" s="40">
        <f t="shared" si="173"/>
        <v>3.9368557294961137</v>
      </c>
      <c r="CF91" s="32"/>
      <c r="CG91" s="39">
        <f t="shared" si="174"/>
        <v>1.660000000000001</v>
      </c>
      <c r="CH91" s="39">
        <f t="shared" si="175"/>
        <v>1.660000000000001</v>
      </c>
      <c r="CI91" s="39">
        <f t="shared" si="121"/>
        <v>3.9368557294961137</v>
      </c>
      <c r="CJ91" s="40">
        <f t="shared" si="176"/>
        <v>3.9368557294961137</v>
      </c>
      <c r="CK91" s="39"/>
      <c r="CL91" s="32">
        <f t="shared" si="177"/>
        <v>1.660000000000001</v>
      </c>
      <c r="CM91" s="36">
        <f t="shared" si="178"/>
        <v>1.660000000000001</v>
      </c>
      <c r="CN91" s="32">
        <f t="shared" si="122"/>
        <v>3.9368557294961137</v>
      </c>
      <c r="CO91" s="40">
        <f t="shared" si="179"/>
        <v>3.9368557294961137</v>
      </c>
      <c r="CP91" s="32"/>
      <c r="CQ91" s="32">
        <f t="shared" si="180"/>
        <v>1.660000000000001</v>
      </c>
      <c r="CR91" s="36">
        <f t="shared" si="181"/>
        <v>1.660000000000001</v>
      </c>
      <c r="CS91" s="32">
        <f t="shared" si="123"/>
        <v>3.9368557294961137</v>
      </c>
      <c r="CT91" s="40">
        <f t="shared" si="182"/>
        <v>3.9368557294961137</v>
      </c>
      <c r="CU91" s="32"/>
      <c r="CV91" s="32">
        <f t="shared" si="183"/>
        <v>1.660000000000001</v>
      </c>
      <c r="CW91" s="32">
        <f t="shared" si="184"/>
        <v>1.660000000000001</v>
      </c>
      <c r="CX91" s="32">
        <f t="shared" si="124"/>
        <v>3.9368557294961137</v>
      </c>
      <c r="CY91" s="40">
        <f t="shared" si="185"/>
        <v>3.9368557294961137</v>
      </c>
      <c r="CZ91" s="32"/>
      <c r="DA91" s="32">
        <f t="shared" si="186"/>
        <v>1.660000000000001</v>
      </c>
      <c r="DB91" s="36">
        <f t="shared" si="187"/>
        <v>1.660000000000001</v>
      </c>
      <c r="DC91" s="32">
        <f t="shared" si="125"/>
        <v>3.9368557294961137</v>
      </c>
      <c r="DD91" s="40">
        <f t="shared" si="188"/>
        <v>3.9368557294961137</v>
      </c>
      <c r="DE91" s="32"/>
      <c r="DF91" s="32">
        <f t="shared" si="189"/>
        <v>1.660000000000001</v>
      </c>
      <c r="DG91" s="36">
        <f t="shared" si="190"/>
        <v>1.660000000000001</v>
      </c>
      <c r="DH91" s="32">
        <f t="shared" si="126"/>
        <v>3.9368557294961137</v>
      </c>
      <c r="DI91" s="40">
        <f t="shared" si="191"/>
        <v>3.9368557294961137</v>
      </c>
      <c r="DJ91" s="32"/>
      <c r="DK91" s="32">
        <f t="shared" si="192"/>
        <v>1.660000000000001</v>
      </c>
      <c r="DL91" s="32">
        <f t="shared" si="193"/>
        <v>1.660000000000001</v>
      </c>
      <c r="DM91" s="32">
        <f t="shared" si="127"/>
        <v>3.9368557294961137</v>
      </c>
      <c r="DN91" s="40">
        <f t="shared" si="194"/>
        <v>3.9368557294961137</v>
      </c>
      <c r="DO91" s="32"/>
      <c r="DP91" s="32">
        <f t="shared" si="195"/>
        <v>1.660000000000001</v>
      </c>
      <c r="DQ91" s="36">
        <f t="shared" si="196"/>
        <v>1.660000000000001</v>
      </c>
      <c r="DR91" s="32">
        <f t="shared" si="128"/>
        <v>3.9368557294961137</v>
      </c>
      <c r="DS91" s="40">
        <f t="shared" si="197"/>
        <v>3.9368557294961137</v>
      </c>
      <c r="DT91" s="32"/>
      <c r="DU91" s="32">
        <f t="shared" si="198"/>
        <v>1.660000000000001</v>
      </c>
      <c r="DV91" s="36">
        <f t="shared" si="199"/>
        <v>1.660000000000001</v>
      </c>
      <c r="DW91" s="32">
        <f t="shared" si="129"/>
        <v>3.9368557294961137</v>
      </c>
      <c r="DX91" s="40">
        <f t="shared" si="200"/>
        <v>3.9368557294961137</v>
      </c>
      <c r="DY91" s="32"/>
      <c r="DZ91" s="32">
        <f t="shared" si="201"/>
        <v>1.660000000000001</v>
      </c>
      <c r="EA91" s="32">
        <f t="shared" si="202"/>
        <v>1.660000000000001</v>
      </c>
      <c r="EB91" s="32">
        <f t="shared" si="130"/>
        <v>3.9368557294961137</v>
      </c>
      <c r="EC91" s="40">
        <f t="shared" si="203"/>
        <v>3.9368557294961137</v>
      </c>
      <c r="ED91" s="32"/>
      <c r="EE91" s="32">
        <f t="shared" si="204"/>
        <v>1.660000000000001</v>
      </c>
      <c r="EF91" s="36">
        <f t="shared" si="205"/>
        <v>1.660000000000001</v>
      </c>
      <c r="EG91" s="32">
        <f t="shared" si="131"/>
        <v>3.9368557294961137</v>
      </c>
      <c r="EH91" s="40">
        <f t="shared" si="206"/>
        <v>3.9368557294961137</v>
      </c>
      <c r="EI91" s="32"/>
      <c r="EJ91" s="32">
        <f t="shared" si="207"/>
        <v>1.660000000000001</v>
      </c>
      <c r="EK91" s="36">
        <f t="shared" si="208"/>
        <v>1.660000000000001</v>
      </c>
      <c r="EL91" s="32">
        <f t="shared" si="132"/>
        <v>3.9368557294961137</v>
      </c>
      <c r="EM91" s="40">
        <f t="shared" si="209"/>
        <v>3.9368557294961137</v>
      </c>
      <c r="EN91" s="32"/>
      <c r="EO91" s="32">
        <f t="shared" si="210"/>
        <v>1.660000000000001</v>
      </c>
      <c r="EP91" s="32">
        <f t="shared" si="211"/>
        <v>1.660000000000001</v>
      </c>
      <c r="EQ91" s="32">
        <f t="shared" si="133"/>
        <v>3.9368557294961137</v>
      </c>
      <c r="ER91" s="40">
        <f t="shared" si="212"/>
        <v>3.9368557294961137</v>
      </c>
      <c r="ES91" s="32"/>
      <c r="ET91" s="32">
        <f t="shared" si="213"/>
        <v>1.660000000000001</v>
      </c>
      <c r="EU91" s="36">
        <f t="shared" si="214"/>
        <v>1.660000000000001</v>
      </c>
      <c r="EV91" s="32">
        <f t="shared" si="134"/>
        <v>3.9368557294961137</v>
      </c>
      <c r="EW91" s="40">
        <f t="shared" si="215"/>
        <v>3.9368557294961137</v>
      </c>
      <c r="EX91" s="32"/>
    </row>
    <row r="92" spans="20:154" s="3" customFormat="1" x14ac:dyDescent="0.25">
      <c r="T92" s="32">
        <f t="shared" si="135"/>
        <v>1.680000000000001</v>
      </c>
      <c r="U92" s="36">
        <f t="shared" si="136"/>
        <v>1.680000000000001</v>
      </c>
      <c r="V92" s="32">
        <f t="shared" si="108"/>
        <v>3.8681205531132354</v>
      </c>
      <c r="W92" s="40">
        <f t="shared" si="137"/>
        <v>3.8681205531132354</v>
      </c>
      <c r="X92" s="32"/>
      <c r="Y92" s="32">
        <f t="shared" si="138"/>
        <v>1.680000000000001</v>
      </c>
      <c r="Z92" s="32">
        <f t="shared" si="139"/>
        <v>1.680000000000001</v>
      </c>
      <c r="AA92" s="32">
        <f t="shared" si="109"/>
        <v>3.8681205531132354</v>
      </c>
      <c r="AB92" s="40">
        <f t="shared" si="140"/>
        <v>3.8681205531132354</v>
      </c>
      <c r="AC92" s="32"/>
      <c r="AD92" s="32">
        <f t="shared" si="141"/>
        <v>1.680000000000001</v>
      </c>
      <c r="AE92" s="36">
        <f t="shared" si="142"/>
        <v>1.680000000000001</v>
      </c>
      <c r="AF92" s="32">
        <f t="shared" si="110"/>
        <v>3.8681205531132354</v>
      </c>
      <c r="AG92" s="40">
        <f t="shared" si="143"/>
        <v>3.8681205531132354</v>
      </c>
      <c r="AH92" s="32"/>
      <c r="AI92" s="32">
        <f t="shared" si="144"/>
        <v>1.680000000000001</v>
      </c>
      <c r="AJ92" s="36">
        <f t="shared" si="145"/>
        <v>1.680000000000001</v>
      </c>
      <c r="AK92" s="32">
        <f t="shared" si="111"/>
        <v>3.8681205531132354</v>
      </c>
      <c r="AL92" s="40">
        <f t="shared" si="146"/>
        <v>3.8681205531132354</v>
      </c>
      <c r="AM92" s="32"/>
      <c r="AN92" s="32">
        <f t="shared" si="147"/>
        <v>1.680000000000001</v>
      </c>
      <c r="AO92" s="32">
        <f t="shared" si="148"/>
        <v>1.680000000000001</v>
      </c>
      <c r="AP92" s="32">
        <f t="shared" si="112"/>
        <v>3.8681205531132354</v>
      </c>
      <c r="AQ92" s="40">
        <f t="shared" si="149"/>
        <v>3.8681205531132354</v>
      </c>
      <c r="AR92" s="32"/>
      <c r="AS92" s="32">
        <f t="shared" si="150"/>
        <v>1.680000000000001</v>
      </c>
      <c r="AT92" s="36">
        <f t="shared" si="151"/>
        <v>1.680000000000001</v>
      </c>
      <c r="AU92" s="32">
        <f t="shared" si="113"/>
        <v>3.8681205531132354</v>
      </c>
      <c r="AV92" s="40">
        <f t="shared" si="152"/>
        <v>3.8681205531132354</v>
      </c>
      <c r="AW92" s="32"/>
      <c r="AX92" s="32">
        <f t="shared" si="153"/>
        <v>1.680000000000001</v>
      </c>
      <c r="AY92" s="36">
        <f t="shared" si="154"/>
        <v>1.680000000000001</v>
      </c>
      <c r="AZ92" s="32">
        <f t="shared" si="114"/>
        <v>3.8681205531132354</v>
      </c>
      <c r="BA92" s="40">
        <f t="shared" si="155"/>
        <v>3.8681205531132354</v>
      </c>
      <c r="BB92" s="32"/>
      <c r="BC92" s="32">
        <f t="shared" si="156"/>
        <v>1.680000000000001</v>
      </c>
      <c r="BD92" s="32">
        <f t="shared" si="157"/>
        <v>1.680000000000001</v>
      </c>
      <c r="BE92" s="32">
        <f t="shared" si="115"/>
        <v>3.8681205531132354</v>
      </c>
      <c r="BF92" s="40">
        <f t="shared" si="158"/>
        <v>3.8681205531132354</v>
      </c>
      <c r="BG92" s="32"/>
      <c r="BH92" s="32">
        <f t="shared" si="159"/>
        <v>1.680000000000001</v>
      </c>
      <c r="BI92" s="36">
        <f t="shared" si="160"/>
        <v>1.680000000000001</v>
      </c>
      <c r="BJ92" s="32">
        <f t="shared" si="116"/>
        <v>3.8681205531132354</v>
      </c>
      <c r="BK92" s="40">
        <f t="shared" si="161"/>
        <v>3.8681205531132354</v>
      </c>
      <c r="BL92" s="32"/>
      <c r="BM92" s="32">
        <f t="shared" si="162"/>
        <v>1.680000000000001</v>
      </c>
      <c r="BN92" s="36">
        <f t="shared" si="163"/>
        <v>1.680000000000001</v>
      </c>
      <c r="BO92" s="32">
        <f t="shared" si="117"/>
        <v>3.8681205531132354</v>
      </c>
      <c r="BP92" s="40">
        <f t="shared" si="164"/>
        <v>3.8681205531132354</v>
      </c>
      <c r="BQ92" s="32"/>
      <c r="BR92" s="32">
        <f t="shared" si="165"/>
        <v>1.680000000000001</v>
      </c>
      <c r="BS92" s="32">
        <f t="shared" si="166"/>
        <v>1.680000000000001</v>
      </c>
      <c r="BT92" s="32">
        <f t="shared" si="118"/>
        <v>3.8681205531132354</v>
      </c>
      <c r="BU92" s="40">
        <f t="shared" si="167"/>
        <v>3.8681205531132354</v>
      </c>
      <c r="BV92" s="32"/>
      <c r="BW92" s="32">
        <f t="shared" si="168"/>
        <v>1.680000000000001</v>
      </c>
      <c r="BX92" s="36">
        <f t="shared" si="169"/>
        <v>1.680000000000001</v>
      </c>
      <c r="BY92" s="32">
        <f t="shared" si="119"/>
        <v>3.8681205531132354</v>
      </c>
      <c r="BZ92" s="40">
        <f t="shared" si="170"/>
        <v>3.8681205531132354</v>
      </c>
      <c r="CA92" s="32"/>
      <c r="CB92" s="32">
        <f t="shared" si="171"/>
        <v>1.680000000000001</v>
      </c>
      <c r="CC92" s="36">
        <f t="shared" si="172"/>
        <v>1.680000000000001</v>
      </c>
      <c r="CD92" s="32">
        <f t="shared" si="120"/>
        <v>3.8681205531132354</v>
      </c>
      <c r="CE92" s="40">
        <f t="shared" si="173"/>
        <v>3.8681205531132354</v>
      </c>
      <c r="CF92" s="32"/>
      <c r="CG92" s="39">
        <f t="shared" si="174"/>
        <v>1.680000000000001</v>
      </c>
      <c r="CH92" s="39">
        <f t="shared" si="175"/>
        <v>1.680000000000001</v>
      </c>
      <c r="CI92" s="39">
        <f t="shared" si="121"/>
        <v>3.8681205531132354</v>
      </c>
      <c r="CJ92" s="40">
        <f t="shared" si="176"/>
        <v>3.8681205531132354</v>
      </c>
      <c r="CK92" s="39"/>
      <c r="CL92" s="32">
        <f t="shared" si="177"/>
        <v>1.680000000000001</v>
      </c>
      <c r="CM92" s="36">
        <f t="shared" si="178"/>
        <v>1.680000000000001</v>
      </c>
      <c r="CN92" s="32">
        <f t="shared" si="122"/>
        <v>3.8681205531132354</v>
      </c>
      <c r="CO92" s="40">
        <f t="shared" si="179"/>
        <v>3.8681205531132354</v>
      </c>
      <c r="CP92" s="32"/>
      <c r="CQ92" s="32">
        <f t="shared" si="180"/>
        <v>1.680000000000001</v>
      </c>
      <c r="CR92" s="36">
        <f t="shared" si="181"/>
        <v>1.680000000000001</v>
      </c>
      <c r="CS92" s="32">
        <f t="shared" si="123"/>
        <v>3.8681205531132354</v>
      </c>
      <c r="CT92" s="40">
        <f t="shared" si="182"/>
        <v>3.8681205531132354</v>
      </c>
      <c r="CU92" s="32"/>
      <c r="CV92" s="32">
        <f t="shared" si="183"/>
        <v>1.680000000000001</v>
      </c>
      <c r="CW92" s="32">
        <f t="shared" si="184"/>
        <v>1.680000000000001</v>
      </c>
      <c r="CX92" s="32">
        <f t="shared" si="124"/>
        <v>3.8681205531132354</v>
      </c>
      <c r="CY92" s="40">
        <f t="shared" si="185"/>
        <v>3.8681205531132354</v>
      </c>
      <c r="CZ92" s="32"/>
      <c r="DA92" s="32">
        <f t="shared" si="186"/>
        <v>1.680000000000001</v>
      </c>
      <c r="DB92" s="36">
        <f t="shared" si="187"/>
        <v>1.680000000000001</v>
      </c>
      <c r="DC92" s="32">
        <f t="shared" si="125"/>
        <v>3.8681205531132354</v>
      </c>
      <c r="DD92" s="40">
        <f t="shared" si="188"/>
        <v>3.8681205531132354</v>
      </c>
      <c r="DE92" s="32"/>
      <c r="DF92" s="32">
        <f t="shared" si="189"/>
        <v>1.680000000000001</v>
      </c>
      <c r="DG92" s="36">
        <f t="shared" si="190"/>
        <v>1.680000000000001</v>
      </c>
      <c r="DH92" s="32">
        <f t="shared" si="126"/>
        <v>3.8681205531132354</v>
      </c>
      <c r="DI92" s="40">
        <f t="shared" si="191"/>
        <v>3.8681205531132354</v>
      </c>
      <c r="DJ92" s="32"/>
      <c r="DK92" s="32">
        <f t="shared" si="192"/>
        <v>1.680000000000001</v>
      </c>
      <c r="DL92" s="32">
        <f t="shared" si="193"/>
        <v>1.680000000000001</v>
      </c>
      <c r="DM92" s="32">
        <f t="shared" si="127"/>
        <v>3.8681205531132354</v>
      </c>
      <c r="DN92" s="40">
        <f t="shared" si="194"/>
        <v>3.8681205531132354</v>
      </c>
      <c r="DO92" s="32"/>
      <c r="DP92" s="32">
        <f t="shared" si="195"/>
        <v>1.680000000000001</v>
      </c>
      <c r="DQ92" s="36">
        <f t="shared" si="196"/>
        <v>1.680000000000001</v>
      </c>
      <c r="DR92" s="32">
        <f t="shared" si="128"/>
        <v>3.8681205531132354</v>
      </c>
      <c r="DS92" s="40">
        <f t="shared" si="197"/>
        <v>3.8681205531132354</v>
      </c>
      <c r="DT92" s="32"/>
      <c r="DU92" s="32">
        <f t="shared" si="198"/>
        <v>1.680000000000001</v>
      </c>
      <c r="DV92" s="36">
        <f t="shared" si="199"/>
        <v>1.680000000000001</v>
      </c>
      <c r="DW92" s="32">
        <f t="shared" si="129"/>
        <v>3.8681205531132354</v>
      </c>
      <c r="DX92" s="40">
        <f t="shared" si="200"/>
        <v>3.8681205531132354</v>
      </c>
      <c r="DY92" s="32"/>
      <c r="DZ92" s="32">
        <f t="shared" si="201"/>
        <v>1.680000000000001</v>
      </c>
      <c r="EA92" s="32">
        <f t="shared" si="202"/>
        <v>1.680000000000001</v>
      </c>
      <c r="EB92" s="32">
        <f t="shared" si="130"/>
        <v>3.8681205531132354</v>
      </c>
      <c r="EC92" s="40">
        <f t="shared" si="203"/>
        <v>3.8681205531132354</v>
      </c>
      <c r="ED92" s="32"/>
      <c r="EE92" s="32">
        <f t="shared" si="204"/>
        <v>1.680000000000001</v>
      </c>
      <c r="EF92" s="36">
        <f t="shared" si="205"/>
        <v>1.680000000000001</v>
      </c>
      <c r="EG92" s="32">
        <f t="shared" si="131"/>
        <v>3.8681205531132354</v>
      </c>
      <c r="EH92" s="40">
        <f t="shared" si="206"/>
        <v>3.8681205531132354</v>
      </c>
      <c r="EI92" s="32"/>
      <c r="EJ92" s="32">
        <f t="shared" si="207"/>
        <v>1.680000000000001</v>
      </c>
      <c r="EK92" s="36">
        <f t="shared" si="208"/>
        <v>1.680000000000001</v>
      </c>
      <c r="EL92" s="32">
        <f t="shared" si="132"/>
        <v>3.8681205531132354</v>
      </c>
      <c r="EM92" s="40">
        <f t="shared" si="209"/>
        <v>3.8681205531132354</v>
      </c>
      <c r="EN92" s="32"/>
      <c r="EO92" s="32">
        <f t="shared" si="210"/>
        <v>1.680000000000001</v>
      </c>
      <c r="EP92" s="32">
        <f t="shared" si="211"/>
        <v>1.680000000000001</v>
      </c>
      <c r="EQ92" s="32">
        <f t="shared" si="133"/>
        <v>3.8681205531132354</v>
      </c>
      <c r="ER92" s="40">
        <f t="shared" si="212"/>
        <v>3.8681205531132354</v>
      </c>
      <c r="ES92" s="32"/>
      <c r="ET92" s="32">
        <f t="shared" si="213"/>
        <v>1.680000000000001</v>
      </c>
      <c r="EU92" s="36">
        <f t="shared" si="214"/>
        <v>1.680000000000001</v>
      </c>
      <c r="EV92" s="32">
        <f t="shared" si="134"/>
        <v>3.8681205531132354</v>
      </c>
      <c r="EW92" s="40">
        <f t="shared" si="215"/>
        <v>3.8681205531132354</v>
      </c>
      <c r="EX92" s="32"/>
    </row>
    <row r="93" spans="20:154" s="3" customFormat="1" x14ac:dyDescent="0.25">
      <c r="T93" s="32">
        <f t="shared" si="135"/>
        <v>1.7000000000000011</v>
      </c>
      <c r="U93" s="36">
        <f t="shared" si="136"/>
        <v>1.7000000000000011</v>
      </c>
      <c r="V93" s="32">
        <f t="shared" si="108"/>
        <v>3.7966768640025128</v>
      </c>
      <c r="W93" s="40">
        <f t="shared" si="137"/>
        <v>3.7966768640025128</v>
      </c>
      <c r="X93" s="32"/>
      <c r="Y93" s="32">
        <f t="shared" si="138"/>
        <v>1.7000000000000011</v>
      </c>
      <c r="Z93" s="32">
        <f t="shared" si="139"/>
        <v>1.7000000000000011</v>
      </c>
      <c r="AA93" s="32">
        <f t="shared" si="109"/>
        <v>3.7966768640025128</v>
      </c>
      <c r="AB93" s="40">
        <f t="shared" si="140"/>
        <v>3.7966768640025128</v>
      </c>
      <c r="AC93" s="32"/>
      <c r="AD93" s="32">
        <f t="shared" si="141"/>
        <v>1.7000000000000011</v>
      </c>
      <c r="AE93" s="36">
        <f t="shared" si="142"/>
        <v>1.7000000000000011</v>
      </c>
      <c r="AF93" s="32">
        <f t="shared" si="110"/>
        <v>3.7966768640025128</v>
      </c>
      <c r="AG93" s="40">
        <f t="shared" si="143"/>
        <v>3.7966768640025128</v>
      </c>
      <c r="AH93" s="32"/>
      <c r="AI93" s="32">
        <f t="shared" si="144"/>
        <v>1.7000000000000011</v>
      </c>
      <c r="AJ93" s="36">
        <f t="shared" si="145"/>
        <v>1.7000000000000011</v>
      </c>
      <c r="AK93" s="32">
        <f t="shared" si="111"/>
        <v>3.7966768640025128</v>
      </c>
      <c r="AL93" s="40">
        <f t="shared" si="146"/>
        <v>3.7966768640025128</v>
      </c>
      <c r="AM93" s="32"/>
      <c r="AN93" s="32">
        <f t="shared" si="147"/>
        <v>1.7000000000000011</v>
      </c>
      <c r="AO93" s="32">
        <f t="shared" si="148"/>
        <v>1.7000000000000011</v>
      </c>
      <c r="AP93" s="32">
        <f t="shared" si="112"/>
        <v>3.7966768640025128</v>
      </c>
      <c r="AQ93" s="40">
        <f t="shared" si="149"/>
        <v>3.7966768640025128</v>
      </c>
      <c r="AR93" s="32"/>
      <c r="AS93" s="32">
        <f t="shared" si="150"/>
        <v>1.7000000000000011</v>
      </c>
      <c r="AT93" s="36">
        <f t="shared" si="151"/>
        <v>1.7000000000000011</v>
      </c>
      <c r="AU93" s="32">
        <f t="shared" si="113"/>
        <v>3.7966768640025128</v>
      </c>
      <c r="AV93" s="40">
        <f t="shared" si="152"/>
        <v>3.7966768640025128</v>
      </c>
      <c r="AW93" s="32"/>
      <c r="AX93" s="32">
        <f t="shared" si="153"/>
        <v>1.7000000000000011</v>
      </c>
      <c r="AY93" s="36">
        <f t="shared" si="154"/>
        <v>1.7000000000000011</v>
      </c>
      <c r="AZ93" s="32">
        <f t="shared" si="114"/>
        <v>3.7966768640025128</v>
      </c>
      <c r="BA93" s="40">
        <f t="shared" si="155"/>
        <v>3.7966768640025128</v>
      </c>
      <c r="BB93" s="32"/>
      <c r="BC93" s="32">
        <f t="shared" si="156"/>
        <v>1.7000000000000011</v>
      </c>
      <c r="BD93" s="32">
        <f t="shared" si="157"/>
        <v>1.7000000000000011</v>
      </c>
      <c r="BE93" s="32">
        <f t="shared" si="115"/>
        <v>3.7966768640025128</v>
      </c>
      <c r="BF93" s="40">
        <f t="shared" si="158"/>
        <v>3.7966768640025128</v>
      </c>
      <c r="BG93" s="32"/>
      <c r="BH93" s="32">
        <f t="shared" si="159"/>
        <v>1.7000000000000011</v>
      </c>
      <c r="BI93" s="36">
        <f t="shared" si="160"/>
        <v>1.7000000000000011</v>
      </c>
      <c r="BJ93" s="32">
        <f t="shared" si="116"/>
        <v>3.7966768640025128</v>
      </c>
      <c r="BK93" s="40">
        <f t="shared" si="161"/>
        <v>3.7966768640025128</v>
      </c>
      <c r="BL93" s="32"/>
      <c r="BM93" s="32">
        <f t="shared" si="162"/>
        <v>1.7000000000000011</v>
      </c>
      <c r="BN93" s="36">
        <f t="shared" si="163"/>
        <v>1.7000000000000011</v>
      </c>
      <c r="BO93" s="32">
        <f t="shared" si="117"/>
        <v>3.7966768640025128</v>
      </c>
      <c r="BP93" s="40">
        <f t="shared" si="164"/>
        <v>3.7966768640025128</v>
      </c>
      <c r="BQ93" s="32"/>
      <c r="BR93" s="32">
        <f t="shared" si="165"/>
        <v>1.7000000000000011</v>
      </c>
      <c r="BS93" s="32">
        <f t="shared" si="166"/>
        <v>1.7000000000000011</v>
      </c>
      <c r="BT93" s="32">
        <f t="shared" si="118"/>
        <v>3.7966768640025128</v>
      </c>
      <c r="BU93" s="40">
        <f t="shared" si="167"/>
        <v>3.7966768640025128</v>
      </c>
      <c r="BV93" s="32"/>
      <c r="BW93" s="32">
        <f t="shared" si="168"/>
        <v>1.7000000000000011</v>
      </c>
      <c r="BX93" s="36">
        <f t="shared" si="169"/>
        <v>1.7000000000000011</v>
      </c>
      <c r="BY93" s="32">
        <f t="shared" si="119"/>
        <v>3.7966768640025128</v>
      </c>
      <c r="BZ93" s="40">
        <f t="shared" si="170"/>
        <v>3.7966768640025128</v>
      </c>
      <c r="CA93" s="32"/>
      <c r="CB93" s="32">
        <f t="shared" si="171"/>
        <v>1.7000000000000011</v>
      </c>
      <c r="CC93" s="36">
        <f t="shared" si="172"/>
        <v>1.7000000000000011</v>
      </c>
      <c r="CD93" s="32">
        <f t="shared" si="120"/>
        <v>3.7966768640025128</v>
      </c>
      <c r="CE93" s="40">
        <f t="shared" si="173"/>
        <v>3.7966768640025128</v>
      </c>
      <c r="CF93" s="32"/>
      <c r="CG93" s="39">
        <f t="shared" si="174"/>
        <v>1.7000000000000011</v>
      </c>
      <c r="CH93" s="39">
        <f t="shared" si="175"/>
        <v>1.7000000000000011</v>
      </c>
      <c r="CI93" s="39">
        <f t="shared" si="121"/>
        <v>3.7966768640025128</v>
      </c>
      <c r="CJ93" s="40">
        <f t="shared" si="176"/>
        <v>3.7966768640025128</v>
      </c>
      <c r="CK93" s="39"/>
      <c r="CL93" s="32">
        <f t="shared" si="177"/>
        <v>1.7000000000000011</v>
      </c>
      <c r="CM93" s="36">
        <f t="shared" si="178"/>
        <v>1.7000000000000011</v>
      </c>
      <c r="CN93" s="32">
        <f t="shared" si="122"/>
        <v>3.7966768640025128</v>
      </c>
      <c r="CO93" s="40">
        <f t="shared" si="179"/>
        <v>3.7966768640025128</v>
      </c>
      <c r="CP93" s="32"/>
      <c r="CQ93" s="32">
        <f t="shared" si="180"/>
        <v>1.7000000000000011</v>
      </c>
      <c r="CR93" s="36">
        <f t="shared" si="181"/>
        <v>1.7000000000000011</v>
      </c>
      <c r="CS93" s="32">
        <f t="shared" si="123"/>
        <v>3.7966768640025128</v>
      </c>
      <c r="CT93" s="40">
        <f t="shared" si="182"/>
        <v>3.7966768640025128</v>
      </c>
      <c r="CU93" s="32"/>
      <c r="CV93" s="32">
        <f t="shared" si="183"/>
        <v>1.7000000000000011</v>
      </c>
      <c r="CW93" s="32">
        <f t="shared" si="184"/>
        <v>1.7000000000000011</v>
      </c>
      <c r="CX93" s="32">
        <f t="shared" si="124"/>
        <v>3.7966768640025128</v>
      </c>
      <c r="CY93" s="40">
        <f t="shared" si="185"/>
        <v>3.7966768640025128</v>
      </c>
      <c r="CZ93" s="32"/>
      <c r="DA93" s="32">
        <f t="shared" si="186"/>
        <v>1.7000000000000011</v>
      </c>
      <c r="DB93" s="36">
        <f t="shared" si="187"/>
        <v>1.7000000000000011</v>
      </c>
      <c r="DC93" s="32">
        <f t="shared" si="125"/>
        <v>3.7966768640025128</v>
      </c>
      <c r="DD93" s="40">
        <f t="shared" si="188"/>
        <v>3.7966768640025128</v>
      </c>
      <c r="DE93" s="32"/>
      <c r="DF93" s="32">
        <f t="shared" si="189"/>
        <v>1.7000000000000011</v>
      </c>
      <c r="DG93" s="36">
        <f t="shared" si="190"/>
        <v>1.7000000000000011</v>
      </c>
      <c r="DH93" s="32">
        <f t="shared" si="126"/>
        <v>3.7966768640025128</v>
      </c>
      <c r="DI93" s="40">
        <f t="shared" si="191"/>
        <v>3.7966768640025128</v>
      </c>
      <c r="DJ93" s="32"/>
      <c r="DK93" s="32">
        <f t="shared" si="192"/>
        <v>1.7000000000000011</v>
      </c>
      <c r="DL93" s="32">
        <f t="shared" si="193"/>
        <v>1.7000000000000011</v>
      </c>
      <c r="DM93" s="32">
        <f t="shared" si="127"/>
        <v>3.7966768640025128</v>
      </c>
      <c r="DN93" s="40">
        <f t="shared" si="194"/>
        <v>3.7966768640025128</v>
      </c>
      <c r="DO93" s="32"/>
      <c r="DP93" s="32">
        <f t="shared" si="195"/>
        <v>1.7000000000000011</v>
      </c>
      <c r="DQ93" s="36">
        <f t="shared" si="196"/>
        <v>1.7000000000000011</v>
      </c>
      <c r="DR93" s="32">
        <f t="shared" si="128"/>
        <v>3.7966768640025128</v>
      </c>
      <c r="DS93" s="40">
        <f t="shared" si="197"/>
        <v>3.7966768640025128</v>
      </c>
      <c r="DT93" s="32"/>
      <c r="DU93" s="32">
        <f t="shared" si="198"/>
        <v>1.7000000000000011</v>
      </c>
      <c r="DV93" s="36">
        <f t="shared" si="199"/>
        <v>1.7000000000000011</v>
      </c>
      <c r="DW93" s="32">
        <f t="shared" si="129"/>
        <v>3.7966768640025128</v>
      </c>
      <c r="DX93" s="40">
        <f t="shared" si="200"/>
        <v>3.7966768640025128</v>
      </c>
      <c r="DY93" s="32"/>
      <c r="DZ93" s="32">
        <f t="shared" si="201"/>
        <v>1.7000000000000011</v>
      </c>
      <c r="EA93" s="32">
        <f t="shared" si="202"/>
        <v>1.7000000000000011</v>
      </c>
      <c r="EB93" s="32">
        <f t="shared" si="130"/>
        <v>3.7966768640025128</v>
      </c>
      <c r="EC93" s="40">
        <f t="shared" si="203"/>
        <v>3.7966768640025128</v>
      </c>
      <c r="ED93" s="32"/>
      <c r="EE93" s="32">
        <f t="shared" si="204"/>
        <v>1.7000000000000011</v>
      </c>
      <c r="EF93" s="36">
        <f t="shared" si="205"/>
        <v>1.7000000000000011</v>
      </c>
      <c r="EG93" s="32">
        <f t="shared" si="131"/>
        <v>3.7966768640025128</v>
      </c>
      <c r="EH93" s="40">
        <f t="shared" si="206"/>
        <v>3.7966768640025128</v>
      </c>
      <c r="EI93" s="32"/>
      <c r="EJ93" s="32">
        <f t="shared" si="207"/>
        <v>1.7000000000000011</v>
      </c>
      <c r="EK93" s="36">
        <f t="shared" si="208"/>
        <v>1.7000000000000011</v>
      </c>
      <c r="EL93" s="32">
        <f t="shared" si="132"/>
        <v>3.7966768640025128</v>
      </c>
      <c r="EM93" s="40">
        <f t="shared" si="209"/>
        <v>3.7966768640025128</v>
      </c>
      <c r="EN93" s="32"/>
      <c r="EO93" s="32">
        <f t="shared" si="210"/>
        <v>1.7000000000000011</v>
      </c>
      <c r="EP93" s="32">
        <f t="shared" si="211"/>
        <v>1.7000000000000011</v>
      </c>
      <c r="EQ93" s="32">
        <f t="shared" si="133"/>
        <v>3.7966768640025128</v>
      </c>
      <c r="ER93" s="40">
        <f t="shared" si="212"/>
        <v>3.7966768640025128</v>
      </c>
      <c r="ES93" s="32"/>
      <c r="ET93" s="32">
        <f t="shared" si="213"/>
        <v>1.7000000000000011</v>
      </c>
      <c r="EU93" s="36">
        <f t="shared" si="214"/>
        <v>1.7000000000000011</v>
      </c>
      <c r="EV93" s="32">
        <f t="shared" si="134"/>
        <v>3.7966768640025128</v>
      </c>
      <c r="EW93" s="40">
        <f t="shared" si="215"/>
        <v>3.7966768640025128</v>
      </c>
      <c r="EX93" s="32"/>
    </row>
    <row r="94" spans="20:154" s="3" customFormat="1" x14ac:dyDescent="0.25">
      <c r="T94" s="32">
        <f t="shared" si="135"/>
        <v>1.7200000000000011</v>
      </c>
      <c r="U94" s="36">
        <f t="shared" si="136"/>
        <v>1.7200000000000011</v>
      </c>
      <c r="V94" s="32">
        <f t="shared" si="108"/>
        <v>3.7225246621639405</v>
      </c>
      <c r="W94" s="40">
        <f t="shared" si="137"/>
        <v>3.7225246621639405</v>
      </c>
      <c r="X94" s="32"/>
      <c r="Y94" s="32">
        <f t="shared" si="138"/>
        <v>1.7200000000000011</v>
      </c>
      <c r="Z94" s="32">
        <f t="shared" si="139"/>
        <v>1.7200000000000011</v>
      </c>
      <c r="AA94" s="32">
        <f t="shared" si="109"/>
        <v>3.7225246621639405</v>
      </c>
      <c r="AB94" s="40">
        <f t="shared" si="140"/>
        <v>3.7225246621639405</v>
      </c>
      <c r="AC94" s="32"/>
      <c r="AD94" s="32">
        <f t="shared" si="141"/>
        <v>1.7200000000000011</v>
      </c>
      <c r="AE94" s="36">
        <f t="shared" si="142"/>
        <v>1.7200000000000011</v>
      </c>
      <c r="AF94" s="32">
        <f t="shared" si="110"/>
        <v>3.7225246621639405</v>
      </c>
      <c r="AG94" s="40">
        <f t="shared" si="143"/>
        <v>3.7225246621639405</v>
      </c>
      <c r="AH94" s="32"/>
      <c r="AI94" s="32">
        <f t="shared" si="144"/>
        <v>1.7200000000000011</v>
      </c>
      <c r="AJ94" s="36">
        <f t="shared" si="145"/>
        <v>1.7200000000000011</v>
      </c>
      <c r="AK94" s="32">
        <f t="shared" si="111"/>
        <v>3.7225246621639405</v>
      </c>
      <c r="AL94" s="40">
        <f t="shared" si="146"/>
        <v>3.7225246621639405</v>
      </c>
      <c r="AM94" s="32"/>
      <c r="AN94" s="32">
        <f t="shared" si="147"/>
        <v>1.7200000000000011</v>
      </c>
      <c r="AO94" s="32">
        <f t="shared" si="148"/>
        <v>1.7200000000000011</v>
      </c>
      <c r="AP94" s="32">
        <f t="shared" si="112"/>
        <v>3.7225246621639405</v>
      </c>
      <c r="AQ94" s="40">
        <f t="shared" si="149"/>
        <v>3.7225246621639405</v>
      </c>
      <c r="AR94" s="32"/>
      <c r="AS94" s="32">
        <f t="shared" si="150"/>
        <v>1.7200000000000011</v>
      </c>
      <c r="AT94" s="36">
        <f t="shared" si="151"/>
        <v>1.7200000000000011</v>
      </c>
      <c r="AU94" s="32">
        <f t="shared" si="113"/>
        <v>3.7225246621639405</v>
      </c>
      <c r="AV94" s="40">
        <f t="shared" si="152"/>
        <v>3.7225246621639405</v>
      </c>
      <c r="AW94" s="32"/>
      <c r="AX94" s="32">
        <f t="shared" si="153"/>
        <v>1.7200000000000011</v>
      </c>
      <c r="AY94" s="36">
        <f t="shared" si="154"/>
        <v>1.7200000000000011</v>
      </c>
      <c r="AZ94" s="32">
        <f t="shared" si="114"/>
        <v>3.7225246621639405</v>
      </c>
      <c r="BA94" s="40">
        <f t="shared" si="155"/>
        <v>3.7225246621639405</v>
      </c>
      <c r="BB94" s="32"/>
      <c r="BC94" s="32">
        <f t="shared" si="156"/>
        <v>1.7200000000000011</v>
      </c>
      <c r="BD94" s="32">
        <f t="shared" si="157"/>
        <v>1.7200000000000011</v>
      </c>
      <c r="BE94" s="32">
        <f t="shared" si="115"/>
        <v>3.7225246621639405</v>
      </c>
      <c r="BF94" s="40">
        <f t="shared" si="158"/>
        <v>3.7225246621639405</v>
      </c>
      <c r="BG94" s="32"/>
      <c r="BH94" s="32">
        <f t="shared" si="159"/>
        <v>1.7200000000000011</v>
      </c>
      <c r="BI94" s="36">
        <f t="shared" si="160"/>
        <v>1.7200000000000011</v>
      </c>
      <c r="BJ94" s="32">
        <f t="shared" si="116"/>
        <v>3.7225246621639405</v>
      </c>
      <c r="BK94" s="40">
        <f t="shared" si="161"/>
        <v>3.7225246621639405</v>
      </c>
      <c r="BL94" s="32"/>
      <c r="BM94" s="32">
        <f t="shared" si="162"/>
        <v>1.7200000000000011</v>
      </c>
      <c r="BN94" s="36">
        <f t="shared" si="163"/>
        <v>1.7200000000000011</v>
      </c>
      <c r="BO94" s="32">
        <f t="shared" si="117"/>
        <v>3.7225246621639405</v>
      </c>
      <c r="BP94" s="40">
        <f t="shared" si="164"/>
        <v>3.7225246621639405</v>
      </c>
      <c r="BQ94" s="32"/>
      <c r="BR94" s="32">
        <f t="shared" si="165"/>
        <v>1.7200000000000011</v>
      </c>
      <c r="BS94" s="32">
        <f t="shared" si="166"/>
        <v>1.7200000000000011</v>
      </c>
      <c r="BT94" s="32">
        <f t="shared" si="118"/>
        <v>3.7225246621639405</v>
      </c>
      <c r="BU94" s="40">
        <f t="shared" si="167"/>
        <v>3.7225246621639405</v>
      </c>
      <c r="BV94" s="32"/>
      <c r="BW94" s="32">
        <f t="shared" si="168"/>
        <v>1.7200000000000011</v>
      </c>
      <c r="BX94" s="36">
        <f t="shared" si="169"/>
        <v>1.7200000000000011</v>
      </c>
      <c r="BY94" s="32">
        <f t="shared" si="119"/>
        <v>3.7225246621639405</v>
      </c>
      <c r="BZ94" s="40">
        <f t="shared" si="170"/>
        <v>3.7225246621639405</v>
      </c>
      <c r="CA94" s="32"/>
      <c r="CB94" s="32">
        <f t="shared" si="171"/>
        <v>1.7200000000000011</v>
      </c>
      <c r="CC94" s="36">
        <f t="shared" si="172"/>
        <v>1.7200000000000011</v>
      </c>
      <c r="CD94" s="32">
        <f t="shared" si="120"/>
        <v>3.7225246621639405</v>
      </c>
      <c r="CE94" s="40">
        <f t="shared" si="173"/>
        <v>3.7225246621639405</v>
      </c>
      <c r="CF94" s="32"/>
      <c r="CG94" s="39">
        <f t="shared" si="174"/>
        <v>1.7200000000000011</v>
      </c>
      <c r="CH94" s="39">
        <f t="shared" si="175"/>
        <v>1.7200000000000011</v>
      </c>
      <c r="CI94" s="39">
        <f t="shared" si="121"/>
        <v>3.7225246621639405</v>
      </c>
      <c r="CJ94" s="40">
        <f t="shared" si="176"/>
        <v>3.7225246621639405</v>
      </c>
      <c r="CK94" s="39"/>
      <c r="CL94" s="32">
        <f t="shared" si="177"/>
        <v>1.7200000000000011</v>
      </c>
      <c r="CM94" s="36">
        <f t="shared" si="178"/>
        <v>1.7200000000000011</v>
      </c>
      <c r="CN94" s="32">
        <f t="shared" si="122"/>
        <v>3.7225246621639405</v>
      </c>
      <c r="CO94" s="40">
        <f t="shared" si="179"/>
        <v>3.7225246621639405</v>
      </c>
      <c r="CP94" s="32"/>
      <c r="CQ94" s="32">
        <f t="shared" si="180"/>
        <v>1.7200000000000011</v>
      </c>
      <c r="CR94" s="36">
        <f t="shared" si="181"/>
        <v>1.7200000000000011</v>
      </c>
      <c r="CS94" s="32">
        <f t="shared" si="123"/>
        <v>3.7225246621639405</v>
      </c>
      <c r="CT94" s="40">
        <f t="shared" si="182"/>
        <v>3.7225246621639405</v>
      </c>
      <c r="CU94" s="32"/>
      <c r="CV94" s="32">
        <f t="shared" si="183"/>
        <v>1.7200000000000011</v>
      </c>
      <c r="CW94" s="32">
        <f t="shared" si="184"/>
        <v>1.7200000000000011</v>
      </c>
      <c r="CX94" s="32">
        <f t="shared" si="124"/>
        <v>3.7225246621639405</v>
      </c>
      <c r="CY94" s="40">
        <f t="shared" si="185"/>
        <v>3.7225246621639405</v>
      </c>
      <c r="CZ94" s="32"/>
      <c r="DA94" s="32">
        <f t="shared" si="186"/>
        <v>1.7200000000000011</v>
      </c>
      <c r="DB94" s="36">
        <f t="shared" si="187"/>
        <v>1.7200000000000011</v>
      </c>
      <c r="DC94" s="32">
        <f t="shared" si="125"/>
        <v>3.7225246621639405</v>
      </c>
      <c r="DD94" s="40">
        <f t="shared" si="188"/>
        <v>3.7225246621639405</v>
      </c>
      <c r="DE94" s="32"/>
      <c r="DF94" s="32">
        <f t="shared" si="189"/>
        <v>1.7200000000000011</v>
      </c>
      <c r="DG94" s="36">
        <f t="shared" si="190"/>
        <v>1.7200000000000011</v>
      </c>
      <c r="DH94" s="32">
        <f t="shared" si="126"/>
        <v>3.7225246621639405</v>
      </c>
      <c r="DI94" s="40">
        <f t="shared" si="191"/>
        <v>3.7225246621639405</v>
      </c>
      <c r="DJ94" s="32"/>
      <c r="DK94" s="32">
        <f t="shared" si="192"/>
        <v>1.7200000000000011</v>
      </c>
      <c r="DL94" s="32">
        <f t="shared" si="193"/>
        <v>1.7200000000000011</v>
      </c>
      <c r="DM94" s="32">
        <f t="shared" si="127"/>
        <v>3.7225246621639405</v>
      </c>
      <c r="DN94" s="40">
        <f t="shared" si="194"/>
        <v>3.7225246621639405</v>
      </c>
      <c r="DO94" s="32"/>
      <c r="DP94" s="32">
        <f t="shared" si="195"/>
        <v>1.7200000000000011</v>
      </c>
      <c r="DQ94" s="36">
        <f t="shared" si="196"/>
        <v>1.7200000000000011</v>
      </c>
      <c r="DR94" s="32">
        <f t="shared" si="128"/>
        <v>3.7225246621639405</v>
      </c>
      <c r="DS94" s="40">
        <f t="shared" si="197"/>
        <v>3.7225246621639405</v>
      </c>
      <c r="DT94" s="32"/>
      <c r="DU94" s="32">
        <f t="shared" si="198"/>
        <v>1.7200000000000011</v>
      </c>
      <c r="DV94" s="36">
        <f t="shared" si="199"/>
        <v>1.7200000000000011</v>
      </c>
      <c r="DW94" s="32">
        <f t="shared" si="129"/>
        <v>3.7225246621639405</v>
      </c>
      <c r="DX94" s="40">
        <f t="shared" si="200"/>
        <v>3.7225246621639405</v>
      </c>
      <c r="DY94" s="32"/>
      <c r="DZ94" s="32">
        <f t="shared" si="201"/>
        <v>1.7200000000000011</v>
      </c>
      <c r="EA94" s="32">
        <f t="shared" si="202"/>
        <v>1.7200000000000011</v>
      </c>
      <c r="EB94" s="32">
        <f t="shared" si="130"/>
        <v>3.7225246621639405</v>
      </c>
      <c r="EC94" s="40">
        <f t="shared" si="203"/>
        <v>3.7225246621639405</v>
      </c>
      <c r="ED94" s="32"/>
      <c r="EE94" s="32">
        <f t="shared" si="204"/>
        <v>1.7200000000000011</v>
      </c>
      <c r="EF94" s="36">
        <f t="shared" si="205"/>
        <v>1.7200000000000011</v>
      </c>
      <c r="EG94" s="32">
        <f t="shared" si="131"/>
        <v>3.7225246621639405</v>
      </c>
      <c r="EH94" s="40">
        <f t="shared" si="206"/>
        <v>3.7225246621639405</v>
      </c>
      <c r="EI94" s="32"/>
      <c r="EJ94" s="32">
        <f t="shared" si="207"/>
        <v>1.7200000000000011</v>
      </c>
      <c r="EK94" s="36">
        <f t="shared" si="208"/>
        <v>1.7200000000000011</v>
      </c>
      <c r="EL94" s="32">
        <f t="shared" si="132"/>
        <v>3.7225246621639405</v>
      </c>
      <c r="EM94" s="40">
        <f t="shared" si="209"/>
        <v>3.7225246621639405</v>
      </c>
      <c r="EN94" s="32"/>
      <c r="EO94" s="32">
        <f t="shared" si="210"/>
        <v>1.7200000000000011</v>
      </c>
      <c r="EP94" s="32">
        <f t="shared" si="211"/>
        <v>1.7200000000000011</v>
      </c>
      <c r="EQ94" s="32">
        <f t="shared" si="133"/>
        <v>3.7225246621639405</v>
      </c>
      <c r="ER94" s="40">
        <f t="shared" si="212"/>
        <v>3.7225246621639405</v>
      </c>
      <c r="ES94" s="32"/>
      <c r="ET94" s="32">
        <f t="shared" si="213"/>
        <v>1.7200000000000011</v>
      </c>
      <c r="EU94" s="36">
        <f t="shared" si="214"/>
        <v>1.7200000000000011</v>
      </c>
      <c r="EV94" s="32">
        <f t="shared" si="134"/>
        <v>3.7225246621639405</v>
      </c>
      <c r="EW94" s="40">
        <f t="shared" si="215"/>
        <v>3.7225246621639405</v>
      </c>
      <c r="EX94" s="32"/>
    </row>
    <row r="95" spans="20:154" s="3" customFormat="1" x14ac:dyDescent="0.25">
      <c r="T95" s="32">
        <f t="shared" si="135"/>
        <v>1.7400000000000011</v>
      </c>
      <c r="U95" s="36">
        <f t="shared" si="136"/>
        <v>1.7400000000000011</v>
      </c>
      <c r="V95" s="32">
        <f t="shared" si="108"/>
        <v>3.6456639475975221</v>
      </c>
      <c r="W95" s="40">
        <f t="shared" si="137"/>
        <v>3.6456639475975221</v>
      </c>
      <c r="X95" s="32"/>
      <c r="Y95" s="32">
        <f t="shared" si="138"/>
        <v>1.7400000000000011</v>
      </c>
      <c r="Z95" s="32">
        <f t="shared" si="139"/>
        <v>1.7400000000000011</v>
      </c>
      <c r="AA95" s="32">
        <f t="shared" si="109"/>
        <v>3.6456639475975221</v>
      </c>
      <c r="AB95" s="40">
        <f t="shared" si="140"/>
        <v>3.6456639475975221</v>
      </c>
      <c r="AC95" s="32"/>
      <c r="AD95" s="32">
        <f t="shared" si="141"/>
        <v>1.7400000000000011</v>
      </c>
      <c r="AE95" s="36">
        <f t="shared" si="142"/>
        <v>1.7400000000000011</v>
      </c>
      <c r="AF95" s="32">
        <f t="shared" si="110"/>
        <v>3.6456639475975221</v>
      </c>
      <c r="AG95" s="40">
        <f t="shared" si="143"/>
        <v>3.6456639475975221</v>
      </c>
      <c r="AH95" s="32"/>
      <c r="AI95" s="32">
        <f t="shared" si="144"/>
        <v>1.7400000000000011</v>
      </c>
      <c r="AJ95" s="36">
        <f t="shared" si="145"/>
        <v>1.7400000000000011</v>
      </c>
      <c r="AK95" s="32">
        <f t="shared" si="111"/>
        <v>3.6456639475975221</v>
      </c>
      <c r="AL95" s="40">
        <f t="shared" si="146"/>
        <v>3.6456639475975221</v>
      </c>
      <c r="AM95" s="32"/>
      <c r="AN95" s="32">
        <f t="shared" si="147"/>
        <v>1.7400000000000011</v>
      </c>
      <c r="AO95" s="32">
        <f t="shared" si="148"/>
        <v>1.7400000000000011</v>
      </c>
      <c r="AP95" s="32">
        <f t="shared" si="112"/>
        <v>3.6456639475975221</v>
      </c>
      <c r="AQ95" s="40">
        <f t="shared" si="149"/>
        <v>3.6456639475975221</v>
      </c>
      <c r="AR95" s="32"/>
      <c r="AS95" s="32">
        <f t="shared" si="150"/>
        <v>1.7400000000000011</v>
      </c>
      <c r="AT95" s="36">
        <f t="shared" si="151"/>
        <v>1.7400000000000011</v>
      </c>
      <c r="AU95" s="32">
        <f t="shared" si="113"/>
        <v>3.6456639475975221</v>
      </c>
      <c r="AV95" s="40">
        <f t="shared" si="152"/>
        <v>3.6456639475975221</v>
      </c>
      <c r="AW95" s="32"/>
      <c r="AX95" s="32">
        <f t="shared" si="153"/>
        <v>1.7400000000000011</v>
      </c>
      <c r="AY95" s="36">
        <f t="shared" si="154"/>
        <v>1.7400000000000011</v>
      </c>
      <c r="AZ95" s="32">
        <f t="shared" si="114"/>
        <v>3.6456639475975221</v>
      </c>
      <c r="BA95" s="40">
        <f t="shared" si="155"/>
        <v>3.6456639475975221</v>
      </c>
      <c r="BB95" s="32"/>
      <c r="BC95" s="32">
        <f t="shared" si="156"/>
        <v>1.7400000000000011</v>
      </c>
      <c r="BD95" s="32">
        <f t="shared" si="157"/>
        <v>1.7400000000000011</v>
      </c>
      <c r="BE95" s="32">
        <f t="shared" si="115"/>
        <v>3.6456639475975221</v>
      </c>
      <c r="BF95" s="40">
        <f t="shared" si="158"/>
        <v>3.6456639475975221</v>
      </c>
      <c r="BG95" s="32"/>
      <c r="BH95" s="32">
        <f t="shared" si="159"/>
        <v>1.7400000000000011</v>
      </c>
      <c r="BI95" s="36">
        <f t="shared" si="160"/>
        <v>1.7400000000000011</v>
      </c>
      <c r="BJ95" s="32">
        <f t="shared" si="116"/>
        <v>3.6456639475975221</v>
      </c>
      <c r="BK95" s="40">
        <f t="shared" si="161"/>
        <v>3.6456639475975221</v>
      </c>
      <c r="BL95" s="32"/>
      <c r="BM95" s="32">
        <f t="shared" si="162"/>
        <v>1.7400000000000011</v>
      </c>
      <c r="BN95" s="36">
        <f t="shared" si="163"/>
        <v>1.7400000000000011</v>
      </c>
      <c r="BO95" s="32">
        <f t="shared" si="117"/>
        <v>3.6456639475975221</v>
      </c>
      <c r="BP95" s="40">
        <f t="shared" si="164"/>
        <v>3.6456639475975221</v>
      </c>
      <c r="BQ95" s="32"/>
      <c r="BR95" s="32">
        <f t="shared" si="165"/>
        <v>1.7400000000000011</v>
      </c>
      <c r="BS95" s="32">
        <f t="shared" si="166"/>
        <v>1.7400000000000011</v>
      </c>
      <c r="BT95" s="32">
        <f t="shared" si="118"/>
        <v>3.6456639475975221</v>
      </c>
      <c r="BU95" s="40">
        <f t="shared" si="167"/>
        <v>3.6456639475975221</v>
      </c>
      <c r="BV95" s="32"/>
      <c r="BW95" s="32">
        <f t="shared" si="168"/>
        <v>1.7400000000000011</v>
      </c>
      <c r="BX95" s="36">
        <f t="shared" si="169"/>
        <v>1.7400000000000011</v>
      </c>
      <c r="BY95" s="32">
        <f t="shared" si="119"/>
        <v>3.6456639475975221</v>
      </c>
      <c r="BZ95" s="40">
        <f t="shared" si="170"/>
        <v>3.6456639475975221</v>
      </c>
      <c r="CA95" s="32"/>
      <c r="CB95" s="32">
        <f t="shared" si="171"/>
        <v>1.7400000000000011</v>
      </c>
      <c r="CC95" s="36">
        <f t="shared" si="172"/>
        <v>1.7400000000000011</v>
      </c>
      <c r="CD95" s="32">
        <f t="shared" si="120"/>
        <v>3.6456639475975221</v>
      </c>
      <c r="CE95" s="40">
        <f t="shared" si="173"/>
        <v>3.6456639475975221</v>
      </c>
      <c r="CF95" s="32"/>
      <c r="CG95" s="39">
        <f t="shared" si="174"/>
        <v>1.7400000000000011</v>
      </c>
      <c r="CH95" s="39">
        <f t="shared" si="175"/>
        <v>1.7400000000000011</v>
      </c>
      <c r="CI95" s="39">
        <f t="shared" si="121"/>
        <v>3.6456639475975221</v>
      </c>
      <c r="CJ95" s="40">
        <f t="shared" si="176"/>
        <v>3.6456639475975221</v>
      </c>
      <c r="CK95" s="39"/>
      <c r="CL95" s="32">
        <f t="shared" si="177"/>
        <v>1.7400000000000011</v>
      </c>
      <c r="CM95" s="36">
        <f t="shared" si="178"/>
        <v>1.7400000000000011</v>
      </c>
      <c r="CN95" s="32">
        <f t="shared" si="122"/>
        <v>3.6456639475975221</v>
      </c>
      <c r="CO95" s="40">
        <f t="shared" si="179"/>
        <v>3.6456639475975221</v>
      </c>
      <c r="CP95" s="32"/>
      <c r="CQ95" s="32">
        <f t="shared" si="180"/>
        <v>1.7400000000000011</v>
      </c>
      <c r="CR95" s="36">
        <f t="shared" si="181"/>
        <v>1.7400000000000011</v>
      </c>
      <c r="CS95" s="32">
        <f t="shared" si="123"/>
        <v>3.6456639475975221</v>
      </c>
      <c r="CT95" s="40">
        <f t="shared" si="182"/>
        <v>3.6456639475975221</v>
      </c>
      <c r="CU95" s="32"/>
      <c r="CV95" s="32">
        <f t="shared" si="183"/>
        <v>1.7400000000000011</v>
      </c>
      <c r="CW95" s="32">
        <f t="shared" si="184"/>
        <v>1.7400000000000011</v>
      </c>
      <c r="CX95" s="32">
        <f t="shared" si="124"/>
        <v>3.6456639475975221</v>
      </c>
      <c r="CY95" s="40">
        <f t="shared" si="185"/>
        <v>3.6456639475975221</v>
      </c>
      <c r="CZ95" s="32"/>
      <c r="DA95" s="32">
        <f t="shared" si="186"/>
        <v>1.7400000000000011</v>
      </c>
      <c r="DB95" s="36">
        <f t="shared" si="187"/>
        <v>1.7400000000000011</v>
      </c>
      <c r="DC95" s="32">
        <f t="shared" si="125"/>
        <v>3.6456639475975221</v>
      </c>
      <c r="DD95" s="40">
        <f t="shared" si="188"/>
        <v>3.6456639475975221</v>
      </c>
      <c r="DE95" s="32"/>
      <c r="DF95" s="32">
        <f t="shared" si="189"/>
        <v>1.7400000000000011</v>
      </c>
      <c r="DG95" s="36">
        <f t="shared" si="190"/>
        <v>1.7400000000000011</v>
      </c>
      <c r="DH95" s="32">
        <f t="shared" si="126"/>
        <v>3.6456639475975221</v>
      </c>
      <c r="DI95" s="40">
        <f t="shared" si="191"/>
        <v>3.6456639475975221</v>
      </c>
      <c r="DJ95" s="32"/>
      <c r="DK95" s="32">
        <f t="shared" si="192"/>
        <v>1.7400000000000011</v>
      </c>
      <c r="DL95" s="32">
        <f t="shared" si="193"/>
        <v>1.7400000000000011</v>
      </c>
      <c r="DM95" s="32">
        <f t="shared" si="127"/>
        <v>3.6456639475975221</v>
      </c>
      <c r="DN95" s="40">
        <f t="shared" si="194"/>
        <v>3.6456639475975221</v>
      </c>
      <c r="DO95" s="32"/>
      <c r="DP95" s="32">
        <f t="shared" si="195"/>
        <v>1.7400000000000011</v>
      </c>
      <c r="DQ95" s="36">
        <f t="shared" si="196"/>
        <v>1.7400000000000011</v>
      </c>
      <c r="DR95" s="32">
        <f t="shared" si="128"/>
        <v>3.6456639475975221</v>
      </c>
      <c r="DS95" s="40">
        <f t="shared" si="197"/>
        <v>3.6456639475975221</v>
      </c>
      <c r="DT95" s="32"/>
      <c r="DU95" s="32">
        <f t="shared" si="198"/>
        <v>1.7400000000000011</v>
      </c>
      <c r="DV95" s="36">
        <f t="shared" si="199"/>
        <v>1.7400000000000011</v>
      </c>
      <c r="DW95" s="32">
        <f t="shared" si="129"/>
        <v>3.6456639475975221</v>
      </c>
      <c r="DX95" s="40">
        <f t="shared" si="200"/>
        <v>3.6456639475975221</v>
      </c>
      <c r="DY95" s="32"/>
      <c r="DZ95" s="32">
        <f t="shared" si="201"/>
        <v>1.7400000000000011</v>
      </c>
      <c r="EA95" s="32">
        <f t="shared" si="202"/>
        <v>1.7400000000000011</v>
      </c>
      <c r="EB95" s="32">
        <f t="shared" si="130"/>
        <v>3.6456639475975221</v>
      </c>
      <c r="EC95" s="40">
        <f t="shared" si="203"/>
        <v>3.6456639475975221</v>
      </c>
      <c r="ED95" s="32"/>
      <c r="EE95" s="32">
        <f t="shared" si="204"/>
        <v>1.7400000000000011</v>
      </c>
      <c r="EF95" s="36">
        <f t="shared" si="205"/>
        <v>1.7400000000000011</v>
      </c>
      <c r="EG95" s="32">
        <f t="shared" si="131"/>
        <v>3.6456639475975221</v>
      </c>
      <c r="EH95" s="40">
        <f t="shared" si="206"/>
        <v>3.6456639475975221</v>
      </c>
      <c r="EI95" s="32"/>
      <c r="EJ95" s="32">
        <f t="shared" si="207"/>
        <v>1.7400000000000011</v>
      </c>
      <c r="EK95" s="36">
        <f t="shared" si="208"/>
        <v>1.7400000000000011</v>
      </c>
      <c r="EL95" s="32">
        <f t="shared" si="132"/>
        <v>3.6456639475975221</v>
      </c>
      <c r="EM95" s="40">
        <f t="shared" si="209"/>
        <v>3.6456639475975221</v>
      </c>
      <c r="EN95" s="32"/>
      <c r="EO95" s="32">
        <f t="shared" si="210"/>
        <v>1.7400000000000011</v>
      </c>
      <c r="EP95" s="32">
        <f t="shared" si="211"/>
        <v>1.7400000000000011</v>
      </c>
      <c r="EQ95" s="32">
        <f t="shared" si="133"/>
        <v>3.6456639475975221</v>
      </c>
      <c r="ER95" s="40">
        <f t="shared" si="212"/>
        <v>3.6456639475975221</v>
      </c>
      <c r="ES95" s="32"/>
      <c r="ET95" s="32">
        <f t="shared" si="213"/>
        <v>1.7400000000000011</v>
      </c>
      <c r="EU95" s="36">
        <f t="shared" si="214"/>
        <v>1.7400000000000011</v>
      </c>
      <c r="EV95" s="32">
        <f t="shared" si="134"/>
        <v>3.6456639475975221</v>
      </c>
      <c r="EW95" s="40">
        <f t="shared" si="215"/>
        <v>3.6456639475975221</v>
      </c>
      <c r="EX95" s="32"/>
    </row>
    <row r="96" spans="20:154" s="3" customFormat="1" x14ac:dyDescent="0.25">
      <c r="T96" s="32">
        <f t="shared" si="135"/>
        <v>1.7600000000000011</v>
      </c>
      <c r="U96" s="36">
        <f t="shared" si="136"/>
        <v>1.7600000000000011</v>
      </c>
      <c r="V96" s="32">
        <f t="shared" si="108"/>
        <v>3.5660947203032576</v>
      </c>
      <c r="W96" s="40">
        <f t="shared" si="137"/>
        <v>3.5660947203032576</v>
      </c>
      <c r="X96" s="32"/>
      <c r="Y96" s="32">
        <f t="shared" si="138"/>
        <v>1.7600000000000011</v>
      </c>
      <c r="Z96" s="32">
        <f t="shared" si="139"/>
        <v>1.7600000000000011</v>
      </c>
      <c r="AA96" s="32">
        <f t="shared" si="109"/>
        <v>3.5660947203032576</v>
      </c>
      <c r="AB96" s="40">
        <f t="shared" si="140"/>
        <v>3.5660947203032576</v>
      </c>
      <c r="AC96" s="32"/>
      <c r="AD96" s="32">
        <f t="shared" si="141"/>
        <v>1.7600000000000011</v>
      </c>
      <c r="AE96" s="36">
        <f t="shared" si="142"/>
        <v>1.7600000000000011</v>
      </c>
      <c r="AF96" s="32">
        <f t="shared" si="110"/>
        <v>3.5660947203032576</v>
      </c>
      <c r="AG96" s="40">
        <f t="shared" si="143"/>
        <v>3.5660947203032576</v>
      </c>
      <c r="AH96" s="32"/>
      <c r="AI96" s="32">
        <f t="shared" si="144"/>
        <v>1.7600000000000011</v>
      </c>
      <c r="AJ96" s="36">
        <f t="shared" si="145"/>
        <v>1.7600000000000011</v>
      </c>
      <c r="AK96" s="32">
        <f t="shared" si="111"/>
        <v>3.5660947203032576</v>
      </c>
      <c r="AL96" s="40">
        <f t="shared" si="146"/>
        <v>3.5660947203032576</v>
      </c>
      <c r="AM96" s="32"/>
      <c r="AN96" s="32">
        <f t="shared" si="147"/>
        <v>1.7600000000000011</v>
      </c>
      <c r="AO96" s="32">
        <f t="shared" si="148"/>
        <v>1.7600000000000011</v>
      </c>
      <c r="AP96" s="32">
        <f t="shared" si="112"/>
        <v>3.5660947203032576</v>
      </c>
      <c r="AQ96" s="40">
        <f t="shared" si="149"/>
        <v>3.5660947203032576</v>
      </c>
      <c r="AR96" s="32"/>
      <c r="AS96" s="32">
        <f t="shared" si="150"/>
        <v>1.7600000000000011</v>
      </c>
      <c r="AT96" s="36">
        <f t="shared" si="151"/>
        <v>1.7600000000000011</v>
      </c>
      <c r="AU96" s="32">
        <f t="shared" si="113"/>
        <v>3.5660947203032576</v>
      </c>
      <c r="AV96" s="40">
        <f t="shared" si="152"/>
        <v>3.5660947203032576</v>
      </c>
      <c r="AW96" s="32"/>
      <c r="AX96" s="32">
        <f t="shared" si="153"/>
        <v>1.7600000000000011</v>
      </c>
      <c r="AY96" s="36">
        <f t="shared" si="154"/>
        <v>1.7600000000000011</v>
      </c>
      <c r="AZ96" s="32">
        <f t="shared" si="114"/>
        <v>3.5660947203032576</v>
      </c>
      <c r="BA96" s="40">
        <f t="shared" si="155"/>
        <v>3.5660947203032576</v>
      </c>
      <c r="BB96" s="32"/>
      <c r="BC96" s="32">
        <f t="shared" si="156"/>
        <v>1.7600000000000011</v>
      </c>
      <c r="BD96" s="32">
        <f t="shared" si="157"/>
        <v>1.7600000000000011</v>
      </c>
      <c r="BE96" s="32">
        <f t="shared" si="115"/>
        <v>3.5660947203032576</v>
      </c>
      <c r="BF96" s="40">
        <f t="shared" si="158"/>
        <v>3.5660947203032576</v>
      </c>
      <c r="BG96" s="32"/>
      <c r="BH96" s="32">
        <f t="shared" si="159"/>
        <v>1.7600000000000011</v>
      </c>
      <c r="BI96" s="36">
        <f t="shared" si="160"/>
        <v>1.7600000000000011</v>
      </c>
      <c r="BJ96" s="32">
        <f t="shared" si="116"/>
        <v>3.5660947203032576</v>
      </c>
      <c r="BK96" s="40">
        <f t="shared" si="161"/>
        <v>3.5660947203032576</v>
      </c>
      <c r="BL96" s="32"/>
      <c r="BM96" s="32">
        <f t="shared" si="162"/>
        <v>1.7600000000000011</v>
      </c>
      <c r="BN96" s="36">
        <f t="shared" si="163"/>
        <v>1.7600000000000011</v>
      </c>
      <c r="BO96" s="32">
        <f t="shared" si="117"/>
        <v>3.5660947203032576</v>
      </c>
      <c r="BP96" s="40">
        <f t="shared" si="164"/>
        <v>3.5660947203032576</v>
      </c>
      <c r="BQ96" s="32"/>
      <c r="BR96" s="32">
        <f t="shared" si="165"/>
        <v>1.7600000000000011</v>
      </c>
      <c r="BS96" s="32">
        <f t="shared" si="166"/>
        <v>1.7600000000000011</v>
      </c>
      <c r="BT96" s="32">
        <f t="shared" si="118"/>
        <v>3.5660947203032576</v>
      </c>
      <c r="BU96" s="40">
        <f t="shared" si="167"/>
        <v>3.5660947203032576</v>
      </c>
      <c r="BV96" s="32"/>
      <c r="BW96" s="32">
        <f t="shared" si="168"/>
        <v>1.7600000000000011</v>
      </c>
      <c r="BX96" s="36">
        <f t="shared" si="169"/>
        <v>1.7600000000000011</v>
      </c>
      <c r="BY96" s="32">
        <f t="shared" si="119"/>
        <v>3.5660947203032576</v>
      </c>
      <c r="BZ96" s="40">
        <f t="shared" si="170"/>
        <v>3.5660947203032576</v>
      </c>
      <c r="CA96" s="32"/>
      <c r="CB96" s="32">
        <f t="shared" si="171"/>
        <v>1.7600000000000011</v>
      </c>
      <c r="CC96" s="36">
        <f t="shared" si="172"/>
        <v>1.7600000000000011</v>
      </c>
      <c r="CD96" s="32">
        <f t="shared" si="120"/>
        <v>3.5660947203032576</v>
      </c>
      <c r="CE96" s="40">
        <f t="shared" si="173"/>
        <v>3.5660947203032576</v>
      </c>
      <c r="CF96" s="32"/>
      <c r="CG96" s="39">
        <f t="shared" si="174"/>
        <v>1.7600000000000011</v>
      </c>
      <c r="CH96" s="39">
        <f t="shared" si="175"/>
        <v>1.7600000000000011</v>
      </c>
      <c r="CI96" s="39">
        <f t="shared" si="121"/>
        <v>3.5660947203032576</v>
      </c>
      <c r="CJ96" s="40">
        <f t="shared" si="176"/>
        <v>3.5660947203032576</v>
      </c>
      <c r="CK96" s="39"/>
      <c r="CL96" s="32">
        <f t="shared" si="177"/>
        <v>1.7600000000000011</v>
      </c>
      <c r="CM96" s="36">
        <f t="shared" si="178"/>
        <v>1.7600000000000011</v>
      </c>
      <c r="CN96" s="32">
        <f t="shared" si="122"/>
        <v>3.5660947203032576</v>
      </c>
      <c r="CO96" s="40">
        <f t="shared" si="179"/>
        <v>3.5660947203032576</v>
      </c>
      <c r="CP96" s="32"/>
      <c r="CQ96" s="32">
        <f t="shared" si="180"/>
        <v>1.7600000000000011</v>
      </c>
      <c r="CR96" s="36">
        <f t="shared" si="181"/>
        <v>1.7600000000000011</v>
      </c>
      <c r="CS96" s="32">
        <f t="shared" si="123"/>
        <v>3.5660947203032576</v>
      </c>
      <c r="CT96" s="40">
        <f t="shared" si="182"/>
        <v>3.5660947203032576</v>
      </c>
      <c r="CU96" s="32"/>
      <c r="CV96" s="32">
        <f t="shared" si="183"/>
        <v>1.7600000000000011</v>
      </c>
      <c r="CW96" s="32">
        <f t="shared" si="184"/>
        <v>1.7600000000000011</v>
      </c>
      <c r="CX96" s="32">
        <f t="shared" si="124"/>
        <v>3.5660947203032576</v>
      </c>
      <c r="CY96" s="40">
        <f t="shared" si="185"/>
        <v>3.5660947203032576</v>
      </c>
      <c r="CZ96" s="32"/>
      <c r="DA96" s="32">
        <f t="shared" si="186"/>
        <v>1.7600000000000011</v>
      </c>
      <c r="DB96" s="36">
        <f t="shared" si="187"/>
        <v>1.7600000000000011</v>
      </c>
      <c r="DC96" s="32">
        <f t="shared" si="125"/>
        <v>3.5660947203032576</v>
      </c>
      <c r="DD96" s="40">
        <f t="shared" si="188"/>
        <v>3.5660947203032576</v>
      </c>
      <c r="DE96" s="32"/>
      <c r="DF96" s="32">
        <f t="shared" si="189"/>
        <v>1.7600000000000011</v>
      </c>
      <c r="DG96" s="36">
        <f t="shared" si="190"/>
        <v>1.7600000000000011</v>
      </c>
      <c r="DH96" s="32">
        <f t="shared" si="126"/>
        <v>3.5660947203032576</v>
      </c>
      <c r="DI96" s="40">
        <f t="shared" si="191"/>
        <v>3.5660947203032576</v>
      </c>
      <c r="DJ96" s="32"/>
      <c r="DK96" s="32">
        <f t="shared" si="192"/>
        <v>1.7600000000000011</v>
      </c>
      <c r="DL96" s="32">
        <f t="shared" si="193"/>
        <v>1.7600000000000011</v>
      </c>
      <c r="DM96" s="32">
        <f t="shared" si="127"/>
        <v>3.5660947203032576</v>
      </c>
      <c r="DN96" s="40">
        <f t="shared" si="194"/>
        <v>3.5660947203032576</v>
      </c>
      <c r="DO96" s="32"/>
      <c r="DP96" s="32">
        <f t="shared" si="195"/>
        <v>1.7600000000000011</v>
      </c>
      <c r="DQ96" s="36">
        <f t="shared" si="196"/>
        <v>1.7600000000000011</v>
      </c>
      <c r="DR96" s="32">
        <f t="shared" si="128"/>
        <v>3.5660947203032576</v>
      </c>
      <c r="DS96" s="40">
        <f t="shared" si="197"/>
        <v>3.5660947203032576</v>
      </c>
      <c r="DT96" s="32"/>
      <c r="DU96" s="32">
        <f t="shared" si="198"/>
        <v>1.7600000000000011</v>
      </c>
      <c r="DV96" s="36">
        <f t="shared" si="199"/>
        <v>1.7600000000000011</v>
      </c>
      <c r="DW96" s="32">
        <f t="shared" si="129"/>
        <v>3.5660947203032576</v>
      </c>
      <c r="DX96" s="40">
        <f t="shared" si="200"/>
        <v>3.5660947203032576</v>
      </c>
      <c r="DY96" s="32"/>
      <c r="DZ96" s="32">
        <f t="shared" si="201"/>
        <v>1.7600000000000011</v>
      </c>
      <c r="EA96" s="32">
        <f t="shared" si="202"/>
        <v>1.7600000000000011</v>
      </c>
      <c r="EB96" s="32">
        <f t="shared" si="130"/>
        <v>3.5660947203032576</v>
      </c>
      <c r="EC96" s="40">
        <f t="shared" si="203"/>
        <v>3.5660947203032576</v>
      </c>
      <c r="ED96" s="32"/>
      <c r="EE96" s="32">
        <f t="shared" si="204"/>
        <v>1.7600000000000011</v>
      </c>
      <c r="EF96" s="36">
        <f t="shared" si="205"/>
        <v>1.7600000000000011</v>
      </c>
      <c r="EG96" s="32">
        <f t="shared" si="131"/>
        <v>3.5660947203032576</v>
      </c>
      <c r="EH96" s="40">
        <f t="shared" si="206"/>
        <v>3.5660947203032576</v>
      </c>
      <c r="EI96" s="32"/>
      <c r="EJ96" s="32">
        <f t="shared" si="207"/>
        <v>1.7600000000000011</v>
      </c>
      <c r="EK96" s="36">
        <f t="shared" si="208"/>
        <v>1.7600000000000011</v>
      </c>
      <c r="EL96" s="32">
        <f t="shared" si="132"/>
        <v>3.5660947203032576</v>
      </c>
      <c r="EM96" s="40">
        <f t="shared" si="209"/>
        <v>3.5660947203032576</v>
      </c>
      <c r="EN96" s="32"/>
      <c r="EO96" s="32">
        <f t="shared" si="210"/>
        <v>1.7600000000000011</v>
      </c>
      <c r="EP96" s="32">
        <f t="shared" si="211"/>
        <v>1.7600000000000011</v>
      </c>
      <c r="EQ96" s="32">
        <f t="shared" si="133"/>
        <v>3.5660947203032576</v>
      </c>
      <c r="ER96" s="40">
        <f t="shared" si="212"/>
        <v>3.5660947203032576</v>
      </c>
      <c r="ES96" s="32"/>
      <c r="ET96" s="32">
        <f t="shared" si="213"/>
        <v>1.7600000000000011</v>
      </c>
      <c r="EU96" s="36">
        <f t="shared" si="214"/>
        <v>1.7600000000000011</v>
      </c>
      <c r="EV96" s="32">
        <f t="shared" si="134"/>
        <v>3.5660947203032576</v>
      </c>
      <c r="EW96" s="40">
        <f t="shared" si="215"/>
        <v>3.5660947203032576</v>
      </c>
      <c r="EX96" s="32"/>
    </row>
    <row r="97" spans="20:154" s="3" customFormat="1" x14ac:dyDescent="0.25">
      <c r="T97" s="32">
        <f t="shared" si="135"/>
        <v>1.7800000000000011</v>
      </c>
      <c r="U97" s="36">
        <f t="shared" si="136"/>
        <v>1.7800000000000011</v>
      </c>
      <c r="V97" s="32">
        <f t="shared" si="108"/>
        <v>3.4838169802811434</v>
      </c>
      <c r="W97" s="40">
        <f t="shared" si="137"/>
        <v>3.4838169802811434</v>
      </c>
      <c r="X97" s="32"/>
      <c r="Y97" s="32">
        <f t="shared" si="138"/>
        <v>1.7800000000000011</v>
      </c>
      <c r="Z97" s="32">
        <f t="shared" si="139"/>
        <v>1.7800000000000011</v>
      </c>
      <c r="AA97" s="32">
        <f t="shared" si="109"/>
        <v>3.4838169802811434</v>
      </c>
      <c r="AB97" s="40">
        <f t="shared" si="140"/>
        <v>3.4838169802811434</v>
      </c>
      <c r="AC97" s="32"/>
      <c r="AD97" s="32">
        <f t="shared" si="141"/>
        <v>1.7800000000000011</v>
      </c>
      <c r="AE97" s="36">
        <f t="shared" si="142"/>
        <v>1.7800000000000011</v>
      </c>
      <c r="AF97" s="32">
        <f t="shared" si="110"/>
        <v>3.4838169802811434</v>
      </c>
      <c r="AG97" s="40">
        <f t="shared" si="143"/>
        <v>3.4838169802811434</v>
      </c>
      <c r="AH97" s="32"/>
      <c r="AI97" s="32">
        <f t="shared" si="144"/>
        <v>1.7800000000000011</v>
      </c>
      <c r="AJ97" s="36">
        <f t="shared" si="145"/>
        <v>1.7800000000000011</v>
      </c>
      <c r="AK97" s="32">
        <f t="shared" si="111"/>
        <v>3.4838169802811434</v>
      </c>
      <c r="AL97" s="40">
        <f t="shared" si="146"/>
        <v>3.4838169802811434</v>
      </c>
      <c r="AM97" s="32"/>
      <c r="AN97" s="32">
        <f t="shared" si="147"/>
        <v>1.7800000000000011</v>
      </c>
      <c r="AO97" s="32">
        <f t="shared" si="148"/>
        <v>1.7800000000000011</v>
      </c>
      <c r="AP97" s="32">
        <f t="shared" si="112"/>
        <v>3.4838169802811434</v>
      </c>
      <c r="AQ97" s="40">
        <f t="shared" si="149"/>
        <v>3.4838169802811434</v>
      </c>
      <c r="AR97" s="32"/>
      <c r="AS97" s="32">
        <f t="shared" si="150"/>
        <v>1.7800000000000011</v>
      </c>
      <c r="AT97" s="36">
        <f t="shared" si="151"/>
        <v>1.7800000000000011</v>
      </c>
      <c r="AU97" s="32">
        <f t="shared" si="113"/>
        <v>3.4838169802811434</v>
      </c>
      <c r="AV97" s="40">
        <f t="shared" si="152"/>
        <v>3.4838169802811434</v>
      </c>
      <c r="AW97" s="32"/>
      <c r="AX97" s="32">
        <f t="shared" si="153"/>
        <v>1.7800000000000011</v>
      </c>
      <c r="AY97" s="36">
        <f t="shared" si="154"/>
        <v>1.7800000000000011</v>
      </c>
      <c r="AZ97" s="32">
        <f t="shared" si="114"/>
        <v>3.4838169802811434</v>
      </c>
      <c r="BA97" s="40">
        <f t="shared" si="155"/>
        <v>3.4838169802811434</v>
      </c>
      <c r="BB97" s="32"/>
      <c r="BC97" s="32">
        <f t="shared" si="156"/>
        <v>1.7800000000000011</v>
      </c>
      <c r="BD97" s="32">
        <f t="shared" si="157"/>
        <v>1.7800000000000011</v>
      </c>
      <c r="BE97" s="32">
        <f t="shared" si="115"/>
        <v>3.4838169802811434</v>
      </c>
      <c r="BF97" s="40">
        <f t="shared" si="158"/>
        <v>3.4838169802811434</v>
      </c>
      <c r="BG97" s="32"/>
      <c r="BH97" s="32">
        <f t="shared" si="159"/>
        <v>1.7800000000000011</v>
      </c>
      <c r="BI97" s="36">
        <f t="shared" si="160"/>
        <v>1.7800000000000011</v>
      </c>
      <c r="BJ97" s="32">
        <f t="shared" si="116"/>
        <v>3.4838169802811434</v>
      </c>
      <c r="BK97" s="40">
        <f t="shared" si="161"/>
        <v>3.4838169802811434</v>
      </c>
      <c r="BL97" s="32"/>
      <c r="BM97" s="32">
        <f t="shared" si="162"/>
        <v>1.7800000000000011</v>
      </c>
      <c r="BN97" s="36">
        <f t="shared" si="163"/>
        <v>1.7800000000000011</v>
      </c>
      <c r="BO97" s="32">
        <f t="shared" si="117"/>
        <v>3.4838169802811434</v>
      </c>
      <c r="BP97" s="40">
        <f t="shared" si="164"/>
        <v>3.4838169802811434</v>
      </c>
      <c r="BQ97" s="32"/>
      <c r="BR97" s="32">
        <f t="shared" si="165"/>
        <v>1.7800000000000011</v>
      </c>
      <c r="BS97" s="32">
        <f t="shared" si="166"/>
        <v>1.7800000000000011</v>
      </c>
      <c r="BT97" s="32">
        <f t="shared" si="118"/>
        <v>3.4838169802811434</v>
      </c>
      <c r="BU97" s="40">
        <f t="shared" si="167"/>
        <v>3.4838169802811434</v>
      </c>
      <c r="BV97" s="32"/>
      <c r="BW97" s="32">
        <f t="shared" si="168"/>
        <v>1.7800000000000011</v>
      </c>
      <c r="BX97" s="36">
        <f t="shared" si="169"/>
        <v>1.7800000000000011</v>
      </c>
      <c r="BY97" s="32">
        <f t="shared" si="119"/>
        <v>3.4838169802811434</v>
      </c>
      <c r="BZ97" s="40">
        <f t="shared" si="170"/>
        <v>3.4838169802811434</v>
      </c>
      <c r="CA97" s="32"/>
      <c r="CB97" s="32">
        <f t="shared" si="171"/>
        <v>1.7800000000000011</v>
      </c>
      <c r="CC97" s="36">
        <f t="shared" si="172"/>
        <v>1.7800000000000011</v>
      </c>
      <c r="CD97" s="32">
        <f t="shared" si="120"/>
        <v>3.4838169802811434</v>
      </c>
      <c r="CE97" s="40">
        <f t="shared" si="173"/>
        <v>3.4838169802811434</v>
      </c>
      <c r="CF97" s="32"/>
      <c r="CG97" s="39">
        <f t="shared" si="174"/>
        <v>1.7800000000000011</v>
      </c>
      <c r="CH97" s="39">
        <f t="shared" si="175"/>
        <v>1.7800000000000011</v>
      </c>
      <c r="CI97" s="39">
        <f t="shared" si="121"/>
        <v>3.4838169802811434</v>
      </c>
      <c r="CJ97" s="40">
        <f t="shared" si="176"/>
        <v>3.4838169802811434</v>
      </c>
      <c r="CK97" s="39"/>
      <c r="CL97" s="32">
        <f t="shared" si="177"/>
        <v>1.7800000000000011</v>
      </c>
      <c r="CM97" s="36">
        <f t="shared" si="178"/>
        <v>1.7800000000000011</v>
      </c>
      <c r="CN97" s="32">
        <f t="shared" si="122"/>
        <v>3.4838169802811434</v>
      </c>
      <c r="CO97" s="40">
        <f t="shared" si="179"/>
        <v>3.4838169802811434</v>
      </c>
      <c r="CP97" s="32"/>
      <c r="CQ97" s="32">
        <f t="shared" si="180"/>
        <v>1.7800000000000011</v>
      </c>
      <c r="CR97" s="36">
        <f t="shared" si="181"/>
        <v>1.7800000000000011</v>
      </c>
      <c r="CS97" s="32">
        <f t="shared" si="123"/>
        <v>3.4838169802811434</v>
      </c>
      <c r="CT97" s="40">
        <f t="shared" si="182"/>
        <v>3.4838169802811434</v>
      </c>
      <c r="CU97" s="32"/>
      <c r="CV97" s="32">
        <f t="shared" si="183"/>
        <v>1.7800000000000011</v>
      </c>
      <c r="CW97" s="32">
        <f t="shared" si="184"/>
        <v>1.7800000000000011</v>
      </c>
      <c r="CX97" s="32">
        <f t="shared" si="124"/>
        <v>3.4838169802811434</v>
      </c>
      <c r="CY97" s="40">
        <f t="shared" si="185"/>
        <v>3.4838169802811434</v>
      </c>
      <c r="CZ97" s="32"/>
      <c r="DA97" s="32">
        <f t="shared" si="186"/>
        <v>1.7800000000000011</v>
      </c>
      <c r="DB97" s="36">
        <f t="shared" si="187"/>
        <v>1.7800000000000011</v>
      </c>
      <c r="DC97" s="32">
        <f t="shared" si="125"/>
        <v>3.4838169802811434</v>
      </c>
      <c r="DD97" s="40">
        <f t="shared" si="188"/>
        <v>3.4838169802811434</v>
      </c>
      <c r="DE97" s="32"/>
      <c r="DF97" s="32">
        <f t="shared" si="189"/>
        <v>1.7800000000000011</v>
      </c>
      <c r="DG97" s="36">
        <f t="shared" si="190"/>
        <v>1.7800000000000011</v>
      </c>
      <c r="DH97" s="32">
        <f t="shared" si="126"/>
        <v>3.4838169802811434</v>
      </c>
      <c r="DI97" s="40">
        <f t="shared" si="191"/>
        <v>3.4838169802811434</v>
      </c>
      <c r="DJ97" s="32"/>
      <c r="DK97" s="32">
        <f t="shared" si="192"/>
        <v>1.7800000000000011</v>
      </c>
      <c r="DL97" s="32">
        <f t="shared" si="193"/>
        <v>1.7800000000000011</v>
      </c>
      <c r="DM97" s="32">
        <f t="shared" si="127"/>
        <v>3.4838169802811434</v>
      </c>
      <c r="DN97" s="40">
        <f t="shared" si="194"/>
        <v>3.4838169802811434</v>
      </c>
      <c r="DO97" s="32"/>
      <c r="DP97" s="32">
        <f t="shared" si="195"/>
        <v>1.7800000000000011</v>
      </c>
      <c r="DQ97" s="36">
        <f t="shared" si="196"/>
        <v>1.7800000000000011</v>
      </c>
      <c r="DR97" s="32">
        <f t="shared" si="128"/>
        <v>3.4838169802811434</v>
      </c>
      <c r="DS97" s="40">
        <f t="shared" si="197"/>
        <v>3.4838169802811434</v>
      </c>
      <c r="DT97" s="32"/>
      <c r="DU97" s="32">
        <f t="shared" si="198"/>
        <v>1.7800000000000011</v>
      </c>
      <c r="DV97" s="36">
        <f t="shared" si="199"/>
        <v>1.7800000000000011</v>
      </c>
      <c r="DW97" s="32">
        <f t="shared" si="129"/>
        <v>3.4838169802811434</v>
      </c>
      <c r="DX97" s="40">
        <f t="shared" si="200"/>
        <v>3.4838169802811434</v>
      </c>
      <c r="DY97" s="32"/>
      <c r="DZ97" s="32">
        <f t="shared" si="201"/>
        <v>1.7800000000000011</v>
      </c>
      <c r="EA97" s="32">
        <f t="shared" si="202"/>
        <v>1.7800000000000011</v>
      </c>
      <c r="EB97" s="32">
        <f t="shared" si="130"/>
        <v>3.4838169802811434</v>
      </c>
      <c r="EC97" s="40">
        <f t="shared" si="203"/>
        <v>3.4838169802811434</v>
      </c>
      <c r="ED97" s="32"/>
      <c r="EE97" s="32">
        <f t="shared" si="204"/>
        <v>1.7800000000000011</v>
      </c>
      <c r="EF97" s="36">
        <f t="shared" si="205"/>
        <v>1.7800000000000011</v>
      </c>
      <c r="EG97" s="32">
        <f t="shared" si="131"/>
        <v>3.4838169802811434</v>
      </c>
      <c r="EH97" s="40">
        <f t="shared" si="206"/>
        <v>3.4838169802811434</v>
      </c>
      <c r="EI97" s="32"/>
      <c r="EJ97" s="32">
        <f t="shared" si="207"/>
        <v>1.7800000000000011</v>
      </c>
      <c r="EK97" s="36">
        <f t="shared" si="208"/>
        <v>1.7800000000000011</v>
      </c>
      <c r="EL97" s="32">
        <f t="shared" si="132"/>
        <v>3.4838169802811434</v>
      </c>
      <c r="EM97" s="40">
        <f t="shared" si="209"/>
        <v>3.4838169802811434</v>
      </c>
      <c r="EN97" s="32"/>
      <c r="EO97" s="32">
        <f t="shared" si="210"/>
        <v>1.7800000000000011</v>
      </c>
      <c r="EP97" s="32">
        <f t="shared" si="211"/>
        <v>1.7800000000000011</v>
      </c>
      <c r="EQ97" s="32">
        <f t="shared" si="133"/>
        <v>3.4838169802811434</v>
      </c>
      <c r="ER97" s="40">
        <f t="shared" si="212"/>
        <v>3.4838169802811434</v>
      </c>
      <c r="ES97" s="32"/>
      <c r="ET97" s="32">
        <f t="shared" si="213"/>
        <v>1.7800000000000011</v>
      </c>
      <c r="EU97" s="36">
        <f t="shared" si="214"/>
        <v>1.7800000000000011</v>
      </c>
      <c r="EV97" s="32">
        <f t="shared" si="134"/>
        <v>3.4838169802811434</v>
      </c>
      <c r="EW97" s="40">
        <f t="shared" si="215"/>
        <v>3.4838169802811434</v>
      </c>
      <c r="EX97" s="32"/>
    </row>
    <row r="98" spans="20:154" s="3" customFormat="1" x14ac:dyDescent="0.25">
      <c r="T98" s="32">
        <f t="shared" si="135"/>
        <v>1.8000000000000012</v>
      </c>
      <c r="U98" s="36">
        <f t="shared" si="136"/>
        <v>1.8000000000000012</v>
      </c>
      <c r="V98" s="32">
        <f t="shared" si="108"/>
        <v>3.3988307275311831</v>
      </c>
      <c r="W98" s="40">
        <f t="shared" si="137"/>
        <v>3.3988307275311831</v>
      </c>
      <c r="X98" s="32"/>
      <c r="Y98" s="32">
        <f t="shared" si="138"/>
        <v>1.8000000000000012</v>
      </c>
      <c r="Z98" s="32">
        <f t="shared" si="139"/>
        <v>1.8000000000000012</v>
      </c>
      <c r="AA98" s="32">
        <f t="shared" si="109"/>
        <v>3.3988307275311831</v>
      </c>
      <c r="AB98" s="40">
        <f t="shared" si="140"/>
        <v>3.3988307275311831</v>
      </c>
      <c r="AC98" s="32"/>
      <c r="AD98" s="32">
        <f t="shared" si="141"/>
        <v>1.8000000000000012</v>
      </c>
      <c r="AE98" s="36">
        <f t="shared" si="142"/>
        <v>1.8000000000000012</v>
      </c>
      <c r="AF98" s="32">
        <f t="shared" si="110"/>
        <v>3.3988307275311831</v>
      </c>
      <c r="AG98" s="40">
        <f t="shared" si="143"/>
        <v>3.3988307275311831</v>
      </c>
      <c r="AH98" s="32"/>
      <c r="AI98" s="32">
        <f t="shared" si="144"/>
        <v>1.8000000000000012</v>
      </c>
      <c r="AJ98" s="36">
        <f t="shared" si="145"/>
        <v>1.8000000000000012</v>
      </c>
      <c r="AK98" s="32">
        <f t="shared" si="111"/>
        <v>3.3988307275311831</v>
      </c>
      <c r="AL98" s="40">
        <f t="shared" si="146"/>
        <v>3.3988307275311831</v>
      </c>
      <c r="AM98" s="32"/>
      <c r="AN98" s="32">
        <f t="shared" si="147"/>
        <v>1.8000000000000012</v>
      </c>
      <c r="AO98" s="32">
        <f t="shared" si="148"/>
        <v>1.8000000000000012</v>
      </c>
      <c r="AP98" s="32">
        <f t="shared" si="112"/>
        <v>3.3988307275311831</v>
      </c>
      <c r="AQ98" s="40">
        <f t="shared" si="149"/>
        <v>3.3988307275311831</v>
      </c>
      <c r="AR98" s="32"/>
      <c r="AS98" s="32">
        <f t="shared" si="150"/>
        <v>1.8000000000000012</v>
      </c>
      <c r="AT98" s="36">
        <f t="shared" si="151"/>
        <v>1.8000000000000012</v>
      </c>
      <c r="AU98" s="32">
        <f t="shared" si="113"/>
        <v>3.3988307275311831</v>
      </c>
      <c r="AV98" s="40">
        <f t="shared" si="152"/>
        <v>3.3988307275311831</v>
      </c>
      <c r="AW98" s="32"/>
      <c r="AX98" s="32">
        <f t="shared" si="153"/>
        <v>1.8000000000000012</v>
      </c>
      <c r="AY98" s="36">
        <f t="shared" si="154"/>
        <v>1.8000000000000012</v>
      </c>
      <c r="AZ98" s="32">
        <f t="shared" si="114"/>
        <v>3.3988307275311831</v>
      </c>
      <c r="BA98" s="40">
        <f t="shared" si="155"/>
        <v>3.3988307275311831</v>
      </c>
      <c r="BB98" s="32"/>
      <c r="BC98" s="32">
        <f t="shared" si="156"/>
        <v>1.8000000000000012</v>
      </c>
      <c r="BD98" s="32">
        <f t="shared" si="157"/>
        <v>1.8000000000000012</v>
      </c>
      <c r="BE98" s="32">
        <f t="shared" si="115"/>
        <v>3.3988307275311831</v>
      </c>
      <c r="BF98" s="40">
        <f t="shared" si="158"/>
        <v>3.3988307275311831</v>
      </c>
      <c r="BG98" s="32"/>
      <c r="BH98" s="32">
        <f t="shared" si="159"/>
        <v>1.8000000000000012</v>
      </c>
      <c r="BI98" s="36">
        <f t="shared" si="160"/>
        <v>1.8000000000000012</v>
      </c>
      <c r="BJ98" s="32">
        <f t="shared" si="116"/>
        <v>3.3988307275311831</v>
      </c>
      <c r="BK98" s="40">
        <f t="shared" si="161"/>
        <v>3.3988307275311831</v>
      </c>
      <c r="BL98" s="32"/>
      <c r="BM98" s="32">
        <f t="shared" si="162"/>
        <v>1.8000000000000012</v>
      </c>
      <c r="BN98" s="36">
        <f t="shared" si="163"/>
        <v>1.8000000000000012</v>
      </c>
      <c r="BO98" s="32">
        <f t="shared" si="117"/>
        <v>3.3988307275311831</v>
      </c>
      <c r="BP98" s="40">
        <f t="shared" si="164"/>
        <v>3.3988307275311831</v>
      </c>
      <c r="BQ98" s="32"/>
      <c r="BR98" s="32">
        <f t="shared" si="165"/>
        <v>1.8000000000000012</v>
      </c>
      <c r="BS98" s="32">
        <f t="shared" si="166"/>
        <v>1.8000000000000012</v>
      </c>
      <c r="BT98" s="32">
        <f t="shared" si="118"/>
        <v>3.3988307275311831</v>
      </c>
      <c r="BU98" s="40">
        <f t="shared" si="167"/>
        <v>3.3988307275311831</v>
      </c>
      <c r="BV98" s="32"/>
      <c r="BW98" s="32">
        <f t="shared" si="168"/>
        <v>1.8000000000000012</v>
      </c>
      <c r="BX98" s="36">
        <f t="shared" si="169"/>
        <v>1.8000000000000012</v>
      </c>
      <c r="BY98" s="32">
        <f t="shared" si="119"/>
        <v>3.3988307275311831</v>
      </c>
      <c r="BZ98" s="40">
        <f t="shared" si="170"/>
        <v>3.3988307275311831</v>
      </c>
      <c r="CA98" s="32"/>
      <c r="CB98" s="32">
        <f t="shared" si="171"/>
        <v>1.8000000000000012</v>
      </c>
      <c r="CC98" s="36">
        <f t="shared" si="172"/>
        <v>1.8000000000000012</v>
      </c>
      <c r="CD98" s="32">
        <f t="shared" si="120"/>
        <v>3.3988307275311831</v>
      </c>
      <c r="CE98" s="40">
        <f t="shared" si="173"/>
        <v>3.3988307275311831</v>
      </c>
      <c r="CF98" s="32"/>
      <c r="CG98" s="39">
        <f t="shared" si="174"/>
        <v>1.8000000000000012</v>
      </c>
      <c r="CH98" s="39">
        <f t="shared" si="175"/>
        <v>1.8000000000000012</v>
      </c>
      <c r="CI98" s="39">
        <f t="shared" si="121"/>
        <v>3.3988307275311831</v>
      </c>
      <c r="CJ98" s="40">
        <f t="shared" si="176"/>
        <v>3.3988307275311831</v>
      </c>
      <c r="CK98" s="39"/>
      <c r="CL98" s="32">
        <f t="shared" si="177"/>
        <v>1.8000000000000012</v>
      </c>
      <c r="CM98" s="36">
        <f t="shared" si="178"/>
        <v>1.8000000000000012</v>
      </c>
      <c r="CN98" s="32">
        <f t="shared" si="122"/>
        <v>3.3988307275311831</v>
      </c>
      <c r="CO98" s="40">
        <f t="shared" si="179"/>
        <v>3.3988307275311831</v>
      </c>
      <c r="CP98" s="32"/>
      <c r="CQ98" s="32">
        <f t="shared" si="180"/>
        <v>1.8000000000000012</v>
      </c>
      <c r="CR98" s="36">
        <f t="shared" si="181"/>
        <v>1.8000000000000012</v>
      </c>
      <c r="CS98" s="32">
        <f t="shared" si="123"/>
        <v>3.3988307275311831</v>
      </c>
      <c r="CT98" s="40">
        <f t="shared" si="182"/>
        <v>3.3988307275311831</v>
      </c>
      <c r="CU98" s="32"/>
      <c r="CV98" s="32">
        <f t="shared" si="183"/>
        <v>1.8000000000000012</v>
      </c>
      <c r="CW98" s="32">
        <f t="shared" si="184"/>
        <v>1.8000000000000012</v>
      </c>
      <c r="CX98" s="32">
        <f t="shared" si="124"/>
        <v>3.3988307275311831</v>
      </c>
      <c r="CY98" s="40">
        <f t="shared" si="185"/>
        <v>3.3988307275311831</v>
      </c>
      <c r="CZ98" s="32"/>
      <c r="DA98" s="32">
        <f t="shared" si="186"/>
        <v>1.8000000000000012</v>
      </c>
      <c r="DB98" s="36">
        <f t="shared" si="187"/>
        <v>1.8000000000000012</v>
      </c>
      <c r="DC98" s="32">
        <f t="shared" si="125"/>
        <v>3.3988307275311831</v>
      </c>
      <c r="DD98" s="40">
        <f t="shared" si="188"/>
        <v>3.3988307275311831</v>
      </c>
      <c r="DE98" s="32"/>
      <c r="DF98" s="32">
        <f t="shared" si="189"/>
        <v>1.8000000000000012</v>
      </c>
      <c r="DG98" s="36">
        <f t="shared" si="190"/>
        <v>1.8000000000000012</v>
      </c>
      <c r="DH98" s="32">
        <f t="shared" si="126"/>
        <v>3.3988307275311831</v>
      </c>
      <c r="DI98" s="40">
        <f t="shared" si="191"/>
        <v>3.3988307275311831</v>
      </c>
      <c r="DJ98" s="32"/>
      <c r="DK98" s="32">
        <f t="shared" si="192"/>
        <v>1.8000000000000012</v>
      </c>
      <c r="DL98" s="32">
        <f t="shared" si="193"/>
        <v>1.8000000000000012</v>
      </c>
      <c r="DM98" s="32">
        <f t="shared" si="127"/>
        <v>3.3988307275311831</v>
      </c>
      <c r="DN98" s="40">
        <f t="shared" si="194"/>
        <v>3.3988307275311831</v>
      </c>
      <c r="DO98" s="32"/>
      <c r="DP98" s="32">
        <f t="shared" si="195"/>
        <v>1.8000000000000012</v>
      </c>
      <c r="DQ98" s="36">
        <f t="shared" si="196"/>
        <v>1.8000000000000012</v>
      </c>
      <c r="DR98" s="32">
        <f t="shared" si="128"/>
        <v>3.3988307275311831</v>
      </c>
      <c r="DS98" s="40">
        <f t="shared" si="197"/>
        <v>3.3988307275311831</v>
      </c>
      <c r="DT98" s="32"/>
      <c r="DU98" s="32">
        <f t="shared" si="198"/>
        <v>1.8000000000000012</v>
      </c>
      <c r="DV98" s="36">
        <f t="shared" si="199"/>
        <v>1.8000000000000012</v>
      </c>
      <c r="DW98" s="32">
        <f t="shared" si="129"/>
        <v>3.3988307275311831</v>
      </c>
      <c r="DX98" s="40">
        <f t="shared" si="200"/>
        <v>3.3988307275311831</v>
      </c>
      <c r="DY98" s="32"/>
      <c r="DZ98" s="32">
        <f t="shared" si="201"/>
        <v>1.8000000000000012</v>
      </c>
      <c r="EA98" s="32">
        <f t="shared" si="202"/>
        <v>1.8000000000000012</v>
      </c>
      <c r="EB98" s="32">
        <f t="shared" si="130"/>
        <v>3.3988307275311831</v>
      </c>
      <c r="EC98" s="40">
        <f t="shared" si="203"/>
        <v>3.3988307275311831</v>
      </c>
      <c r="ED98" s="32"/>
      <c r="EE98" s="32">
        <f t="shared" si="204"/>
        <v>1.8000000000000012</v>
      </c>
      <c r="EF98" s="36">
        <f t="shared" si="205"/>
        <v>1.8000000000000012</v>
      </c>
      <c r="EG98" s="32">
        <f t="shared" si="131"/>
        <v>3.3988307275311831</v>
      </c>
      <c r="EH98" s="40">
        <f t="shared" si="206"/>
        <v>3.3988307275311831</v>
      </c>
      <c r="EI98" s="32"/>
      <c r="EJ98" s="32">
        <f t="shared" si="207"/>
        <v>1.8000000000000012</v>
      </c>
      <c r="EK98" s="36">
        <f t="shared" si="208"/>
        <v>1.8000000000000012</v>
      </c>
      <c r="EL98" s="32">
        <f t="shared" si="132"/>
        <v>3.3988307275311831</v>
      </c>
      <c r="EM98" s="40">
        <f t="shared" si="209"/>
        <v>3.3988307275311831</v>
      </c>
      <c r="EN98" s="32"/>
      <c r="EO98" s="32">
        <f t="shared" si="210"/>
        <v>1.8000000000000012</v>
      </c>
      <c r="EP98" s="32">
        <f t="shared" si="211"/>
        <v>1.8000000000000012</v>
      </c>
      <c r="EQ98" s="32">
        <f t="shared" si="133"/>
        <v>3.3988307275311831</v>
      </c>
      <c r="ER98" s="40">
        <f t="shared" si="212"/>
        <v>3.3988307275311831</v>
      </c>
      <c r="ES98" s="32"/>
      <c r="ET98" s="32">
        <f t="shared" si="213"/>
        <v>1.8000000000000012</v>
      </c>
      <c r="EU98" s="36">
        <f t="shared" si="214"/>
        <v>1.8000000000000012</v>
      </c>
      <c r="EV98" s="32">
        <f t="shared" si="134"/>
        <v>3.3988307275311831</v>
      </c>
      <c r="EW98" s="40">
        <f t="shared" si="215"/>
        <v>3.3988307275311831</v>
      </c>
      <c r="EX98" s="32"/>
    </row>
    <row r="99" spans="20:154" s="3" customFormat="1" x14ac:dyDescent="0.25">
      <c r="T99" s="32">
        <f t="shared" si="135"/>
        <v>1.8200000000000012</v>
      </c>
      <c r="U99" s="36">
        <f t="shared" si="136"/>
        <v>1.8200000000000012</v>
      </c>
      <c r="V99" s="32">
        <f t="shared" si="108"/>
        <v>3.3111359620533767</v>
      </c>
      <c r="W99" s="40">
        <f t="shared" si="137"/>
        <v>3.3111359620533767</v>
      </c>
      <c r="X99" s="32"/>
      <c r="Y99" s="32">
        <f t="shared" si="138"/>
        <v>1.8200000000000012</v>
      </c>
      <c r="Z99" s="32">
        <f t="shared" si="139"/>
        <v>1.8200000000000012</v>
      </c>
      <c r="AA99" s="32">
        <f t="shared" si="109"/>
        <v>3.3111359620533767</v>
      </c>
      <c r="AB99" s="40">
        <f t="shared" si="140"/>
        <v>3.3111359620533767</v>
      </c>
      <c r="AC99" s="32"/>
      <c r="AD99" s="32">
        <f t="shared" si="141"/>
        <v>1.8200000000000012</v>
      </c>
      <c r="AE99" s="36">
        <f t="shared" si="142"/>
        <v>1.8200000000000012</v>
      </c>
      <c r="AF99" s="32">
        <f t="shared" si="110"/>
        <v>3.3111359620533767</v>
      </c>
      <c r="AG99" s="40">
        <f t="shared" si="143"/>
        <v>3.3111359620533767</v>
      </c>
      <c r="AH99" s="32"/>
      <c r="AI99" s="32">
        <f t="shared" si="144"/>
        <v>1.8200000000000012</v>
      </c>
      <c r="AJ99" s="36">
        <f t="shared" si="145"/>
        <v>1.8200000000000012</v>
      </c>
      <c r="AK99" s="32">
        <f t="shared" si="111"/>
        <v>3.3111359620533767</v>
      </c>
      <c r="AL99" s="40">
        <f t="shared" si="146"/>
        <v>3.3111359620533767</v>
      </c>
      <c r="AM99" s="32"/>
      <c r="AN99" s="32">
        <f t="shared" si="147"/>
        <v>1.8200000000000012</v>
      </c>
      <c r="AO99" s="32">
        <f t="shared" si="148"/>
        <v>1.8200000000000012</v>
      </c>
      <c r="AP99" s="32">
        <f t="shared" si="112"/>
        <v>3.3111359620533767</v>
      </c>
      <c r="AQ99" s="40">
        <f t="shared" si="149"/>
        <v>3.3111359620533767</v>
      </c>
      <c r="AR99" s="32"/>
      <c r="AS99" s="32">
        <f t="shared" si="150"/>
        <v>1.8200000000000012</v>
      </c>
      <c r="AT99" s="36">
        <f t="shared" si="151"/>
        <v>1.8200000000000012</v>
      </c>
      <c r="AU99" s="32">
        <f t="shared" si="113"/>
        <v>3.3111359620533767</v>
      </c>
      <c r="AV99" s="40">
        <f t="shared" si="152"/>
        <v>3.3111359620533767</v>
      </c>
      <c r="AW99" s="32"/>
      <c r="AX99" s="32">
        <f t="shared" si="153"/>
        <v>1.8200000000000012</v>
      </c>
      <c r="AY99" s="36">
        <f t="shared" si="154"/>
        <v>1.8200000000000012</v>
      </c>
      <c r="AZ99" s="32">
        <f t="shared" si="114"/>
        <v>3.3111359620533767</v>
      </c>
      <c r="BA99" s="40">
        <f t="shared" si="155"/>
        <v>3.3111359620533767</v>
      </c>
      <c r="BB99" s="32"/>
      <c r="BC99" s="32">
        <f t="shared" si="156"/>
        <v>1.8200000000000012</v>
      </c>
      <c r="BD99" s="32">
        <f t="shared" si="157"/>
        <v>1.8200000000000012</v>
      </c>
      <c r="BE99" s="32">
        <f t="shared" si="115"/>
        <v>3.3111359620533767</v>
      </c>
      <c r="BF99" s="40">
        <f t="shared" si="158"/>
        <v>3.3111359620533767</v>
      </c>
      <c r="BG99" s="32"/>
      <c r="BH99" s="32">
        <f t="shared" si="159"/>
        <v>1.8200000000000012</v>
      </c>
      <c r="BI99" s="36">
        <f t="shared" si="160"/>
        <v>1.8200000000000012</v>
      </c>
      <c r="BJ99" s="32">
        <f t="shared" si="116"/>
        <v>3.3111359620533767</v>
      </c>
      <c r="BK99" s="40">
        <f t="shared" si="161"/>
        <v>3.3111359620533767</v>
      </c>
      <c r="BL99" s="32"/>
      <c r="BM99" s="32">
        <f t="shared" si="162"/>
        <v>1.8200000000000012</v>
      </c>
      <c r="BN99" s="36">
        <f t="shared" si="163"/>
        <v>1.8200000000000012</v>
      </c>
      <c r="BO99" s="32">
        <f t="shared" si="117"/>
        <v>3.3111359620533767</v>
      </c>
      <c r="BP99" s="40">
        <f t="shared" si="164"/>
        <v>3.3111359620533767</v>
      </c>
      <c r="BQ99" s="32"/>
      <c r="BR99" s="32">
        <f t="shared" si="165"/>
        <v>1.8200000000000012</v>
      </c>
      <c r="BS99" s="32">
        <f t="shared" si="166"/>
        <v>1.8200000000000012</v>
      </c>
      <c r="BT99" s="32">
        <f t="shared" si="118"/>
        <v>3.3111359620533767</v>
      </c>
      <c r="BU99" s="40">
        <f t="shared" si="167"/>
        <v>3.3111359620533767</v>
      </c>
      <c r="BV99" s="32"/>
      <c r="BW99" s="32">
        <f t="shared" si="168"/>
        <v>1.8200000000000012</v>
      </c>
      <c r="BX99" s="36">
        <f t="shared" si="169"/>
        <v>1.8200000000000012</v>
      </c>
      <c r="BY99" s="32">
        <f t="shared" si="119"/>
        <v>3.3111359620533767</v>
      </c>
      <c r="BZ99" s="40">
        <f t="shared" si="170"/>
        <v>3.3111359620533767</v>
      </c>
      <c r="CA99" s="32"/>
      <c r="CB99" s="32">
        <f t="shared" si="171"/>
        <v>1.8200000000000012</v>
      </c>
      <c r="CC99" s="36">
        <f t="shared" si="172"/>
        <v>1.8200000000000012</v>
      </c>
      <c r="CD99" s="32">
        <f t="shared" si="120"/>
        <v>3.3111359620533767</v>
      </c>
      <c r="CE99" s="40">
        <f t="shared" si="173"/>
        <v>3.3111359620533767</v>
      </c>
      <c r="CF99" s="32"/>
      <c r="CG99" s="39">
        <f t="shared" si="174"/>
        <v>1.8200000000000012</v>
      </c>
      <c r="CH99" s="39">
        <f t="shared" si="175"/>
        <v>1.8200000000000012</v>
      </c>
      <c r="CI99" s="39">
        <f t="shared" si="121"/>
        <v>3.3111359620533767</v>
      </c>
      <c r="CJ99" s="40">
        <f t="shared" si="176"/>
        <v>3.3111359620533767</v>
      </c>
      <c r="CK99" s="39"/>
      <c r="CL99" s="32">
        <f t="shared" si="177"/>
        <v>1.8200000000000012</v>
      </c>
      <c r="CM99" s="36">
        <f t="shared" si="178"/>
        <v>1.8200000000000012</v>
      </c>
      <c r="CN99" s="32">
        <f t="shared" si="122"/>
        <v>3.3111359620533767</v>
      </c>
      <c r="CO99" s="40">
        <f t="shared" si="179"/>
        <v>3.3111359620533767</v>
      </c>
      <c r="CP99" s="32"/>
      <c r="CQ99" s="32">
        <f t="shared" si="180"/>
        <v>1.8200000000000012</v>
      </c>
      <c r="CR99" s="36">
        <f t="shared" si="181"/>
        <v>1.8200000000000012</v>
      </c>
      <c r="CS99" s="32">
        <f t="shared" si="123"/>
        <v>3.3111359620533767</v>
      </c>
      <c r="CT99" s="40">
        <f t="shared" si="182"/>
        <v>3.3111359620533767</v>
      </c>
      <c r="CU99" s="32"/>
      <c r="CV99" s="32">
        <f t="shared" si="183"/>
        <v>1.8200000000000012</v>
      </c>
      <c r="CW99" s="32">
        <f t="shared" si="184"/>
        <v>1.8200000000000012</v>
      </c>
      <c r="CX99" s="32">
        <f t="shared" si="124"/>
        <v>3.3111359620533767</v>
      </c>
      <c r="CY99" s="40">
        <f t="shared" si="185"/>
        <v>3.3111359620533767</v>
      </c>
      <c r="CZ99" s="32"/>
      <c r="DA99" s="32">
        <f t="shared" si="186"/>
        <v>1.8200000000000012</v>
      </c>
      <c r="DB99" s="36">
        <f t="shared" si="187"/>
        <v>1.8200000000000012</v>
      </c>
      <c r="DC99" s="32">
        <f t="shared" si="125"/>
        <v>3.3111359620533767</v>
      </c>
      <c r="DD99" s="40">
        <f t="shared" si="188"/>
        <v>3.3111359620533767</v>
      </c>
      <c r="DE99" s="32"/>
      <c r="DF99" s="32">
        <f t="shared" si="189"/>
        <v>1.8200000000000012</v>
      </c>
      <c r="DG99" s="36">
        <f t="shared" si="190"/>
        <v>1.8200000000000012</v>
      </c>
      <c r="DH99" s="32">
        <f t="shared" si="126"/>
        <v>3.3111359620533767</v>
      </c>
      <c r="DI99" s="40">
        <f t="shared" si="191"/>
        <v>3.3111359620533767</v>
      </c>
      <c r="DJ99" s="32"/>
      <c r="DK99" s="32">
        <f t="shared" si="192"/>
        <v>1.8200000000000012</v>
      </c>
      <c r="DL99" s="32">
        <f t="shared" si="193"/>
        <v>1.8200000000000012</v>
      </c>
      <c r="DM99" s="32">
        <f t="shared" si="127"/>
        <v>3.3111359620533767</v>
      </c>
      <c r="DN99" s="40">
        <f t="shared" si="194"/>
        <v>3.3111359620533767</v>
      </c>
      <c r="DO99" s="32"/>
      <c r="DP99" s="32">
        <f t="shared" si="195"/>
        <v>1.8200000000000012</v>
      </c>
      <c r="DQ99" s="36">
        <f t="shared" si="196"/>
        <v>1.8200000000000012</v>
      </c>
      <c r="DR99" s="32">
        <f t="shared" si="128"/>
        <v>3.3111359620533767</v>
      </c>
      <c r="DS99" s="40">
        <f t="shared" si="197"/>
        <v>3.3111359620533767</v>
      </c>
      <c r="DT99" s="32"/>
      <c r="DU99" s="32">
        <f t="shared" si="198"/>
        <v>1.8200000000000012</v>
      </c>
      <c r="DV99" s="36">
        <f t="shared" si="199"/>
        <v>1.8200000000000012</v>
      </c>
      <c r="DW99" s="32">
        <f t="shared" si="129"/>
        <v>3.3111359620533767</v>
      </c>
      <c r="DX99" s="40">
        <f t="shared" si="200"/>
        <v>3.3111359620533767</v>
      </c>
      <c r="DY99" s="32"/>
      <c r="DZ99" s="32">
        <f t="shared" si="201"/>
        <v>1.8200000000000012</v>
      </c>
      <c r="EA99" s="32">
        <f t="shared" si="202"/>
        <v>1.8200000000000012</v>
      </c>
      <c r="EB99" s="32">
        <f t="shared" si="130"/>
        <v>3.3111359620533767</v>
      </c>
      <c r="EC99" s="40">
        <f t="shared" si="203"/>
        <v>3.3111359620533767</v>
      </c>
      <c r="ED99" s="32"/>
      <c r="EE99" s="32">
        <f t="shared" si="204"/>
        <v>1.8200000000000012</v>
      </c>
      <c r="EF99" s="36">
        <f t="shared" si="205"/>
        <v>1.8200000000000012</v>
      </c>
      <c r="EG99" s="32">
        <f t="shared" si="131"/>
        <v>3.3111359620533767</v>
      </c>
      <c r="EH99" s="40">
        <f t="shared" si="206"/>
        <v>3.3111359620533767</v>
      </c>
      <c r="EI99" s="32"/>
      <c r="EJ99" s="32">
        <f t="shared" si="207"/>
        <v>1.8200000000000012</v>
      </c>
      <c r="EK99" s="36">
        <f t="shared" si="208"/>
        <v>1.8200000000000012</v>
      </c>
      <c r="EL99" s="32">
        <f t="shared" si="132"/>
        <v>3.3111359620533767</v>
      </c>
      <c r="EM99" s="40">
        <f t="shared" si="209"/>
        <v>3.3111359620533767</v>
      </c>
      <c r="EN99" s="32"/>
      <c r="EO99" s="32">
        <f t="shared" si="210"/>
        <v>1.8200000000000012</v>
      </c>
      <c r="EP99" s="32">
        <f t="shared" si="211"/>
        <v>1.8200000000000012</v>
      </c>
      <c r="EQ99" s="32">
        <f t="shared" si="133"/>
        <v>3.3111359620533767</v>
      </c>
      <c r="ER99" s="40">
        <f t="shared" si="212"/>
        <v>3.3111359620533767</v>
      </c>
      <c r="ES99" s="32"/>
      <c r="ET99" s="32">
        <f t="shared" si="213"/>
        <v>1.8200000000000012</v>
      </c>
      <c r="EU99" s="36">
        <f t="shared" si="214"/>
        <v>1.8200000000000012</v>
      </c>
      <c r="EV99" s="32">
        <f t="shared" si="134"/>
        <v>3.3111359620533767</v>
      </c>
      <c r="EW99" s="40">
        <f t="shared" si="215"/>
        <v>3.3111359620533767</v>
      </c>
      <c r="EX99" s="32"/>
    </row>
    <row r="100" spans="20:154" s="3" customFormat="1" x14ac:dyDescent="0.25">
      <c r="T100" s="32">
        <f t="shared" si="135"/>
        <v>1.8400000000000012</v>
      </c>
      <c r="U100" s="36">
        <f t="shared" si="136"/>
        <v>1.8400000000000012</v>
      </c>
      <c r="V100" s="32">
        <f t="shared" si="108"/>
        <v>3.2207326838477224</v>
      </c>
      <c r="W100" s="40">
        <f t="shared" si="137"/>
        <v>3.2207326838477224</v>
      </c>
      <c r="X100" s="32"/>
      <c r="Y100" s="32">
        <f t="shared" si="138"/>
        <v>1.8400000000000012</v>
      </c>
      <c r="Z100" s="32">
        <f t="shared" si="139"/>
        <v>1.8400000000000012</v>
      </c>
      <c r="AA100" s="32">
        <f t="shared" si="109"/>
        <v>3.2207326838477224</v>
      </c>
      <c r="AB100" s="40">
        <f t="shared" si="140"/>
        <v>3.2207326838477224</v>
      </c>
      <c r="AC100" s="32"/>
      <c r="AD100" s="32">
        <f t="shared" si="141"/>
        <v>1.8400000000000012</v>
      </c>
      <c r="AE100" s="36">
        <f t="shared" si="142"/>
        <v>1.8400000000000012</v>
      </c>
      <c r="AF100" s="32">
        <f t="shared" si="110"/>
        <v>3.2207326838477224</v>
      </c>
      <c r="AG100" s="40">
        <f t="shared" si="143"/>
        <v>3.2207326838477224</v>
      </c>
      <c r="AH100" s="32"/>
      <c r="AI100" s="32">
        <f t="shared" si="144"/>
        <v>1.8400000000000012</v>
      </c>
      <c r="AJ100" s="36">
        <f t="shared" si="145"/>
        <v>1.8400000000000012</v>
      </c>
      <c r="AK100" s="32">
        <f t="shared" si="111"/>
        <v>3.2207326838477224</v>
      </c>
      <c r="AL100" s="40">
        <f t="shared" si="146"/>
        <v>3.2207326838477224</v>
      </c>
      <c r="AM100" s="32"/>
      <c r="AN100" s="32">
        <f t="shared" si="147"/>
        <v>1.8400000000000012</v>
      </c>
      <c r="AO100" s="32">
        <f t="shared" si="148"/>
        <v>1.8400000000000012</v>
      </c>
      <c r="AP100" s="32">
        <f t="shared" si="112"/>
        <v>3.2207326838477224</v>
      </c>
      <c r="AQ100" s="40">
        <f t="shared" si="149"/>
        <v>3.2207326838477224</v>
      </c>
      <c r="AR100" s="32"/>
      <c r="AS100" s="32">
        <f t="shared" si="150"/>
        <v>1.8400000000000012</v>
      </c>
      <c r="AT100" s="36">
        <f t="shared" si="151"/>
        <v>1.8400000000000012</v>
      </c>
      <c r="AU100" s="32">
        <f t="shared" si="113"/>
        <v>3.2207326838477224</v>
      </c>
      <c r="AV100" s="40">
        <f t="shared" si="152"/>
        <v>3.2207326838477224</v>
      </c>
      <c r="AW100" s="32"/>
      <c r="AX100" s="32">
        <f t="shared" si="153"/>
        <v>1.8400000000000012</v>
      </c>
      <c r="AY100" s="36">
        <f t="shared" si="154"/>
        <v>1.8400000000000012</v>
      </c>
      <c r="AZ100" s="32">
        <f t="shared" si="114"/>
        <v>3.2207326838477224</v>
      </c>
      <c r="BA100" s="40">
        <f t="shared" si="155"/>
        <v>3.2207326838477224</v>
      </c>
      <c r="BB100" s="32"/>
      <c r="BC100" s="32">
        <f t="shared" si="156"/>
        <v>1.8400000000000012</v>
      </c>
      <c r="BD100" s="32">
        <f t="shared" si="157"/>
        <v>1.8400000000000012</v>
      </c>
      <c r="BE100" s="32">
        <f t="shared" si="115"/>
        <v>3.2207326838477224</v>
      </c>
      <c r="BF100" s="40">
        <f t="shared" si="158"/>
        <v>3.2207326838477224</v>
      </c>
      <c r="BG100" s="32"/>
      <c r="BH100" s="32">
        <f t="shared" si="159"/>
        <v>1.8400000000000012</v>
      </c>
      <c r="BI100" s="36">
        <f t="shared" si="160"/>
        <v>1.8400000000000012</v>
      </c>
      <c r="BJ100" s="32">
        <f t="shared" si="116"/>
        <v>3.2207326838477224</v>
      </c>
      <c r="BK100" s="40">
        <f t="shared" si="161"/>
        <v>3.2207326838477224</v>
      </c>
      <c r="BL100" s="32"/>
      <c r="BM100" s="32">
        <f t="shared" si="162"/>
        <v>1.8400000000000012</v>
      </c>
      <c r="BN100" s="36">
        <f t="shared" si="163"/>
        <v>1.8400000000000012</v>
      </c>
      <c r="BO100" s="32">
        <f t="shared" si="117"/>
        <v>3.2207326838477224</v>
      </c>
      <c r="BP100" s="40">
        <f t="shared" si="164"/>
        <v>3.2207326838477224</v>
      </c>
      <c r="BQ100" s="32"/>
      <c r="BR100" s="32">
        <f t="shared" si="165"/>
        <v>1.8400000000000012</v>
      </c>
      <c r="BS100" s="32">
        <f t="shared" si="166"/>
        <v>1.8400000000000012</v>
      </c>
      <c r="BT100" s="32">
        <f t="shared" si="118"/>
        <v>3.2207326838477224</v>
      </c>
      <c r="BU100" s="40">
        <f t="shared" si="167"/>
        <v>3.2207326838477224</v>
      </c>
      <c r="BV100" s="32"/>
      <c r="BW100" s="32">
        <f t="shared" si="168"/>
        <v>1.8400000000000012</v>
      </c>
      <c r="BX100" s="36">
        <f t="shared" si="169"/>
        <v>1.8400000000000012</v>
      </c>
      <c r="BY100" s="32">
        <f t="shared" si="119"/>
        <v>3.2207326838477224</v>
      </c>
      <c r="BZ100" s="40">
        <f t="shared" si="170"/>
        <v>3.2207326838477224</v>
      </c>
      <c r="CA100" s="32"/>
      <c r="CB100" s="32">
        <f t="shared" si="171"/>
        <v>1.8400000000000012</v>
      </c>
      <c r="CC100" s="36">
        <f t="shared" si="172"/>
        <v>1.8400000000000012</v>
      </c>
      <c r="CD100" s="32">
        <f t="shared" si="120"/>
        <v>3.2207326838477224</v>
      </c>
      <c r="CE100" s="40">
        <f t="shared" si="173"/>
        <v>3.2207326838477224</v>
      </c>
      <c r="CF100" s="32"/>
      <c r="CG100" s="39">
        <f t="shared" si="174"/>
        <v>1.8400000000000012</v>
      </c>
      <c r="CH100" s="39">
        <f t="shared" si="175"/>
        <v>1.8400000000000012</v>
      </c>
      <c r="CI100" s="39">
        <f t="shared" si="121"/>
        <v>3.2207326838477224</v>
      </c>
      <c r="CJ100" s="40">
        <f t="shared" si="176"/>
        <v>3.2207326838477224</v>
      </c>
      <c r="CK100" s="39"/>
      <c r="CL100" s="32">
        <f t="shared" si="177"/>
        <v>1.8400000000000012</v>
      </c>
      <c r="CM100" s="36">
        <f t="shared" si="178"/>
        <v>1.8400000000000012</v>
      </c>
      <c r="CN100" s="32">
        <f t="shared" si="122"/>
        <v>3.2207326838477224</v>
      </c>
      <c r="CO100" s="40">
        <f t="shared" si="179"/>
        <v>3.2207326838477224</v>
      </c>
      <c r="CP100" s="32"/>
      <c r="CQ100" s="32">
        <f t="shared" si="180"/>
        <v>1.8400000000000012</v>
      </c>
      <c r="CR100" s="36">
        <f t="shared" si="181"/>
        <v>1.8400000000000012</v>
      </c>
      <c r="CS100" s="32">
        <f t="shared" si="123"/>
        <v>3.2207326838477224</v>
      </c>
      <c r="CT100" s="40">
        <f t="shared" si="182"/>
        <v>3.2207326838477224</v>
      </c>
      <c r="CU100" s="32"/>
      <c r="CV100" s="32">
        <f t="shared" si="183"/>
        <v>1.8400000000000012</v>
      </c>
      <c r="CW100" s="32">
        <f t="shared" si="184"/>
        <v>1.8400000000000012</v>
      </c>
      <c r="CX100" s="32">
        <f t="shared" si="124"/>
        <v>3.2207326838477224</v>
      </c>
      <c r="CY100" s="40">
        <f t="shared" si="185"/>
        <v>3.2207326838477224</v>
      </c>
      <c r="CZ100" s="32"/>
      <c r="DA100" s="32">
        <f t="shared" si="186"/>
        <v>1.8400000000000012</v>
      </c>
      <c r="DB100" s="36">
        <f t="shared" si="187"/>
        <v>1.8400000000000012</v>
      </c>
      <c r="DC100" s="32">
        <f t="shared" si="125"/>
        <v>3.2207326838477224</v>
      </c>
      <c r="DD100" s="40">
        <f t="shared" si="188"/>
        <v>3.2207326838477224</v>
      </c>
      <c r="DE100" s="32"/>
      <c r="DF100" s="32">
        <f t="shared" si="189"/>
        <v>1.8400000000000012</v>
      </c>
      <c r="DG100" s="36">
        <f t="shared" si="190"/>
        <v>1.8400000000000012</v>
      </c>
      <c r="DH100" s="32">
        <f t="shared" si="126"/>
        <v>3.2207326838477224</v>
      </c>
      <c r="DI100" s="40">
        <f t="shared" si="191"/>
        <v>3.2207326838477224</v>
      </c>
      <c r="DJ100" s="32"/>
      <c r="DK100" s="32">
        <f t="shared" si="192"/>
        <v>1.8400000000000012</v>
      </c>
      <c r="DL100" s="32">
        <f t="shared" si="193"/>
        <v>1.8400000000000012</v>
      </c>
      <c r="DM100" s="32">
        <f t="shared" si="127"/>
        <v>3.2207326838477224</v>
      </c>
      <c r="DN100" s="40">
        <f t="shared" si="194"/>
        <v>3.2207326838477224</v>
      </c>
      <c r="DO100" s="32"/>
      <c r="DP100" s="32">
        <f t="shared" si="195"/>
        <v>1.8400000000000012</v>
      </c>
      <c r="DQ100" s="36">
        <f t="shared" si="196"/>
        <v>1.8400000000000012</v>
      </c>
      <c r="DR100" s="32">
        <f t="shared" si="128"/>
        <v>3.2207326838477224</v>
      </c>
      <c r="DS100" s="40">
        <f t="shared" si="197"/>
        <v>3.2207326838477224</v>
      </c>
      <c r="DT100" s="32"/>
      <c r="DU100" s="32">
        <f t="shared" si="198"/>
        <v>1.8400000000000012</v>
      </c>
      <c r="DV100" s="36">
        <f t="shared" si="199"/>
        <v>1.8400000000000012</v>
      </c>
      <c r="DW100" s="32">
        <f t="shared" si="129"/>
        <v>3.2207326838477224</v>
      </c>
      <c r="DX100" s="40">
        <f t="shared" si="200"/>
        <v>3.2207326838477224</v>
      </c>
      <c r="DY100" s="32"/>
      <c r="DZ100" s="32">
        <f t="shared" si="201"/>
        <v>1.8400000000000012</v>
      </c>
      <c r="EA100" s="32">
        <f t="shared" si="202"/>
        <v>1.8400000000000012</v>
      </c>
      <c r="EB100" s="32">
        <f t="shared" si="130"/>
        <v>3.2207326838477224</v>
      </c>
      <c r="EC100" s="40">
        <f t="shared" si="203"/>
        <v>3.2207326838477224</v>
      </c>
      <c r="ED100" s="32"/>
      <c r="EE100" s="32">
        <f t="shared" si="204"/>
        <v>1.8400000000000012</v>
      </c>
      <c r="EF100" s="36">
        <f t="shared" si="205"/>
        <v>1.8400000000000012</v>
      </c>
      <c r="EG100" s="32">
        <f t="shared" si="131"/>
        <v>3.2207326838477224</v>
      </c>
      <c r="EH100" s="40">
        <f t="shared" si="206"/>
        <v>3.2207326838477224</v>
      </c>
      <c r="EI100" s="32"/>
      <c r="EJ100" s="32">
        <f t="shared" si="207"/>
        <v>1.8400000000000012</v>
      </c>
      <c r="EK100" s="36">
        <f t="shared" si="208"/>
        <v>1.8400000000000012</v>
      </c>
      <c r="EL100" s="32">
        <f t="shared" si="132"/>
        <v>3.2207326838477224</v>
      </c>
      <c r="EM100" s="40">
        <f t="shared" si="209"/>
        <v>3.2207326838477224</v>
      </c>
      <c r="EN100" s="32"/>
      <c r="EO100" s="32">
        <f t="shared" si="210"/>
        <v>1.8400000000000012</v>
      </c>
      <c r="EP100" s="32">
        <f t="shared" si="211"/>
        <v>1.8400000000000012</v>
      </c>
      <c r="EQ100" s="32">
        <f t="shared" si="133"/>
        <v>3.2207326838477224</v>
      </c>
      <c r="ER100" s="40">
        <f t="shared" si="212"/>
        <v>3.2207326838477224</v>
      </c>
      <c r="ES100" s="32"/>
      <c r="ET100" s="32">
        <f t="shared" si="213"/>
        <v>1.8400000000000012</v>
      </c>
      <c r="EU100" s="36">
        <f t="shared" si="214"/>
        <v>1.8400000000000012</v>
      </c>
      <c r="EV100" s="32">
        <f t="shared" si="134"/>
        <v>3.2207326838477224</v>
      </c>
      <c r="EW100" s="40">
        <f t="shared" si="215"/>
        <v>3.2207326838477224</v>
      </c>
      <c r="EX100" s="32"/>
    </row>
    <row r="101" spans="20:154" s="3" customFormat="1" x14ac:dyDescent="0.25">
      <c r="T101" s="32">
        <f t="shared" si="135"/>
        <v>1.8600000000000012</v>
      </c>
      <c r="U101" s="36">
        <f t="shared" si="136"/>
        <v>1.8600000000000012</v>
      </c>
      <c r="V101" s="32">
        <f t="shared" si="108"/>
        <v>3.1276208929142202</v>
      </c>
      <c r="W101" s="40">
        <f t="shared" si="137"/>
        <v>3.1276208929142202</v>
      </c>
      <c r="X101" s="32"/>
      <c r="Y101" s="32">
        <f t="shared" si="138"/>
        <v>1.8600000000000012</v>
      </c>
      <c r="Z101" s="32">
        <f t="shared" si="139"/>
        <v>1.8600000000000012</v>
      </c>
      <c r="AA101" s="32">
        <f t="shared" si="109"/>
        <v>3.1276208929142202</v>
      </c>
      <c r="AB101" s="40">
        <f t="shared" si="140"/>
        <v>3.1276208929142202</v>
      </c>
      <c r="AC101" s="32"/>
      <c r="AD101" s="32">
        <f t="shared" si="141"/>
        <v>1.8600000000000012</v>
      </c>
      <c r="AE101" s="36">
        <f t="shared" si="142"/>
        <v>1.8600000000000012</v>
      </c>
      <c r="AF101" s="32">
        <f t="shared" si="110"/>
        <v>3.1276208929142202</v>
      </c>
      <c r="AG101" s="40">
        <f t="shared" si="143"/>
        <v>3.1276208929142202</v>
      </c>
      <c r="AH101" s="32"/>
      <c r="AI101" s="32">
        <f t="shared" si="144"/>
        <v>1.8600000000000012</v>
      </c>
      <c r="AJ101" s="36">
        <f t="shared" si="145"/>
        <v>1.8600000000000012</v>
      </c>
      <c r="AK101" s="32">
        <f t="shared" si="111"/>
        <v>3.1276208929142202</v>
      </c>
      <c r="AL101" s="40">
        <f t="shared" si="146"/>
        <v>3.1276208929142202</v>
      </c>
      <c r="AM101" s="32"/>
      <c r="AN101" s="32">
        <f t="shared" si="147"/>
        <v>1.8600000000000012</v>
      </c>
      <c r="AO101" s="32">
        <f t="shared" si="148"/>
        <v>1.8600000000000012</v>
      </c>
      <c r="AP101" s="32">
        <f t="shared" si="112"/>
        <v>3.1276208929142202</v>
      </c>
      <c r="AQ101" s="40">
        <f t="shared" si="149"/>
        <v>3.1276208929142202</v>
      </c>
      <c r="AR101" s="32"/>
      <c r="AS101" s="32">
        <f t="shared" si="150"/>
        <v>1.8600000000000012</v>
      </c>
      <c r="AT101" s="36">
        <f t="shared" si="151"/>
        <v>1.8600000000000012</v>
      </c>
      <c r="AU101" s="32">
        <f t="shared" si="113"/>
        <v>3.1276208929142202</v>
      </c>
      <c r="AV101" s="40">
        <f t="shared" si="152"/>
        <v>3.1276208929142202</v>
      </c>
      <c r="AW101" s="32"/>
      <c r="AX101" s="32">
        <f t="shared" si="153"/>
        <v>1.8600000000000012</v>
      </c>
      <c r="AY101" s="36">
        <f t="shared" si="154"/>
        <v>1.8600000000000012</v>
      </c>
      <c r="AZ101" s="32">
        <f t="shared" si="114"/>
        <v>3.1276208929142202</v>
      </c>
      <c r="BA101" s="40">
        <f t="shared" si="155"/>
        <v>3.1276208929142202</v>
      </c>
      <c r="BB101" s="32"/>
      <c r="BC101" s="32">
        <f t="shared" si="156"/>
        <v>1.8600000000000012</v>
      </c>
      <c r="BD101" s="32">
        <f t="shared" si="157"/>
        <v>1.8600000000000012</v>
      </c>
      <c r="BE101" s="32">
        <f t="shared" si="115"/>
        <v>3.1276208929142202</v>
      </c>
      <c r="BF101" s="40">
        <f t="shared" si="158"/>
        <v>3.1276208929142202</v>
      </c>
      <c r="BG101" s="32"/>
      <c r="BH101" s="32">
        <f t="shared" si="159"/>
        <v>1.8600000000000012</v>
      </c>
      <c r="BI101" s="36">
        <f t="shared" si="160"/>
        <v>1.8600000000000012</v>
      </c>
      <c r="BJ101" s="32">
        <f t="shared" si="116"/>
        <v>3.1276208929142202</v>
      </c>
      <c r="BK101" s="40">
        <f t="shared" si="161"/>
        <v>3.1276208929142202</v>
      </c>
      <c r="BL101" s="32"/>
      <c r="BM101" s="32">
        <f t="shared" si="162"/>
        <v>1.8600000000000012</v>
      </c>
      <c r="BN101" s="36">
        <f t="shared" si="163"/>
        <v>1.8600000000000012</v>
      </c>
      <c r="BO101" s="32">
        <f t="shared" si="117"/>
        <v>3.1276208929142202</v>
      </c>
      <c r="BP101" s="40">
        <f t="shared" si="164"/>
        <v>3.1276208929142202</v>
      </c>
      <c r="BQ101" s="32"/>
      <c r="BR101" s="32">
        <f t="shared" si="165"/>
        <v>1.8600000000000012</v>
      </c>
      <c r="BS101" s="32">
        <f t="shared" si="166"/>
        <v>1.8600000000000012</v>
      </c>
      <c r="BT101" s="32">
        <f t="shared" si="118"/>
        <v>3.1276208929142202</v>
      </c>
      <c r="BU101" s="40">
        <f t="shared" si="167"/>
        <v>3.1276208929142202</v>
      </c>
      <c r="BV101" s="32"/>
      <c r="BW101" s="32">
        <f t="shared" si="168"/>
        <v>1.8600000000000012</v>
      </c>
      <c r="BX101" s="36">
        <f t="shared" si="169"/>
        <v>1.8600000000000012</v>
      </c>
      <c r="BY101" s="32">
        <f t="shared" si="119"/>
        <v>3.1276208929142202</v>
      </c>
      <c r="BZ101" s="40">
        <f t="shared" si="170"/>
        <v>3.1276208929142202</v>
      </c>
      <c r="CA101" s="32"/>
      <c r="CB101" s="32">
        <f t="shared" si="171"/>
        <v>1.8600000000000012</v>
      </c>
      <c r="CC101" s="36">
        <f t="shared" si="172"/>
        <v>1.8600000000000012</v>
      </c>
      <c r="CD101" s="32">
        <f t="shared" si="120"/>
        <v>3.1276208929142202</v>
      </c>
      <c r="CE101" s="40">
        <f t="shared" si="173"/>
        <v>3.1276208929142202</v>
      </c>
      <c r="CF101" s="32"/>
      <c r="CG101" s="39">
        <f t="shared" si="174"/>
        <v>1.8600000000000012</v>
      </c>
      <c r="CH101" s="39">
        <f t="shared" si="175"/>
        <v>1.8600000000000012</v>
      </c>
      <c r="CI101" s="39">
        <f t="shared" si="121"/>
        <v>3.1276208929142202</v>
      </c>
      <c r="CJ101" s="40">
        <f t="shared" si="176"/>
        <v>3.1276208929142202</v>
      </c>
      <c r="CK101" s="39"/>
      <c r="CL101" s="32">
        <f t="shared" si="177"/>
        <v>1.8600000000000012</v>
      </c>
      <c r="CM101" s="36">
        <f t="shared" si="178"/>
        <v>1.8600000000000012</v>
      </c>
      <c r="CN101" s="32">
        <f t="shared" si="122"/>
        <v>3.1276208929142202</v>
      </c>
      <c r="CO101" s="40">
        <f t="shared" si="179"/>
        <v>3.1276208929142202</v>
      </c>
      <c r="CP101" s="32"/>
      <c r="CQ101" s="32">
        <f t="shared" si="180"/>
        <v>1.8600000000000012</v>
      </c>
      <c r="CR101" s="36">
        <f t="shared" si="181"/>
        <v>1.8600000000000012</v>
      </c>
      <c r="CS101" s="32">
        <f t="shared" si="123"/>
        <v>3.1276208929142202</v>
      </c>
      <c r="CT101" s="40">
        <f t="shared" si="182"/>
        <v>3.1276208929142202</v>
      </c>
      <c r="CU101" s="32"/>
      <c r="CV101" s="32">
        <f t="shared" si="183"/>
        <v>1.8600000000000012</v>
      </c>
      <c r="CW101" s="32">
        <f t="shared" si="184"/>
        <v>1.8600000000000012</v>
      </c>
      <c r="CX101" s="32">
        <f t="shared" si="124"/>
        <v>3.1276208929142202</v>
      </c>
      <c r="CY101" s="40">
        <f t="shared" si="185"/>
        <v>3.1276208929142202</v>
      </c>
      <c r="CZ101" s="32"/>
      <c r="DA101" s="32">
        <f t="shared" si="186"/>
        <v>1.8600000000000012</v>
      </c>
      <c r="DB101" s="36">
        <f t="shared" si="187"/>
        <v>1.8600000000000012</v>
      </c>
      <c r="DC101" s="32">
        <f t="shared" si="125"/>
        <v>3.1276208929142202</v>
      </c>
      <c r="DD101" s="40">
        <f t="shared" si="188"/>
        <v>3.1276208929142202</v>
      </c>
      <c r="DE101" s="32"/>
      <c r="DF101" s="32">
        <f t="shared" si="189"/>
        <v>1.8600000000000012</v>
      </c>
      <c r="DG101" s="36">
        <f t="shared" si="190"/>
        <v>1.8600000000000012</v>
      </c>
      <c r="DH101" s="32">
        <f t="shared" si="126"/>
        <v>3.1276208929142202</v>
      </c>
      <c r="DI101" s="40">
        <f t="shared" si="191"/>
        <v>3.1276208929142202</v>
      </c>
      <c r="DJ101" s="32"/>
      <c r="DK101" s="32">
        <f t="shared" si="192"/>
        <v>1.8600000000000012</v>
      </c>
      <c r="DL101" s="32">
        <f t="shared" si="193"/>
        <v>1.8600000000000012</v>
      </c>
      <c r="DM101" s="32">
        <f t="shared" si="127"/>
        <v>3.1276208929142202</v>
      </c>
      <c r="DN101" s="40">
        <f t="shared" si="194"/>
        <v>3.1276208929142202</v>
      </c>
      <c r="DO101" s="32"/>
      <c r="DP101" s="32">
        <f t="shared" si="195"/>
        <v>1.8600000000000012</v>
      </c>
      <c r="DQ101" s="36">
        <f t="shared" si="196"/>
        <v>1.8600000000000012</v>
      </c>
      <c r="DR101" s="32">
        <f t="shared" si="128"/>
        <v>3.1276208929142202</v>
      </c>
      <c r="DS101" s="40">
        <f t="shared" si="197"/>
        <v>3.1276208929142202</v>
      </c>
      <c r="DT101" s="32"/>
      <c r="DU101" s="32">
        <f t="shared" si="198"/>
        <v>1.8600000000000012</v>
      </c>
      <c r="DV101" s="36">
        <f t="shared" si="199"/>
        <v>1.8600000000000012</v>
      </c>
      <c r="DW101" s="32">
        <f t="shared" si="129"/>
        <v>3.1276208929142202</v>
      </c>
      <c r="DX101" s="40">
        <f t="shared" si="200"/>
        <v>3.1276208929142202</v>
      </c>
      <c r="DY101" s="32"/>
      <c r="DZ101" s="32">
        <f t="shared" si="201"/>
        <v>1.8600000000000012</v>
      </c>
      <c r="EA101" s="32">
        <f t="shared" si="202"/>
        <v>1.8600000000000012</v>
      </c>
      <c r="EB101" s="32">
        <f t="shared" si="130"/>
        <v>3.1276208929142202</v>
      </c>
      <c r="EC101" s="40">
        <f t="shared" si="203"/>
        <v>3.1276208929142202</v>
      </c>
      <c r="ED101" s="32"/>
      <c r="EE101" s="32">
        <f t="shared" si="204"/>
        <v>1.8600000000000012</v>
      </c>
      <c r="EF101" s="36">
        <f t="shared" si="205"/>
        <v>1.8600000000000012</v>
      </c>
      <c r="EG101" s="32">
        <f t="shared" si="131"/>
        <v>3.1276208929142202</v>
      </c>
      <c r="EH101" s="40">
        <f t="shared" si="206"/>
        <v>3.1276208929142202</v>
      </c>
      <c r="EI101" s="32"/>
      <c r="EJ101" s="32">
        <f t="shared" si="207"/>
        <v>1.8600000000000012</v>
      </c>
      <c r="EK101" s="36">
        <f t="shared" si="208"/>
        <v>1.8600000000000012</v>
      </c>
      <c r="EL101" s="32">
        <f t="shared" si="132"/>
        <v>3.1276208929142202</v>
      </c>
      <c r="EM101" s="40">
        <f t="shared" si="209"/>
        <v>3.1276208929142202</v>
      </c>
      <c r="EN101" s="32"/>
      <c r="EO101" s="32">
        <f t="shared" si="210"/>
        <v>1.8600000000000012</v>
      </c>
      <c r="EP101" s="32">
        <f t="shared" si="211"/>
        <v>1.8600000000000012</v>
      </c>
      <c r="EQ101" s="32">
        <f t="shared" si="133"/>
        <v>3.1276208929142202</v>
      </c>
      <c r="ER101" s="40">
        <f t="shared" si="212"/>
        <v>3.1276208929142202</v>
      </c>
      <c r="ES101" s="32"/>
      <c r="ET101" s="32">
        <f t="shared" si="213"/>
        <v>1.8600000000000012</v>
      </c>
      <c r="EU101" s="36">
        <f t="shared" si="214"/>
        <v>1.8600000000000012</v>
      </c>
      <c r="EV101" s="32">
        <f t="shared" si="134"/>
        <v>3.1276208929142202</v>
      </c>
      <c r="EW101" s="40">
        <f t="shared" si="215"/>
        <v>3.1276208929142202</v>
      </c>
      <c r="EX101" s="32"/>
    </row>
    <row r="102" spans="20:154" s="3" customFormat="1" x14ac:dyDescent="0.25">
      <c r="T102" s="32">
        <f t="shared" si="135"/>
        <v>1.8800000000000012</v>
      </c>
      <c r="U102" s="36">
        <f t="shared" si="136"/>
        <v>1.8800000000000012</v>
      </c>
      <c r="V102" s="32">
        <f t="shared" si="108"/>
        <v>3.0318005892528701</v>
      </c>
      <c r="W102" s="40">
        <f t="shared" si="137"/>
        <v>3.0318005892528701</v>
      </c>
      <c r="X102" s="32"/>
      <c r="Y102" s="32">
        <f t="shared" si="138"/>
        <v>1.8800000000000012</v>
      </c>
      <c r="Z102" s="32">
        <f t="shared" si="139"/>
        <v>1.8800000000000012</v>
      </c>
      <c r="AA102" s="32">
        <f t="shared" si="109"/>
        <v>3.0318005892528701</v>
      </c>
      <c r="AB102" s="40">
        <f t="shared" si="140"/>
        <v>3.0318005892528701</v>
      </c>
      <c r="AC102" s="32"/>
      <c r="AD102" s="32">
        <f t="shared" si="141"/>
        <v>1.8800000000000012</v>
      </c>
      <c r="AE102" s="36">
        <f t="shared" si="142"/>
        <v>1.8800000000000012</v>
      </c>
      <c r="AF102" s="32">
        <f t="shared" si="110"/>
        <v>3.0318005892528701</v>
      </c>
      <c r="AG102" s="40">
        <f t="shared" si="143"/>
        <v>3.0318005892528701</v>
      </c>
      <c r="AH102" s="32"/>
      <c r="AI102" s="32">
        <f t="shared" si="144"/>
        <v>1.8800000000000012</v>
      </c>
      <c r="AJ102" s="36">
        <f t="shared" si="145"/>
        <v>1.8800000000000012</v>
      </c>
      <c r="AK102" s="32">
        <f t="shared" si="111"/>
        <v>3.0318005892528701</v>
      </c>
      <c r="AL102" s="40">
        <f t="shared" si="146"/>
        <v>3.0318005892528701</v>
      </c>
      <c r="AM102" s="32"/>
      <c r="AN102" s="32">
        <f t="shared" si="147"/>
        <v>1.8800000000000012</v>
      </c>
      <c r="AO102" s="32">
        <f t="shared" si="148"/>
        <v>1.8800000000000012</v>
      </c>
      <c r="AP102" s="32">
        <f t="shared" si="112"/>
        <v>3.0318005892528701</v>
      </c>
      <c r="AQ102" s="40">
        <f t="shared" si="149"/>
        <v>3.0318005892528701</v>
      </c>
      <c r="AR102" s="32"/>
      <c r="AS102" s="32">
        <f t="shared" si="150"/>
        <v>1.8800000000000012</v>
      </c>
      <c r="AT102" s="36">
        <f t="shared" si="151"/>
        <v>1.8800000000000012</v>
      </c>
      <c r="AU102" s="32">
        <f t="shared" si="113"/>
        <v>3.0318005892528701</v>
      </c>
      <c r="AV102" s="40">
        <f t="shared" si="152"/>
        <v>3.0318005892528701</v>
      </c>
      <c r="AW102" s="32"/>
      <c r="AX102" s="32">
        <f t="shared" si="153"/>
        <v>1.8800000000000012</v>
      </c>
      <c r="AY102" s="36">
        <f t="shared" si="154"/>
        <v>1.8800000000000012</v>
      </c>
      <c r="AZ102" s="32">
        <f t="shared" si="114"/>
        <v>3.0318005892528701</v>
      </c>
      <c r="BA102" s="40">
        <f t="shared" si="155"/>
        <v>3.0318005892528701</v>
      </c>
      <c r="BB102" s="32"/>
      <c r="BC102" s="32">
        <f t="shared" si="156"/>
        <v>1.8800000000000012</v>
      </c>
      <c r="BD102" s="32">
        <f t="shared" si="157"/>
        <v>1.8800000000000012</v>
      </c>
      <c r="BE102" s="32">
        <f t="shared" si="115"/>
        <v>3.0318005892528701</v>
      </c>
      <c r="BF102" s="40">
        <f t="shared" si="158"/>
        <v>3.0318005892528701</v>
      </c>
      <c r="BG102" s="32"/>
      <c r="BH102" s="32">
        <f t="shared" si="159"/>
        <v>1.8800000000000012</v>
      </c>
      <c r="BI102" s="36">
        <f t="shared" si="160"/>
        <v>1.8800000000000012</v>
      </c>
      <c r="BJ102" s="32">
        <f t="shared" si="116"/>
        <v>3.0318005892528701</v>
      </c>
      <c r="BK102" s="40">
        <f t="shared" si="161"/>
        <v>3.0318005892528701</v>
      </c>
      <c r="BL102" s="32"/>
      <c r="BM102" s="32">
        <f t="shared" si="162"/>
        <v>1.8800000000000012</v>
      </c>
      <c r="BN102" s="36">
        <f t="shared" si="163"/>
        <v>1.8800000000000012</v>
      </c>
      <c r="BO102" s="32">
        <f t="shared" si="117"/>
        <v>3.0318005892528701</v>
      </c>
      <c r="BP102" s="40">
        <f t="shared" si="164"/>
        <v>3.0318005892528701</v>
      </c>
      <c r="BQ102" s="32"/>
      <c r="BR102" s="32">
        <f t="shared" si="165"/>
        <v>1.8800000000000012</v>
      </c>
      <c r="BS102" s="32">
        <f t="shared" si="166"/>
        <v>1.8800000000000012</v>
      </c>
      <c r="BT102" s="32">
        <f t="shared" si="118"/>
        <v>3.0318005892528701</v>
      </c>
      <c r="BU102" s="40">
        <f t="shared" si="167"/>
        <v>3.0318005892528701</v>
      </c>
      <c r="BV102" s="32"/>
      <c r="BW102" s="32">
        <f t="shared" si="168"/>
        <v>1.8800000000000012</v>
      </c>
      <c r="BX102" s="36">
        <f t="shared" si="169"/>
        <v>1.8800000000000012</v>
      </c>
      <c r="BY102" s="32">
        <f t="shared" si="119"/>
        <v>3.0318005892528701</v>
      </c>
      <c r="BZ102" s="40">
        <f t="shared" si="170"/>
        <v>3.0318005892528701</v>
      </c>
      <c r="CA102" s="32"/>
      <c r="CB102" s="32">
        <f t="shared" si="171"/>
        <v>1.8800000000000012</v>
      </c>
      <c r="CC102" s="36">
        <f t="shared" si="172"/>
        <v>1.8800000000000012</v>
      </c>
      <c r="CD102" s="32">
        <f t="shared" si="120"/>
        <v>3.0318005892528701</v>
      </c>
      <c r="CE102" s="40">
        <f t="shared" si="173"/>
        <v>3.0318005892528701</v>
      </c>
      <c r="CF102" s="32"/>
      <c r="CG102" s="39">
        <f t="shared" si="174"/>
        <v>1.8800000000000012</v>
      </c>
      <c r="CH102" s="39">
        <f t="shared" si="175"/>
        <v>1.8800000000000012</v>
      </c>
      <c r="CI102" s="39">
        <f t="shared" si="121"/>
        <v>3.0318005892528701</v>
      </c>
      <c r="CJ102" s="40">
        <f t="shared" si="176"/>
        <v>3.0318005892528701</v>
      </c>
      <c r="CK102" s="39"/>
      <c r="CL102" s="32">
        <f t="shared" si="177"/>
        <v>1.8800000000000012</v>
      </c>
      <c r="CM102" s="36">
        <f t="shared" si="178"/>
        <v>1.8800000000000012</v>
      </c>
      <c r="CN102" s="32">
        <f t="shared" si="122"/>
        <v>3.0318005892528701</v>
      </c>
      <c r="CO102" s="40">
        <f t="shared" si="179"/>
        <v>3.0318005892528701</v>
      </c>
      <c r="CP102" s="32"/>
      <c r="CQ102" s="32">
        <f t="shared" si="180"/>
        <v>1.8800000000000012</v>
      </c>
      <c r="CR102" s="36">
        <f t="shared" si="181"/>
        <v>1.8800000000000012</v>
      </c>
      <c r="CS102" s="32">
        <f t="shared" si="123"/>
        <v>3.0318005892528701</v>
      </c>
      <c r="CT102" s="40">
        <f t="shared" si="182"/>
        <v>3.0318005892528701</v>
      </c>
      <c r="CU102" s="32"/>
      <c r="CV102" s="32">
        <f t="shared" si="183"/>
        <v>1.8800000000000012</v>
      </c>
      <c r="CW102" s="32">
        <f t="shared" si="184"/>
        <v>1.8800000000000012</v>
      </c>
      <c r="CX102" s="32">
        <f t="shared" si="124"/>
        <v>3.0318005892528701</v>
      </c>
      <c r="CY102" s="40">
        <f t="shared" si="185"/>
        <v>3.0318005892528701</v>
      </c>
      <c r="CZ102" s="32"/>
      <c r="DA102" s="32">
        <f t="shared" si="186"/>
        <v>1.8800000000000012</v>
      </c>
      <c r="DB102" s="36">
        <f t="shared" si="187"/>
        <v>1.8800000000000012</v>
      </c>
      <c r="DC102" s="32">
        <f t="shared" si="125"/>
        <v>3.0318005892528701</v>
      </c>
      <c r="DD102" s="40">
        <f t="shared" si="188"/>
        <v>3.0318005892528701</v>
      </c>
      <c r="DE102" s="32"/>
      <c r="DF102" s="32">
        <f t="shared" si="189"/>
        <v>1.8800000000000012</v>
      </c>
      <c r="DG102" s="36">
        <f t="shared" si="190"/>
        <v>1.8800000000000012</v>
      </c>
      <c r="DH102" s="32">
        <f t="shared" si="126"/>
        <v>3.0318005892528701</v>
      </c>
      <c r="DI102" s="40">
        <f t="shared" si="191"/>
        <v>3.0318005892528701</v>
      </c>
      <c r="DJ102" s="32"/>
      <c r="DK102" s="32">
        <f t="shared" si="192"/>
        <v>1.8800000000000012</v>
      </c>
      <c r="DL102" s="32">
        <f t="shared" si="193"/>
        <v>1.8800000000000012</v>
      </c>
      <c r="DM102" s="32">
        <f t="shared" si="127"/>
        <v>3.0318005892528701</v>
      </c>
      <c r="DN102" s="40">
        <f t="shared" si="194"/>
        <v>3.0318005892528701</v>
      </c>
      <c r="DO102" s="32"/>
      <c r="DP102" s="32">
        <f t="shared" si="195"/>
        <v>1.8800000000000012</v>
      </c>
      <c r="DQ102" s="36">
        <f t="shared" si="196"/>
        <v>1.8800000000000012</v>
      </c>
      <c r="DR102" s="32">
        <f t="shared" si="128"/>
        <v>3.0318005892528701</v>
      </c>
      <c r="DS102" s="40">
        <f t="shared" si="197"/>
        <v>3.0318005892528701</v>
      </c>
      <c r="DT102" s="32"/>
      <c r="DU102" s="32">
        <f t="shared" si="198"/>
        <v>1.8800000000000012</v>
      </c>
      <c r="DV102" s="36">
        <f t="shared" si="199"/>
        <v>1.8800000000000012</v>
      </c>
      <c r="DW102" s="32">
        <f t="shared" si="129"/>
        <v>3.0318005892528701</v>
      </c>
      <c r="DX102" s="40">
        <f t="shared" si="200"/>
        <v>3.0318005892528701</v>
      </c>
      <c r="DY102" s="32"/>
      <c r="DZ102" s="32">
        <f t="shared" si="201"/>
        <v>1.8800000000000012</v>
      </c>
      <c r="EA102" s="32">
        <f t="shared" si="202"/>
        <v>1.8800000000000012</v>
      </c>
      <c r="EB102" s="32">
        <f t="shared" si="130"/>
        <v>3.0318005892528701</v>
      </c>
      <c r="EC102" s="40">
        <f t="shared" si="203"/>
        <v>3.0318005892528701</v>
      </c>
      <c r="ED102" s="32"/>
      <c r="EE102" s="32">
        <f t="shared" si="204"/>
        <v>1.8800000000000012</v>
      </c>
      <c r="EF102" s="36">
        <f t="shared" si="205"/>
        <v>1.8800000000000012</v>
      </c>
      <c r="EG102" s="32">
        <f t="shared" si="131"/>
        <v>3.0318005892528701</v>
      </c>
      <c r="EH102" s="40">
        <f t="shared" si="206"/>
        <v>3.0318005892528701</v>
      </c>
      <c r="EI102" s="32"/>
      <c r="EJ102" s="32">
        <f t="shared" si="207"/>
        <v>1.8800000000000012</v>
      </c>
      <c r="EK102" s="36">
        <f t="shared" si="208"/>
        <v>1.8800000000000012</v>
      </c>
      <c r="EL102" s="32">
        <f t="shared" si="132"/>
        <v>3.0318005892528701</v>
      </c>
      <c r="EM102" s="40">
        <f t="shared" si="209"/>
        <v>3.0318005892528701</v>
      </c>
      <c r="EN102" s="32"/>
      <c r="EO102" s="32">
        <f t="shared" si="210"/>
        <v>1.8800000000000012</v>
      </c>
      <c r="EP102" s="32">
        <f t="shared" si="211"/>
        <v>1.8800000000000012</v>
      </c>
      <c r="EQ102" s="32">
        <f t="shared" si="133"/>
        <v>3.0318005892528701</v>
      </c>
      <c r="ER102" s="40">
        <f t="shared" si="212"/>
        <v>3.0318005892528701</v>
      </c>
      <c r="ES102" s="32"/>
      <c r="ET102" s="32">
        <f t="shared" si="213"/>
        <v>1.8800000000000012</v>
      </c>
      <c r="EU102" s="36">
        <f t="shared" si="214"/>
        <v>1.8800000000000012</v>
      </c>
      <c r="EV102" s="32">
        <f t="shared" si="134"/>
        <v>3.0318005892528701</v>
      </c>
      <c r="EW102" s="40">
        <f t="shared" si="215"/>
        <v>3.0318005892528701</v>
      </c>
      <c r="EX102" s="32"/>
    </row>
    <row r="103" spans="20:154" s="3" customFormat="1" x14ac:dyDescent="0.25">
      <c r="T103" s="32">
        <f t="shared" si="135"/>
        <v>1.9000000000000012</v>
      </c>
      <c r="U103" s="36">
        <f t="shared" si="136"/>
        <v>1.9000000000000012</v>
      </c>
      <c r="V103" s="32">
        <f t="shared" si="108"/>
        <v>2.9332717728636775</v>
      </c>
      <c r="W103" s="40">
        <f t="shared" si="137"/>
        <v>2.9332717728636775</v>
      </c>
      <c r="X103" s="32"/>
      <c r="Y103" s="32">
        <f t="shared" si="138"/>
        <v>1.9000000000000012</v>
      </c>
      <c r="Z103" s="32">
        <f t="shared" si="139"/>
        <v>1.9000000000000012</v>
      </c>
      <c r="AA103" s="32">
        <f t="shared" si="109"/>
        <v>2.9332717728636775</v>
      </c>
      <c r="AB103" s="40">
        <f t="shared" si="140"/>
        <v>2.9332717728636775</v>
      </c>
      <c r="AC103" s="32"/>
      <c r="AD103" s="32">
        <f t="shared" si="141"/>
        <v>1.9000000000000012</v>
      </c>
      <c r="AE103" s="36">
        <f t="shared" si="142"/>
        <v>1.9000000000000012</v>
      </c>
      <c r="AF103" s="32">
        <f t="shared" si="110"/>
        <v>2.9332717728636775</v>
      </c>
      <c r="AG103" s="40">
        <f t="shared" si="143"/>
        <v>2.9332717728636775</v>
      </c>
      <c r="AH103" s="32"/>
      <c r="AI103" s="32">
        <f t="shared" si="144"/>
        <v>1.9000000000000012</v>
      </c>
      <c r="AJ103" s="36">
        <f t="shared" si="145"/>
        <v>1.9000000000000012</v>
      </c>
      <c r="AK103" s="32">
        <f t="shared" si="111"/>
        <v>2.9332717728636775</v>
      </c>
      <c r="AL103" s="40">
        <f t="shared" si="146"/>
        <v>2.9332717728636775</v>
      </c>
      <c r="AM103" s="32"/>
      <c r="AN103" s="32">
        <f t="shared" si="147"/>
        <v>1.9000000000000012</v>
      </c>
      <c r="AO103" s="32">
        <f t="shared" si="148"/>
        <v>1.9000000000000012</v>
      </c>
      <c r="AP103" s="32">
        <f t="shared" si="112"/>
        <v>2.9332717728636775</v>
      </c>
      <c r="AQ103" s="40">
        <f t="shared" si="149"/>
        <v>2.9332717728636775</v>
      </c>
      <c r="AR103" s="32"/>
      <c r="AS103" s="32">
        <f t="shared" si="150"/>
        <v>1.9000000000000012</v>
      </c>
      <c r="AT103" s="36">
        <f t="shared" si="151"/>
        <v>1.9000000000000012</v>
      </c>
      <c r="AU103" s="32">
        <f t="shared" si="113"/>
        <v>2.9332717728636775</v>
      </c>
      <c r="AV103" s="40">
        <f t="shared" si="152"/>
        <v>2.9332717728636775</v>
      </c>
      <c r="AW103" s="32"/>
      <c r="AX103" s="32">
        <f t="shared" si="153"/>
        <v>1.9000000000000012</v>
      </c>
      <c r="AY103" s="36">
        <f t="shared" si="154"/>
        <v>1.9000000000000012</v>
      </c>
      <c r="AZ103" s="32">
        <f t="shared" si="114"/>
        <v>2.9332717728636775</v>
      </c>
      <c r="BA103" s="40">
        <f t="shared" si="155"/>
        <v>2.9332717728636775</v>
      </c>
      <c r="BB103" s="32"/>
      <c r="BC103" s="32">
        <f t="shared" si="156"/>
        <v>1.9000000000000012</v>
      </c>
      <c r="BD103" s="32">
        <f t="shared" si="157"/>
        <v>1.9000000000000012</v>
      </c>
      <c r="BE103" s="32">
        <f t="shared" si="115"/>
        <v>2.9332717728636775</v>
      </c>
      <c r="BF103" s="40">
        <f t="shared" si="158"/>
        <v>2.9332717728636775</v>
      </c>
      <c r="BG103" s="32"/>
      <c r="BH103" s="32">
        <f t="shared" si="159"/>
        <v>1.9000000000000012</v>
      </c>
      <c r="BI103" s="36">
        <f t="shared" si="160"/>
        <v>1.9000000000000012</v>
      </c>
      <c r="BJ103" s="32">
        <f t="shared" si="116"/>
        <v>2.9332717728636775</v>
      </c>
      <c r="BK103" s="40">
        <f t="shared" si="161"/>
        <v>2.9332717728636775</v>
      </c>
      <c r="BL103" s="32"/>
      <c r="BM103" s="32">
        <f t="shared" si="162"/>
        <v>1.9000000000000012</v>
      </c>
      <c r="BN103" s="36">
        <f t="shared" si="163"/>
        <v>1.9000000000000012</v>
      </c>
      <c r="BO103" s="32">
        <f t="shared" si="117"/>
        <v>2.9332717728636775</v>
      </c>
      <c r="BP103" s="40">
        <f t="shared" si="164"/>
        <v>2.9332717728636775</v>
      </c>
      <c r="BQ103" s="32"/>
      <c r="BR103" s="32">
        <f t="shared" si="165"/>
        <v>1.9000000000000012</v>
      </c>
      <c r="BS103" s="32">
        <f t="shared" si="166"/>
        <v>1.9000000000000012</v>
      </c>
      <c r="BT103" s="32">
        <f t="shared" si="118"/>
        <v>2.9332717728636775</v>
      </c>
      <c r="BU103" s="40">
        <f t="shared" si="167"/>
        <v>2.9332717728636775</v>
      </c>
      <c r="BV103" s="32"/>
      <c r="BW103" s="32">
        <f t="shared" si="168"/>
        <v>1.9000000000000012</v>
      </c>
      <c r="BX103" s="36">
        <f t="shared" si="169"/>
        <v>1.9000000000000012</v>
      </c>
      <c r="BY103" s="32">
        <f t="shared" si="119"/>
        <v>2.9332717728636775</v>
      </c>
      <c r="BZ103" s="40">
        <f t="shared" si="170"/>
        <v>2.9332717728636775</v>
      </c>
      <c r="CA103" s="32"/>
      <c r="CB103" s="32">
        <f t="shared" si="171"/>
        <v>1.9000000000000012</v>
      </c>
      <c r="CC103" s="36">
        <f t="shared" si="172"/>
        <v>1.9000000000000012</v>
      </c>
      <c r="CD103" s="32">
        <f t="shared" si="120"/>
        <v>2.9332717728636775</v>
      </c>
      <c r="CE103" s="40">
        <f t="shared" si="173"/>
        <v>2.9332717728636775</v>
      </c>
      <c r="CF103" s="32"/>
      <c r="CG103" s="39">
        <f t="shared" si="174"/>
        <v>1.9000000000000012</v>
      </c>
      <c r="CH103" s="39">
        <f t="shared" si="175"/>
        <v>1.9000000000000012</v>
      </c>
      <c r="CI103" s="39">
        <f t="shared" si="121"/>
        <v>2.9332717728636775</v>
      </c>
      <c r="CJ103" s="40">
        <f t="shared" si="176"/>
        <v>2.9332717728636775</v>
      </c>
      <c r="CK103" s="39"/>
      <c r="CL103" s="32">
        <f t="shared" si="177"/>
        <v>1.9000000000000012</v>
      </c>
      <c r="CM103" s="36">
        <f t="shared" si="178"/>
        <v>1.9000000000000012</v>
      </c>
      <c r="CN103" s="32">
        <f t="shared" si="122"/>
        <v>2.9332717728636775</v>
      </c>
      <c r="CO103" s="40">
        <f t="shared" si="179"/>
        <v>2.9332717728636775</v>
      </c>
      <c r="CP103" s="32"/>
      <c r="CQ103" s="32">
        <f t="shared" si="180"/>
        <v>1.9000000000000012</v>
      </c>
      <c r="CR103" s="36">
        <f t="shared" si="181"/>
        <v>1.9000000000000012</v>
      </c>
      <c r="CS103" s="32">
        <f t="shared" si="123"/>
        <v>2.9332717728636775</v>
      </c>
      <c r="CT103" s="40">
        <f t="shared" si="182"/>
        <v>2.9332717728636775</v>
      </c>
      <c r="CU103" s="32"/>
      <c r="CV103" s="32">
        <f t="shared" si="183"/>
        <v>1.9000000000000012</v>
      </c>
      <c r="CW103" s="32">
        <f t="shared" si="184"/>
        <v>1.9000000000000012</v>
      </c>
      <c r="CX103" s="32">
        <f t="shared" si="124"/>
        <v>2.9332717728636775</v>
      </c>
      <c r="CY103" s="40">
        <f t="shared" si="185"/>
        <v>2.9332717728636775</v>
      </c>
      <c r="CZ103" s="32"/>
      <c r="DA103" s="32">
        <f t="shared" si="186"/>
        <v>1.9000000000000012</v>
      </c>
      <c r="DB103" s="36">
        <f t="shared" si="187"/>
        <v>1.9000000000000012</v>
      </c>
      <c r="DC103" s="32">
        <f t="shared" si="125"/>
        <v>2.9332717728636775</v>
      </c>
      <c r="DD103" s="40">
        <f t="shared" si="188"/>
        <v>2.9332717728636775</v>
      </c>
      <c r="DE103" s="32"/>
      <c r="DF103" s="32">
        <f t="shared" si="189"/>
        <v>1.9000000000000012</v>
      </c>
      <c r="DG103" s="36">
        <f t="shared" si="190"/>
        <v>1.9000000000000012</v>
      </c>
      <c r="DH103" s="32">
        <f t="shared" si="126"/>
        <v>2.9332717728636775</v>
      </c>
      <c r="DI103" s="40">
        <f t="shared" si="191"/>
        <v>2.9332717728636775</v>
      </c>
      <c r="DJ103" s="32"/>
      <c r="DK103" s="32">
        <f t="shared" si="192"/>
        <v>1.9000000000000012</v>
      </c>
      <c r="DL103" s="32">
        <f t="shared" si="193"/>
        <v>1.9000000000000012</v>
      </c>
      <c r="DM103" s="32">
        <f t="shared" si="127"/>
        <v>2.9332717728636775</v>
      </c>
      <c r="DN103" s="40">
        <f t="shared" si="194"/>
        <v>2.9332717728636775</v>
      </c>
      <c r="DO103" s="32"/>
      <c r="DP103" s="32">
        <f t="shared" si="195"/>
        <v>1.9000000000000012</v>
      </c>
      <c r="DQ103" s="36">
        <f t="shared" si="196"/>
        <v>1.9000000000000012</v>
      </c>
      <c r="DR103" s="32">
        <f t="shared" si="128"/>
        <v>2.9332717728636775</v>
      </c>
      <c r="DS103" s="40">
        <f t="shared" si="197"/>
        <v>2.9332717728636775</v>
      </c>
      <c r="DT103" s="32"/>
      <c r="DU103" s="32">
        <f t="shared" si="198"/>
        <v>1.9000000000000012</v>
      </c>
      <c r="DV103" s="36">
        <f t="shared" si="199"/>
        <v>1.9000000000000012</v>
      </c>
      <c r="DW103" s="32">
        <f t="shared" si="129"/>
        <v>2.9332717728636775</v>
      </c>
      <c r="DX103" s="40">
        <f t="shared" si="200"/>
        <v>2.9332717728636775</v>
      </c>
      <c r="DY103" s="32"/>
      <c r="DZ103" s="32">
        <f t="shared" si="201"/>
        <v>1.9000000000000012</v>
      </c>
      <c r="EA103" s="32">
        <f t="shared" si="202"/>
        <v>1.9000000000000012</v>
      </c>
      <c r="EB103" s="32">
        <f t="shared" si="130"/>
        <v>2.9332717728636775</v>
      </c>
      <c r="EC103" s="40">
        <f t="shared" si="203"/>
        <v>2.9332717728636775</v>
      </c>
      <c r="ED103" s="32"/>
      <c r="EE103" s="32">
        <f t="shared" si="204"/>
        <v>1.9000000000000012</v>
      </c>
      <c r="EF103" s="36">
        <f t="shared" si="205"/>
        <v>1.9000000000000012</v>
      </c>
      <c r="EG103" s="32">
        <f t="shared" si="131"/>
        <v>2.9332717728636775</v>
      </c>
      <c r="EH103" s="40">
        <f t="shared" si="206"/>
        <v>2.9332717728636775</v>
      </c>
      <c r="EI103" s="32"/>
      <c r="EJ103" s="32">
        <f t="shared" si="207"/>
        <v>1.9000000000000012</v>
      </c>
      <c r="EK103" s="36">
        <f t="shared" si="208"/>
        <v>1.9000000000000012</v>
      </c>
      <c r="EL103" s="32">
        <f t="shared" si="132"/>
        <v>2.9332717728636775</v>
      </c>
      <c r="EM103" s="40">
        <f t="shared" si="209"/>
        <v>2.9332717728636775</v>
      </c>
      <c r="EN103" s="32"/>
      <c r="EO103" s="32">
        <f t="shared" si="210"/>
        <v>1.9000000000000012</v>
      </c>
      <c r="EP103" s="32">
        <f t="shared" si="211"/>
        <v>1.9000000000000012</v>
      </c>
      <c r="EQ103" s="32">
        <f t="shared" si="133"/>
        <v>2.9332717728636775</v>
      </c>
      <c r="ER103" s="40">
        <f t="shared" si="212"/>
        <v>2.9332717728636775</v>
      </c>
      <c r="ES103" s="32"/>
      <c r="ET103" s="32">
        <f t="shared" si="213"/>
        <v>1.9000000000000012</v>
      </c>
      <c r="EU103" s="36">
        <f t="shared" si="214"/>
        <v>1.9000000000000012</v>
      </c>
      <c r="EV103" s="32">
        <f t="shared" si="134"/>
        <v>2.9332717728636775</v>
      </c>
      <c r="EW103" s="40">
        <f t="shared" si="215"/>
        <v>2.9332717728636775</v>
      </c>
      <c r="EX103" s="32"/>
    </row>
    <row r="104" spans="20:154" s="3" customFormat="1" x14ac:dyDescent="0.25">
      <c r="T104" s="32">
        <f t="shared" si="135"/>
        <v>1.9200000000000013</v>
      </c>
      <c r="U104" s="36">
        <f t="shared" si="136"/>
        <v>1.9200000000000013</v>
      </c>
      <c r="V104" s="32">
        <f t="shared" si="108"/>
        <v>2.8320344437466334</v>
      </c>
      <c r="W104" s="40">
        <f t="shared" si="137"/>
        <v>2.8320344437466334</v>
      </c>
      <c r="X104" s="32"/>
      <c r="Y104" s="32">
        <f t="shared" si="138"/>
        <v>1.9200000000000013</v>
      </c>
      <c r="Z104" s="32">
        <f t="shared" si="139"/>
        <v>1.9200000000000013</v>
      </c>
      <c r="AA104" s="32">
        <f t="shared" si="109"/>
        <v>2.8320344437466334</v>
      </c>
      <c r="AB104" s="40">
        <f t="shared" si="140"/>
        <v>2.8320344437466334</v>
      </c>
      <c r="AC104" s="32"/>
      <c r="AD104" s="32">
        <f t="shared" si="141"/>
        <v>1.9200000000000013</v>
      </c>
      <c r="AE104" s="36">
        <f t="shared" si="142"/>
        <v>1.9200000000000013</v>
      </c>
      <c r="AF104" s="32">
        <f t="shared" si="110"/>
        <v>2.8320344437466334</v>
      </c>
      <c r="AG104" s="40">
        <f t="shared" si="143"/>
        <v>2.8320344437466334</v>
      </c>
      <c r="AH104" s="32"/>
      <c r="AI104" s="32">
        <f t="shared" si="144"/>
        <v>1.9200000000000013</v>
      </c>
      <c r="AJ104" s="36">
        <f t="shared" si="145"/>
        <v>1.9200000000000013</v>
      </c>
      <c r="AK104" s="32">
        <f t="shared" si="111"/>
        <v>2.8320344437466334</v>
      </c>
      <c r="AL104" s="40">
        <f t="shared" si="146"/>
        <v>2.8320344437466334</v>
      </c>
      <c r="AM104" s="32"/>
      <c r="AN104" s="32">
        <f t="shared" si="147"/>
        <v>1.9200000000000013</v>
      </c>
      <c r="AO104" s="32">
        <f t="shared" si="148"/>
        <v>1.9200000000000013</v>
      </c>
      <c r="AP104" s="32">
        <f t="shared" si="112"/>
        <v>2.8320344437466334</v>
      </c>
      <c r="AQ104" s="40">
        <f t="shared" si="149"/>
        <v>2.8320344437466334</v>
      </c>
      <c r="AR104" s="32"/>
      <c r="AS104" s="32">
        <f t="shared" si="150"/>
        <v>1.9200000000000013</v>
      </c>
      <c r="AT104" s="36">
        <f t="shared" si="151"/>
        <v>1.9200000000000013</v>
      </c>
      <c r="AU104" s="32">
        <f t="shared" si="113"/>
        <v>2.8320344437466334</v>
      </c>
      <c r="AV104" s="40">
        <f t="shared" si="152"/>
        <v>2.8320344437466334</v>
      </c>
      <c r="AW104" s="32"/>
      <c r="AX104" s="32">
        <f t="shared" si="153"/>
        <v>1.9200000000000013</v>
      </c>
      <c r="AY104" s="36">
        <f t="shared" si="154"/>
        <v>1.9200000000000013</v>
      </c>
      <c r="AZ104" s="32">
        <f t="shared" si="114"/>
        <v>2.8320344437466334</v>
      </c>
      <c r="BA104" s="40">
        <f t="shared" si="155"/>
        <v>2.8320344437466334</v>
      </c>
      <c r="BB104" s="32"/>
      <c r="BC104" s="32">
        <f t="shared" si="156"/>
        <v>1.9200000000000013</v>
      </c>
      <c r="BD104" s="32">
        <f t="shared" si="157"/>
        <v>1.9200000000000013</v>
      </c>
      <c r="BE104" s="32">
        <f t="shared" si="115"/>
        <v>2.8320344437466334</v>
      </c>
      <c r="BF104" s="40">
        <f t="shared" si="158"/>
        <v>2.8320344437466334</v>
      </c>
      <c r="BG104" s="32"/>
      <c r="BH104" s="32">
        <f t="shared" si="159"/>
        <v>1.9200000000000013</v>
      </c>
      <c r="BI104" s="36">
        <f t="shared" si="160"/>
        <v>1.9200000000000013</v>
      </c>
      <c r="BJ104" s="32">
        <f t="shared" si="116"/>
        <v>2.8320344437466334</v>
      </c>
      <c r="BK104" s="40">
        <f t="shared" si="161"/>
        <v>2.8320344437466334</v>
      </c>
      <c r="BL104" s="32"/>
      <c r="BM104" s="32">
        <f t="shared" si="162"/>
        <v>1.9200000000000013</v>
      </c>
      <c r="BN104" s="36">
        <f t="shared" si="163"/>
        <v>1.9200000000000013</v>
      </c>
      <c r="BO104" s="32">
        <f t="shared" si="117"/>
        <v>2.8320344437466334</v>
      </c>
      <c r="BP104" s="40">
        <f t="shared" si="164"/>
        <v>2.8320344437466334</v>
      </c>
      <c r="BQ104" s="32"/>
      <c r="BR104" s="32">
        <f t="shared" si="165"/>
        <v>1.9200000000000013</v>
      </c>
      <c r="BS104" s="32">
        <f t="shared" si="166"/>
        <v>1.9200000000000013</v>
      </c>
      <c r="BT104" s="32">
        <f t="shared" si="118"/>
        <v>2.8320344437466334</v>
      </c>
      <c r="BU104" s="40">
        <f t="shared" si="167"/>
        <v>2.8320344437466334</v>
      </c>
      <c r="BV104" s="32"/>
      <c r="BW104" s="32">
        <f t="shared" si="168"/>
        <v>1.9200000000000013</v>
      </c>
      <c r="BX104" s="36">
        <f t="shared" si="169"/>
        <v>1.9200000000000013</v>
      </c>
      <c r="BY104" s="32">
        <f t="shared" si="119"/>
        <v>2.8320344437466334</v>
      </c>
      <c r="BZ104" s="40">
        <f t="shared" si="170"/>
        <v>2.8320344437466334</v>
      </c>
      <c r="CA104" s="32"/>
      <c r="CB104" s="32">
        <f t="shared" si="171"/>
        <v>1.9200000000000013</v>
      </c>
      <c r="CC104" s="36">
        <f t="shared" si="172"/>
        <v>1.9200000000000013</v>
      </c>
      <c r="CD104" s="32">
        <f t="shared" si="120"/>
        <v>2.8320344437466334</v>
      </c>
      <c r="CE104" s="40">
        <f t="shared" si="173"/>
        <v>2.8320344437466334</v>
      </c>
      <c r="CF104" s="32"/>
      <c r="CG104" s="39">
        <f t="shared" si="174"/>
        <v>1.9200000000000013</v>
      </c>
      <c r="CH104" s="39">
        <f t="shared" si="175"/>
        <v>1.9200000000000013</v>
      </c>
      <c r="CI104" s="39">
        <f t="shared" si="121"/>
        <v>2.8320344437466334</v>
      </c>
      <c r="CJ104" s="40">
        <f t="shared" si="176"/>
        <v>2.8320344437466334</v>
      </c>
      <c r="CK104" s="39"/>
      <c r="CL104" s="32">
        <f t="shared" si="177"/>
        <v>1.9200000000000013</v>
      </c>
      <c r="CM104" s="36">
        <f t="shared" si="178"/>
        <v>1.9200000000000013</v>
      </c>
      <c r="CN104" s="32">
        <f t="shared" si="122"/>
        <v>2.8320344437466334</v>
      </c>
      <c r="CO104" s="40">
        <f t="shared" si="179"/>
        <v>2.8320344437466334</v>
      </c>
      <c r="CP104" s="32"/>
      <c r="CQ104" s="32">
        <f t="shared" si="180"/>
        <v>1.9200000000000013</v>
      </c>
      <c r="CR104" s="36">
        <f t="shared" si="181"/>
        <v>1.9200000000000013</v>
      </c>
      <c r="CS104" s="32">
        <f t="shared" si="123"/>
        <v>2.8320344437466334</v>
      </c>
      <c r="CT104" s="40">
        <f t="shared" si="182"/>
        <v>2.8320344437466334</v>
      </c>
      <c r="CU104" s="32"/>
      <c r="CV104" s="32">
        <f t="shared" si="183"/>
        <v>1.9200000000000013</v>
      </c>
      <c r="CW104" s="32">
        <f t="shared" si="184"/>
        <v>1.9200000000000013</v>
      </c>
      <c r="CX104" s="32">
        <f t="shared" si="124"/>
        <v>2.8320344437466334</v>
      </c>
      <c r="CY104" s="40">
        <f t="shared" si="185"/>
        <v>2.8320344437466334</v>
      </c>
      <c r="CZ104" s="32"/>
      <c r="DA104" s="32">
        <f t="shared" si="186"/>
        <v>1.9200000000000013</v>
      </c>
      <c r="DB104" s="36">
        <f t="shared" si="187"/>
        <v>1.9200000000000013</v>
      </c>
      <c r="DC104" s="32">
        <f t="shared" si="125"/>
        <v>2.8320344437466334</v>
      </c>
      <c r="DD104" s="40">
        <f t="shared" si="188"/>
        <v>2.8320344437466334</v>
      </c>
      <c r="DE104" s="32"/>
      <c r="DF104" s="32">
        <f t="shared" si="189"/>
        <v>1.9200000000000013</v>
      </c>
      <c r="DG104" s="36">
        <f t="shared" si="190"/>
        <v>1.9200000000000013</v>
      </c>
      <c r="DH104" s="32">
        <f t="shared" si="126"/>
        <v>2.8320344437466334</v>
      </c>
      <c r="DI104" s="40">
        <f t="shared" si="191"/>
        <v>2.8320344437466334</v>
      </c>
      <c r="DJ104" s="32"/>
      <c r="DK104" s="32">
        <f t="shared" si="192"/>
        <v>1.9200000000000013</v>
      </c>
      <c r="DL104" s="32">
        <f t="shared" si="193"/>
        <v>1.9200000000000013</v>
      </c>
      <c r="DM104" s="32">
        <f t="shared" si="127"/>
        <v>2.8320344437466334</v>
      </c>
      <c r="DN104" s="40">
        <f t="shared" si="194"/>
        <v>2.8320344437466334</v>
      </c>
      <c r="DO104" s="32"/>
      <c r="DP104" s="32">
        <f t="shared" si="195"/>
        <v>1.9200000000000013</v>
      </c>
      <c r="DQ104" s="36">
        <f t="shared" si="196"/>
        <v>1.9200000000000013</v>
      </c>
      <c r="DR104" s="32">
        <f t="shared" si="128"/>
        <v>2.8320344437466334</v>
      </c>
      <c r="DS104" s="40">
        <f t="shared" si="197"/>
        <v>2.8320344437466334</v>
      </c>
      <c r="DT104" s="32"/>
      <c r="DU104" s="32">
        <f t="shared" si="198"/>
        <v>1.9200000000000013</v>
      </c>
      <c r="DV104" s="36">
        <f t="shared" si="199"/>
        <v>1.9200000000000013</v>
      </c>
      <c r="DW104" s="32">
        <f t="shared" si="129"/>
        <v>2.8320344437466334</v>
      </c>
      <c r="DX104" s="40">
        <f t="shared" si="200"/>
        <v>2.8320344437466334</v>
      </c>
      <c r="DY104" s="32"/>
      <c r="DZ104" s="32">
        <f t="shared" si="201"/>
        <v>1.9200000000000013</v>
      </c>
      <c r="EA104" s="32">
        <f t="shared" si="202"/>
        <v>1.9200000000000013</v>
      </c>
      <c r="EB104" s="32">
        <f t="shared" si="130"/>
        <v>2.8320344437466334</v>
      </c>
      <c r="EC104" s="40">
        <f t="shared" si="203"/>
        <v>2.8320344437466334</v>
      </c>
      <c r="ED104" s="32"/>
      <c r="EE104" s="32">
        <f t="shared" si="204"/>
        <v>1.9200000000000013</v>
      </c>
      <c r="EF104" s="36">
        <f t="shared" si="205"/>
        <v>1.9200000000000013</v>
      </c>
      <c r="EG104" s="32">
        <f t="shared" si="131"/>
        <v>2.8320344437466334</v>
      </c>
      <c r="EH104" s="40">
        <f t="shared" si="206"/>
        <v>2.8320344437466334</v>
      </c>
      <c r="EI104" s="32"/>
      <c r="EJ104" s="32">
        <f t="shared" si="207"/>
        <v>1.9200000000000013</v>
      </c>
      <c r="EK104" s="36">
        <f t="shared" si="208"/>
        <v>1.9200000000000013</v>
      </c>
      <c r="EL104" s="32">
        <f t="shared" si="132"/>
        <v>2.8320344437466334</v>
      </c>
      <c r="EM104" s="40">
        <f t="shared" si="209"/>
        <v>2.8320344437466334</v>
      </c>
      <c r="EN104" s="32"/>
      <c r="EO104" s="32">
        <f t="shared" si="210"/>
        <v>1.9200000000000013</v>
      </c>
      <c r="EP104" s="32">
        <f t="shared" si="211"/>
        <v>1.9200000000000013</v>
      </c>
      <c r="EQ104" s="32">
        <f t="shared" si="133"/>
        <v>2.8320344437466334</v>
      </c>
      <c r="ER104" s="40">
        <f t="shared" si="212"/>
        <v>2.8320344437466334</v>
      </c>
      <c r="ES104" s="32"/>
      <c r="ET104" s="32">
        <f t="shared" si="213"/>
        <v>1.9200000000000013</v>
      </c>
      <c r="EU104" s="36">
        <f t="shared" si="214"/>
        <v>1.9200000000000013</v>
      </c>
      <c r="EV104" s="32">
        <f t="shared" si="134"/>
        <v>2.8320344437466334</v>
      </c>
      <c r="EW104" s="40">
        <f t="shared" si="215"/>
        <v>2.8320344437466334</v>
      </c>
      <c r="EX104" s="32"/>
    </row>
    <row r="105" spans="20:154" s="3" customFormat="1" x14ac:dyDescent="0.25">
      <c r="T105" s="32">
        <f t="shared" si="135"/>
        <v>1.9400000000000013</v>
      </c>
      <c r="U105" s="36">
        <f t="shared" si="136"/>
        <v>1.9400000000000013</v>
      </c>
      <c r="V105" s="32">
        <f t="shared" si="108"/>
        <v>2.728088601901745</v>
      </c>
      <c r="W105" s="40">
        <f t="shared" si="137"/>
        <v>2.728088601901745</v>
      </c>
      <c r="X105" s="32"/>
      <c r="Y105" s="32">
        <f t="shared" si="138"/>
        <v>1.9400000000000013</v>
      </c>
      <c r="Z105" s="32">
        <f t="shared" si="139"/>
        <v>1.9400000000000013</v>
      </c>
      <c r="AA105" s="32">
        <f t="shared" si="109"/>
        <v>2.728088601901745</v>
      </c>
      <c r="AB105" s="40">
        <f t="shared" si="140"/>
        <v>2.728088601901745</v>
      </c>
      <c r="AC105" s="32"/>
      <c r="AD105" s="32">
        <f t="shared" si="141"/>
        <v>1.9400000000000013</v>
      </c>
      <c r="AE105" s="36">
        <f t="shared" si="142"/>
        <v>1.9400000000000013</v>
      </c>
      <c r="AF105" s="32">
        <f t="shared" si="110"/>
        <v>2.728088601901745</v>
      </c>
      <c r="AG105" s="40">
        <f t="shared" si="143"/>
        <v>2.728088601901745</v>
      </c>
      <c r="AH105" s="32"/>
      <c r="AI105" s="32">
        <f t="shared" si="144"/>
        <v>1.9400000000000013</v>
      </c>
      <c r="AJ105" s="36">
        <f t="shared" si="145"/>
        <v>1.9400000000000013</v>
      </c>
      <c r="AK105" s="32">
        <f t="shared" si="111"/>
        <v>2.728088601901745</v>
      </c>
      <c r="AL105" s="40">
        <f t="shared" si="146"/>
        <v>2.728088601901745</v>
      </c>
      <c r="AM105" s="32"/>
      <c r="AN105" s="32">
        <f t="shared" si="147"/>
        <v>1.9400000000000013</v>
      </c>
      <c r="AO105" s="32">
        <f t="shared" si="148"/>
        <v>1.9400000000000013</v>
      </c>
      <c r="AP105" s="32">
        <f t="shared" si="112"/>
        <v>2.728088601901745</v>
      </c>
      <c r="AQ105" s="40">
        <f t="shared" si="149"/>
        <v>2.728088601901745</v>
      </c>
      <c r="AR105" s="32"/>
      <c r="AS105" s="32">
        <f t="shared" si="150"/>
        <v>1.9400000000000013</v>
      </c>
      <c r="AT105" s="36">
        <f t="shared" si="151"/>
        <v>1.9400000000000013</v>
      </c>
      <c r="AU105" s="32">
        <f t="shared" si="113"/>
        <v>2.728088601901745</v>
      </c>
      <c r="AV105" s="40">
        <f t="shared" si="152"/>
        <v>2.728088601901745</v>
      </c>
      <c r="AW105" s="32"/>
      <c r="AX105" s="32">
        <f t="shared" si="153"/>
        <v>1.9400000000000013</v>
      </c>
      <c r="AY105" s="36">
        <f t="shared" si="154"/>
        <v>1.9400000000000013</v>
      </c>
      <c r="AZ105" s="32">
        <f t="shared" si="114"/>
        <v>2.728088601901745</v>
      </c>
      <c r="BA105" s="40">
        <f t="shared" si="155"/>
        <v>2.728088601901745</v>
      </c>
      <c r="BB105" s="32"/>
      <c r="BC105" s="32">
        <f t="shared" si="156"/>
        <v>1.9400000000000013</v>
      </c>
      <c r="BD105" s="32">
        <f t="shared" si="157"/>
        <v>1.9400000000000013</v>
      </c>
      <c r="BE105" s="32">
        <f t="shared" si="115"/>
        <v>2.728088601901745</v>
      </c>
      <c r="BF105" s="40">
        <f t="shared" si="158"/>
        <v>2.728088601901745</v>
      </c>
      <c r="BG105" s="32"/>
      <c r="BH105" s="32">
        <f t="shared" si="159"/>
        <v>1.9400000000000013</v>
      </c>
      <c r="BI105" s="36">
        <f t="shared" si="160"/>
        <v>1.9400000000000013</v>
      </c>
      <c r="BJ105" s="32">
        <f t="shared" si="116"/>
        <v>2.728088601901745</v>
      </c>
      <c r="BK105" s="40">
        <f t="shared" si="161"/>
        <v>2.728088601901745</v>
      </c>
      <c r="BL105" s="32"/>
      <c r="BM105" s="32">
        <f t="shared" si="162"/>
        <v>1.9400000000000013</v>
      </c>
      <c r="BN105" s="36">
        <f t="shared" si="163"/>
        <v>1.9400000000000013</v>
      </c>
      <c r="BO105" s="32">
        <f t="shared" si="117"/>
        <v>2.728088601901745</v>
      </c>
      <c r="BP105" s="40">
        <f t="shared" si="164"/>
        <v>2.728088601901745</v>
      </c>
      <c r="BQ105" s="32"/>
      <c r="BR105" s="32">
        <f t="shared" si="165"/>
        <v>1.9400000000000013</v>
      </c>
      <c r="BS105" s="32">
        <f t="shared" si="166"/>
        <v>1.9400000000000013</v>
      </c>
      <c r="BT105" s="32">
        <f t="shared" si="118"/>
        <v>2.728088601901745</v>
      </c>
      <c r="BU105" s="40">
        <f t="shared" si="167"/>
        <v>2.728088601901745</v>
      </c>
      <c r="BV105" s="32"/>
      <c r="BW105" s="32">
        <f t="shared" si="168"/>
        <v>1.9400000000000013</v>
      </c>
      <c r="BX105" s="36">
        <f t="shared" si="169"/>
        <v>1.9400000000000013</v>
      </c>
      <c r="BY105" s="32">
        <f t="shared" si="119"/>
        <v>2.728088601901745</v>
      </c>
      <c r="BZ105" s="40">
        <f t="shared" si="170"/>
        <v>2.728088601901745</v>
      </c>
      <c r="CA105" s="32"/>
      <c r="CB105" s="32">
        <f t="shared" si="171"/>
        <v>1.9400000000000013</v>
      </c>
      <c r="CC105" s="36">
        <f t="shared" si="172"/>
        <v>1.9400000000000013</v>
      </c>
      <c r="CD105" s="32">
        <f t="shared" si="120"/>
        <v>2.728088601901745</v>
      </c>
      <c r="CE105" s="40">
        <f t="shared" si="173"/>
        <v>2.728088601901745</v>
      </c>
      <c r="CF105" s="32"/>
      <c r="CG105" s="39">
        <f t="shared" si="174"/>
        <v>1.9400000000000013</v>
      </c>
      <c r="CH105" s="39">
        <f t="shared" si="175"/>
        <v>1.9400000000000013</v>
      </c>
      <c r="CI105" s="39">
        <f t="shared" si="121"/>
        <v>2.728088601901745</v>
      </c>
      <c r="CJ105" s="40">
        <f t="shared" si="176"/>
        <v>2.728088601901745</v>
      </c>
      <c r="CK105" s="39"/>
      <c r="CL105" s="32">
        <f t="shared" si="177"/>
        <v>1.9400000000000013</v>
      </c>
      <c r="CM105" s="36">
        <f t="shared" si="178"/>
        <v>1.9400000000000013</v>
      </c>
      <c r="CN105" s="32">
        <f t="shared" si="122"/>
        <v>2.728088601901745</v>
      </c>
      <c r="CO105" s="40">
        <f t="shared" si="179"/>
        <v>2.728088601901745</v>
      </c>
      <c r="CP105" s="32"/>
      <c r="CQ105" s="32">
        <f t="shared" si="180"/>
        <v>1.9400000000000013</v>
      </c>
      <c r="CR105" s="36">
        <f t="shared" si="181"/>
        <v>1.9400000000000013</v>
      </c>
      <c r="CS105" s="32">
        <f t="shared" si="123"/>
        <v>2.728088601901745</v>
      </c>
      <c r="CT105" s="40">
        <f t="shared" si="182"/>
        <v>2.728088601901745</v>
      </c>
      <c r="CU105" s="32"/>
      <c r="CV105" s="32">
        <f t="shared" si="183"/>
        <v>1.9400000000000013</v>
      </c>
      <c r="CW105" s="32">
        <f t="shared" si="184"/>
        <v>1.9400000000000013</v>
      </c>
      <c r="CX105" s="32">
        <f t="shared" si="124"/>
        <v>2.728088601901745</v>
      </c>
      <c r="CY105" s="40">
        <f t="shared" si="185"/>
        <v>2.728088601901745</v>
      </c>
      <c r="CZ105" s="32"/>
      <c r="DA105" s="32">
        <f t="shared" si="186"/>
        <v>1.9400000000000013</v>
      </c>
      <c r="DB105" s="36">
        <f t="shared" si="187"/>
        <v>1.9400000000000013</v>
      </c>
      <c r="DC105" s="32">
        <f t="shared" si="125"/>
        <v>2.728088601901745</v>
      </c>
      <c r="DD105" s="40">
        <f t="shared" si="188"/>
        <v>2.728088601901745</v>
      </c>
      <c r="DE105" s="32"/>
      <c r="DF105" s="32">
        <f t="shared" si="189"/>
        <v>1.9400000000000013</v>
      </c>
      <c r="DG105" s="36">
        <f t="shared" si="190"/>
        <v>1.9400000000000013</v>
      </c>
      <c r="DH105" s="32">
        <f t="shared" si="126"/>
        <v>2.728088601901745</v>
      </c>
      <c r="DI105" s="40">
        <f t="shared" si="191"/>
        <v>2.728088601901745</v>
      </c>
      <c r="DJ105" s="32"/>
      <c r="DK105" s="32">
        <f t="shared" si="192"/>
        <v>1.9400000000000013</v>
      </c>
      <c r="DL105" s="32">
        <f t="shared" si="193"/>
        <v>1.9400000000000013</v>
      </c>
      <c r="DM105" s="32">
        <f t="shared" si="127"/>
        <v>2.728088601901745</v>
      </c>
      <c r="DN105" s="40">
        <f t="shared" si="194"/>
        <v>2.728088601901745</v>
      </c>
      <c r="DO105" s="32"/>
      <c r="DP105" s="32">
        <f t="shared" si="195"/>
        <v>1.9400000000000013</v>
      </c>
      <c r="DQ105" s="36">
        <f t="shared" si="196"/>
        <v>1.9400000000000013</v>
      </c>
      <c r="DR105" s="32">
        <f t="shared" si="128"/>
        <v>2.728088601901745</v>
      </c>
      <c r="DS105" s="40">
        <f t="shared" si="197"/>
        <v>2.728088601901745</v>
      </c>
      <c r="DT105" s="32"/>
      <c r="DU105" s="32">
        <f t="shared" si="198"/>
        <v>1.9400000000000013</v>
      </c>
      <c r="DV105" s="36">
        <f t="shared" si="199"/>
        <v>1.9400000000000013</v>
      </c>
      <c r="DW105" s="32">
        <f t="shared" si="129"/>
        <v>2.728088601901745</v>
      </c>
      <c r="DX105" s="40">
        <f t="shared" si="200"/>
        <v>2.728088601901745</v>
      </c>
      <c r="DY105" s="32"/>
      <c r="DZ105" s="32">
        <f t="shared" si="201"/>
        <v>1.9400000000000013</v>
      </c>
      <c r="EA105" s="32">
        <f t="shared" si="202"/>
        <v>1.9400000000000013</v>
      </c>
      <c r="EB105" s="32">
        <f t="shared" si="130"/>
        <v>2.728088601901745</v>
      </c>
      <c r="EC105" s="40">
        <f t="shared" si="203"/>
        <v>2.728088601901745</v>
      </c>
      <c r="ED105" s="32"/>
      <c r="EE105" s="32">
        <f t="shared" si="204"/>
        <v>1.9400000000000013</v>
      </c>
      <c r="EF105" s="36">
        <f t="shared" si="205"/>
        <v>1.9400000000000013</v>
      </c>
      <c r="EG105" s="32">
        <f t="shared" si="131"/>
        <v>2.728088601901745</v>
      </c>
      <c r="EH105" s="40">
        <f t="shared" si="206"/>
        <v>2.728088601901745</v>
      </c>
      <c r="EI105" s="32"/>
      <c r="EJ105" s="32">
        <f t="shared" si="207"/>
        <v>1.9400000000000013</v>
      </c>
      <c r="EK105" s="36">
        <f t="shared" si="208"/>
        <v>1.9400000000000013</v>
      </c>
      <c r="EL105" s="32">
        <f t="shared" si="132"/>
        <v>2.728088601901745</v>
      </c>
      <c r="EM105" s="40">
        <f t="shared" si="209"/>
        <v>2.728088601901745</v>
      </c>
      <c r="EN105" s="32"/>
      <c r="EO105" s="32">
        <f t="shared" si="210"/>
        <v>1.9400000000000013</v>
      </c>
      <c r="EP105" s="32">
        <f t="shared" si="211"/>
        <v>1.9400000000000013</v>
      </c>
      <c r="EQ105" s="32">
        <f t="shared" si="133"/>
        <v>2.728088601901745</v>
      </c>
      <c r="ER105" s="40">
        <f t="shared" si="212"/>
        <v>2.728088601901745</v>
      </c>
      <c r="ES105" s="32"/>
      <c r="ET105" s="32">
        <f t="shared" si="213"/>
        <v>1.9400000000000013</v>
      </c>
      <c r="EU105" s="36">
        <f t="shared" si="214"/>
        <v>1.9400000000000013</v>
      </c>
      <c r="EV105" s="32">
        <f t="shared" si="134"/>
        <v>2.728088601901745</v>
      </c>
      <c r="EW105" s="40">
        <f t="shared" si="215"/>
        <v>2.728088601901745</v>
      </c>
      <c r="EX105" s="32"/>
    </row>
    <row r="106" spans="20:154" s="3" customFormat="1" x14ac:dyDescent="0.25">
      <c r="T106" s="32">
        <f t="shared" si="135"/>
        <v>1.9600000000000013</v>
      </c>
      <c r="U106" s="36">
        <f t="shared" si="136"/>
        <v>1.9600000000000013</v>
      </c>
      <c r="V106" s="32">
        <f t="shared" si="108"/>
        <v>2.6214342473290069</v>
      </c>
      <c r="W106" s="40">
        <f t="shared" si="137"/>
        <v>2.6214342473290069</v>
      </c>
      <c r="X106" s="32"/>
      <c r="Y106" s="32">
        <f t="shared" si="138"/>
        <v>1.9600000000000013</v>
      </c>
      <c r="Z106" s="32">
        <f t="shared" si="139"/>
        <v>1.9600000000000013</v>
      </c>
      <c r="AA106" s="32">
        <f t="shared" si="109"/>
        <v>2.6214342473290069</v>
      </c>
      <c r="AB106" s="40">
        <f t="shared" si="140"/>
        <v>2.6214342473290069</v>
      </c>
      <c r="AC106" s="32"/>
      <c r="AD106" s="32">
        <f t="shared" si="141"/>
        <v>1.9600000000000013</v>
      </c>
      <c r="AE106" s="36">
        <f t="shared" si="142"/>
        <v>1.9600000000000013</v>
      </c>
      <c r="AF106" s="32">
        <f t="shared" si="110"/>
        <v>2.6214342473290069</v>
      </c>
      <c r="AG106" s="40">
        <f t="shared" si="143"/>
        <v>2.6214342473290069</v>
      </c>
      <c r="AH106" s="32"/>
      <c r="AI106" s="32">
        <f t="shared" si="144"/>
        <v>1.9600000000000013</v>
      </c>
      <c r="AJ106" s="36">
        <f t="shared" si="145"/>
        <v>1.9600000000000013</v>
      </c>
      <c r="AK106" s="32">
        <f t="shared" si="111"/>
        <v>2.6214342473290069</v>
      </c>
      <c r="AL106" s="40">
        <f t="shared" si="146"/>
        <v>2.6214342473290069</v>
      </c>
      <c r="AM106" s="32"/>
      <c r="AN106" s="32">
        <f t="shared" si="147"/>
        <v>1.9600000000000013</v>
      </c>
      <c r="AO106" s="32">
        <f t="shared" si="148"/>
        <v>1.9600000000000013</v>
      </c>
      <c r="AP106" s="32">
        <f t="shared" si="112"/>
        <v>2.6214342473290069</v>
      </c>
      <c r="AQ106" s="40">
        <f t="shared" si="149"/>
        <v>2.6214342473290069</v>
      </c>
      <c r="AR106" s="32"/>
      <c r="AS106" s="32">
        <f t="shared" si="150"/>
        <v>1.9600000000000013</v>
      </c>
      <c r="AT106" s="36">
        <f t="shared" si="151"/>
        <v>1.9600000000000013</v>
      </c>
      <c r="AU106" s="32">
        <f t="shared" si="113"/>
        <v>2.6214342473290069</v>
      </c>
      <c r="AV106" s="40">
        <f t="shared" si="152"/>
        <v>2.6214342473290069</v>
      </c>
      <c r="AW106" s="32"/>
      <c r="AX106" s="32">
        <f t="shared" si="153"/>
        <v>1.9600000000000013</v>
      </c>
      <c r="AY106" s="36">
        <f t="shared" si="154"/>
        <v>1.9600000000000013</v>
      </c>
      <c r="AZ106" s="32">
        <f t="shared" si="114"/>
        <v>2.6214342473290069</v>
      </c>
      <c r="BA106" s="40">
        <f t="shared" si="155"/>
        <v>2.6214342473290069</v>
      </c>
      <c r="BB106" s="32"/>
      <c r="BC106" s="32">
        <f t="shared" si="156"/>
        <v>1.9600000000000013</v>
      </c>
      <c r="BD106" s="32">
        <f t="shared" si="157"/>
        <v>1.9600000000000013</v>
      </c>
      <c r="BE106" s="32">
        <f t="shared" si="115"/>
        <v>2.6214342473290069</v>
      </c>
      <c r="BF106" s="40">
        <f t="shared" si="158"/>
        <v>2.6214342473290069</v>
      </c>
      <c r="BG106" s="32"/>
      <c r="BH106" s="32">
        <f t="shared" si="159"/>
        <v>1.9600000000000013</v>
      </c>
      <c r="BI106" s="36">
        <f t="shared" si="160"/>
        <v>1.9600000000000013</v>
      </c>
      <c r="BJ106" s="32">
        <f t="shared" si="116"/>
        <v>2.6214342473290069</v>
      </c>
      <c r="BK106" s="40">
        <f t="shared" si="161"/>
        <v>2.6214342473290069</v>
      </c>
      <c r="BL106" s="32"/>
      <c r="BM106" s="32">
        <f t="shared" si="162"/>
        <v>1.9600000000000013</v>
      </c>
      <c r="BN106" s="36">
        <f t="shared" si="163"/>
        <v>1.9600000000000013</v>
      </c>
      <c r="BO106" s="32">
        <f t="shared" si="117"/>
        <v>2.6214342473290069</v>
      </c>
      <c r="BP106" s="40">
        <f t="shared" si="164"/>
        <v>2.6214342473290069</v>
      </c>
      <c r="BQ106" s="32"/>
      <c r="BR106" s="32">
        <f t="shared" si="165"/>
        <v>1.9600000000000013</v>
      </c>
      <c r="BS106" s="32">
        <f t="shared" si="166"/>
        <v>1.9600000000000013</v>
      </c>
      <c r="BT106" s="32">
        <f t="shared" si="118"/>
        <v>2.6214342473290069</v>
      </c>
      <c r="BU106" s="40">
        <f t="shared" si="167"/>
        <v>2.6214342473290069</v>
      </c>
      <c r="BV106" s="32"/>
      <c r="BW106" s="32">
        <f t="shared" si="168"/>
        <v>1.9600000000000013</v>
      </c>
      <c r="BX106" s="36">
        <f t="shared" si="169"/>
        <v>1.9600000000000013</v>
      </c>
      <c r="BY106" s="32">
        <f t="shared" si="119"/>
        <v>2.6214342473290069</v>
      </c>
      <c r="BZ106" s="40">
        <f t="shared" si="170"/>
        <v>2.6214342473290069</v>
      </c>
      <c r="CA106" s="32"/>
      <c r="CB106" s="32">
        <f t="shared" si="171"/>
        <v>1.9600000000000013</v>
      </c>
      <c r="CC106" s="36">
        <f t="shared" si="172"/>
        <v>1.9600000000000013</v>
      </c>
      <c r="CD106" s="32">
        <f t="shared" si="120"/>
        <v>2.6214342473290069</v>
      </c>
      <c r="CE106" s="40">
        <f t="shared" si="173"/>
        <v>2.6214342473290069</v>
      </c>
      <c r="CF106" s="32"/>
      <c r="CG106" s="39">
        <f t="shared" si="174"/>
        <v>1.9600000000000013</v>
      </c>
      <c r="CH106" s="39">
        <f t="shared" si="175"/>
        <v>1.9600000000000013</v>
      </c>
      <c r="CI106" s="39">
        <f t="shared" si="121"/>
        <v>2.6214342473290069</v>
      </c>
      <c r="CJ106" s="40">
        <f t="shared" si="176"/>
        <v>2.6214342473290069</v>
      </c>
      <c r="CK106" s="39"/>
      <c r="CL106" s="32">
        <f t="shared" si="177"/>
        <v>1.9600000000000013</v>
      </c>
      <c r="CM106" s="36">
        <f t="shared" si="178"/>
        <v>1.9600000000000013</v>
      </c>
      <c r="CN106" s="32">
        <f t="shared" si="122"/>
        <v>2.6214342473290069</v>
      </c>
      <c r="CO106" s="40">
        <f t="shared" si="179"/>
        <v>2.6214342473290069</v>
      </c>
      <c r="CP106" s="32"/>
      <c r="CQ106" s="32">
        <f t="shared" si="180"/>
        <v>1.9600000000000013</v>
      </c>
      <c r="CR106" s="36">
        <f t="shared" si="181"/>
        <v>1.9600000000000013</v>
      </c>
      <c r="CS106" s="32">
        <f t="shared" si="123"/>
        <v>2.6214342473290069</v>
      </c>
      <c r="CT106" s="40">
        <f t="shared" si="182"/>
        <v>2.6214342473290069</v>
      </c>
      <c r="CU106" s="32"/>
      <c r="CV106" s="32">
        <f t="shared" si="183"/>
        <v>1.9600000000000013</v>
      </c>
      <c r="CW106" s="32">
        <f t="shared" si="184"/>
        <v>1.9600000000000013</v>
      </c>
      <c r="CX106" s="32">
        <f t="shared" si="124"/>
        <v>2.6214342473290069</v>
      </c>
      <c r="CY106" s="40">
        <f t="shared" si="185"/>
        <v>2.6214342473290069</v>
      </c>
      <c r="CZ106" s="32"/>
      <c r="DA106" s="32">
        <f t="shared" si="186"/>
        <v>1.9600000000000013</v>
      </c>
      <c r="DB106" s="36">
        <f t="shared" si="187"/>
        <v>1.9600000000000013</v>
      </c>
      <c r="DC106" s="32">
        <f t="shared" si="125"/>
        <v>2.6214342473290069</v>
      </c>
      <c r="DD106" s="40">
        <f t="shared" si="188"/>
        <v>2.6214342473290069</v>
      </c>
      <c r="DE106" s="32"/>
      <c r="DF106" s="32">
        <f t="shared" si="189"/>
        <v>1.9600000000000013</v>
      </c>
      <c r="DG106" s="36">
        <f t="shared" si="190"/>
        <v>1.9600000000000013</v>
      </c>
      <c r="DH106" s="32">
        <f t="shared" si="126"/>
        <v>2.6214342473290069</v>
      </c>
      <c r="DI106" s="40">
        <f t="shared" si="191"/>
        <v>2.6214342473290069</v>
      </c>
      <c r="DJ106" s="32"/>
      <c r="DK106" s="32">
        <f t="shared" si="192"/>
        <v>1.9600000000000013</v>
      </c>
      <c r="DL106" s="32">
        <f t="shared" si="193"/>
        <v>1.9600000000000013</v>
      </c>
      <c r="DM106" s="32">
        <f t="shared" si="127"/>
        <v>2.6214342473290069</v>
      </c>
      <c r="DN106" s="40">
        <f t="shared" si="194"/>
        <v>2.6214342473290069</v>
      </c>
      <c r="DO106" s="32"/>
      <c r="DP106" s="32">
        <f t="shared" si="195"/>
        <v>1.9600000000000013</v>
      </c>
      <c r="DQ106" s="36">
        <f t="shared" si="196"/>
        <v>1.9600000000000013</v>
      </c>
      <c r="DR106" s="32">
        <f t="shared" si="128"/>
        <v>2.6214342473290069</v>
      </c>
      <c r="DS106" s="40">
        <f t="shared" si="197"/>
        <v>2.6214342473290069</v>
      </c>
      <c r="DT106" s="32"/>
      <c r="DU106" s="32">
        <f t="shared" si="198"/>
        <v>1.9600000000000013</v>
      </c>
      <c r="DV106" s="36">
        <f t="shared" si="199"/>
        <v>1.9600000000000013</v>
      </c>
      <c r="DW106" s="32">
        <f t="shared" si="129"/>
        <v>2.6214342473290069</v>
      </c>
      <c r="DX106" s="40">
        <f t="shared" si="200"/>
        <v>2.6214342473290069</v>
      </c>
      <c r="DY106" s="32"/>
      <c r="DZ106" s="32">
        <f t="shared" si="201"/>
        <v>1.9600000000000013</v>
      </c>
      <c r="EA106" s="32">
        <f t="shared" si="202"/>
        <v>1.9600000000000013</v>
      </c>
      <c r="EB106" s="32">
        <f t="shared" si="130"/>
        <v>2.6214342473290069</v>
      </c>
      <c r="EC106" s="40">
        <f t="shared" si="203"/>
        <v>2.6214342473290069</v>
      </c>
      <c r="ED106" s="32"/>
      <c r="EE106" s="32">
        <f t="shared" si="204"/>
        <v>1.9600000000000013</v>
      </c>
      <c r="EF106" s="36">
        <f t="shared" si="205"/>
        <v>1.9600000000000013</v>
      </c>
      <c r="EG106" s="32">
        <f t="shared" si="131"/>
        <v>2.6214342473290069</v>
      </c>
      <c r="EH106" s="40">
        <f t="shared" si="206"/>
        <v>2.6214342473290069</v>
      </c>
      <c r="EI106" s="32"/>
      <c r="EJ106" s="32">
        <f t="shared" si="207"/>
        <v>1.9600000000000013</v>
      </c>
      <c r="EK106" s="36">
        <f t="shared" si="208"/>
        <v>1.9600000000000013</v>
      </c>
      <c r="EL106" s="32">
        <f t="shared" si="132"/>
        <v>2.6214342473290069</v>
      </c>
      <c r="EM106" s="40">
        <f t="shared" si="209"/>
        <v>2.6214342473290069</v>
      </c>
      <c r="EN106" s="32"/>
      <c r="EO106" s="32">
        <f t="shared" si="210"/>
        <v>1.9600000000000013</v>
      </c>
      <c r="EP106" s="32">
        <f t="shared" si="211"/>
        <v>1.9600000000000013</v>
      </c>
      <c r="EQ106" s="32">
        <f t="shared" si="133"/>
        <v>2.6214342473290069</v>
      </c>
      <c r="ER106" s="40">
        <f t="shared" si="212"/>
        <v>2.6214342473290069</v>
      </c>
      <c r="ES106" s="32"/>
      <c r="ET106" s="32">
        <f t="shared" si="213"/>
        <v>1.9600000000000013</v>
      </c>
      <c r="EU106" s="36">
        <f t="shared" si="214"/>
        <v>1.9600000000000013</v>
      </c>
      <c r="EV106" s="32">
        <f t="shared" si="134"/>
        <v>2.6214342473290069</v>
      </c>
      <c r="EW106" s="40">
        <f t="shared" si="215"/>
        <v>2.6214342473290069</v>
      </c>
      <c r="EX106" s="32"/>
    </row>
    <row r="107" spans="20:154" s="3" customFormat="1" x14ac:dyDescent="0.25">
      <c r="T107" s="32">
        <f t="shared" si="135"/>
        <v>1.9800000000000013</v>
      </c>
      <c r="U107" s="36">
        <f t="shared" si="136"/>
        <v>1.9800000000000013</v>
      </c>
      <c r="V107" s="32">
        <f t="shared" si="108"/>
        <v>2.5120713800284244</v>
      </c>
      <c r="W107" s="40">
        <f t="shared" si="137"/>
        <v>2.5120713800284244</v>
      </c>
      <c r="X107" s="32"/>
      <c r="Y107" s="32">
        <f t="shared" si="138"/>
        <v>1.9800000000000013</v>
      </c>
      <c r="Z107" s="32">
        <f t="shared" si="139"/>
        <v>1.9800000000000013</v>
      </c>
      <c r="AA107" s="32">
        <f t="shared" si="109"/>
        <v>2.5120713800284244</v>
      </c>
      <c r="AB107" s="40">
        <f t="shared" si="140"/>
        <v>2.5120713800284244</v>
      </c>
      <c r="AC107" s="32"/>
      <c r="AD107" s="32">
        <f t="shared" si="141"/>
        <v>1.9800000000000013</v>
      </c>
      <c r="AE107" s="36">
        <f t="shared" si="142"/>
        <v>1.9800000000000013</v>
      </c>
      <c r="AF107" s="32">
        <f t="shared" si="110"/>
        <v>2.5120713800284244</v>
      </c>
      <c r="AG107" s="40">
        <f t="shared" si="143"/>
        <v>2.5120713800284244</v>
      </c>
      <c r="AH107" s="32"/>
      <c r="AI107" s="32">
        <f t="shared" si="144"/>
        <v>1.9800000000000013</v>
      </c>
      <c r="AJ107" s="36">
        <f t="shared" si="145"/>
        <v>1.9800000000000013</v>
      </c>
      <c r="AK107" s="32">
        <f t="shared" si="111"/>
        <v>2.5120713800284244</v>
      </c>
      <c r="AL107" s="40">
        <f t="shared" si="146"/>
        <v>2.5120713800284244</v>
      </c>
      <c r="AM107" s="32"/>
      <c r="AN107" s="32">
        <f t="shared" si="147"/>
        <v>1.9800000000000013</v>
      </c>
      <c r="AO107" s="32">
        <f t="shared" si="148"/>
        <v>1.9800000000000013</v>
      </c>
      <c r="AP107" s="32">
        <f t="shared" si="112"/>
        <v>2.5120713800284244</v>
      </c>
      <c r="AQ107" s="40">
        <f t="shared" si="149"/>
        <v>2.5120713800284244</v>
      </c>
      <c r="AR107" s="32"/>
      <c r="AS107" s="32">
        <f t="shared" si="150"/>
        <v>1.9800000000000013</v>
      </c>
      <c r="AT107" s="36">
        <f t="shared" si="151"/>
        <v>1.9800000000000013</v>
      </c>
      <c r="AU107" s="32">
        <f t="shared" si="113"/>
        <v>2.5120713800284244</v>
      </c>
      <c r="AV107" s="40">
        <f t="shared" si="152"/>
        <v>2.5120713800284244</v>
      </c>
      <c r="AW107" s="32"/>
      <c r="AX107" s="32">
        <f t="shared" si="153"/>
        <v>1.9800000000000013</v>
      </c>
      <c r="AY107" s="36">
        <f t="shared" si="154"/>
        <v>1.9800000000000013</v>
      </c>
      <c r="AZ107" s="32">
        <f t="shared" si="114"/>
        <v>2.5120713800284244</v>
      </c>
      <c r="BA107" s="40">
        <f t="shared" si="155"/>
        <v>2.5120713800284244</v>
      </c>
      <c r="BB107" s="32"/>
      <c r="BC107" s="32">
        <f t="shared" si="156"/>
        <v>1.9800000000000013</v>
      </c>
      <c r="BD107" s="32">
        <f t="shared" si="157"/>
        <v>1.9800000000000013</v>
      </c>
      <c r="BE107" s="32">
        <f t="shared" si="115"/>
        <v>2.5120713800284244</v>
      </c>
      <c r="BF107" s="40">
        <f t="shared" si="158"/>
        <v>2.5120713800284244</v>
      </c>
      <c r="BG107" s="32"/>
      <c r="BH107" s="32">
        <f t="shared" si="159"/>
        <v>1.9800000000000013</v>
      </c>
      <c r="BI107" s="36">
        <f t="shared" si="160"/>
        <v>1.9800000000000013</v>
      </c>
      <c r="BJ107" s="32">
        <f t="shared" si="116"/>
        <v>2.5120713800284244</v>
      </c>
      <c r="BK107" s="40">
        <f t="shared" si="161"/>
        <v>2.5120713800284244</v>
      </c>
      <c r="BL107" s="32"/>
      <c r="BM107" s="32">
        <f t="shared" si="162"/>
        <v>1.9800000000000013</v>
      </c>
      <c r="BN107" s="36">
        <f t="shared" si="163"/>
        <v>1.9800000000000013</v>
      </c>
      <c r="BO107" s="32">
        <f t="shared" si="117"/>
        <v>2.5120713800284244</v>
      </c>
      <c r="BP107" s="40">
        <f t="shared" si="164"/>
        <v>2.5120713800284244</v>
      </c>
      <c r="BQ107" s="32"/>
      <c r="BR107" s="32">
        <f t="shared" si="165"/>
        <v>1.9800000000000013</v>
      </c>
      <c r="BS107" s="32">
        <f t="shared" si="166"/>
        <v>1.9800000000000013</v>
      </c>
      <c r="BT107" s="32">
        <f t="shared" si="118"/>
        <v>2.5120713800284244</v>
      </c>
      <c r="BU107" s="40">
        <f t="shared" si="167"/>
        <v>2.5120713800284244</v>
      </c>
      <c r="BV107" s="32"/>
      <c r="BW107" s="32">
        <f t="shared" si="168"/>
        <v>1.9800000000000013</v>
      </c>
      <c r="BX107" s="36">
        <f t="shared" si="169"/>
        <v>1.9800000000000013</v>
      </c>
      <c r="BY107" s="32">
        <f t="shared" si="119"/>
        <v>2.5120713800284244</v>
      </c>
      <c r="BZ107" s="40">
        <f t="shared" si="170"/>
        <v>2.5120713800284244</v>
      </c>
      <c r="CA107" s="32"/>
      <c r="CB107" s="32">
        <f t="shared" si="171"/>
        <v>1.9800000000000013</v>
      </c>
      <c r="CC107" s="36">
        <f t="shared" si="172"/>
        <v>1.9800000000000013</v>
      </c>
      <c r="CD107" s="32">
        <f t="shared" si="120"/>
        <v>2.5120713800284244</v>
      </c>
      <c r="CE107" s="40">
        <f t="shared" si="173"/>
        <v>2.5120713800284244</v>
      </c>
      <c r="CF107" s="32"/>
      <c r="CG107" s="39">
        <f t="shared" si="174"/>
        <v>1.9800000000000013</v>
      </c>
      <c r="CH107" s="39">
        <f t="shared" si="175"/>
        <v>1.9800000000000013</v>
      </c>
      <c r="CI107" s="39">
        <f t="shared" si="121"/>
        <v>2.5120713800284244</v>
      </c>
      <c r="CJ107" s="40">
        <f t="shared" si="176"/>
        <v>2.5120713800284244</v>
      </c>
      <c r="CK107" s="39"/>
      <c r="CL107" s="32">
        <f t="shared" si="177"/>
        <v>1.9800000000000013</v>
      </c>
      <c r="CM107" s="36">
        <f t="shared" si="178"/>
        <v>1.9800000000000013</v>
      </c>
      <c r="CN107" s="32">
        <f t="shared" si="122"/>
        <v>2.5120713800284244</v>
      </c>
      <c r="CO107" s="40">
        <f t="shared" si="179"/>
        <v>2.5120713800284244</v>
      </c>
      <c r="CP107" s="32"/>
      <c r="CQ107" s="32">
        <f t="shared" si="180"/>
        <v>1.9800000000000013</v>
      </c>
      <c r="CR107" s="36">
        <f t="shared" si="181"/>
        <v>1.9800000000000013</v>
      </c>
      <c r="CS107" s="32">
        <f t="shared" si="123"/>
        <v>2.5120713800284244</v>
      </c>
      <c r="CT107" s="40">
        <f t="shared" si="182"/>
        <v>2.5120713800284244</v>
      </c>
      <c r="CU107" s="32"/>
      <c r="CV107" s="32">
        <f t="shared" si="183"/>
        <v>1.9800000000000013</v>
      </c>
      <c r="CW107" s="32">
        <f t="shared" si="184"/>
        <v>1.9800000000000013</v>
      </c>
      <c r="CX107" s="32">
        <f t="shared" si="124"/>
        <v>2.5120713800284244</v>
      </c>
      <c r="CY107" s="40">
        <f t="shared" si="185"/>
        <v>2.5120713800284244</v>
      </c>
      <c r="CZ107" s="32"/>
      <c r="DA107" s="32">
        <f t="shared" si="186"/>
        <v>1.9800000000000013</v>
      </c>
      <c r="DB107" s="36">
        <f t="shared" si="187"/>
        <v>1.9800000000000013</v>
      </c>
      <c r="DC107" s="32">
        <f t="shared" si="125"/>
        <v>2.5120713800284244</v>
      </c>
      <c r="DD107" s="40">
        <f t="shared" si="188"/>
        <v>2.5120713800284244</v>
      </c>
      <c r="DE107" s="32"/>
      <c r="DF107" s="32">
        <f t="shared" si="189"/>
        <v>1.9800000000000013</v>
      </c>
      <c r="DG107" s="36">
        <f t="shared" si="190"/>
        <v>1.9800000000000013</v>
      </c>
      <c r="DH107" s="32">
        <f t="shared" si="126"/>
        <v>2.5120713800284244</v>
      </c>
      <c r="DI107" s="40">
        <f t="shared" si="191"/>
        <v>2.5120713800284244</v>
      </c>
      <c r="DJ107" s="32"/>
      <c r="DK107" s="32">
        <f t="shared" si="192"/>
        <v>1.9800000000000013</v>
      </c>
      <c r="DL107" s="32">
        <f t="shared" si="193"/>
        <v>1.9800000000000013</v>
      </c>
      <c r="DM107" s="32">
        <f t="shared" si="127"/>
        <v>2.5120713800284244</v>
      </c>
      <c r="DN107" s="40">
        <f t="shared" si="194"/>
        <v>2.5120713800284244</v>
      </c>
      <c r="DO107" s="32"/>
      <c r="DP107" s="32">
        <f t="shared" si="195"/>
        <v>1.9800000000000013</v>
      </c>
      <c r="DQ107" s="36">
        <f t="shared" si="196"/>
        <v>1.9800000000000013</v>
      </c>
      <c r="DR107" s="32">
        <f t="shared" si="128"/>
        <v>2.5120713800284244</v>
      </c>
      <c r="DS107" s="40">
        <f t="shared" si="197"/>
        <v>2.5120713800284244</v>
      </c>
      <c r="DT107" s="32"/>
      <c r="DU107" s="32">
        <f t="shared" si="198"/>
        <v>1.9800000000000013</v>
      </c>
      <c r="DV107" s="36">
        <f t="shared" si="199"/>
        <v>1.9800000000000013</v>
      </c>
      <c r="DW107" s="32">
        <f t="shared" si="129"/>
        <v>2.5120713800284244</v>
      </c>
      <c r="DX107" s="40">
        <f t="shared" si="200"/>
        <v>2.5120713800284244</v>
      </c>
      <c r="DY107" s="32"/>
      <c r="DZ107" s="32">
        <f t="shared" si="201"/>
        <v>1.9800000000000013</v>
      </c>
      <c r="EA107" s="32">
        <f t="shared" si="202"/>
        <v>1.9800000000000013</v>
      </c>
      <c r="EB107" s="32">
        <f t="shared" si="130"/>
        <v>2.5120713800284244</v>
      </c>
      <c r="EC107" s="40">
        <f t="shared" si="203"/>
        <v>2.5120713800284244</v>
      </c>
      <c r="ED107" s="32"/>
      <c r="EE107" s="32">
        <f t="shared" si="204"/>
        <v>1.9800000000000013</v>
      </c>
      <c r="EF107" s="36">
        <f t="shared" si="205"/>
        <v>1.9800000000000013</v>
      </c>
      <c r="EG107" s="32">
        <f t="shared" si="131"/>
        <v>2.5120713800284244</v>
      </c>
      <c r="EH107" s="40">
        <f t="shared" si="206"/>
        <v>2.5120713800284244</v>
      </c>
      <c r="EI107" s="32"/>
      <c r="EJ107" s="32">
        <f t="shared" si="207"/>
        <v>1.9800000000000013</v>
      </c>
      <c r="EK107" s="36">
        <f t="shared" si="208"/>
        <v>1.9800000000000013</v>
      </c>
      <c r="EL107" s="32">
        <f t="shared" si="132"/>
        <v>2.5120713800284244</v>
      </c>
      <c r="EM107" s="40">
        <f t="shared" si="209"/>
        <v>2.5120713800284244</v>
      </c>
      <c r="EN107" s="32"/>
      <c r="EO107" s="32">
        <f t="shared" si="210"/>
        <v>1.9800000000000013</v>
      </c>
      <c r="EP107" s="32">
        <f t="shared" si="211"/>
        <v>1.9800000000000013</v>
      </c>
      <c r="EQ107" s="32">
        <f t="shared" si="133"/>
        <v>2.5120713800284244</v>
      </c>
      <c r="ER107" s="40">
        <f t="shared" si="212"/>
        <v>2.5120713800284244</v>
      </c>
      <c r="ES107" s="32"/>
      <c r="ET107" s="32">
        <f t="shared" si="213"/>
        <v>1.9800000000000013</v>
      </c>
      <c r="EU107" s="36">
        <f t="shared" si="214"/>
        <v>1.9800000000000013</v>
      </c>
      <c r="EV107" s="32">
        <f t="shared" si="134"/>
        <v>2.5120713800284244</v>
      </c>
      <c r="EW107" s="40">
        <f t="shared" si="215"/>
        <v>2.5120713800284244</v>
      </c>
      <c r="EX107" s="32"/>
    </row>
    <row r="108" spans="20:154" s="3" customFormat="1" x14ac:dyDescent="0.25">
      <c r="T108" s="32">
        <f t="shared" si="135"/>
        <v>2.0000000000000013</v>
      </c>
      <c r="U108" s="36">
        <f t="shared" si="136"/>
        <v>2.0000000000000013</v>
      </c>
      <c r="V108" s="32">
        <f t="shared" si="108"/>
        <v>2.3999999999999941</v>
      </c>
      <c r="W108" s="40">
        <f t="shared" si="137"/>
        <v>2.3999999999999941</v>
      </c>
      <c r="X108" s="32"/>
      <c r="Y108" s="32">
        <f t="shared" si="138"/>
        <v>2.0000000000000013</v>
      </c>
      <c r="Z108" s="32">
        <f t="shared" si="139"/>
        <v>2.0000000000000013</v>
      </c>
      <c r="AA108" s="32">
        <f t="shared" si="109"/>
        <v>2.3999999999999941</v>
      </c>
      <c r="AB108" s="40">
        <f t="shared" si="140"/>
        <v>2.3999999999999941</v>
      </c>
      <c r="AC108" s="32"/>
      <c r="AD108" s="32">
        <f t="shared" si="141"/>
        <v>2.0000000000000013</v>
      </c>
      <c r="AE108" s="36">
        <f t="shared" si="142"/>
        <v>2.0000000000000013</v>
      </c>
      <c r="AF108" s="32">
        <f t="shared" si="110"/>
        <v>2.3999999999999941</v>
      </c>
      <c r="AG108" s="40">
        <f t="shared" si="143"/>
        <v>2.3999999999999941</v>
      </c>
      <c r="AH108" s="32"/>
      <c r="AI108" s="32">
        <f t="shared" si="144"/>
        <v>2.0000000000000013</v>
      </c>
      <c r="AJ108" s="36">
        <f t="shared" si="145"/>
        <v>2.0000000000000013</v>
      </c>
      <c r="AK108" s="32">
        <f t="shared" si="111"/>
        <v>2.3999999999999941</v>
      </c>
      <c r="AL108" s="40">
        <f t="shared" si="146"/>
        <v>2.3999999999999941</v>
      </c>
      <c r="AM108" s="32"/>
      <c r="AN108" s="32">
        <f t="shared" si="147"/>
        <v>2.0000000000000013</v>
      </c>
      <c r="AO108" s="32">
        <f t="shared" si="148"/>
        <v>2.0000000000000013</v>
      </c>
      <c r="AP108" s="32">
        <f t="shared" si="112"/>
        <v>2.3999999999999941</v>
      </c>
      <c r="AQ108" s="40">
        <f t="shared" si="149"/>
        <v>2.3999999999999941</v>
      </c>
      <c r="AR108" s="32"/>
      <c r="AS108" s="32">
        <f t="shared" si="150"/>
        <v>2.0000000000000013</v>
      </c>
      <c r="AT108" s="36">
        <f t="shared" si="151"/>
        <v>2.0000000000000013</v>
      </c>
      <c r="AU108" s="32">
        <f t="shared" si="113"/>
        <v>2.3999999999999941</v>
      </c>
      <c r="AV108" s="40">
        <f t="shared" si="152"/>
        <v>2.3999999999999941</v>
      </c>
      <c r="AW108" s="32"/>
      <c r="AX108" s="32">
        <f t="shared" si="153"/>
        <v>2.0000000000000013</v>
      </c>
      <c r="AY108" s="36">
        <f t="shared" si="154"/>
        <v>2.0000000000000013</v>
      </c>
      <c r="AZ108" s="32">
        <f t="shared" si="114"/>
        <v>2.3999999999999941</v>
      </c>
      <c r="BA108" s="40">
        <f t="shared" si="155"/>
        <v>2.3999999999999941</v>
      </c>
      <c r="BB108" s="32"/>
      <c r="BC108" s="32">
        <f t="shared" si="156"/>
        <v>2.0000000000000013</v>
      </c>
      <c r="BD108" s="32">
        <f t="shared" si="157"/>
        <v>2.0000000000000013</v>
      </c>
      <c r="BE108" s="32">
        <f t="shared" si="115"/>
        <v>2.3999999999999941</v>
      </c>
      <c r="BF108" s="40">
        <f t="shared" si="158"/>
        <v>2.3999999999999941</v>
      </c>
      <c r="BG108" s="32"/>
      <c r="BH108" s="32">
        <f t="shared" si="159"/>
        <v>2.0000000000000013</v>
      </c>
      <c r="BI108" s="36">
        <f t="shared" si="160"/>
        <v>2.0000000000000013</v>
      </c>
      <c r="BJ108" s="32">
        <f t="shared" si="116"/>
        <v>2.3999999999999941</v>
      </c>
      <c r="BK108" s="40">
        <f t="shared" si="161"/>
        <v>2.3999999999999941</v>
      </c>
      <c r="BL108" s="32"/>
      <c r="BM108" s="32">
        <f t="shared" si="162"/>
        <v>2.0000000000000013</v>
      </c>
      <c r="BN108" s="36">
        <f t="shared" si="163"/>
        <v>2.0000000000000013</v>
      </c>
      <c r="BO108" s="32">
        <f t="shared" si="117"/>
        <v>2.3999999999999941</v>
      </c>
      <c r="BP108" s="40">
        <f t="shared" si="164"/>
        <v>2.3999999999999941</v>
      </c>
      <c r="BQ108" s="32"/>
      <c r="BR108" s="32">
        <f t="shared" si="165"/>
        <v>2.0000000000000013</v>
      </c>
      <c r="BS108" s="32">
        <f t="shared" si="166"/>
        <v>2.0000000000000013</v>
      </c>
      <c r="BT108" s="32">
        <f t="shared" si="118"/>
        <v>2.3999999999999941</v>
      </c>
      <c r="BU108" s="40">
        <f t="shared" si="167"/>
        <v>2.3999999999999941</v>
      </c>
      <c r="BV108" s="32"/>
      <c r="BW108" s="32">
        <f t="shared" si="168"/>
        <v>2.0000000000000013</v>
      </c>
      <c r="BX108" s="36">
        <f t="shared" si="169"/>
        <v>2.0000000000000013</v>
      </c>
      <c r="BY108" s="32">
        <f t="shared" si="119"/>
        <v>2.3999999999999941</v>
      </c>
      <c r="BZ108" s="40">
        <f t="shared" si="170"/>
        <v>2.3999999999999941</v>
      </c>
      <c r="CA108" s="32"/>
      <c r="CB108" s="32">
        <f t="shared" si="171"/>
        <v>2.0000000000000013</v>
      </c>
      <c r="CC108" s="36">
        <f t="shared" si="172"/>
        <v>2.0000000000000013</v>
      </c>
      <c r="CD108" s="32">
        <f t="shared" si="120"/>
        <v>2.3999999999999941</v>
      </c>
      <c r="CE108" s="40">
        <f t="shared" si="173"/>
        <v>2.3999999999999941</v>
      </c>
      <c r="CF108" s="32"/>
      <c r="CG108" s="39">
        <f t="shared" si="174"/>
        <v>2.0000000000000013</v>
      </c>
      <c r="CH108" s="39">
        <f t="shared" si="175"/>
        <v>2.0000000000000013</v>
      </c>
      <c r="CI108" s="39">
        <f t="shared" si="121"/>
        <v>2.3999999999999941</v>
      </c>
      <c r="CJ108" s="40">
        <f t="shared" si="176"/>
        <v>2.3999999999999941</v>
      </c>
      <c r="CK108" s="39"/>
      <c r="CL108" s="32">
        <f t="shared" si="177"/>
        <v>2.0000000000000013</v>
      </c>
      <c r="CM108" s="36">
        <f t="shared" si="178"/>
        <v>2.0000000000000013</v>
      </c>
      <c r="CN108" s="32">
        <f t="shared" si="122"/>
        <v>2.3999999999999941</v>
      </c>
      <c r="CO108" s="40">
        <f t="shared" si="179"/>
        <v>2.3999999999999941</v>
      </c>
      <c r="CP108" s="32"/>
      <c r="CQ108" s="32">
        <f t="shared" si="180"/>
        <v>2.0000000000000013</v>
      </c>
      <c r="CR108" s="36">
        <f t="shared" si="181"/>
        <v>2.0000000000000013</v>
      </c>
      <c r="CS108" s="32">
        <f t="shared" si="123"/>
        <v>2.3999999999999941</v>
      </c>
      <c r="CT108" s="40">
        <f t="shared" si="182"/>
        <v>2.3999999999999941</v>
      </c>
      <c r="CU108" s="32"/>
      <c r="CV108" s="32">
        <f t="shared" si="183"/>
        <v>2.0000000000000013</v>
      </c>
      <c r="CW108" s="32">
        <f t="shared" si="184"/>
        <v>2.0000000000000013</v>
      </c>
      <c r="CX108" s="32">
        <f t="shared" si="124"/>
        <v>2.3999999999999941</v>
      </c>
      <c r="CY108" s="40">
        <f t="shared" si="185"/>
        <v>2.3999999999999941</v>
      </c>
      <c r="CZ108" s="32"/>
      <c r="DA108" s="32">
        <f t="shared" si="186"/>
        <v>2.0000000000000013</v>
      </c>
      <c r="DB108" s="36">
        <f t="shared" si="187"/>
        <v>2.0000000000000013</v>
      </c>
      <c r="DC108" s="32">
        <f t="shared" si="125"/>
        <v>2.3999999999999941</v>
      </c>
      <c r="DD108" s="40">
        <f t="shared" si="188"/>
        <v>2.3999999999999941</v>
      </c>
      <c r="DE108" s="32"/>
      <c r="DF108" s="32">
        <f t="shared" si="189"/>
        <v>2.0000000000000013</v>
      </c>
      <c r="DG108" s="36">
        <f t="shared" si="190"/>
        <v>2.0000000000000013</v>
      </c>
      <c r="DH108" s="32">
        <f t="shared" si="126"/>
        <v>2.3999999999999941</v>
      </c>
      <c r="DI108" s="40">
        <f t="shared" si="191"/>
        <v>2.3999999999999941</v>
      </c>
      <c r="DJ108" s="32"/>
      <c r="DK108" s="32">
        <f t="shared" si="192"/>
        <v>2.0000000000000013</v>
      </c>
      <c r="DL108" s="32">
        <f t="shared" si="193"/>
        <v>2.0000000000000013</v>
      </c>
      <c r="DM108" s="32">
        <f t="shared" si="127"/>
        <v>2.3999999999999941</v>
      </c>
      <c r="DN108" s="40">
        <f t="shared" si="194"/>
        <v>2.3999999999999941</v>
      </c>
      <c r="DO108" s="32"/>
      <c r="DP108" s="32">
        <f t="shared" si="195"/>
        <v>2.0000000000000013</v>
      </c>
      <c r="DQ108" s="36">
        <f t="shared" si="196"/>
        <v>2.0000000000000013</v>
      </c>
      <c r="DR108" s="32">
        <f t="shared" si="128"/>
        <v>2.3999999999999941</v>
      </c>
      <c r="DS108" s="40">
        <f t="shared" si="197"/>
        <v>2.3999999999999941</v>
      </c>
      <c r="DT108" s="32"/>
      <c r="DU108" s="32">
        <f t="shared" si="198"/>
        <v>2.0000000000000013</v>
      </c>
      <c r="DV108" s="36">
        <f t="shared" si="199"/>
        <v>2.0000000000000013</v>
      </c>
      <c r="DW108" s="32">
        <f t="shared" si="129"/>
        <v>2.3999999999999941</v>
      </c>
      <c r="DX108" s="40">
        <f t="shared" si="200"/>
        <v>2.3999999999999941</v>
      </c>
      <c r="DY108" s="32"/>
      <c r="DZ108" s="32">
        <f t="shared" si="201"/>
        <v>2.0000000000000013</v>
      </c>
      <c r="EA108" s="32">
        <f t="shared" si="202"/>
        <v>2.0000000000000013</v>
      </c>
      <c r="EB108" s="32">
        <f t="shared" si="130"/>
        <v>2.3999999999999941</v>
      </c>
      <c r="EC108" s="40">
        <f t="shared" si="203"/>
        <v>2.3999999999999941</v>
      </c>
      <c r="ED108" s="32"/>
      <c r="EE108" s="32">
        <f t="shared" si="204"/>
        <v>2.0000000000000013</v>
      </c>
      <c r="EF108" s="36">
        <f t="shared" si="205"/>
        <v>2.0000000000000013</v>
      </c>
      <c r="EG108" s="32">
        <f t="shared" si="131"/>
        <v>2.3999999999999941</v>
      </c>
      <c r="EH108" s="40">
        <f t="shared" si="206"/>
        <v>2.3999999999999941</v>
      </c>
      <c r="EI108" s="32"/>
      <c r="EJ108" s="32">
        <f t="shared" si="207"/>
        <v>2.0000000000000013</v>
      </c>
      <c r="EK108" s="36">
        <f t="shared" si="208"/>
        <v>2.0000000000000013</v>
      </c>
      <c r="EL108" s="32">
        <f t="shared" si="132"/>
        <v>2.3999999999999941</v>
      </c>
      <c r="EM108" s="40">
        <f t="shared" si="209"/>
        <v>2.3999999999999941</v>
      </c>
      <c r="EN108" s="32"/>
      <c r="EO108" s="32">
        <f t="shared" si="210"/>
        <v>2.0000000000000013</v>
      </c>
      <c r="EP108" s="32">
        <f t="shared" si="211"/>
        <v>2.0000000000000013</v>
      </c>
      <c r="EQ108" s="32">
        <f t="shared" si="133"/>
        <v>2.3999999999999941</v>
      </c>
      <c r="ER108" s="40">
        <f t="shared" si="212"/>
        <v>2.3999999999999941</v>
      </c>
      <c r="ES108" s="32"/>
      <c r="ET108" s="32">
        <f t="shared" si="213"/>
        <v>2.0000000000000013</v>
      </c>
      <c r="EU108" s="36">
        <f t="shared" si="214"/>
        <v>2.0000000000000013</v>
      </c>
      <c r="EV108" s="32">
        <f t="shared" si="134"/>
        <v>2.3999999999999941</v>
      </c>
      <c r="EW108" s="40">
        <f t="shared" si="215"/>
        <v>2.3999999999999941</v>
      </c>
      <c r="EX108" s="32"/>
    </row>
    <row r="111" spans="20:154" s="3" customFormat="1" x14ac:dyDescent="0.25">
      <c r="T111" s="33">
        <f>$D$8-$D$9</f>
        <v>10</v>
      </c>
      <c r="U111" s="33">
        <f>$D$8</f>
        <v>10</v>
      </c>
      <c r="V111" s="33">
        <f>$D$8+$D$9</f>
        <v>10</v>
      </c>
      <c r="W111" s="33">
        <f t="shared" ref="W111" si="216">$D$8-$D$9</f>
        <v>10</v>
      </c>
      <c r="X111" s="33">
        <f t="shared" ref="X111" si="217">$D$8</f>
        <v>10</v>
      </c>
      <c r="Y111" s="33">
        <f t="shared" ref="Y111" si="218">$D$8+$D$9</f>
        <v>10</v>
      </c>
      <c r="Z111" s="33">
        <f t="shared" ref="Z111" si="219">$D$8-$D$9</f>
        <v>10</v>
      </c>
      <c r="AA111" s="33">
        <f t="shared" ref="AA111" si="220">$D$8</f>
        <v>10</v>
      </c>
      <c r="AB111" s="33">
        <f t="shared" ref="AB111" si="221">$D$8+$D$9</f>
        <v>10</v>
      </c>
      <c r="AC111" s="33">
        <f>$D$8-$D$9</f>
        <v>10</v>
      </c>
      <c r="AD111" s="33">
        <f>$D$8</f>
        <v>10</v>
      </c>
      <c r="AE111" s="33">
        <f>$D$8+$D$9</f>
        <v>10</v>
      </c>
      <c r="AF111" s="33">
        <f t="shared" ref="AF111" si="222">$D$8-$D$9</f>
        <v>10</v>
      </c>
      <c r="AG111" s="33">
        <f t="shared" ref="AG111" si="223">$D$8</f>
        <v>10</v>
      </c>
      <c r="AH111" s="33">
        <f t="shared" ref="AH111" si="224">$D$8+$D$9</f>
        <v>10</v>
      </c>
      <c r="AI111" s="33">
        <f t="shared" ref="AI111" si="225">$D$8-$D$9</f>
        <v>10</v>
      </c>
      <c r="AJ111" s="33">
        <f t="shared" ref="AJ111" si="226">$D$8</f>
        <v>10</v>
      </c>
      <c r="AK111" s="33">
        <f t="shared" ref="AK111" si="227">$D$8+$D$9</f>
        <v>10</v>
      </c>
      <c r="AL111" s="33">
        <f>$D$8-$D$9</f>
        <v>10</v>
      </c>
      <c r="AM111" s="33">
        <f>$D$8</f>
        <v>10</v>
      </c>
      <c r="AN111" s="33">
        <f>$D$8+$D$9</f>
        <v>10</v>
      </c>
      <c r="AO111" s="33">
        <f t="shared" ref="AO111" si="228">$D$8-$D$9</f>
        <v>10</v>
      </c>
      <c r="AP111" s="33">
        <f t="shared" ref="AP111" si="229">$D$8</f>
        <v>10</v>
      </c>
      <c r="AQ111" s="33">
        <f t="shared" ref="AQ111" si="230">$D$8+$D$9</f>
        <v>10</v>
      </c>
      <c r="AR111" s="33">
        <f t="shared" ref="AR111" si="231">$D$8-$D$9</f>
        <v>10</v>
      </c>
      <c r="AS111" s="33">
        <f t="shared" ref="AS111" si="232">$D$8</f>
        <v>10</v>
      </c>
      <c r="AT111" s="33">
        <f t="shared" ref="AT111" si="233">$D$8+$D$9</f>
        <v>10</v>
      </c>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row>
    <row r="112" spans="20:154" s="3" customFormat="1" x14ac:dyDescent="0.25">
      <c r="T112" s="33">
        <f>$D$10*(1-$D$11)</f>
        <v>20</v>
      </c>
      <c r="U112" s="33">
        <f t="shared" ref="U112:AE112" si="234">$D$10*(1-$D$11)</f>
        <v>20</v>
      </c>
      <c r="V112" s="33">
        <f t="shared" si="234"/>
        <v>20</v>
      </c>
      <c r="W112" s="33">
        <f>$D$10</f>
        <v>20</v>
      </c>
      <c r="X112" s="33">
        <f t="shared" ref="X112:Y112" si="235">$D$10</f>
        <v>20</v>
      </c>
      <c r="Y112" s="33">
        <f t="shared" si="235"/>
        <v>20</v>
      </c>
      <c r="Z112" s="33">
        <f>$D$10*(1+$D$11)</f>
        <v>20</v>
      </c>
      <c r="AA112" s="33">
        <f t="shared" ref="AA112:AB112" si="236">$D$10*(1+$D$11)</f>
        <v>20</v>
      </c>
      <c r="AB112" s="33">
        <f t="shared" si="236"/>
        <v>20</v>
      </c>
      <c r="AC112" s="33">
        <f>$D$10*(1-$D$11)</f>
        <v>20</v>
      </c>
      <c r="AD112" s="33">
        <f t="shared" si="234"/>
        <v>20</v>
      </c>
      <c r="AE112" s="33">
        <f t="shared" si="234"/>
        <v>20</v>
      </c>
      <c r="AF112" s="33">
        <f>$D$10</f>
        <v>20</v>
      </c>
      <c r="AG112" s="33">
        <f t="shared" ref="AG112:AH112" si="237">$D$10</f>
        <v>20</v>
      </c>
      <c r="AH112" s="33">
        <f t="shared" si="237"/>
        <v>20</v>
      </c>
      <c r="AI112" s="33">
        <f>$D$10*(1+$D$11)</f>
        <v>20</v>
      </c>
      <c r="AJ112" s="33">
        <f t="shared" ref="AJ112:AK112" si="238">$D$10*(1+$D$11)</f>
        <v>20</v>
      </c>
      <c r="AK112" s="33">
        <f t="shared" si="238"/>
        <v>20</v>
      </c>
      <c r="AL112" s="33">
        <f>$D$10*(1-$D$11)</f>
        <v>20</v>
      </c>
      <c r="AM112" s="33">
        <f t="shared" ref="AM112:AN112" si="239">$D$10*(1-$D$11)</f>
        <v>20</v>
      </c>
      <c r="AN112" s="33">
        <f t="shared" si="239"/>
        <v>20</v>
      </c>
      <c r="AO112" s="33">
        <f>$D$10</f>
        <v>20</v>
      </c>
      <c r="AP112" s="33">
        <f t="shared" ref="AP112:AQ112" si="240">$D$10</f>
        <v>20</v>
      </c>
      <c r="AQ112" s="33">
        <f t="shared" si="240"/>
        <v>20</v>
      </c>
      <c r="AR112" s="33">
        <f>$D$10*(1+$D$11)</f>
        <v>20</v>
      </c>
      <c r="AS112" s="33">
        <f t="shared" ref="AS112:AT112" si="241">$D$10*(1+$D$11)</f>
        <v>20</v>
      </c>
      <c r="AT112" s="33">
        <f t="shared" si="241"/>
        <v>20</v>
      </c>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row>
    <row r="113" spans="20:154" s="3" customFormat="1" x14ac:dyDescent="0.25">
      <c r="T113" s="34">
        <f>$D$12-$D$13</f>
        <v>80</v>
      </c>
      <c r="U113" s="34">
        <f t="shared" ref="U113:AB113" si="242">$D$12-$D$13</f>
        <v>80</v>
      </c>
      <c r="V113" s="34">
        <f t="shared" si="242"/>
        <v>80</v>
      </c>
      <c r="W113" s="34">
        <f t="shared" si="242"/>
        <v>80</v>
      </c>
      <c r="X113" s="34">
        <f t="shared" si="242"/>
        <v>80</v>
      </c>
      <c r="Y113" s="34">
        <f t="shared" si="242"/>
        <v>80</v>
      </c>
      <c r="Z113" s="34">
        <f t="shared" si="242"/>
        <v>80</v>
      </c>
      <c r="AA113" s="34">
        <f t="shared" si="242"/>
        <v>80</v>
      </c>
      <c r="AB113" s="34">
        <f t="shared" si="242"/>
        <v>80</v>
      </c>
      <c r="AC113" s="34">
        <f>$D$12</f>
        <v>80</v>
      </c>
      <c r="AD113" s="34">
        <f t="shared" ref="AD113:AK113" si="243">$D$12</f>
        <v>80</v>
      </c>
      <c r="AE113" s="34">
        <f t="shared" si="243"/>
        <v>80</v>
      </c>
      <c r="AF113" s="34">
        <f t="shared" si="243"/>
        <v>80</v>
      </c>
      <c r="AG113" s="34">
        <f t="shared" si="243"/>
        <v>80</v>
      </c>
      <c r="AH113" s="34">
        <f t="shared" si="243"/>
        <v>80</v>
      </c>
      <c r="AI113" s="34">
        <f t="shared" si="243"/>
        <v>80</v>
      </c>
      <c r="AJ113" s="34">
        <f t="shared" si="243"/>
        <v>80</v>
      </c>
      <c r="AK113" s="34">
        <f t="shared" si="243"/>
        <v>80</v>
      </c>
      <c r="AL113" s="34">
        <f>$D$12+$D$13</f>
        <v>80</v>
      </c>
      <c r="AM113" s="34">
        <f t="shared" ref="AM113:AT113" si="244">$D$12+$D$13</f>
        <v>80</v>
      </c>
      <c r="AN113" s="34">
        <f t="shared" si="244"/>
        <v>80</v>
      </c>
      <c r="AO113" s="34">
        <f t="shared" si="244"/>
        <v>80</v>
      </c>
      <c r="AP113" s="34">
        <f t="shared" si="244"/>
        <v>80</v>
      </c>
      <c r="AQ113" s="34">
        <f t="shared" si="244"/>
        <v>80</v>
      </c>
      <c r="AR113" s="34">
        <f t="shared" si="244"/>
        <v>80</v>
      </c>
      <c r="AS113" s="34">
        <f t="shared" si="244"/>
        <v>80</v>
      </c>
      <c r="AT113" s="34">
        <f t="shared" si="244"/>
        <v>80</v>
      </c>
      <c r="AU113" s="32"/>
      <c r="AV113" s="32"/>
      <c r="AW113" s="32"/>
      <c r="AX113" s="32"/>
      <c r="AY113" s="32"/>
      <c r="AZ113" s="32"/>
      <c r="BA113" s="32"/>
      <c r="BB113" s="32"/>
      <c r="BC113" s="32"/>
      <c r="BD113" s="32"/>
      <c r="BE113" s="32"/>
      <c r="BF113" s="32"/>
      <c r="BG113" s="32"/>
      <c r="BH113" s="32"/>
      <c r="BI113" s="32"/>
      <c r="BJ113" s="32"/>
      <c r="BK113" s="32"/>
      <c r="BL113" s="32"/>
      <c r="BM113" s="32"/>
      <c r="BN113" s="32"/>
      <c r="BO113" s="32"/>
      <c r="BP113" s="32"/>
      <c r="BQ113" s="32"/>
      <c r="BR113" s="32"/>
      <c r="BS113" s="32"/>
      <c r="BT113" s="32"/>
      <c r="BU113" s="32"/>
      <c r="BV113" s="32"/>
      <c r="BW113" s="32"/>
      <c r="BX113" s="32"/>
      <c r="BY113" s="32"/>
      <c r="BZ113" s="32"/>
      <c r="CA113" s="32"/>
      <c r="CB113" s="32"/>
      <c r="CC113" s="32"/>
      <c r="CD113" s="32"/>
      <c r="CE113" s="32"/>
      <c r="CF113" s="32"/>
      <c r="CG113" s="32"/>
      <c r="CH113" s="32"/>
      <c r="CI113" s="32"/>
      <c r="CJ113" s="32"/>
      <c r="CK113" s="32"/>
      <c r="CL113" s="32"/>
      <c r="CM113" s="32"/>
      <c r="CN113" s="32"/>
      <c r="CO113" s="32"/>
      <c r="CP113" s="32"/>
      <c r="CQ113" s="32"/>
      <c r="CR113" s="32"/>
      <c r="CS113" s="32"/>
      <c r="CT113" s="32"/>
      <c r="CU113" s="32"/>
      <c r="CV113" s="32"/>
      <c r="CW113" s="32"/>
      <c r="CX113" s="32"/>
      <c r="CY113" s="32"/>
      <c r="CZ113" s="32"/>
      <c r="DA113" s="32"/>
      <c r="DB113" s="32"/>
      <c r="DC113" s="32"/>
      <c r="DD113" s="32"/>
      <c r="DE113" s="32"/>
      <c r="DF113" s="32"/>
      <c r="DG113" s="32"/>
      <c r="DH113" s="32"/>
      <c r="DI113" s="32"/>
      <c r="DJ113" s="32"/>
      <c r="DK113" s="32"/>
      <c r="DL113" s="32"/>
      <c r="DM113" s="32"/>
      <c r="DN113" s="32"/>
      <c r="DO113" s="32"/>
      <c r="DP113" s="32"/>
      <c r="DQ113" s="32"/>
      <c r="DR113" s="32"/>
      <c r="DS113" s="32"/>
      <c r="DT113" s="32"/>
      <c r="DU113" s="32"/>
      <c r="DV113" s="32"/>
      <c r="DW113" s="32"/>
      <c r="DX113" s="32"/>
      <c r="DY113" s="32"/>
      <c r="DZ113" s="32"/>
      <c r="EA113" s="32"/>
      <c r="EB113" s="32"/>
      <c r="EC113" s="32"/>
      <c r="ED113" s="32"/>
      <c r="EE113" s="32"/>
      <c r="EF113" s="32"/>
      <c r="EG113" s="32"/>
      <c r="EH113" s="32"/>
      <c r="EI113" s="32"/>
      <c r="EJ113" s="32"/>
      <c r="EK113" s="32"/>
      <c r="EL113" s="32"/>
      <c r="EM113" s="32"/>
      <c r="EN113" s="32"/>
      <c r="EO113" s="32"/>
      <c r="EP113" s="32"/>
      <c r="EQ113" s="32"/>
      <c r="ER113" s="32"/>
      <c r="ES113" s="32"/>
      <c r="ET113" s="32"/>
      <c r="EU113" s="32"/>
      <c r="EV113" s="32"/>
      <c r="EW113" s="32"/>
      <c r="EX113" s="32"/>
    </row>
    <row r="114" spans="20:154" s="3" customFormat="1" x14ac:dyDescent="0.25">
      <c r="T114" s="35">
        <f>T111*TAN(RADIANS(T113))-(IF($B$4, 9.807, 32.174)*T111^2)/(2*T112^2*COS(RADIANS(T113))^2)+$D$7</f>
        <v>16.258589278414473</v>
      </c>
      <c r="U114" s="35">
        <f t="shared" ref="U114:AB114" si="245">U111*TAN(RADIANS(U113))-(IF($B$4, 9.807, 32.174)*U111^2)/(2*U112^2*COS(RADIANS(U113))^2)+$D$7</f>
        <v>16.258589278414473</v>
      </c>
      <c r="V114" s="35">
        <f t="shared" si="245"/>
        <v>16.258589278414473</v>
      </c>
      <c r="W114" s="35">
        <f t="shared" si="245"/>
        <v>16.258589278414473</v>
      </c>
      <c r="X114" s="35">
        <f t="shared" si="245"/>
        <v>16.258589278414473</v>
      </c>
      <c r="Y114" s="35">
        <f t="shared" si="245"/>
        <v>16.258589278414473</v>
      </c>
      <c r="Z114" s="35">
        <f t="shared" si="245"/>
        <v>16.258589278414473</v>
      </c>
      <c r="AA114" s="35">
        <f t="shared" si="245"/>
        <v>16.258589278414473</v>
      </c>
      <c r="AB114" s="35">
        <f t="shared" si="245"/>
        <v>16.258589278414473</v>
      </c>
      <c r="AC114" s="35">
        <f>AC111*TAN(RADIANS(AC113))-(IF($B$4, 9.807, 32.174)*AC111^2)/(2*AC112^2*COS(RADIANS(AC113))^2)+$D$7</f>
        <v>16.258589278414473</v>
      </c>
      <c r="AD114" s="35">
        <f t="shared" ref="AD114:AK114" si="246">AD111*TAN(RADIANS(AD113))-(IF($B$4, 9.807, 32.174)*AD111^2)/(2*AD112^2*COS(RADIANS(AD113))^2)+$D$7</f>
        <v>16.258589278414473</v>
      </c>
      <c r="AE114" s="35">
        <f t="shared" si="246"/>
        <v>16.258589278414473</v>
      </c>
      <c r="AF114" s="35">
        <f t="shared" si="246"/>
        <v>16.258589278414473</v>
      </c>
      <c r="AG114" s="35">
        <f t="shared" si="246"/>
        <v>16.258589278414473</v>
      </c>
      <c r="AH114" s="35">
        <f t="shared" si="246"/>
        <v>16.258589278414473</v>
      </c>
      <c r="AI114" s="35">
        <f t="shared" si="246"/>
        <v>16.258589278414473</v>
      </c>
      <c r="AJ114" s="35">
        <f t="shared" si="246"/>
        <v>16.258589278414473</v>
      </c>
      <c r="AK114" s="35">
        <f t="shared" si="246"/>
        <v>16.258589278414473</v>
      </c>
      <c r="AL114" s="35">
        <f>AL111*TAN(RADIANS(AL113))-(IF($B$4, 9.807, 32.174)*AL111^2)/(2*AL112^2*COS(RADIANS(AL113))^2)+$D$7</f>
        <v>16.258589278414473</v>
      </c>
      <c r="AM114" s="35">
        <f t="shared" ref="AM114:AT114" si="247">AM111*TAN(RADIANS(AM113))-(IF($B$4, 9.807, 32.174)*AM111^2)/(2*AM112^2*COS(RADIANS(AM113))^2)+$D$7</f>
        <v>16.258589278414473</v>
      </c>
      <c r="AN114" s="35">
        <f t="shared" si="247"/>
        <v>16.258589278414473</v>
      </c>
      <c r="AO114" s="35">
        <f t="shared" si="247"/>
        <v>16.258589278414473</v>
      </c>
      <c r="AP114" s="35">
        <f t="shared" si="247"/>
        <v>16.258589278414473</v>
      </c>
      <c r="AQ114" s="35">
        <f t="shared" si="247"/>
        <v>16.258589278414473</v>
      </c>
      <c r="AR114" s="35">
        <f t="shared" si="247"/>
        <v>16.258589278414473</v>
      </c>
      <c r="AS114" s="35">
        <f t="shared" si="247"/>
        <v>16.258589278414473</v>
      </c>
      <c r="AT114" s="35">
        <f t="shared" si="247"/>
        <v>16.258589278414473</v>
      </c>
      <c r="AU114" s="32"/>
      <c r="AV114" s="32"/>
      <c r="AW114" s="32"/>
      <c r="AX114" s="32"/>
      <c r="AY114" s="32"/>
      <c r="AZ114" s="32"/>
      <c r="BA114" s="32"/>
      <c r="BB114" s="32"/>
      <c r="BC114" s="32"/>
      <c r="BD114" s="32"/>
      <c r="BE114" s="32"/>
      <c r="BF114" s="32"/>
      <c r="BG114" s="32"/>
      <c r="BH114" s="32"/>
      <c r="BI114" s="32"/>
      <c r="BJ114" s="32"/>
      <c r="BK114" s="32"/>
      <c r="BL114" s="32"/>
      <c r="BM114" s="32"/>
      <c r="BN114" s="32"/>
      <c r="BO114" s="32"/>
      <c r="BP114" s="32"/>
      <c r="BQ114" s="32"/>
      <c r="BR114" s="32"/>
      <c r="BS114" s="32"/>
      <c r="BT114" s="32"/>
      <c r="BU114" s="32"/>
      <c r="BV114" s="32"/>
      <c r="BW114" s="32"/>
      <c r="BX114" s="32"/>
      <c r="BY114" s="32"/>
      <c r="BZ114" s="32"/>
      <c r="CA114" s="32"/>
      <c r="CB114" s="32"/>
      <c r="CC114" s="32"/>
      <c r="CD114" s="32"/>
      <c r="CE114" s="32"/>
      <c r="CF114" s="32"/>
      <c r="CG114" s="32"/>
      <c r="CH114" s="32"/>
      <c r="CI114" s="32"/>
      <c r="CJ114" s="32"/>
      <c r="CK114" s="32"/>
      <c r="CL114" s="32"/>
      <c r="CM114" s="32"/>
      <c r="CN114" s="32"/>
      <c r="CO114" s="32"/>
      <c r="CP114" s="32"/>
      <c r="CQ114" s="32"/>
      <c r="CR114" s="32"/>
      <c r="CS114" s="32"/>
      <c r="CT114" s="32"/>
      <c r="CU114" s="32"/>
      <c r="CV114" s="32"/>
      <c r="CW114" s="32"/>
      <c r="CX114" s="32"/>
      <c r="CY114" s="32"/>
      <c r="CZ114" s="32"/>
      <c r="DA114" s="32"/>
      <c r="DB114" s="32"/>
      <c r="DC114" s="32"/>
      <c r="DD114" s="32"/>
      <c r="DE114" s="32"/>
      <c r="DF114" s="32"/>
      <c r="DG114" s="32"/>
      <c r="DH114" s="32"/>
      <c r="DI114" s="32"/>
      <c r="DJ114" s="32"/>
      <c r="DK114" s="32"/>
      <c r="DL114" s="32"/>
      <c r="DM114" s="32"/>
      <c r="DN114" s="32"/>
      <c r="DO114" s="32"/>
      <c r="DP114" s="32"/>
      <c r="DQ114" s="32"/>
      <c r="DR114" s="32"/>
      <c r="DS114" s="32"/>
      <c r="DT114" s="32"/>
      <c r="DU114" s="32"/>
      <c r="DV114" s="32"/>
      <c r="DW114" s="32"/>
      <c r="DX114" s="32"/>
      <c r="DY114" s="32"/>
      <c r="DZ114" s="32"/>
      <c r="EA114" s="32"/>
      <c r="EB114" s="32"/>
      <c r="EC114" s="32"/>
      <c r="ED114" s="32"/>
      <c r="EE114" s="32"/>
      <c r="EF114" s="32"/>
      <c r="EG114" s="32"/>
      <c r="EH114" s="32"/>
      <c r="EI114" s="32"/>
      <c r="EJ114" s="32"/>
      <c r="EK114" s="32"/>
      <c r="EL114" s="32"/>
      <c r="EM114" s="32"/>
      <c r="EN114" s="32"/>
      <c r="EO114" s="32"/>
      <c r="EP114" s="32"/>
      <c r="EQ114" s="32"/>
      <c r="ER114" s="32"/>
      <c r="ES114" s="32"/>
      <c r="ET114" s="32"/>
      <c r="EU114" s="32"/>
      <c r="EV114" s="32"/>
      <c r="EW114" s="32"/>
      <c r="EX114" s="32"/>
    </row>
    <row r="115" spans="20:154" s="3" customFormat="1" x14ac:dyDescent="0.25">
      <c r="T115" s="34">
        <f>DEGREES(ATAN(2*(T114-$D$7)/T111-TAN(RADIANS(T113))))</f>
        <v>-67.874514601509873</v>
      </c>
      <c r="U115" s="34">
        <f t="shared" ref="U115:AB115" si="248">DEGREES(ATAN(2*(U114-$D$7)/U111-TAN(RADIANS(U113))))</f>
        <v>-67.874514601509873</v>
      </c>
      <c r="V115" s="34">
        <f t="shared" si="248"/>
        <v>-67.874514601509873</v>
      </c>
      <c r="W115" s="34">
        <f t="shared" si="248"/>
        <v>-67.874514601509873</v>
      </c>
      <c r="X115" s="34">
        <f t="shared" si="248"/>
        <v>-67.874514601509873</v>
      </c>
      <c r="Y115" s="34">
        <f t="shared" si="248"/>
        <v>-67.874514601509873</v>
      </c>
      <c r="Z115" s="34">
        <f t="shared" si="248"/>
        <v>-67.874514601509873</v>
      </c>
      <c r="AA115" s="34">
        <f t="shared" si="248"/>
        <v>-67.874514601509873</v>
      </c>
      <c r="AB115" s="34">
        <f t="shared" si="248"/>
        <v>-67.874514601509873</v>
      </c>
      <c r="AC115" s="34">
        <f>DEGREES(ATAN(2*(AC114-$D$7)/AC111-TAN(RADIANS(AC113))))</f>
        <v>-67.874514601509873</v>
      </c>
      <c r="AD115" s="34">
        <f t="shared" ref="AD115:AK115" si="249">DEGREES(ATAN(2*(AD114-$D$7)/AD111-TAN(RADIANS(AD113))))</f>
        <v>-67.874514601509873</v>
      </c>
      <c r="AE115" s="34">
        <f t="shared" si="249"/>
        <v>-67.874514601509873</v>
      </c>
      <c r="AF115" s="34">
        <f t="shared" si="249"/>
        <v>-67.874514601509873</v>
      </c>
      <c r="AG115" s="34">
        <f t="shared" si="249"/>
        <v>-67.874514601509873</v>
      </c>
      <c r="AH115" s="34">
        <f t="shared" si="249"/>
        <v>-67.874514601509873</v>
      </c>
      <c r="AI115" s="34">
        <f t="shared" si="249"/>
        <v>-67.874514601509873</v>
      </c>
      <c r="AJ115" s="34">
        <f t="shared" si="249"/>
        <v>-67.874514601509873</v>
      </c>
      <c r="AK115" s="34">
        <f t="shared" si="249"/>
        <v>-67.874514601509873</v>
      </c>
      <c r="AL115" s="34">
        <f>DEGREES(ATAN(2*(AL114-$D$7)/AL111-TAN(RADIANS(AL113))))</f>
        <v>-67.874514601509873</v>
      </c>
      <c r="AM115" s="34">
        <f t="shared" ref="AM115:AT115" si="250">DEGREES(ATAN(2*(AM114-$D$7)/AM111-TAN(RADIANS(AM113))))</f>
        <v>-67.874514601509873</v>
      </c>
      <c r="AN115" s="34">
        <f t="shared" si="250"/>
        <v>-67.874514601509873</v>
      </c>
      <c r="AO115" s="34">
        <f t="shared" si="250"/>
        <v>-67.874514601509873</v>
      </c>
      <c r="AP115" s="34">
        <f t="shared" si="250"/>
        <v>-67.874514601509873</v>
      </c>
      <c r="AQ115" s="34">
        <f t="shared" si="250"/>
        <v>-67.874514601509873</v>
      </c>
      <c r="AR115" s="34">
        <f t="shared" si="250"/>
        <v>-67.874514601509873</v>
      </c>
      <c r="AS115" s="34">
        <f t="shared" si="250"/>
        <v>-67.874514601509873</v>
      </c>
      <c r="AT115" s="34">
        <f t="shared" si="250"/>
        <v>-67.874514601509873</v>
      </c>
      <c r="AU115" s="32"/>
      <c r="AV115" s="32"/>
      <c r="AW115" s="32"/>
      <c r="AX115" s="32"/>
      <c r="AY115" s="32"/>
      <c r="AZ115" s="32"/>
      <c r="BA115" s="32"/>
      <c r="BB115" s="32"/>
      <c r="BC115" s="32"/>
      <c r="BD115" s="32"/>
      <c r="BE115" s="32"/>
      <c r="BF115" s="32"/>
      <c r="BG115" s="32"/>
      <c r="BH115" s="32"/>
      <c r="BI115" s="32"/>
      <c r="BJ115" s="32"/>
      <c r="BK115" s="32"/>
      <c r="BL115" s="32"/>
      <c r="BM115" s="32"/>
      <c r="BN115" s="32"/>
      <c r="BO115" s="32"/>
      <c r="BP115" s="32"/>
      <c r="BQ115" s="32"/>
      <c r="BR115" s="32"/>
      <c r="BS115" s="32"/>
      <c r="BT115" s="32"/>
      <c r="BU115" s="32"/>
      <c r="BV115" s="32"/>
      <c r="BW115" s="32"/>
      <c r="BX115" s="32"/>
      <c r="BY115" s="32"/>
      <c r="BZ115" s="32"/>
      <c r="CA115" s="32"/>
      <c r="CB115" s="32"/>
      <c r="CC115" s="32"/>
      <c r="CD115" s="32"/>
      <c r="CE115" s="32"/>
      <c r="CF115" s="32"/>
      <c r="CG115" s="32"/>
      <c r="CH115" s="32"/>
      <c r="CI115" s="32"/>
      <c r="CJ115" s="32"/>
      <c r="CK115" s="32"/>
      <c r="CL115" s="32"/>
      <c r="CM115" s="32"/>
      <c r="CN115" s="32"/>
      <c r="CO115" s="32"/>
      <c r="CP115" s="32"/>
      <c r="CQ115" s="32"/>
      <c r="CR115" s="32"/>
      <c r="CS115" s="32"/>
      <c r="CT115" s="32"/>
      <c r="CU115" s="32"/>
      <c r="CV115" s="32"/>
      <c r="CW115" s="32"/>
      <c r="CX115" s="32"/>
      <c r="CY115" s="32"/>
      <c r="CZ115" s="32"/>
      <c r="DA115" s="32"/>
      <c r="DB115" s="32"/>
      <c r="DC115" s="32"/>
      <c r="DD115" s="32"/>
      <c r="DE115" s="32"/>
      <c r="DF115" s="32"/>
      <c r="DG115" s="32"/>
      <c r="DH115" s="32"/>
      <c r="DI115" s="32"/>
      <c r="DJ115" s="32"/>
      <c r="DK115" s="32"/>
      <c r="DL115" s="32"/>
      <c r="DM115" s="32"/>
      <c r="DN115" s="32"/>
      <c r="DO115" s="32"/>
      <c r="DP115" s="32"/>
      <c r="DQ115" s="32"/>
      <c r="DR115" s="32"/>
      <c r="DS115" s="32"/>
      <c r="DT115" s="32"/>
      <c r="DU115" s="32"/>
      <c r="DV115" s="32"/>
      <c r="DW115" s="32"/>
      <c r="DX115" s="32"/>
      <c r="DY115" s="32"/>
      <c r="DZ115" s="32"/>
      <c r="EA115" s="32"/>
      <c r="EB115" s="32"/>
      <c r="EC115" s="32"/>
      <c r="ED115" s="32"/>
      <c r="EE115" s="32"/>
      <c r="EF115" s="32"/>
      <c r="EG115" s="32"/>
      <c r="EH115" s="32"/>
      <c r="EI115" s="32"/>
      <c r="EJ115" s="32"/>
      <c r="EK115" s="32"/>
      <c r="EL115" s="32"/>
      <c r="EM115" s="32"/>
      <c r="EN115" s="32"/>
      <c r="EO115" s="32"/>
      <c r="EP115" s="32"/>
      <c r="EQ115" s="32"/>
      <c r="ER115" s="32"/>
      <c r="ES115" s="32"/>
      <c r="ET115" s="32"/>
      <c r="EU115" s="32"/>
      <c r="EV115" s="32"/>
      <c r="EW115" s="32"/>
      <c r="EX115" s="32"/>
    </row>
    <row r="117" spans="20:154" s="3" customFormat="1" x14ac:dyDescent="0.25">
      <c r="T117" s="33">
        <f>$G$8-$G$9</f>
        <v>1.9999999999999998</v>
      </c>
      <c r="U117" s="33">
        <f>$G$8</f>
        <v>1.9999999999999998</v>
      </c>
      <c r="V117" s="33">
        <f>$G$8+$G$9</f>
        <v>1.9999999999999998</v>
      </c>
      <c r="W117" s="33">
        <f>$G$8-$G$9</f>
        <v>1.9999999999999998</v>
      </c>
      <c r="X117" s="33">
        <f t="shared" ref="X117" si="251">$G$8</f>
        <v>1.9999999999999998</v>
      </c>
      <c r="Y117" s="33">
        <f>$G$8+$G$9</f>
        <v>1.9999999999999998</v>
      </c>
      <c r="Z117" s="33">
        <f>$G$8-$G$9</f>
        <v>1.9999999999999998</v>
      </c>
      <c r="AA117" s="33">
        <f t="shared" ref="AA117" si="252">$G$8</f>
        <v>1.9999999999999998</v>
      </c>
      <c r="AB117" s="33">
        <f>$G$8+$G$9</f>
        <v>1.9999999999999998</v>
      </c>
      <c r="AC117" s="33">
        <f>$G$8-$G$9</f>
        <v>1.9999999999999998</v>
      </c>
      <c r="AD117" s="33">
        <f>$G$8</f>
        <v>1.9999999999999998</v>
      </c>
      <c r="AE117" s="33">
        <f>$G$8+$G$9</f>
        <v>1.9999999999999998</v>
      </c>
      <c r="AF117" s="33">
        <f>$G$8-$G$9</f>
        <v>1.9999999999999998</v>
      </c>
      <c r="AG117" s="33">
        <f t="shared" ref="AG117" si="253">$G$8</f>
        <v>1.9999999999999998</v>
      </c>
      <c r="AH117" s="33">
        <f>$G$8+$G$9</f>
        <v>1.9999999999999998</v>
      </c>
      <c r="AI117" s="33">
        <f>$G$8-$G$9</f>
        <v>1.9999999999999998</v>
      </c>
      <c r="AJ117" s="33">
        <f t="shared" ref="AJ117" si="254">$G$8</f>
        <v>1.9999999999999998</v>
      </c>
      <c r="AK117" s="33">
        <f>$G$8+$G$9</f>
        <v>1.9999999999999998</v>
      </c>
      <c r="AL117" s="33">
        <f>$G$8-$G$9</f>
        <v>1.9999999999999998</v>
      </c>
      <c r="AM117" s="33">
        <f>$G$8</f>
        <v>1.9999999999999998</v>
      </c>
      <c r="AN117" s="33">
        <f>$G$8+$G$9</f>
        <v>1.9999999999999998</v>
      </c>
      <c r="AO117" s="33">
        <f>$G$8-$G$9</f>
        <v>1.9999999999999998</v>
      </c>
      <c r="AP117" s="33">
        <f t="shared" ref="AP117" si="255">$G$8</f>
        <v>1.9999999999999998</v>
      </c>
      <c r="AQ117" s="33">
        <f>$G$8+$G$9</f>
        <v>1.9999999999999998</v>
      </c>
      <c r="AR117" s="33">
        <f>$G$8-$G$9</f>
        <v>1.9999999999999998</v>
      </c>
      <c r="AS117" s="33">
        <f t="shared" ref="AS117" si="256">$G$8</f>
        <v>1.9999999999999998</v>
      </c>
      <c r="AT117" s="33">
        <f>$G$8+$G$9</f>
        <v>1.9999999999999998</v>
      </c>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row>
    <row r="118" spans="20:154" s="3" customFormat="1" x14ac:dyDescent="0.25">
      <c r="T118" s="33">
        <f>$G$10-$G$11</f>
        <v>2.5</v>
      </c>
      <c r="U118" s="33">
        <f t="shared" ref="U118:AE118" si="257">$G$10-$G$11</f>
        <v>2.5</v>
      </c>
      <c r="V118" s="33">
        <f t="shared" si="257"/>
        <v>2.5</v>
      </c>
      <c r="W118" s="33">
        <f>$G$10</f>
        <v>2.5</v>
      </c>
      <c r="X118" s="33">
        <f t="shared" ref="X118:Y118" si="258">$G$10</f>
        <v>2.5</v>
      </c>
      <c r="Y118" s="33">
        <f t="shared" si="258"/>
        <v>2.5</v>
      </c>
      <c r="Z118" s="33">
        <f>$G$10+$G$11</f>
        <v>2.5</v>
      </c>
      <c r="AA118" s="33">
        <f t="shared" ref="AA118:AB118" si="259">$G$10+$G$11</f>
        <v>2.5</v>
      </c>
      <c r="AB118" s="33">
        <f t="shared" si="259"/>
        <v>2.5</v>
      </c>
      <c r="AC118" s="33">
        <f>$G$10-$G$11</f>
        <v>2.5</v>
      </c>
      <c r="AD118" s="33">
        <f t="shared" si="257"/>
        <v>2.5</v>
      </c>
      <c r="AE118" s="33">
        <f t="shared" si="257"/>
        <v>2.5</v>
      </c>
      <c r="AF118" s="33">
        <f>$G$10</f>
        <v>2.5</v>
      </c>
      <c r="AG118" s="33">
        <f t="shared" ref="AG118:AH118" si="260">$G$10</f>
        <v>2.5</v>
      </c>
      <c r="AH118" s="33">
        <f t="shared" si="260"/>
        <v>2.5</v>
      </c>
      <c r="AI118" s="33">
        <f>$G$10+$G$11</f>
        <v>2.5</v>
      </c>
      <c r="AJ118" s="33">
        <f t="shared" ref="AJ118:AK118" si="261">$G$10+$G$11</f>
        <v>2.5</v>
      </c>
      <c r="AK118" s="33">
        <f t="shared" si="261"/>
        <v>2.5</v>
      </c>
      <c r="AL118" s="33">
        <f>$G$10-$G$11</f>
        <v>2.5</v>
      </c>
      <c r="AM118" s="33">
        <f t="shared" ref="AM118:AN118" si="262">$G$10-$G$11</f>
        <v>2.5</v>
      </c>
      <c r="AN118" s="33">
        <f t="shared" si="262"/>
        <v>2.5</v>
      </c>
      <c r="AO118" s="33">
        <f>$G$10</f>
        <v>2.5</v>
      </c>
      <c r="AP118" s="33">
        <f t="shared" ref="AP118:AQ118" si="263">$G$10</f>
        <v>2.5</v>
      </c>
      <c r="AQ118" s="33">
        <f t="shared" si="263"/>
        <v>2.5</v>
      </c>
      <c r="AR118" s="33">
        <f>$G$10+$G$11</f>
        <v>2.5</v>
      </c>
      <c r="AS118" s="33">
        <f t="shared" ref="AS118:AT118" si="264">$G$10+$G$11</f>
        <v>2.5</v>
      </c>
      <c r="AT118" s="33">
        <f t="shared" si="264"/>
        <v>2.5</v>
      </c>
      <c r="AU118" s="32"/>
      <c r="AV118" s="32"/>
      <c r="AW118" s="32"/>
      <c r="AX118" s="32"/>
      <c r="AY118" s="32"/>
      <c r="AZ118" s="32"/>
      <c r="BA118" s="32"/>
      <c r="BB118" s="32"/>
      <c r="BC118" s="32"/>
      <c r="BD118" s="32"/>
      <c r="BE118" s="32"/>
      <c r="BF118" s="32"/>
      <c r="BG118" s="32"/>
      <c r="BH118" s="32"/>
      <c r="BI118" s="32"/>
      <c r="BJ118" s="32"/>
      <c r="BK118" s="32"/>
      <c r="BL118" s="32"/>
      <c r="BM118" s="32"/>
      <c r="BN118" s="32"/>
      <c r="BO118" s="32"/>
      <c r="BP118" s="32"/>
      <c r="BQ118" s="32"/>
      <c r="BR118" s="32"/>
      <c r="BS118" s="32"/>
      <c r="BT118" s="32"/>
      <c r="BU118" s="32"/>
      <c r="BV118" s="32"/>
      <c r="BW118" s="32"/>
      <c r="BX118" s="32"/>
      <c r="BY118" s="32"/>
      <c r="BZ118" s="32"/>
      <c r="CA118" s="32"/>
      <c r="CB118" s="32"/>
      <c r="CC118" s="32"/>
      <c r="CD118" s="32"/>
      <c r="CE118" s="32"/>
      <c r="CF118" s="32"/>
      <c r="CG118" s="32"/>
      <c r="CH118" s="32"/>
      <c r="CI118" s="32"/>
      <c r="CJ118" s="32"/>
      <c r="CK118" s="32"/>
      <c r="CL118" s="32"/>
      <c r="CM118" s="32"/>
      <c r="CN118" s="32"/>
      <c r="CO118" s="32"/>
      <c r="CP118" s="32"/>
      <c r="CQ118" s="32"/>
      <c r="CR118" s="32"/>
      <c r="CS118" s="32"/>
      <c r="CT118" s="32"/>
      <c r="CU118" s="32"/>
      <c r="CV118" s="32"/>
      <c r="CW118" s="32"/>
      <c r="CX118" s="32"/>
      <c r="CY118" s="32"/>
      <c r="CZ118" s="32"/>
      <c r="DA118" s="32"/>
      <c r="DB118" s="32"/>
      <c r="DC118" s="32"/>
      <c r="DD118" s="32"/>
      <c r="DE118" s="32"/>
      <c r="DF118" s="32"/>
      <c r="DG118" s="32"/>
      <c r="DH118" s="32"/>
      <c r="DI118" s="32"/>
      <c r="DJ118" s="32"/>
      <c r="DK118" s="32"/>
      <c r="DL118" s="32"/>
      <c r="DM118" s="32"/>
      <c r="DN118" s="32"/>
      <c r="DO118" s="32"/>
      <c r="DP118" s="32"/>
      <c r="DQ118" s="32"/>
      <c r="DR118" s="32"/>
      <c r="DS118" s="32"/>
      <c r="DT118" s="32"/>
      <c r="DU118" s="32"/>
      <c r="DV118" s="32"/>
      <c r="DW118" s="32"/>
      <c r="DX118" s="32"/>
      <c r="DY118" s="32"/>
      <c r="DZ118" s="32"/>
      <c r="EA118" s="32"/>
      <c r="EB118" s="32"/>
      <c r="EC118" s="32"/>
      <c r="ED118" s="32"/>
      <c r="EE118" s="32"/>
      <c r="EF118" s="32"/>
      <c r="EG118" s="32"/>
      <c r="EH118" s="32"/>
      <c r="EI118" s="32"/>
      <c r="EJ118" s="32"/>
      <c r="EK118" s="32"/>
      <c r="EL118" s="32"/>
      <c r="EM118" s="32"/>
      <c r="EN118" s="32"/>
      <c r="EO118" s="32"/>
      <c r="EP118" s="32"/>
      <c r="EQ118" s="32"/>
      <c r="ER118" s="32"/>
      <c r="ES118" s="32"/>
      <c r="ET118" s="32"/>
      <c r="EU118" s="32"/>
      <c r="EV118" s="32"/>
      <c r="EW118" s="32"/>
      <c r="EX118" s="32"/>
    </row>
    <row r="119" spans="20:154" s="3" customFormat="1" x14ac:dyDescent="0.25">
      <c r="T119" s="33">
        <f>$G$12-$G$13</f>
        <v>-80</v>
      </c>
      <c r="U119" s="33">
        <f t="shared" ref="U119:AB119" si="265">$G$12-$G$13</f>
        <v>-80</v>
      </c>
      <c r="V119" s="33">
        <f t="shared" si="265"/>
        <v>-80</v>
      </c>
      <c r="W119" s="33">
        <f t="shared" si="265"/>
        <v>-80</v>
      </c>
      <c r="X119" s="33">
        <f t="shared" si="265"/>
        <v>-80</v>
      </c>
      <c r="Y119" s="33">
        <f t="shared" si="265"/>
        <v>-80</v>
      </c>
      <c r="Z119" s="33">
        <f t="shared" si="265"/>
        <v>-80</v>
      </c>
      <c r="AA119" s="33">
        <f t="shared" si="265"/>
        <v>-80</v>
      </c>
      <c r="AB119" s="33">
        <f t="shared" si="265"/>
        <v>-80</v>
      </c>
      <c r="AC119" s="33">
        <f>$G$12</f>
        <v>-80</v>
      </c>
      <c r="AD119" s="33">
        <f t="shared" ref="AD119:AK119" si="266">$G$12</f>
        <v>-80</v>
      </c>
      <c r="AE119" s="33">
        <f t="shared" si="266"/>
        <v>-80</v>
      </c>
      <c r="AF119" s="33">
        <f t="shared" si="266"/>
        <v>-80</v>
      </c>
      <c r="AG119" s="33">
        <f t="shared" si="266"/>
        <v>-80</v>
      </c>
      <c r="AH119" s="33">
        <f t="shared" si="266"/>
        <v>-80</v>
      </c>
      <c r="AI119" s="33">
        <f t="shared" si="266"/>
        <v>-80</v>
      </c>
      <c r="AJ119" s="33">
        <f t="shared" si="266"/>
        <v>-80</v>
      </c>
      <c r="AK119" s="33">
        <f t="shared" si="266"/>
        <v>-80</v>
      </c>
      <c r="AL119" s="33">
        <f>$G$12+$G$13</f>
        <v>-80</v>
      </c>
      <c r="AM119" s="33">
        <f t="shared" ref="AM119:AT119" si="267">$G$12+$G$13</f>
        <v>-80</v>
      </c>
      <c r="AN119" s="33">
        <f t="shared" si="267"/>
        <v>-80</v>
      </c>
      <c r="AO119" s="33">
        <f t="shared" si="267"/>
        <v>-80</v>
      </c>
      <c r="AP119" s="33">
        <f t="shared" si="267"/>
        <v>-80</v>
      </c>
      <c r="AQ119" s="33">
        <f t="shared" si="267"/>
        <v>-80</v>
      </c>
      <c r="AR119" s="33">
        <f t="shared" si="267"/>
        <v>-80</v>
      </c>
      <c r="AS119" s="33">
        <f t="shared" si="267"/>
        <v>-80</v>
      </c>
      <c r="AT119" s="33">
        <f t="shared" si="267"/>
        <v>-80</v>
      </c>
      <c r="AU119" s="32"/>
      <c r="AV119" s="32"/>
      <c r="AW119" s="32"/>
      <c r="AX119" s="32"/>
      <c r="AY119" s="32"/>
      <c r="AZ119" s="32"/>
      <c r="BA119" s="32"/>
      <c r="BB119" s="32"/>
      <c r="BC119" s="32"/>
      <c r="BD119" s="32"/>
      <c r="BE119" s="32"/>
      <c r="BF119" s="32"/>
      <c r="BG119" s="32"/>
      <c r="BH119" s="32"/>
      <c r="BI119" s="32"/>
      <c r="BJ119" s="32"/>
      <c r="BK119" s="32"/>
      <c r="BL119" s="32"/>
      <c r="BM119" s="32"/>
      <c r="BN119" s="32"/>
      <c r="BO119" s="32"/>
      <c r="BP119" s="32"/>
      <c r="BQ119" s="32"/>
      <c r="BR119" s="32"/>
      <c r="BS119" s="32"/>
      <c r="BT119" s="32"/>
      <c r="BU119" s="32"/>
      <c r="BV119" s="32"/>
      <c r="BW119" s="32"/>
      <c r="BX119" s="32"/>
      <c r="BY119" s="32"/>
      <c r="BZ119" s="32"/>
      <c r="CA119" s="32"/>
      <c r="CB119" s="32"/>
      <c r="CC119" s="32"/>
      <c r="CD119" s="32"/>
      <c r="CE119" s="32"/>
      <c r="CF119" s="32"/>
      <c r="CG119" s="32"/>
      <c r="CH119" s="32"/>
      <c r="CI119" s="32"/>
      <c r="CJ119" s="32"/>
      <c r="CK119" s="32"/>
      <c r="CL119" s="32"/>
      <c r="CM119" s="32"/>
      <c r="CN119" s="32"/>
      <c r="CO119" s="32"/>
      <c r="CP119" s="32"/>
      <c r="CQ119" s="32"/>
      <c r="CR119" s="32"/>
      <c r="CS119" s="32"/>
      <c r="CT119" s="32"/>
      <c r="CU119" s="32"/>
      <c r="CV119" s="32"/>
      <c r="CW119" s="32"/>
      <c r="CX119" s="32"/>
      <c r="CY119" s="32"/>
      <c r="CZ119" s="32"/>
      <c r="DA119" s="32"/>
      <c r="DB119" s="32"/>
      <c r="DC119" s="32"/>
      <c r="DD119" s="32"/>
      <c r="DE119" s="32"/>
      <c r="DF119" s="32"/>
      <c r="DG119" s="32"/>
      <c r="DH119" s="32"/>
      <c r="DI119" s="32"/>
      <c r="DJ119" s="32"/>
      <c r="DK119" s="32"/>
      <c r="DL119" s="32"/>
      <c r="DM119" s="32"/>
      <c r="DN119" s="32"/>
      <c r="DO119" s="32"/>
      <c r="DP119" s="32"/>
      <c r="DQ119" s="32"/>
      <c r="DR119" s="32"/>
      <c r="DS119" s="32"/>
      <c r="DT119" s="32"/>
      <c r="DU119" s="32"/>
      <c r="DV119" s="32"/>
      <c r="DW119" s="32"/>
      <c r="DX119" s="32"/>
      <c r="DY119" s="32"/>
      <c r="DZ119" s="32"/>
      <c r="EA119" s="32"/>
      <c r="EB119" s="32"/>
      <c r="EC119" s="32"/>
      <c r="ED119" s="32"/>
      <c r="EE119" s="32"/>
      <c r="EF119" s="32"/>
      <c r="EG119" s="32"/>
      <c r="EH119" s="32"/>
      <c r="EI119" s="32"/>
      <c r="EJ119" s="32"/>
      <c r="EK119" s="32"/>
      <c r="EL119" s="32"/>
      <c r="EM119" s="32"/>
      <c r="EN119" s="32"/>
      <c r="EO119" s="32"/>
      <c r="EP119" s="32"/>
      <c r="EQ119" s="32"/>
      <c r="ER119" s="32"/>
      <c r="ES119" s="32"/>
      <c r="ET119" s="32"/>
      <c r="EU119" s="32"/>
      <c r="EV119" s="32"/>
      <c r="EW119" s="32"/>
      <c r="EX119" s="32"/>
    </row>
    <row r="120" spans="20:154" s="3" customFormat="1" x14ac:dyDescent="0.25">
      <c r="T120" s="33">
        <f>SQRT((IF($B$4, 9.807, 32.174)*T117)/(ABS(TAN(RADIANS(T121))-TAN(RADIANS(T119)))))/COS(RADIANS(T121))</f>
        <v>9.5489346835634272</v>
      </c>
      <c r="U120" s="33">
        <f t="shared" ref="U120:AB120" si="268">SQRT((IF($B$4, 9.807, 32.174)*U117)/(ABS(TAN(RADIANS(U121))-TAN(RADIANS(U119)))))/COS(RADIANS(U121))</f>
        <v>9.5489346835634272</v>
      </c>
      <c r="V120" s="33">
        <f t="shared" si="268"/>
        <v>9.5489346835634272</v>
      </c>
      <c r="W120" s="33">
        <f t="shared" si="268"/>
        <v>9.5489346835634272</v>
      </c>
      <c r="X120" s="33">
        <f t="shared" si="268"/>
        <v>9.5489346835634272</v>
      </c>
      <c r="Y120" s="33">
        <f t="shared" si="268"/>
        <v>9.5489346835634272</v>
      </c>
      <c r="Z120" s="33">
        <f t="shared" si="268"/>
        <v>9.5489346835634272</v>
      </c>
      <c r="AA120" s="33">
        <f t="shared" si="268"/>
        <v>9.5489346835634272</v>
      </c>
      <c r="AB120" s="33">
        <f t="shared" si="268"/>
        <v>9.5489346835634272</v>
      </c>
      <c r="AC120" s="33">
        <f>SQRT((IF($B$4, 9.807, 32.174)*AC117)/(ABS(TAN(RADIANS(AC121))-TAN(RADIANS(AC119)))))/COS(RADIANS(AC121))</f>
        <v>9.5489346835634272</v>
      </c>
      <c r="AD120" s="33">
        <f t="shared" ref="AD120:AK120" si="269">SQRT((IF($B$4, 9.807, 32.174)*AD117)/(ABS(TAN(RADIANS(AD121))-TAN(RADIANS(AD119)))))/COS(RADIANS(AD121))</f>
        <v>9.5489346835634272</v>
      </c>
      <c r="AE120" s="33">
        <f t="shared" si="269"/>
        <v>9.5489346835634272</v>
      </c>
      <c r="AF120" s="33">
        <f t="shared" si="269"/>
        <v>9.5489346835634272</v>
      </c>
      <c r="AG120" s="33">
        <f t="shared" si="269"/>
        <v>9.5489346835634272</v>
      </c>
      <c r="AH120" s="33">
        <f t="shared" si="269"/>
        <v>9.5489346835634272</v>
      </c>
      <c r="AI120" s="33">
        <f t="shared" si="269"/>
        <v>9.5489346835634272</v>
      </c>
      <c r="AJ120" s="33">
        <f t="shared" si="269"/>
        <v>9.5489346835634272</v>
      </c>
      <c r="AK120" s="33">
        <f t="shared" si="269"/>
        <v>9.5489346835634272</v>
      </c>
      <c r="AL120" s="33">
        <f>SQRT((IF($B$4, 9.807, 32.174)*AL117)/(ABS(TAN(RADIANS(AL121))-TAN(RADIANS(AL119)))))/COS(RADIANS(AL121))</f>
        <v>9.5489346835634272</v>
      </c>
      <c r="AM120" s="33">
        <f t="shared" ref="AM120:AT120" si="270">SQRT((IF($B$4, 9.807, 32.174)*AM117)/(ABS(TAN(RADIANS(AM121))-TAN(RADIANS(AM119)))))/COS(RADIANS(AM121))</f>
        <v>9.5489346835634272</v>
      </c>
      <c r="AN120" s="33">
        <f t="shared" si="270"/>
        <v>9.5489346835634272</v>
      </c>
      <c r="AO120" s="33">
        <f t="shared" si="270"/>
        <v>9.5489346835634272</v>
      </c>
      <c r="AP120" s="33">
        <f t="shared" si="270"/>
        <v>9.5489346835634272</v>
      </c>
      <c r="AQ120" s="33">
        <f t="shared" si="270"/>
        <v>9.5489346835634272</v>
      </c>
      <c r="AR120" s="33">
        <f t="shared" si="270"/>
        <v>9.5489346835634272</v>
      </c>
      <c r="AS120" s="33">
        <f t="shared" si="270"/>
        <v>9.5489346835634272</v>
      </c>
      <c r="AT120" s="33">
        <f t="shared" si="270"/>
        <v>9.5489346835634272</v>
      </c>
      <c r="AU120" s="32"/>
      <c r="AV120" s="32"/>
      <c r="AW120" s="32"/>
      <c r="AX120" s="32"/>
      <c r="AY120" s="32"/>
      <c r="AZ120" s="32"/>
      <c r="BA120" s="32"/>
      <c r="BB120" s="32"/>
      <c r="BC120" s="32"/>
      <c r="BD120" s="32"/>
      <c r="BE120" s="32"/>
      <c r="BF120" s="32"/>
      <c r="BG120" s="32"/>
      <c r="BH120" s="32"/>
      <c r="BI120" s="32"/>
      <c r="BJ120" s="32"/>
      <c r="BK120" s="32"/>
      <c r="BL120" s="32"/>
      <c r="BM120" s="32"/>
      <c r="BN120" s="32"/>
      <c r="BO120" s="32"/>
      <c r="BP120" s="32"/>
      <c r="BQ120" s="32"/>
      <c r="BR120" s="32"/>
      <c r="BS120" s="32"/>
      <c r="BT120" s="32"/>
      <c r="BU120" s="32"/>
      <c r="BV120" s="32"/>
      <c r="BW120" s="32"/>
      <c r="BX120" s="32"/>
      <c r="BY120" s="32"/>
      <c r="BZ120" s="32"/>
      <c r="CA120" s="32"/>
      <c r="CB120" s="32"/>
      <c r="CC120" s="32"/>
      <c r="CD120" s="32"/>
      <c r="CE120" s="32"/>
      <c r="CF120" s="32"/>
      <c r="CG120" s="32"/>
      <c r="CH120" s="32"/>
      <c r="CI120" s="32"/>
      <c r="CJ120" s="32"/>
      <c r="CK120" s="32"/>
      <c r="CL120" s="32"/>
      <c r="CM120" s="32"/>
      <c r="CN120" s="32"/>
      <c r="CO120" s="32"/>
      <c r="CP120" s="32"/>
      <c r="CQ120" s="32"/>
      <c r="CR120" s="32"/>
      <c r="CS120" s="32"/>
      <c r="CT120" s="32"/>
      <c r="CU120" s="32"/>
      <c r="CV120" s="32"/>
      <c r="CW120" s="32"/>
      <c r="CX120" s="32"/>
      <c r="CY120" s="32"/>
      <c r="CZ120" s="32"/>
      <c r="DA120" s="32"/>
      <c r="DB120" s="32"/>
      <c r="DC120" s="32"/>
      <c r="DD120" s="32"/>
      <c r="DE120" s="32"/>
      <c r="DF120" s="32"/>
      <c r="DG120" s="32"/>
      <c r="DH120" s="32"/>
      <c r="DI120" s="32"/>
      <c r="DJ120" s="32"/>
      <c r="DK120" s="32"/>
      <c r="DL120" s="32"/>
      <c r="DM120" s="32"/>
      <c r="DN120" s="32"/>
      <c r="DO120" s="32"/>
      <c r="DP120" s="32"/>
      <c r="DQ120" s="32"/>
      <c r="DR120" s="32"/>
      <c r="DS120" s="32"/>
      <c r="DT120" s="32"/>
      <c r="DU120" s="32"/>
      <c r="DV120" s="32"/>
      <c r="DW120" s="32"/>
      <c r="DX120" s="32"/>
      <c r="DY120" s="32"/>
      <c r="DZ120" s="32"/>
      <c r="EA120" s="32"/>
      <c r="EB120" s="32"/>
      <c r="EC120" s="32"/>
      <c r="ED120" s="32"/>
      <c r="EE120" s="32"/>
      <c r="EF120" s="32"/>
      <c r="EG120" s="32"/>
      <c r="EH120" s="32"/>
      <c r="EI120" s="32"/>
      <c r="EJ120" s="32"/>
      <c r="EK120" s="32"/>
      <c r="EL120" s="32"/>
      <c r="EM120" s="32"/>
      <c r="EN120" s="32"/>
      <c r="EO120" s="32"/>
      <c r="EP120" s="32"/>
      <c r="EQ120" s="32"/>
      <c r="ER120" s="32"/>
      <c r="ES120" s="32"/>
      <c r="ET120" s="32"/>
      <c r="EU120" s="32"/>
      <c r="EV120" s="32"/>
      <c r="EW120" s="32"/>
      <c r="EX120" s="32"/>
    </row>
    <row r="121" spans="20:154" s="3" customFormat="1" x14ac:dyDescent="0.25">
      <c r="T121" s="34">
        <f>DEGREES(ATAN(2*(T118-$T$5)/T117-TAN(RADIANS(T119))))</f>
        <v>82.759695716411017</v>
      </c>
      <c r="U121" s="34">
        <f t="shared" ref="U121:AB121" si="271">DEGREES(ATAN(2*(U118-$T$5)/U117-TAN(RADIANS(U119))))</f>
        <v>82.759695716411017</v>
      </c>
      <c r="V121" s="34">
        <f t="shared" si="271"/>
        <v>82.759695716411017</v>
      </c>
      <c r="W121" s="34">
        <f t="shared" si="271"/>
        <v>82.759695716411017</v>
      </c>
      <c r="X121" s="34">
        <f t="shared" si="271"/>
        <v>82.759695716411017</v>
      </c>
      <c r="Y121" s="34">
        <f t="shared" si="271"/>
        <v>82.759695716411017</v>
      </c>
      <c r="Z121" s="34">
        <f t="shared" si="271"/>
        <v>82.759695716411017</v>
      </c>
      <c r="AA121" s="34">
        <f t="shared" si="271"/>
        <v>82.759695716411017</v>
      </c>
      <c r="AB121" s="34">
        <f t="shared" si="271"/>
        <v>82.759695716411017</v>
      </c>
      <c r="AC121" s="34">
        <f>DEGREES(ATAN(2*(AC118-$T$5)/AC117-TAN(RADIANS(AC119))))</f>
        <v>82.759695716411017</v>
      </c>
      <c r="AD121" s="34">
        <f t="shared" ref="AD121:AK121" si="272">DEGREES(ATAN(2*(AD118-$T$5)/AD117-TAN(RADIANS(AD119))))</f>
        <v>82.759695716411017</v>
      </c>
      <c r="AE121" s="34">
        <f t="shared" si="272"/>
        <v>82.759695716411017</v>
      </c>
      <c r="AF121" s="34">
        <f t="shared" si="272"/>
        <v>82.759695716411017</v>
      </c>
      <c r="AG121" s="34">
        <f t="shared" si="272"/>
        <v>82.759695716411017</v>
      </c>
      <c r="AH121" s="34">
        <f t="shared" si="272"/>
        <v>82.759695716411017</v>
      </c>
      <c r="AI121" s="34">
        <f t="shared" si="272"/>
        <v>82.759695716411017</v>
      </c>
      <c r="AJ121" s="34">
        <f t="shared" si="272"/>
        <v>82.759695716411017</v>
      </c>
      <c r="AK121" s="34">
        <f t="shared" si="272"/>
        <v>82.759695716411017</v>
      </c>
      <c r="AL121" s="34">
        <f>DEGREES(ATAN(2*(AL118-$T$5)/AL117-TAN(RADIANS(AL119))))</f>
        <v>82.759695716411017</v>
      </c>
      <c r="AM121" s="34">
        <f t="shared" ref="AM121:AT121" si="273">DEGREES(ATAN(2*(AM118-$T$5)/AM117-TAN(RADIANS(AM119))))</f>
        <v>82.759695716411017</v>
      </c>
      <c r="AN121" s="34">
        <f t="shared" si="273"/>
        <v>82.759695716411017</v>
      </c>
      <c r="AO121" s="34">
        <f t="shared" si="273"/>
        <v>82.759695716411017</v>
      </c>
      <c r="AP121" s="34">
        <f t="shared" si="273"/>
        <v>82.759695716411017</v>
      </c>
      <c r="AQ121" s="34">
        <f t="shared" si="273"/>
        <v>82.759695716411017</v>
      </c>
      <c r="AR121" s="34">
        <f t="shared" si="273"/>
        <v>82.759695716411017</v>
      </c>
      <c r="AS121" s="34">
        <f t="shared" si="273"/>
        <v>82.759695716411017</v>
      </c>
      <c r="AT121" s="34">
        <f t="shared" si="273"/>
        <v>82.759695716411017</v>
      </c>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row>
  </sheetData>
  <sheetProtection sheet="1" objects="1" scenarios="1" formatCells="0" formatColumns="0" formatRows="0"/>
  <mergeCells count="5">
    <mergeCell ref="I3:J3"/>
    <mergeCell ref="C6:D6"/>
    <mergeCell ref="F6:G6"/>
    <mergeCell ref="C22:G24"/>
    <mergeCell ref="C26:G29"/>
  </mergeCells>
  <conditionalFormatting sqref="G8">
    <cfRule type="cellIs" dxfId="29" priority="28" operator="lessThanOrEqual">
      <formula>0</formula>
    </cfRule>
  </conditionalFormatting>
  <conditionalFormatting sqref="G7">
    <cfRule type="cellIs" dxfId="28" priority="27" operator="lessThan">
      <formula>0</formula>
    </cfRule>
  </conditionalFormatting>
  <conditionalFormatting sqref="G12">
    <cfRule type="cellIs" dxfId="27" priority="25" operator="lessThanOrEqual">
      <formula>-90</formula>
    </cfRule>
    <cfRule type="cellIs" dxfId="26" priority="26" operator="greaterThanOrEqual">
      <formula>90</formula>
    </cfRule>
  </conditionalFormatting>
  <conditionalFormatting sqref="D7:D8 D10 D12 G7:G8 G10 G12">
    <cfRule type="expression" dxfId="25" priority="24">
      <formula>ISTEXT(D7)</formula>
    </cfRule>
  </conditionalFormatting>
  <conditionalFormatting sqref="I3 D7:D8 D10 D12 G7:G8 G10 G12">
    <cfRule type="containsBlanks" dxfId="24" priority="23">
      <formula>LEN(TRIM(D3))=0</formula>
    </cfRule>
  </conditionalFormatting>
  <conditionalFormatting sqref="D8 D10">
    <cfRule type="cellIs" dxfId="23" priority="22" operator="lessThanOrEqual">
      <formula>0</formula>
    </cfRule>
  </conditionalFormatting>
  <conditionalFormatting sqref="D7">
    <cfRule type="cellIs" dxfId="22" priority="21" operator="lessThan">
      <formula>0</formula>
    </cfRule>
  </conditionalFormatting>
  <conditionalFormatting sqref="D12">
    <cfRule type="cellIs" dxfId="21" priority="19" operator="lessThanOrEqual">
      <formula>-90</formula>
    </cfRule>
    <cfRule type="cellIs" dxfId="20" priority="20" operator="greaterThanOrEqual">
      <formula>90</formula>
    </cfRule>
  </conditionalFormatting>
  <conditionalFormatting sqref="D16:D17">
    <cfRule type="cellIs" dxfId="19" priority="18" operator="lessThanOrEqual">
      <formula>0</formula>
    </cfRule>
  </conditionalFormatting>
  <conditionalFormatting sqref="D9">
    <cfRule type="expression" dxfId="18" priority="17">
      <formula>ISTEXT(D9)</formula>
    </cfRule>
  </conditionalFormatting>
  <conditionalFormatting sqref="D9">
    <cfRule type="containsBlanks" dxfId="17" priority="16">
      <formula>LEN(TRIM(D9))=0</formula>
    </cfRule>
  </conditionalFormatting>
  <conditionalFormatting sqref="D9">
    <cfRule type="cellIs" dxfId="16" priority="15" operator="lessThan">
      <formula>0</formula>
    </cfRule>
  </conditionalFormatting>
  <conditionalFormatting sqref="D11">
    <cfRule type="expression" dxfId="15" priority="14">
      <formula>ISTEXT(D11)</formula>
    </cfRule>
  </conditionalFormatting>
  <conditionalFormatting sqref="D11">
    <cfRule type="containsBlanks" dxfId="14" priority="29">
      <formula>LEN(TRIM(D11))=0</formula>
    </cfRule>
  </conditionalFormatting>
  <conditionalFormatting sqref="D11">
    <cfRule type="cellIs" dxfId="13" priority="13" operator="lessThan">
      <formula>0</formula>
    </cfRule>
  </conditionalFormatting>
  <conditionalFormatting sqref="D13">
    <cfRule type="expression" dxfId="12" priority="12">
      <formula>ISTEXT(D13)</formula>
    </cfRule>
  </conditionalFormatting>
  <conditionalFormatting sqref="D13">
    <cfRule type="containsBlanks" dxfId="11" priority="11">
      <formula>LEN(TRIM(D13))=0</formula>
    </cfRule>
  </conditionalFormatting>
  <conditionalFormatting sqref="D13">
    <cfRule type="cellIs" dxfId="10" priority="10" operator="lessThan">
      <formula>0</formula>
    </cfRule>
  </conditionalFormatting>
  <conditionalFormatting sqref="G9">
    <cfRule type="expression" dxfId="9" priority="9">
      <formula>ISTEXT(G9)</formula>
    </cfRule>
  </conditionalFormatting>
  <conditionalFormatting sqref="G9">
    <cfRule type="containsBlanks" dxfId="8" priority="8">
      <formula>LEN(TRIM(G9))=0</formula>
    </cfRule>
  </conditionalFormatting>
  <conditionalFormatting sqref="G9">
    <cfRule type="cellIs" dxfId="7" priority="7" operator="lessThan">
      <formula>0</formula>
    </cfRule>
  </conditionalFormatting>
  <conditionalFormatting sqref="G11">
    <cfRule type="cellIs" dxfId="6" priority="1" operator="lessThan">
      <formula>0</formula>
    </cfRule>
    <cfRule type="expression" dxfId="5" priority="6">
      <formula>ISTEXT(G11)</formula>
    </cfRule>
  </conditionalFormatting>
  <conditionalFormatting sqref="G11">
    <cfRule type="containsBlanks" dxfId="4" priority="30">
      <formula>LEN(TRIM(G11))=0</formula>
    </cfRule>
  </conditionalFormatting>
  <conditionalFormatting sqref="G13">
    <cfRule type="expression" dxfId="3" priority="5">
      <formula>ISTEXT(G13)</formula>
    </cfRule>
  </conditionalFormatting>
  <conditionalFormatting sqref="G13">
    <cfRule type="containsBlanks" dxfId="2" priority="4">
      <formula>LEN(TRIM(G13))=0</formula>
    </cfRule>
  </conditionalFormatting>
  <conditionalFormatting sqref="G13">
    <cfRule type="cellIs" dxfId="1" priority="3" operator="lessThan">
      <formula>0</formula>
    </cfRule>
  </conditionalFormatting>
  <conditionalFormatting sqref="D19">
    <cfRule type="cellIs" dxfId="0" priority="2" operator="lessThanOrEqual">
      <formula>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ignoredErrors>
    <ignoredError sqref="F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1]!Projectile_Metric">
                <anchor moveWithCells="1">
                  <from>
                    <xdr:col>1</xdr:col>
                    <xdr:colOff>0</xdr:colOff>
                    <xdr:row>2</xdr:row>
                    <xdr:rowOff>180975</xdr:rowOff>
                  </from>
                  <to>
                    <xdr:col>1</xdr:col>
                    <xdr:colOff>209550</xdr:colOff>
                    <xdr:row>3</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´ÖÓÎÉÇØÍÐÉ</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2019-10-28T19:30:42Z</dcterms:created>
  <dcterms:modified xsi:type="dcterms:W3CDTF">2019-11-23T12:19:27Z</dcterms:modified>
</cp:coreProperties>
</file>