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bookViews>
  <sheets>
    <sheet name="´ÖÓÎÉÇØÍÐÉ" sheetId="1" r:id="rId1"/>
  </sheets>
  <externalReferences>
    <externalReference r:id="rId2"/>
  </externalReferences>
  <definedNames>
    <definedName name="ChainBelts">[1]Specs!$J$5:$J$11</definedName>
    <definedName name="ChainBeltSpecs">[1]Specs!$J$5:$N$11</definedName>
    <definedName name="Eval_Links_Teeth" localSheetId="0">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Eval_Links_Teeth">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Materials">[1]Specs!$Q$5:$Q$11</definedName>
    <definedName name="MaterialSpecs">[1]Specs!$Q$5:$S$11</definedName>
    <definedName name="Motors">[1]Specs!$B$5:$B$28</definedName>
    <definedName name="MotorSpecs">[1]Specs!$B$5:$G$28</definedName>
    <definedName name="VP_180">[1]º´¨ÅØÅ!$I$43:$N$44</definedName>
    <definedName name="VP_90">[1]º´¨ÅØÅ!$I$48:$N$49</definedName>
    <definedName name="VP_Base">[1]º´¨ÅØÅ!$I$3:$N$7</definedName>
    <definedName name="VP_DualMotor">[1]º´¨ÅØÅ!$I$32:$N$39</definedName>
    <definedName name="VP_Encoder">[1]º´¨ÅØÅ!$I$57:$N$58</definedName>
    <definedName name="VP_Load">[1]º´¨ÅØÅ!$D$2:$F$841</definedName>
    <definedName name="VP_Motor">[1]º´¨ÅØÅ!$I$11:$N$18</definedName>
    <definedName name="VP_Ratchet">[1]º´¨ÅØÅ!$I$53:$N$54</definedName>
    <definedName name="VP_Stage">[1]º´¨ÅØÅ!$I$22:$N$28</definedName>
  </definedNames>
  <calcPr calcId="145621"/>
</workbook>
</file>

<file path=xl/calcChain.xml><?xml version="1.0" encoding="utf-8"?>
<calcChain xmlns="http://schemas.openxmlformats.org/spreadsheetml/2006/main">
  <c r="AT119" i="1" l="1"/>
  <c r="AS119" i="1"/>
  <c r="AR119" i="1"/>
  <c r="AQ119" i="1"/>
  <c r="AP119" i="1"/>
  <c r="AO119" i="1"/>
  <c r="AN119" i="1"/>
  <c r="AM119" i="1"/>
  <c r="AL119" i="1"/>
  <c r="AK119" i="1"/>
  <c r="AJ119" i="1"/>
  <c r="AI119" i="1"/>
  <c r="AH119" i="1"/>
  <c r="AG119" i="1"/>
  <c r="AF119" i="1"/>
  <c r="AE119" i="1"/>
  <c r="AD119" i="1"/>
  <c r="AC119" i="1"/>
  <c r="AB119" i="1"/>
  <c r="AA119" i="1"/>
  <c r="Z119" i="1"/>
  <c r="Y119" i="1"/>
  <c r="X119" i="1"/>
  <c r="W119" i="1"/>
  <c r="V119" i="1"/>
  <c r="U119" i="1"/>
  <c r="T119" i="1"/>
  <c r="AT118" i="1"/>
  <c r="AS118" i="1"/>
  <c r="AR118" i="1"/>
  <c r="AQ118" i="1"/>
  <c r="AP118" i="1"/>
  <c r="AO118" i="1"/>
  <c r="AN118" i="1"/>
  <c r="AM118" i="1"/>
  <c r="AL118" i="1"/>
  <c r="AK118" i="1"/>
  <c r="AJ118" i="1"/>
  <c r="AI118" i="1"/>
  <c r="AH118" i="1"/>
  <c r="AG118" i="1"/>
  <c r="AF118" i="1"/>
  <c r="AE118" i="1"/>
  <c r="AD118" i="1"/>
  <c r="AC118" i="1"/>
  <c r="AB118" i="1"/>
  <c r="AA118" i="1"/>
  <c r="Z118" i="1"/>
  <c r="Y118" i="1"/>
  <c r="X118" i="1"/>
  <c r="W118" i="1"/>
  <c r="V118" i="1"/>
  <c r="U118" i="1"/>
  <c r="T118" i="1"/>
  <c r="AT117" i="1"/>
  <c r="AS117" i="1"/>
  <c r="AR117" i="1"/>
  <c r="AQ117" i="1"/>
  <c r="AP117" i="1"/>
  <c r="AO117" i="1"/>
  <c r="AN117" i="1"/>
  <c r="AM117" i="1"/>
  <c r="AL117" i="1"/>
  <c r="AK117" i="1"/>
  <c r="AJ117" i="1"/>
  <c r="AI117" i="1"/>
  <c r="AH117" i="1"/>
  <c r="AG117" i="1"/>
  <c r="AF117" i="1"/>
  <c r="AE117" i="1"/>
  <c r="AD117" i="1"/>
  <c r="AC117" i="1"/>
  <c r="AB117" i="1"/>
  <c r="AA117" i="1"/>
  <c r="Z117" i="1"/>
  <c r="Y117" i="1"/>
  <c r="X117" i="1"/>
  <c r="W117" i="1"/>
  <c r="V117" i="1"/>
  <c r="U117" i="1"/>
  <c r="T117" i="1"/>
  <c r="AT113" i="1"/>
  <c r="AS113" i="1"/>
  <c r="AR113" i="1"/>
  <c r="AQ113" i="1"/>
  <c r="AP113" i="1"/>
  <c r="AO113" i="1"/>
  <c r="AN113" i="1"/>
  <c r="AM113" i="1"/>
  <c r="AL113" i="1"/>
  <c r="AK113" i="1"/>
  <c r="AJ113" i="1"/>
  <c r="AI113" i="1"/>
  <c r="AH113" i="1"/>
  <c r="AG113" i="1"/>
  <c r="AF113" i="1"/>
  <c r="AE113" i="1"/>
  <c r="AD113" i="1"/>
  <c r="AC113" i="1"/>
  <c r="AB113" i="1"/>
  <c r="AA113" i="1"/>
  <c r="Z113" i="1"/>
  <c r="Y113" i="1"/>
  <c r="X113" i="1"/>
  <c r="W113" i="1"/>
  <c r="V113" i="1"/>
  <c r="U113" i="1"/>
  <c r="T113" i="1"/>
  <c r="AT112" i="1"/>
  <c r="AT114" i="1" s="1"/>
  <c r="AT115" i="1" s="1"/>
  <c r="AS112" i="1"/>
  <c r="AR112" i="1"/>
  <c r="AR114" i="1" s="1"/>
  <c r="AR115" i="1" s="1"/>
  <c r="AQ112" i="1"/>
  <c r="AP112" i="1"/>
  <c r="AP114" i="1" s="1"/>
  <c r="AP115" i="1" s="1"/>
  <c r="AO112" i="1"/>
  <c r="AN112" i="1"/>
  <c r="AN114" i="1" s="1"/>
  <c r="AN115" i="1" s="1"/>
  <c r="AM112" i="1"/>
  <c r="AL112" i="1"/>
  <c r="AL114" i="1" s="1"/>
  <c r="AL115" i="1" s="1"/>
  <c r="AK112" i="1"/>
  <c r="AJ112" i="1"/>
  <c r="AJ114" i="1" s="1"/>
  <c r="AJ115" i="1" s="1"/>
  <c r="AI112" i="1"/>
  <c r="AH112" i="1"/>
  <c r="AH114" i="1" s="1"/>
  <c r="AH115" i="1" s="1"/>
  <c r="AG112" i="1"/>
  <c r="AF112" i="1"/>
  <c r="AF114" i="1" s="1"/>
  <c r="AF115" i="1" s="1"/>
  <c r="AE112" i="1"/>
  <c r="AD112" i="1"/>
  <c r="AD114" i="1" s="1"/>
  <c r="AD115" i="1" s="1"/>
  <c r="AC112" i="1"/>
  <c r="AB112" i="1"/>
  <c r="AB114" i="1" s="1"/>
  <c r="AB115" i="1" s="1"/>
  <c r="AA112" i="1"/>
  <c r="Z112" i="1"/>
  <c r="Z114" i="1" s="1"/>
  <c r="Z115" i="1" s="1"/>
  <c r="Y112" i="1"/>
  <c r="X112" i="1"/>
  <c r="X114" i="1" s="1"/>
  <c r="X115" i="1" s="1"/>
  <c r="W112" i="1"/>
  <c r="V112" i="1"/>
  <c r="V114" i="1" s="1"/>
  <c r="V115" i="1" s="1"/>
  <c r="U112" i="1"/>
  <c r="T112" i="1"/>
  <c r="T114" i="1" s="1"/>
  <c r="T115" i="1" s="1"/>
  <c r="AT111" i="1"/>
  <c r="AS111" i="1"/>
  <c r="AR111" i="1"/>
  <c r="AQ111" i="1"/>
  <c r="AQ114" i="1" s="1"/>
  <c r="AQ115" i="1" s="1"/>
  <c r="AP111" i="1"/>
  <c r="AO111" i="1"/>
  <c r="AN111" i="1"/>
  <c r="AM111" i="1"/>
  <c r="AM114" i="1" s="1"/>
  <c r="AM115" i="1" s="1"/>
  <c r="AL111" i="1"/>
  <c r="AK111" i="1"/>
  <c r="AJ111" i="1"/>
  <c r="AI111" i="1"/>
  <c r="AI114" i="1" s="1"/>
  <c r="AI115" i="1" s="1"/>
  <c r="AH111" i="1"/>
  <c r="AG111" i="1"/>
  <c r="AF111" i="1"/>
  <c r="AE111" i="1"/>
  <c r="AE114" i="1" s="1"/>
  <c r="AE115" i="1" s="1"/>
  <c r="AD111" i="1"/>
  <c r="AC111" i="1"/>
  <c r="AB111" i="1"/>
  <c r="AA111" i="1"/>
  <c r="AA114" i="1" s="1"/>
  <c r="AA115" i="1" s="1"/>
  <c r="Z111" i="1"/>
  <c r="Y111" i="1"/>
  <c r="X111" i="1"/>
  <c r="W111" i="1"/>
  <c r="W114" i="1" s="1"/>
  <c r="W115" i="1" s="1"/>
  <c r="V111" i="1"/>
  <c r="U111" i="1"/>
  <c r="T111" i="1"/>
  <c r="G18" i="1"/>
  <c r="F17" i="1"/>
  <c r="C17" i="1"/>
  <c r="G16" i="1"/>
  <c r="F16" i="1"/>
  <c r="D16" i="1"/>
  <c r="D18" i="1" s="1"/>
  <c r="C16" i="1"/>
  <c r="F11" i="1"/>
  <c r="DK10" i="1"/>
  <c r="DK11" i="1" s="1"/>
  <c r="AI10" i="1"/>
  <c r="AI11" i="1" s="1"/>
  <c r="F10" i="1"/>
  <c r="C10" i="1"/>
  <c r="DL9" i="1"/>
  <c r="DK9" i="1"/>
  <c r="DF9" i="1"/>
  <c r="DG9" i="1" s="1"/>
  <c r="CV9" i="1"/>
  <c r="CV10" i="1" s="1"/>
  <c r="CW10" i="1" s="1"/>
  <c r="CL9" i="1"/>
  <c r="CM9" i="1" s="1"/>
  <c r="BW9" i="1"/>
  <c r="BX9" i="1" s="1"/>
  <c r="AJ9" i="1"/>
  <c r="AI9" i="1"/>
  <c r="AD9" i="1"/>
  <c r="AE9" i="1" s="1"/>
  <c r="T9" i="1"/>
  <c r="T10" i="1" s="1"/>
  <c r="U10" i="1" s="1"/>
  <c r="F9" i="1"/>
  <c r="C9" i="1"/>
  <c r="EU8" i="1"/>
  <c r="ET8" i="1"/>
  <c r="EO8" i="1"/>
  <c r="EO9" i="1" s="1"/>
  <c r="EO10" i="1" s="1"/>
  <c r="EK8" i="1"/>
  <c r="EJ8" i="1"/>
  <c r="EE8" i="1"/>
  <c r="EF8" i="1" s="1"/>
  <c r="EA8" i="1"/>
  <c r="DZ8" i="1"/>
  <c r="DV8" i="1"/>
  <c r="DU8" i="1"/>
  <c r="DP8" i="1"/>
  <c r="DK8" i="1"/>
  <c r="DL8" i="1" s="1"/>
  <c r="DG8" i="1"/>
  <c r="DF8" i="1"/>
  <c r="DA8" i="1"/>
  <c r="DA9" i="1" s="1"/>
  <c r="DB9" i="1" s="1"/>
  <c r="CW8" i="1"/>
  <c r="CV8" i="1"/>
  <c r="CQ8" i="1"/>
  <c r="CR8" i="1" s="1"/>
  <c r="CM8" i="1"/>
  <c r="CL8" i="1"/>
  <c r="CH8" i="1"/>
  <c r="CG8" i="1"/>
  <c r="CB8" i="1"/>
  <c r="BW8" i="1"/>
  <c r="BX8" i="1" s="1"/>
  <c r="BS8" i="1"/>
  <c r="BR8" i="1"/>
  <c r="BM8" i="1"/>
  <c r="BM9" i="1" s="1"/>
  <c r="BM10" i="1" s="1"/>
  <c r="BI8" i="1"/>
  <c r="BH8" i="1"/>
  <c r="BC8" i="1"/>
  <c r="BD8" i="1" s="1"/>
  <c r="AY8" i="1"/>
  <c r="AX8" i="1"/>
  <c r="AT8" i="1"/>
  <c r="AS8" i="1"/>
  <c r="AN8" i="1"/>
  <c r="AI8" i="1"/>
  <c r="AJ8" i="1" s="1"/>
  <c r="AE8" i="1"/>
  <c r="AD8" i="1"/>
  <c r="Y8" i="1"/>
  <c r="Y9" i="1" s="1"/>
  <c r="Z9" i="1" s="1"/>
  <c r="U8" i="1"/>
  <c r="T8" i="1"/>
  <c r="F8" i="1"/>
  <c r="C8" i="1"/>
  <c r="EV7" i="1"/>
  <c r="EU7" i="1"/>
  <c r="ET7" i="1"/>
  <c r="ET9" i="1" s="1"/>
  <c r="EQ7" i="1"/>
  <c r="EP7" i="1"/>
  <c r="ES7" i="1" s="1"/>
  <c r="ER7" i="1" s="1"/>
  <c r="EO7" i="1"/>
  <c r="EL7" i="1"/>
  <c r="EN7" i="1" s="1"/>
  <c r="EK7" i="1"/>
  <c r="EJ7" i="1"/>
  <c r="EG7" i="1"/>
  <c r="EF7" i="1"/>
  <c r="EE7" i="1"/>
  <c r="EB7" i="1"/>
  <c r="EA7" i="1"/>
  <c r="DZ7" i="1"/>
  <c r="DZ9" i="1" s="1"/>
  <c r="DW7" i="1"/>
  <c r="DV7" i="1"/>
  <c r="DU7" i="1"/>
  <c r="DR7" i="1"/>
  <c r="DQ7" i="1"/>
  <c r="DT7" i="1" s="1"/>
  <c r="DP7" i="1"/>
  <c r="DM7" i="1"/>
  <c r="DL7" i="1"/>
  <c r="DO7" i="1" s="1"/>
  <c r="DK7" i="1"/>
  <c r="DH7" i="1"/>
  <c r="DG7" i="1"/>
  <c r="DF7" i="1"/>
  <c r="DC7" i="1"/>
  <c r="DB7" i="1"/>
  <c r="DE7" i="1" s="1"/>
  <c r="DD7" i="1" s="1"/>
  <c r="DA7" i="1"/>
  <c r="CX7" i="1"/>
  <c r="CZ7" i="1" s="1"/>
  <c r="CW7" i="1"/>
  <c r="CV7" i="1"/>
  <c r="CS7" i="1"/>
  <c r="CR7" i="1"/>
  <c r="CQ7" i="1"/>
  <c r="CN7" i="1"/>
  <c r="CM7" i="1"/>
  <c r="CL7" i="1"/>
  <c r="CP7" i="1" s="1"/>
  <c r="CI7" i="1"/>
  <c r="CH7" i="1"/>
  <c r="CG7" i="1"/>
  <c r="CD7" i="1"/>
  <c r="CC7" i="1"/>
  <c r="CF7" i="1" s="1"/>
  <c r="CB7" i="1"/>
  <c r="BY7" i="1"/>
  <c r="BX7" i="1"/>
  <c r="CA7" i="1" s="1"/>
  <c r="BW7" i="1"/>
  <c r="BT7" i="1"/>
  <c r="BS7" i="1"/>
  <c r="BR7" i="1"/>
  <c r="BR9" i="1" s="1"/>
  <c r="BO7" i="1"/>
  <c r="BN7" i="1"/>
  <c r="BQ7" i="1" s="1"/>
  <c r="BP7" i="1" s="1"/>
  <c r="BM7" i="1"/>
  <c r="BJ7" i="1"/>
  <c r="BL7" i="1" s="1"/>
  <c r="BI7" i="1"/>
  <c r="BH7" i="1"/>
  <c r="BE7" i="1"/>
  <c r="BD7" i="1"/>
  <c r="BC7" i="1"/>
  <c r="AZ7" i="1"/>
  <c r="AY7" i="1"/>
  <c r="AX7" i="1"/>
  <c r="BB7" i="1" s="1"/>
  <c r="AU7" i="1"/>
  <c r="AT7" i="1"/>
  <c r="AS7" i="1"/>
  <c r="AP7" i="1"/>
  <c r="AO7" i="1"/>
  <c r="AR7" i="1" s="1"/>
  <c r="AN7" i="1"/>
  <c r="AK7" i="1"/>
  <c r="AJ7" i="1"/>
  <c r="AM7" i="1" s="1"/>
  <c r="AI7" i="1"/>
  <c r="AF7" i="1"/>
  <c r="AE7" i="1"/>
  <c r="AD7" i="1"/>
  <c r="AA7" i="1"/>
  <c r="Z7" i="1"/>
  <c r="AC7" i="1" s="1"/>
  <c r="AB7" i="1" s="1"/>
  <c r="Y7" i="1"/>
  <c r="V7" i="1"/>
  <c r="X7" i="1" s="1"/>
  <c r="U7" i="1"/>
  <c r="T7" i="1"/>
  <c r="F7" i="1"/>
  <c r="C7" i="1"/>
  <c r="T5" i="1"/>
  <c r="BA7" i="1" l="1"/>
  <c r="AZ8" i="1" s="1"/>
  <c r="BS9" i="1"/>
  <c r="BR10" i="1"/>
  <c r="CO7" i="1"/>
  <c r="CN8" i="1" s="1"/>
  <c r="AI12" i="1"/>
  <c r="AJ11" i="1"/>
  <c r="AK11" i="1"/>
  <c r="DK12" i="1"/>
  <c r="DL11" i="1"/>
  <c r="EA9" i="1"/>
  <c r="DZ10" i="1"/>
  <c r="EU9" i="1"/>
  <c r="ET10" i="1"/>
  <c r="BN10" i="1"/>
  <c r="BO10" i="1"/>
  <c r="BM11" i="1"/>
  <c r="EP10" i="1"/>
  <c r="EO11" i="1"/>
  <c r="EQ10" i="1"/>
  <c r="AW7" i="1"/>
  <c r="CK7" i="1"/>
  <c r="DY7" i="1"/>
  <c r="AA9" i="1"/>
  <c r="BC9" i="1"/>
  <c r="DC9" i="1"/>
  <c r="CV11" i="1"/>
  <c r="ED7" i="1"/>
  <c r="BN9" i="1"/>
  <c r="Y10" i="1"/>
  <c r="W7" i="1"/>
  <c r="V10" i="1" s="1"/>
  <c r="BK7" i="1"/>
  <c r="CY7" i="1"/>
  <c r="CX8" i="1" s="1"/>
  <c r="EM7" i="1"/>
  <c r="V8" i="1"/>
  <c r="AA8" i="1"/>
  <c r="AS9" i="1"/>
  <c r="BJ8" i="1"/>
  <c r="BO8" i="1"/>
  <c r="CG9" i="1"/>
  <c r="DC8" i="1"/>
  <c r="DU9" i="1"/>
  <c r="EL8" i="1"/>
  <c r="EQ8" i="1"/>
  <c r="AX9" i="1"/>
  <c r="BH9" i="1"/>
  <c r="BO9" i="1"/>
  <c r="CQ9" i="1"/>
  <c r="CX9" i="1"/>
  <c r="EJ9" i="1"/>
  <c r="EQ9" i="1"/>
  <c r="AJ10" i="1"/>
  <c r="CL10" i="1"/>
  <c r="DL10" i="1"/>
  <c r="AQ7" i="1"/>
  <c r="AP8" i="1" s="1"/>
  <c r="CE7" i="1"/>
  <c r="CD8" i="1" s="1"/>
  <c r="DS7" i="1"/>
  <c r="DR8" i="1" s="1"/>
  <c r="EE9" i="1"/>
  <c r="T11" i="1"/>
  <c r="Z8" i="1"/>
  <c r="AO8" i="1"/>
  <c r="BN8" i="1"/>
  <c r="CC8" i="1"/>
  <c r="DB8" i="1"/>
  <c r="DQ8" i="1"/>
  <c r="EP8" i="1"/>
  <c r="U9" i="1"/>
  <c r="AN9" i="1"/>
  <c r="CW9" i="1"/>
  <c r="DP9" i="1"/>
  <c r="EP9" i="1"/>
  <c r="DA10" i="1"/>
  <c r="AR121" i="1"/>
  <c r="AJ121" i="1"/>
  <c r="AJ120" i="1" s="1"/>
  <c r="AB121" i="1"/>
  <c r="T121" i="1"/>
  <c r="AN121" i="1"/>
  <c r="AF121" i="1"/>
  <c r="AF120" i="1" s="1"/>
  <c r="X121" i="1"/>
  <c r="AP121" i="1"/>
  <c r="Z121" i="1"/>
  <c r="Z120" i="1" s="1"/>
  <c r="AH121" i="1"/>
  <c r="AH120" i="1" s="1"/>
  <c r="AL121" i="1"/>
  <c r="V121" i="1"/>
  <c r="AT121" i="1"/>
  <c r="AT120" i="1" s="1"/>
  <c r="AD121" i="1"/>
  <c r="AD120" i="1" s="1"/>
  <c r="AH7" i="1"/>
  <c r="AL7" i="1"/>
  <c r="AK8" i="1" s="1"/>
  <c r="BG7" i="1"/>
  <c r="BF7" i="1" s="1"/>
  <c r="BV7" i="1"/>
  <c r="BZ7" i="1"/>
  <c r="BY9" i="1" s="1"/>
  <c r="CU7" i="1"/>
  <c r="CT7" i="1" s="1"/>
  <c r="DJ7" i="1"/>
  <c r="DN7" i="1"/>
  <c r="DM9" i="1" s="1"/>
  <c r="EI7" i="1"/>
  <c r="EH7" i="1" s="1"/>
  <c r="EX7" i="1"/>
  <c r="AK9" i="1"/>
  <c r="CB9" i="1"/>
  <c r="AD10" i="1"/>
  <c r="AK10" i="1"/>
  <c r="BW10" i="1"/>
  <c r="DF10" i="1"/>
  <c r="U114" i="1"/>
  <c r="Y114" i="1"/>
  <c r="Y115" i="1" s="1"/>
  <c r="AC114" i="1"/>
  <c r="AC115" i="1" s="1"/>
  <c r="AG114" i="1"/>
  <c r="AG115" i="1" s="1"/>
  <c r="AK114" i="1"/>
  <c r="AK115" i="1" s="1"/>
  <c r="AO114" i="1"/>
  <c r="AO115" i="1" s="1"/>
  <c r="AS114" i="1"/>
  <c r="AS115" i="1" s="1"/>
  <c r="T120" i="1"/>
  <c r="X120" i="1"/>
  <c r="AB120" i="1"/>
  <c r="AN120" i="1"/>
  <c r="AR120" i="1"/>
  <c r="U121" i="1"/>
  <c r="U120" i="1" s="1"/>
  <c r="Y121" i="1"/>
  <c r="Y120" i="1" s="1"/>
  <c r="AC121" i="1"/>
  <c r="AC120" i="1" s="1"/>
  <c r="AG121" i="1"/>
  <c r="AG120" i="1" s="1"/>
  <c r="AK121" i="1"/>
  <c r="AK120" i="1" s="1"/>
  <c r="AO121" i="1"/>
  <c r="AO120" i="1" s="1"/>
  <c r="AS121" i="1"/>
  <c r="AS120" i="1" s="1"/>
  <c r="V120" i="1"/>
  <c r="AL120" i="1"/>
  <c r="AP120" i="1"/>
  <c r="W121" i="1"/>
  <c r="W120" i="1" s="1"/>
  <c r="AA121" i="1"/>
  <c r="AA120" i="1" s="1"/>
  <c r="AE121" i="1"/>
  <c r="AE120" i="1" s="1"/>
  <c r="AI121" i="1"/>
  <c r="AI120" i="1" s="1"/>
  <c r="AM121" i="1"/>
  <c r="AM120" i="1" s="1"/>
  <c r="AQ121" i="1"/>
  <c r="AQ120" i="1" s="1"/>
  <c r="CB10" i="1" l="1"/>
  <c r="CD9" i="1"/>
  <c r="CC9" i="1"/>
  <c r="DP10" i="1"/>
  <c r="DR9" i="1"/>
  <c r="DQ9" i="1"/>
  <c r="AN10" i="1"/>
  <c r="AP9" i="1"/>
  <c r="AO9" i="1"/>
  <c r="EG9" i="1"/>
  <c r="EF9" i="1"/>
  <c r="EE10" i="1"/>
  <c r="Z10" i="1"/>
  <c r="Y11" i="1"/>
  <c r="AA10" i="1"/>
  <c r="EP11" i="1"/>
  <c r="EQ11" i="1"/>
  <c r="EO12" i="1"/>
  <c r="CS9" i="1"/>
  <c r="CR9" i="1"/>
  <c r="CQ10" i="1"/>
  <c r="DU10" i="1"/>
  <c r="DV9" i="1"/>
  <c r="BU7" i="1"/>
  <c r="BT8" i="1" s="1"/>
  <c r="G17" i="1"/>
  <c r="DM10" i="1"/>
  <c r="AD11" i="1"/>
  <c r="AE10" i="1"/>
  <c r="G19" i="1"/>
  <c r="DB10" i="1"/>
  <c r="DA11" i="1"/>
  <c r="DC10" i="1"/>
  <c r="CN9" i="1"/>
  <c r="V11" i="1"/>
  <c r="U11" i="1"/>
  <c r="T12" i="1"/>
  <c r="EJ10" i="1"/>
  <c r="EK9" i="1"/>
  <c r="EL9" i="1"/>
  <c r="V9" i="1"/>
  <c r="EW7" i="1"/>
  <c r="EV9" i="1" s="1"/>
  <c r="CS8" i="1"/>
  <c r="BM12" i="1"/>
  <c r="BO11" i="1"/>
  <c r="BN11" i="1"/>
  <c r="AV7" i="1"/>
  <c r="AU8" i="1" s="1"/>
  <c r="DZ11" i="1"/>
  <c r="EA10" i="1"/>
  <c r="BY8" i="1"/>
  <c r="DM12" i="1"/>
  <c r="DL12" i="1"/>
  <c r="DK13" i="1"/>
  <c r="AI13" i="1"/>
  <c r="AK12" i="1"/>
  <c r="AJ12" i="1"/>
  <c r="BT9" i="1"/>
  <c r="BW11" i="1"/>
  <c r="BY10" i="1"/>
  <c r="BX10" i="1"/>
  <c r="AY9" i="1"/>
  <c r="AZ9" i="1"/>
  <c r="AX10" i="1"/>
  <c r="CG10" i="1"/>
  <c r="CH9" i="1"/>
  <c r="EC7" i="1"/>
  <c r="EB8" i="1" s="1"/>
  <c r="BE9" i="1"/>
  <c r="BD9" i="1"/>
  <c r="BC10" i="1"/>
  <c r="DM11" i="1"/>
  <c r="U115" i="1"/>
  <c r="D19" i="1" s="1"/>
  <c r="D17" i="1"/>
  <c r="CX11" i="1"/>
  <c r="CV12" i="1"/>
  <c r="CW11" i="1"/>
  <c r="DX7" i="1"/>
  <c r="DW9" i="1" s="1"/>
  <c r="DM8" i="1"/>
  <c r="DF11" i="1"/>
  <c r="DG10" i="1"/>
  <c r="EG8" i="1"/>
  <c r="CX10" i="1"/>
  <c r="CL11" i="1"/>
  <c r="CN10" i="1"/>
  <c r="CM10" i="1"/>
  <c r="BH10" i="1"/>
  <c r="BI9" i="1"/>
  <c r="BJ9" i="1"/>
  <c r="AT9" i="1"/>
  <c r="AS10" i="1"/>
  <c r="AU9" i="1"/>
  <c r="BE8" i="1"/>
  <c r="ET11" i="1"/>
  <c r="EV10" i="1"/>
  <c r="EU10" i="1"/>
  <c r="CJ7" i="1"/>
  <c r="CI9" i="1" s="1"/>
  <c r="DI7" i="1"/>
  <c r="DH10" i="1" s="1"/>
  <c r="BR11" i="1"/>
  <c r="BS10" i="1"/>
  <c r="AG7" i="1"/>
  <c r="AF9" i="1" s="1"/>
  <c r="AT10" i="1" l="1"/>
  <c r="AS11" i="1"/>
  <c r="AU10" i="1"/>
  <c r="CH10" i="1"/>
  <c r="CI10" i="1"/>
  <c r="CG11" i="1"/>
  <c r="CR10" i="1"/>
  <c r="CQ11" i="1"/>
  <c r="CS10" i="1"/>
  <c r="EB10" i="1"/>
  <c r="BT10" i="1"/>
  <c r="EB9" i="1"/>
  <c r="DG11" i="1"/>
  <c r="DH11" i="1"/>
  <c r="DF12" i="1"/>
  <c r="DH8" i="1"/>
  <c r="BD10" i="1"/>
  <c r="BC11" i="1"/>
  <c r="BE10" i="1"/>
  <c r="AX11" i="1"/>
  <c r="AZ10" i="1"/>
  <c r="AY10" i="1"/>
  <c r="EB11" i="1"/>
  <c r="DZ12" i="1"/>
  <c r="EA11" i="1"/>
  <c r="BO12" i="1"/>
  <c r="BM13" i="1"/>
  <c r="BN12" i="1"/>
  <c r="T13" i="1"/>
  <c r="U12" i="1"/>
  <c r="V12" i="1"/>
  <c r="EV8" i="1"/>
  <c r="DV10" i="1"/>
  <c r="DU11" i="1"/>
  <c r="DW10" i="1"/>
  <c r="DW8" i="1"/>
  <c r="EF10" i="1"/>
  <c r="EG10" i="1"/>
  <c r="EE11" i="1"/>
  <c r="DR10" i="1"/>
  <c r="DQ10" i="1"/>
  <c r="DP11" i="1"/>
  <c r="CB11" i="1"/>
  <c r="CD10" i="1"/>
  <c r="CC10" i="1"/>
  <c r="BH11" i="1"/>
  <c r="BJ10" i="1"/>
  <c r="BI10" i="1"/>
  <c r="CN11" i="1"/>
  <c r="CM11" i="1"/>
  <c r="CL12" i="1"/>
  <c r="DK14" i="1"/>
  <c r="DM13" i="1"/>
  <c r="DL13" i="1"/>
  <c r="AF10" i="1"/>
  <c r="Y12" i="1"/>
  <c r="Z11" i="1"/>
  <c r="AA11" i="1"/>
  <c r="ET12" i="1"/>
  <c r="EU11" i="1"/>
  <c r="EV11" i="1"/>
  <c r="DH9" i="1"/>
  <c r="CI8" i="1"/>
  <c r="EK10" i="1"/>
  <c r="EJ11" i="1"/>
  <c r="EL10" i="1"/>
  <c r="AD12" i="1"/>
  <c r="AF11" i="1"/>
  <c r="AE11" i="1"/>
  <c r="BR12" i="1"/>
  <c r="BS11" i="1"/>
  <c r="BT11" i="1"/>
  <c r="AF8" i="1"/>
  <c r="CV13" i="1"/>
  <c r="CW12" i="1"/>
  <c r="CX12" i="1"/>
  <c r="BW12" i="1"/>
  <c r="BX11" i="1"/>
  <c r="BY11" i="1"/>
  <c r="AJ13" i="1"/>
  <c r="AI14" i="1"/>
  <c r="AK13" i="1"/>
  <c r="DA12" i="1"/>
  <c r="DB11" i="1"/>
  <c r="DC11" i="1"/>
  <c r="EQ12" i="1"/>
  <c r="EO13" i="1"/>
  <c r="EP12" i="1"/>
  <c r="AN11" i="1"/>
  <c r="AP10" i="1"/>
  <c r="AO10" i="1"/>
  <c r="AA12" i="1" l="1"/>
  <c r="Z12" i="1"/>
  <c r="Y13" i="1"/>
  <c r="DZ13" i="1"/>
  <c r="EA12" i="1"/>
  <c r="EB12" i="1"/>
  <c r="CQ12" i="1"/>
  <c r="CR11" i="1"/>
  <c r="CS11" i="1"/>
  <c r="EP13" i="1"/>
  <c r="EO14" i="1"/>
  <c r="EQ13" i="1"/>
  <c r="DC12" i="1"/>
  <c r="DA13" i="1"/>
  <c r="DB12" i="1"/>
  <c r="EV12" i="1"/>
  <c r="EU12" i="1"/>
  <c r="ET13" i="1"/>
  <c r="EE12" i="1"/>
  <c r="EF11" i="1"/>
  <c r="EG11" i="1"/>
  <c r="CV14" i="1"/>
  <c r="CX13" i="1"/>
  <c r="CW13" i="1"/>
  <c r="BR13" i="1"/>
  <c r="BT12" i="1"/>
  <c r="BS12" i="1"/>
  <c r="BJ11" i="1"/>
  <c r="BH12" i="1"/>
  <c r="BI11" i="1"/>
  <c r="DR11" i="1"/>
  <c r="DP12" i="1"/>
  <c r="DQ11" i="1"/>
  <c r="DW11" i="1"/>
  <c r="DV11" i="1"/>
  <c r="DU12" i="1"/>
  <c r="BC12" i="1"/>
  <c r="BD11" i="1"/>
  <c r="BE11" i="1"/>
  <c r="CI11" i="1"/>
  <c r="CG12" i="1"/>
  <c r="CH11" i="1"/>
  <c r="AS12" i="1"/>
  <c r="AU11" i="1"/>
  <c r="AT11" i="1"/>
  <c r="DL14" i="1"/>
  <c r="DK15" i="1"/>
  <c r="DM14" i="1"/>
  <c r="AZ11" i="1"/>
  <c r="AX12" i="1"/>
  <c r="AY11" i="1"/>
  <c r="AF12" i="1"/>
  <c r="AD13" i="1"/>
  <c r="AE12" i="1"/>
  <c r="CL13" i="1"/>
  <c r="CN12" i="1"/>
  <c r="CM12" i="1"/>
  <c r="CD11" i="1"/>
  <c r="CB12" i="1"/>
  <c r="CC11" i="1"/>
  <c r="BN13" i="1"/>
  <c r="BM14" i="1"/>
  <c r="BO13" i="1"/>
  <c r="DH12" i="1"/>
  <c r="DF13" i="1"/>
  <c r="DG12" i="1"/>
  <c r="AP11" i="1"/>
  <c r="AN12" i="1"/>
  <c r="AO11" i="1"/>
  <c r="AJ14" i="1"/>
  <c r="AI15" i="1"/>
  <c r="AK14" i="1"/>
  <c r="BY12" i="1"/>
  <c r="BW13" i="1"/>
  <c r="BX12" i="1"/>
  <c r="EL11" i="1"/>
  <c r="EJ12" i="1"/>
  <c r="EK11" i="1"/>
  <c r="T14" i="1"/>
  <c r="V13" i="1"/>
  <c r="U13" i="1"/>
  <c r="EJ13" i="1" l="1"/>
  <c r="EK12" i="1"/>
  <c r="EL12" i="1"/>
  <c r="AK15" i="1"/>
  <c r="AI16" i="1"/>
  <c r="AJ15" i="1"/>
  <c r="CL14" i="1"/>
  <c r="CN13" i="1"/>
  <c r="CM13" i="1"/>
  <c r="EF12" i="1"/>
  <c r="EG12" i="1"/>
  <c r="EE13" i="1"/>
  <c r="EO15" i="1"/>
  <c r="EP14" i="1"/>
  <c r="EQ14" i="1"/>
  <c r="Z13" i="1"/>
  <c r="Y14" i="1"/>
  <c r="AA13" i="1"/>
  <c r="BX13" i="1"/>
  <c r="BW14" i="1"/>
  <c r="BY13" i="1"/>
  <c r="BO14" i="1"/>
  <c r="BM15" i="1"/>
  <c r="BN14" i="1"/>
  <c r="AX13" i="1"/>
  <c r="AY12" i="1"/>
  <c r="AZ12" i="1"/>
  <c r="CV15" i="1"/>
  <c r="CX14" i="1"/>
  <c r="CW14" i="1"/>
  <c r="ET14" i="1"/>
  <c r="EV13" i="1"/>
  <c r="EU13" i="1"/>
  <c r="DB13" i="1"/>
  <c r="DA14" i="1"/>
  <c r="DC13" i="1"/>
  <c r="AN13" i="1"/>
  <c r="AO12" i="1"/>
  <c r="AP12" i="1"/>
  <c r="DW12" i="1"/>
  <c r="DU13" i="1"/>
  <c r="DV12" i="1"/>
  <c r="DP13" i="1"/>
  <c r="DQ12" i="1"/>
  <c r="DR12" i="1"/>
  <c r="DZ14" i="1"/>
  <c r="EB13" i="1"/>
  <c r="EA13" i="1"/>
  <c r="CB13" i="1"/>
  <c r="CC12" i="1"/>
  <c r="CD12" i="1"/>
  <c r="DM15" i="1"/>
  <c r="DK16" i="1"/>
  <c r="DL15" i="1"/>
  <c r="AU12" i="1"/>
  <c r="AT12" i="1"/>
  <c r="AS13" i="1"/>
  <c r="CQ13" i="1"/>
  <c r="CR12" i="1"/>
  <c r="CS12" i="1"/>
  <c r="T15" i="1"/>
  <c r="V14" i="1"/>
  <c r="U14" i="1"/>
  <c r="DF14" i="1"/>
  <c r="DH13" i="1"/>
  <c r="DG13" i="1"/>
  <c r="AD14" i="1"/>
  <c r="AF13" i="1"/>
  <c r="AE13" i="1"/>
  <c r="CI12" i="1"/>
  <c r="CG13" i="1"/>
  <c r="CH12" i="1"/>
  <c r="BC13" i="1"/>
  <c r="BE12" i="1"/>
  <c r="BD12" i="1"/>
  <c r="BH13" i="1"/>
  <c r="BI12" i="1"/>
  <c r="BJ12" i="1"/>
  <c r="BR14" i="1"/>
  <c r="BT13" i="1"/>
  <c r="BS13" i="1"/>
  <c r="DQ13" i="1" l="1"/>
  <c r="DP14" i="1"/>
  <c r="DR13" i="1"/>
  <c r="CQ14" i="1"/>
  <c r="CS13" i="1"/>
  <c r="CR13" i="1"/>
  <c r="DZ15" i="1"/>
  <c r="EB14" i="1"/>
  <c r="EA14" i="1"/>
  <c r="BC14" i="1"/>
  <c r="BE13" i="1"/>
  <c r="BD13" i="1"/>
  <c r="T16" i="1"/>
  <c r="U15" i="1"/>
  <c r="V15" i="1"/>
  <c r="AT13" i="1"/>
  <c r="AS14" i="1"/>
  <c r="AU13" i="1"/>
  <c r="DM16" i="1"/>
  <c r="DK17" i="1"/>
  <c r="DL16" i="1"/>
  <c r="CB14" i="1"/>
  <c r="CD13" i="1"/>
  <c r="CC13" i="1"/>
  <c r="DV13" i="1"/>
  <c r="DU14" i="1"/>
  <c r="DW13" i="1"/>
  <c r="AO13" i="1"/>
  <c r="AN14" i="1"/>
  <c r="AP13" i="1"/>
  <c r="AX14" i="1"/>
  <c r="AZ13" i="1"/>
  <c r="AY13" i="1"/>
  <c r="Y15" i="1"/>
  <c r="AA14" i="1"/>
  <c r="Z14" i="1"/>
  <c r="EO16" i="1"/>
  <c r="EP15" i="1"/>
  <c r="EQ15" i="1"/>
  <c r="AK16" i="1"/>
  <c r="AI17" i="1"/>
  <c r="AJ16" i="1"/>
  <c r="EJ14" i="1"/>
  <c r="EK13" i="1"/>
  <c r="EL13" i="1"/>
  <c r="BR15" i="1"/>
  <c r="BT14" i="1"/>
  <c r="BS14" i="1"/>
  <c r="CH13" i="1"/>
  <c r="CI13" i="1"/>
  <c r="CG14" i="1"/>
  <c r="AF14" i="1"/>
  <c r="AD15" i="1"/>
  <c r="AE14" i="1"/>
  <c r="DA15" i="1"/>
  <c r="DC14" i="1"/>
  <c r="DB14" i="1"/>
  <c r="ET15" i="1"/>
  <c r="EV14" i="1"/>
  <c r="EU14" i="1"/>
  <c r="BM16" i="1"/>
  <c r="BN15" i="1"/>
  <c r="BO15" i="1"/>
  <c r="CM14" i="1"/>
  <c r="CN14" i="1"/>
  <c r="CL15" i="1"/>
  <c r="BH14" i="1"/>
  <c r="BJ13" i="1"/>
  <c r="BI13" i="1"/>
  <c r="DF15" i="1"/>
  <c r="DG14" i="1"/>
  <c r="DH14" i="1"/>
  <c r="CW15" i="1"/>
  <c r="CX15" i="1"/>
  <c r="CV16" i="1"/>
  <c r="BX14" i="1"/>
  <c r="BW15" i="1"/>
  <c r="BY14" i="1"/>
  <c r="EE14" i="1"/>
  <c r="EG13" i="1"/>
  <c r="EF13" i="1"/>
  <c r="DL17" i="1" l="1"/>
  <c r="DM17" i="1"/>
  <c r="DK18" i="1"/>
  <c r="EF14" i="1"/>
  <c r="EE15" i="1"/>
  <c r="EG14" i="1"/>
  <c r="CX16" i="1"/>
  <c r="CV17" i="1"/>
  <c r="CW16" i="1"/>
  <c r="BH15" i="1"/>
  <c r="BJ14" i="1"/>
  <c r="BI14" i="1"/>
  <c r="DA16" i="1"/>
  <c r="DB15" i="1"/>
  <c r="DC15" i="1"/>
  <c r="CH14" i="1"/>
  <c r="CG15" i="1"/>
  <c r="CI14" i="1"/>
  <c r="EJ15" i="1"/>
  <c r="EL14" i="1"/>
  <c r="EK14" i="1"/>
  <c r="AY14" i="1"/>
  <c r="AX15" i="1"/>
  <c r="AZ14" i="1"/>
  <c r="CR14" i="1"/>
  <c r="CQ15" i="1"/>
  <c r="CS14" i="1"/>
  <c r="DH15" i="1"/>
  <c r="DF16" i="1"/>
  <c r="DG15" i="1"/>
  <c r="CN15" i="1"/>
  <c r="CL16" i="1"/>
  <c r="CM15" i="1"/>
  <c r="EV15" i="1"/>
  <c r="EU15" i="1"/>
  <c r="ET16" i="1"/>
  <c r="BT15" i="1"/>
  <c r="BR16" i="1"/>
  <c r="BS15" i="1"/>
  <c r="Y16" i="1"/>
  <c r="Z15" i="1"/>
  <c r="AA15" i="1"/>
  <c r="DV14" i="1"/>
  <c r="DW14" i="1"/>
  <c r="DU15" i="1"/>
  <c r="CB15" i="1"/>
  <c r="CD14" i="1"/>
  <c r="CC14" i="1"/>
  <c r="BD14" i="1"/>
  <c r="BE14" i="1"/>
  <c r="BC15" i="1"/>
  <c r="EB15" i="1"/>
  <c r="DZ16" i="1"/>
  <c r="EA15" i="1"/>
  <c r="BY15" i="1"/>
  <c r="BW16" i="1"/>
  <c r="BX15" i="1"/>
  <c r="BO16" i="1"/>
  <c r="BM17" i="1"/>
  <c r="BN16" i="1"/>
  <c r="AF15" i="1"/>
  <c r="AD16" i="1"/>
  <c r="AE15" i="1"/>
  <c r="AJ17" i="1"/>
  <c r="AK17" i="1"/>
  <c r="AI18" i="1"/>
  <c r="EQ16" i="1"/>
  <c r="EO17" i="1"/>
  <c r="EP16" i="1"/>
  <c r="AN15" i="1"/>
  <c r="AP14" i="1"/>
  <c r="AO14" i="1"/>
  <c r="AT14" i="1"/>
  <c r="AS15" i="1"/>
  <c r="AU14" i="1"/>
  <c r="V16" i="1"/>
  <c r="T17" i="1"/>
  <c r="U16" i="1"/>
  <c r="DP15" i="1"/>
  <c r="DR14" i="1"/>
  <c r="DQ14" i="1"/>
  <c r="EO18" i="1" l="1"/>
  <c r="EQ17" i="1"/>
  <c r="EP17" i="1"/>
  <c r="BY16" i="1"/>
  <c r="BW17" i="1"/>
  <c r="BX16" i="1"/>
  <c r="Z16" i="1"/>
  <c r="Y17" i="1"/>
  <c r="AA16" i="1"/>
  <c r="ET17" i="1"/>
  <c r="EU16" i="1"/>
  <c r="EV16" i="1"/>
  <c r="CL17" i="1"/>
  <c r="CM16" i="1"/>
  <c r="CN16" i="1"/>
  <c r="CX17" i="1"/>
  <c r="CW17" i="1"/>
  <c r="CV18" i="1"/>
  <c r="BC16" i="1"/>
  <c r="BD15" i="1"/>
  <c r="BE15" i="1"/>
  <c r="DM18" i="1"/>
  <c r="DL18" i="1"/>
  <c r="DK19" i="1"/>
  <c r="AS16" i="1"/>
  <c r="AT15" i="1"/>
  <c r="AU15" i="1"/>
  <c r="AP15" i="1"/>
  <c r="AN16" i="1"/>
  <c r="AO15" i="1"/>
  <c r="AK18" i="1"/>
  <c r="AJ18" i="1"/>
  <c r="AI19" i="1"/>
  <c r="AD17" i="1"/>
  <c r="AE16" i="1"/>
  <c r="AF16" i="1"/>
  <c r="CB16" i="1"/>
  <c r="CC15" i="1"/>
  <c r="CD15" i="1"/>
  <c r="BR17" i="1"/>
  <c r="BS16" i="1"/>
  <c r="BT16" i="1"/>
  <c r="CQ16" i="1"/>
  <c r="CR15" i="1"/>
  <c r="CS15" i="1"/>
  <c r="BH16" i="1"/>
  <c r="BI15" i="1"/>
  <c r="BJ15" i="1"/>
  <c r="DR15" i="1"/>
  <c r="DP16" i="1"/>
  <c r="DQ15" i="1"/>
  <c r="BM18" i="1"/>
  <c r="BO17" i="1"/>
  <c r="BN17" i="1"/>
  <c r="AZ15" i="1"/>
  <c r="AX16" i="1"/>
  <c r="AY15" i="1"/>
  <c r="EJ16" i="1"/>
  <c r="EK15" i="1"/>
  <c r="EL15" i="1"/>
  <c r="V17" i="1"/>
  <c r="U17" i="1"/>
  <c r="T18" i="1"/>
  <c r="DZ17" i="1"/>
  <c r="EA16" i="1"/>
  <c r="EB16" i="1"/>
  <c r="DU16" i="1"/>
  <c r="DV15" i="1"/>
  <c r="DW15" i="1"/>
  <c r="DF17" i="1"/>
  <c r="DG16" i="1"/>
  <c r="DH16" i="1"/>
  <c r="CG16" i="1"/>
  <c r="CH15" i="1"/>
  <c r="CI15" i="1"/>
  <c r="DC16" i="1"/>
  <c r="DA17" i="1"/>
  <c r="DB16" i="1"/>
  <c r="EF15" i="1"/>
  <c r="EG15" i="1"/>
  <c r="EE16" i="1"/>
  <c r="DZ18" i="1" l="1"/>
  <c r="EB17" i="1"/>
  <c r="EA17" i="1"/>
  <c r="BR18" i="1"/>
  <c r="BT17" i="1"/>
  <c r="BS17" i="1"/>
  <c r="DM19" i="1"/>
  <c r="DK20" i="1"/>
  <c r="DL19" i="1"/>
  <c r="Y18" i="1"/>
  <c r="AA17" i="1"/>
  <c r="Z17" i="1"/>
  <c r="CS16" i="1"/>
  <c r="CQ17" i="1"/>
  <c r="CR16" i="1"/>
  <c r="BE16" i="1"/>
  <c r="BC17" i="1"/>
  <c r="BD16" i="1"/>
  <c r="DF18" i="1"/>
  <c r="DH17" i="1"/>
  <c r="DG17" i="1"/>
  <c r="EJ17" i="1"/>
  <c r="EL16" i="1"/>
  <c r="EK16" i="1"/>
  <c r="DP17" i="1"/>
  <c r="DQ16" i="1"/>
  <c r="DR16" i="1"/>
  <c r="BI16" i="1"/>
  <c r="BH17" i="1"/>
  <c r="BJ16" i="1"/>
  <c r="AD18" i="1"/>
  <c r="AF17" i="1"/>
  <c r="AE17" i="1"/>
  <c r="CV19" i="1"/>
  <c r="CX18" i="1"/>
  <c r="CW18" i="1"/>
  <c r="ET18" i="1"/>
  <c r="EV17" i="1"/>
  <c r="EU17" i="1"/>
  <c r="AX17" i="1"/>
  <c r="AY16" i="1"/>
  <c r="AZ16" i="1"/>
  <c r="BM19" i="1"/>
  <c r="BO18" i="1"/>
  <c r="BN18" i="1"/>
  <c r="DV16" i="1"/>
  <c r="DW16" i="1"/>
  <c r="DU17" i="1"/>
  <c r="T19" i="1"/>
  <c r="V18" i="1"/>
  <c r="U18" i="1"/>
  <c r="EG16" i="1"/>
  <c r="EE17" i="1"/>
  <c r="EF16" i="1"/>
  <c r="DA18" i="1"/>
  <c r="DC17" i="1"/>
  <c r="DB17" i="1"/>
  <c r="CH16" i="1"/>
  <c r="CG17" i="1"/>
  <c r="CI16" i="1"/>
  <c r="CB17" i="1"/>
  <c r="CD16" i="1"/>
  <c r="CC16" i="1"/>
  <c r="AK19" i="1"/>
  <c r="AI20" i="1"/>
  <c r="AJ19" i="1"/>
  <c r="AN17" i="1"/>
  <c r="AO16" i="1"/>
  <c r="AP16" i="1"/>
  <c r="AS17" i="1"/>
  <c r="AU16" i="1"/>
  <c r="AT16" i="1"/>
  <c r="CL18" i="1"/>
  <c r="CN17" i="1"/>
  <c r="CM17" i="1"/>
  <c r="BX17" i="1"/>
  <c r="BY17" i="1"/>
  <c r="BW18" i="1"/>
  <c r="EO19" i="1"/>
  <c r="EQ18" i="1"/>
  <c r="EP18" i="1"/>
  <c r="EO20" i="1" l="1"/>
  <c r="EP19" i="1"/>
  <c r="EQ19" i="1"/>
  <c r="CM18" i="1"/>
  <c r="CL19" i="1"/>
  <c r="CN18" i="1"/>
  <c r="AK20" i="1"/>
  <c r="AI21" i="1"/>
  <c r="AJ20" i="1"/>
  <c r="CD17" i="1"/>
  <c r="CC17" i="1"/>
  <c r="CB18" i="1"/>
  <c r="EF17" i="1"/>
  <c r="EG17" i="1"/>
  <c r="EE18" i="1"/>
  <c r="T20" i="1"/>
  <c r="U19" i="1"/>
  <c r="V19" i="1"/>
  <c r="EU18" i="1"/>
  <c r="EV18" i="1"/>
  <c r="ET19" i="1"/>
  <c r="BJ17" i="1"/>
  <c r="BI17" i="1"/>
  <c r="BH18" i="1"/>
  <c r="DR17" i="1"/>
  <c r="DQ17" i="1"/>
  <c r="DP18" i="1"/>
  <c r="BD17" i="1"/>
  <c r="BC18" i="1"/>
  <c r="BE17" i="1"/>
  <c r="EA18" i="1"/>
  <c r="EB18" i="1"/>
  <c r="DZ19" i="1"/>
  <c r="DU18" i="1"/>
  <c r="DW17" i="1"/>
  <c r="DV17" i="1"/>
  <c r="AX18" i="1"/>
  <c r="AZ17" i="1"/>
  <c r="AY17" i="1"/>
  <c r="DM20" i="1"/>
  <c r="DK21" i="1"/>
  <c r="DL20" i="1"/>
  <c r="BS18" i="1"/>
  <c r="BT18" i="1"/>
  <c r="BR19" i="1"/>
  <c r="AP17" i="1"/>
  <c r="AO17" i="1"/>
  <c r="AN18" i="1"/>
  <c r="CG18" i="1"/>
  <c r="CI17" i="1"/>
  <c r="CH17" i="1"/>
  <c r="DA19" i="1"/>
  <c r="DB18" i="1"/>
  <c r="DC18" i="1"/>
  <c r="BM20" i="1"/>
  <c r="BN19" i="1"/>
  <c r="BO19" i="1"/>
  <c r="AE18" i="1"/>
  <c r="AF18" i="1"/>
  <c r="AD19" i="1"/>
  <c r="DG18" i="1"/>
  <c r="DH18" i="1"/>
  <c r="DF19" i="1"/>
  <c r="BY18" i="1"/>
  <c r="BX18" i="1"/>
  <c r="BW19" i="1"/>
  <c r="AS18" i="1"/>
  <c r="AU17" i="1"/>
  <c r="AT17" i="1"/>
  <c r="CV20" i="1"/>
  <c r="CW19" i="1"/>
  <c r="CX19" i="1"/>
  <c r="EL17" i="1"/>
  <c r="EK17" i="1"/>
  <c r="EJ18" i="1"/>
  <c r="CR17" i="1"/>
  <c r="CQ18" i="1"/>
  <c r="CS17" i="1"/>
  <c r="Y19" i="1"/>
  <c r="Z18" i="1"/>
  <c r="AA18" i="1"/>
  <c r="Y20" i="1" l="1"/>
  <c r="Z19" i="1"/>
  <c r="AA19" i="1"/>
  <c r="AS19" i="1"/>
  <c r="AT18" i="1"/>
  <c r="AU18" i="1"/>
  <c r="CS18" i="1"/>
  <c r="CR18" i="1"/>
  <c r="CQ19" i="1"/>
  <c r="CG19" i="1"/>
  <c r="CH18" i="1"/>
  <c r="CI18" i="1"/>
  <c r="BT19" i="1"/>
  <c r="BR20" i="1"/>
  <c r="BS19" i="1"/>
  <c r="DK22" i="1"/>
  <c r="DL21" i="1"/>
  <c r="DM21" i="1"/>
  <c r="AY18" i="1"/>
  <c r="AZ18" i="1"/>
  <c r="AX19" i="1"/>
  <c r="EB19" i="1"/>
  <c r="DZ20" i="1"/>
  <c r="EA19" i="1"/>
  <c r="BE18" i="1"/>
  <c r="BD18" i="1"/>
  <c r="BC19" i="1"/>
  <c r="EV19" i="1"/>
  <c r="ET20" i="1"/>
  <c r="EU19" i="1"/>
  <c r="CN19" i="1"/>
  <c r="CL20" i="1"/>
  <c r="CM19" i="1"/>
  <c r="EO21" i="1"/>
  <c r="EP20" i="1"/>
  <c r="EQ20" i="1"/>
  <c r="AF19" i="1"/>
  <c r="AD20" i="1"/>
  <c r="AE19" i="1"/>
  <c r="DA20" i="1"/>
  <c r="DB19" i="1"/>
  <c r="DC19" i="1"/>
  <c r="AN19" i="1"/>
  <c r="AP18" i="1"/>
  <c r="AO18" i="1"/>
  <c r="BH19" i="1"/>
  <c r="BJ18" i="1"/>
  <c r="BI18" i="1"/>
  <c r="V20" i="1"/>
  <c r="T21" i="1"/>
  <c r="U20" i="1"/>
  <c r="CB19" i="1"/>
  <c r="CD18" i="1"/>
  <c r="CC18" i="1"/>
  <c r="AJ21" i="1"/>
  <c r="AI22" i="1"/>
  <c r="AK21" i="1"/>
  <c r="EJ19" i="1"/>
  <c r="EL18" i="1"/>
  <c r="EK18" i="1"/>
  <c r="DH19" i="1"/>
  <c r="DF20" i="1"/>
  <c r="DG19" i="1"/>
  <c r="BM21" i="1"/>
  <c r="BN20" i="1"/>
  <c r="BO20" i="1"/>
  <c r="DP19" i="1"/>
  <c r="DR18" i="1"/>
  <c r="DQ18" i="1"/>
  <c r="EG18" i="1"/>
  <c r="EF18" i="1"/>
  <c r="EE19" i="1"/>
  <c r="CX20" i="1"/>
  <c r="CV21" i="1"/>
  <c r="CW20" i="1"/>
  <c r="BY19" i="1"/>
  <c r="BW20" i="1"/>
  <c r="BX19" i="1"/>
  <c r="DU19" i="1"/>
  <c r="DV18" i="1"/>
  <c r="DW18" i="1"/>
  <c r="EG19" i="1" l="1"/>
  <c r="EE20" i="1"/>
  <c r="EF19" i="1"/>
  <c r="BM22" i="1"/>
  <c r="BO21" i="1"/>
  <c r="BN21" i="1"/>
  <c r="AI23" i="1"/>
  <c r="AJ22" i="1"/>
  <c r="AK22" i="1"/>
  <c r="DA21" i="1"/>
  <c r="DB20" i="1"/>
  <c r="DC20" i="1"/>
  <c r="DM22" i="1"/>
  <c r="DK23" i="1"/>
  <c r="DL22" i="1"/>
  <c r="AS20" i="1"/>
  <c r="AT19" i="1"/>
  <c r="AU19" i="1"/>
  <c r="DU20" i="1"/>
  <c r="DV19" i="1"/>
  <c r="DW19" i="1"/>
  <c r="DP20" i="1"/>
  <c r="DQ19" i="1"/>
  <c r="DR19" i="1"/>
  <c r="AN20" i="1"/>
  <c r="AO19" i="1"/>
  <c r="AP19" i="1"/>
  <c r="BE19" i="1"/>
  <c r="BC20" i="1"/>
  <c r="BD19" i="1"/>
  <c r="EA20" i="1"/>
  <c r="DZ21" i="1"/>
  <c r="EB20" i="1"/>
  <c r="CX21" i="1"/>
  <c r="CV22" i="1"/>
  <c r="CW21" i="1"/>
  <c r="DF21" i="1"/>
  <c r="DG20" i="1"/>
  <c r="DH20" i="1"/>
  <c r="EL19" i="1"/>
  <c r="EJ20" i="1"/>
  <c r="EK19" i="1"/>
  <c r="V21" i="1"/>
  <c r="U21" i="1"/>
  <c r="T22" i="1"/>
  <c r="BJ19" i="1"/>
  <c r="BH20" i="1"/>
  <c r="BI19" i="1"/>
  <c r="AD21" i="1"/>
  <c r="AE20" i="1"/>
  <c r="AF20" i="1"/>
  <c r="EO22" i="1"/>
  <c r="EQ21" i="1"/>
  <c r="EP21" i="1"/>
  <c r="BR21" i="1"/>
  <c r="BS20" i="1"/>
  <c r="BT20" i="1"/>
  <c r="CG20" i="1"/>
  <c r="CH19" i="1"/>
  <c r="CI19" i="1"/>
  <c r="CB20" i="1"/>
  <c r="CC19" i="1"/>
  <c r="CD19" i="1"/>
  <c r="CL21" i="1"/>
  <c r="CM20" i="1"/>
  <c r="CN20" i="1"/>
  <c r="BY20" i="1"/>
  <c r="BW21" i="1"/>
  <c r="BX20" i="1"/>
  <c r="ET21" i="1"/>
  <c r="EU20" i="1"/>
  <c r="EV20" i="1"/>
  <c r="AZ19" i="1"/>
  <c r="AX20" i="1"/>
  <c r="AY19" i="1"/>
  <c r="CS19" i="1"/>
  <c r="CQ20" i="1"/>
  <c r="CR19" i="1"/>
  <c r="Y21" i="1"/>
  <c r="Z20" i="1"/>
  <c r="AA20" i="1"/>
  <c r="CS20" i="1" l="1"/>
  <c r="CQ21" i="1"/>
  <c r="CR20" i="1"/>
  <c r="CD20" i="1"/>
  <c r="CB21" i="1"/>
  <c r="CC20" i="1"/>
  <c r="BE20" i="1"/>
  <c r="BC21" i="1"/>
  <c r="BD20" i="1"/>
  <c r="AP20" i="1"/>
  <c r="AN21" i="1"/>
  <c r="AO20" i="1"/>
  <c r="BW22" i="1"/>
  <c r="BX21" i="1"/>
  <c r="BY21" i="1"/>
  <c r="CL22" i="1"/>
  <c r="CM21" i="1"/>
  <c r="CN21" i="1"/>
  <c r="EP22" i="1"/>
  <c r="EQ22" i="1"/>
  <c r="EO23" i="1"/>
  <c r="DZ22" i="1"/>
  <c r="EA21" i="1"/>
  <c r="EB21" i="1"/>
  <c r="AS21" i="1"/>
  <c r="AT20" i="1"/>
  <c r="AU20" i="1"/>
  <c r="BM23" i="1"/>
  <c r="BO22" i="1"/>
  <c r="BN22" i="1"/>
  <c r="AD22" i="1"/>
  <c r="AF21" i="1"/>
  <c r="AE21" i="1"/>
  <c r="V22" i="1"/>
  <c r="T23" i="1"/>
  <c r="U22" i="1"/>
  <c r="EJ21" i="1"/>
  <c r="EL20" i="1"/>
  <c r="EK20" i="1"/>
  <c r="DF22" i="1"/>
  <c r="DH21" i="1"/>
  <c r="DG21" i="1"/>
  <c r="Y22" i="1"/>
  <c r="AA21" i="1"/>
  <c r="Z21" i="1"/>
  <c r="BR22" i="1"/>
  <c r="BS21" i="1"/>
  <c r="BT21" i="1"/>
  <c r="BJ20" i="1"/>
  <c r="BH21" i="1"/>
  <c r="BI20" i="1"/>
  <c r="CX22" i="1"/>
  <c r="CV23" i="1"/>
  <c r="CW22" i="1"/>
  <c r="DU21" i="1"/>
  <c r="DV20" i="1"/>
  <c r="DW20" i="1"/>
  <c r="AI24" i="1"/>
  <c r="AJ23" i="1"/>
  <c r="AK23" i="1"/>
  <c r="AX21" i="1"/>
  <c r="AY20" i="1"/>
  <c r="AZ20" i="1"/>
  <c r="ET22" i="1"/>
  <c r="EU21" i="1"/>
  <c r="EV21" i="1"/>
  <c r="CI20" i="1"/>
  <c r="CG21" i="1"/>
  <c r="CH20" i="1"/>
  <c r="DR20" i="1"/>
  <c r="DP21" i="1"/>
  <c r="DQ20" i="1"/>
  <c r="DK24" i="1"/>
  <c r="DL23" i="1"/>
  <c r="DM23" i="1"/>
  <c r="DA22" i="1"/>
  <c r="DC21" i="1"/>
  <c r="DB21" i="1"/>
  <c r="EG20" i="1"/>
  <c r="EF20" i="1"/>
  <c r="EE21" i="1"/>
  <c r="DF23" i="1" l="1"/>
  <c r="DG22" i="1"/>
  <c r="DH22" i="1"/>
  <c r="BO23" i="1"/>
  <c r="BM24" i="1"/>
  <c r="BN23" i="1"/>
  <c r="CL23" i="1"/>
  <c r="CM22" i="1"/>
  <c r="CN22" i="1"/>
  <c r="DR21" i="1"/>
  <c r="DQ21" i="1"/>
  <c r="DP22" i="1"/>
  <c r="DU22" i="1"/>
  <c r="DV21" i="1"/>
  <c r="DW21" i="1"/>
  <c r="Y23" i="1"/>
  <c r="AA22" i="1"/>
  <c r="Z22" i="1"/>
  <c r="V23" i="1"/>
  <c r="T24" i="1"/>
  <c r="U23" i="1"/>
  <c r="AD23" i="1"/>
  <c r="AF22" i="1"/>
  <c r="AE22" i="1"/>
  <c r="AP21" i="1"/>
  <c r="AN22" i="1"/>
  <c r="AO21" i="1"/>
  <c r="AJ24" i="1"/>
  <c r="AK24" i="1"/>
  <c r="AI25" i="1"/>
  <c r="BJ21" i="1"/>
  <c r="BH22" i="1"/>
  <c r="BI21" i="1"/>
  <c r="BR23" i="1"/>
  <c r="BS22" i="1"/>
  <c r="BT22" i="1"/>
  <c r="DZ23" i="1"/>
  <c r="EA22" i="1"/>
  <c r="EB22" i="1"/>
  <c r="CR21" i="1"/>
  <c r="CS21" i="1"/>
  <c r="CQ22" i="1"/>
  <c r="DA23" i="1"/>
  <c r="DB22" i="1"/>
  <c r="DC22" i="1"/>
  <c r="CG22" i="1"/>
  <c r="CI21" i="1"/>
  <c r="CH21" i="1"/>
  <c r="ET23" i="1"/>
  <c r="EU22" i="1"/>
  <c r="EV22" i="1"/>
  <c r="BD21" i="1"/>
  <c r="BC22" i="1"/>
  <c r="BE21" i="1"/>
  <c r="EG21" i="1"/>
  <c r="EE22" i="1"/>
  <c r="EF21" i="1"/>
  <c r="DM24" i="1"/>
  <c r="DK25" i="1"/>
  <c r="DL24" i="1"/>
  <c r="AX22" i="1"/>
  <c r="AY21" i="1"/>
  <c r="AZ21" i="1"/>
  <c r="CX23" i="1"/>
  <c r="CV24" i="1"/>
  <c r="CW23" i="1"/>
  <c r="EK21" i="1"/>
  <c r="EJ22" i="1"/>
  <c r="EL21" i="1"/>
  <c r="AU21" i="1"/>
  <c r="AT21" i="1"/>
  <c r="AS22" i="1"/>
  <c r="EQ23" i="1"/>
  <c r="EO24" i="1"/>
  <c r="EP23" i="1"/>
  <c r="BY22" i="1"/>
  <c r="BW23" i="1"/>
  <c r="BX22" i="1"/>
  <c r="CD21" i="1"/>
  <c r="CC21" i="1"/>
  <c r="CB22" i="1"/>
  <c r="BJ22" i="1" l="1"/>
  <c r="BH23" i="1"/>
  <c r="BI22" i="1"/>
  <c r="AA23" i="1"/>
  <c r="Z23" i="1"/>
  <c r="Y24" i="1"/>
  <c r="DR22" i="1"/>
  <c r="DP23" i="1"/>
  <c r="DQ22" i="1"/>
  <c r="DC23" i="1"/>
  <c r="DA24" i="1"/>
  <c r="DB23" i="1"/>
  <c r="CL24" i="1"/>
  <c r="CN23" i="1"/>
  <c r="CM23" i="1"/>
  <c r="EQ24" i="1"/>
  <c r="EO25" i="1"/>
  <c r="EP24" i="1"/>
  <c r="CI22" i="1"/>
  <c r="CG23" i="1"/>
  <c r="CH22" i="1"/>
  <c r="CS22" i="1"/>
  <c r="CQ23" i="1"/>
  <c r="CR22" i="1"/>
  <c r="BT23" i="1"/>
  <c r="BR24" i="1"/>
  <c r="BS23" i="1"/>
  <c r="AK25" i="1"/>
  <c r="AI26" i="1"/>
  <c r="AJ25" i="1"/>
  <c r="AP22" i="1"/>
  <c r="AO22" i="1"/>
  <c r="AN23" i="1"/>
  <c r="AF23" i="1"/>
  <c r="AD24" i="1"/>
  <c r="AE23" i="1"/>
  <c r="AS23" i="1"/>
  <c r="AU22" i="1"/>
  <c r="AT22" i="1"/>
  <c r="EL22" i="1"/>
  <c r="EJ23" i="1"/>
  <c r="EK22" i="1"/>
  <c r="EG22" i="1"/>
  <c r="EE23" i="1"/>
  <c r="EF22" i="1"/>
  <c r="T25" i="1"/>
  <c r="U24" i="1"/>
  <c r="V24" i="1"/>
  <c r="DM25" i="1"/>
  <c r="DK26" i="1"/>
  <c r="DL25" i="1"/>
  <c r="CD22" i="1"/>
  <c r="CB23" i="1"/>
  <c r="CC22" i="1"/>
  <c r="BW24" i="1"/>
  <c r="BX23" i="1"/>
  <c r="BY23" i="1"/>
  <c r="CV25" i="1"/>
  <c r="CW24" i="1"/>
  <c r="CX24" i="1"/>
  <c r="AX23" i="1"/>
  <c r="AY22" i="1"/>
  <c r="AZ22" i="1"/>
  <c r="BE22" i="1"/>
  <c r="BC23" i="1"/>
  <c r="BD22" i="1"/>
  <c r="EV23" i="1"/>
  <c r="ET24" i="1"/>
  <c r="EU23" i="1"/>
  <c r="DZ24" i="1"/>
  <c r="EA23" i="1"/>
  <c r="EB23" i="1"/>
  <c r="DW22" i="1"/>
  <c r="DU23" i="1"/>
  <c r="DV22" i="1"/>
  <c r="BO24" i="1"/>
  <c r="BM25" i="1"/>
  <c r="BN24" i="1"/>
  <c r="DH23" i="1"/>
  <c r="DF24" i="1"/>
  <c r="DG23" i="1"/>
  <c r="DH24" i="1" l="1"/>
  <c r="DF25" i="1"/>
  <c r="DG24" i="1"/>
  <c r="EE24" i="1"/>
  <c r="EF23" i="1"/>
  <c r="EG23" i="1"/>
  <c r="CI23" i="1"/>
  <c r="CG24" i="1"/>
  <c r="CH23" i="1"/>
  <c r="AF24" i="1"/>
  <c r="AD25" i="1"/>
  <c r="AE24" i="1"/>
  <c r="DC24" i="1"/>
  <c r="DA25" i="1"/>
  <c r="DB24" i="1"/>
  <c r="DW23" i="1"/>
  <c r="DU24" i="1"/>
  <c r="DV23" i="1"/>
  <c r="EB24" i="1"/>
  <c r="DZ25" i="1"/>
  <c r="EA24" i="1"/>
  <c r="CV26" i="1"/>
  <c r="CW25" i="1"/>
  <c r="CX25" i="1"/>
  <c r="DM26" i="1"/>
  <c r="DK27" i="1"/>
  <c r="DL26" i="1"/>
  <c r="T26" i="1"/>
  <c r="U25" i="1"/>
  <c r="V25" i="1"/>
  <c r="BT24" i="1"/>
  <c r="BR25" i="1"/>
  <c r="BS24" i="1"/>
  <c r="AA24" i="1"/>
  <c r="Y25" i="1"/>
  <c r="Z24" i="1"/>
  <c r="BJ23" i="1"/>
  <c r="BH24" i="1"/>
  <c r="BI23" i="1"/>
  <c r="EV24" i="1"/>
  <c r="ET25" i="1"/>
  <c r="EU24" i="1"/>
  <c r="DR23" i="1"/>
  <c r="DP24" i="1"/>
  <c r="DQ23" i="1"/>
  <c r="BW25" i="1"/>
  <c r="BX24" i="1"/>
  <c r="BY24" i="1"/>
  <c r="CQ24" i="1"/>
  <c r="CR23" i="1"/>
  <c r="CS23" i="1"/>
  <c r="BM26" i="1"/>
  <c r="BN25" i="1"/>
  <c r="BO25" i="1"/>
  <c r="BC24" i="1"/>
  <c r="BD23" i="1"/>
  <c r="BE23" i="1"/>
  <c r="AX24" i="1"/>
  <c r="AY23" i="1"/>
  <c r="AZ23" i="1"/>
  <c r="CD23" i="1"/>
  <c r="CB24" i="1"/>
  <c r="CC23" i="1"/>
  <c r="EL23" i="1"/>
  <c r="EJ24" i="1"/>
  <c r="EK23" i="1"/>
  <c r="AU23" i="1"/>
  <c r="AS24" i="1"/>
  <c r="AT23" i="1"/>
  <c r="AP23" i="1"/>
  <c r="AN24" i="1"/>
  <c r="AO23" i="1"/>
  <c r="AK26" i="1"/>
  <c r="AI27" i="1"/>
  <c r="AJ26" i="1"/>
  <c r="EO26" i="1"/>
  <c r="EP25" i="1"/>
  <c r="EQ25" i="1"/>
  <c r="CN24" i="1"/>
  <c r="CL25" i="1"/>
  <c r="CM24" i="1"/>
  <c r="CN25" i="1" l="1"/>
  <c r="CL26" i="1"/>
  <c r="CM25" i="1"/>
  <c r="AU24" i="1"/>
  <c r="AS25" i="1"/>
  <c r="AT24" i="1"/>
  <c r="DP25" i="1"/>
  <c r="DQ24" i="1"/>
  <c r="DR24" i="1"/>
  <c r="BT25" i="1"/>
  <c r="BR26" i="1"/>
  <c r="BS25" i="1"/>
  <c r="V26" i="1"/>
  <c r="T27" i="1"/>
  <c r="U26" i="1"/>
  <c r="EG24" i="1"/>
  <c r="EE25" i="1"/>
  <c r="EF24" i="1"/>
  <c r="Y26" i="1"/>
  <c r="Z25" i="1"/>
  <c r="AA25" i="1"/>
  <c r="AF25" i="1"/>
  <c r="AD26" i="1"/>
  <c r="AE25" i="1"/>
  <c r="AI28" i="1"/>
  <c r="AJ27" i="1"/>
  <c r="AK27" i="1"/>
  <c r="CB25" i="1"/>
  <c r="CC24" i="1"/>
  <c r="CD24" i="1"/>
  <c r="AZ24" i="1"/>
  <c r="AY24" i="1"/>
  <c r="AX25" i="1"/>
  <c r="BY25" i="1"/>
  <c r="BX25" i="1"/>
  <c r="BW26" i="1"/>
  <c r="BH25" i="1"/>
  <c r="BI24" i="1"/>
  <c r="BJ24" i="1"/>
  <c r="DK28" i="1"/>
  <c r="DL27" i="1"/>
  <c r="DM27" i="1"/>
  <c r="CX26" i="1"/>
  <c r="CW26" i="1"/>
  <c r="CV27" i="1"/>
  <c r="DA26" i="1"/>
  <c r="DB25" i="1"/>
  <c r="DC25" i="1"/>
  <c r="DH25" i="1"/>
  <c r="DF26" i="1"/>
  <c r="DG25" i="1"/>
  <c r="EQ26" i="1"/>
  <c r="EO27" i="1"/>
  <c r="EP26" i="1"/>
  <c r="BO26" i="1"/>
  <c r="BM27" i="1"/>
  <c r="BN26" i="1"/>
  <c r="EB25" i="1"/>
  <c r="DZ26" i="1"/>
  <c r="EA25" i="1"/>
  <c r="CI24" i="1"/>
  <c r="CG25" i="1"/>
  <c r="CH24" i="1"/>
  <c r="AN25" i="1"/>
  <c r="AO24" i="1"/>
  <c r="AP24" i="1"/>
  <c r="BE24" i="1"/>
  <c r="BC25" i="1"/>
  <c r="BD24" i="1"/>
  <c r="EJ25" i="1"/>
  <c r="EK24" i="1"/>
  <c r="EL24" i="1"/>
  <c r="CS24" i="1"/>
  <c r="CQ25" i="1"/>
  <c r="CR24" i="1"/>
  <c r="EV25" i="1"/>
  <c r="ET26" i="1"/>
  <c r="EU25" i="1"/>
  <c r="DW24" i="1"/>
  <c r="DU25" i="1"/>
  <c r="DV24" i="1"/>
  <c r="ET27" i="1" l="1"/>
  <c r="EU26" i="1"/>
  <c r="EV26" i="1"/>
  <c r="EQ27" i="1"/>
  <c r="EO28" i="1"/>
  <c r="EP27" i="1"/>
  <c r="CX27" i="1"/>
  <c r="CV28" i="1"/>
  <c r="CW27" i="1"/>
  <c r="BJ25" i="1"/>
  <c r="BH26" i="1"/>
  <c r="BI25" i="1"/>
  <c r="AZ25" i="1"/>
  <c r="AX26" i="1"/>
  <c r="AY25" i="1"/>
  <c r="AK28" i="1"/>
  <c r="AI29" i="1"/>
  <c r="AJ28" i="1"/>
  <c r="EG25" i="1"/>
  <c r="EE26" i="1"/>
  <c r="EF25" i="1"/>
  <c r="AS26" i="1"/>
  <c r="AT25" i="1"/>
  <c r="AU25" i="1"/>
  <c r="DU26" i="1"/>
  <c r="DV25" i="1"/>
  <c r="DW25" i="1"/>
  <c r="BE25" i="1"/>
  <c r="BC26" i="1"/>
  <c r="BD25" i="1"/>
  <c r="AP25" i="1"/>
  <c r="AN26" i="1"/>
  <c r="AO25" i="1"/>
  <c r="BO27" i="1"/>
  <c r="BM28" i="1"/>
  <c r="BN27" i="1"/>
  <c r="DM28" i="1"/>
  <c r="DK29" i="1"/>
  <c r="DL28" i="1"/>
  <c r="BY26" i="1"/>
  <c r="BW27" i="1"/>
  <c r="BX26" i="1"/>
  <c r="CD25" i="1"/>
  <c r="CB26" i="1"/>
  <c r="CC25" i="1"/>
  <c r="DZ27" i="1"/>
  <c r="EA26" i="1"/>
  <c r="EB26" i="1"/>
  <c r="AD27" i="1"/>
  <c r="AE26" i="1"/>
  <c r="AF26" i="1"/>
  <c r="AA26" i="1"/>
  <c r="Y27" i="1"/>
  <c r="Z26" i="1"/>
  <c r="BR27" i="1"/>
  <c r="BS26" i="1"/>
  <c r="BT26" i="1"/>
  <c r="DR25" i="1"/>
  <c r="DP26" i="1"/>
  <c r="DQ25" i="1"/>
  <c r="CS25" i="1"/>
  <c r="CQ26" i="1"/>
  <c r="CR25" i="1"/>
  <c r="EL25" i="1"/>
  <c r="EJ26" i="1"/>
  <c r="EK25" i="1"/>
  <c r="CG26" i="1"/>
  <c r="CH25" i="1"/>
  <c r="CI25" i="1"/>
  <c r="DF27" i="1"/>
  <c r="DG26" i="1"/>
  <c r="DH26" i="1"/>
  <c r="DC26" i="1"/>
  <c r="DA27" i="1"/>
  <c r="DB26" i="1"/>
  <c r="V27" i="1"/>
  <c r="T28" i="1"/>
  <c r="U27" i="1"/>
  <c r="CL27" i="1"/>
  <c r="CM26" i="1"/>
  <c r="CN26" i="1"/>
  <c r="AP26" i="1" l="1"/>
  <c r="AN27" i="1"/>
  <c r="AO26" i="1"/>
  <c r="EG26" i="1"/>
  <c r="EE27" i="1"/>
  <c r="EF26" i="1"/>
  <c r="CI26" i="1"/>
  <c r="CG27" i="1"/>
  <c r="CH26" i="1"/>
  <c r="DR26" i="1"/>
  <c r="DP27" i="1"/>
  <c r="DQ26" i="1"/>
  <c r="BR28" i="1"/>
  <c r="BS27" i="1"/>
  <c r="BT27" i="1"/>
  <c r="BO28" i="1"/>
  <c r="BM29" i="1"/>
  <c r="BN28" i="1"/>
  <c r="BJ26" i="1"/>
  <c r="BH27" i="1"/>
  <c r="BI26" i="1"/>
  <c r="DC27" i="1"/>
  <c r="DA28" i="1"/>
  <c r="DB27" i="1"/>
  <c r="DG27" i="1"/>
  <c r="DH27" i="1"/>
  <c r="DF28" i="1"/>
  <c r="CS26" i="1"/>
  <c r="CQ27" i="1"/>
  <c r="CR26" i="1"/>
  <c r="EB27" i="1"/>
  <c r="DZ28" i="1"/>
  <c r="EA27" i="1"/>
  <c r="DM29" i="1"/>
  <c r="DK30" i="1"/>
  <c r="DL29" i="1"/>
  <c r="AS27" i="1"/>
  <c r="AT26" i="1"/>
  <c r="AU26" i="1"/>
  <c r="AX27" i="1"/>
  <c r="AY26" i="1"/>
  <c r="AZ26" i="1"/>
  <c r="CD26" i="1"/>
  <c r="CB27" i="1"/>
  <c r="CC26" i="1"/>
  <c r="CV29" i="1"/>
  <c r="CW28" i="1"/>
  <c r="CX28" i="1"/>
  <c r="CN27" i="1"/>
  <c r="CL28" i="1"/>
  <c r="CM27" i="1"/>
  <c r="T29" i="1"/>
  <c r="U28" i="1"/>
  <c r="V28" i="1"/>
  <c r="EL26" i="1"/>
  <c r="EJ27" i="1"/>
  <c r="EK26" i="1"/>
  <c r="AA27" i="1"/>
  <c r="Y28" i="1"/>
  <c r="Z27" i="1"/>
  <c r="AD28" i="1"/>
  <c r="AF27" i="1"/>
  <c r="AE27" i="1"/>
  <c r="BW28" i="1"/>
  <c r="BX27" i="1"/>
  <c r="BY27" i="1"/>
  <c r="BE26" i="1"/>
  <c r="BC27" i="1"/>
  <c r="BD26" i="1"/>
  <c r="DU27" i="1"/>
  <c r="DV26" i="1"/>
  <c r="DW26" i="1"/>
  <c r="AK29" i="1"/>
  <c r="AI30" i="1"/>
  <c r="AJ29" i="1"/>
  <c r="EQ28" i="1"/>
  <c r="EO29" i="1"/>
  <c r="EP28" i="1"/>
  <c r="ET28" i="1"/>
  <c r="EU27" i="1"/>
  <c r="EV27" i="1"/>
  <c r="EV28" i="1" l="1"/>
  <c r="ET29" i="1"/>
  <c r="EU28" i="1"/>
  <c r="AA28" i="1"/>
  <c r="Y29" i="1"/>
  <c r="Z28" i="1"/>
  <c r="EO30" i="1"/>
  <c r="EP29" i="1"/>
  <c r="EQ29" i="1"/>
  <c r="AF28" i="1"/>
  <c r="AD29" i="1"/>
  <c r="AE28" i="1"/>
  <c r="AU27" i="1"/>
  <c r="AS28" i="1"/>
  <c r="AT27" i="1"/>
  <c r="CQ28" i="1"/>
  <c r="CR27" i="1"/>
  <c r="CS27" i="1"/>
  <c r="BM30" i="1"/>
  <c r="BN29" i="1"/>
  <c r="BO29" i="1"/>
  <c r="BT28" i="1"/>
  <c r="BR29" i="1"/>
  <c r="BS28" i="1"/>
  <c r="EE28" i="1"/>
  <c r="EF27" i="1"/>
  <c r="EG27" i="1"/>
  <c r="BC28" i="1"/>
  <c r="BD27" i="1"/>
  <c r="BE27" i="1"/>
  <c r="BY28" i="1"/>
  <c r="BW29" i="1"/>
  <c r="BX28" i="1"/>
  <c r="EL27" i="1"/>
  <c r="EJ28" i="1"/>
  <c r="EK27" i="1"/>
  <c r="V29" i="1"/>
  <c r="T30" i="1"/>
  <c r="U29" i="1"/>
  <c r="CD27" i="1"/>
  <c r="CB28" i="1"/>
  <c r="CC27" i="1"/>
  <c r="AZ27" i="1"/>
  <c r="AX28" i="1"/>
  <c r="AY27" i="1"/>
  <c r="EB28" i="1"/>
  <c r="DZ29" i="1"/>
  <c r="EA28" i="1"/>
  <c r="BJ27" i="1"/>
  <c r="BH28" i="1"/>
  <c r="BI27" i="1"/>
  <c r="CI27" i="1"/>
  <c r="CG28" i="1"/>
  <c r="CH27" i="1"/>
  <c r="DM30" i="1"/>
  <c r="DK31" i="1"/>
  <c r="DL30" i="1"/>
  <c r="DH28" i="1"/>
  <c r="DF29" i="1"/>
  <c r="DG28" i="1"/>
  <c r="DC28" i="1"/>
  <c r="DA29" i="1"/>
  <c r="DB28" i="1"/>
  <c r="DR27" i="1"/>
  <c r="DP28" i="1"/>
  <c r="DQ27" i="1"/>
  <c r="AK30" i="1"/>
  <c r="AI31" i="1"/>
  <c r="AJ30" i="1"/>
  <c r="DW27" i="1"/>
  <c r="DV27" i="1"/>
  <c r="DU28" i="1"/>
  <c r="CN28" i="1"/>
  <c r="CL29" i="1"/>
  <c r="CM28" i="1"/>
  <c r="CX29" i="1"/>
  <c r="CV30" i="1"/>
  <c r="CW29" i="1"/>
  <c r="AP27" i="1"/>
  <c r="AN28" i="1"/>
  <c r="AO27" i="1"/>
  <c r="CX30" i="1" l="1"/>
  <c r="CV31" i="1"/>
  <c r="CW30" i="1"/>
  <c r="DP29" i="1"/>
  <c r="DQ28" i="1"/>
  <c r="DR28" i="1"/>
  <c r="CI28" i="1"/>
  <c r="CG29" i="1"/>
  <c r="CH28" i="1"/>
  <c r="CB29" i="1"/>
  <c r="CC28" i="1"/>
  <c r="CD28" i="1"/>
  <c r="EE29" i="1"/>
  <c r="EG28" i="1"/>
  <c r="EF28" i="1"/>
  <c r="Y30" i="1"/>
  <c r="Z29" i="1"/>
  <c r="AA29" i="1"/>
  <c r="AN29" i="1"/>
  <c r="AO28" i="1"/>
  <c r="AP28" i="1"/>
  <c r="DW28" i="1"/>
  <c r="DU29" i="1"/>
  <c r="DV28" i="1"/>
  <c r="AI32" i="1"/>
  <c r="AJ31" i="1"/>
  <c r="AK31" i="1"/>
  <c r="DK32" i="1"/>
  <c r="DL31" i="1"/>
  <c r="DM31" i="1"/>
  <c r="AZ28" i="1"/>
  <c r="AX29" i="1"/>
  <c r="AY28" i="1"/>
  <c r="BY29" i="1"/>
  <c r="BW30" i="1"/>
  <c r="BX29" i="1"/>
  <c r="BE28" i="1"/>
  <c r="BC29" i="1"/>
  <c r="BD28" i="1"/>
  <c r="CQ29" i="1"/>
  <c r="CR28" i="1"/>
  <c r="CS28" i="1"/>
  <c r="DH29" i="1"/>
  <c r="DF30" i="1"/>
  <c r="DG29" i="1"/>
  <c r="EB29" i="1"/>
  <c r="DZ30" i="1"/>
  <c r="EA29" i="1"/>
  <c r="EJ29" i="1"/>
  <c r="EK28" i="1"/>
  <c r="EL28" i="1"/>
  <c r="BT29" i="1"/>
  <c r="BR30" i="1"/>
  <c r="BS29" i="1"/>
  <c r="BM31" i="1"/>
  <c r="BN30" i="1"/>
  <c r="BO30" i="1"/>
  <c r="AF29" i="1"/>
  <c r="AD30" i="1"/>
  <c r="AE29" i="1"/>
  <c r="EO31" i="1"/>
  <c r="EP30" i="1"/>
  <c r="EQ30" i="1"/>
  <c r="CN29" i="1"/>
  <c r="CL30" i="1"/>
  <c r="CM29" i="1"/>
  <c r="DA30" i="1"/>
  <c r="DB29" i="1"/>
  <c r="DC29" i="1"/>
  <c r="BH29" i="1"/>
  <c r="BI28" i="1"/>
  <c r="BJ28" i="1"/>
  <c r="V30" i="1"/>
  <c r="T31" i="1"/>
  <c r="U30" i="1"/>
  <c r="AU28" i="1"/>
  <c r="AS29" i="1"/>
  <c r="AT28" i="1"/>
  <c r="EV29" i="1"/>
  <c r="ET30" i="1"/>
  <c r="EU29" i="1"/>
  <c r="DB30" i="1" l="1"/>
  <c r="DC30" i="1"/>
  <c r="DA31" i="1"/>
  <c r="AS30" i="1"/>
  <c r="AT29" i="1"/>
  <c r="AU29" i="1"/>
  <c r="CL31" i="1"/>
  <c r="CM30" i="1"/>
  <c r="CN30" i="1"/>
  <c r="EQ31" i="1"/>
  <c r="EO32" i="1"/>
  <c r="EP31" i="1"/>
  <c r="BR31" i="1"/>
  <c r="BS30" i="1"/>
  <c r="BT30" i="1"/>
  <c r="EL29" i="1"/>
  <c r="EJ30" i="1"/>
  <c r="EK29" i="1"/>
  <c r="AI33" i="1"/>
  <c r="AJ32" i="1"/>
  <c r="AK32" i="1"/>
  <c r="EG29" i="1"/>
  <c r="EE30" i="1"/>
  <c r="EF29" i="1"/>
  <c r="ET31" i="1"/>
  <c r="EU30" i="1"/>
  <c r="EV30" i="1"/>
  <c r="DF31" i="1"/>
  <c r="DG30" i="1"/>
  <c r="DH30" i="1"/>
  <c r="CS29" i="1"/>
  <c r="CR29" i="1"/>
  <c r="CQ30" i="1"/>
  <c r="AZ29" i="1"/>
  <c r="AX30" i="1"/>
  <c r="AY29" i="1"/>
  <c r="DK33" i="1"/>
  <c r="DL32" i="1"/>
  <c r="DM32" i="1"/>
  <c r="AA30" i="1"/>
  <c r="Y31" i="1"/>
  <c r="Z30" i="1"/>
  <c r="CG30" i="1"/>
  <c r="CH29" i="1"/>
  <c r="CI29" i="1"/>
  <c r="DP30" i="1"/>
  <c r="DQ29" i="1"/>
  <c r="DR29" i="1"/>
  <c r="AD31" i="1"/>
  <c r="AE30" i="1"/>
  <c r="AF30" i="1"/>
  <c r="BO31" i="1"/>
  <c r="BM32" i="1"/>
  <c r="BN31" i="1"/>
  <c r="DZ31" i="1"/>
  <c r="EA30" i="1"/>
  <c r="EB30" i="1"/>
  <c r="BY30" i="1"/>
  <c r="BW31" i="1"/>
  <c r="BX30" i="1"/>
  <c r="DU30" i="1"/>
  <c r="DV29" i="1"/>
  <c r="DW29" i="1"/>
  <c r="AN30" i="1"/>
  <c r="AO29" i="1"/>
  <c r="AP29" i="1"/>
  <c r="V31" i="1"/>
  <c r="T32" i="1"/>
  <c r="U31" i="1"/>
  <c r="BJ29" i="1"/>
  <c r="BH30" i="1"/>
  <c r="BI29" i="1"/>
  <c r="BE29" i="1"/>
  <c r="BC30" i="1"/>
  <c r="BD29" i="1"/>
  <c r="CC29" i="1"/>
  <c r="CD29" i="1"/>
  <c r="CB30" i="1"/>
  <c r="CX31" i="1"/>
  <c r="CV32" i="1"/>
  <c r="CW31" i="1"/>
  <c r="DW30" i="1" l="1"/>
  <c r="DU31" i="1"/>
  <c r="DV30" i="1"/>
  <c r="BO32" i="1"/>
  <c r="BM33" i="1"/>
  <c r="BN32" i="1"/>
  <c r="AF31" i="1"/>
  <c r="AD32" i="1"/>
  <c r="AE31" i="1"/>
  <c r="AA31" i="1"/>
  <c r="Y32" i="1"/>
  <c r="Z31" i="1"/>
  <c r="DM33" i="1"/>
  <c r="DL33" i="1"/>
  <c r="DK34" i="1"/>
  <c r="CS30" i="1"/>
  <c r="CQ31" i="1"/>
  <c r="CR30" i="1"/>
  <c r="EV31" i="1"/>
  <c r="ET32" i="1"/>
  <c r="EU31" i="1"/>
  <c r="EL30" i="1"/>
  <c r="EJ31" i="1"/>
  <c r="EK30" i="1"/>
  <c r="BT31" i="1"/>
  <c r="BR32" i="1"/>
  <c r="BS31" i="1"/>
  <c r="CV33" i="1"/>
  <c r="CW32" i="1"/>
  <c r="CX32" i="1"/>
  <c r="T33" i="1"/>
  <c r="U32" i="1"/>
  <c r="V32" i="1"/>
  <c r="AP30" i="1"/>
  <c r="AN31" i="1"/>
  <c r="AO30" i="1"/>
  <c r="DH31" i="1"/>
  <c r="DF32" i="1"/>
  <c r="DG31" i="1"/>
  <c r="AU30" i="1"/>
  <c r="AS31" i="1"/>
  <c r="AT30" i="1"/>
  <c r="BJ30" i="1"/>
  <c r="BH31" i="1"/>
  <c r="BI30" i="1"/>
  <c r="BW32" i="1"/>
  <c r="BX31" i="1"/>
  <c r="BY31" i="1"/>
  <c r="EB31" i="1"/>
  <c r="DZ32" i="1"/>
  <c r="EA31" i="1"/>
  <c r="CI30" i="1"/>
  <c r="CG31" i="1"/>
  <c r="CH30" i="1"/>
  <c r="AX31" i="1"/>
  <c r="AY30" i="1"/>
  <c r="AZ30" i="1"/>
  <c r="EG30" i="1"/>
  <c r="EE31" i="1"/>
  <c r="EF30" i="1"/>
  <c r="AK33" i="1"/>
  <c r="AI34" i="1"/>
  <c r="AJ33" i="1"/>
  <c r="EQ32" i="1"/>
  <c r="EO33" i="1"/>
  <c r="EP32" i="1"/>
  <c r="CL32" i="1"/>
  <c r="CM31" i="1"/>
  <c r="CN31" i="1"/>
  <c r="DC31" i="1"/>
  <c r="DA32" i="1"/>
  <c r="DB31" i="1"/>
  <c r="CD30" i="1"/>
  <c r="CB31" i="1"/>
  <c r="CC30" i="1"/>
  <c r="BE30" i="1"/>
  <c r="BC31" i="1"/>
  <c r="BD30" i="1"/>
  <c r="DR30" i="1"/>
  <c r="DQ30" i="1"/>
  <c r="DP31" i="1"/>
  <c r="CX33" i="1" l="1"/>
  <c r="CV34" i="1"/>
  <c r="CW33" i="1"/>
  <c r="AF32" i="1"/>
  <c r="AD33" i="1"/>
  <c r="AE32" i="1"/>
  <c r="DC32" i="1"/>
  <c r="DA33" i="1"/>
  <c r="DB32" i="1"/>
  <c r="CN32" i="1"/>
  <c r="CM32" i="1"/>
  <c r="CL33" i="1"/>
  <c r="EE32" i="1"/>
  <c r="EF31" i="1"/>
  <c r="EG31" i="1"/>
  <c r="AZ31" i="1"/>
  <c r="AX32" i="1"/>
  <c r="AY31" i="1"/>
  <c r="AP31" i="1"/>
  <c r="AN32" i="1"/>
  <c r="AO31" i="1"/>
  <c r="V33" i="1"/>
  <c r="T34" i="1"/>
  <c r="U33" i="1"/>
  <c r="EL31" i="1"/>
  <c r="EJ32" i="1"/>
  <c r="EK31" i="1"/>
  <c r="DM34" i="1"/>
  <c r="DK35" i="1"/>
  <c r="DL34" i="1"/>
  <c r="AA32" i="1"/>
  <c r="Y33" i="1"/>
  <c r="Z32" i="1"/>
  <c r="CD31" i="1"/>
  <c r="CB32" i="1"/>
  <c r="CC31" i="1"/>
  <c r="AK34" i="1"/>
  <c r="AI35" i="1"/>
  <c r="AJ34" i="1"/>
  <c r="EB32" i="1"/>
  <c r="DZ33" i="1"/>
  <c r="EA32" i="1"/>
  <c r="BY32" i="1"/>
  <c r="BW33" i="1"/>
  <c r="BX32" i="1"/>
  <c r="DH32" i="1"/>
  <c r="DF33" i="1"/>
  <c r="DG32" i="1"/>
  <c r="BT32" i="1"/>
  <c r="BR33" i="1"/>
  <c r="BS32" i="1"/>
  <c r="DW31" i="1"/>
  <c r="DU32" i="1"/>
  <c r="DV31" i="1"/>
  <c r="BJ31" i="1"/>
  <c r="BH32" i="1"/>
  <c r="BI31" i="1"/>
  <c r="EV32" i="1"/>
  <c r="ET33" i="1"/>
  <c r="EU32" i="1"/>
  <c r="DR31" i="1"/>
  <c r="DP32" i="1"/>
  <c r="DQ31" i="1"/>
  <c r="BC32" i="1"/>
  <c r="BD31" i="1"/>
  <c r="BE31" i="1"/>
  <c r="EO34" i="1"/>
  <c r="EP33" i="1"/>
  <c r="EQ33" i="1"/>
  <c r="CI31" i="1"/>
  <c r="CG32" i="1"/>
  <c r="CH31" i="1"/>
  <c r="AU31" i="1"/>
  <c r="AS32" i="1"/>
  <c r="AT31" i="1"/>
  <c r="CQ32" i="1"/>
  <c r="CR31" i="1"/>
  <c r="CS31" i="1"/>
  <c r="BM34" i="1"/>
  <c r="BN33" i="1"/>
  <c r="BO33" i="1"/>
  <c r="Y34" i="1" l="1"/>
  <c r="Z33" i="1"/>
  <c r="AA33" i="1"/>
  <c r="CN33" i="1"/>
  <c r="CL34" i="1"/>
  <c r="CM33" i="1"/>
  <c r="DA34" i="1"/>
  <c r="DB33" i="1"/>
  <c r="DC33" i="1"/>
  <c r="BO34" i="1"/>
  <c r="BM35" i="1"/>
  <c r="BN34" i="1"/>
  <c r="EQ34" i="1"/>
  <c r="EO35" i="1"/>
  <c r="EP34" i="1"/>
  <c r="EV33" i="1"/>
  <c r="ET34" i="1"/>
  <c r="EU33" i="1"/>
  <c r="CB33" i="1"/>
  <c r="CC32" i="1"/>
  <c r="CD32" i="1"/>
  <c r="V34" i="1"/>
  <c r="T35" i="1"/>
  <c r="U34" i="1"/>
  <c r="AU32" i="1"/>
  <c r="AS33" i="1"/>
  <c r="AT32" i="1"/>
  <c r="DP33" i="1"/>
  <c r="DQ32" i="1"/>
  <c r="DR32" i="1"/>
  <c r="BT33" i="1"/>
  <c r="BR34" i="1"/>
  <c r="BS33" i="1"/>
  <c r="AI36" i="1"/>
  <c r="AJ35" i="1"/>
  <c r="AK35" i="1"/>
  <c r="EJ33" i="1"/>
  <c r="EK32" i="1"/>
  <c r="EL32" i="1"/>
  <c r="CX34" i="1"/>
  <c r="CV35" i="1"/>
  <c r="CW34" i="1"/>
  <c r="CS32" i="1"/>
  <c r="CQ33" i="1"/>
  <c r="CR32" i="1"/>
  <c r="BE32" i="1"/>
  <c r="BC33" i="1"/>
  <c r="BD32" i="1"/>
  <c r="BH33" i="1"/>
  <c r="BI32" i="1"/>
  <c r="BJ32" i="1"/>
  <c r="BY33" i="1"/>
  <c r="BW34" i="1"/>
  <c r="BX33" i="1"/>
  <c r="AN33" i="1"/>
  <c r="AO32" i="1"/>
  <c r="AP32" i="1"/>
  <c r="CI32" i="1"/>
  <c r="CG33" i="1"/>
  <c r="CH32" i="1"/>
  <c r="DH33" i="1"/>
  <c r="DF34" i="1"/>
  <c r="DG33" i="1"/>
  <c r="DW32" i="1"/>
  <c r="DU33" i="1"/>
  <c r="DV32" i="1"/>
  <c r="EB33" i="1"/>
  <c r="DZ34" i="1"/>
  <c r="EA33" i="1"/>
  <c r="DK36" i="1"/>
  <c r="DL35" i="1"/>
  <c r="DM35" i="1"/>
  <c r="AZ32" i="1"/>
  <c r="AX33" i="1"/>
  <c r="AY32" i="1"/>
  <c r="EG32" i="1"/>
  <c r="EE33" i="1"/>
  <c r="EF32" i="1"/>
  <c r="AF33" i="1"/>
  <c r="AD34" i="1"/>
  <c r="AE33" i="1"/>
  <c r="AD35" i="1" l="1"/>
  <c r="AE34" i="1"/>
  <c r="AF34" i="1"/>
  <c r="CS33" i="1"/>
  <c r="CQ34" i="1"/>
  <c r="CR33" i="1"/>
  <c r="BR35" i="1"/>
  <c r="BS34" i="1"/>
  <c r="BT34" i="1"/>
  <c r="DR33" i="1"/>
  <c r="DP34" i="1"/>
  <c r="DQ33" i="1"/>
  <c r="CG34" i="1"/>
  <c r="CH33" i="1"/>
  <c r="CI33" i="1"/>
  <c r="AP33" i="1"/>
  <c r="AN34" i="1"/>
  <c r="AO33" i="1"/>
  <c r="BE33" i="1"/>
  <c r="BC34" i="1"/>
  <c r="BD33" i="1"/>
  <c r="V35" i="1"/>
  <c r="T36" i="1"/>
  <c r="U35" i="1"/>
  <c r="CD33" i="1"/>
  <c r="CB34" i="1"/>
  <c r="CC33" i="1"/>
  <c r="BO35" i="1"/>
  <c r="BM36" i="1"/>
  <c r="BN35" i="1"/>
  <c r="DC34" i="1"/>
  <c r="DA35" i="1"/>
  <c r="DB34" i="1"/>
  <c r="AZ33" i="1"/>
  <c r="AX34" i="1"/>
  <c r="AY33" i="1"/>
  <c r="DM36" i="1"/>
  <c r="DK37" i="1"/>
  <c r="DL36" i="1"/>
  <c r="DF35" i="1"/>
  <c r="DG34" i="1"/>
  <c r="DH34" i="1"/>
  <c r="AK36" i="1"/>
  <c r="AI37" i="1"/>
  <c r="AJ36" i="1"/>
  <c r="AS34" i="1"/>
  <c r="AT33" i="1"/>
  <c r="AU33" i="1"/>
  <c r="EQ35" i="1"/>
  <c r="EO36" i="1"/>
  <c r="EP35" i="1"/>
  <c r="DZ35" i="1"/>
  <c r="EA34" i="1"/>
  <c r="EB34" i="1"/>
  <c r="EG33" i="1"/>
  <c r="EE34" i="1"/>
  <c r="EF33" i="1"/>
  <c r="DU34" i="1"/>
  <c r="DV33" i="1"/>
  <c r="DW33" i="1"/>
  <c r="BY34" i="1"/>
  <c r="BW35" i="1"/>
  <c r="BX34" i="1"/>
  <c r="BH34" i="1"/>
  <c r="BI33" i="1"/>
  <c r="BJ33" i="1"/>
  <c r="CX35" i="1"/>
  <c r="CV36" i="1"/>
  <c r="CW35" i="1"/>
  <c r="EJ34" i="1"/>
  <c r="EK33" i="1"/>
  <c r="EL33" i="1"/>
  <c r="ET35" i="1"/>
  <c r="EU34" i="1"/>
  <c r="EV34" i="1"/>
  <c r="CL35" i="1"/>
  <c r="CM34" i="1"/>
  <c r="CN34" i="1"/>
  <c r="AA34" i="1"/>
  <c r="Y35" i="1"/>
  <c r="Z34" i="1"/>
  <c r="EV35" i="1" l="1"/>
  <c r="ET36" i="1"/>
  <c r="EU35" i="1"/>
  <c r="BO36" i="1"/>
  <c r="BM37" i="1"/>
  <c r="BN36" i="1"/>
  <c r="AP34" i="1"/>
  <c r="AN35" i="1"/>
  <c r="AO34" i="1"/>
  <c r="CG35" i="1"/>
  <c r="CH34" i="1"/>
  <c r="CI34" i="1"/>
  <c r="CS34" i="1"/>
  <c r="CQ35" i="1"/>
  <c r="CR34" i="1"/>
  <c r="AD36" i="1"/>
  <c r="AE35" i="1"/>
  <c r="AF35" i="1"/>
  <c r="AA35" i="1"/>
  <c r="Y36" i="1"/>
  <c r="Z35" i="1"/>
  <c r="CN35" i="1"/>
  <c r="CL36" i="1"/>
  <c r="CM35" i="1"/>
  <c r="CV37" i="1"/>
  <c r="CW36" i="1"/>
  <c r="CX36" i="1"/>
  <c r="BJ34" i="1"/>
  <c r="BH35" i="1"/>
  <c r="BI34" i="1"/>
  <c r="EG34" i="1"/>
  <c r="EE35" i="1"/>
  <c r="EF34" i="1"/>
  <c r="EB35" i="1"/>
  <c r="DZ36" i="1"/>
  <c r="EA35" i="1"/>
  <c r="AK37" i="1"/>
  <c r="AI38" i="1"/>
  <c r="AJ37" i="1"/>
  <c r="DF36" i="1"/>
  <c r="DG35" i="1"/>
  <c r="DH35" i="1"/>
  <c r="DC35" i="1"/>
  <c r="DA36" i="1"/>
  <c r="DB35" i="1"/>
  <c r="BE34" i="1"/>
  <c r="BC35" i="1"/>
  <c r="BD34" i="1"/>
  <c r="AX35" i="1"/>
  <c r="AY34" i="1"/>
  <c r="AZ34" i="1"/>
  <c r="T37" i="1"/>
  <c r="U36" i="1"/>
  <c r="V36" i="1"/>
  <c r="DR34" i="1"/>
  <c r="DP35" i="1"/>
  <c r="DQ34" i="1"/>
  <c r="BT35" i="1"/>
  <c r="BR36" i="1"/>
  <c r="BS35" i="1"/>
  <c r="EL34" i="1"/>
  <c r="EK34" i="1"/>
  <c r="EJ35" i="1"/>
  <c r="BW36" i="1"/>
  <c r="BX35" i="1"/>
  <c r="BY35" i="1"/>
  <c r="DW34" i="1"/>
  <c r="DU35" i="1"/>
  <c r="DV34" i="1"/>
  <c r="EQ36" i="1"/>
  <c r="EO37" i="1"/>
  <c r="EP36" i="1"/>
  <c r="AU34" i="1"/>
  <c r="AS35" i="1"/>
  <c r="AT34" i="1"/>
  <c r="DM37" i="1"/>
  <c r="DK38" i="1"/>
  <c r="DL37" i="1"/>
  <c r="CD34" i="1"/>
  <c r="CB35" i="1"/>
  <c r="CC34" i="1"/>
  <c r="CD35" i="1" l="1"/>
  <c r="CB36" i="1"/>
  <c r="CC35" i="1"/>
  <c r="DR35" i="1"/>
  <c r="DP36" i="1"/>
  <c r="DQ35" i="1"/>
  <c r="AP35" i="1"/>
  <c r="AN36" i="1"/>
  <c r="AO35" i="1"/>
  <c r="EO38" i="1"/>
  <c r="EP37" i="1"/>
  <c r="EQ37" i="1"/>
  <c r="EB36" i="1"/>
  <c r="DZ37" i="1"/>
  <c r="EA36" i="1"/>
  <c r="CN36" i="1"/>
  <c r="CL37" i="1"/>
  <c r="CM36" i="1"/>
  <c r="AU35" i="1"/>
  <c r="AS36" i="1"/>
  <c r="AT35" i="1"/>
  <c r="AI39" i="1"/>
  <c r="AK38" i="1"/>
  <c r="AJ38" i="1"/>
  <c r="CQ36" i="1"/>
  <c r="CR35" i="1"/>
  <c r="CS35" i="1"/>
  <c r="CI35" i="1"/>
  <c r="CG36" i="1"/>
  <c r="CH35" i="1"/>
  <c r="EV36" i="1"/>
  <c r="ET37" i="1"/>
  <c r="EU36" i="1"/>
  <c r="DW35" i="1"/>
  <c r="DU36" i="1"/>
  <c r="DV35" i="1"/>
  <c r="BY36" i="1"/>
  <c r="BW37" i="1"/>
  <c r="BX36" i="1"/>
  <c r="V37" i="1"/>
  <c r="T38" i="1"/>
  <c r="U37" i="1"/>
  <c r="DC36" i="1"/>
  <c r="DA37" i="1"/>
  <c r="DB36" i="1"/>
  <c r="DH36" i="1"/>
  <c r="DF37" i="1"/>
  <c r="DG36" i="1"/>
  <c r="EE36" i="1"/>
  <c r="EF35" i="1"/>
  <c r="EG35" i="1"/>
  <c r="AA36" i="1"/>
  <c r="Y37" i="1"/>
  <c r="Z36" i="1"/>
  <c r="AF36" i="1"/>
  <c r="AE36" i="1"/>
  <c r="AD37" i="1"/>
  <c r="EL35" i="1"/>
  <c r="EJ36" i="1"/>
  <c r="EK35" i="1"/>
  <c r="BT36" i="1"/>
  <c r="BR37" i="1"/>
  <c r="BS36" i="1"/>
  <c r="BC36" i="1"/>
  <c r="BD35" i="1"/>
  <c r="BE35" i="1"/>
  <c r="DK39" i="1"/>
  <c r="DM38" i="1"/>
  <c r="DL38" i="1"/>
  <c r="AZ35" i="1"/>
  <c r="AX36" i="1"/>
  <c r="AY35" i="1"/>
  <c r="BJ35" i="1"/>
  <c r="BH36" i="1"/>
  <c r="BI35" i="1"/>
  <c r="CX37" i="1"/>
  <c r="CV38" i="1"/>
  <c r="CW37" i="1"/>
  <c r="BM38" i="1"/>
  <c r="BN37" i="1"/>
  <c r="BO37" i="1"/>
  <c r="AF37" i="1" l="1"/>
  <c r="AD38" i="1"/>
  <c r="AE37" i="1"/>
  <c r="Y38" i="1"/>
  <c r="Z37" i="1"/>
  <c r="AA37" i="1"/>
  <c r="EE37" i="1"/>
  <c r="EF36" i="1"/>
  <c r="EG36" i="1"/>
  <c r="V38" i="1"/>
  <c r="U38" i="1"/>
  <c r="T39" i="1"/>
  <c r="CI36" i="1"/>
  <c r="CG37" i="1"/>
  <c r="CH36" i="1"/>
  <c r="CS36" i="1"/>
  <c r="CQ37" i="1"/>
  <c r="CR36" i="1"/>
  <c r="CN37" i="1"/>
  <c r="CL38" i="1"/>
  <c r="CM37" i="1"/>
  <c r="DP37" i="1"/>
  <c r="DQ36" i="1"/>
  <c r="DR36" i="1"/>
  <c r="BC37" i="1"/>
  <c r="BD36" i="1"/>
  <c r="BE36" i="1"/>
  <c r="DA38" i="1"/>
  <c r="DB37" i="1"/>
  <c r="DC37" i="1"/>
  <c r="EV37" i="1"/>
  <c r="ET38" i="1"/>
  <c r="EU37" i="1"/>
  <c r="AU36" i="1"/>
  <c r="AS37" i="1"/>
  <c r="AT36" i="1"/>
  <c r="AN37" i="1"/>
  <c r="AO36" i="1"/>
  <c r="AP36" i="1"/>
  <c r="CV39" i="1"/>
  <c r="CX38" i="1"/>
  <c r="CW38" i="1"/>
  <c r="BM39" i="1"/>
  <c r="BO38" i="1"/>
  <c r="BN38" i="1"/>
  <c r="AZ36" i="1"/>
  <c r="AX37" i="1"/>
  <c r="AY36" i="1"/>
  <c r="DM39" i="1"/>
  <c r="DK40" i="1"/>
  <c r="DL39" i="1"/>
  <c r="EJ37" i="1"/>
  <c r="EK36" i="1"/>
  <c r="EL36" i="1"/>
  <c r="DH37" i="1"/>
  <c r="DF38" i="1"/>
  <c r="DG37" i="1"/>
  <c r="DW36" i="1"/>
  <c r="DU37" i="1"/>
  <c r="DV36" i="1"/>
  <c r="BH37" i="1"/>
  <c r="BI36" i="1"/>
  <c r="BJ36" i="1"/>
  <c r="BT37" i="1"/>
  <c r="BR38" i="1"/>
  <c r="BS37" i="1"/>
  <c r="BY37" i="1"/>
  <c r="BW38" i="1"/>
  <c r="BX37" i="1"/>
  <c r="AI40" i="1"/>
  <c r="AJ39" i="1"/>
  <c r="AK39" i="1"/>
  <c r="EB37" i="1"/>
  <c r="DZ38" i="1"/>
  <c r="EA37" i="1"/>
  <c r="EO39" i="1"/>
  <c r="EQ38" i="1"/>
  <c r="EP38" i="1"/>
  <c r="CB37" i="1"/>
  <c r="CC36" i="1"/>
  <c r="CD36" i="1"/>
  <c r="EQ39" i="1" l="1"/>
  <c r="EO40" i="1"/>
  <c r="EP39" i="1"/>
  <c r="CX39" i="1"/>
  <c r="CV40" i="1"/>
  <c r="CW39" i="1"/>
  <c r="ET39" i="1"/>
  <c r="EU38" i="1"/>
  <c r="EV38" i="1"/>
  <c r="DA39" i="1"/>
  <c r="DB38" i="1"/>
  <c r="DC38" i="1"/>
  <c r="V39" i="1"/>
  <c r="T40" i="1"/>
  <c r="U39" i="1"/>
  <c r="DU38" i="1"/>
  <c r="DV37" i="1"/>
  <c r="DW37" i="1"/>
  <c r="AZ37" i="1"/>
  <c r="AX38" i="1"/>
  <c r="AY37" i="1"/>
  <c r="BO39" i="1"/>
  <c r="BM40" i="1"/>
  <c r="BN39" i="1"/>
  <c r="AS38" i="1"/>
  <c r="AT37" i="1"/>
  <c r="AU37" i="1"/>
  <c r="EG37" i="1"/>
  <c r="EF37" i="1"/>
  <c r="EE38" i="1"/>
  <c r="DZ39" i="1"/>
  <c r="EA38" i="1"/>
  <c r="EB38" i="1"/>
  <c r="AI41" i="1"/>
  <c r="AJ40" i="1"/>
  <c r="AK40" i="1"/>
  <c r="DK41" i="1"/>
  <c r="DL40" i="1"/>
  <c r="DM40" i="1"/>
  <c r="DR37" i="1"/>
  <c r="DP38" i="1"/>
  <c r="DQ37" i="1"/>
  <c r="CG38" i="1"/>
  <c r="CH37" i="1"/>
  <c r="CI37" i="1"/>
  <c r="AD39" i="1"/>
  <c r="AE38" i="1"/>
  <c r="AF38" i="1"/>
  <c r="BY38" i="1"/>
  <c r="BX38" i="1"/>
  <c r="BW39" i="1"/>
  <c r="DF39" i="1"/>
  <c r="DG38" i="1"/>
  <c r="DH38" i="1"/>
  <c r="EL37" i="1"/>
  <c r="EJ38" i="1"/>
  <c r="EK37" i="1"/>
  <c r="CL39" i="1"/>
  <c r="CM38" i="1"/>
  <c r="CN38" i="1"/>
  <c r="Y39" i="1"/>
  <c r="Z38" i="1"/>
  <c r="AA38" i="1"/>
  <c r="CB38" i="1"/>
  <c r="CC37" i="1"/>
  <c r="CD37" i="1"/>
  <c r="BR39" i="1"/>
  <c r="BS38" i="1"/>
  <c r="BT38" i="1"/>
  <c r="BJ37" i="1"/>
  <c r="BH38" i="1"/>
  <c r="BI37" i="1"/>
  <c r="AP37" i="1"/>
  <c r="AN38" i="1"/>
  <c r="AO37" i="1"/>
  <c r="BE37" i="1"/>
  <c r="BC38" i="1"/>
  <c r="BD37" i="1"/>
  <c r="CS37" i="1"/>
  <c r="CQ38" i="1"/>
  <c r="CR37" i="1"/>
  <c r="Z39" i="1" l="1"/>
  <c r="Y40" i="1"/>
  <c r="AA39" i="1"/>
  <c r="DR38" i="1"/>
  <c r="DP39" i="1"/>
  <c r="DQ38" i="1"/>
  <c r="DM41" i="1"/>
  <c r="DK42" i="1"/>
  <c r="DL41" i="1"/>
  <c r="AS39" i="1"/>
  <c r="AU38" i="1"/>
  <c r="AT38" i="1"/>
  <c r="CX40" i="1"/>
  <c r="CV41" i="1"/>
  <c r="CW40" i="1"/>
  <c r="CS38" i="1"/>
  <c r="CR38" i="1"/>
  <c r="CQ39" i="1"/>
  <c r="CB39" i="1"/>
  <c r="CD38" i="1"/>
  <c r="CC38" i="1"/>
  <c r="EJ39" i="1"/>
  <c r="EL38" i="1"/>
  <c r="EK38" i="1"/>
  <c r="DF40" i="1"/>
  <c r="DG39" i="1"/>
  <c r="DH39" i="1"/>
  <c r="AX39" i="1"/>
  <c r="AY38" i="1"/>
  <c r="AZ38" i="1"/>
  <c r="DU39" i="1"/>
  <c r="DW38" i="1"/>
  <c r="DV38" i="1"/>
  <c r="BE38" i="1"/>
  <c r="BD38" i="1"/>
  <c r="BC39" i="1"/>
  <c r="BH39" i="1"/>
  <c r="BJ38" i="1"/>
  <c r="BI38" i="1"/>
  <c r="BR40" i="1"/>
  <c r="BS39" i="1"/>
  <c r="BT39" i="1"/>
  <c r="BW40" i="1"/>
  <c r="BX39" i="1"/>
  <c r="BY39" i="1"/>
  <c r="CI38" i="1"/>
  <c r="CH38" i="1"/>
  <c r="CG39" i="1"/>
  <c r="DZ40" i="1"/>
  <c r="EA39" i="1"/>
  <c r="EB39" i="1"/>
  <c r="BO40" i="1"/>
  <c r="BM41" i="1"/>
  <c r="BN40" i="1"/>
  <c r="ET40" i="1"/>
  <c r="EU39" i="1"/>
  <c r="EV39" i="1"/>
  <c r="AP38" i="1"/>
  <c r="AN39" i="1"/>
  <c r="AO38" i="1"/>
  <c r="CL40" i="1"/>
  <c r="CM39" i="1"/>
  <c r="CN39" i="1"/>
  <c r="AD40" i="1"/>
  <c r="AF39" i="1"/>
  <c r="AE39" i="1"/>
  <c r="AK41" i="1"/>
  <c r="AI42" i="1"/>
  <c r="AJ41" i="1"/>
  <c r="EG38" i="1"/>
  <c r="EF38" i="1"/>
  <c r="EE39" i="1"/>
  <c r="V40" i="1"/>
  <c r="T41" i="1"/>
  <c r="U40" i="1"/>
  <c r="DB39" i="1"/>
  <c r="DA40" i="1"/>
  <c r="DC39" i="1"/>
  <c r="EQ40" i="1"/>
  <c r="EO41" i="1"/>
  <c r="EP40" i="1"/>
  <c r="EG39" i="1" l="1"/>
  <c r="EE40" i="1"/>
  <c r="EF39" i="1"/>
  <c r="AK42" i="1"/>
  <c r="AI43" i="1"/>
  <c r="AJ42" i="1"/>
  <c r="AF40" i="1"/>
  <c r="AD41" i="1"/>
  <c r="AE40" i="1"/>
  <c r="CI39" i="1"/>
  <c r="CG40" i="1"/>
  <c r="CH39" i="1"/>
  <c r="BT40" i="1"/>
  <c r="BR41" i="1"/>
  <c r="BS40" i="1"/>
  <c r="BC40" i="1"/>
  <c r="BD39" i="1"/>
  <c r="BE39" i="1"/>
  <c r="AX40" i="1"/>
  <c r="AZ39" i="1"/>
  <c r="AY39" i="1"/>
  <c r="BW41" i="1"/>
  <c r="BX40" i="1"/>
  <c r="BY40" i="1"/>
  <c r="T42" i="1"/>
  <c r="U41" i="1"/>
  <c r="V41" i="1"/>
  <c r="EL39" i="1"/>
  <c r="EJ40" i="1"/>
  <c r="EK39" i="1"/>
  <c r="CS39" i="1"/>
  <c r="CQ40" i="1"/>
  <c r="CR39" i="1"/>
  <c r="CV42" i="1"/>
  <c r="CW41" i="1"/>
  <c r="CX41" i="1"/>
  <c r="AS40" i="1"/>
  <c r="AU39" i="1"/>
  <c r="AT39" i="1"/>
  <c r="AA40" i="1"/>
  <c r="Z40" i="1"/>
  <c r="Y41" i="1"/>
  <c r="EQ41" i="1"/>
  <c r="EO42" i="1"/>
  <c r="EP41" i="1"/>
  <c r="DM42" i="1"/>
  <c r="DK43" i="1"/>
  <c r="DL42" i="1"/>
  <c r="AP39" i="1"/>
  <c r="AO39" i="1"/>
  <c r="AN40" i="1"/>
  <c r="EV40" i="1"/>
  <c r="ET41" i="1"/>
  <c r="EU40" i="1"/>
  <c r="DW39" i="1"/>
  <c r="DU40" i="1"/>
  <c r="DV39" i="1"/>
  <c r="CD39" i="1"/>
  <c r="CC39" i="1"/>
  <c r="CB40" i="1"/>
  <c r="DC40" i="1"/>
  <c r="DA41" i="1"/>
  <c r="DB40" i="1"/>
  <c r="CN40" i="1"/>
  <c r="CL41" i="1"/>
  <c r="CM40" i="1"/>
  <c r="BO41" i="1"/>
  <c r="BM42" i="1"/>
  <c r="BN41" i="1"/>
  <c r="EA40" i="1"/>
  <c r="EB40" i="1"/>
  <c r="DZ41" i="1"/>
  <c r="BJ39" i="1"/>
  <c r="BH40" i="1"/>
  <c r="BI39" i="1"/>
  <c r="DH40" i="1"/>
  <c r="DF41" i="1"/>
  <c r="DG40" i="1"/>
  <c r="DR39" i="1"/>
  <c r="DP40" i="1"/>
  <c r="DQ39" i="1"/>
  <c r="DR40" i="1" l="1"/>
  <c r="DP41" i="1"/>
  <c r="DQ40" i="1"/>
  <c r="CD40" i="1"/>
  <c r="CB41" i="1"/>
  <c r="CC40" i="1"/>
  <c r="DW40" i="1"/>
  <c r="DU41" i="1"/>
  <c r="DV40" i="1"/>
  <c r="AF41" i="1"/>
  <c r="AD42" i="1"/>
  <c r="AE41" i="1"/>
  <c r="AX41" i="1"/>
  <c r="AZ40" i="1"/>
  <c r="AY40" i="1"/>
  <c r="CI40" i="1"/>
  <c r="CG41" i="1"/>
  <c r="CH40" i="1"/>
  <c r="BJ40" i="1"/>
  <c r="BH41" i="1"/>
  <c r="BI40" i="1"/>
  <c r="DC41" i="1"/>
  <c r="DA42" i="1"/>
  <c r="DB41" i="1"/>
  <c r="AA41" i="1"/>
  <c r="Y42" i="1"/>
  <c r="Z41" i="1"/>
  <c r="CV43" i="1"/>
  <c r="CX42" i="1"/>
  <c r="CW42" i="1"/>
  <c r="BW42" i="1"/>
  <c r="BY41" i="1"/>
  <c r="BX41" i="1"/>
  <c r="BT41" i="1"/>
  <c r="BR42" i="1"/>
  <c r="BS41" i="1"/>
  <c r="EE41" i="1"/>
  <c r="EF40" i="1"/>
  <c r="EG40" i="1"/>
  <c r="EB41" i="1"/>
  <c r="EA41" i="1"/>
  <c r="DZ42" i="1"/>
  <c r="BM43" i="1"/>
  <c r="BN42" i="1"/>
  <c r="BO42" i="1"/>
  <c r="EO43" i="1"/>
  <c r="EP42" i="1"/>
  <c r="EQ42" i="1"/>
  <c r="CQ41" i="1"/>
  <c r="CR40" i="1"/>
  <c r="CS40" i="1"/>
  <c r="BC41" i="1"/>
  <c r="BD40" i="1"/>
  <c r="BE40" i="1"/>
  <c r="AP40" i="1"/>
  <c r="AN41" i="1"/>
  <c r="AO40" i="1"/>
  <c r="DM43" i="1"/>
  <c r="DK44" i="1"/>
  <c r="DL43" i="1"/>
  <c r="DH41" i="1"/>
  <c r="DF42" i="1"/>
  <c r="DG41" i="1"/>
  <c r="CN41" i="1"/>
  <c r="CL42" i="1"/>
  <c r="CM41" i="1"/>
  <c r="EV41" i="1"/>
  <c r="ET42" i="1"/>
  <c r="EU41" i="1"/>
  <c r="AU40" i="1"/>
  <c r="AS41" i="1"/>
  <c r="AT40" i="1"/>
  <c r="EL40" i="1"/>
  <c r="EJ41" i="1"/>
  <c r="EK40" i="1"/>
  <c r="U42" i="1"/>
  <c r="T43" i="1"/>
  <c r="V42" i="1"/>
  <c r="AK43" i="1"/>
  <c r="AI44" i="1"/>
  <c r="AJ43" i="1"/>
  <c r="AI45" i="1" l="1"/>
  <c r="AJ44" i="1"/>
  <c r="AK44" i="1"/>
  <c r="AN42" i="1"/>
  <c r="AO41" i="1"/>
  <c r="AP41" i="1"/>
  <c r="BE41" i="1"/>
  <c r="BC42" i="1"/>
  <c r="BD41" i="1"/>
  <c r="DW41" i="1"/>
  <c r="DU42" i="1"/>
  <c r="DV41" i="1"/>
  <c r="AU41" i="1"/>
  <c r="AS42" i="1"/>
  <c r="AT41" i="1"/>
  <c r="DK45" i="1"/>
  <c r="DL44" i="1"/>
  <c r="DM44" i="1"/>
  <c r="BO43" i="1"/>
  <c r="BM44" i="1"/>
  <c r="BN43" i="1"/>
  <c r="AF42" i="1"/>
  <c r="AD43" i="1"/>
  <c r="AE42" i="1"/>
  <c r="EJ42" i="1"/>
  <c r="EK41" i="1"/>
  <c r="EL41" i="1"/>
  <c r="DH42" i="1"/>
  <c r="DF43" i="1"/>
  <c r="DG42" i="1"/>
  <c r="EQ43" i="1"/>
  <c r="EO44" i="1"/>
  <c r="EP43" i="1"/>
  <c r="EB42" i="1"/>
  <c r="DZ43" i="1"/>
  <c r="EA42" i="1"/>
  <c r="Y43" i="1"/>
  <c r="Z42" i="1"/>
  <c r="AA42" i="1"/>
  <c r="DP42" i="1"/>
  <c r="DQ41" i="1"/>
  <c r="DR41" i="1"/>
  <c r="EV42" i="1"/>
  <c r="ET43" i="1"/>
  <c r="EU42" i="1"/>
  <c r="CX43" i="1"/>
  <c r="CV44" i="1"/>
  <c r="CW43" i="1"/>
  <c r="BH42" i="1"/>
  <c r="BI41" i="1"/>
  <c r="BJ41" i="1"/>
  <c r="BT42" i="1"/>
  <c r="BR43" i="1"/>
  <c r="BS42" i="1"/>
  <c r="BY42" i="1"/>
  <c r="BX42" i="1"/>
  <c r="BW43" i="1"/>
  <c r="DA43" i="1"/>
  <c r="DB42" i="1"/>
  <c r="DC42" i="1"/>
  <c r="V43" i="1"/>
  <c r="T44" i="1"/>
  <c r="U43" i="1"/>
  <c r="CN42" i="1"/>
  <c r="CL43" i="1"/>
  <c r="CM42" i="1"/>
  <c r="CS41" i="1"/>
  <c r="CQ42" i="1"/>
  <c r="CR41" i="1"/>
  <c r="EG41" i="1"/>
  <c r="EE42" i="1"/>
  <c r="EF41" i="1"/>
  <c r="CI41" i="1"/>
  <c r="CG42" i="1"/>
  <c r="CH41" i="1"/>
  <c r="AZ41" i="1"/>
  <c r="AX42" i="1"/>
  <c r="AY41" i="1"/>
  <c r="CB42" i="1"/>
  <c r="CC41" i="1"/>
  <c r="CD41" i="1"/>
  <c r="BO44" i="1" l="1"/>
  <c r="BM45" i="1"/>
  <c r="BN44" i="1"/>
  <c r="DM45" i="1"/>
  <c r="DK46" i="1"/>
  <c r="DL45" i="1"/>
  <c r="BE42" i="1"/>
  <c r="BC43" i="1"/>
  <c r="BD42" i="1"/>
  <c r="DU43" i="1"/>
  <c r="DV42" i="1"/>
  <c r="DW42" i="1"/>
  <c r="CG43" i="1"/>
  <c r="CH42" i="1"/>
  <c r="CI42" i="1"/>
  <c r="V44" i="1"/>
  <c r="T45" i="1"/>
  <c r="U44" i="1"/>
  <c r="DC43" i="1"/>
  <c r="DA44" i="1"/>
  <c r="DB43" i="1"/>
  <c r="AS43" i="1"/>
  <c r="AT42" i="1"/>
  <c r="AU42" i="1"/>
  <c r="CS42" i="1"/>
  <c r="CQ43" i="1"/>
  <c r="CR42" i="1"/>
  <c r="ET44" i="1"/>
  <c r="EU43" i="1"/>
  <c r="EV43" i="1"/>
  <c r="DR42" i="1"/>
  <c r="DP43" i="1"/>
  <c r="DQ42" i="1"/>
  <c r="EQ44" i="1"/>
  <c r="EO45" i="1"/>
  <c r="EP44" i="1"/>
  <c r="AP42" i="1"/>
  <c r="AN43" i="1"/>
  <c r="AO42" i="1"/>
  <c r="CD42" i="1"/>
  <c r="CB43" i="1"/>
  <c r="CC42" i="1"/>
  <c r="EG42" i="1"/>
  <c r="EE43" i="1"/>
  <c r="EF42" i="1"/>
  <c r="CX44" i="1"/>
  <c r="CV45" i="1"/>
  <c r="CW44" i="1"/>
  <c r="DZ44" i="1"/>
  <c r="EA43" i="1"/>
  <c r="EB43" i="1"/>
  <c r="AD44" i="1"/>
  <c r="AE43" i="1"/>
  <c r="AF43" i="1"/>
  <c r="AZ42" i="1"/>
  <c r="AX43" i="1"/>
  <c r="AY42" i="1"/>
  <c r="CL44" i="1"/>
  <c r="CM43" i="1"/>
  <c r="CN43" i="1"/>
  <c r="BY43" i="1"/>
  <c r="BW44" i="1"/>
  <c r="BX43" i="1"/>
  <c r="BR44" i="1"/>
  <c r="BS43" i="1"/>
  <c r="BT43" i="1"/>
  <c r="BJ42" i="1"/>
  <c r="BH43" i="1"/>
  <c r="BI42" i="1"/>
  <c r="AA43" i="1"/>
  <c r="Y44" i="1"/>
  <c r="Z43" i="1"/>
  <c r="DF44" i="1"/>
  <c r="DG43" i="1"/>
  <c r="DH43" i="1"/>
  <c r="EL42" i="1"/>
  <c r="EJ43" i="1"/>
  <c r="EK42" i="1"/>
  <c r="AK45" i="1"/>
  <c r="AI46" i="1"/>
  <c r="AJ45" i="1"/>
  <c r="AA44" i="1" l="1"/>
  <c r="Y45" i="1"/>
  <c r="Z44" i="1"/>
  <c r="EL43" i="1"/>
  <c r="EJ44" i="1"/>
  <c r="EK43" i="1"/>
  <c r="DH44" i="1"/>
  <c r="DF45" i="1"/>
  <c r="DG44" i="1"/>
  <c r="EB44" i="1"/>
  <c r="DZ45" i="1"/>
  <c r="EA44" i="1"/>
  <c r="CD43" i="1"/>
  <c r="CB44" i="1"/>
  <c r="CC43" i="1"/>
  <c r="T46" i="1"/>
  <c r="U45" i="1"/>
  <c r="V45" i="1"/>
  <c r="CI43" i="1"/>
  <c r="CG44" i="1"/>
  <c r="CH43" i="1"/>
  <c r="DM46" i="1"/>
  <c r="DK47" i="1"/>
  <c r="DL46" i="1"/>
  <c r="AK46" i="1"/>
  <c r="AI47" i="1"/>
  <c r="AJ46" i="1"/>
  <c r="BJ43" i="1"/>
  <c r="BH44" i="1"/>
  <c r="BI43" i="1"/>
  <c r="BS44" i="1"/>
  <c r="BR45" i="1"/>
  <c r="BT44" i="1"/>
  <c r="AX44" i="1"/>
  <c r="AY43" i="1"/>
  <c r="AZ43" i="1"/>
  <c r="AF44" i="1"/>
  <c r="AD45" i="1"/>
  <c r="AE44" i="1"/>
  <c r="EG43" i="1"/>
  <c r="EE44" i="1"/>
  <c r="EF43" i="1"/>
  <c r="DR43" i="1"/>
  <c r="DP44" i="1"/>
  <c r="DQ43" i="1"/>
  <c r="ET45" i="1"/>
  <c r="EV44" i="1"/>
  <c r="EU44" i="1"/>
  <c r="DC44" i="1"/>
  <c r="DA45" i="1"/>
  <c r="DB44" i="1"/>
  <c r="BE43" i="1"/>
  <c r="BC44" i="1"/>
  <c r="BD43" i="1"/>
  <c r="CV46" i="1"/>
  <c r="CW45" i="1"/>
  <c r="CX45" i="1"/>
  <c r="EQ45" i="1"/>
  <c r="EO46" i="1"/>
  <c r="EP45" i="1"/>
  <c r="BW45" i="1"/>
  <c r="BX44" i="1"/>
  <c r="BY44" i="1"/>
  <c r="CN44" i="1"/>
  <c r="CL45" i="1"/>
  <c r="CM44" i="1"/>
  <c r="AP43" i="1"/>
  <c r="AN44" i="1"/>
  <c r="AO43" i="1"/>
  <c r="CS43" i="1"/>
  <c r="CQ44" i="1"/>
  <c r="CR43" i="1"/>
  <c r="AT43" i="1"/>
  <c r="AU43" i="1"/>
  <c r="AS44" i="1"/>
  <c r="DU44" i="1"/>
  <c r="DW43" i="1"/>
  <c r="DV43" i="1"/>
  <c r="BO45" i="1"/>
  <c r="BM46" i="1"/>
  <c r="BN45" i="1"/>
  <c r="BM47" i="1" l="1"/>
  <c r="BN46" i="1"/>
  <c r="BO46" i="1"/>
  <c r="V46" i="1"/>
  <c r="T47" i="1"/>
  <c r="U46" i="1"/>
  <c r="DH45" i="1"/>
  <c r="DF46" i="1"/>
  <c r="DG45" i="1"/>
  <c r="CQ45" i="1"/>
  <c r="CR44" i="1"/>
  <c r="CS44" i="1"/>
  <c r="CX46" i="1"/>
  <c r="CV47" i="1"/>
  <c r="CW46" i="1"/>
  <c r="DM47" i="1"/>
  <c r="DK48" i="1"/>
  <c r="DL47" i="1"/>
  <c r="EB45" i="1"/>
  <c r="DZ46" i="1"/>
  <c r="EA45" i="1"/>
  <c r="DC45" i="1"/>
  <c r="DA46" i="1"/>
  <c r="DB45" i="1"/>
  <c r="EV45" i="1"/>
  <c r="ET46" i="1"/>
  <c r="EU45" i="1"/>
  <c r="AF45" i="1"/>
  <c r="AD46" i="1"/>
  <c r="AE45" i="1"/>
  <c r="AZ44" i="1"/>
  <c r="AX45" i="1"/>
  <c r="AY44" i="1"/>
  <c r="AK47" i="1"/>
  <c r="AI48" i="1"/>
  <c r="AJ47" i="1"/>
  <c r="CD44" i="1"/>
  <c r="CB45" i="1"/>
  <c r="CC44" i="1"/>
  <c r="AA45" i="1"/>
  <c r="Y46" i="1"/>
  <c r="Z45" i="1"/>
  <c r="DW44" i="1"/>
  <c r="DV44" i="1"/>
  <c r="DU45" i="1"/>
  <c r="AP44" i="1"/>
  <c r="AN45" i="1"/>
  <c r="AO44" i="1"/>
  <c r="DR44" i="1"/>
  <c r="DP45" i="1"/>
  <c r="DQ44" i="1"/>
  <c r="BT45" i="1"/>
  <c r="BR46" i="1"/>
  <c r="BS45" i="1"/>
  <c r="CI44" i="1"/>
  <c r="CG45" i="1"/>
  <c r="CH44" i="1"/>
  <c r="AU44" i="1"/>
  <c r="AT44" i="1"/>
  <c r="AS45" i="1"/>
  <c r="EO47" i="1"/>
  <c r="EP46" i="1"/>
  <c r="EQ46" i="1"/>
  <c r="CN45" i="1"/>
  <c r="CL46" i="1"/>
  <c r="CM45" i="1"/>
  <c r="BY45" i="1"/>
  <c r="BW46" i="1"/>
  <c r="BX45" i="1"/>
  <c r="BC45" i="1"/>
  <c r="BD44" i="1"/>
  <c r="BE44" i="1"/>
  <c r="EE45" i="1"/>
  <c r="EF44" i="1"/>
  <c r="EG44" i="1"/>
  <c r="BJ44" i="1"/>
  <c r="BH45" i="1"/>
  <c r="BI44" i="1"/>
  <c r="EL44" i="1"/>
  <c r="EJ45" i="1"/>
  <c r="EK44" i="1"/>
  <c r="AU45" i="1" l="1"/>
  <c r="AS46" i="1"/>
  <c r="AT45" i="1"/>
  <c r="CI45" i="1"/>
  <c r="CG46" i="1"/>
  <c r="CH45" i="1"/>
  <c r="AZ45" i="1"/>
  <c r="AX46" i="1"/>
  <c r="AY45" i="1"/>
  <c r="AI49" i="1"/>
  <c r="AJ48" i="1"/>
  <c r="AK48" i="1"/>
  <c r="BE45" i="1"/>
  <c r="BC46" i="1"/>
  <c r="BD45" i="1"/>
  <c r="DP46" i="1"/>
  <c r="DQ45" i="1"/>
  <c r="DR45" i="1"/>
  <c r="CB46" i="1"/>
  <c r="CC45" i="1"/>
  <c r="CD45" i="1"/>
  <c r="EV46" i="1"/>
  <c r="ET47" i="1"/>
  <c r="EU46" i="1"/>
  <c r="CX47" i="1"/>
  <c r="CV48" i="1"/>
  <c r="CW47" i="1"/>
  <c r="CR45" i="1"/>
  <c r="CS45" i="1"/>
  <c r="CQ46" i="1"/>
  <c r="EJ46" i="1"/>
  <c r="EK45" i="1"/>
  <c r="EL45" i="1"/>
  <c r="BY46" i="1"/>
  <c r="BW47" i="1"/>
  <c r="BX46" i="1"/>
  <c r="EB46" i="1"/>
  <c r="DZ47" i="1"/>
  <c r="EA46" i="1"/>
  <c r="DH46" i="1"/>
  <c r="DF47" i="1"/>
  <c r="DG46" i="1"/>
  <c r="AN46" i="1"/>
  <c r="AO45" i="1"/>
  <c r="AP45" i="1"/>
  <c r="DA47" i="1"/>
  <c r="DB46" i="1"/>
  <c r="DC46" i="1"/>
  <c r="BH46" i="1"/>
  <c r="BI45" i="1"/>
  <c r="BJ45" i="1"/>
  <c r="EG45" i="1"/>
  <c r="EE46" i="1"/>
  <c r="EF45" i="1"/>
  <c r="CN46" i="1"/>
  <c r="CL47" i="1"/>
  <c r="CM46" i="1"/>
  <c r="EP47" i="1"/>
  <c r="EQ47" i="1"/>
  <c r="EO48" i="1"/>
  <c r="BT46" i="1"/>
  <c r="BR47" i="1"/>
  <c r="BS46" i="1"/>
  <c r="DW45" i="1"/>
  <c r="DU46" i="1"/>
  <c r="DV45" i="1"/>
  <c r="Y47" i="1"/>
  <c r="Z46" i="1"/>
  <c r="AA46" i="1"/>
  <c r="AF46" i="1"/>
  <c r="AD47" i="1"/>
  <c r="AE46" i="1"/>
  <c r="DK49" i="1"/>
  <c r="DL48" i="1"/>
  <c r="DM48" i="1"/>
  <c r="V47" i="1"/>
  <c r="T48" i="1"/>
  <c r="U47" i="1"/>
  <c r="BM48" i="1"/>
  <c r="BO47" i="1"/>
  <c r="BN47" i="1"/>
  <c r="EQ48" i="1" l="1"/>
  <c r="EP48" i="1"/>
  <c r="EO49" i="1"/>
  <c r="CL48" i="1"/>
  <c r="CM47" i="1"/>
  <c r="CN47" i="1"/>
  <c r="BO48" i="1"/>
  <c r="BM49" i="1"/>
  <c r="BN48" i="1"/>
  <c r="AD48" i="1"/>
  <c r="AE47" i="1"/>
  <c r="AF47" i="1"/>
  <c r="AA47" i="1"/>
  <c r="Y48" i="1"/>
  <c r="Z47" i="1"/>
  <c r="AN47" i="1"/>
  <c r="AP46" i="1"/>
  <c r="AO46" i="1"/>
  <c r="BY47" i="1"/>
  <c r="BW48" i="1"/>
  <c r="BX47" i="1"/>
  <c r="EL46" i="1"/>
  <c r="EJ47" i="1"/>
  <c r="EK46" i="1"/>
  <c r="ET48" i="1"/>
  <c r="EU47" i="1"/>
  <c r="EV47" i="1"/>
  <c r="CD46" i="1"/>
  <c r="CB47" i="1"/>
  <c r="CC46" i="1"/>
  <c r="BR48" i="1"/>
  <c r="BS47" i="1"/>
  <c r="BT47" i="1"/>
  <c r="DC47" i="1"/>
  <c r="DA48" i="1"/>
  <c r="DB47" i="1"/>
  <c r="DZ48" i="1"/>
  <c r="EA47" i="1"/>
  <c r="EB47" i="1"/>
  <c r="CS46" i="1"/>
  <c r="CR46" i="1"/>
  <c r="CQ47" i="1"/>
  <c r="CX48" i="1"/>
  <c r="CV49" i="1"/>
  <c r="CW48" i="1"/>
  <c r="BE46" i="1"/>
  <c r="BC47" i="1"/>
  <c r="BD46" i="1"/>
  <c r="AJ49" i="1"/>
  <c r="AI50" i="1"/>
  <c r="AK49" i="1"/>
  <c r="AS47" i="1"/>
  <c r="AT46" i="1"/>
  <c r="AU46" i="1"/>
  <c r="DQ46" i="1"/>
  <c r="DP47" i="1"/>
  <c r="DR46" i="1"/>
  <c r="AZ46" i="1"/>
  <c r="AX47" i="1"/>
  <c r="AY46" i="1"/>
  <c r="V48" i="1"/>
  <c r="T49" i="1"/>
  <c r="U48" i="1"/>
  <c r="DK50" i="1"/>
  <c r="DM49" i="1"/>
  <c r="DL49" i="1"/>
  <c r="DU47" i="1"/>
  <c r="DV46" i="1"/>
  <c r="DW46" i="1"/>
  <c r="EG46" i="1"/>
  <c r="EE47" i="1"/>
  <c r="EF46" i="1"/>
  <c r="BJ46" i="1"/>
  <c r="BH47" i="1"/>
  <c r="BI46" i="1"/>
  <c r="DF48" i="1"/>
  <c r="DG47" i="1"/>
  <c r="DH47" i="1"/>
  <c r="CG47" i="1"/>
  <c r="CH46" i="1"/>
  <c r="CI46" i="1"/>
  <c r="BO49" i="1" l="1"/>
  <c r="BM50" i="1"/>
  <c r="BN49" i="1"/>
  <c r="EG47" i="1"/>
  <c r="EE48" i="1"/>
  <c r="EF47" i="1"/>
  <c r="AX48" i="1"/>
  <c r="AY47" i="1"/>
  <c r="AZ47" i="1"/>
  <c r="EL47" i="1"/>
  <c r="EJ48" i="1"/>
  <c r="EK47" i="1"/>
  <c r="EQ49" i="1"/>
  <c r="EO50" i="1"/>
  <c r="EP49" i="1"/>
  <c r="BJ47" i="1"/>
  <c r="BH48" i="1"/>
  <c r="BI47" i="1"/>
  <c r="T50" i="1"/>
  <c r="U49" i="1"/>
  <c r="V49" i="1"/>
  <c r="AK50" i="1"/>
  <c r="AI51" i="1"/>
  <c r="AJ50" i="1"/>
  <c r="CS47" i="1"/>
  <c r="CQ48" i="1"/>
  <c r="CR47" i="1"/>
  <c r="AA48" i="1"/>
  <c r="Y49" i="1"/>
  <c r="Z48" i="1"/>
  <c r="AF48" i="1"/>
  <c r="AD49" i="1"/>
  <c r="AE48" i="1"/>
  <c r="DH48" i="1"/>
  <c r="DF49" i="1"/>
  <c r="DG48" i="1"/>
  <c r="DM50" i="1"/>
  <c r="DK51" i="1"/>
  <c r="DL50" i="1"/>
  <c r="DR47" i="1"/>
  <c r="DP48" i="1"/>
  <c r="DQ47" i="1"/>
  <c r="AU47" i="1"/>
  <c r="AS48" i="1"/>
  <c r="AT47" i="1"/>
  <c r="CV50" i="1"/>
  <c r="CW49" i="1"/>
  <c r="CX49" i="1"/>
  <c r="BW49" i="1"/>
  <c r="BX48" i="1"/>
  <c r="BY48" i="1"/>
  <c r="AP47" i="1"/>
  <c r="AO47" i="1"/>
  <c r="AN48" i="1"/>
  <c r="CL49" i="1"/>
  <c r="CN48" i="1"/>
  <c r="CM48" i="1"/>
  <c r="CI47" i="1"/>
  <c r="CG48" i="1"/>
  <c r="CH47" i="1"/>
  <c r="DW47" i="1"/>
  <c r="DU48" i="1"/>
  <c r="DV47" i="1"/>
  <c r="BE47" i="1"/>
  <c r="BC48" i="1"/>
  <c r="BD47" i="1"/>
  <c r="DC48" i="1"/>
  <c r="DA49" i="1"/>
  <c r="DB48" i="1"/>
  <c r="BT48" i="1"/>
  <c r="BR49" i="1"/>
  <c r="BS48" i="1"/>
  <c r="EB48" i="1"/>
  <c r="DZ49" i="1"/>
  <c r="EA48" i="1"/>
  <c r="CD47" i="1"/>
  <c r="CB48" i="1"/>
  <c r="CC47" i="1"/>
  <c r="EV48" i="1"/>
  <c r="ET49" i="1"/>
  <c r="EU48" i="1"/>
  <c r="DC49" i="1" l="1"/>
  <c r="DA50" i="1"/>
  <c r="DB49" i="1"/>
  <c r="AU48" i="1"/>
  <c r="AS49" i="1"/>
  <c r="AT48" i="1"/>
  <c r="CI48" i="1"/>
  <c r="CG49" i="1"/>
  <c r="CH48" i="1"/>
  <c r="CN49" i="1"/>
  <c r="CM49" i="1"/>
  <c r="CL50" i="1"/>
  <c r="DH49" i="1"/>
  <c r="DF50" i="1"/>
  <c r="DG49" i="1"/>
  <c r="AK51" i="1"/>
  <c r="AI52" i="1"/>
  <c r="AJ51" i="1"/>
  <c r="V50" i="1"/>
  <c r="T51" i="1"/>
  <c r="U50" i="1"/>
  <c r="EL48" i="1"/>
  <c r="EJ49" i="1"/>
  <c r="EK48" i="1"/>
  <c r="AZ48" i="1"/>
  <c r="AX49" i="1"/>
  <c r="AY48" i="1"/>
  <c r="EB49" i="1"/>
  <c r="DZ50" i="1"/>
  <c r="EA49" i="1"/>
  <c r="DW48" i="1"/>
  <c r="DU49" i="1"/>
  <c r="DV48" i="1"/>
  <c r="AP48" i="1"/>
  <c r="AN49" i="1"/>
  <c r="AO48" i="1"/>
  <c r="CX50" i="1"/>
  <c r="CV51" i="1"/>
  <c r="CW50" i="1"/>
  <c r="DM51" i="1"/>
  <c r="DK52" i="1"/>
  <c r="DL51" i="1"/>
  <c r="CQ49" i="1"/>
  <c r="CR48" i="1"/>
  <c r="CS48" i="1"/>
  <c r="EO51" i="1"/>
  <c r="EP50" i="1"/>
  <c r="EQ50" i="1"/>
  <c r="BM51" i="1"/>
  <c r="BN50" i="1"/>
  <c r="BO50" i="1"/>
  <c r="EV49" i="1"/>
  <c r="ET50" i="1"/>
  <c r="EU49" i="1"/>
  <c r="AF49" i="1"/>
  <c r="AD50" i="1"/>
  <c r="AE49" i="1"/>
  <c r="BT49" i="1"/>
  <c r="BR50" i="1"/>
  <c r="BS49" i="1"/>
  <c r="CD48" i="1"/>
  <c r="CB49" i="1"/>
  <c r="CC48" i="1"/>
  <c r="BC49" i="1"/>
  <c r="BD48" i="1"/>
  <c r="BE48" i="1"/>
  <c r="BY49" i="1"/>
  <c r="BW50" i="1"/>
  <c r="BX49" i="1"/>
  <c r="DR48" i="1"/>
  <c r="DP49" i="1"/>
  <c r="DQ48" i="1"/>
  <c r="AA49" i="1"/>
  <c r="Y50" i="1"/>
  <c r="Z49" i="1"/>
  <c r="BJ48" i="1"/>
  <c r="BH49" i="1"/>
  <c r="BI48" i="1"/>
  <c r="EE49" i="1"/>
  <c r="EF48" i="1"/>
  <c r="EG48" i="1"/>
  <c r="BE49" i="1" l="1"/>
  <c r="BC50" i="1"/>
  <c r="BD49" i="1"/>
  <c r="AF50" i="1"/>
  <c r="AD51" i="1"/>
  <c r="AE50" i="1"/>
  <c r="V51" i="1"/>
  <c r="T52" i="1"/>
  <c r="U51" i="1"/>
  <c r="BT50" i="1"/>
  <c r="BR51" i="1"/>
  <c r="BS50" i="1"/>
  <c r="CS49" i="1"/>
  <c r="CQ50" i="1"/>
  <c r="CR49" i="1"/>
  <c r="AN50" i="1"/>
  <c r="AO49" i="1"/>
  <c r="AP49" i="1"/>
  <c r="EJ50" i="1"/>
  <c r="EK49" i="1"/>
  <c r="EL49" i="1"/>
  <c r="Y51" i="1"/>
  <c r="Z50" i="1"/>
  <c r="AA50" i="1"/>
  <c r="CB50" i="1"/>
  <c r="CC49" i="1"/>
  <c r="CD49" i="1"/>
  <c r="EQ51" i="1"/>
  <c r="EO52" i="1"/>
  <c r="EP51" i="1"/>
  <c r="CX51" i="1"/>
  <c r="CV52" i="1"/>
  <c r="CW51" i="1"/>
  <c r="AZ49" i="1"/>
  <c r="AX50" i="1"/>
  <c r="AY49" i="1"/>
  <c r="DH50" i="1"/>
  <c r="DF51" i="1"/>
  <c r="DG50" i="1"/>
  <c r="DA51" i="1"/>
  <c r="DB50" i="1"/>
  <c r="DC50" i="1"/>
  <c r="BY50" i="1"/>
  <c r="BW51" i="1"/>
  <c r="BX50" i="1"/>
  <c r="DW49" i="1"/>
  <c r="DU50" i="1"/>
  <c r="DV49" i="1"/>
  <c r="CN50" i="1"/>
  <c r="CL51" i="1"/>
  <c r="CM50" i="1"/>
  <c r="CI49" i="1"/>
  <c r="CG50" i="1"/>
  <c r="CH49" i="1"/>
  <c r="EG49" i="1"/>
  <c r="EE50" i="1"/>
  <c r="EF49" i="1"/>
  <c r="DP50" i="1"/>
  <c r="DQ49" i="1"/>
  <c r="DR49" i="1"/>
  <c r="BH50" i="1"/>
  <c r="BI49" i="1"/>
  <c r="BJ49" i="1"/>
  <c r="EV50" i="1"/>
  <c r="ET51" i="1"/>
  <c r="EU50" i="1"/>
  <c r="BO51" i="1"/>
  <c r="BM52" i="1"/>
  <c r="BN51" i="1"/>
  <c r="DK53" i="1"/>
  <c r="DL52" i="1"/>
  <c r="DM52" i="1"/>
  <c r="EB50" i="1"/>
  <c r="DZ51" i="1"/>
  <c r="EA50" i="1"/>
  <c r="AI53" i="1"/>
  <c r="AJ52" i="1"/>
  <c r="AK52" i="1"/>
  <c r="AU49" i="1"/>
  <c r="AS50" i="1"/>
  <c r="AT49" i="1"/>
  <c r="ET52" i="1" l="1"/>
  <c r="EU51" i="1"/>
  <c r="EV51" i="1"/>
  <c r="BI50" i="1"/>
  <c r="BJ50" i="1"/>
  <c r="BH51" i="1"/>
  <c r="CG51" i="1"/>
  <c r="CH50" i="1"/>
  <c r="CI50" i="1"/>
  <c r="EQ52" i="1"/>
  <c r="EO53" i="1"/>
  <c r="EP52" i="1"/>
  <c r="CD50" i="1"/>
  <c r="CB51" i="1"/>
  <c r="CC50" i="1"/>
  <c r="AD52" i="1"/>
  <c r="AE51" i="1"/>
  <c r="AF51" i="1"/>
  <c r="AS51" i="1"/>
  <c r="AT50" i="1"/>
  <c r="AU50" i="1"/>
  <c r="AK53" i="1"/>
  <c r="AI54" i="1"/>
  <c r="AJ53" i="1"/>
  <c r="BO52" i="1"/>
  <c r="BM53" i="1"/>
  <c r="BN52" i="1"/>
  <c r="EG50" i="1"/>
  <c r="EE51" i="1"/>
  <c r="EF50" i="1"/>
  <c r="BY51" i="1"/>
  <c r="BW52" i="1"/>
  <c r="BX51" i="1"/>
  <c r="DC51" i="1"/>
  <c r="DA52" i="1"/>
  <c r="DB51" i="1"/>
  <c r="CX52" i="1"/>
  <c r="CV53" i="1"/>
  <c r="CW52" i="1"/>
  <c r="AP50" i="1"/>
  <c r="AN51" i="1"/>
  <c r="AO50" i="1"/>
  <c r="V52" i="1"/>
  <c r="T53" i="1"/>
  <c r="U52" i="1"/>
  <c r="DU51" i="1"/>
  <c r="DV50" i="1"/>
  <c r="DW50" i="1"/>
  <c r="AZ50" i="1"/>
  <c r="AX51" i="1"/>
  <c r="AY50" i="1"/>
  <c r="EJ51" i="1"/>
  <c r="EL50" i="1"/>
  <c r="EK50" i="1"/>
  <c r="BR52" i="1"/>
  <c r="BS51" i="1"/>
  <c r="BT51" i="1"/>
  <c r="DZ52" i="1"/>
  <c r="EA51" i="1"/>
  <c r="EB51" i="1"/>
  <c r="DM53" i="1"/>
  <c r="DK54" i="1"/>
  <c r="DL53" i="1"/>
  <c r="DR50" i="1"/>
  <c r="DP51" i="1"/>
  <c r="DQ50" i="1"/>
  <c r="CL52" i="1"/>
  <c r="CM51" i="1"/>
  <c r="CN51" i="1"/>
  <c r="DF52" i="1"/>
  <c r="DG51" i="1"/>
  <c r="DH51" i="1"/>
  <c r="AA51" i="1"/>
  <c r="Y52" i="1"/>
  <c r="Z51" i="1"/>
  <c r="CS50" i="1"/>
  <c r="CQ51" i="1"/>
  <c r="CR50" i="1"/>
  <c r="BE50" i="1"/>
  <c r="BC51" i="1"/>
  <c r="BD50" i="1"/>
  <c r="BE51" i="1" l="1"/>
  <c r="BC52" i="1"/>
  <c r="BD51" i="1"/>
  <c r="T54" i="1"/>
  <c r="U53" i="1"/>
  <c r="V53" i="1"/>
  <c r="AD53" i="1"/>
  <c r="AF52" i="1"/>
  <c r="AE52" i="1"/>
  <c r="CN52" i="1"/>
  <c r="CL53" i="1"/>
  <c r="CM52" i="1"/>
  <c r="BT52" i="1"/>
  <c r="BR53" i="1"/>
  <c r="BS52" i="1"/>
  <c r="DC52" i="1"/>
  <c r="DA53" i="1"/>
  <c r="DB52" i="1"/>
  <c r="AK54" i="1"/>
  <c r="AI55" i="1"/>
  <c r="AJ54" i="1"/>
  <c r="AU51" i="1"/>
  <c r="AS52" i="1"/>
  <c r="AT51" i="1"/>
  <c r="EQ53" i="1"/>
  <c r="EO54" i="1"/>
  <c r="EP53" i="1"/>
  <c r="CH51" i="1"/>
  <c r="CG52" i="1"/>
  <c r="CI51" i="1"/>
  <c r="AA52" i="1"/>
  <c r="Y53" i="1"/>
  <c r="Z52" i="1"/>
  <c r="DG52" i="1"/>
  <c r="DH52" i="1"/>
  <c r="DF53" i="1"/>
  <c r="DM54" i="1"/>
  <c r="DK55" i="1"/>
  <c r="DL54" i="1"/>
  <c r="EB52" i="1"/>
  <c r="DZ53" i="1"/>
  <c r="EA52" i="1"/>
  <c r="AX52" i="1"/>
  <c r="AY51" i="1"/>
  <c r="AZ51" i="1"/>
  <c r="DW51" i="1"/>
  <c r="DU52" i="1"/>
  <c r="DV51" i="1"/>
  <c r="CV54" i="1"/>
  <c r="CW53" i="1"/>
  <c r="CX53" i="1"/>
  <c r="BO53" i="1"/>
  <c r="BM54" i="1"/>
  <c r="BN53" i="1"/>
  <c r="CD51" i="1"/>
  <c r="CB52" i="1"/>
  <c r="CC51" i="1"/>
  <c r="BJ51" i="1"/>
  <c r="BI51" i="1"/>
  <c r="BH52" i="1"/>
  <c r="EL51" i="1"/>
  <c r="EK51" i="1"/>
  <c r="EJ52" i="1"/>
  <c r="BW53" i="1"/>
  <c r="BX52" i="1"/>
  <c r="BY52" i="1"/>
  <c r="CS51" i="1"/>
  <c r="CQ52" i="1"/>
  <c r="CR51" i="1"/>
  <c r="DR51" i="1"/>
  <c r="DP52" i="1"/>
  <c r="DQ51" i="1"/>
  <c r="AP51" i="1"/>
  <c r="AN52" i="1"/>
  <c r="AO51" i="1"/>
  <c r="EG51" i="1"/>
  <c r="EE52" i="1"/>
  <c r="EF51" i="1"/>
  <c r="EV52" i="1"/>
  <c r="ET53" i="1"/>
  <c r="EU52" i="1"/>
  <c r="EV53" i="1" l="1"/>
  <c r="ET54" i="1"/>
  <c r="EU53" i="1"/>
  <c r="BY53" i="1"/>
  <c r="BW54" i="1"/>
  <c r="BX53" i="1"/>
  <c r="BJ52" i="1"/>
  <c r="BH53" i="1"/>
  <c r="BI52" i="1"/>
  <c r="CD52" i="1"/>
  <c r="CB53" i="1"/>
  <c r="CC52" i="1"/>
  <c r="AA53" i="1"/>
  <c r="Y54" i="1"/>
  <c r="Z53" i="1"/>
  <c r="AK55" i="1"/>
  <c r="AI56" i="1"/>
  <c r="AJ55" i="1"/>
  <c r="DR52" i="1"/>
  <c r="DP53" i="1"/>
  <c r="DQ52" i="1"/>
  <c r="EL52" i="1"/>
  <c r="EJ53" i="1"/>
  <c r="EK52" i="1"/>
  <c r="DW52" i="1"/>
  <c r="DU53" i="1"/>
  <c r="DV52" i="1"/>
  <c r="AZ52" i="1"/>
  <c r="AX53" i="1"/>
  <c r="AY52" i="1"/>
  <c r="AU52" i="1"/>
  <c r="AS53" i="1"/>
  <c r="AT52" i="1"/>
  <c r="AP52" i="1"/>
  <c r="AN53" i="1"/>
  <c r="AO52" i="1"/>
  <c r="DM55" i="1"/>
  <c r="DK56" i="1"/>
  <c r="DL55" i="1"/>
  <c r="EO55" i="1"/>
  <c r="EP54" i="1"/>
  <c r="EQ54" i="1"/>
  <c r="BT53" i="1"/>
  <c r="BR54" i="1"/>
  <c r="BS53" i="1"/>
  <c r="BC53" i="1"/>
  <c r="BD52" i="1"/>
  <c r="BE52" i="1"/>
  <c r="CQ53" i="1"/>
  <c r="CR52" i="1"/>
  <c r="CS52" i="1"/>
  <c r="DH53" i="1"/>
  <c r="DG53" i="1"/>
  <c r="DF54" i="1"/>
  <c r="V54" i="1"/>
  <c r="T55" i="1"/>
  <c r="U54" i="1"/>
  <c r="CN53" i="1"/>
  <c r="CL54" i="1"/>
  <c r="CM53" i="1"/>
  <c r="AF53" i="1"/>
  <c r="AD54" i="1"/>
  <c r="AE53" i="1"/>
  <c r="EE53" i="1"/>
  <c r="EF52" i="1"/>
  <c r="EG52" i="1"/>
  <c r="BM55" i="1"/>
  <c r="BN54" i="1"/>
  <c r="BO54" i="1"/>
  <c r="CX54" i="1"/>
  <c r="CV55" i="1"/>
  <c r="CW54" i="1"/>
  <c r="EB53" i="1"/>
  <c r="DZ54" i="1"/>
  <c r="EA53" i="1"/>
  <c r="CI52" i="1"/>
  <c r="CG53" i="1"/>
  <c r="CH52" i="1"/>
  <c r="DC53" i="1"/>
  <c r="DA54" i="1"/>
  <c r="DB53" i="1"/>
  <c r="CI53" i="1" l="1"/>
  <c r="CG54" i="1"/>
  <c r="CH53" i="1"/>
  <c r="CS53" i="1"/>
  <c r="CQ54" i="1"/>
  <c r="CR53" i="1"/>
  <c r="AZ53" i="1"/>
  <c r="AX54" i="1"/>
  <c r="AY53" i="1"/>
  <c r="AI57" i="1"/>
  <c r="AJ56" i="1"/>
  <c r="AK56" i="1"/>
  <c r="BY54" i="1"/>
  <c r="BW55" i="1"/>
  <c r="BX54" i="1"/>
  <c r="DA55" i="1"/>
  <c r="DB54" i="1"/>
  <c r="DC54" i="1"/>
  <c r="EF53" i="1"/>
  <c r="EE54" i="1"/>
  <c r="EG53" i="1"/>
  <c r="V55" i="1"/>
  <c r="T56" i="1"/>
  <c r="U55" i="1"/>
  <c r="BT54" i="1"/>
  <c r="BR55" i="1"/>
  <c r="BS54" i="1"/>
  <c r="EQ55" i="1"/>
  <c r="EO56" i="1"/>
  <c r="EP55" i="1"/>
  <c r="AU53" i="1"/>
  <c r="AS54" i="1"/>
  <c r="AT53" i="1"/>
  <c r="DP54" i="1"/>
  <c r="DQ53" i="1"/>
  <c r="DR53" i="1"/>
  <c r="BH54" i="1"/>
  <c r="BI53" i="1"/>
  <c r="BJ53" i="1"/>
  <c r="CX55" i="1"/>
  <c r="CV56" i="1"/>
  <c r="CW55" i="1"/>
  <c r="BO55" i="1"/>
  <c r="BM56" i="1"/>
  <c r="BN55" i="1"/>
  <c r="CN54" i="1"/>
  <c r="CL55" i="1"/>
  <c r="CM54" i="1"/>
  <c r="AN54" i="1"/>
  <c r="AO53" i="1"/>
  <c r="AP53" i="1"/>
  <c r="EJ54" i="1"/>
  <c r="EK53" i="1"/>
  <c r="EL53" i="1"/>
  <c r="CB54" i="1"/>
  <c r="CC53" i="1"/>
  <c r="CD53" i="1"/>
  <c r="EB54" i="1"/>
  <c r="DZ55" i="1"/>
  <c r="EA54" i="1"/>
  <c r="AF54" i="1"/>
  <c r="AD55" i="1"/>
  <c r="AE54" i="1"/>
  <c r="DH54" i="1"/>
  <c r="DF55" i="1"/>
  <c r="DG54" i="1"/>
  <c r="BC54" i="1"/>
  <c r="BE53" i="1"/>
  <c r="BD53" i="1"/>
  <c r="DK57" i="1"/>
  <c r="DL56" i="1"/>
  <c r="DM56" i="1"/>
  <c r="DW53" i="1"/>
  <c r="DU54" i="1"/>
  <c r="DV53" i="1"/>
  <c r="Y55" i="1"/>
  <c r="Z54" i="1"/>
  <c r="AA54" i="1"/>
  <c r="EV54" i="1"/>
  <c r="ET55" i="1"/>
  <c r="EU54" i="1"/>
  <c r="ET56" i="1" l="1"/>
  <c r="EU55" i="1"/>
  <c r="EV55" i="1"/>
  <c r="Z55" i="1"/>
  <c r="AA55" i="1"/>
  <c r="Y56" i="1"/>
  <c r="BE54" i="1"/>
  <c r="BD54" i="1"/>
  <c r="BC55" i="1"/>
  <c r="DZ56" i="1"/>
  <c r="EA55" i="1"/>
  <c r="EB55" i="1"/>
  <c r="CB55" i="1"/>
  <c r="CD54" i="1"/>
  <c r="CC54" i="1"/>
  <c r="CL56" i="1"/>
  <c r="CM55" i="1"/>
  <c r="CN55" i="1"/>
  <c r="V56" i="1"/>
  <c r="T57" i="1"/>
  <c r="U56" i="1"/>
  <c r="DU55" i="1"/>
  <c r="DV54" i="1"/>
  <c r="DW54" i="1"/>
  <c r="DM57" i="1"/>
  <c r="DK58" i="1"/>
  <c r="DL57" i="1"/>
  <c r="AD56" i="1"/>
  <c r="AE55" i="1"/>
  <c r="AF55" i="1"/>
  <c r="DR54" i="1"/>
  <c r="DP55" i="1"/>
  <c r="DQ54" i="1"/>
  <c r="BR56" i="1"/>
  <c r="BS55" i="1"/>
  <c r="BT55" i="1"/>
  <c r="BY55" i="1"/>
  <c r="BW56" i="1"/>
  <c r="BX55" i="1"/>
  <c r="AK57" i="1"/>
  <c r="AI58" i="1"/>
  <c r="AJ57" i="1"/>
  <c r="CG55" i="1"/>
  <c r="CH54" i="1"/>
  <c r="CI54" i="1"/>
  <c r="EL54" i="1"/>
  <c r="EJ55" i="1"/>
  <c r="EK54" i="1"/>
  <c r="BO56" i="1"/>
  <c r="BM57" i="1"/>
  <c r="BN56" i="1"/>
  <c r="AS55" i="1"/>
  <c r="AT54" i="1"/>
  <c r="AU54" i="1"/>
  <c r="EG54" i="1"/>
  <c r="EF54" i="1"/>
  <c r="EE55" i="1"/>
  <c r="DA56" i="1"/>
  <c r="DC55" i="1"/>
  <c r="DB55" i="1"/>
  <c r="AZ54" i="1"/>
  <c r="AX55" i="1"/>
  <c r="AY54" i="1"/>
  <c r="DF56" i="1"/>
  <c r="DG55" i="1"/>
  <c r="DH55" i="1"/>
  <c r="AP54" i="1"/>
  <c r="AN55" i="1"/>
  <c r="AO54" i="1"/>
  <c r="CX56" i="1"/>
  <c r="CV57" i="1"/>
  <c r="CW56" i="1"/>
  <c r="BJ54" i="1"/>
  <c r="BH55" i="1"/>
  <c r="BI54" i="1"/>
  <c r="EQ56" i="1"/>
  <c r="EO57" i="1"/>
  <c r="EP56" i="1"/>
  <c r="CS54" i="1"/>
  <c r="CQ55" i="1"/>
  <c r="CR54" i="1"/>
  <c r="EQ57" i="1" l="1"/>
  <c r="EO58" i="1"/>
  <c r="EP57" i="1"/>
  <c r="EG55" i="1"/>
  <c r="EE56" i="1"/>
  <c r="EF55" i="1"/>
  <c r="AK58" i="1"/>
  <c r="AI59" i="1"/>
  <c r="AJ58" i="1"/>
  <c r="CD55" i="1"/>
  <c r="CB56" i="1"/>
  <c r="CC55" i="1"/>
  <c r="BE55" i="1"/>
  <c r="BC56" i="1"/>
  <c r="BD55" i="1"/>
  <c r="EV56" i="1"/>
  <c r="ET57" i="1"/>
  <c r="EU56" i="1"/>
  <c r="CS55" i="1"/>
  <c r="CQ56" i="1"/>
  <c r="CR55" i="1"/>
  <c r="AP55" i="1"/>
  <c r="AN56" i="1"/>
  <c r="AO55" i="1"/>
  <c r="DH56" i="1"/>
  <c r="DF57" i="1"/>
  <c r="DG56" i="1"/>
  <c r="AU55" i="1"/>
  <c r="AS56" i="1"/>
  <c r="AT55" i="1"/>
  <c r="DR55" i="1"/>
  <c r="DP56" i="1"/>
  <c r="DQ55" i="1"/>
  <c r="AF56" i="1"/>
  <c r="AD57" i="1"/>
  <c r="AE56" i="1"/>
  <c r="T58" i="1"/>
  <c r="U57" i="1"/>
  <c r="V57" i="1"/>
  <c r="CN56" i="1"/>
  <c r="CL57" i="1"/>
  <c r="CM56" i="1"/>
  <c r="CV58" i="1"/>
  <c r="CW57" i="1"/>
  <c r="CX57" i="1"/>
  <c r="EL55" i="1"/>
  <c r="EJ56" i="1"/>
  <c r="EK55" i="1"/>
  <c r="CI55" i="1"/>
  <c r="CG56" i="1"/>
  <c r="CH55" i="1"/>
  <c r="BJ55" i="1"/>
  <c r="BH56" i="1"/>
  <c r="BI55" i="1"/>
  <c r="AX56" i="1"/>
  <c r="AY55" i="1"/>
  <c r="AZ55" i="1"/>
  <c r="DC56" i="1"/>
  <c r="DA57" i="1"/>
  <c r="DB56" i="1"/>
  <c r="BO57" i="1"/>
  <c r="BM58" i="1"/>
  <c r="BN57" i="1"/>
  <c r="BW57" i="1"/>
  <c r="BX56" i="1"/>
  <c r="BY56" i="1"/>
  <c r="BT56" i="1"/>
  <c r="BR57" i="1"/>
  <c r="BS56" i="1"/>
  <c r="DM58" i="1"/>
  <c r="DK59" i="1"/>
  <c r="DL58" i="1"/>
  <c r="DW55" i="1"/>
  <c r="DU56" i="1"/>
  <c r="DV55" i="1"/>
  <c r="EB56" i="1"/>
  <c r="DZ57" i="1"/>
  <c r="EA56" i="1"/>
  <c r="AA56" i="1"/>
  <c r="Y57" i="1"/>
  <c r="Z56" i="1"/>
  <c r="BJ56" i="1" l="1"/>
  <c r="BH57" i="1"/>
  <c r="BI56" i="1"/>
  <c r="CN57" i="1"/>
  <c r="CL58" i="1"/>
  <c r="CM57" i="1"/>
  <c r="V58" i="1"/>
  <c r="U58" i="1"/>
  <c r="T59" i="1"/>
  <c r="AU56" i="1"/>
  <c r="AS57" i="1"/>
  <c r="AT56" i="1"/>
  <c r="EV57" i="1"/>
  <c r="ET58" i="1"/>
  <c r="EU57" i="1"/>
  <c r="EE57" i="1"/>
  <c r="EF56" i="1"/>
  <c r="EG56" i="1"/>
  <c r="AA57" i="1"/>
  <c r="Y58" i="1"/>
  <c r="Z57" i="1"/>
  <c r="BT57" i="1"/>
  <c r="BR58" i="1"/>
  <c r="BS57" i="1"/>
  <c r="BY57" i="1"/>
  <c r="BW58" i="1"/>
  <c r="BX57" i="1"/>
  <c r="DR56" i="1"/>
  <c r="DP57" i="1"/>
  <c r="DQ56" i="1"/>
  <c r="CQ57" i="1"/>
  <c r="CR56" i="1"/>
  <c r="CS56" i="1"/>
  <c r="AK59" i="1"/>
  <c r="AI60" i="1"/>
  <c r="AJ59" i="1"/>
  <c r="EB57" i="1"/>
  <c r="DZ58" i="1"/>
  <c r="EA57" i="1"/>
  <c r="DM59" i="1"/>
  <c r="DK60" i="1"/>
  <c r="DL59" i="1"/>
  <c r="DC57" i="1"/>
  <c r="DA58" i="1"/>
  <c r="DB57" i="1"/>
  <c r="AZ56" i="1"/>
  <c r="AX57" i="1"/>
  <c r="AY56" i="1"/>
  <c r="EL56" i="1"/>
  <c r="EJ57" i="1"/>
  <c r="EK56" i="1"/>
  <c r="CX58" i="1"/>
  <c r="CV59" i="1"/>
  <c r="CW58" i="1"/>
  <c r="AF57" i="1"/>
  <c r="AD58" i="1"/>
  <c r="AE57" i="1"/>
  <c r="AP56" i="1"/>
  <c r="AN57" i="1"/>
  <c r="AO56" i="1"/>
  <c r="CD56" i="1"/>
  <c r="CB57" i="1"/>
  <c r="CC56" i="1"/>
  <c r="DW56" i="1"/>
  <c r="DU57" i="1"/>
  <c r="DV56" i="1"/>
  <c r="BM59" i="1"/>
  <c r="BN58" i="1"/>
  <c r="BO58" i="1"/>
  <c r="CI56" i="1"/>
  <c r="CG57" i="1"/>
  <c r="CH56" i="1"/>
  <c r="DH57" i="1"/>
  <c r="DF58" i="1"/>
  <c r="DG57" i="1"/>
  <c r="BC57" i="1"/>
  <c r="BD56" i="1"/>
  <c r="BE56" i="1"/>
  <c r="EO59" i="1"/>
  <c r="EP58" i="1"/>
  <c r="EQ58" i="1"/>
  <c r="BE57" i="1" l="1"/>
  <c r="BC58" i="1"/>
  <c r="BD57" i="1"/>
  <c r="AF58" i="1"/>
  <c r="AD59" i="1"/>
  <c r="AE58" i="1"/>
  <c r="DA59" i="1"/>
  <c r="DB58" i="1"/>
  <c r="DC58" i="1"/>
  <c r="BO59" i="1"/>
  <c r="BM60" i="1"/>
  <c r="BN59" i="1"/>
  <c r="AZ57" i="1"/>
  <c r="AX58" i="1"/>
  <c r="AY57" i="1"/>
  <c r="CS57" i="1"/>
  <c r="CQ58" i="1"/>
  <c r="CR57" i="1"/>
  <c r="AU57" i="1"/>
  <c r="AS58" i="1"/>
  <c r="AT57" i="1"/>
  <c r="DH58" i="1"/>
  <c r="DF59" i="1"/>
  <c r="DG58" i="1"/>
  <c r="CB58" i="1"/>
  <c r="CC57" i="1"/>
  <c r="CD57" i="1"/>
  <c r="EJ58" i="1"/>
  <c r="EK57" i="1"/>
  <c r="EL57" i="1"/>
  <c r="EB58" i="1"/>
  <c r="DZ59" i="1"/>
  <c r="EA58" i="1"/>
  <c r="BY58" i="1"/>
  <c r="BW59" i="1"/>
  <c r="BX58" i="1"/>
  <c r="EV58" i="1"/>
  <c r="ET59" i="1"/>
  <c r="EU58" i="1"/>
  <c r="BH58" i="1"/>
  <c r="BI57" i="1"/>
  <c r="BJ57" i="1"/>
  <c r="Y59" i="1"/>
  <c r="Z58" i="1"/>
  <c r="AA58" i="1"/>
  <c r="EG57" i="1"/>
  <c r="EE58" i="1"/>
  <c r="EF57" i="1"/>
  <c r="EQ59" i="1"/>
  <c r="EO60" i="1"/>
  <c r="EP59" i="1"/>
  <c r="CI57" i="1"/>
  <c r="CG58" i="1"/>
  <c r="CH57" i="1"/>
  <c r="AN58" i="1"/>
  <c r="AO57" i="1"/>
  <c r="AP57" i="1"/>
  <c r="AI61" i="1"/>
  <c r="AJ60" i="1"/>
  <c r="AK60" i="1"/>
  <c r="BT58" i="1"/>
  <c r="BR59" i="1"/>
  <c r="BS58" i="1"/>
  <c r="DW57" i="1"/>
  <c r="DU58" i="1"/>
  <c r="DV57" i="1"/>
  <c r="CX59" i="1"/>
  <c r="CV60" i="1"/>
  <c r="CW59" i="1"/>
  <c r="DK61" i="1"/>
  <c r="DL60" i="1"/>
  <c r="DM60" i="1"/>
  <c r="DP58" i="1"/>
  <c r="DQ57" i="1"/>
  <c r="DR57" i="1"/>
  <c r="V59" i="1"/>
  <c r="T60" i="1"/>
  <c r="U59" i="1"/>
  <c r="CN58" i="1"/>
  <c r="CL59" i="1"/>
  <c r="CM58" i="1"/>
  <c r="CL60" i="1" l="1"/>
  <c r="CM59" i="1"/>
  <c r="CN59" i="1"/>
  <c r="CX60" i="1"/>
  <c r="CV61" i="1"/>
  <c r="CW60" i="1"/>
  <c r="BJ58" i="1"/>
  <c r="BH59" i="1"/>
  <c r="BI58" i="1"/>
  <c r="DZ60" i="1"/>
  <c r="EA59" i="1"/>
  <c r="EB59" i="1"/>
  <c r="EL58" i="1"/>
  <c r="EJ59" i="1"/>
  <c r="EK58" i="1"/>
  <c r="AS59" i="1"/>
  <c r="AT58" i="1"/>
  <c r="AU58" i="1"/>
  <c r="EG58" i="1"/>
  <c r="EE59" i="1"/>
  <c r="EF58" i="1"/>
  <c r="AA59" i="1"/>
  <c r="Y60" i="1"/>
  <c r="Z59" i="1"/>
  <c r="BY59" i="1"/>
  <c r="BW60" i="1"/>
  <c r="BX59" i="1"/>
  <c r="BO60" i="1"/>
  <c r="BM61" i="1"/>
  <c r="BN60" i="1"/>
  <c r="DC59" i="1"/>
  <c r="DA60" i="1"/>
  <c r="DB59" i="1"/>
  <c r="DM61" i="1"/>
  <c r="DK62" i="1"/>
  <c r="DL61" i="1"/>
  <c r="BR60" i="1"/>
  <c r="BS59" i="1"/>
  <c r="BT59" i="1"/>
  <c r="AK61" i="1"/>
  <c r="AI62" i="1"/>
  <c r="AJ61" i="1"/>
  <c r="EQ60" i="1"/>
  <c r="EO61" i="1"/>
  <c r="EP60" i="1"/>
  <c r="ET60" i="1"/>
  <c r="EU59" i="1"/>
  <c r="EV59" i="1"/>
  <c r="AZ58" i="1"/>
  <c r="AX59" i="1"/>
  <c r="AY58" i="1"/>
  <c r="BE58" i="1"/>
  <c r="BC59" i="1"/>
  <c r="BD58" i="1"/>
  <c r="AP58" i="1"/>
  <c r="AN59" i="1"/>
  <c r="AO58" i="1"/>
  <c r="DF60" i="1"/>
  <c r="DG59" i="1"/>
  <c r="DH59" i="1"/>
  <c r="V60" i="1"/>
  <c r="T61" i="1"/>
  <c r="U60" i="1"/>
  <c r="DR58" i="1"/>
  <c r="DP59" i="1"/>
  <c r="DQ58" i="1"/>
  <c r="DU59" i="1"/>
  <c r="DV58" i="1"/>
  <c r="DW58" i="1"/>
  <c r="CG59" i="1"/>
  <c r="CH58" i="1"/>
  <c r="CI58" i="1"/>
  <c r="CD58" i="1"/>
  <c r="CB59" i="1"/>
  <c r="CC58" i="1"/>
  <c r="CS58" i="1"/>
  <c r="CQ59" i="1"/>
  <c r="CR58" i="1"/>
  <c r="AD60" i="1"/>
  <c r="AE59" i="1"/>
  <c r="AF59" i="1"/>
  <c r="DC60" i="1" l="1"/>
  <c r="DA61" i="1"/>
  <c r="DB60" i="1"/>
  <c r="EG59" i="1"/>
  <c r="EE60" i="1"/>
  <c r="EF59" i="1"/>
  <c r="BJ59" i="1"/>
  <c r="BH60" i="1"/>
  <c r="BI59" i="1"/>
  <c r="DM62" i="1"/>
  <c r="DK63" i="1"/>
  <c r="DL62" i="1"/>
  <c r="CD59" i="1"/>
  <c r="CB60" i="1"/>
  <c r="CC59" i="1"/>
  <c r="CI59" i="1"/>
  <c r="CG60" i="1"/>
  <c r="CH59" i="1"/>
  <c r="T62" i="1"/>
  <c r="U61" i="1"/>
  <c r="V61" i="1"/>
  <c r="DH60" i="1"/>
  <c r="DF61" i="1"/>
  <c r="DG60" i="1"/>
  <c r="AX60" i="1"/>
  <c r="AY59" i="1"/>
  <c r="AZ59" i="1"/>
  <c r="EV60" i="1"/>
  <c r="ET61" i="1"/>
  <c r="EU60" i="1"/>
  <c r="BW61" i="1"/>
  <c r="BX60" i="1"/>
  <c r="BY60" i="1"/>
  <c r="EL59" i="1"/>
  <c r="EJ60" i="1"/>
  <c r="EK59" i="1"/>
  <c r="EB60" i="1"/>
  <c r="DZ61" i="1"/>
  <c r="EA60" i="1"/>
  <c r="AP59" i="1"/>
  <c r="AN60" i="1"/>
  <c r="AO59" i="1"/>
  <c r="EQ61" i="1"/>
  <c r="EO62" i="1"/>
  <c r="EP61" i="1"/>
  <c r="AU59" i="1"/>
  <c r="AS60" i="1"/>
  <c r="AT59" i="1"/>
  <c r="AF60" i="1"/>
  <c r="AD61" i="1"/>
  <c r="AE60" i="1"/>
  <c r="DW59" i="1"/>
  <c r="DV59" i="1"/>
  <c r="DU60" i="1"/>
  <c r="AA60" i="1"/>
  <c r="Y61" i="1"/>
  <c r="Z60" i="1"/>
  <c r="CS59" i="1"/>
  <c r="CQ60" i="1"/>
  <c r="CR59" i="1"/>
  <c r="DR59" i="1"/>
  <c r="DP60" i="1"/>
  <c r="DQ59" i="1"/>
  <c r="BE59" i="1"/>
  <c r="BC60" i="1"/>
  <c r="BD59" i="1"/>
  <c r="AK62" i="1"/>
  <c r="AI63" i="1"/>
  <c r="AJ62" i="1"/>
  <c r="BT60" i="1"/>
  <c r="BS60" i="1"/>
  <c r="BR61" i="1"/>
  <c r="BO61" i="1"/>
  <c r="BM62" i="1"/>
  <c r="BN61" i="1"/>
  <c r="CV62" i="1"/>
  <c r="CW61" i="1"/>
  <c r="CX61" i="1"/>
  <c r="CN60" i="1"/>
  <c r="CL61" i="1"/>
  <c r="CM60" i="1"/>
  <c r="CN61" i="1" l="1"/>
  <c r="CL62" i="1"/>
  <c r="CM61" i="1"/>
  <c r="CX62" i="1"/>
  <c r="CV63" i="1"/>
  <c r="CW62" i="1"/>
  <c r="BT61" i="1"/>
  <c r="BR62" i="1"/>
  <c r="BS61" i="1"/>
  <c r="AK63" i="1"/>
  <c r="AI64" i="1"/>
  <c r="AJ63" i="1"/>
  <c r="EO63" i="1"/>
  <c r="EP62" i="1"/>
  <c r="EQ62" i="1"/>
  <c r="CQ61" i="1"/>
  <c r="CR60" i="1"/>
  <c r="CS60" i="1"/>
  <c r="AU60" i="1"/>
  <c r="AS61" i="1"/>
  <c r="AT60" i="1"/>
  <c r="V62" i="1"/>
  <c r="T63" i="1"/>
  <c r="U62" i="1"/>
  <c r="BM63" i="1"/>
  <c r="BN62" i="1"/>
  <c r="BO62" i="1"/>
  <c r="DR60" i="1"/>
  <c r="DP61" i="1"/>
  <c r="DQ60" i="1"/>
  <c r="DW60" i="1"/>
  <c r="DU61" i="1"/>
  <c r="DV60" i="1"/>
  <c r="AF61" i="1"/>
  <c r="AD62" i="1"/>
  <c r="AE61" i="1"/>
  <c r="EB61" i="1"/>
  <c r="DZ62" i="1"/>
  <c r="EA61" i="1"/>
  <c r="CD60" i="1"/>
  <c r="CB61" i="1"/>
  <c r="CC60" i="1"/>
  <c r="DC61" i="1"/>
  <c r="DA62" i="1"/>
  <c r="DB61" i="1"/>
  <c r="AA61" i="1"/>
  <c r="Y62" i="1"/>
  <c r="Z61" i="1"/>
  <c r="BJ60" i="1"/>
  <c r="BH61" i="1"/>
  <c r="BI60" i="1"/>
  <c r="EL60" i="1"/>
  <c r="EJ61" i="1"/>
  <c r="EK60" i="1"/>
  <c r="BY61" i="1"/>
  <c r="BW62" i="1"/>
  <c r="BX61" i="1"/>
  <c r="DH61" i="1"/>
  <c r="DF62" i="1"/>
  <c r="DG61" i="1"/>
  <c r="DM63" i="1"/>
  <c r="DK64" i="1"/>
  <c r="DL63" i="1"/>
  <c r="BC61" i="1"/>
  <c r="BD60" i="1"/>
  <c r="BE60" i="1"/>
  <c r="AP60" i="1"/>
  <c r="AN61" i="1"/>
  <c r="AO60" i="1"/>
  <c r="EV61" i="1"/>
  <c r="ET62" i="1"/>
  <c r="EU61" i="1"/>
  <c r="AZ60" i="1"/>
  <c r="AX61" i="1"/>
  <c r="AY60" i="1"/>
  <c r="CI60" i="1"/>
  <c r="CG61" i="1"/>
  <c r="CH60" i="1"/>
  <c r="EE61" i="1"/>
  <c r="EF60" i="1"/>
  <c r="EG60" i="1"/>
  <c r="AN62" i="1" l="1"/>
  <c r="AO61" i="1"/>
  <c r="AP61" i="1"/>
  <c r="BE61" i="1"/>
  <c r="BC62" i="1"/>
  <c r="BD61" i="1"/>
  <c r="BY62" i="1"/>
  <c r="BW63" i="1"/>
  <c r="BX62" i="1"/>
  <c r="DW61" i="1"/>
  <c r="DU62" i="1"/>
  <c r="DV61" i="1"/>
  <c r="AU61" i="1"/>
  <c r="AS62" i="1"/>
  <c r="AT61" i="1"/>
  <c r="CS61" i="1"/>
  <c r="CQ62" i="1"/>
  <c r="CR61" i="1"/>
  <c r="BT62" i="1"/>
  <c r="BR63" i="1"/>
  <c r="BS62" i="1"/>
  <c r="DH62" i="1"/>
  <c r="DF63" i="1"/>
  <c r="DG62" i="1"/>
  <c r="AF62" i="1"/>
  <c r="AD63" i="1"/>
  <c r="AE62" i="1"/>
  <c r="T64" i="1"/>
  <c r="V63" i="1"/>
  <c r="U63" i="1"/>
  <c r="AK64" i="1"/>
  <c r="AI65" i="1"/>
  <c r="AJ64" i="1"/>
  <c r="AZ61" i="1"/>
  <c r="AX62" i="1"/>
  <c r="AY61" i="1"/>
  <c r="DM64" i="1"/>
  <c r="DK65" i="1"/>
  <c r="DL64" i="1"/>
  <c r="BH62" i="1"/>
  <c r="BI61" i="1"/>
  <c r="BJ61" i="1"/>
  <c r="EB62" i="1"/>
  <c r="DZ63" i="1"/>
  <c r="EA62" i="1"/>
  <c r="CN62" i="1"/>
  <c r="CL63" i="1"/>
  <c r="CM62" i="1"/>
  <c r="DA63" i="1"/>
  <c r="DB62" i="1"/>
  <c r="DC62" i="1"/>
  <c r="EG61" i="1"/>
  <c r="EE62" i="1"/>
  <c r="EF61" i="1"/>
  <c r="EV62" i="1"/>
  <c r="EU62" i="1"/>
  <c r="ET63" i="1"/>
  <c r="Y63" i="1"/>
  <c r="Z62" i="1"/>
  <c r="AA62" i="1"/>
  <c r="CI61" i="1"/>
  <c r="CG62" i="1"/>
  <c r="CH61" i="1"/>
  <c r="EJ62" i="1"/>
  <c r="EK61" i="1"/>
  <c r="EL61" i="1"/>
  <c r="CB62" i="1"/>
  <c r="CC61" i="1"/>
  <c r="CD61" i="1"/>
  <c r="DP62" i="1"/>
  <c r="DQ61" i="1"/>
  <c r="DR61" i="1"/>
  <c r="BM64" i="1"/>
  <c r="BO63" i="1"/>
  <c r="BN63" i="1"/>
  <c r="EO64" i="1"/>
  <c r="EP63" i="1"/>
  <c r="EQ63" i="1"/>
  <c r="CV64" i="1"/>
  <c r="CX63" i="1"/>
  <c r="CW63" i="1"/>
  <c r="CX64" i="1" l="1"/>
  <c r="CV65" i="1"/>
  <c r="CW64" i="1"/>
  <c r="BM65" i="1"/>
  <c r="BN64" i="1"/>
  <c r="BO64" i="1"/>
  <c r="EV63" i="1"/>
  <c r="EU63" i="1"/>
  <c r="ET64" i="1"/>
  <c r="EG62" i="1"/>
  <c r="EE63" i="1"/>
  <c r="EF62" i="1"/>
  <c r="DA64" i="1"/>
  <c r="DC63" i="1"/>
  <c r="DB63" i="1"/>
  <c r="CS62" i="1"/>
  <c r="CQ63" i="1"/>
  <c r="CR62" i="1"/>
  <c r="BE62" i="1"/>
  <c r="BC63" i="1"/>
  <c r="BD62" i="1"/>
  <c r="AP62" i="1"/>
  <c r="AN63" i="1"/>
  <c r="AO62" i="1"/>
  <c r="EO65" i="1"/>
  <c r="EP64" i="1"/>
  <c r="EQ64" i="1"/>
  <c r="EL62" i="1"/>
  <c r="EJ63" i="1"/>
  <c r="EK62" i="1"/>
  <c r="DZ64" i="1"/>
  <c r="EA63" i="1"/>
  <c r="EB63" i="1"/>
  <c r="BJ62" i="1"/>
  <c r="BH63" i="1"/>
  <c r="BI62" i="1"/>
  <c r="AK65" i="1"/>
  <c r="AI66" i="1"/>
  <c r="AJ65" i="1"/>
  <c r="T65" i="1"/>
  <c r="V64" i="1"/>
  <c r="U64" i="1"/>
  <c r="BS63" i="1"/>
  <c r="BT63" i="1"/>
  <c r="BR64" i="1"/>
  <c r="BY63" i="1"/>
  <c r="BW64" i="1"/>
  <c r="BX63" i="1"/>
  <c r="CD62" i="1"/>
  <c r="CB63" i="1"/>
  <c r="CC62" i="1"/>
  <c r="CL64" i="1"/>
  <c r="CM63" i="1"/>
  <c r="CN63" i="1"/>
  <c r="AZ62" i="1"/>
  <c r="AX63" i="1"/>
  <c r="AY62" i="1"/>
  <c r="DG63" i="1"/>
  <c r="DF64" i="1"/>
  <c r="DH63" i="1"/>
  <c r="DU63" i="1"/>
  <c r="DV62" i="1"/>
  <c r="DW62" i="1"/>
  <c r="DR62" i="1"/>
  <c r="DQ62" i="1"/>
  <c r="DP63" i="1"/>
  <c r="CG63" i="1"/>
  <c r="CH62" i="1"/>
  <c r="CI62" i="1"/>
  <c r="Y64" i="1"/>
  <c r="AA63" i="1"/>
  <c r="Z63" i="1"/>
  <c r="DM65" i="1"/>
  <c r="DK66" i="1"/>
  <c r="DL65" i="1"/>
  <c r="AE63" i="1"/>
  <c r="AF63" i="1"/>
  <c r="AD64" i="1"/>
  <c r="AS63" i="1"/>
  <c r="AT62" i="1"/>
  <c r="AU62" i="1"/>
  <c r="V65" i="1" l="1"/>
  <c r="T66" i="1"/>
  <c r="U65" i="1"/>
  <c r="BM66" i="1"/>
  <c r="BO65" i="1"/>
  <c r="BN65" i="1"/>
  <c r="AS64" i="1"/>
  <c r="AU63" i="1"/>
  <c r="AT63" i="1"/>
  <c r="CG64" i="1"/>
  <c r="CI63" i="1"/>
  <c r="CH63" i="1"/>
  <c r="EG63" i="1"/>
  <c r="EF63" i="1"/>
  <c r="EE64" i="1"/>
  <c r="AD65" i="1"/>
  <c r="AE64" i="1"/>
  <c r="AF64" i="1"/>
  <c r="DK67" i="1"/>
  <c r="DL66" i="1"/>
  <c r="DM66" i="1"/>
  <c r="Y65" i="1"/>
  <c r="AA64" i="1"/>
  <c r="Z64" i="1"/>
  <c r="DP64" i="1"/>
  <c r="DR63" i="1"/>
  <c r="DQ63" i="1"/>
  <c r="CB64" i="1"/>
  <c r="CD63" i="1"/>
  <c r="CC63" i="1"/>
  <c r="AI67" i="1"/>
  <c r="AJ66" i="1"/>
  <c r="AK66" i="1"/>
  <c r="CX65" i="1"/>
  <c r="CV66" i="1"/>
  <c r="CW65" i="1"/>
  <c r="AY63" i="1"/>
  <c r="AZ63" i="1"/>
  <c r="AX64" i="1"/>
  <c r="CN64" i="1"/>
  <c r="CL65" i="1"/>
  <c r="CM64" i="1"/>
  <c r="BC64" i="1"/>
  <c r="BE63" i="1"/>
  <c r="BD63" i="1"/>
  <c r="DH64" i="1"/>
  <c r="DF65" i="1"/>
  <c r="DG64" i="1"/>
  <c r="BY64" i="1"/>
  <c r="BW65" i="1"/>
  <c r="BX64" i="1"/>
  <c r="BJ63" i="1"/>
  <c r="BH64" i="1"/>
  <c r="BI63" i="1"/>
  <c r="EB64" i="1"/>
  <c r="DZ65" i="1"/>
  <c r="EA64" i="1"/>
  <c r="AP63" i="1"/>
  <c r="AN64" i="1"/>
  <c r="AO63" i="1"/>
  <c r="DU64" i="1"/>
  <c r="DW63" i="1"/>
  <c r="DV63" i="1"/>
  <c r="BT64" i="1"/>
  <c r="BR65" i="1"/>
  <c r="BS64" i="1"/>
  <c r="EJ64" i="1"/>
  <c r="EL63" i="1"/>
  <c r="EK63" i="1"/>
  <c r="EQ65" i="1"/>
  <c r="EP65" i="1"/>
  <c r="EO66" i="1"/>
  <c r="CS63" i="1"/>
  <c r="CR63" i="1"/>
  <c r="CQ64" i="1"/>
  <c r="DA65" i="1"/>
  <c r="DB64" i="1"/>
  <c r="DC64" i="1"/>
  <c r="EV64" i="1"/>
  <c r="ET65" i="1"/>
  <c r="EU64" i="1"/>
  <c r="ET66" i="1" l="1"/>
  <c r="EU65" i="1"/>
  <c r="EV65" i="1"/>
  <c r="DC65" i="1"/>
  <c r="DA66" i="1"/>
  <c r="DB65" i="1"/>
  <c r="EQ66" i="1"/>
  <c r="EO67" i="1"/>
  <c r="EP66" i="1"/>
  <c r="DZ66" i="1"/>
  <c r="EA65" i="1"/>
  <c r="EB65" i="1"/>
  <c r="AD66" i="1"/>
  <c r="AE65" i="1"/>
  <c r="AF65" i="1"/>
  <c r="DF66" i="1"/>
  <c r="DG65" i="1"/>
  <c r="DH65" i="1"/>
  <c r="AX65" i="1"/>
  <c r="AY64" i="1"/>
  <c r="AZ64" i="1"/>
  <c r="DK68" i="1"/>
  <c r="DM67" i="1"/>
  <c r="DL67" i="1"/>
  <c r="EG64" i="1"/>
  <c r="EE65" i="1"/>
  <c r="EF64" i="1"/>
  <c r="BY65" i="1"/>
  <c r="BW66" i="1"/>
  <c r="BX65" i="1"/>
  <c r="AA65" i="1"/>
  <c r="Y66" i="1"/>
  <c r="Z65" i="1"/>
  <c r="CG65" i="1"/>
  <c r="CH64" i="1"/>
  <c r="CI64" i="1"/>
  <c r="V66" i="1"/>
  <c r="T67" i="1"/>
  <c r="U66" i="1"/>
  <c r="CD64" i="1"/>
  <c r="CB65" i="1"/>
  <c r="CC64" i="1"/>
  <c r="BO66" i="1"/>
  <c r="BN66" i="1"/>
  <c r="BM67" i="1"/>
  <c r="CS64" i="1"/>
  <c r="CQ65" i="1"/>
  <c r="CR64" i="1"/>
  <c r="EL64" i="1"/>
  <c r="EJ65" i="1"/>
  <c r="EK64" i="1"/>
  <c r="AP64" i="1"/>
  <c r="AO64" i="1"/>
  <c r="AN65" i="1"/>
  <c r="BE64" i="1"/>
  <c r="BC65" i="1"/>
  <c r="BD64" i="1"/>
  <c r="CX66" i="1"/>
  <c r="CV67" i="1"/>
  <c r="CW66" i="1"/>
  <c r="AK67" i="1"/>
  <c r="AJ67" i="1"/>
  <c r="AI68" i="1"/>
  <c r="AS65" i="1"/>
  <c r="AT64" i="1"/>
  <c r="AU64" i="1"/>
  <c r="BR66" i="1"/>
  <c r="BS65" i="1"/>
  <c r="BT65" i="1"/>
  <c r="DU65" i="1"/>
  <c r="DV64" i="1"/>
  <c r="DW64" i="1"/>
  <c r="BJ64" i="1"/>
  <c r="BH65" i="1"/>
  <c r="BI64" i="1"/>
  <c r="CL66" i="1"/>
  <c r="CM65" i="1"/>
  <c r="CN65" i="1"/>
  <c r="DR64" i="1"/>
  <c r="DQ64" i="1"/>
  <c r="DP65" i="1"/>
  <c r="AU65" i="1" l="1"/>
  <c r="AS66" i="1"/>
  <c r="AT65" i="1"/>
  <c r="BE65" i="1"/>
  <c r="BC66" i="1"/>
  <c r="BD65" i="1"/>
  <c r="AA66" i="1"/>
  <c r="Y67" i="1"/>
  <c r="Z66" i="1"/>
  <c r="EQ67" i="1"/>
  <c r="EO68" i="1"/>
  <c r="EP67" i="1"/>
  <c r="BT66" i="1"/>
  <c r="BR67" i="1"/>
  <c r="BS66" i="1"/>
  <c r="AK68" i="1"/>
  <c r="AI69" i="1"/>
  <c r="AJ68" i="1"/>
  <c r="CV68" i="1"/>
  <c r="CW67" i="1"/>
  <c r="CX67" i="1"/>
  <c r="AX66" i="1"/>
  <c r="AY65" i="1"/>
  <c r="AZ65" i="1"/>
  <c r="BJ65" i="1"/>
  <c r="BH66" i="1"/>
  <c r="BI65" i="1"/>
  <c r="DW65" i="1"/>
  <c r="DU66" i="1"/>
  <c r="DV65" i="1"/>
  <c r="AP65" i="1"/>
  <c r="AO65" i="1"/>
  <c r="AN66" i="1"/>
  <c r="EL65" i="1"/>
  <c r="EJ66" i="1"/>
  <c r="EK65" i="1"/>
  <c r="T68" i="1"/>
  <c r="U67" i="1"/>
  <c r="V67" i="1"/>
  <c r="CI65" i="1"/>
  <c r="CG66" i="1"/>
  <c r="CH65" i="1"/>
  <c r="EG65" i="1"/>
  <c r="EE66" i="1"/>
  <c r="EF65" i="1"/>
  <c r="DM68" i="1"/>
  <c r="DL68" i="1"/>
  <c r="DK69" i="1"/>
  <c r="EB66" i="1"/>
  <c r="DZ67" i="1"/>
  <c r="EA66" i="1"/>
  <c r="CL67" i="1"/>
  <c r="CN66" i="1"/>
  <c r="CM66" i="1"/>
  <c r="DH66" i="1"/>
  <c r="DF67" i="1"/>
  <c r="DG66" i="1"/>
  <c r="CS65" i="1"/>
  <c r="CQ66" i="1"/>
  <c r="CR65" i="1"/>
  <c r="DR65" i="1"/>
  <c r="DP66" i="1"/>
  <c r="DQ65" i="1"/>
  <c r="BO67" i="1"/>
  <c r="BM68" i="1"/>
  <c r="BN67" i="1"/>
  <c r="CD65" i="1"/>
  <c r="CB66" i="1"/>
  <c r="CC65" i="1"/>
  <c r="BW67" i="1"/>
  <c r="BX66" i="1"/>
  <c r="BY66" i="1"/>
  <c r="AF66" i="1"/>
  <c r="AD67" i="1"/>
  <c r="AE66" i="1"/>
  <c r="DC66" i="1"/>
  <c r="DA67" i="1"/>
  <c r="DB66" i="1"/>
  <c r="EV66" i="1"/>
  <c r="ET67" i="1"/>
  <c r="EU66" i="1"/>
  <c r="EV67" i="1" l="1"/>
  <c r="ET68" i="1"/>
  <c r="EU67" i="1"/>
  <c r="CD66" i="1"/>
  <c r="CB67" i="1"/>
  <c r="CC66" i="1"/>
  <c r="DH67" i="1"/>
  <c r="DF68" i="1"/>
  <c r="DG67" i="1"/>
  <c r="CN67" i="1"/>
  <c r="CM67" i="1"/>
  <c r="CL68" i="1"/>
  <c r="DM69" i="1"/>
  <c r="DK70" i="1"/>
  <c r="DL69" i="1"/>
  <c r="EE67" i="1"/>
  <c r="EF66" i="1"/>
  <c r="EG66" i="1"/>
  <c r="AA67" i="1"/>
  <c r="Y68" i="1"/>
  <c r="Z67" i="1"/>
  <c r="EL66" i="1"/>
  <c r="EJ67" i="1"/>
  <c r="EK66" i="1"/>
  <c r="CX68" i="1"/>
  <c r="CV69" i="1"/>
  <c r="CW68" i="1"/>
  <c r="EO69" i="1"/>
  <c r="EP68" i="1"/>
  <c r="EQ68" i="1"/>
  <c r="AF67" i="1"/>
  <c r="AD68" i="1"/>
  <c r="AE67" i="1"/>
  <c r="BY67" i="1"/>
  <c r="BW68" i="1"/>
  <c r="BX67" i="1"/>
  <c r="DR66" i="1"/>
  <c r="DP67" i="1"/>
  <c r="DQ66" i="1"/>
  <c r="EB67" i="1"/>
  <c r="DZ68" i="1"/>
  <c r="EA67" i="1"/>
  <c r="BJ66" i="1"/>
  <c r="BH67" i="1"/>
  <c r="BI66" i="1"/>
  <c r="AZ66" i="1"/>
  <c r="AX67" i="1"/>
  <c r="AY66" i="1"/>
  <c r="BT67" i="1"/>
  <c r="BR68" i="1"/>
  <c r="BS67" i="1"/>
  <c r="AU66" i="1"/>
  <c r="AS67" i="1"/>
  <c r="AT66" i="1"/>
  <c r="CQ67" i="1"/>
  <c r="CR66" i="1"/>
  <c r="CS66" i="1"/>
  <c r="DC67" i="1"/>
  <c r="DA68" i="1"/>
  <c r="DB67" i="1"/>
  <c r="BM69" i="1"/>
  <c r="BN68" i="1"/>
  <c r="BO68" i="1"/>
  <c r="CI66" i="1"/>
  <c r="CG67" i="1"/>
  <c r="CH66" i="1"/>
  <c r="V68" i="1"/>
  <c r="T69" i="1"/>
  <c r="U68" i="1"/>
  <c r="AP66" i="1"/>
  <c r="AN67" i="1"/>
  <c r="AO66" i="1"/>
  <c r="DW66" i="1"/>
  <c r="DU67" i="1"/>
  <c r="DV66" i="1"/>
  <c r="AK69" i="1"/>
  <c r="AI70" i="1"/>
  <c r="AJ69" i="1"/>
  <c r="BC67" i="1"/>
  <c r="BD66" i="1"/>
  <c r="BE66" i="1"/>
  <c r="BH68" i="1" l="1"/>
  <c r="BI67" i="1"/>
  <c r="BJ67" i="1"/>
  <c r="AF68" i="1"/>
  <c r="AD69" i="1"/>
  <c r="AE68" i="1"/>
  <c r="EQ69" i="1"/>
  <c r="EO70" i="1"/>
  <c r="EP69" i="1"/>
  <c r="Y69" i="1"/>
  <c r="Z68" i="1"/>
  <c r="AA68" i="1"/>
  <c r="EG67" i="1"/>
  <c r="EE68" i="1"/>
  <c r="EF67" i="1"/>
  <c r="CN68" i="1"/>
  <c r="CL69" i="1"/>
  <c r="CM68" i="1"/>
  <c r="DH68" i="1"/>
  <c r="DF69" i="1"/>
  <c r="DG68" i="1"/>
  <c r="BE67" i="1"/>
  <c r="BC68" i="1"/>
  <c r="BD67" i="1"/>
  <c r="AN68" i="1"/>
  <c r="AO67" i="1"/>
  <c r="AP67" i="1"/>
  <c r="DA69" i="1"/>
  <c r="DB68" i="1"/>
  <c r="DC68" i="1"/>
  <c r="CS67" i="1"/>
  <c r="CQ68" i="1"/>
  <c r="CR67" i="1"/>
  <c r="AZ67" i="1"/>
  <c r="AX68" i="1"/>
  <c r="AY67" i="1"/>
  <c r="BY68" i="1"/>
  <c r="BW69" i="1"/>
  <c r="BX68" i="1"/>
  <c r="EJ68" i="1"/>
  <c r="EK67" i="1"/>
  <c r="EL67" i="1"/>
  <c r="DW67" i="1"/>
  <c r="DU68" i="1"/>
  <c r="DV67" i="1"/>
  <c r="BT68" i="1"/>
  <c r="BR69" i="1"/>
  <c r="BS68" i="1"/>
  <c r="DP68" i="1"/>
  <c r="DQ67" i="1"/>
  <c r="DR67" i="1"/>
  <c r="CX69" i="1"/>
  <c r="CV70" i="1"/>
  <c r="CW69" i="1"/>
  <c r="DK71" i="1"/>
  <c r="DL70" i="1"/>
  <c r="DM70" i="1"/>
  <c r="EV68" i="1"/>
  <c r="ET69" i="1"/>
  <c r="EU68" i="1"/>
  <c r="V69" i="1"/>
  <c r="T70" i="1"/>
  <c r="U69" i="1"/>
  <c r="AI71" i="1"/>
  <c r="AJ70" i="1"/>
  <c r="AK70" i="1"/>
  <c r="CI67" i="1"/>
  <c r="CG68" i="1"/>
  <c r="CH67" i="1"/>
  <c r="BO69" i="1"/>
  <c r="BM70" i="1"/>
  <c r="BN69" i="1"/>
  <c r="AU67" i="1"/>
  <c r="AS68" i="1"/>
  <c r="AT67" i="1"/>
  <c r="EB68" i="1"/>
  <c r="DZ69" i="1"/>
  <c r="EA68" i="1"/>
  <c r="CB68" i="1"/>
  <c r="CC67" i="1"/>
  <c r="CD67" i="1"/>
  <c r="CD68" i="1" l="1"/>
  <c r="CB69" i="1"/>
  <c r="CC68" i="1"/>
  <c r="BO70" i="1"/>
  <c r="BM71" i="1"/>
  <c r="BN70" i="1"/>
  <c r="DZ70" i="1"/>
  <c r="EA69" i="1"/>
  <c r="EB69" i="1"/>
  <c r="CX70" i="1"/>
  <c r="CV71" i="1"/>
  <c r="CW70" i="1"/>
  <c r="DR68" i="1"/>
  <c r="DP69" i="1"/>
  <c r="DQ68" i="1"/>
  <c r="AP68" i="1"/>
  <c r="AN69" i="1"/>
  <c r="AO68" i="1"/>
  <c r="CL70" i="1"/>
  <c r="CM69" i="1"/>
  <c r="CN69" i="1"/>
  <c r="AD70" i="1"/>
  <c r="AE69" i="1"/>
  <c r="AF69" i="1"/>
  <c r="BJ68" i="1"/>
  <c r="BI68" i="1"/>
  <c r="BH69" i="1"/>
  <c r="CG69" i="1"/>
  <c r="CH68" i="1"/>
  <c r="CI68" i="1"/>
  <c r="AK71" i="1"/>
  <c r="AI72" i="1"/>
  <c r="AJ71" i="1"/>
  <c r="DU69" i="1"/>
  <c r="DV68" i="1"/>
  <c r="DW68" i="1"/>
  <c r="EJ69" i="1"/>
  <c r="EL68" i="1"/>
  <c r="EK68" i="1"/>
  <c r="CS68" i="1"/>
  <c r="CQ69" i="1"/>
  <c r="CR68" i="1"/>
  <c r="DC69" i="1"/>
  <c r="DA70" i="1"/>
  <c r="DB69" i="1"/>
  <c r="DF70" i="1"/>
  <c r="DG69" i="1"/>
  <c r="DH69" i="1"/>
  <c r="EQ70" i="1"/>
  <c r="EO71" i="1"/>
  <c r="EP70" i="1"/>
  <c r="ET70" i="1"/>
  <c r="EU69" i="1"/>
  <c r="EV69" i="1"/>
  <c r="DK72" i="1"/>
  <c r="DM71" i="1"/>
  <c r="DL71" i="1"/>
  <c r="BR70" i="1"/>
  <c r="BS69" i="1"/>
  <c r="BT69" i="1"/>
  <c r="AZ68" i="1"/>
  <c r="AX69" i="1"/>
  <c r="AY68" i="1"/>
  <c r="BE68" i="1"/>
  <c r="BC69" i="1"/>
  <c r="BD68" i="1"/>
  <c r="AS69" i="1"/>
  <c r="AT68" i="1"/>
  <c r="AU68" i="1"/>
  <c r="V70" i="1"/>
  <c r="T71" i="1"/>
  <c r="U70" i="1"/>
  <c r="BY69" i="1"/>
  <c r="BW70" i="1"/>
  <c r="BX69" i="1"/>
  <c r="EG68" i="1"/>
  <c r="EE69" i="1"/>
  <c r="EF68" i="1"/>
  <c r="AA69" i="1"/>
  <c r="Y70" i="1"/>
  <c r="Z69" i="1"/>
  <c r="AA70" i="1" l="1"/>
  <c r="Y71" i="1"/>
  <c r="Z70" i="1"/>
  <c r="T72" i="1"/>
  <c r="U71" i="1"/>
  <c r="V71" i="1"/>
  <c r="AU69" i="1"/>
  <c r="AS70" i="1"/>
  <c r="AT69" i="1"/>
  <c r="DM72" i="1"/>
  <c r="DK73" i="1"/>
  <c r="DL72" i="1"/>
  <c r="BJ69" i="1"/>
  <c r="BH70" i="1"/>
  <c r="BI69" i="1"/>
  <c r="CN70" i="1"/>
  <c r="CL71" i="1"/>
  <c r="CM70" i="1"/>
  <c r="CV72" i="1"/>
  <c r="CW71" i="1"/>
  <c r="CX71" i="1"/>
  <c r="EB70" i="1"/>
  <c r="DZ71" i="1"/>
  <c r="EA70" i="1"/>
  <c r="BW71" i="1"/>
  <c r="BX70" i="1"/>
  <c r="BY70" i="1"/>
  <c r="AX70" i="1"/>
  <c r="AY69" i="1"/>
  <c r="AZ69" i="1"/>
  <c r="BT70" i="1"/>
  <c r="BR71" i="1"/>
  <c r="BS70" i="1"/>
  <c r="EO72" i="1"/>
  <c r="EQ71" i="1"/>
  <c r="EP71" i="1"/>
  <c r="DH70" i="1"/>
  <c r="DG70" i="1"/>
  <c r="DF71" i="1"/>
  <c r="DW69" i="1"/>
  <c r="DU70" i="1"/>
  <c r="DV69" i="1"/>
  <c r="AD71" i="1"/>
  <c r="AF70" i="1"/>
  <c r="AE70" i="1"/>
  <c r="DR69" i="1"/>
  <c r="DP70" i="1"/>
  <c r="DQ69" i="1"/>
  <c r="CD69" i="1"/>
  <c r="CB70" i="1"/>
  <c r="CC69" i="1"/>
  <c r="EV70" i="1"/>
  <c r="ET71" i="1"/>
  <c r="EU70" i="1"/>
  <c r="DC70" i="1"/>
  <c r="DA71" i="1"/>
  <c r="DB70" i="1"/>
  <c r="AI73" i="1"/>
  <c r="AK72" i="1"/>
  <c r="AJ72" i="1"/>
  <c r="CI69" i="1"/>
  <c r="CH69" i="1"/>
  <c r="CG70" i="1"/>
  <c r="EG69" i="1"/>
  <c r="EE70" i="1"/>
  <c r="EF69" i="1"/>
  <c r="BE69" i="1"/>
  <c r="BC70" i="1"/>
  <c r="BD69" i="1"/>
  <c r="CS69" i="1"/>
  <c r="CQ70" i="1"/>
  <c r="CR69" i="1"/>
  <c r="EL69" i="1"/>
  <c r="EK69" i="1"/>
  <c r="EJ70" i="1"/>
  <c r="AP69" i="1"/>
  <c r="AN70" i="1"/>
  <c r="AO69" i="1"/>
  <c r="BM72" i="1"/>
  <c r="BO71" i="1"/>
  <c r="BN71" i="1"/>
  <c r="AP70" i="1" l="1"/>
  <c r="AN71" i="1"/>
  <c r="AO70" i="1"/>
  <c r="ET72" i="1"/>
  <c r="EV71" i="1"/>
  <c r="EU71" i="1"/>
  <c r="DW70" i="1"/>
  <c r="DU71" i="1"/>
  <c r="DV70" i="1"/>
  <c r="BY71" i="1"/>
  <c r="BX71" i="1"/>
  <c r="BW72" i="1"/>
  <c r="CL72" i="1"/>
  <c r="CN71" i="1"/>
  <c r="CM71" i="1"/>
  <c r="BC71" i="1"/>
  <c r="BD70" i="1"/>
  <c r="BE70" i="1"/>
  <c r="DA72" i="1"/>
  <c r="DC71" i="1"/>
  <c r="DB71" i="1"/>
  <c r="BR72" i="1"/>
  <c r="BT71" i="1"/>
  <c r="BS71" i="1"/>
  <c r="AZ70" i="1"/>
  <c r="AX71" i="1"/>
  <c r="AY70" i="1"/>
  <c r="AU70" i="1"/>
  <c r="AS71" i="1"/>
  <c r="AT70" i="1"/>
  <c r="V72" i="1"/>
  <c r="T73" i="1"/>
  <c r="U72" i="1"/>
  <c r="EE71" i="1"/>
  <c r="EF70" i="1"/>
  <c r="EG70" i="1"/>
  <c r="BO72" i="1"/>
  <c r="BN72" i="1"/>
  <c r="BM73" i="1"/>
  <c r="EL70" i="1"/>
  <c r="EJ71" i="1"/>
  <c r="EK70" i="1"/>
  <c r="CQ71" i="1"/>
  <c r="CR70" i="1"/>
  <c r="CS70" i="1"/>
  <c r="CI70" i="1"/>
  <c r="CG71" i="1"/>
  <c r="CH70" i="1"/>
  <c r="DR70" i="1"/>
  <c r="DP71" i="1"/>
  <c r="DQ70" i="1"/>
  <c r="AF71" i="1"/>
  <c r="AE71" i="1"/>
  <c r="AD72" i="1"/>
  <c r="DH71" i="1"/>
  <c r="DF72" i="1"/>
  <c r="DG71" i="1"/>
  <c r="EB71" i="1"/>
  <c r="EA71" i="1"/>
  <c r="DZ72" i="1"/>
  <c r="CX72" i="1"/>
  <c r="CW72" i="1"/>
  <c r="CV73" i="1"/>
  <c r="DK74" i="1"/>
  <c r="DL73" i="1"/>
  <c r="DM73" i="1"/>
  <c r="AI74" i="1"/>
  <c r="AJ73" i="1"/>
  <c r="AK73" i="1"/>
  <c r="CD70" i="1"/>
  <c r="CB71" i="1"/>
  <c r="CC70" i="1"/>
  <c r="EO73" i="1"/>
  <c r="EQ72" i="1"/>
  <c r="EP72" i="1"/>
  <c r="BJ70" i="1"/>
  <c r="BH71" i="1"/>
  <c r="BI70" i="1"/>
  <c r="AA71" i="1"/>
  <c r="Y72" i="1"/>
  <c r="Z71" i="1"/>
  <c r="Z72" i="1" l="1"/>
  <c r="Y73" i="1"/>
  <c r="AA72" i="1"/>
  <c r="DK75" i="1"/>
  <c r="DL74" i="1"/>
  <c r="DM74" i="1"/>
  <c r="DZ73" i="1"/>
  <c r="EA72" i="1"/>
  <c r="EB72" i="1"/>
  <c r="DF73" i="1"/>
  <c r="DG72" i="1"/>
  <c r="DH72" i="1"/>
  <c r="V73" i="1"/>
  <c r="U73" i="1"/>
  <c r="T74" i="1"/>
  <c r="BC72" i="1"/>
  <c r="BE71" i="1"/>
  <c r="BD71" i="1"/>
  <c r="DU72" i="1"/>
  <c r="DW71" i="1"/>
  <c r="DV71" i="1"/>
  <c r="ET73" i="1"/>
  <c r="EU72" i="1"/>
  <c r="EV72" i="1"/>
  <c r="CG72" i="1"/>
  <c r="CI71" i="1"/>
  <c r="CH71" i="1"/>
  <c r="CS71" i="1"/>
  <c r="CR71" i="1"/>
  <c r="CQ72" i="1"/>
  <c r="DC72" i="1"/>
  <c r="DA73" i="1"/>
  <c r="DB72" i="1"/>
  <c r="AD73" i="1"/>
  <c r="AF72" i="1"/>
  <c r="AE72" i="1"/>
  <c r="DQ71" i="1"/>
  <c r="DP72" i="1"/>
  <c r="DR71" i="1"/>
  <c r="EE72" i="1"/>
  <c r="EG71" i="1"/>
  <c r="EF71" i="1"/>
  <c r="AZ71" i="1"/>
  <c r="AX72" i="1"/>
  <c r="AY71" i="1"/>
  <c r="BR73" i="1"/>
  <c r="BS72" i="1"/>
  <c r="BT72" i="1"/>
  <c r="AN72" i="1"/>
  <c r="AO71" i="1"/>
  <c r="AP71" i="1"/>
  <c r="BY72" i="1"/>
  <c r="BW73" i="1"/>
  <c r="BX72" i="1"/>
  <c r="CC71" i="1"/>
  <c r="CB72" i="1"/>
  <c r="CD71" i="1"/>
  <c r="AI75" i="1"/>
  <c r="AK74" i="1"/>
  <c r="AJ74" i="1"/>
  <c r="CX73" i="1"/>
  <c r="CV74" i="1"/>
  <c r="CW73" i="1"/>
  <c r="BO73" i="1"/>
  <c r="BM74" i="1"/>
  <c r="BN73" i="1"/>
  <c r="BI71" i="1"/>
  <c r="BJ71" i="1"/>
  <c r="BH72" i="1"/>
  <c r="EO74" i="1"/>
  <c r="EQ73" i="1"/>
  <c r="EP73" i="1"/>
  <c r="EK71" i="1"/>
  <c r="EJ72" i="1"/>
  <c r="EL71" i="1"/>
  <c r="AU71" i="1"/>
  <c r="AS72" i="1"/>
  <c r="AT71" i="1"/>
  <c r="CL73" i="1"/>
  <c r="CM72" i="1"/>
  <c r="CN72" i="1"/>
  <c r="AX73" i="1" l="1"/>
  <c r="AY72" i="1"/>
  <c r="AZ72" i="1"/>
  <c r="DA74" i="1"/>
  <c r="DB73" i="1"/>
  <c r="DC73" i="1"/>
  <c r="DU73" i="1"/>
  <c r="DV72" i="1"/>
  <c r="DW72" i="1"/>
  <c r="T75" i="1"/>
  <c r="U74" i="1"/>
  <c r="V74" i="1"/>
  <c r="DZ74" i="1"/>
  <c r="EB73" i="1"/>
  <c r="EA73" i="1"/>
  <c r="EL72" i="1"/>
  <c r="EJ73" i="1"/>
  <c r="EK72" i="1"/>
  <c r="EQ74" i="1"/>
  <c r="EP74" i="1"/>
  <c r="EO75" i="1"/>
  <c r="CX74" i="1"/>
  <c r="CV75" i="1"/>
  <c r="CW74" i="1"/>
  <c r="AI76" i="1"/>
  <c r="AJ75" i="1"/>
  <c r="AK75" i="1"/>
  <c r="BR74" i="1"/>
  <c r="BS73" i="1"/>
  <c r="BT73" i="1"/>
  <c r="DR72" i="1"/>
  <c r="DQ72" i="1"/>
  <c r="DP73" i="1"/>
  <c r="AF73" i="1"/>
  <c r="AD74" i="1"/>
  <c r="AE73" i="1"/>
  <c r="CS72" i="1"/>
  <c r="CQ73" i="1"/>
  <c r="CR72" i="1"/>
  <c r="ET74" i="1"/>
  <c r="EU73" i="1"/>
  <c r="EV73" i="1"/>
  <c r="DF74" i="1"/>
  <c r="DH73" i="1"/>
  <c r="DG73" i="1"/>
  <c r="Y74" i="1"/>
  <c r="Z73" i="1"/>
  <c r="AA73" i="1"/>
  <c r="CB73" i="1"/>
  <c r="CC72" i="1"/>
  <c r="CD72" i="1"/>
  <c r="EG72" i="1"/>
  <c r="EF72" i="1"/>
  <c r="EE73" i="1"/>
  <c r="BE72" i="1"/>
  <c r="BC73" i="1"/>
  <c r="BD72" i="1"/>
  <c r="DK76" i="1"/>
  <c r="DL75" i="1"/>
  <c r="DM75" i="1"/>
  <c r="CL74" i="1"/>
  <c r="CN73" i="1"/>
  <c r="CM73" i="1"/>
  <c r="AS73" i="1"/>
  <c r="AT72" i="1"/>
  <c r="AU72" i="1"/>
  <c r="BJ72" i="1"/>
  <c r="BH73" i="1"/>
  <c r="BI72" i="1"/>
  <c r="BO74" i="1"/>
  <c r="BN74" i="1"/>
  <c r="BM75" i="1"/>
  <c r="BW74" i="1"/>
  <c r="BX73" i="1"/>
  <c r="BY73" i="1"/>
  <c r="AN73" i="1"/>
  <c r="AP72" i="1"/>
  <c r="AO72" i="1"/>
  <c r="CI72" i="1"/>
  <c r="CH72" i="1"/>
  <c r="CG73" i="1"/>
  <c r="BO75" i="1" l="1"/>
  <c r="BM76" i="1"/>
  <c r="BN75" i="1"/>
  <c r="BJ73" i="1"/>
  <c r="BH74" i="1"/>
  <c r="BI73" i="1"/>
  <c r="AS74" i="1"/>
  <c r="AU73" i="1"/>
  <c r="AT73" i="1"/>
  <c r="EV74" i="1"/>
  <c r="EU74" i="1"/>
  <c r="ET75" i="1"/>
  <c r="BR75" i="1"/>
  <c r="BT74" i="1"/>
  <c r="BS74" i="1"/>
  <c r="DC74" i="1"/>
  <c r="DA75" i="1"/>
  <c r="DB74" i="1"/>
  <c r="DH74" i="1"/>
  <c r="DF75" i="1"/>
  <c r="DG74" i="1"/>
  <c r="AF74" i="1"/>
  <c r="AE74" i="1"/>
  <c r="AD75" i="1"/>
  <c r="CV76" i="1"/>
  <c r="CW75" i="1"/>
  <c r="CX75" i="1"/>
  <c r="DM76" i="1"/>
  <c r="DK77" i="1"/>
  <c r="DL76" i="1"/>
  <c r="EE74" i="1"/>
  <c r="EF73" i="1"/>
  <c r="EG73" i="1"/>
  <c r="AA74" i="1"/>
  <c r="Y75" i="1"/>
  <c r="Z74" i="1"/>
  <c r="CQ74" i="1"/>
  <c r="CR73" i="1"/>
  <c r="CS73" i="1"/>
  <c r="T76" i="1"/>
  <c r="U75" i="1"/>
  <c r="V75" i="1"/>
  <c r="AP73" i="1"/>
  <c r="AN74" i="1"/>
  <c r="AO73" i="1"/>
  <c r="BC74" i="1"/>
  <c r="BD73" i="1"/>
  <c r="BE73" i="1"/>
  <c r="DW73" i="1"/>
  <c r="DV73" i="1"/>
  <c r="DU74" i="1"/>
  <c r="CI73" i="1"/>
  <c r="CH73" i="1"/>
  <c r="CG74" i="1"/>
  <c r="BW75" i="1"/>
  <c r="BY74" i="1"/>
  <c r="BX74" i="1"/>
  <c r="CL75" i="1"/>
  <c r="CM74" i="1"/>
  <c r="CN74" i="1"/>
  <c r="CD73" i="1"/>
  <c r="CB74" i="1"/>
  <c r="CC73" i="1"/>
  <c r="DR73" i="1"/>
  <c r="DQ73" i="1"/>
  <c r="DP74" i="1"/>
  <c r="AK76" i="1"/>
  <c r="AJ76" i="1"/>
  <c r="AI77" i="1"/>
  <c r="EQ75" i="1"/>
  <c r="EO76" i="1"/>
  <c r="EP75" i="1"/>
  <c r="EL73" i="1"/>
  <c r="EK73" i="1"/>
  <c r="EJ74" i="1"/>
  <c r="DZ75" i="1"/>
  <c r="EA74" i="1"/>
  <c r="EB74" i="1"/>
  <c r="AZ73" i="1"/>
  <c r="AX74" i="1"/>
  <c r="AY73" i="1"/>
  <c r="T77" i="1" l="1"/>
  <c r="U76" i="1"/>
  <c r="V76" i="1"/>
  <c r="AF75" i="1"/>
  <c r="AD76" i="1"/>
  <c r="AE75" i="1"/>
  <c r="DH75" i="1"/>
  <c r="DF76" i="1"/>
  <c r="DG75" i="1"/>
  <c r="EV75" i="1"/>
  <c r="ET76" i="1"/>
  <c r="EU75" i="1"/>
  <c r="EL74" i="1"/>
  <c r="EJ75" i="1"/>
  <c r="EK74" i="1"/>
  <c r="EO77" i="1"/>
  <c r="EP76" i="1"/>
  <c r="EQ76" i="1"/>
  <c r="BW76" i="1"/>
  <c r="BX75" i="1"/>
  <c r="BY75" i="1"/>
  <c r="AA75" i="1"/>
  <c r="Y76" i="1"/>
  <c r="Z75" i="1"/>
  <c r="DR74" i="1"/>
  <c r="DP75" i="1"/>
  <c r="DQ74" i="1"/>
  <c r="CD74" i="1"/>
  <c r="CB75" i="1"/>
  <c r="CC74" i="1"/>
  <c r="CN75" i="1"/>
  <c r="CL76" i="1"/>
  <c r="CM75" i="1"/>
  <c r="CI74" i="1"/>
  <c r="CG75" i="1"/>
  <c r="CH74" i="1"/>
  <c r="BC75" i="1"/>
  <c r="BE74" i="1"/>
  <c r="BD74" i="1"/>
  <c r="BM77" i="1"/>
  <c r="BN76" i="1"/>
  <c r="BO76" i="1"/>
  <c r="AX75" i="1"/>
  <c r="AY74" i="1"/>
  <c r="AZ74" i="1"/>
  <c r="EB75" i="1"/>
  <c r="DZ76" i="1"/>
  <c r="EA75" i="1"/>
  <c r="AN75" i="1"/>
  <c r="AO74" i="1"/>
  <c r="AP74" i="1"/>
  <c r="DW74" i="1"/>
  <c r="DU75" i="1"/>
  <c r="DV74" i="1"/>
  <c r="EE75" i="1"/>
  <c r="EF74" i="1"/>
  <c r="EG74" i="1"/>
  <c r="AU74" i="1"/>
  <c r="AS75" i="1"/>
  <c r="AT74" i="1"/>
  <c r="AK77" i="1"/>
  <c r="AI78" i="1"/>
  <c r="AJ77" i="1"/>
  <c r="CQ75" i="1"/>
  <c r="CR74" i="1"/>
  <c r="CS74" i="1"/>
  <c r="DM77" i="1"/>
  <c r="DK78" i="1"/>
  <c r="DL77" i="1"/>
  <c r="CV77" i="1"/>
  <c r="CW76" i="1"/>
  <c r="CX76" i="1"/>
  <c r="DC75" i="1"/>
  <c r="DA76" i="1"/>
  <c r="DB75" i="1"/>
  <c r="BT75" i="1"/>
  <c r="BR76" i="1"/>
  <c r="BS75" i="1"/>
  <c r="BH75" i="1"/>
  <c r="BI74" i="1"/>
  <c r="BJ74" i="1"/>
  <c r="DW75" i="1" l="1"/>
  <c r="DU76" i="1"/>
  <c r="DV75" i="1"/>
  <c r="AN76" i="1"/>
  <c r="AO75" i="1"/>
  <c r="AP75" i="1"/>
  <c r="BE75" i="1"/>
  <c r="BC76" i="1"/>
  <c r="BD75" i="1"/>
  <c r="CB76" i="1"/>
  <c r="CC75" i="1"/>
  <c r="CD75" i="1"/>
  <c r="AF76" i="1"/>
  <c r="AD77" i="1"/>
  <c r="AE76" i="1"/>
  <c r="V77" i="1"/>
  <c r="T78" i="1"/>
  <c r="U77" i="1"/>
  <c r="DK79" i="1"/>
  <c r="DL78" i="1"/>
  <c r="DM78" i="1"/>
  <c r="CS75" i="1"/>
  <c r="CQ76" i="1"/>
  <c r="CR75" i="1"/>
  <c r="BO77" i="1"/>
  <c r="BN77" i="1"/>
  <c r="BM78" i="1"/>
  <c r="CN76" i="1"/>
  <c r="CL77" i="1"/>
  <c r="CM76" i="1"/>
  <c r="EQ77" i="1"/>
  <c r="EO78" i="1"/>
  <c r="EP77" i="1"/>
  <c r="DH76" i="1"/>
  <c r="DF77" i="1"/>
  <c r="DG76" i="1"/>
  <c r="BT76" i="1"/>
  <c r="BR77" i="1"/>
  <c r="BS76" i="1"/>
  <c r="BH76" i="1"/>
  <c r="BI75" i="1"/>
  <c r="BJ75" i="1"/>
  <c r="AU75" i="1"/>
  <c r="AS76" i="1"/>
  <c r="AT75" i="1"/>
  <c r="EG75" i="1"/>
  <c r="EE76" i="1"/>
  <c r="EF75" i="1"/>
  <c r="EB76" i="1"/>
  <c r="DZ77" i="1"/>
  <c r="EA76" i="1"/>
  <c r="AZ75" i="1"/>
  <c r="AX76" i="1"/>
  <c r="AY75" i="1"/>
  <c r="CI75" i="1"/>
  <c r="CG76" i="1"/>
  <c r="CH75" i="1"/>
  <c r="Y77" i="1"/>
  <c r="Z76" i="1"/>
  <c r="AA76" i="1"/>
  <c r="BY76" i="1"/>
  <c r="BW77" i="1"/>
  <c r="BX76" i="1"/>
  <c r="EV76" i="1"/>
  <c r="ET77" i="1"/>
  <c r="EU76" i="1"/>
  <c r="DA77" i="1"/>
  <c r="DB76" i="1"/>
  <c r="DC76" i="1"/>
  <c r="CX77" i="1"/>
  <c r="CV78" i="1"/>
  <c r="CW77" i="1"/>
  <c r="AI79" i="1"/>
  <c r="AJ78" i="1"/>
  <c r="AK78" i="1"/>
  <c r="DP76" i="1"/>
  <c r="DQ75" i="1"/>
  <c r="DR75" i="1"/>
  <c r="EJ76" i="1"/>
  <c r="EK75" i="1"/>
  <c r="EL75" i="1"/>
  <c r="DR76" i="1" l="1"/>
  <c r="DP77" i="1"/>
  <c r="DQ76" i="1"/>
  <c r="AS77" i="1"/>
  <c r="AT76" i="1"/>
  <c r="AU76" i="1"/>
  <c r="BH77" i="1"/>
  <c r="BI76" i="1"/>
  <c r="BJ76" i="1"/>
  <c r="EQ78" i="1"/>
  <c r="EO79" i="1"/>
  <c r="EP78" i="1"/>
  <c r="BE76" i="1"/>
  <c r="BC77" i="1"/>
  <c r="BD76" i="1"/>
  <c r="CX78" i="1"/>
  <c r="CV79" i="1"/>
  <c r="CW78" i="1"/>
  <c r="DC77" i="1"/>
  <c r="DA78" i="1"/>
  <c r="DB77" i="1"/>
  <c r="EG76" i="1"/>
  <c r="EE77" i="1"/>
  <c r="EF76" i="1"/>
  <c r="DF78" i="1"/>
  <c r="DG77" i="1"/>
  <c r="DH77" i="1"/>
  <c r="BO78" i="1"/>
  <c r="BM79" i="1"/>
  <c r="BN78" i="1"/>
  <c r="CS76" i="1"/>
  <c r="CQ77" i="1"/>
  <c r="CR76" i="1"/>
  <c r="DM79" i="1"/>
  <c r="DL79" i="1"/>
  <c r="DK80" i="1"/>
  <c r="BY77" i="1"/>
  <c r="BW78" i="1"/>
  <c r="BX77" i="1"/>
  <c r="AA77" i="1"/>
  <c r="Y78" i="1"/>
  <c r="Z77" i="1"/>
  <c r="DZ78" i="1"/>
  <c r="EA77" i="1"/>
  <c r="EB77" i="1"/>
  <c r="BR78" i="1"/>
  <c r="BS77" i="1"/>
  <c r="BT77" i="1"/>
  <c r="AD78" i="1"/>
  <c r="AE77" i="1"/>
  <c r="AF77" i="1"/>
  <c r="CD76" i="1"/>
  <c r="CB77" i="1"/>
  <c r="CC76" i="1"/>
  <c r="DU77" i="1"/>
  <c r="DV76" i="1"/>
  <c r="DW76" i="1"/>
  <c r="CG77" i="1"/>
  <c r="CH76" i="1"/>
  <c r="CI76" i="1"/>
  <c r="AP76" i="1"/>
  <c r="AO76" i="1"/>
  <c r="AN77" i="1"/>
  <c r="EJ77" i="1"/>
  <c r="EK76" i="1"/>
  <c r="EL76" i="1"/>
  <c r="AK79" i="1"/>
  <c r="AI80" i="1"/>
  <c r="AJ79" i="1"/>
  <c r="ET78" i="1"/>
  <c r="EU77" i="1"/>
  <c r="EV77" i="1"/>
  <c r="AZ76" i="1"/>
  <c r="AX77" i="1"/>
  <c r="AY76" i="1"/>
  <c r="CL78" i="1"/>
  <c r="CM77" i="1"/>
  <c r="CN77" i="1"/>
  <c r="V78" i="1"/>
  <c r="T79" i="1"/>
  <c r="U78" i="1"/>
  <c r="AD79" i="1" l="1"/>
  <c r="AE78" i="1"/>
  <c r="AF78" i="1"/>
  <c r="AA78" i="1"/>
  <c r="Y79" i="1"/>
  <c r="Z78" i="1"/>
  <c r="BO79" i="1"/>
  <c r="BM80" i="1"/>
  <c r="BN79" i="1"/>
  <c r="DF79" i="1"/>
  <c r="DG78" i="1"/>
  <c r="DH78" i="1"/>
  <c r="CV80" i="1"/>
  <c r="CW79" i="1"/>
  <c r="CX79" i="1"/>
  <c r="T80" i="1"/>
  <c r="U79" i="1"/>
  <c r="V79" i="1"/>
  <c r="CN78" i="1"/>
  <c r="CM78" i="1"/>
  <c r="CL79" i="1"/>
  <c r="AK80" i="1"/>
  <c r="AI81" i="1"/>
  <c r="AJ80" i="1"/>
  <c r="EL77" i="1"/>
  <c r="EJ78" i="1"/>
  <c r="EK77" i="1"/>
  <c r="DM80" i="1"/>
  <c r="DK81" i="1"/>
  <c r="DL80" i="1"/>
  <c r="CS77" i="1"/>
  <c r="CQ78" i="1"/>
  <c r="CR77" i="1"/>
  <c r="DC78" i="1"/>
  <c r="DA79" i="1"/>
  <c r="DB78" i="1"/>
  <c r="AS78" i="1"/>
  <c r="AT77" i="1"/>
  <c r="AU77" i="1"/>
  <c r="CD77" i="1"/>
  <c r="CB78" i="1"/>
  <c r="CC77" i="1"/>
  <c r="AP77" i="1"/>
  <c r="AN78" i="1"/>
  <c r="AO77" i="1"/>
  <c r="DU78" i="1"/>
  <c r="DV77" i="1"/>
  <c r="DW77" i="1"/>
  <c r="EB78" i="1"/>
  <c r="DZ79" i="1"/>
  <c r="EA78" i="1"/>
  <c r="EG77" i="1"/>
  <c r="EE78" i="1"/>
  <c r="EF77" i="1"/>
  <c r="EQ79" i="1"/>
  <c r="EO80" i="1"/>
  <c r="EP79" i="1"/>
  <c r="BJ77" i="1"/>
  <c r="BI77" i="1"/>
  <c r="BH78" i="1"/>
  <c r="AX78" i="1"/>
  <c r="AY77" i="1"/>
  <c r="AZ77" i="1"/>
  <c r="ET79" i="1"/>
  <c r="EU78" i="1"/>
  <c r="EV78" i="1"/>
  <c r="CG78" i="1"/>
  <c r="CH77" i="1"/>
  <c r="CI77" i="1"/>
  <c r="BR79" i="1"/>
  <c r="BS78" i="1"/>
  <c r="BT78" i="1"/>
  <c r="BW79" i="1"/>
  <c r="BX78" i="1"/>
  <c r="BY78" i="1"/>
  <c r="BE77" i="1"/>
  <c r="BC78" i="1"/>
  <c r="BD77" i="1"/>
  <c r="DR77" i="1"/>
  <c r="DP78" i="1"/>
  <c r="DQ77" i="1"/>
  <c r="DR78" i="1" l="1"/>
  <c r="DP79" i="1"/>
  <c r="DQ78" i="1"/>
  <c r="EV79" i="1"/>
  <c r="ET80" i="1"/>
  <c r="EU79" i="1"/>
  <c r="BJ78" i="1"/>
  <c r="BH79" i="1"/>
  <c r="BI78" i="1"/>
  <c r="EO81" i="1"/>
  <c r="EP80" i="1"/>
  <c r="EQ80" i="1"/>
  <c r="AP78" i="1"/>
  <c r="AN79" i="1"/>
  <c r="AO78" i="1"/>
  <c r="V80" i="1"/>
  <c r="T81" i="1"/>
  <c r="U80" i="1"/>
  <c r="AK81" i="1"/>
  <c r="AI82" i="1"/>
  <c r="AJ81" i="1"/>
  <c r="BT79" i="1"/>
  <c r="BR80" i="1"/>
  <c r="BS79" i="1"/>
  <c r="EB79" i="1"/>
  <c r="DZ80" i="1"/>
  <c r="EA79" i="1"/>
  <c r="DW78" i="1"/>
  <c r="DU79" i="1"/>
  <c r="DV78" i="1"/>
  <c r="EL78" i="1"/>
  <c r="EJ79" i="1"/>
  <c r="EK78" i="1"/>
  <c r="DH79" i="1"/>
  <c r="DG79" i="1"/>
  <c r="DF80" i="1"/>
  <c r="CQ79" i="1"/>
  <c r="CR78" i="1"/>
  <c r="CS78" i="1"/>
  <c r="BM81" i="1"/>
  <c r="BN80" i="1"/>
  <c r="BO80" i="1"/>
  <c r="CI78" i="1"/>
  <c r="CH78" i="1"/>
  <c r="CG79" i="1"/>
  <c r="DC79" i="1"/>
  <c r="DA80" i="1"/>
  <c r="DB79" i="1"/>
  <c r="BC79" i="1"/>
  <c r="BD78" i="1"/>
  <c r="BE78" i="1"/>
  <c r="BY79" i="1"/>
  <c r="BW80" i="1"/>
  <c r="BX79" i="1"/>
  <c r="AZ78" i="1"/>
  <c r="AX79" i="1"/>
  <c r="AY78" i="1"/>
  <c r="EE79" i="1"/>
  <c r="EF78" i="1"/>
  <c r="EG78" i="1"/>
  <c r="CD78" i="1"/>
  <c r="CB79" i="1"/>
  <c r="CC78" i="1"/>
  <c r="AU78" i="1"/>
  <c r="AS79" i="1"/>
  <c r="AT78" i="1"/>
  <c r="DM81" i="1"/>
  <c r="DK82" i="1"/>
  <c r="DL81" i="1"/>
  <c r="CN79" i="1"/>
  <c r="CL80" i="1"/>
  <c r="CM79" i="1"/>
  <c r="CX80" i="1"/>
  <c r="CV81" i="1"/>
  <c r="CW80" i="1"/>
  <c r="AA79" i="1"/>
  <c r="Y80" i="1"/>
  <c r="Z79" i="1"/>
  <c r="AF79" i="1"/>
  <c r="AD80" i="1"/>
  <c r="AE79" i="1"/>
  <c r="AU79" i="1" l="1"/>
  <c r="AS80" i="1"/>
  <c r="AT79" i="1"/>
  <c r="BY80" i="1"/>
  <c r="BW81" i="1"/>
  <c r="BX80" i="1"/>
  <c r="BC80" i="1"/>
  <c r="BD79" i="1"/>
  <c r="BE79" i="1"/>
  <c r="CI79" i="1"/>
  <c r="CG80" i="1"/>
  <c r="CH79" i="1"/>
  <c r="CQ80" i="1"/>
  <c r="CR79" i="1"/>
  <c r="CS79" i="1"/>
  <c r="DW79" i="1"/>
  <c r="DU80" i="1"/>
  <c r="DV79" i="1"/>
  <c r="V81" i="1"/>
  <c r="T82" i="1"/>
  <c r="U81" i="1"/>
  <c r="EV80" i="1"/>
  <c r="ET81" i="1"/>
  <c r="EU80" i="1"/>
  <c r="AF80" i="1"/>
  <c r="AD81" i="1"/>
  <c r="AE80" i="1"/>
  <c r="DL82" i="1"/>
  <c r="DK83" i="1"/>
  <c r="DM82" i="1"/>
  <c r="AZ79" i="1"/>
  <c r="AX80" i="1"/>
  <c r="AY79" i="1"/>
  <c r="BM82" i="1"/>
  <c r="BN81" i="1"/>
  <c r="BO81" i="1"/>
  <c r="DH80" i="1"/>
  <c r="DF81" i="1"/>
  <c r="DG80" i="1"/>
  <c r="EJ80" i="1"/>
  <c r="EK79" i="1"/>
  <c r="EL79" i="1"/>
  <c r="AI83" i="1"/>
  <c r="AJ82" i="1"/>
  <c r="AK82" i="1"/>
  <c r="BH80" i="1"/>
  <c r="BI79" i="1"/>
  <c r="BJ79" i="1"/>
  <c r="Y81" i="1"/>
  <c r="Z80" i="1"/>
  <c r="AA80" i="1"/>
  <c r="CN80" i="1"/>
  <c r="CL81" i="1"/>
  <c r="CM80" i="1"/>
  <c r="DA81" i="1"/>
  <c r="DB80" i="1"/>
  <c r="DC80" i="1"/>
  <c r="BT80" i="1"/>
  <c r="BR81" i="1"/>
  <c r="BS80" i="1"/>
  <c r="CX81" i="1"/>
  <c r="CV82" i="1"/>
  <c r="CW81" i="1"/>
  <c r="CB80" i="1"/>
  <c r="CC79" i="1"/>
  <c r="CD79" i="1"/>
  <c r="EE80" i="1"/>
  <c r="EF79" i="1"/>
  <c r="EG79" i="1"/>
  <c r="EB80" i="1"/>
  <c r="DZ81" i="1"/>
  <c r="EA80" i="1"/>
  <c r="AN80" i="1"/>
  <c r="AO79" i="1"/>
  <c r="AP79" i="1"/>
  <c r="EO82" i="1"/>
  <c r="EP81" i="1"/>
  <c r="EQ81" i="1"/>
  <c r="DP80" i="1"/>
  <c r="DQ79" i="1"/>
  <c r="DR79" i="1"/>
  <c r="CB81" i="1" l="1"/>
  <c r="CC80" i="1"/>
  <c r="CD80" i="1"/>
  <c r="DZ82" i="1"/>
  <c r="EA81" i="1"/>
  <c r="EB81" i="1"/>
  <c r="EG80" i="1"/>
  <c r="EF80" i="1"/>
  <c r="EE81" i="1"/>
  <c r="BR82" i="1"/>
  <c r="BS81" i="1"/>
  <c r="BT81" i="1"/>
  <c r="DA82" i="1"/>
  <c r="DB81" i="1"/>
  <c r="DC81" i="1"/>
  <c r="AJ83" i="1"/>
  <c r="AI84" i="1"/>
  <c r="AK83" i="1"/>
  <c r="CG81" i="1"/>
  <c r="CH80" i="1"/>
  <c r="CI80" i="1"/>
  <c r="BE80" i="1"/>
  <c r="BC81" i="1"/>
  <c r="BD80" i="1"/>
  <c r="CX82" i="1"/>
  <c r="CW82" i="1"/>
  <c r="CV83" i="1"/>
  <c r="BJ80" i="1"/>
  <c r="BH81" i="1"/>
  <c r="BI80" i="1"/>
  <c r="DF82" i="1"/>
  <c r="DG81" i="1"/>
  <c r="DH81" i="1"/>
  <c r="BO82" i="1"/>
  <c r="BM83" i="1"/>
  <c r="BN82" i="1"/>
  <c r="AD82" i="1"/>
  <c r="AE81" i="1"/>
  <c r="AF81" i="1"/>
  <c r="AS81" i="1"/>
  <c r="AT80" i="1"/>
  <c r="AU80" i="1"/>
  <c r="EO83" i="1"/>
  <c r="EQ82" i="1"/>
  <c r="EP82" i="1"/>
  <c r="EL80" i="1"/>
  <c r="EK80" i="1"/>
  <c r="EJ81" i="1"/>
  <c r="AZ80" i="1"/>
  <c r="AX81" i="1"/>
  <c r="AY80" i="1"/>
  <c r="V82" i="1"/>
  <c r="T83" i="1"/>
  <c r="U82" i="1"/>
  <c r="DP81" i="1"/>
  <c r="DQ80" i="1"/>
  <c r="DR80" i="1"/>
  <c r="ET82" i="1"/>
  <c r="EU81" i="1"/>
  <c r="EV81" i="1"/>
  <c r="AN81" i="1"/>
  <c r="AO80" i="1"/>
  <c r="AP80" i="1"/>
  <c r="CL82" i="1"/>
  <c r="CM81" i="1"/>
  <c r="CN81" i="1"/>
  <c r="Y82" i="1"/>
  <c r="Z81" i="1"/>
  <c r="AA81" i="1"/>
  <c r="DM83" i="1"/>
  <c r="DK84" i="1"/>
  <c r="DL83" i="1"/>
  <c r="DU81" i="1"/>
  <c r="DV80" i="1"/>
  <c r="DW80" i="1"/>
  <c r="CS80" i="1"/>
  <c r="CQ81" i="1"/>
  <c r="CR80" i="1"/>
  <c r="BY81" i="1"/>
  <c r="BW82" i="1"/>
  <c r="BX81" i="1"/>
  <c r="CS81" i="1" l="1"/>
  <c r="CQ82" i="1"/>
  <c r="CR81" i="1"/>
  <c r="DW81" i="1"/>
  <c r="DU82" i="1"/>
  <c r="DV81" i="1"/>
  <c r="AP81" i="1"/>
  <c r="AN82" i="1"/>
  <c r="AO81" i="1"/>
  <c r="U83" i="1"/>
  <c r="T84" i="1"/>
  <c r="V83" i="1"/>
  <c r="AF82" i="1"/>
  <c r="AE82" i="1"/>
  <c r="AD83" i="1"/>
  <c r="BJ81" i="1"/>
  <c r="BH82" i="1"/>
  <c r="BI81" i="1"/>
  <c r="AJ84" i="1"/>
  <c r="AK84" i="1"/>
  <c r="AI85" i="1"/>
  <c r="DA83" i="1"/>
  <c r="DC82" i="1"/>
  <c r="DB82" i="1"/>
  <c r="EG81" i="1"/>
  <c r="EE82" i="1"/>
  <c r="EF81" i="1"/>
  <c r="CD81" i="1"/>
  <c r="CB82" i="1"/>
  <c r="CC81" i="1"/>
  <c r="BX82" i="1"/>
  <c r="BW83" i="1"/>
  <c r="BY82" i="1"/>
  <c r="CM82" i="1"/>
  <c r="CL83" i="1"/>
  <c r="CN82" i="1"/>
  <c r="EL81" i="1"/>
  <c r="EJ82" i="1"/>
  <c r="EK81" i="1"/>
  <c r="AU81" i="1"/>
  <c r="AS82" i="1"/>
  <c r="AT81" i="1"/>
  <c r="DZ83" i="1"/>
  <c r="EA82" i="1"/>
  <c r="EB82" i="1"/>
  <c r="DM84" i="1"/>
  <c r="DK85" i="1"/>
  <c r="DL84" i="1"/>
  <c r="AA82" i="1"/>
  <c r="Z82" i="1"/>
  <c r="Y83" i="1"/>
  <c r="DR81" i="1"/>
  <c r="DP82" i="1"/>
  <c r="DQ81" i="1"/>
  <c r="EO84" i="1"/>
  <c r="EQ83" i="1"/>
  <c r="EP83" i="1"/>
  <c r="BO83" i="1"/>
  <c r="BM84" i="1"/>
  <c r="BN83" i="1"/>
  <c r="DF83" i="1"/>
  <c r="DH82" i="1"/>
  <c r="DG82" i="1"/>
  <c r="CX83" i="1"/>
  <c r="CW83" i="1"/>
  <c r="CV84" i="1"/>
  <c r="BE81" i="1"/>
  <c r="BC82" i="1"/>
  <c r="BD81" i="1"/>
  <c r="CI81" i="1"/>
  <c r="CG82" i="1"/>
  <c r="CH81" i="1"/>
  <c r="ET83" i="1"/>
  <c r="EV82" i="1"/>
  <c r="EU82" i="1"/>
  <c r="AX82" i="1"/>
  <c r="AY81" i="1"/>
  <c r="AZ81" i="1"/>
  <c r="BT82" i="1"/>
  <c r="BR83" i="1"/>
  <c r="BS82" i="1"/>
  <c r="CD82" i="1" l="1"/>
  <c r="CC82" i="1"/>
  <c r="CB83" i="1"/>
  <c r="AI86" i="1"/>
  <c r="AJ85" i="1"/>
  <c r="AK85" i="1"/>
  <c r="BJ82" i="1"/>
  <c r="BH83" i="1"/>
  <c r="BI82" i="1"/>
  <c r="DU83" i="1"/>
  <c r="DW82" i="1"/>
  <c r="DV82" i="1"/>
  <c r="BR84" i="1"/>
  <c r="BS83" i="1"/>
  <c r="BT83" i="1"/>
  <c r="AX83" i="1"/>
  <c r="AY82" i="1"/>
  <c r="AZ82" i="1"/>
  <c r="BC83" i="1"/>
  <c r="BD82" i="1"/>
  <c r="BE82" i="1"/>
  <c r="BY83" i="1"/>
  <c r="BW84" i="1"/>
  <c r="BX83" i="1"/>
  <c r="AP82" i="1"/>
  <c r="AN83" i="1"/>
  <c r="AO82" i="1"/>
  <c r="EU83" i="1"/>
  <c r="ET84" i="1"/>
  <c r="EV83" i="1"/>
  <c r="DF84" i="1"/>
  <c r="DG83" i="1"/>
  <c r="DH83" i="1"/>
  <c r="DR82" i="1"/>
  <c r="DP83" i="1"/>
  <c r="DQ82" i="1"/>
  <c r="AU82" i="1"/>
  <c r="AS83" i="1"/>
  <c r="AT82" i="1"/>
  <c r="CG83" i="1"/>
  <c r="CI82" i="1"/>
  <c r="CH82" i="1"/>
  <c r="BM85" i="1"/>
  <c r="BN84" i="1"/>
  <c r="BO84" i="1"/>
  <c r="EO85" i="1"/>
  <c r="EP84" i="1"/>
  <c r="EQ84" i="1"/>
  <c r="AA83" i="1"/>
  <c r="Z83" i="1"/>
  <c r="Y84" i="1"/>
  <c r="DK86" i="1"/>
  <c r="DL85" i="1"/>
  <c r="DM85" i="1"/>
  <c r="EA83" i="1"/>
  <c r="DZ84" i="1"/>
  <c r="EB83" i="1"/>
  <c r="CM83" i="1"/>
  <c r="CN83" i="1"/>
  <c r="CL84" i="1"/>
  <c r="AD84" i="1"/>
  <c r="AF83" i="1"/>
  <c r="AE83" i="1"/>
  <c r="T85" i="1"/>
  <c r="V84" i="1"/>
  <c r="U84" i="1"/>
  <c r="CV85" i="1"/>
  <c r="CW84" i="1"/>
  <c r="CX84" i="1"/>
  <c r="EJ83" i="1"/>
  <c r="EL82" i="1"/>
  <c r="EK82" i="1"/>
  <c r="EF82" i="1"/>
  <c r="EE83" i="1"/>
  <c r="EG82" i="1"/>
  <c r="DA84" i="1"/>
  <c r="DC83" i="1"/>
  <c r="DB83" i="1"/>
  <c r="CQ83" i="1"/>
  <c r="CR82" i="1"/>
  <c r="CS82" i="1"/>
  <c r="DA85" i="1" l="1"/>
  <c r="DC84" i="1"/>
  <c r="DB84" i="1"/>
  <c r="CG84" i="1"/>
  <c r="CH83" i="1"/>
  <c r="CI83" i="1"/>
  <c r="AX84" i="1"/>
  <c r="AZ83" i="1"/>
  <c r="AY83" i="1"/>
  <c r="BI83" i="1"/>
  <c r="BJ83" i="1"/>
  <c r="BH84" i="1"/>
  <c r="AK86" i="1"/>
  <c r="AI87" i="1"/>
  <c r="AJ86" i="1"/>
  <c r="CS83" i="1"/>
  <c r="CQ84" i="1"/>
  <c r="CR83" i="1"/>
  <c r="CX85" i="1"/>
  <c r="CV86" i="1"/>
  <c r="CW85" i="1"/>
  <c r="AA84" i="1"/>
  <c r="Y85" i="1"/>
  <c r="Z84" i="1"/>
  <c r="BM86" i="1"/>
  <c r="BO85" i="1"/>
  <c r="BN85" i="1"/>
  <c r="DP84" i="1"/>
  <c r="DQ83" i="1"/>
  <c r="DR83" i="1"/>
  <c r="DF85" i="1"/>
  <c r="DG84" i="1"/>
  <c r="DH84" i="1"/>
  <c r="BX84" i="1"/>
  <c r="BY84" i="1"/>
  <c r="BW85" i="1"/>
  <c r="BC84" i="1"/>
  <c r="BE83" i="1"/>
  <c r="BD83" i="1"/>
  <c r="CD83" i="1"/>
  <c r="CB84" i="1"/>
  <c r="CC83" i="1"/>
  <c r="EG83" i="1"/>
  <c r="EF83" i="1"/>
  <c r="EE84" i="1"/>
  <c r="EL83" i="1"/>
  <c r="EK83" i="1"/>
  <c r="EJ84" i="1"/>
  <c r="EO86" i="1"/>
  <c r="EP85" i="1"/>
  <c r="EQ85" i="1"/>
  <c r="AU83" i="1"/>
  <c r="AT83" i="1"/>
  <c r="AS84" i="1"/>
  <c r="AN84" i="1"/>
  <c r="AO83" i="1"/>
  <c r="AP83" i="1"/>
  <c r="DU84" i="1"/>
  <c r="DW83" i="1"/>
  <c r="DV83" i="1"/>
  <c r="V85" i="1"/>
  <c r="T86" i="1"/>
  <c r="U85" i="1"/>
  <c r="CL85" i="1"/>
  <c r="CM84" i="1"/>
  <c r="CN84" i="1"/>
  <c r="DZ85" i="1"/>
  <c r="EA84" i="1"/>
  <c r="EB84" i="1"/>
  <c r="DM86" i="1"/>
  <c r="DK87" i="1"/>
  <c r="DL86" i="1"/>
  <c r="AD85" i="1"/>
  <c r="AE84" i="1"/>
  <c r="AF84" i="1"/>
  <c r="ET85" i="1"/>
  <c r="EU84" i="1"/>
  <c r="EV84" i="1"/>
  <c r="BR85" i="1"/>
  <c r="BT84" i="1"/>
  <c r="BS84" i="1"/>
  <c r="CL86" i="1" l="1"/>
  <c r="CM85" i="1"/>
  <c r="CN85" i="1"/>
  <c r="EJ85" i="1"/>
  <c r="EL84" i="1"/>
  <c r="EK84" i="1"/>
  <c r="BW86" i="1"/>
  <c r="BX85" i="1"/>
  <c r="BY85" i="1"/>
  <c r="DP85" i="1"/>
  <c r="DQ84" i="1"/>
  <c r="DR84" i="1"/>
  <c r="CV87" i="1"/>
  <c r="CW86" i="1"/>
  <c r="CX86" i="1"/>
  <c r="DZ86" i="1"/>
  <c r="EB85" i="1"/>
  <c r="EA85" i="1"/>
  <c r="AP84" i="1"/>
  <c r="AN85" i="1"/>
  <c r="AO84" i="1"/>
  <c r="T87" i="1"/>
  <c r="U86" i="1"/>
  <c r="V86" i="1"/>
  <c r="DW84" i="1"/>
  <c r="DU85" i="1"/>
  <c r="DV84" i="1"/>
  <c r="AS85" i="1"/>
  <c r="AU84" i="1"/>
  <c r="AT84" i="1"/>
  <c r="AI88" i="1"/>
  <c r="AJ87" i="1"/>
  <c r="AK87" i="1"/>
  <c r="EV85" i="1"/>
  <c r="EU85" i="1"/>
  <c r="ET86" i="1"/>
  <c r="BJ84" i="1"/>
  <c r="BI84" i="1"/>
  <c r="BH85" i="1"/>
  <c r="CH84" i="1"/>
  <c r="CI84" i="1"/>
  <c r="CG85" i="1"/>
  <c r="BT85" i="1"/>
  <c r="BR86" i="1"/>
  <c r="BS85" i="1"/>
  <c r="DK88" i="1"/>
  <c r="DL87" i="1"/>
  <c r="DM87" i="1"/>
  <c r="DF86" i="1"/>
  <c r="DG85" i="1"/>
  <c r="DH85" i="1"/>
  <c r="AA85" i="1"/>
  <c r="Y86" i="1"/>
  <c r="Z85" i="1"/>
  <c r="AX85" i="1"/>
  <c r="AY84" i="1"/>
  <c r="AZ84" i="1"/>
  <c r="AD86" i="1"/>
  <c r="AF85" i="1"/>
  <c r="AE85" i="1"/>
  <c r="EQ86" i="1"/>
  <c r="EP86" i="1"/>
  <c r="EO87" i="1"/>
  <c r="EG84" i="1"/>
  <c r="EE85" i="1"/>
  <c r="EF84" i="1"/>
  <c r="CD84" i="1"/>
  <c r="CB85" i="1"/>
  <c r="CC84" i="1"/>
  <c r="BC85" i="1"/>
  <c r="BD84" i="1"/>
  <c r="BE84" i="1"/>
  <c r="BO86" i="1"/>
  <c r="BM87" i="1"/>
  <c r="BN86" i="1"/>
  <c r="CS84" i="1"/>
  <c r="CR84" i="1"/>
  <c r="CQ85" i="1"/>
  <c r="DC85" i="1"/>
  <c r="DA86" i="1"/>
  <c r="DB85" i="1"/>
  <c r="AP85" i="1" l="1"/>
  <c r="AN86" i="1"/>
  <c r="AO85" i="1"/>
  <c r="EB86" i="1"/>
  <c r="DZ87" i="1"/>
  <c r="EA86" i="1"/>
  <c r="EL85" i="1"/>
  <c r="EJ86" i="1"/>
  <c r="EK85" i="1"/>
  <c r="EO88" i="1"/>
  <c r="EP87" i="1"/>
  <c r="EQ87" i="1"/>
  <c r="AZ85" i="1"/>
  <c r="AX86" i="1"/>
  <c r="AY85" i="1"/>
  <c r="BJ85" i="1"/>
  <c r="BH86" i="1"/>
  <c r="BI85" i="1"/>
  <c r="AK88" i="1"/>
  <c r="AJ88" i="1"/>
  <c r="AI89" i="1"/>
  <c r="BX86" i="1"/>
  <c r="BY86" i="1"/>
  <c r="BW87" i="1"/>
  <c r="CQ86" i="1"/>
  <c r="CR85" i="1"/>
  <c r="CS85" i="1"/>
  <c r="BM88" i="1"/>
  <c r="BN87" i="1"/>
  <c r="BO87" i="1"/>
  <c r="BC86" i="1"/>
  <c r="BD85" i="1"/>
  <c r="BE85" i="1"/>
  <c r="AD87" i="1"/>
  <c r="AF86" i="1"/>
  <c r="AE86" i="1"/>
  <c r="DM88" i="1"/>
  <c r="DK89" i="1"/>
  <c r="DL88" i="1"/>
  <c r="CI85" i="1"/>
  <c r="CG86" i="1"/>
  <c r="CH85" i="1"/>
  <c r="DW85" i="1"/>
  <c r="DU86" i="1"/>
  <c r="DV85" i="1"/>
  <c r="T88" i="1"/>
  <c r="V87" i="1"/>
  <c r="U87" i="1"/>
  <c r="DR85" i="1"/>
  <c r="DQ85" i="1"/>
  <c r="DP86" i="1"/>
  <c r="DC86" i="1"/>
  <c r="DA87" i="1"/>
  <c r="DB86" i="1"/>
  <c r="CD85" i="1"/>
  <c r="CB86" i="1"/>
  <c r="CC85" i="1"/>
  <c r="BT86" i="1"/>
  <c r="BR87" i="1"/>
  <c r="BS86" i="1"/>
  <c r="EV86" i="1"/>
  <c r="ET87" i="1"/>
  <c r="EU86" i="1"/>
  <c r="AS86" i="1"/>
  <c r="AT85" i="1"/>
  <c r="AU85" i="1"/>
  <c r="EE86" i="1"/>
  <c r="EF85" i="1"/>
  <c r="EG85" i="1"/>
  <c r="AA86" i="1"/>
  <c r="Y87" i="1"/>
  <c r="Z86" i="1"/>
  <c r="DG86" i="1"/>
  <c r="DH86" i="1"/>
  <c r="DF87" i="1"/>
  <c r="CW87" i="1"/>
  <c r="CX87" i="1"/>
  <c r="CV88" i="1"/>
  <c r="CL87" i="1"/>
  <c r="CM86" i="1"/>
  <c r="CN86" i="1"/>
  <c r="DW86" i="1" l="1"/>
  <c r="DU87" i="1"/>
  <c r="DV86" i="1"/>
  <c r="CN87" i="1"/>
  <c r="CL88" i="1"/>
  <c r="CM87" i="1"/>
  <c r="Y88" i="1"/>
  <c r="Z87" i="1"/>
  <c r="AA87" i="1"/>
  <c r="EE87" i="1"/>
  <c r="EF86" i="1"/>
  <c r="EG86" i="1"/>
  <c r="BT87" i="1"/>
  <c r="BR88" i="1"/>
  <c r="BS87" i="1"/>
  <c r="CX88" i="1"/>
  <c r="CW88" i="1"/>
  <c r="CV89" i="1"/>
  <c r="EV87" i="1"/>
  <c r="ET88" i="1"/>
  <c r="EU87" i="1"/>
  <c r="V88" i="1"/>
  <c r="T89" i="1"/>
  <c r="U88" i="1"/>
  <c r="DK90" i="1"/>
  <c r="DL89" i="1"/>
  <c r="DM89" i="1"/>
  <c r="AF87" i="1"/>
  <c r="AD88" i="1"/>
  <c r="AE87" i="1"/>
  <c r="AZ86" i="1"/>
  <c r="AY86" i="1"/>
  <c r="AX87" i="1"/>
  <c r="EQ88" i="1"/>
  <c r="EO89" i="1"/>
  <c r="EP88" i="1"/>
  <c r="AN87" i="1"/>
  <c r="AO86" i="1"/>
  <c r="AP86" i="1"/>
  <c r="AU86" i="1"/>
  <c r="AS87" i="1"/>
  <c r="AT86" i="1"/>
  <c r="CB87" i="1"/>
  <c r="CC86" i="1"/>
  <c r="CD86" i="1"/>
  <c r="BO88" i="1"/>
  <c r="BN88" i="1"/>
  <c r="BM89" i="1"/>
  <c r="BY87" i="1"/>
  <c r="BX87" i="1"/>
  <c r="BW88" i="1"/>
  <c r="EJ87" i="1"/>
  <c r="EK86" i="1"/>
  <c r="EL86" i="1"/>
  <c r="DH87" i="1"/>
  <c r="DG87" i="1"/>
  <c r="DF88" i="1"/>
  <c r="DP87" i="1"/>
  <c r="DQ86" i="1"/>
  <c r="DR86" i="1"/>
  <c r="BC87" i="1"/>
  <c r="BD86" i="1"/>
  <c r="BE86" i="1"/>
  <c r="DA88" i="1"/>
  <c r="DB87" i="1"/>
  <c r="DC87" i="1"/>
  <c r="CI86" i="1"/>
  <c r="CH86" i="1"/>
  <c r="CG87" i="1"/>
  <c r="CS86" i="1"/>
  <c r="CQ87" i="1"/>
  <c r="CR86" i="1"/>
  <c r="AI90" i="1"/>
  <c r="AJ89" i="1"/>
  <c r="AK89" i="1"/>
  <c r="BH87" i="1"/>
  <c r="BI86" i="1"/>
  <c r="BJ86" i="1"/>
  <c r="EB87" i="1"/>
  <c r="DZ88" i="1"/>
  <c r="EA87" i="1"/>
  <c r="DZ89" i="1" l="1"/>
  <c r="EA88" i="1"/>
  <c r="EB88" i="1"/>
  <c r="EL87" i="1"/>
  <c r="EJ88" i="1"/>
  <c r="EK87" i="1"/>
  <c r="BO89" i="1"/>
  <c r="BM90" i="1"/>
  <c r="BN89" i="1"/>
  <c r="ET89" i="1"/>
  <c r="EU88" i="1"/>
  <c r="EV88" i="1"/>
  <c r="CB88" i="1"/>
  <c r="CC87" i="1"/>
  <c r="CD87" i="1"/>
  <c r="DR87" i="1"/>
  <c r="DP88" i="1"/>
  <c r="DQ87" i="1"/>
  <c r="CX89" i="1"/>
  <c r="CV90" i="1"/>
  <c r="CW89" i="1"/>
  <c r="BR89" i="1"/>
  <c r="BS88" i="1"/>
  <c r="BT88" i="1"/>
  <c r="EF87" i="1"/>
  <c r="EG87" i="1"/>
  <c r="EE88" i="1"/>
  <c r="DU88" i="1"/>
  <c r="DV87" i="1"/>
  <c r="DW87" i="1"/>
  <c r="BJ87" i="1"/>
  <c r="BH88" i="1"/>
  <c r="BI87" i="1"/>
  <c r="DA89" i="1"/>
  <c r="DB88" i="1"/>
  <c r="DC88" i="1"/>
  <c r="CS87" i="1"/>
  <c r="CQ88" i="1"/>
  <c r="CR87" i="1"/>
  <c r="BY88" i="1"/>
  <c r="BW89" i="1"/>
  <c r="BX88" i="1"/>
  <c r="EQ89" i="1"/>
  <c r="EO90" i="1"/>
  <c r="EP89" i="1"/>
  <c r="V89" i="1"/>
  <c r="T90" i="1"/>
  <c r="U89" i="1"/>
  <c r="Y89" i="1"/>
  <c r="Z88" i="1"/>
  <c r="AA88" i="1"/>
  <c r="AK90" i="1"/>
  <c r="AI91" i="1"/>
  <c r="AJ90" i="1"/>
  <c r="CG88" i="1"/>
  <c r="CH87" i="1"/>
  <c r="CI87" i="1"/>
  <c r="BC88" i="1"/>
  <c r="BE87" i="1"/>
  <c r="BD87" i="1"/>
  <c r="DF89" i="1"/>
  <c r="DG88" i="1"/>
  <c r="DH88" i="1"/>
  <c r="AS88" i="1"/>
  <c r="AT87" i="1"/>
  <c r="AU87" i="1"/>
  <c r="AP87" i="1"/>
  <c r="AO87" i="1"/>
  <c r="AN88" i="1"/>
  <c r="AZ87" i="1"/>
  <c r="AX88" i="1"/>
  <c r="AY87" i="1"/>
  <c r="AD89" i="1"/>
  <c r="AE88" i="1"/>
  <c r="AF88" i="1"/>
  <c r="DM90" i="1"/>
  <c r="DL90" i="1"/>
  <c r="DK91" i="1"/>
  <c r="CL89" i="1"/>
  <c r="CM88" i="1"/>
  <c r="CN88" i="1"/>
  <c r="AS89" i="1" l="1"/>
  <c r="AU88" i="1"/>
  <c r="AT88" i="1"/>
  <c r="BH89" i="1"/>
  <c r="BI88" i="1"/>
  <c r="BJ88" i="1"/>
  <c r="DV88" i="1"/>
  <c r="DW88" i="1"/>
  <c r="DU89" i="1"/>
  <c r="BO90" i="1"/>
  <c r="BM91" i="1"/>
  <c r="BN90" i="1"/>
  <c r="AX89" i="1"/>
  <c r="AY88" i="1"/>
  <c r="AZ88" i="1"/>
  <c r="T91" i="1"/>
  <c r="U90" i="1"/>
  <c r="V90" i="1"/>
  <c r="EG88" i="1"/>
  <c r="EF88" i="1"/>
  <c r="EE89" i="1"/>
  <c r="DM91" i="1"/>
  <c r="DK92" i="1"/>
  <c r="DL91" i="1"/>
  <c r="BE88" i="1"/>
  <c r="BC89" i="1"/>
  <c r="BD88" i="1"/>
  <c r="CS88" i="1"/>
  <c r="CQ89" i="1"/>
  <c r="CR88" i="1"/>
  <c r="DA90" i="1"/>
  <c r="DC89" i="1"/>
  <c r="DB89" i="1"/>
  <c r="BR90" i="1"/>
  <c r="BT89" i="1"/>
  <c r="BS89" i="1"/>
  <c r="EU89" i="1"/>
  <c r="EV89" i="1"/>
  <c r="ET90" i="1"/>
  <c r="EQ90" i="1"/>
  <c r="EO91" i="1"/>
  <c r="EP90" i="1"/>
  <c r="CV91" i="1"/>
  <c r="CW90" i="1"/>
  <c r="CX90" i="1"/>
  <c r="CN89" i="1"/>
  <c r="CM89" i="1"/>
  <c r="CL90" i="1"/>
  <c r="CI88" i="1"/>
  <c r="CG89" i="1"/>
  <c r="CH88" i="1"/>
  <c r="AF89" i="1"/>
  <c r="AD90" i="1"/>
  <c r="AE89" i="1"/>
  <c r="AP88" i="1"/>
  <c r="AN89" i="1"/>
  <c r="AO88" i="1"/>
  <c r="DH89" i="1"/>
  <c r="DF90" i="1"/>
  <c r="DG89" i="1"/>
  <c r="AK91" i="1"/>
  <c r="AI92" i="1"/>
  <c r="AJ91" i="1"/>
  <c r="Z89" i="1"/>
  <c r="AA89" i="1"/>
  <c r="Y90" i="1"/>
  <c r="BW90" i="1"/>
  <c r="BX89" i="1"/>
  <c r="BY89" i="1"/>
  <c r="DR88" i="1"/>
  <c r="DP89" i="1"/>
  <c r="DQ88" i="1"/>
  <c r="CB89" i="1"/>
  <c r="CD88" i="1"/>
  <c r="CC88" i="1"/>
  <c r="EJ89" i="1"/>
  <c r="EK88" i="1"/>
  <c r="EL88" i="1"/>
  <c r="DZ90" i="1"/>
  <c r="EA89" i="1"/>
  <c r="EB89" i="1"/>
  <c r="AP89" i="1" l="1"/>
  <c r="AN90" i="1"/>
  <c r="AO89" i="1"/>
  <c r="DZ91" i="1"/>
  <c r="EB90" i="1"/>
  <c r="EA90" i="1"/>
  <c r="DR89" i="1"/>
  <c r="DP90" i="1"/>
  <c r="DQ89" i="1"/>
  <c r="CV92" i="1"/>
  <c r="CW91" i="1"/>
  <c r="CX91" i="1"/>
  <c r="EV90" i="1"/>
  <c r="EU90" i="1"/>
  <c r="ET91" i="1"/>
  <c r="DC90" i="1"/>
  <c r="DA91" i="1"/>
  <c r="DB90" i="1"/>
  <c r="DM92" i="1"/>
  <c r="DK93" i="1"/>
  <c r="DL92" i="1"/>
  <c r="BM92" i="1"/>
  <c r="BN91" i="1"/>
  <c r="BO91" i="1"/>
  <c r="AA90" i="1"/>
  <c r="Z90" i="1"/>
  <c r="Y91" i="1"/>
  <c r="AK92" i="1"/>
  <c r="AI93" i="1"/>
  <c r="AJ92" i="1"/>
  <c r="CG90" i="1"/>
  <c r="CH89" i="1"/>
  <c r="CI89" i="1"/>
  <c r="BT90" i="1"/>
  <c r="BR91" i="1"/>
  <c r="BS90" i="1"/>
  <c r="BC90" i="1"/>
  <c r="BD89" i="1"/>
  <c r="BE89" i="1"/>
  <c r="EL89" i="1"/>
  <c r="EJ90" i="1"/>
  <c r="EK89" i="1"/>
  <c r="CN90" i="1"/>
  <c r="CL91" i="1"/>
  <c r="CM90" i="1"/>
  <c r="T92" i="1"/>
  <c r="U91" i="1"/>
  <c r="V91" i="1"/>
  <c r="BJ89" i="1"/>
  <c r="BI89" i="1"/>
  <c r="BH90" i="1"/>
  <c r="BW91" i="1"/>
  <c r="BX90" i="1"/>
  <c r="BY90" i="1"/>
  <c r="DF91" i="1"/>
  <c r="DG90" i="1"/>
  <c r="DH90" i="1"/>
  <c r="CD89" i="1"/>
  <c r="CB90" i="1"/>
  <c r="CC89" i="1"/>
  <c r="AD91" i="1"/>
  <c r="AE90" i="1"/>
  <c r="AF90" i="1"/>
  <c r="EO92" i="1"/>
  <c r="EP91" i="1"/>
  <c r="EQ91" i="1"/>
  <c r="CQ90" i="1"/>
  <c r="CR89" i="1"/>
  <c r="CS89" i="1"/>
  <c r="EE90" i="1"/>
  <c r="EF89" i="1"/>
  <c r="EG89" i="1"/>
  <c r="AX90" i="1"/>
  <c r="AY89" i="1"/>
  <c r="AZ89" i="1"/>
  <c r="DW89" i="1"/>
  <c r="DV89" i="1"/>
  <c r="DU90" i="1"/>
  <c r="AU89" i="1"/>
  <c r="AS90" i="1"/>
  <c r="AT89" i="1"/>
  <c r="AY90" i="1" l="1"/>
  <c r="AZ90" i="1"/>
  <c r="AX91" i="1"/>
  <c r="AJ93" i="1"/>
  <c r="AI94" i="1"/>
  <c r="AK93" i="1"/>
  <c r="DA92" i="1"/>
  <c r="DB91" i="1"/>
  <c r="DC91" i="1"/>
  <c r="AU90" i="1"/>
  <c r="AS91" i="1"/>
  <c r="AT90" i="1"/>
  <c r="EO93" i="1"/>
  <c r="EQ92" i="1"/>
  <c r="EP92" i="1"/>
  <c r="BX91" i="1"/>
  <c r="BY91" i="1"/>
  <c r="BW92" i="1"/>
  <c r="CN91" i="1"/>
  <c r="CL92" i="1"/>
  <c r="CM91" i="1"/>
  <c r="DK94" i="1"/>
  <c r="DL93" i="1"/>
  <c r="DM93" i="1"/>
  <c r="DP91" i="1"/>
  <c r="DQ90" i="1"/>
  <c r="DR90" i="1"/>
  <c r="EB91" i="1"/>
  <c r="DZ92" i="1"/>
  <c r="EA91" i="1"/>
  <c r="AF91" i="1"/>
  <c r="AD92" i="1"/>
  <c r="AE91" i="1"/>
  <c r="EJ91" i="1"/>
  <c r="EK90" i="1"/>
  <c r="EL90" i="1"/>
  <c r="BE90" i="1"/>
  <c r="BC91" i="1"/>
  <c r="BD90" i="1"/>
  <c r="CQ91" i="1"/>
  <c r="CS90" i="1"/>
  <c r="CR90" i="1"/>
  <c r="CB91" i="1"/>
  <c r="CC90" i="1"/>
  <c r="CD90" i="1"/>
  <c r="DH91" i="1"/>
  <c r="DG91" i="1"/>
  <c r="DF92" i="1"/>
  <c r="BH91" i="1"/>
  <c r="BI90" i="1"/>
  <c r="BJ90" i="1"/>
  <c r="BT91" i="1"/>
  <c r="BR92" i="1"/>
  <c r="BS91" i="1"/>
  <c r="CI90" i="1"/>
  <c r="CH90" i="1"/>
  <c r="CG91" i="1"/>
  <c r="Y92" i="1"/>
  <c r="Z91" i="1"/>
  <c r="AA91" i="1"/>
  <c r="EV91" i="1"/>
  <c r="ET92" i="1"/>
  <c r="EU91" i="1"/>
  <c r="DW90" i="1"/>
  <c r="DU91" i="1"/>
  <c r="DV90" i="1"/>
  <c r="EG90" i="1"/>
  <c r="EE91" i="1"/>
  <c r="EF90" i="1"/>
  <c r="T93" i="1"/>
  <c r="V92" i="1"/>
  <c r="U92" i="1"/>
  <c r="BN92" i="1"/>
  <c r="BO92" i="1"/>
  <c r="BM93" i="1"/>
  <c r="CW92" i="1"/>
  <c r="CX92" i="1"/>
  <c r="CV93" i="1"/>
  <c r="AN91" i="1"/>
  <c r="AO90" i="1"/>
  <c r="AP90" i="1"/>
  <c r="EE92" i="1" l="1"/>
  <c r="EF91" i="1"/>
  <c r="EG91" i="1"/>
  <c r="CL93" i="1"/>
  <c r="CM92" i="1"/>
  <c r="CN92" i="1"/>
  <c r="AO91" i="1"/>
  <c r="AP91" i="1"/>
  <c r="AN92" i="1"/>
  <c r="AS92" i="1"/>
  <c r="AT91" i="1"/>
  <c r="AU91" i="1"/>
  <c r="DC92" i="1"/>
  <c r="DA93" i="1"/>
  <c r="DB92" i="1"/>
  <c r="AZ91" i="1"/>
  <c r="AY91" i="1"/>
  <c r="AX92" i="1"/>
  <c r="CV94" i="1"/>
  <c r="CX93" i="1"/>
  <c r="CW93" i="1"/>
  <c r="T94" i="1"/>
  <c r="V93" i="1"/>
  <c r="U93" i="1"/>
  <c r="EU92" i="1"/>
  <c r="ET93" i="1"/>
  <c r="EV92" i="1"/>
  <c r="AA92" i="1"/>
  <c r="Y93" i="1"/>
  <c r="Z92" i="1"/>
  <c r="BC92" i="1"/>
  <c r="BD91" i="1"/>
  <c r="BE91" i="1"/>
  <c r="EL91" i="1"/>
  <c r="EK91" i="1"/>
  <c r="EJ92" i="1"/>
  <c r="DK95" i="1"/>
  <c r="DL94" i="1"/>
  <c r="DM94" i="1"/>
  <c r="BY92" i="1"/>
  <c r="BX92" i="1"/>
  <c r="BW93" i="1"/>
  <c r="DF93" i="1"/>
  <c r="DG92" i="1"/>
  <c r="DH92" i="1"/>
  <c r="CS91" i="1"/>
  <c r="CQ92" i="1"/>
  <c r="CR91" i="1"/>
  <c r="AD93" i="1"/>
  <c r="AE92" i="1"/>
  <c r="AF92" i="1"/>
  <c r="BM94" i="1"/>
  <c r="BO93" i="1"/>
  <c r="BN93" i="1"/>
  <c r="CD91" i="1"/>
  <c r="CB92" i="1"/>
  <c r="CC91" i="1"/>
  <c r="DU92" i="1"/>
  <c r="DV91" i="1"/>
  <c r="DW91" i="1"/>
  <c r="CG92" i="1"/>
  <c r="CH91" i="1"/>
  <c r="CI91" i="1"/>
  <c r="BR93" i="1"/>
  <c r="BS92" i="1"/>
  <c r="BT92" i="1"/>
  <c r="BJ91" i="1"/>
  <c r="BH92" i="1"/>
  <c r="BI91" i="1"/>
  <c r="DZ93" i="1"/>
  <c r="EA92" i="1"/>
  <c r="EB92" i="1"/>
  <c r="DP92" i="1"/>
  <c r="DR91" i="1"/>
  <c r="DQ91" i="1"/>
  <c r="EQ93" i="1"/>
  <c r="EP93" i="1"/>
  <c r="EO94" i="1"/>
  <c r="AI95" i="1"/>
  <c r="AJ94" i="1"/>
  <c r="AK94" i="1"/>
  <c r="BJ92" i="1" l="1"/>
  <c r="BH93" i="1"/>
  <c r="BI92" i="1"/>
  <c r="BR94" i="1"/>
  <c r="BS93" i="1"/>
  <c r="BT93" i="1"/>
  <c r="CB93" i="1"/>
  <c r="CC92" i="1"/>
  <c r="CD92" i="1"/>
  <c r="CL94" i="1"/>
  <c r="CM93" i="1"/>
  <c r="CN93" i="1"/>
  <c r="BE92" i="1"/>
  <c r="BC93" i="1"/>
  <c r="BD92" i="1"/>
  <c r="EO95" i="1"/>
  <c r="EP94" i="1"/>
  <c r="EQ94" i="1"/>
  <c r="DZ94" i="1"/>
  <c r="EA93" i="1"/>
  <c r="EB93" i="1"/>
  <c r="DU93" i="1"/>
  <c r="DV92" i="1"/>
  <c r="DW92" i="1"/>
  <c r="BX93" i="1"/>
  <c r="BY93" i="1"/>
  <c r="BW94" i="1"/>
  <c r="ET94" i="1"/>
  <c r="EU93" i="1"/>
  <c r="EV93" i="1"/>
  <c r="V94" i="1"/>
  <c r="T95" i="1"/>
  <c r="U94" i="1"/>
  <c r="AX93" i="1"/>
  <c r="AY92" i="1"/>
  <c r="AZ92" i="1"/>
  <c r="DB93" i="1"/>
  <c r="DA94" i="1"/>
  <c r="DC93" i="1"/>
  <c r="AS93" i="1"/>
  <c r="AT92" i="1"/>
  <c r="AU92" i="1"/>
  <c r="BM95" i="1"/>
  <c r="BN94" i="1"/>
  <c r="BO94" i="1"/>
  <c r="EJ93" i="1"/>
  <c r="EL92" i="1"/>
  <c r="EK92" i="1"/>
  <c r="AK95" i="1"/>
  <c r="AI96" i="1"/>
  <c r="AJ95" i="1"/>
  <c r="CS92" i="1"/>
  <c r="CQ93" i="1"/>
  <c r="CR92" i="1"/>
  <c r="DF94" i="1"/>
  <c r="DH93" i="1"/>
  <c r="DG93" i="1"/>
  <c r="CX94" i="1"/>
  <c r="CV95" i="1"/>
  <c r="CW94" i="1"/>
  <c r="DR92" i="1"/>
  <c r="DP93" i="1"/>
  <c r="DQ92" i="1"/>
  <c r="CI92" i="1"/>
  <c r="CG93" i="1"/>
  <c r="CH92" i="1"/>
  <c r="AD94" i="1"/>
  <c r="AF93" i="1"/>
  <c r="AE93" i="1"/>
  <c r="DM95" i="1"/>
  <c r="DL95" i="1"/>
  <c r="DK96" i="1"/>
  <c r="Z93" i="1"/>
  <c r="Y94" i="1"/>
  <c r="AA93" i="1"/>
  <c r="AP92" i="1"/>
  <c r="AO92" i="1"/>
  <c r="AN93" i="1"/>
  <c r="EG92" i="1"/>
  <c r="EE93" i="1"/>
  <c r="EF92" i="1"/>
  <c r="EV94" i="1" l="1"/>
  <c r="ET95" i="1"/>
  <c r="EU94" i="1"/>
  <c r="EQ95" i="1"/>
  <c r="EP95" i="1"/>
  <c r="EO96" i="1"/>
  <c r="BT94" i="1"/>
  <c r="BR95" i="1"/>
  <c r="BS94" i="1"/>
  <c r="AF94" i="1"/>
  <c r="AD95" i="1"/>
  <c r="AE94" i="1"/>
  <c r="CV96" i="1"/>
  <c r="CW95" i="1"/>
  <c r="CX95" i="1"/>
  <c r="DH94" i="1"/>
  <c r="DF95" i="1"/>
  <c r="DG94" i="1"/>
  <c r="BO95" i="1"/>
  <c r="BM96" i="1"/>
  <c r="BN95" i="1"/>
  <c r="BW95" i="1"/>
  <c r="BX94" i="1"/>
  <c r="BY94" i="1"/>
  <c r="EB94" i="1"/>
  <c r="DZ95" i="1"/>
  <c r="EA94" i="1"/>
  <c r="CB94" i="1"/>
  <c r="CD93" i="1"/>
  <c r="CC93" i="1"/>
  <c r="AN94" i="1"/>
  <c r="AP93" i="1"/>
  <c r="AO93" i="1"/>
  <c r="Y95" i="1"/>
  <c r="Z94" i="1"/>
  <c r="AA94" i="1"/>
  <c r="DP94" i="1"/>
  <c r="DR93" i="1"/>
  <c r="DQ93" i="1"/>
  <c r="AI97" i="1"/>
  <c r="AJ96" i="1"/>
  <c r="AK96" i="1"/>
  <c r="EJ94" i="1"/>
  <c r="EK93" i="1"/>
  <c r="EL93" i="1"/>
  <c r="DA95" i="1"/>
  <c r="DB94" i="1"/>
  <c r="DC94" i="1"/>
  <c r="AX94" i="1"/>
  <c r="AZ93" i="1"/>
  <c r="AY93" i="1"/>
  <c r="DU94" i="1"/>
  <c r="DV93" i="1"/>
  <c r="DW93" i="1"/>
  <c r="BD93" i="1"/>
  <c r="BC94" i="1"/>
  <c r="BE93" i="1"/>
  <c r="CN94" i="1"/>
  <c r="CM94" i="1"/>
  <c r="CL95" i="1"/>
  <c r="BH94" i="1"/>
  <c r="BJ93" i="1"/>
  <c r="BI93" i="1"/>
  <c r="EG93" i="1"/>
  <c r="EE94" i="1"/>
  <c r="EF93" i="1"/>
  <c r="DK97" i="1"/>
  <c r="DL96" i="1"/>
  <c r="DM96" i="1"/>
  <c r="AS94" i="1"/>
  <c r="AU93" i="1"/>
  <c r="AT93" i="1"/>
  <c r="T96" i="1"/>
  <c r="U95" i="1"/>
  <c r="V95" i="1"/>
  <c r="CG94" i="1"/>
  <c r="CI93" i="1"/>
  <c r="CH93" i="1"/>
  <c r="CR93" i="1"/>
  <c r="CS93" i="1"/>
  <c r="CQ94" i="1"/>
  <c r="CG95" i="1" l="1"/>
  <c r="CH94" i="1"/>
  <c r="CI94" i="1"/>
  <c r="BM97" i="1"/>
  <c r="BN96" i="1"/>
  <c r="BO96" i="1"/>
  <c r="DK98" i="1"/>
  <c r="DM97" i="1"/>
  <c r="DL97" i="1"/>
  <c r="AP94" i="1"/>
  <c r="AN95" i="1"/>
  <c r="AO94" i="1"/>
  <c r="AS95" i="1"/>
  <c r="AT94" i="1"/>
  <c r="AU94" i="1"/>
  <c r="DC95" i="1"/>
  <c r="DA96" i="1"/>
  <c r="DB95" i="1"/>
  <c r="AA95" i="1"/>
  <c r="Y96" i="1"/>
  <c r="Z95" i="1"/>
  <c r="DZ96" i="1"/>
  <c r="EA95" i="1"/>
  <c r="EB95" i="1"/>
  <c r="BY95" i="1"/>
  <c r="BW96" i="1"/>
  <c r="BX95" i="1"/>
  <c r="EO97" i="1"/>
  <c r="EP96" i="1"/>
  <c r="EQ96" i="1"/>
  <c r="ET96" i="1"/>
  <c r="EU95" i="1"/>
  <c r="EV95" i="1"/>
  <c r="CL96" i="1"/>
  <c r="CM95" i="1"/>
  <c r="CN95" i="1"/>
  <c r="BC95" i="1"/>
  <c r="BD94" i="1"/>
  <c r="BE94" i="1"/>
  <c r="DU95" i="1"/>
  <c r="DV94" i="1"/>
  <c r="DW94" i="1"/>
  <c r="AI98" i="1"/>
  <c r="AK97" i="1"/>
  <c r="AJ97" i="1"/>
  <c r="CD94" i="1"/>
  <c r="CB95" i="1"/>
  <c r="CC94" i="1"/>
  <c r="BR96" i="1"/>
  <c r="BS95" i="1"/>
  <c r="BT95" i="1"/>
  <c r="EL94" i="1"/>
  <c r="EJ95" i="1"/>
  <c r="EK94" i="1"/>
  <c r="AD96" i="1"/>
  <c r="AE95" i="1"/>
  <c r="AF95" i="1"/>
  <c r="CQ95" i="1"/>
  <c r="CR94" i="1"/>
  <c r="CS94" i="1"/>
  <c r="V96" i="1"/>
  <c r="T97" i="1"/>
  <c r="U96" i="1"/>
  <c r="EE95" i="1"/>
  <c r="EF94" i="1"/>
  <c r="EG94" i="1"/>
  <c r="BJ94" i="1"/>
  <c r="BH95" i="1"/>
  <c r="BI94" i="1"/>
  <c r="AZ94" i="1"/>
  <c r="AY94" i="1"/>
  <c r="AX95" i="1"/>
  <c r="DR94" i="1"/>
  <c r="DQ94" i="1"/>
  <c r="DP95" i="1"/>
  <c r="DF96" i="1"/>
  <c r="DG95" i="1"/>
  <c r="DH95" i="1"/>
  <c r="CX96" i="1"/>
  <c r="CV97" i="1"/>
  <c r="CW96" i="1"/>
  <c r="EJ96" i="1" l="1"/>
  <c r="EK95" i="1"/>
  <c r="EL95" i="1"/>
  <c r="BT96" i="1"/>
  <c r="BR97" i="1"/>
  <c r="BS96" i="1"/>
  <c r="BE95" i="1"/>
  <c r="BC96" i="1"/>
  <c r="BD95" i="1"/>
  <c r="DA97" i="1"/>
  <c r="DB96" i="1"/>
  <c r="DC96" i="1"/>
  <c r="AU95" i="1"/>
  <c r="AS96" i="1"/>
  <c r="AT95" i="1"/>
  <c r="CI95" i="1"/>
  <c r="CG96" i="1"/>
  <c r="CH95" i="1"/>
  <c r="CW97" i="1"/>
  <c r="CV98" i="1"/>
  <c r="CX97" i="1"/>
  <c r="DH96" i="1"/>
  <c r="DF97" i="1"/>
  <c r="DG96" i="1"/>
  <c r="AX96" i="1"/>
  <c r="AY95" i="1"/>
  <c r="AZ95" i="1"/>
  <c r="BH96" i="1"/>
  <c r="BI95" i="1"/>
  <c r="BJ95" i="1"/>
  <c r="EG95" i="1"/>
  <c r="EE96" i="1"/>
  <c r="EF95" i="1"/>
  <c r="DW95" i="1"/>
  <c r="DU96" i="1"/>
  <c r="DV95" i="1"/>
  <c r="EO98" i="1"/>
  <c r="EQ97" i="1"/>
  <c r="EP97" i="1"/>
  <c r="Y97" i="1"/>
  <c r="Z96" i="1"/>
  <c r="AA96" i="1"/>
  <c r="BM98" i="1"/>
  <c r="BO97" i="1"/>
  <c r="BN97" i="1"/>
  <c r="DP96" i="1"/>
  <c r="DQ95" i="1"/>
  <c r="DR95" i="1"/>
  <c r="AF96" i="1"/>
  <c r="AD97" i="1"/>
  <c r="AE96" i="1"/>
  <c r="CB96" i="1"/>
  <c r="CC95" i="1"/>
  <c r="CD95" i="1"/>
  <c r="AK98" i="1"/>
  <c r="AI99" i="1"/>
  <c r="AJ98" i="1"/>
  <c r="EV96" i="1"/>
  <c r="ET97" i="1"/>
  <c r="EU96" i="1"/>
  <c r="AN96" i="1"/>
  <c r="AO95" i="1"/>
  <c r="AP95" i="1"/>
  <c r="DM98" i="1"/>
  <c r="DL98" i="1"/>
  <c r="DK99" i="1"/>
  <c r="T98" i="1"/>
  <c r="U97" i="1"/>
  <c r="V97" i="1"/>
  <c r="CS95" i="1"/>
  <c r="CQ96" i="1"/>
  <c r="CR95" i="1"/>
  <c r="CN96" i="1"/>
  <c r="CL97" i="1"/>
  <c r="CM96" i="1"/>
  <c r="BW97" i="1"/>
  <c r="BX96" i="1"/>
  <c r="BY96" i="1"/>
  <c r="EB96" i="1"/>
  <c r="DZ97" i="1"/>
  <c r="EA96" i="1"/>
  <c r="EA97" i="1" l="1"/>
  <c r="DZ98" i="1"/>
  <c r="EB97" i="1"/>
  <c r="BW98" i="1"/>
  <c r="BY97" i="1"/>
  <c r="BX97" i="1"/>
  <c r="CD96" i="1"/>
  <c r="CB97" i="1"/>
  <c r="CC96" i="1"/>
  <c r="BJ96" i="1"/>
  <c r="BH97" i="1"/>
  <c r="BI96" i="1"/>
  <c r="CV99" i="1"/>
  <c r="CW98" i="1"/>
  <c r="CX98" i="1"/>
  <c r="BC97" i="1"/>
  <c r="BD96" i="1"/>
  <c r="BE96" i="1"/>
  <c r="CQ97" i="1"/>
  <c r="CR96" i="1"/>
  <c r="CS96" i="1"/>
  <c r="EU97" i="1"/>
  <c r="EV97" i="1"/>
  <c r="ET98" i="1"/>
  <c r="BO98" i="1"/>
  <c r="BM99" i="1"/>
  <c r="BN98" i="1"/>
  <c r="DU97" i="1"/>
  <c r="DV96" i="1"/>
  <c r="DW96" i="1"/>
  <c r="DG97" i="1"/>
  <c r="DF98" i="1"/>
  <c r="DH97" i="1"/>
  <c r="CM97" i="1"/>
  <c r="CN97" i="1"/>
  <c r="CL98" i="1"/>
  <c r="DK100" i="1"/>
  <c r="DL99" i="1"/>
  <c r="DM99" i="1"/>
  <c r="AE97" i="1"/>
  <c r="AD98" i="1"/>
  <c r="AF97" i="1"/>
  <c r="DR96" i="1"/>
  <c r="DP97" i="1"/>
  <c r="DQ96" i="1"/>
  <c r="AS97" i="1"/>
  <c r="AT96" i="1"/>
  <c r="AU96" i="1"/>
  <c r="DA98" i="1"/>
  <c r="DC97" i="1"/>
  <c r="DB97" i="1"/>
  <c r="AI100" i="1"/>
  <c r="AJ99" i="1"/>
  <c r="AK99" i="1"/>
  <c r="AA97" i="1"/>
  <c r="Y98" i="1"/>
  <c r="Z97" i="1"/>
  <c r="EE97" i="1"/>
  <c r="EF96" i="1"/>
  <c r="EG96" i="1"/>
  <c r="T99" i="1"/>
  <c r="V98" i="1"/>
  <c r="U98" i="1"/>
  <c r="AP96" i="1"/>
  <c r="AN97" i="1"/>
  <c r="AO96" i="1"/>
  <c r="EQ98" i="1"/>
  <c r="EO99" i="1"/>
  <c r="EP98" i="1"/>
  <c r="AZ96" i="1"/>
  <c r="AX97" i="1"/>
  <c r="AY96" i="1"/>
  <c r="CG97" i="1"/>
  <c r="CH96" i="1"/>
  <c r="CI96" i="1"/>
  <c r="BS97" i="1"/>
  <c r="BR98" i="1"/>
  <c r="BT97" i="1"/>
  <c r="EL96" i="1"/>
  <c r="EK96" i="1"/>
  <c r="EJ97" i="1"/>
  <c r="AY97" i="1" l="1"/>
  <c r="AX98" i="1"/>
  <c r="AZ97" i="1"/>
  <c r="EK97" i="1"/>
  <c r="EJ98" i="1"/>
  <c r="EL97" i="1"/>
  <c r="BR99" i="1"/>
  <c r="BS98" i="1"/>
  <c r="BT98" i="1"/>
  <c r="CG98" i="1"/>
  <c r="CI97" i="1"/>
  <c r="CH97" i="1"/>
  <c r="AN98" i="1"/>
  <c r="AO97" i="1"/>
  <c r="AP97" i="1"/>
  <c r="V99" i="1"/>
  <c r="T100" i="1"/>
  <c r="U99" i="1"/>
  <c r="DC98" i="1"/>
  <c r="DA99" i="1"/>
  <c r="DB98" i="1"/>
  <c r="AD99" i="1"/>
  <c r="AE98" i="1"/>
  <c r="AF98" i="1"/>
  <c r="DM100" i="1"/>
  <c r="DK101" i="1"/>
  <c r="DL100" i="1"/>
  <c r="CX99" i="1"/>
  <c r="CV100" i="1"/>
  <c r="CW99" i="1"/>
  <c r="EO100" i="1"/>
  <c r="EP99" i="1"/>
  <c r="EQ99" i="1"/>
  <c r="AA98" i="1"/>
  <c r="Y99" i="1"/>
  <c r="Z98" i="1"/>
  <c r="AK100" i="1"/>
  <c r="AI101" i="1"/>
  <c r="AJ100" i="1"/>
  <c r="DP98" i="1"/>
  <c r="DQ97" i="1"/>
  <c r="DR97" i="1"/>
  <c r="CL99" i="1"/>
  <c r="CM98" i="1"/>
  <c r="CN98" i="1"/>
  <c r="DF99" i="1"/>
  <c r="DG98" i="1"/>
  <c r="DH98" i="1"/>
  <c r="DU98" i="1"/>
  <c r="DW97" i="1"/>
  <c r="DV97" i="1"/>
  <c r="ET99" i="1"/>
  <c r="EU98" i="1"/>
  <c r="EV98" i="1"/>
  <c r="BC98" i="1"/>
  <c r="BE97" i="1"/>
  <c r="BD97" i="1"/>
  <c r="CB98" i="1"/>
  <c r="CC97" i="1"/>
  <c r="CD97" i="1"/>
  <c r="BY98" i="1"/>
  <c r="BW99" i="1"/>
  <c r="BX98" i="1"/>
  <c r="CQ98" i="1"/>
  <c r="CS97" i="1"/>
  <c r="CR97" i="1"/>
  <c r="BI97" i="1"/>
  <c r="BH98" i="1"/>
  <c r="BJ97" i="1"/>
  <c r="EE98" i="1"/>
  <c r="EG97" i="1"/>
  <c r="EF97" i="1"/>
  <c r="AS98" i="1"/>
  <c r="AU97" i="1"/>
  <c r="AT97" i="1"/>
  <c r="BM100" i="1"/>
  <c r="BN99" i="1"/>
  <c r="BO99" i="1"/>
  <c r="DZ99" i="1"/>
  <c r="EA98" i="1"/>
  <c r="EB98" i="1"/>
  <c r="AU98" i="1" l="1"/>
  <c r="AS99" i="1"/>
  <c r="AT98" i="1"/>
  <c r="DW98" i="1"/>
  <c r="DU99" i="1"/>
  <c r="DV98" i="1"/>
  <c r="CV101" i="1"/>
  <c r="CW100" i="1"/>
  <c r="CX100" i="1"/>
  <c r="T101" i="1"/>
  <c r="U100" i="1"/>
  <c r="V100" i="1"/>
  <c r="AN99" i="1"/>
  <c r="AO98" i="1"/>
  <c r="AP98" i="1"/>
  <c r="EJ99" i="1"/>
  <c r="EK98" i="1"/>
  <c r="EL98" i="1"/>
  <c r="BO100" i="1"/>
  <c r="BN100" i="1"/>
  <c r="BM101" i="1"/>
  <c r="BH99" i="1"/>
  <c r="BI98" i="1"/>
  <c r="BJ98" i="1"/>
  <c r="CS98" i="1"/>
  <c r="CQ99" i="1"/>
  <c r="CR98" i="1"/>
  <c r="EV99" i="1"/>
  <c r="ET100" i="1"/>
  <c r="EU99" i="1"/>
  <c r="DP99" i="1"/>
  <c r="DQ98" i="1"/>
  <c r="DR98" i="1"/>
  <c r="DA100" i="1"/>
  <c r="DB99" i="1"/>
  <c r="DC99" i="1"/>
  <c r="EB99" i="1"/>
  <c r="DZ100" i="1"/>
  <c r="EA99" i="1"/>
  <c r="BE98" i="1"/>
  <c r="BC99" i="1"/>
  <c r="BD98" i="1"/>
  <c r="CN99" i="1"/>
  <c r="CL100" i="1"/>
  <c r="CM99" i="1"/>
  <c r="Y100" i="1"/>
  <c r="Z99" i="1"/>
  <c r="AA99" i="1"/>
  <c r="EQ100" i="1"/>
  <c r="EO101" i="1"/>
  <c r="EP100" i="1"/>
  <c r="BT99" i="1"/>
  <c r="BR100" i="1"/>
  <c r="BS99" i="1"/>
  <c r="EG98" i="1"/>
  <c r="EE99" i="1"/>
  <c r="EF98" i="1"/>
  <c r="BW100" i="1"/>
  <c r="BX99" i="1"/>
  <c r="BY99" i="1"/>
  <c r="CB99" i="1"/>
  <c r="CC98" i="1"/>
  <c r="CD98" i="1"/>
  <c r="DH99" i="1"/>
  <c r="DF100" i="1"/>
  <c r="DG99" i="1"/>
  <c r="AI102" i="1"/>
  <c r="AJ101" i="1"/>
  <c r="AK101" i="1"/>
  <c r="DK102" i="1"/>
  <c r="DL101" i="1"/>
  <c r="DM101" i="1"/>
  <c r="AF99" i="1"/>
  <c r="AD100" i="1"/>
  <c r="AE99" i="1"/>
  <c r="CI98" i="1"/>
  <c r="CG99" i="1"/>
  <c r="CH98" i="1"/>
  <c r="AX99" i="1"/>
  <c r="AY98" i="1"/>
  <c r="AZ98" i="1"/>
  <c r="CL101" i="1" l="1"/>
  <c r="CM100" i="1"/>
  <c r="CN100" i="1"/>
  <c r="EL99" i="1"/>
  <c r="EK99" i="1"/>
  <c r="EJ100" i="1"/>
  <c r="AZ99" i="1"/>
  <c r="AX100" i="1"/>
  <c r="AY99" i="1"/>
  <c r="AK102" i="1"/>
  <c r="AI103" i="1"/>
  <c r="AJ102" i="1"/>
  <c r="DR99" i="1"/>
  <c r="DP100" i="1"/>
  <c r="DQ99" i="1"/>
  <c r="CX101" i="1"/>
  <c r="CV102" i="1"/>
  <c r="CW101" i="1"/>
  <c r="AD101" i="1"/>
  <c r="AE100" i="1"/>
  <c r="AF100" i="1"/>
  <c r="DM102" i="1"/>
  <c r="DL102" i="1"/>
  <c r="DK103" i="1"/>
  <c r="BY100" i="1"/>
  <c r="BW101" i="1"/>
  <c r="BX100" i="1"/>
  <c r="EO102" i="1"/>
  <c r="EP101" i="1"/>
  <c r="EQ101" i="1"/>
  <c r="AA100" i="1"/>
  <c r="Y101" i="1"/>
  <c r="Z100" i="1"/>
  <c r="DZ101" i="1"/>
  <c r="EA100" i="1"/>
  <c r="EB100" i="1"/>
  <c r="DC100" i="1"/>
  <c r="DA101" i="1"/>
  <c r="DB100" i="1"/>
  <c r="CQ100" i="1"/>
  <c r="CR99" i="1"/>
  <c r="CS99" i="1"/>
  <c r="BJ99" i="1"/>
  <c r="BH100" i="1"/>
  <c r="BI99" i="1"/>
  <c r="V101" i="1"/>
  <c r="T102" i="1"/>
  <c r="U101" i="1"/>
  <c r="AS100" i="1"/>
  <c r="AT99" i="1"/>
  <c r="AU99" i="1"/>
  <c r="EE100" i="1"/>
  <c r="EF99" i="1"/>
  <c r="EG99" i="1"/>
  <c r="CG100" i="1"/>
  <c r="CH99" i="1"/>
  <c r="CI99" i="1"/>
  <c r="DF101" i="1"/>
  <c r="DG100" i="1"/>
  <c r="DH100" i="1"/>
  <c r="CD99" i="1"/>
  <c r="CB100" i="1"/>
  <c r="CC99" i="1"/>
  <c r="BR101" i="1"/>
  <c r="BS100" i="1"/>
  <c r="BT100" i="1"/>
  <c r="BC100" i="1"/>
  <c r="BD99" i="1"/>
  <c r="BE99" i="1"/>
  <c r="ET101" i="1"/>
  <c r="EU100" i="1"/>
  <c r="EV100" i="1"/>
  <c r="BM102" i="1"/>
  <c r="BN101" i="1"/>
  <c r="BO101" i="1"/>
  <c r="AP99" i="1"/>
  <c r="AO99" i="1"/>
  <c r="AN100" i="1"/>
  <c r="DU100" i="1"/>
  <c r="DV99" i="1"/>
  <c r="DW99" i="1"/>
  <c r="AU100" i="1" l="1"/>
  <c r="AS101" i="1"/>
  <c r="AT100" i="1"/>
  <c r="CV103" i="1"/>
  <c r="CW102" i="1"/>
  <c r="CX102" i="1"/>
  <c r="CN101" i="1"/>
  <c r="CM101" i="1"/>
  <c r="CL102" i="1"/>
  <c r="BT101" i="1"/>
  <c r="BR102" i="1"/>
  <c r="BS101" i="1"/>
  <c r="EG100" i="1"/>
  <c r="EE101" i="1"/>
  <c r="EF100" i="1"/>
  <c r="BH101" i="1"/>
  <c r="BI100" i="1"/>
  <c r="BJ100" i="1"/>
  <c r="CS100" i="1"/>
  <c r="CQ101" i="1"/>
  <c r="CR100" i="1"/>
  <c r="Y102" i="1"/>
  <c r="Z101" i="1"/>
  <c r="AA101" i="1"/>
  <c r="EQ102" i="1"/>
  <c r="EO103" i="1"/>
  <c r="EP102" i="1"/>
  <c r="DL103" i="1"/>
  <c r="DM103" i="1"/>
  <c r="DK104" i="1"/>
  <c r="AX101" i="1"/>
  <c r="AY100" i="1"/>
  <c r="AZ100" i="1"/>
  <c r="BO102" i="1"/>
  <c r="BM103" i="1"/>
  <c r="BN102" i="1"/>
  <c r="DW100" i="1"/>
  <c r="DU101" i="1"/>
  <c r="DV100" i="1"/>
  <c r="BE100" i="1"/>
  <c r="BC101" i="1"/>
  <c r="BD100" i="1"/>
  <c r="CI100" i="1"/>
  <c r="CG101" i="1"/>
  <c r="CH100" i="1"/>
  <c r="T103" i="1"/>
  <c r="U102" i="1"/>
  <c r="V102" i="1"/>
  <c r="AF101" i="1"/>
  <c r="AE101" i="1"/>
  <c r="AD102" i="1"/>
  <c r="AI104" i="1"/>
  <c r="AJ103" i="1"/>
  <c r="AK103" i="1"/>
  <c r="AN101" i="1"/>
  <c r="AO100" i="1"/>
  <c r="AP100" i="1"/>
  <c r="EV101" i="1"/>
  <c r="ET102" i="1"/>
  <c r="EU101" i="1"/>
  <c r="CB101" i="1"/>
  <c r="CC100" i="1"/>
  <c r="CD100" i="1"/>
  <c r="DH101" i="1"/>
  <c r="DF102" i="1"/>
  <c r="DG101" i="1"/>
  <c r="DA102" i="1"/>
  <c r="DB101" i="1"/>
  <c r="DC101" i="1"/>
  <c r="EB101" i="1"/>
  <c r="DZ102" i="1"/>
  <c r="EA101" i="1"/>
  <c r="BW102" i="1"/>
  <c r="BX101" i="1"/>
  <c r="BY101" i="1"/>
  <c r="DP101" i="1"/>
  <c r="DQ100" i="1"/>
  <c r="DR100" i="1"/>
  <c r="EJ101" i="1"/>
  <c r="EK100" i="1"/>
  <c r="EL100" i="1"/>
  <c r="DR101" i="1" l="1"/>
  <c r="DP102" i="1"/>
  <c r="DQ101" i="1"/>
  <c r="AI105" i="1"/>
  <c r="AK104" i="1"/>
  <c r="AJ104" i="1"/>
  <c r="CQ102" i="1"/>
  <c r="CR101" i="1"/>
  <c r="CS101" i="1"/>
  <c r="DZ103" i="1"/>
  <c r="EA102" i="1"/>
  <c r="EB102" i="1"/>
  <c r="DC102" i="1"/>
  <c r="DA103" i="1"/>
  <c r="DB102" i="1"/>
  <c r="BM104" i="1"/>
  <c r="BN103" i="1"/>
  <c r="BO103" i="1"/>
  <c r="BR103" i="1"/>
  <c r="BS102" i="1"/>
  <c r="BT102" i="1"/>
  <c r="V103" i="1"/>
  <c r="T104" i="1"/>
  <c r="U103" i="1"/>
  <c r="DU102" i="1"/>
  <c r="DV101" i="1"/>
  <c r="DW101" i="1"/>
  <c r="DK105" i="1"/>
  <c r="DL104" i="1"/>
  <c r="DM104" i="1"/>
  <c r="EO104" i="1"/>
  <c r="EP103" i="1"/>
  <c r="EQ103" i="1"/>
  <c r="AA102" i="1"/>
  <c r="Y103" i="1"/>
  <c r="Z102" i="1"/>
  <c r="EE102" i="1"/>
  <c r="EF101" i="1"/>
  <c r="EG101" i="1"/>
  <c r="AS102" i="1"/>
  <c r="AT101" i="1"/>
  <c r="AU101" i="1"/>
  <c r="CG102" i="1"/>
  <c r="CH101" i="1"/>
  <c r="CI101" i="1"/>
  <c r="BJ101" i="1"/>
  <c r="BH102" i="1"/>
  <c r="BI101" i="1"/>
  <c r="CV104" i="1"/>
  <c r="CX103" i="1"/>
  <c r="CW103" i="1"/>
  <c r="EL101" i="1"/>
  <c r="EJ102" i="1"/>
  <c r="EK101" i="1"/>
  <c r="ET103" i="1"/>
  <c r="EU102" i="1"/>
  <c r="EV102" i="1"/>
  <c r="AP101" i="1"/>
  <c r="AN102" i="1"/>
  <c r="AO101" i="1"/>
  <c r="AD103" i="1"/>
  <c r="AE102" i="1"/>
  <c r="AF102" i="1"/>
  <c r="AZ101" i="1"/>
  <c r="AX102" i="1"/>
  <c r="AY101" i="1"/>
  <c r="BY102" i="1"/>
  <c r="BW103" i="1"/>
  <c r="BX102" i="1"/>
  <c r="DF103" i="1"/>
  <c r="DG102" i="1"/>
  <c r="DH102" i="1"/>
  <c r="CD101" i="1"/>
  <c r="CB102" i="1"/>
  <c r="CC101" i="1"/>
  <c r="BC102" i="1"/>
  <c r="BD101" i="1"/>
  <c r="BE101" i="1"/>
  <c r="CL103" i="1"/>
  <c r="CM102" i="1"/>
  <c r="CN102" i="1"/>
  <c r="AX103" i="1" l="1"/>
  <c r="AY102" i="1"/>
  <c r="AZ102" i="1"/>
  <c r="AF103" i="1"/>
  <c r="AD104" i="1"/>
  <c r="AE103" i="1"/>
  <c r="EJ103" i="1"/>
  <c r="EK102" i="1"/>
  <c r="EL102" i="1"/>
  <c r="CW104" i="1"/>
  <c r="CX104" i="1"/>
  <c r="CV105" i="1"/>
  <c r="EG102" i="1"/>
  <c r="EE103" i="1"/>
  <c r="EF102" i="1"/>
  <c r="DW102" i="1"/>
  <c r="DU103" i="1"/>
  <c r="DV102" i="1"/>
  <c r="BE102" i="1"/>
  <c r="BD102" i="1"/>
  <c r="BC103" i="1"/>
  <c r="BW104" i="1"/>
  <c r="BX103" i="1"/>
  <c r="BY103" i="1"/>
  <c r="AU102" i="1"/>
  <c r="AS103" i="1"/>
  <c r="AT102" i="1"/>
  <c r="DK106" i="1"/>
  <c r="DM105" i="1"/>
  <c r="DL105" i="1"/>
  <c r="BM105" i="1"/>
  <c r="BO104" i="1"/>
  <c r="BN104" i="1"/>
  <c r="AK105" i="1"/>
  <c r="AI106" i="1"/>
  <c r="AJ105" i="1"/>
  <c r="CN103" i="1"/>
  <c r="CL104" i="1"/>
  <c r="CM103" i="1"/>
  <c r="AN103" i="1"/>
  <c r="AO102" i="1"/>
  <c r="AP102" i="1"/>
  <c r="ET104" i="1"/>
  <c r="EV103" i="1"/>
  <c r="EU103" i="1"/>
  <c r="BH103" i="1"/>
  <c r="BI102" i="1"/>
  <c r="BJ102" i="1"/>
  <c r="CI102" i="1"/>
  <c r="CG103" i="1"/>
  <c r="CH102" i="1"/>
  <c r="Y104" i="1"/>
  <c r="Z103" i="1"/>
  <c r="AA103" i="1"/>
  <c r="EO105" i="1"/>
  <c r="EP104" i="1"/>
  <c r="EQ104" i="1"/>
  <c r="U104" i="1"/>
  <c r="V104" i="1"/>
  <c r="T105" i="1"/>
  <c r="BT103" i="1"/>
  <c r="BR104" i="1"/>
  <c r="BS103" i="1"/>
  <c r="CS102" i="1"/>
  <c r="CQ103" i="1"/>
  <c r="CR102" i="1"/>
  <c r="CB103" i="1"/>
  <c r="CC102" i="1"/>
  <c r="CD102" i="1"/>
  <c r="DF104" i="1"/>
  <c r="DH103" i="1"/>
  <c r="DG103" i="1"/>
  <c r="DA104" i="1"/>
  <c r="DB103" i="1"/>
  <c r="DC103" i="1"/>
  <c r="DZ104" i="1"/>
  <c r="EB103" i="1"/>
  <c r="EA103" i="1"/>
  <c r="DP103" i="1"/>
  <c r="DQ102" i="1"/>
  <c r="DR102" i="1"/>
  <c r="DA105" i="1" l="1"/>
  <c r="DB104" i="1"/>
  <c r="DC104" i="1"/>
  <c r="BC104" i="1"/>
  <c r="BD103" i="1"/>
  <c r="BE103" i="1"/>
  <c r="DU104" i="1"/>
  <c r="DV103" i="1"/>
  <c r="DW103" i="1"/>
  <c r="AD105" i="1"/>
  <c r="AE104" i="1"/>
  <c r="AF104" i="1"/>
  <c r="AZ103" i="1"/>
  <c r="AX104" i="1"/>
  <c r="AY103" i="1"/>
  <c r="EB104" i="1"/>
  <c r="DZ105" i="1"/>
  <c r="EA104" i="1"/>
  <c r="T106" i="1"/>
  <c r="U105" i="1"/>
  <c r="V105" i="1"/>
  <c r="Y105" i="1"/>
  <c r="AA104" i="1"/>
  <c r="Z104" i="1"/>
  <c r="AP103" i="1"/>
  <c r="AN104" i="1"/>
  <c r="AO103" i="1"/>
  <c r="DM106" i="1"/>
  <c r="DK107" i="1"/>
  <c r="DL106" i="1"/>
  <c r="CV106" i="1"/>
  <c r="CW105" i="1"/>
  <c r="CX105" i="1"/>
  <c r="CR103" i="1"/>
  <c r="CS103" i="1"/>
  <c r="CQ104" i="1"/>
  <c r="DP104" i="1"/>
  <c r="DR103" i="1"/>
  <c r="DQ103" i="1"/>
  <c r="CD103" i="1"/>
  <c r="CC103" i="1"/>
  <c r="CB104" i="1"/>
  <c r="EO106" i="1"/>
  <c r="EQ105" i="1"/>
  <c r="EP105" i="1"/>
  <c r="EV104" i="1"/>
  <c r="ET105" i="1"/>
  <c r="EU104" i="1"/>
  <c r="AK106" i="1"/>
  <c r="AJ106" i="1"/>
  <c r="AI107" i="1"/>
  <c r="BM106" i="1"/>
  <c r="BO105" i="1"/>
  <c r="BN105" i="1"/>
  <c r="EJ104" i="1"/>
  <c r="EL103" i="1"/>
  <c r="EK103" i="1"/>
  <c r="DH104" i="1"/>
  <c r="DF105" i="1"/>
  <c r="DG104" i="1"/>
  <c r="BR105" i="1"/>
  <c r="BS104" i="1"/>
  <c r="BT104" i="1"/>
  <c r="CG104" i="1"/>
  <c r="CH103" i="1"/>
  <c r="CI103" i="1"/>
  <c r="BJ103" i="1"/>
  <c r="BH104" i="1"/>
  <c r="BI103" i="1"/>
  <c r="CN104" i="1"/>
  <c r="CL105" i="1"/>
  <c r="CM104" i="1"/>
  <c r="AS104" i="1"/>
  <c r="AT103" i="1"/>
  <c r="AU103" i="1"/>
  <c r="BW105" i="1"/>
  <c r="BY104" i="1"/>
  <c r="BX104" i="1"/>
  <c r="EF103" i="1"/>
  <c r="EG103" i="1"/>
  <c r="EE104" i="1"/>
  <c r="BI104" i="1" l="1"/>
  <c r="BJ104" i="1"/>
  <c r="BH105" i="1"/>
  <c r="CG105" i="1"/>
  <c r="CI104" i="1"/>
  <c r="CH104" i="1"/>
  <c r="CM105" i="1"/>
  <c r="CL106" i="1"/>
  <c r="CN105" i="1"/>
  <c r="DG105" i="1"/>
  <c r="DF106" i="1"/>
  <c r="DH105" i="1"/>
  <c r="EL104" i="1"/>
  <c r="EK104" i="1"/>
  <c r="EJ105" i="1"/>
  <c r="AI108" i="1"/>
  <c r="AJ107" i="1"/>
  <c r="AK107" i="1"/>
  <c r="EU105" i="1"/>
  <c r="ET106" i="1"/>
  <c r="EV105" i="1"/>
  <c r="EQ106" i="1"/>
  <c r="EO107" i="1"/>
  <c r="EP106" i="1"/>
  <c r="CV107" i="1"/>
  <c r="CW106" i="1"/>
  <c r="CX106" i="1"/>
  <c r="T107" i="1"/>
  <c r="V106" i="1"/>
  <c r="U106" i="1"/>
  <c r="DU105" i="1"/>
  <c r="DV104" i="1"/>
  <c r="DW104" i="1"/>
  <c r="CC104" i="1"/>
  <c r="CD104" i="1"/>
  <c r="CB105" i="1"/>
  <c r="AO104" i="1"/>
  <c r="AN105" i="1"/>
  <c r="AP104" i="1"/>
  <c r="AA105" i="1"/>
  <c r="Y106" i="1"/>
  <c r="Z105" i="1"/>
  <c r="AX105" i="1"/>
  <c r="AY104" i="1"/>
  <c r="AZ104" i="1"/>
  <c r="AD106" i="1"/>
  <c r="AE105" i="1"/>
  <c r="AF105" i="1"/>
  <c r="BW106" i="1"/>
  <c r="BY105" i="1"/>
  <c r="BX105" i="1"/>
  <c r="BO106" i="1"/>
  <c r="BM107" i="1"/>
  <c r="BN106" i="1"/>
  <c r="CQ105" i="1"/>
  <c r="CR104" i="1"/>
  <c r="CS104" i="1"/>
  <c r="BC105" i="1"/>
  <c r="BE104" i="1"/>
  <c r="BD104" i="1"/>
  <c r="EE105" i="1"/>
  <c r="EF104" i="1"/>
  <c r="EG104" i="1"/>
  <c r="AS105" i="1"/>
  <c r="AU104" i="1"/>
  <c r="AT104" i="1"/>
  <c r="BS105" i="1"/>
  <c r="BR106" i="1"/>
  <c r="BT105" i="1"/>
  <c r="DR104" i="1"/>
  <c r="DP105" i="1"/>
  <c r="DQ104" i="1"/>
  <c r="DK108" i="1"/>
  <c r="DL107" i="1"/>
  <c r="DM107" i="1"/>
  <c r="EA105" i="1"/>
  <c r="EB105" i="1"/>
  <c r="DZ106" i="1"/>
  <c r="DA106" i="1"/>
  <c r="DC105" i="1"/>
  <c r="DB105" i="1"/>
  <c r="BR107" i="1" l="1"/>
  <c r="BS106" i="1"/>
  <c r="BT106" i="1"/>
  <c r="AS106" i="1"/>
  <c r="AU105" i="1"/>
  <c r="AT105" i="1"/>
  <c r="CB106" i="1"/>
  <c r="CC105" i="1"/>
  <c r="CD105" i="1"/>
  <c r="V107" i="1"/>
  <c r="U107" i="1"/>
  <c r="T108" i="1"/>
  <c r="ET107" i="1"/>
  <c r="EU106" i="1"/>
  <c r="EV106" i="1"/>
  <c r="AK108" i="1"/>
  <c r="AJ108" i="1"/>
  <c r="CL107" i="1"/>
  <c r="CM106" i="1"/>
  <c r="CN106" i="1"/>
  <c r="CQ106" i="1"/>
  <c r="CS105" i="1"/>
  <c r="CR105" i="1"/>
  <c r="AY105" i="1"/>
  <c r="AZ105" i="1"/>
  <c r="AX106" i="1"/>
  <c r="DU106" i="1"/>
  <c r="DW105" i="1"/>
  <c r="DV105" i="1"/>
  <c r="EO108" i="1"/>
  <c r="EP107" i="1"/>
  <c r="EQ107" i="1"/>
  <c r="EJ106" i="1"/>
  <c r="EK105" i="1"/>
  <c r="EL105" i="1"/>
  <c r="DF107" i="1"/>
  <c r="DG106" i="1"/>
  <c r="DH106" i="1"/>
  <c r="BH106" i="1"/>
  <c r="BI105" i="1"/>
  <c r="BJ105" i="1"/>
  <c r="DZ107" i="1"/>
  <c r="EA106" i="1"/>
  <c r="EB106" i="1"/>
  <c r="BC106" i="1"/>
  <c r="BE105" i="1"/>
  <c r="BD105" i="1"/>
  <c r="AD107" i="1"/>
  <c r="AF106" i="1"/>
  <c r="AE106" i="1"/>
  <c r="AO105" i="1"/>
  <c r="AP105" i="1"/>
  <c r="AN106" i="1"/>
  <c r="CG106" i="1"/>
  <c r="CI105" i="1"/>
  <c r="CH105" i="1"/>
  <c r="DC106" i="1"/>
  <c r="DA107" i="1"/>
  <c r="DB106" i="1"/>
  <c r="DP106" i="1"/>
  <c r="DQ105" i="1"/>
  <c r="DR105" i="1"/>
  <c r="DM108" i="1"/>
  <c r="DL108" i="1"/>
  <c r="EE106" i="1"/>
  <c r="EG105" i="1"/>
  <c r="EF105" i="1"/>
  <c r="BM108" i="1"/>
  <c r="BN107" i="1"/>
  <c r="BO107" i="1"/>
  <c r="BY106" i="1"/>
  <c r="BX106" i="1"/>
  <c r="BW107" i="1"/>
  <c r="Y107" i="1"/>
  <c r="Z106" i="1"/>
  <c r="AA106" i="1"/>
  <c r="CX107" i="1"/>
  <c r="CV108" i="1"/>
  <c r="CW107" i="1"/>
  <c r="BO108" i="1" l="1"/>
  <c r="BN108" i="1"/>
  <c r="DP107" i="1"/>
  <c r="DQ106" i="1"/>
  <c r="DR106" i="1"/>
  <c r="DH107" i="1"/>
  <c r="DF108" i="1"/>
  <c r="DG107" i="1"/>
  <c r="U108" i="1"/>
  <c r="V108" i="1"/>
  <c r="AU106" i="1"/>
  <c r="AS107" i="1"/>
  <c r="AT106" i="1"/>
  <c r="CB107" i="1"/>
  <c r="CC106" i="1"/>
  <c r="CD106" i="1"/>
  <c r="CW108" i="1"/>
  <c r="CX108" i="1"/>
  <c r="Y108" i="1"/>
  <c r="Z107" i="1"/>
  <c r="AA107" i="1"/>
  <c r="DA108" i="1"/>
  <c r="DB107" i="1"/>
  <c r="DC107" i="1"/>
  <c r="CI106" i="1"/>
  <c r="CG107" i="1"/>
  <c r="CH106" i="1"/>
  <c r="EB107" i="1"/>
  <c r="DZ108" i="1"/>
  <c r="EA107" i="1"/>
  <c r="EQ108" i="1"/>
  <c r="EP108" i="1"/>
  <c r="AX107" i="1"/>
  <c r="AY106" i="1"/>
  <c r="AZ106" i="1"/>
  <c r="CN107" i="1"/>
  <c r="CL108" i="1"/>
  <c r="CM107" i="1"/>
  <c r="AF107" i="1"/>
  <c r="AD108" i="1"/>
  <c r="AE107" i="1"/>
  <c r="BH107" i="1"/>
  <c r="BI106" i="1"/>
  <c r="BJ106" i="1"/>
  <c r="DW106" i="1"/>
  <c r="DU107" i="1"/>
  <c r="DV106" i="1"/>
  <c r="BW108" i="1"/>
  <c r="BX107" i="1"/>
  <c r="BY107" i="1"/>
  <c r="EG106" i="1"/>
  <c r="EE107" i="1"/>
  <c r="EF106" i="1"/>
  <c r="AN107" i="1"/>
  <c r="AO106" i="1"/>
  <c r="AP106" i="1"/>
  <c r="BE106" i="1"/>
  <c r="BC107" i="1"/>
  <c r="BD106" i="1"/>
  <c r="EJ107" i="1"/>
  <c r="EK106" i="1"/>
  <c r="EL106" i="1"/>
  <c r="CS106" i="1"/>
  <c r="CQ107" i="1"/>
  <c r="CR106" i="1"/>
  <c r="EV107" i="1"/>
  <c r="ET108" i="1"/>
  <c r="EU107" i="1"/>
  <c r="BT107" i="1"/>
  <c r="BR108" i="1"/>
  <c r="BS107" i="1"/>
  <c r="CQ108" i="1" l="1"/>
  <c r="CR107" i="1"/>
  <c r="CS107" i="1"/>
  <c r="EL107" i="1"/>
  <c r="EJ108" i="1"/>
  <c r="EK107" i="1"/>
  <c r="AS108" i="1"/>
  <c r="AT107" i="1"/>
  <c r="AU107" i="1"/>
  <c r="AA108" i="1"/>
  <c r="Z108" i="1"/>
  <c r="DG108" i="1"/>
  <c r="DH108" i="1"/>
  <c r="DR107" i="1"/>
  <c r="DP108" i="1"/>
  <c r="DQ107" i="1"/>
  <c r="BS108" i="1"/>
  <c r="BT108" i="1"/>
  <c r="BC108" i="1"/>
  <c r="BD107" i="1"/>
  <c r="BE107" i="1"/>
  <c r="AP107" i="1"/>
  <c r="AN108" i="1"/>
  <c r="AO107" i="1"/>
  <c r="DU108" i="1"/>
  <c r="DV107" i="1"/>
  <c r="DW107" i="1"/>
  <c r="BJ107" i="1"/>
  <c r="BI107" i="1"/>
  <c r="BH108" i="1"/>
  <c r="CG108" i="1"/>
  <c r="CH107" i="1"/>
  <c r="CI107" i="1"/>
  <c r="DC108" i="1"/>
  <c r="DB108" i="1"/>
  <c r="CD107" i="1"/>
  <c r="CB108" i="1"/>
  <c r="CC107" i="1"/>
  <c r="EE108" i="1"/>
  <c r="EF107" i="1"/>
  <c r="EG107" i="1"/>
  <c r="BY108" i="1"/>
  <c r="BX108" i="1"/>
  <c r="AE108" i="1"/>
  <c r="AF108" i="1"/>
  <c r="EU108" i="1"/>
  <c r="EV108" i="1"/>
  <c r="CM108" i="1"/>
  <c r="CN108" i="1"/>
  <c r="AZ107" i="1"/>
  <c r="AX108" i="1"/>
  <c r="AY107" i="1"/>
  <c r="EA108" i="1"/>
  <c r="EB108" i="1"/>
  <c r="DQ108" i="1" l="1"/>
  <c r="DR108" i="1"/>
  <c r="BI108" i="1"/>
  <c r="BJ108" i="1"/>
  <c r="AY108" i="1"/>
  <c r="AZ108" i="1"/>
  <c r="EG108" i="1"/>
  <c r="EF108" i="1"/>
  <c r="CI108" i="1"/>
  <c r="CH108" i="1"/>
  <c r="AO108" i="1"/>
  <c r="N15" i="1" s="1"/>
  <c r="AP108" i="1"/>
  <c r="BE108" i="1"/>
  <c r="BD108" i="1"/>
  <c r="AU108" i="1"/>
  <c r="AT108" i="1"/>
  <c r="N14" i="1" s="1"/>
  <c r="CC108" i="1"/>
  <c r="CD108" i="1"/>
  <c r="DW108" i="1"/>
  <c r="DV108" i="1"/>
  <c r="EK108" i="1"/>
  <c r="EL108" i="1"/>
  <c r="CS108" i="1"/>
  <c r="CR108" i="1"/>
</calcChain>
</file>

<file path=xl/sharedStrings.xml><?xml version="1.0" encoding="utf-8"?>
<sst xmlns="http://schemas.openxmlformats.org/spreadsheetml/2006/main" count="16" uniqueCount="12">
  <si>
    <t>Projectile Trajectory Calculator</t>
  </si>
  <si>
    <t>Reverse</t>
  </si>
  <si>
    <t>Metric?</t>
  </si>
  <si>
    <t>Forward</t>
  </si>
  <si>
    <t xml:space="preserve">     ^ Tolerance (%)</t>
  </si>
  <si>
    <t>Release Angle (°)</t>
  </si>
  <si>
    <t>Target Angle (°)</t>
  </si>
  <si>
    <t xml:space="preserve">     ^ Tolerance (°)</t>
  </si>
  <si>
    <t>Final Angle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</si>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</sst>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
    <numFmt numFmtId="166" formatCode="0.000"/>
    <numFmt numFmtId="167" formatCode="\±0.00"/>
    <numFmt numFmtId="168" formatCode="0.00000"/>
    <numFmt numFmtId="169" formatCode="\±0%"/>
    <numFmt numFmtId="170" formatCode="0\°"/>
    <numFmt numFmtId="171" formatCode="\±0\°"/>
    <numFmt numFmtId="172" formatCode="\±0.0"/>
  </numFmts>
  <fonts count="10" x14ac:knownFonts="1">
    <font>
      <sz val="11"/>
      <color theme="1"/>
      <name val="Calibri"/>
      <family val="2"/>
      <scheme val="minor"/>
    </font>
    <font>
      <sz val="11"/>
      <color theme="1"/>
      <name val="Calibri"/>
      <family val="2"/>
      <scheme val="minor"/>
    </font>
    <font>
      <sz val="11"/>
      <color rgb="FF9C6500"/>
      <name val="Calibri"/>
      <family val="2"/>
      <scheme val="minor"/>
    </font>
    <font>
      <sz val="11"/>
      <color theme="0"/>
      <name val="Calibri"/>
      <family val="2"/>
      <scheme val="minor"/>
    </font>
    <font>
      <b/>
      <sz val="24"/>
      <color theme="1"/>
      <name val="Calibri"/>
      <family val="2"/>
      <scheme val="minor"/>
    </font>
    <font>
      <b/>
      <sz val="14"/>
      <color theme="1"/>
      <name val="Calibri"/>
      <family val="2"/>
      <scheme val="minor"/>
    </font>
    <font>
      <sz val="12"/>
      <color rgb="FFFF0000"/>
      <name val="Calibri"/>
      <family val="2"/>
      <scheme val="minor"/>
    </font>
    <font>
      <sz val="11"/>
      <name val="Calibri"/>
      <family val="2"/>
      <scheme val="minor"/>
    </font>
    <font>
      <sz val="12"/>
      <color theme="1"/>
      <name val="Calibri"/>
      <family val="2"/>
      <scheme val="minor"/>
    </font>
    <font>
      <sz val="11"/>
      <color theme="1"/>
      <name val="Arial"/>
      <family val="2"/>
    </font>
  </fonts>
  <fills count="6">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5"/>
        <bgColor indexed="64"/>
      </patternFill>
    </fill>
    <fill>
      <patternFill patternType="solid">
        <fgColor rgb="FFFFEB9C"/>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6">
    <xf numFmtId="0" fontId="0" fillId="0" borderId="0"/>
    <xf numFmtId="9" fontId="1" fillId="0" borderId="0" applyFont="0" applyFill="0" applyBorder="0" applyAlignment="0" applyProtection="0"/>
    <xf numFmtId="0" fontId="7" fillId="4" borderId="0" applyNumberFormat="0" applyBorder="0" applyAlignment="0" applyProtection="0"/>
    <xf numFmtId="0" fontId="2" fillId="5" borderId="0" applyNumberFormat="0" applyBorder="0" applyAlignment="0" applyProtection="0"/>
    <xf numFmtId="0" fontId="8" fillId="0" borderId="0"/>
    <xf numFmtId="0" fontId="9" fillId="0" borderId="0"/>
  </cellStyleXfs>
  <cellXfs count="36">
    <xf numFmtId="0" fontId="0" fillId="0" borderId="0" xfId="0"/>
    <xf numFmtId="0" fontId="0" fillId="0" borderId="0" xfId="0" applyAlignment="1" applyProtection="1">
      <alignment vertical="center"/>
    </xf>
    <xf numFmtId="0" fontId="4" fillId="0" borderId="0" xfId="0" applyFont="1" applyAlignment="1" applyProtection="1">
      <alignment vertical="center"/>
    </xf>
    <xf numFmtId="0" fontId="3" fillId="0" borderId="0" xfId="0" applyFont="1" applyAlignment="1" applyProtection="1">
      <alignment vertical="center"/>
    </xf>
    <xf numFmtId="0" fontId="0" fillId="2" borderId="1" xfId="0"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3" fillId="0" borderId="0" xfId="0" applyFont="1" applyAlignment="1" applyProtection="1">
      <alignment vertical="center"/>
      <protection locked="0"/>
    </xf>
    <xf numFmtId="164" fontId="3" fillId="0" borderId="0" xfId="0" applyNumberFormat="1" applyFont="1" applyAlignment="1" applyProtection="1">
      <alignment vertical="center"/>
    </xf>
    <xf numFmtId="165" fontId="3" fillId="0" borderId="0" xfId="0" applyNumberFormat="1" applyFont="1" applyAlignment="1" applyProtection="1">
      <alignment vertical="center"/>
    </xf>
    <xf numFmtId="2" fontId="3" fillId="0" borderId="0" xfId="0" applyNumberFormat="1" applyFont="1" applyAlignment="1" applyProtection="1">
      <alignment vertical="center"/>
    </xf>
    <xf numFmtId="0" fontId="5" fillId="0" borderId="0" xfId="0" applyFont="1" applyAlignment="1" applyProtection="1">
      <alignment horizontal="left" vertical="center"/>
    </xf>
    <xf numFmtId="0" fontId="0" fillId="0" borderId="3" xfId="0" applyBorder="1" applyAlignment="1" applyProtection="1">
      <alignment vertical="center"/>
    </xf>
    <xf numFmtId="164" fontId="0" fillId="2" borderId="4" xfId="0" applyNumberFormat="1" applyFill="1" applyBorder="1" applyAlignment="1" applyProtection="1">
      <alignment vertical="center"/>
      <protection locked="0"/>
    </xf>
    <xf numFmtId="164" fontId="0" fillId="0" borderId="0" xfId="0" applyNumberFormat="1" applyAlignment="1" applyProtection="1">
      <alignment vertical="center"/>
    </xf>
    <xf numFmtId="166" fontId="3" fillId="0" borderId="0" xfId="0" applyNumberFormat="1" applyFont="1" applyAlignment="1" applyProtection="1">
      <alignment vertical="center"/>
    </xf>
    <xf numFmtId="167" fontId="0" fillId="2" borderId="4" xfId="0" applyNumberFormat="1" applyFill="1" applyBorder="1" applyAlignment="1" applyProtection="1">
      <alignment vertical="center"/>
      <protection locked="0"/>
    </xf>
    <xf numFmtId="168" fontId="0" fillId="0" borderId="0" xfId="0" applyNumberFormat="1" applyAlignment="1" applyProtection="1">
      <alignment vertical="center"/>
    </xf>
    <xf numFmtId="169" fontId="0" fillId="2" borderId="4" xfId="1" applyNumberFormat="1" applyFont="1" applyFill="1" applyBorder="1" applyAlignment="1" applyProtection="1">
      <alignment vertical="center"/>
      <protection locked="0"/>
    </xf>
    <xf numFmtId="170" fontId="0" fillId="2" borderId="4" xfId="0" applyNumberFormat="1" applyFill="1" applyBorder="1" applyAlignment="1" applyProtection="1">
      <alignment vertical="center"/>
      <protection locked="0"/>
    </xf>
    <xf numFmtId="171" fontId="0" fillId="2" borderId="4" xfId="0" applyNumberFormat="1" applyFill="1" applyBorder="1" applyAlignment="1" applyProtection="1">
      <alignment vertical="center"/>
      <protection locked="0"/>
    </xf>
    <xf numFmtId="166" fontId="0" fillId="0" borderId="0" xfId="0" applyNumberFormat="1" applyAlignment="1" applyProtection="1">
      <alignment vertical="center"/>
    </xf>
    <xf numFmtId="164" fontId="0" fillId="3" borderId="4" xfId="0" applyNumberFormat="1" applyFill="1" applyBorder="1" applyAlignment="1" applyProtection="1">
      <alignment vertical="center"/>
    </xf>
    <xf numFmtId="172" fontId="0" fillId="3" borderId="4" xfId="0" applyNumberFormat="1" applyFill="1" applyBorder="1" applyAlignment="1" applyProtection="1">
      <alignment horizontal="right" vertical="center"/>
    </xf>
    <xf numFmtId="169" fontId="0" fillId="3" borderId="4" xfId="1" applyNumberFormat="1" applyFont="1" applyFill="1" applyBorder="1" applyAlignment="1" applyProtection="1">
      <alignment horizontal="right" vertical="center"/>
    </xf>
    <xf numFmtId="170" fontId="0" fillId="3" borderId="4" xfId="0" applyNumberFormat="1" applyFill="1" applyBorder="1" applyAlignment="1" applyProtection="1">
      <alignment vertical="center"/>
    </xf>
    <xf numFmtId="171" fontId="0" fillId="3" borderId="4" xfId="0" applyNumberFormat="1" applyFill="1" applyBorder="1" applyAlignment="1" applyProtection="1">
      <alignment horizontal="right" vertical="center"/>
    </xf>
    <xf numFmtId="2" fontId="0" fillId="0" borderId="0" xfId="0" applyNumberFormat="1" applyAlignment="1" applyProtection="1">
      <alignment vertical="center"/>
    </xf>
    <xf numFmtId="0" fontId="6" fillId="0" borderId="5"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7" xfId="0" applyFont="1" applyBorder="1" applyAlignment="1" applyProtection="1">
      <alignment horizontal="center" vertical="center" wrapText="1"/>
    </xf>
    <xf numFmtId="0" fontId="6" fillId="0" borderId="8"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9" xfId="0"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6" fillId="0" borderId="11" xfId="0" applyFont="1" applyBorder="1" applyAlignment="1" applyProtection="1">
      <alignment horizontal="center" vertical="center" wrapText="1"/>
    </xf>
    <xf numFmtId="0" fontId="6" fillId="0" borderId="12" xfId="0" applyFont="1" applyBorder="1" applyAlignment="1" applyProtection="1">
      <alignment horizontal="center" vertical="center" wrapText="1"/>
    </xf>
  </cellXfs>
  <cellStyles count="6">
    <cellStyle name="Bad 2" xfId="2"/>
    <cellStyle name="Neutral 2" xfId="3"/>
    <cellStyle name="Normal" xfId="0" builtinId="0"/>
    <cellStyle name="Normal 2" xfId="4"/>
    <cellStyle name="Normal 3" xfId="5"/>
    <cellStyle name="Percent" xfId="1" builtinId="5"/>
  </cellStyles>
  <dxfs count="30">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´ÖÓÎÉÇØÍÐÉ!$V$8:$V$108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0189-4BC1-B5D1-A0432456BBCB}"/>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´ÖÓÎÉÇØÍÐÉ!$AA$8:$AA$108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0189-4BC1-B5D1-A0432456BBCB}"/>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´ÖÓÎÉÇØÍÐÉ!$AF$8:$AF$108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0189-4BC1-B5D1-A0432456BBCB}"/>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´ÖÓÎÉÇØÍÐÉ!$AK$8:$AK$108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0189-4BC1-B5D1-A0432456BBCB}"/>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´ÖÓÎÉÇØÍÐÉ!$AP$8:$AP$108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0189-4BC1-B5D1-A0432456BBCB}"/>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´ÖÓÎÉÇØÍÐÉ!$AU$8:$AU$108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0189-4BC1-B5D1-A0432456BBCB}"/>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´ÖÓÎÉÇØÍÐÉ!$AZ$8:$AZ$108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0189-4BC1-B5D1-A0432456BBCB}"/>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´ÖÓÎÉÇØÍÐÉ!$BE$8:$BE$108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0189-4BC1-B5D1-A0432456BBCB}"/>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´ÖÓÎÉÇØÍÐÉ!$BJ$8:$BJ$108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0189-4BC1-B5D1-A0432456BBCB}"/>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´ÖÓÎÉÇØÍÐÉ!$BO$8:$BO$108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0189-4BC1-B5D1-A0432456BBCB}"/>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´ÖÓÎÉÇØÍÐÉ!$BT$8:$BT$108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0189-4BC1-B5D1-A0432456BBCB}"/>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´ÖÓÎÉÇØÍÐÉ!$BY$8:$BY$108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0189-4BC1-B5D1-A0432456BBCB}"/>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´ÖÓÎÉÇØÍÐÉ!$CD$8:$CD$108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0189-4BC1-B5D1-A0432456BBCB}"/>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´ÖÓÎÉÇØÍÐÉ!$CN$8:$CN$108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0189-4BC1-B5D1-A0432456BBCB}"/>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´ÖÓÎÉÇØÍÐÉ!$CS$8:$CS$108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0189-4BC1-B5D1-A0432456BBCB}"/>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´ÖÓÎÉÇØÍÐÉ!$CX$8:$CX$108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0189-4BC1-B5D1-A0432456BBCB}"/>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´ÖÓÎÉÇØÍÐÉ!$DC$8:$DC$108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0189-4BC1-B5D1-A0432456BBCB}"/>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´ÖÓÎÉÇØÍÐÉ!$DH$8:$DH$108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0189-4BC1-B5D1-A0432456BBCB}"/>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´ÖÓÎÉÇØÍÐÉ!$DM$8:$DM$108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0189-4BC1-B5D1-A0432456BBCB}"/>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´ÖÓÎÉÇØÍÐÉ!$DR$8:$DR$108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0189-4BC1-B5D1-A0432456BBCB}"/>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´ÖÓÎÉÇØÍÐÉ!$DW$8:$DW$108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0189-4BC1-B5D1-A0432456BBCB}"/>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´ÖÓÎÉÇØÍÐÉ!$EB$8:$EB$108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0189-4BC1-B5D1-A0432456BBCB}"/>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´ÖÓÎÉÇØÍÐÉ!$EG$8:$EG$108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0189-4BC1-B5D1-A0432456BBCB}"/>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´ÖÓÎÉÇØÍÐÉ!$EL$8:$EL$108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0189-4BC1-B5D1-A0432456BBCB}"/>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´ÖÓÎÉÇØÍÐÉ!$EQ$8:$EQ$108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0189-4BC1-B5D1-A0432456BBCB}"/>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´ÖÓÎÉÇØÍÐÉ!$EV$8:$EV$108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0189-4BC1-B5D1-A0432456BBCB}"/>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´ÖÓÎÉÇØÍÐÉ!$CI$8:$CI$108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0189-4BC1-B5D1-A0432456BBCB}"/>
            </c:ext>
          </c:extLst>
        </c:ser>
        <c:ser>
          <c:idx val="27"/>
          <c:order val="27"/>
          <c:spPr>
            <a:ln w="19050" cap="rnd">
              <a:noFill/>
              <a:round/>
            </a:ln>
            <a:effectLst/>
          </c:spPr>
          <c:marker>
            <c:symbol val="none"/>
          </c:marker>
          <c:xVal>
            <c:numRef>
              <c:f>´ÖÓÎÉÇØÍÐÉ!$N$14:$N$15</c:f>
              <c:numCache>
                <c:formatCode>General</c:formatCode>
                <c:ptCount val="2"/>
                <c:pt idx="0">
                  <c:v>4.7749685025177477</c:v>
                </c:pt>
                <c:pt idx="1">
                  <c:v>0</c:v>
                </c:pt>
              </c:numCache>
            </c:numRef>
          </c:xVal>
          <c:yVal>
            <c:numRef>
              <c:f>´ÖÓÎÉÇØÍÐÉ!$N$14:$N$15</c:f>
              <c:numCache>
                <c:formatCode>General</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0189-4BC1-B5D1-A0432456BBCB}"/>
            </c:ext>
          </c:extLst>
        </c:ser>
        <c:dLbls>
          <c:showLegendKey val="0"/>
          <c:showVal val="0"/>
          <c:showCatName val="0"/>
          <c:showSerName val="0"/>
          <c:showPercent val="0"/>
          <c:showBubbleSize val="0"/>
        </c:dLbls>
        <c:axId val="143978496"/>
        <c:axId val="143980032"/>
      </c:scatterChart>
      <c:valAx>
        <c:axId val="143978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980032"/>
        <c:crosses val="autoZero"/>
        <c:crossBetween val="midCat"/>
      </c:valAx>
      <c:valAx>
        <c:axId val="14398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97849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B$4"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171450</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xmlns="" id="{D26295D8-749E-4273-A1B7-55C94D568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ÖÓÎÉÇØÍÐÉ"/>
      <sheetName val="§ÌÅÍÒ¦ÉÐØ"/>
      <sheetName val="«ÉÅÖ§ÐÉÅÖ"/>
      <sheetName val="¶ÅØÍÓ¨Í×Ø"/>
      <sheetName val="´ÒÉÙÑÅØÍÇ×"/>
      <sheetName val="´ÒÉÙ°ÍÒÏÅËÉ"/>
      <sheetName val="º´¨ÅØÅ"/>
      <sheetName val="ºÉÖ×Å´ÐÅÒÉØÅÖÝ"/>
      <sheetName val="Specs"/>
    </sheetNames>
    <definedNames>
      <definedName name="Projectile_Metric"/>
    </definedNames>
    <sheetDataSet>
      <sheetData sheetId="0"/>
      <sheetData sheetId="1"/>
      <sheetData sheetId="2"/>
      <sheetData sheetId="3"/>
      <sheetData sheetId="4"/>
      <sheetData sheetId="5">
        <row r="8">
          <cell r="U8">
            <v>0</v>
          </cell>
          <cell r="V8">
            <v>0.2</v>
          </cell>
          <cell r="Z8">
            <v>0</v>
          </cell>
          <cell r="AA8">
            <v>0.2</v>
          </cell>
          <cell r="AE8">
            <v>0</v>
          </cell>
          <cell r="AF8">
            <v>0.2</v>
          </cell>
          <cell r="AJ8">
            <v>0</v>
          </cell>
          <cell r="AK8">
            <v>0.2</v>
          </cell>
          <cell r="AO8">
            <v>0</v>
          </cell>
          <cell r="AP8">
            <v>0.2</v>
          </cell>
          <cell r="AT8">
            <v>0</v>
          </cell>
          <cell r="AU8">
            <v>0.2</v>
          </cell>
          <cell r="AY8">
            <v>0</v>
          </cell>
          <cell r="AZ8">
            <v>0.2</v>
          </cell>
          <cell r="BD8">
            <v>0</v>
          </cell>
          <cell r="BE8">
            <v>0.2</v>
          </cell>
          <cell r="BI8">
            <v>0</v>
          </cell>
          <cell r="BJ8">
            <v>0.2</v>
          </cell>
          <cell r="BN8">
            <v>0</v>
          </cell>
          <cell r="BO8">
            <v>0.2</v>
          </cell>
          <cell r="BS8">
            <v>0</v>
          </cell>
          <cell r="BT8">
            <v>0.2</v>
          </cell>
          <cell r="BX8">
            <v>0</v>
          </cell>
          <cell r="BY8">
            <v>0.2</v>
          </cell>
          <cell r="CC8">
            <v>0</v>
          </cell>
          <cell r="CD8">
            <v>0.2</v>
          </cell>
          <cell r="CH8">
            <v>0</v>
          </cell>
          <cell r="CI8">
            <v>0.2</v>
          </cell>
          <cell r="CM8">
            <v>0</v>
          </cell>
          <cell r="CN8">
            <v>0.2</v>
          </cell>
          <cell r="CR8">
            <v>0</v>
          </cell>
          <cell r="CS8">
            <v>0.2</v>
          </cell>
          <cell r="CW8">
            <v>0</v>
          </cell>
          <cell r="CX8">
            <v>0.2</v>
          </cell>
          <cell r="DB8">
            <v>0</v>
          </cell>
          <cell r="DC8">
            <v>0.2</v>
          </cell>
          <cell r="DG8">
            <v>0</v>
          </cell>
          <cell r="DH8">
            <v>0.2</v>
          </cell>
          <cell r="DL8">
            <v>0</v>
          </cell>
          <cell r="DM8">
            <v>0.2</v>
          </cell>
          <cell r="DQ8">
            <v>0</v>
          </cell>
          <cell r="DR8">
            <v>0.2</v>
          </cell>
          <cell r="DV8">
            <v>0</v>
          </cell>
          <cell r="DW8">
            <v>0.2</v>
          </cell>
          <cell r="EA8">
            <v>0</v>
          </cell>
          <cell r="EB8">
            <v>0.2</v>
          </cell>
          <cell r="EF8">
            <v>0</v>
          </cell>
          <cell r="EG8">
            <v>0.2</v>
          </cell>
          <cell r="EK8">
            <v>0</v>
          </cell>
          <cell r="EL8">
            <v>0.2</v>
          </cell>
          <cell r="EP8">
            <v>0</v>
          </cell>
          <cell r="EQ8">
            <v>0.2</v>
          </cell>
          <cell r="EU8">
            <v>0</v>
          </cell>
          <cell r="EV8">
            <v>0.2</v>
          </cell>
        </row>
        <row r="9">
          <cell r="U9">
            <v>1.9999999999999997E-2</v>
          </cell>
          <cell r="V9">
            <v>0.35607138002843064</v>
          </cell>
          <cell r="Z9">
            <v>1.9999999999999997E-2</v>
          </cell>
          <cell r="AA9">
            <v>0.35607138002843064</v>
          </cell>
          <cell r="AE9">
            <v>1.9999999999999997E-2</v>
          </cell>
          <cell r="AF9">
            <v>0.35607138002843064</v>
          </cell>
          <cell r="AJ9">
            <v>1.9999999999999997E-2</v>
          </cell>
          <cell r="AK9">
            <v>0.35607138002843064</v>
          </cell>
          <cell r="AO9">
            <v>1.9999999999999997E-2</v>
          </cell>
          <cell r="AP9">
            <v>0.35607138002843064</v>
          </cell>
          <cell r="AT9">
            <v>1.9999999999999997E-2</v>
          </cell>
          <cell r="AU9">
            <v>0.35607138002843064</v>
          </cell>
          <cell r="AY9">
            <v>1.9999999999999997E-2</v>
          </cell>
          <cell r="AZ9">
            <v>0.35607138002843064</v>
          </cell>
          <cell r="BD9">
            <v>1.9999999999999997E-2</v>
          </cell>
          <cell r="BE9">
            <v>0.35607138002843064</v>
          </cell>
          <cell r="BI9">
            <v>1.9999999999999997E-2</v>
          </cell>
          <cell r="BJ9">
            <v>0.35607138002843064</v>
          </cell>
          <cell r="BN9">
            <v>1.9999999999999997E-2</v>
          </cell>
          <cell r="BO9">
            <v>0.35607138002843064</v>
          </cell>
          <cell r="BS9">
            <v>1.9999999999999997E-2</v>
          </cell>
          <cell r="BT9">
            <v>0.35607138002843064</v>
          </cell>
          <cell r="BX9">
            <v>1.9999999999999997E-2</v>
          </cell>
          <cell r="BY9">
            <v>0.35607138002843064</v>
          </cell>
          <cell r="CC9">
            <v>1.9999999999999997E-2</v>
          </cell>
          <cell r="CD9">
            <v>0.35607138002843064</v>
          </cell>
          <cell r="CH9">
            <v>1.9999999999999997E-2</v>
          </cell>
          <cell r="CI9">
            <v>0.35607138002843064</v>
          </cell>
          <cell r="CM9">
            <v>1.9999999999999997E-2</v>
          </cell>
          <cell r="CN9">
            <v>0.35607138002843064</v>
          </cell>
          <cell r="CR9">
            <v>1.9999999999999997E-2</v>
          </cell>
          <cell r="CS9">
            <v>0.35607138002843064</v>
          </cell>
          <cell r="CW9">
            <v>1.9999999999999997E-2</v>
          </cell>
          <cell r="CX9">
            <v>0.35607138002843064</v>
          </cell>
          <cell r="DB9">
            <v>1.9999999999999997E-2</v>
          </cell>
          <cell r="DC9">
            <v>0.35607138002843064</v>
          </cell>
          <cell r="DG9">
            <v>1.9999999999999997E-2</v>
          </cell>
          <cell r="DH9">
            <v>0.35607138002843064</v>
          </cell>
          <cell r="DL9">
            <v>1.9999999999999997E-2</v>
          </cell>
          <cell r="DM9">
            <v>0.35607138002843064</v>
          </cell>
          <cell r="DQ9">
            <v>1.9999999999999997E-2</v>
          </cell>
          <cell r="DR9">
            <v>0.35607138002843064</v>
          </cell>
          <cell r="DV9">
            <v>1.9999999999999997E-2</v>
          </cell>
          <cell r="DW9">
            <v>0.35607138002843064</v>
          </cell>
          <cell r="EA9">
            <v>1.9999999999999997E-2</v>
          </cell>
          <cell r="EB9">
            <v>0.35607138002843064</v>
          </cell>
          <cell r="EF9">
            <v>1.9999999999999997E-2</v>
          </cell>
          <cell r="EG9">
            <v>0.35607138002843064</v>
          </cell>
          <cell r="EK9">
            <v>1.9999999999999997E-2</v>
          </cell>
          <cell r="EL9">
            <v>0.35607138002843064</v>
          </cell>
          <cell r="EP9">
            <v>1.9999999999999997E-2</v>
          </cell>
          <cell r="EQ9">
            <v>0.35607138002843064</v>
          </cell>
          <cell r="EU9">
            <v>1.9999999999999997E-2</v>
          </cell>
          <cell r="EV9">
            <v>0.35607138002843064</v>
          </cell>
        </row>
        <row r="10">
          <cell r="U10">
            <v>3.9999999999999994E-2</v>
          </cell>
          <cell r="V10">
            <v>0.50943424732901421</v>
          </cell>
          <cell r="Z10">
            <v>3.9999999999999994E-2</v>
          </cell>
          <cell r="AA10">
            <v>0.50943424732901421</v>
          </cell>
          <cell r="AE10">
            <v>3.9999999999999994E-2</v>
          </cell>
          <cell r="AF10">
            <v>0.50943424732901421</v>
          </cell>
          <cell r="AJ10">
            <v>3.9999999999999994E-2</v>
          </cell>
          <cell r="AK10">
            <v>0.50943424732901421</v>
          </cell>
          <cell r="AO10">
            <v>3.9999999999999994E-2</v>
          </cell>
          <cell r="AP10">
            <v>0.50943424732901421</v>
          </cell>
          <cell r="AT10">
            <v>3.9999999999999994E-2</v>
          </cell>
          <cell r="AU10">
            <v>0.50943424732901421</v>
          </cell>
          <cell r="AY10">
            <v>3.9999999999999994E-2</v>
          </cell>
          <cell r="AZ10">
            <v>0.50943424732901421</v>
          </cell>
          <cell r="BD10">
            <v>3.9999999999999994E-2</v>
          </cell>
          <cell r="BE10">
            <v>0.50943424732901421</v>
          </cell>
          <cell r="BI10">
            <v>3.9999999999999994E-2</v>
          </cell>
          <cell r="BJ10">
            <v>0.50943424732901421</v>
          </cell>
          <cell r="BN10">
            <v>3.9999999999999994E-2</v>
          </cell>
          <cell r="BO10">
            <v>0.50943424732901421</v>
          </cell>
          <cell r="BS10">
            <v>3.9999999999999994E-2</v>
          </cell>
          <cell r="BT10">
            <v>0.50943424732901421</v>
          </cell>
          <cell r="BX10">
            <v>3.9999999999999994E-2</v>
          </cell>
          <cell r="BY10">
            <v>0.50943424732901421</v>
          </cell>
          <cell r="CC10">
            <v>3.9999999999999994E-2</v>
          </cell>
          <cell r="CD10">
            <v>0.50943424732901421</v>
          </cell>
          <cell r="CH10">
            <v>3.9999999999999994E-2</v>
          </cell>
          <cell r="CI10">
            <v>0.50943424732901421</v>
          </cell>
          <cell r="CM10">
            <v>3.9999999999999994E-2</v>
          </cell>
          <cell r="CN10">
            <v>0.50943424732901421</v>
          </cell>
          <cell r="CR10">
            <v>3.9999999999999994E-2</v>
          </cell>
          <cell r="CS10">
            <v>0.50943424732901421</v>
          </cell>
          <cell r="CW10">
            <v>3.9999999999999994E-2</v>
          </cell>
          <cell r="CX10">
            <v>0.50943424732901421</v>
          </cell>
          <cell r="DB10">
            <v>3.9999999999999994E-2</v>
          </cell>
          <cell r="DC10">
            <v>0.50943424732901421</v>
          </cell>
          <cell r="DG10">
            <v>3.9999999999999994E-2</v>
          </cell>
          <cell r="DH10">
            <v>0.50943424732901421</v>
          </cell>
          <cell r="DL10">
            <v>3.9999999999999994E-2</v>
          </cell>
          <cell r="DM10">
            <v>0.50943424732901421</v>
          </cell>
          <cell r="DQ10">
            <v>3.9999999999999994E-2</v>
          </cell>
          <cell r="DR10">
            <v>0.50943424732901421</v>
          </cell>
          <cell r="DV10">
            <v>3.9999999999999994E-2</v>
          </cell>
          <cell r="DW10">
            <v>0.50943424732901421</v>
          </cell>
          <cell r="EA10">
            <v>3.9999999999999994E-2</v>
          </cell>
          <cell r="EB10">
            <v>0.50943424732901421</v>
          </cell>
          <cell r="EF10">
            <v>3.9999999999999994E-2</v>
          </cell>
          <cell r="EG10">
            <v>0.50943424732901421</v>
          </cell>
          <cell r="EK10">
            <v>3.9999999999999994E-2</v>
          </cell>
          <cell r="EL10">
            <v>0.50943424732901421</v>
          </cell>
          <cell r="EP10">
            <v>3.9999999999999994E-2</v>
          </cell>
          <cell r="EQ10">
            <v>0.50943424732901421</v>
          </cell>
          <cell r="EU10">
            <v>3.9999999999999994E-2</v>
          </cell>
          <cell r="EV10">
            <v>0.50943424732901421</v>
          </cell>
        </row>
        <row r="11">
          <cell r="U11">
            <v>5.9999999999999991E-2</v>
          </cell>
          <cell r="V11">
            <v>0.66008860190175067</v>
          </cell>
          <cell r="Z11">
            <v>5.9999999999999991E-2</v>
          </cell>
          <cell r="AA11">
            <v>0.66008860190175067</v>
          </cell>
          <cell r="AE11">
            <v>5.9999999999999991E-2</v>
          </cell>
          <cell r="AF11">
            <v>0.66008860190175067</v>
          </cell>
          <cell r="AJ11">
            <v>5.9999999999999991E-2</v>
          </cell>
          <cell r="AK11">
            <v>0.66008860190175067</v>
          </cell>
          <cell r="AO11">
            <v>5.9999999999999991E-2</v>
          </cell>
          <cell r="AP11">
            <v>0.66008860190175067</v>
          </cell>
          <cell r="AT11">
            <v>5.9999999999999991E-2</v>
          </cell>
          <cell r="AU11">
            <v>0.66008860190175067</v>
          </cell>
          <cell r="AY11">
            <v>5.9999999999999991E-2</v>
          </cell>
          <cell r="AZ11">
            <v>0.66008860190175067</v>
          </cell>
          <cell r="BD11">
            <v>5.9999999999999991E-2</v>
          </cell>
          <cell r="BE11">
            <v>0.66008860190175067</v>
          </cell>
          <cell r="BI11">
            <v>5.9999999999999991E-2</v>
          </cell>
          <cell r="BJ11">
            <v>0.66008860190175067</v>
          </cell>
          <cell r="BN11">
            <v>5.9999999999999991E-2</v>
          </cell>
          <cell r="BO11">
            <v>0.66008860190175067</v>
          </cell>
          <cell r="BS11">
            <v>5.9999999999999991E-2</v>
          </cell>
          <cell r="BT11">
            <v>0.66008860190175067</v>
          </cell>
          <cell r="BX11">
            <v>5.9999999999999991E-2</v>
          </cell>
          <cell r="BY11">
            <v>0.66008860190175067</v>
          </cell>
          <cell r="CC11">
            <v>5.9999999999999991E-2</v>
          </cell>
          <cell r="CD11">
            <v>0.66008860190175067</v>
          </cell>
          <cell r="CH11">
            <v>5.9999999999999991E-2</v>
          </cell>
          <cell r="CI11">
            <v>0.66008860190175067</v>
          </cell>
          <cell r="CM11">
            <v>5.9999999999999991E-2</v>
          </cell>
          <cell r="CN11">
            <v>0.66008860190175067</v>
          </cell>
          <cell r="CR11">
            <v>5.9999999999999991E-2</v>
          </cell>
          <cell r="CS11">
            <v>0.66008860190175067</v>
          </cell>
          <cell r="CW11">
            <v>5.9999999999999991E-2</v>
          </cell>
          <cell r="CX11">
            <v>0.66008860190175067</v>
          </cell>
          <cell r="DB11">
            <v>5.9999999999999991E-2</v>
          </cell>
          <cell r="DC11">
            <v>0.66008860190175067</v>
          </cell>
          <cell r="DG11">
            <v>5.9999999999999991E-2</v>
          </cell>
          <cell r="DH11">
            <v>0.66008860190175067</v>
          </cell>
          <cell r="DL11">
            <v>5.9999999999999991E-2</v>
          </cell>
          <cell r="DM11">
            <v>0.66008860190175067</v>
          </cell>
          <cell r="DQ11">
            <v>5.9999999999999991E-2</v>
          </cell>
          <cell r="DR11">
            <v>0.66008860190175067</v>
          </cell>
          <cell r="DV11">
            <v>5.9999999999999991E-2</v>
          </cell>
          <cell r="DW11">
            <v>0.66008860190175067</v>
          </cell>
          <cell r="EA11">
            <v>5.9999999999999991E-2</v>
          </cell>
          <cell r="EB11">
            <v>0.66008860190175067</v>
          </cell>
          <cell r="EF11">
            <v>5.9999999999999991E-2</v>
          </cell>
          <cell r="EG11">
            <v>0.66008860190175067</v>
          </cell>
          <cell r="EK11">
            <v>5.9999999999999991E-2</v>
          </cell>
          <cell r="EL11">
            <v>0.66008860190175067</v>
          </cell>
          <cell r="EP11">
            <v>5.9999999999999991E-2</v>
          </cell>
          <cell r="EQ11">
            <v>0.66008860190175067</v>
          </cell>
          <cell r="EU11">
            <v>5.9999999999999991E-2</v>
          </cell>
          <cell r="EV11">
            <v>0.66008860190175067</v>
          </cell>
        </row>
        <row r="12">
          <cell r="U12">
            <v>7.9999999999999988E-2</v>
          </cell>
          <cell r="V12">
            <v>0.80803444374664002</v>
          </cell>
          <cell r="Z12">
            <v>7.9999999999999988E-2</v>
          </cell>
          <cell r="AA12">
            <v>0.80803444374664002</v>
          </cell>
          <cell r="AE12">
            <v>7.9999999999999988E-2</v>
          </cell>
          <cell r="AF12">
            <v>0.80803444374664002</v>
          </cell>
          <cell r="AJ12">
            <v>7.9999999999999988E-2</v>
          </cell>
          <cell r="AK12">
            <v>0.80803444374664002</v>
          </cell>
          <cell r="AO12">
            <v>7.9999999999999988E-2</v>
          </cell>
          <cell r="AP12">
            <v>0.80803444374664002</v>
          </cell>
          <cell r="AT12">
            <v>7.9999999999999988E-2</v>
          </cell>
          <cell r="AU12">
            <v>0.80803444374664002</v>
          </cell>
          <cell r="AY12">
            <v>7.9999999999999988E-2</v>
          </cell>
          <cell r="AZ12">
            <v>0.80803444374664002</v>
          </cell>
          <cell r="BD12">
            <v>7.9999999999999988E-2</v>
          </cell>
          <cell r="BE12">
            <v>0.80803444374664002</v>
          </cell>
          <cell r="BI12">
            <v>7.9999999999999988E-2</v>
          </cell>
          <cell r="BJ12">
            <v>0.80803444374664002</v>
          </cell>
          <cell r="BN12">
            <v>7.9999999999999988E-2</v>
          </cell>
          <cell r="BO12">
            <v>0.80803444374664002</v>
          </cell>
          <cell r="BS12">
            <v>7.9999999999999988E-2</v>
          </cell>
          <cell r="BT12">
            <v>0.80803444374664002</v>
          </cell>
          <cell r="BX12">
            <v>7.9999999999999988E-2</v>
          </cell>
          <cell r="BY12">
            <v>0.80803444374664002</v>
          </cell>
          <cell r="CC12">
            <v>7.9999999999999988E-2</v>
          </cell>
          <cell r="CD12">
            <v>0.80803444374664002</v>
          </cell>
          <cell r="CH12">
            <v>7.9999999999999988E-2</v>
          </cell>
          <cell r="CI12">
            <v>0.80803444374664002</v>
          </cell>
          <cell r="CM12">
            <v>7.9999999999999988E-2</v>
          </cell>
          <cell r="CN12">
            <v>0.80803444374664002</v>
          </cell>
          <cell r="CR12">
            <v>7.9999999999999988E-2</v>
          </cell>
          <cell r="CS12">
            <v>0.80803444374664002</v>
          </cell>
          <cell r="CW12">
            <v>7.9999999999999988E-2</v>
          </cell>
          <cell r="CX12">
            <v>0.80803444374664002</v>
          </cell>
          <cell r="DB12">
            <v>7.9999999999999988E-2</v>
          </cell>
          <cell r="DC12">
            <v>0.80803444374664002</v>
          </cell>
          <cell r="DG12">
            <v>7.9999999999999988E-2</v>
          </cell>
          <cell r="DH12">
            <v>0.80803444374664002</v>
          </cell>
          <cell r="DL12">
            <v>7.9999999999999988E-2</v>
          </cell>
          <cell r="DM12">
            <v>0.80803444374664002</v>
          </cell>
          <cell r="DQ12">
            <v>7.9999999999999988E-2</v>
          </cell>
          <cell r="DR12">
            <v>0.80803444374664002</v>
          </cell>
          <cell r="DV12">
            <v>7.9999999999999988E-2</v>
          </cell>
          <cell r="DW12">
            <v>0.80803444374664002</v>
          </cell>
          <cell r="EA12">
            <v>7.9999999999999988E-2</v>
          </cell>
          <cell r="EB12">
            <v>0.80803444374664002</v>
          </cell>
          <cell r="EF12">
            <v>7.9999999999999988E-2</v>
          </cell>
          <cell r="EG12">
            <v>0.80803444374664002</v>
          </cell>
          <cell r="EK12">
            <v>7.9999999999999988E-2</v>
          </cell>
          <cell r="EL12">
            <v>0.80803444374664002</v>
          </cell>
          <cell r="EP12">
            <v>7.9999999999999988E-2</v>
          </cell>
          <cell r="EQ12">
            <v>0.80803444374664002</v>
          </cell>
          <cell r="EU12">
            <v>7.9999999999999988E-2</v>
          </cell>
          <cell r="EV12">
            <v>0.80803444374664002</v>
          </cell>
        </row>
        <row r="13">
          <cell r="U13">
            <v>9.9999999999999978E-2</v>
          </cell>
          <cell r="V13">
            <v>0.95327177286368237</v>
          </cell>
          <cell r="Z13">
            <v>9.9999999999999978E-2</v>
          </cell>
          <cell r="AA13">
            <v>0.95327177286368237</v>
          </cell>
          <cell r="AE13">
            <v>9.9999999999999978E-2</v>
          </cell>
          <cell r="AF13">
            <v>0.95327177286368237</v>
          </cell>
          <cell r="AJ13">
            <v>9.9999999999999978E-2</v>
          </cell>
          <cell r="AK13">
            <v>0.95327177286368237</v>
          </cell>
          <cell r="AO13">
            <v>9.9999999999999978E-2</v>
          </cell>
          <cell r="AP13">
            <v>0.95327177286368237</v>
          </cell>
          <cell r="AT13">
            <v>9.9999999999999978E-2</v>
          </cell>
          <cell r="AU13">
            <v>0.95327177286368237</v>
          </cell>
          <cell r="AY13">
            <v>9.9999999999999978E-2</v>
          </cell>
          <cell r="AZ13">
            <v>0.95327177286368237</v>
          </cell>
          <cell r="BD13">
            <v>9.9999999999999978E-2</v>
          </cell>
          <cell r="BE13">
            <v>0.95327177286368237</v>
          </cell>
          <cell r="BI13">
            <v>9.9999999999999978E-2</v>
          </cell>
          <cell r="BJ13">
            <v>0.95327177286368237</v>
          </cell>
          <cell r="BN13">
            <v>9.9999999999999978E-2</v>
          </cell>
          <cell r="BO13">
            <v>0.95327177286368237</v>
          </cell>
          <cell r="BS13">
            <v>9.9999999999999978E-2</v>
          </cell>
          <cell r="BT13">
            <v>0.95327177286368237</v>
          </cell>
          <cell r="BX13">
            <v>9.9999999999999978E-2</v>
          </cell>
          <cell r="BY13">
            <v>0.95327177286368237</v>
          </cell>
          <cell r="CC13">
            <v>9.9999999999999978E-2</v>
          </cell>
          <cell r="CD13">
            <v>0.95327177286368237</v>
          </cell>
          <cell r="CH13">
            <v>9.9999999999999978E-2</v>
          </cell>
          <cell r="CI13">
            <v>0.95327177286368237</v>
          </cell>
          <cell r="CM13">
            <v>9.9999999999999978E-2</v>
          </cell>
          <cell r="CN13">
            <v>0.95327177286368237</v>
          </cell>
          <cell r="CR13">
            <v>9.9999999999999978E-2</v>
          </cell>
          <cell r="CS13">
            <v>0.95327177286368237</v>
          </cell>
          <cell r="CW13">
            <v>9.9999999999999978E-2</v>
          </cell>
          <cell r="CX13">
            <v>0.95327177286368237</v>
          </cell>
          <cell r="DB13">
            <v>9.9999999999999978E-2</v>
          </cell>
          <cell r="DC13">
            <v>0.95327177286368237</v>
          </cell>
          <cell r="DG13">
            <v>9.9999999999999978E-2</v>
          </cell>
          <cell r="DH13">
            <v>0.95327177286368237</v>
          </cell>
          <cell r="DL13">
            <v>9.9999999999999978E-2</v>
          </cell>
          <cell r="DM13">
            <v>0.95327177286368237</v>
          </cell>
          <cell r="DQ13">
            <v>9.9999999999999978E-2</v>
          </cell>
          <cell r="DR13">
            <v>0.95327177286368237</v>
          </cell>
          <cell r="DV13">
            <v>9.9999999999999978E-2</v>
          </cell>
          <cell r="DW13">
            <v>0.95327177286368237</v>
          </cell>
          <cell r="EA13">
            <v>9.9999999999999978E-2</v>
          </cell>
          <cell r="EB13">
            <v>0.95327177286368237</v>
          </cell>
          <cell r="EF13">
            <v>9.9999999999999978E-2</v>
          </cell>
          <cell r="EG13">
            <v>0.95327177286368237</v>
          </cell>
          <cell r="EK13">
            <v>9.9999999999999978E-2</v>
          </cell>
          <cell r="EL13">
            <v>0.95327177286368237</v>
          </cell>
          <cell r="EP13">
            <v>9.9999999999999978E-2</v>
          </cell>
          <cell r="EQ13">
            <v>0.95327177286368237</v>
          </cell>
          <cell r="EU13">
            <v>9.9999999999999978E-2</v>
          </cell>
          <cell r="EV13">
            <v>0.95327177286368237</v>
          </cell>
        </row>
        <row r="14">
          <cell r="N14">
            <v>4.7749685025177477</v>
          </cell>
          <cell r="U14">
            <v>0.11999999999999997</v>
          </cell>
          <cell r="V14">
            <v>1.0958005892528775</v>
          </cell>
          <cell r="Z14">
            <v>0.11999999999999997</v>
          </cell>
          <cell r="AA14">
            <v>1.0958005892528775</v>
          </cell>
          <cell r="AE14">
            <v>0.11999999999999997</v>
          </cell>
          <cell r="AF14">
            <v>1.0958005892528775</v>
          </cell>
          <cell r="AJ14">
            <v>0.11999999999999997</v>
          </cell>
          <cell r="AK14">
            <v>1.0958005892528775</v>
          </cell>
          <cell r="AO14">
            <v>0.11999999999999997</v>
          </cell>
          <cell r="AP14">
            <v>1.0958005892528775</v>
          </cell>
          <cell r="AT14">
            <v>0.11999999999999997</v>
          </cell>
          <cell r="AU14">
            <v>1.0958005892528775</v>
          </cell>
          <cell r="AY14">
            <v>0.11999999999999997</v>
          </cell>
          <cell r="AZ14">
            <v>1.0958005892528775</v>
          </cell>
          <cell r="BD14">
            <v>0.11999999999999997</v>
          </cell>
          <cell r="BE14">
            <v>1.0958005892528775</v>
          </cell>
          <cell r="BI14">
            <v>0.11999999999999997</v>
          </cell>
          <cell r="BJ14">
            <v>1.0958005892528775</v>
          </cell>
          <cell r="BN14">
            <v>0.11999999999999997</v>
          </cell>
          <cell r="BO14">
            <v>1.0958005892528775</v>
          </cell>
          <cell r="BS14">
            <v>0.11999999999999997</v>
          </cell>
          <cell r="BT14">
            <v>1.0958005892528775</v>
          </cell>
          <cell r="BX14">
            <v>0.11999999999999997</v>
          </cell>
          <cell r="BY14">
            <v>1.0958005892528775</v>
          </cell>
          <cell r="CC14">
            <v>0.11999999999999997</v>
          </cell>
          <cell r="CD14">
            <v>1.0958005892528775</v>
          </cell>
          <cell r="CH14">
            <v>0.11999999999999997</v>
          </cell>
          <cell r="CI14">
            <v>1.0958005892528775</v>
          </cell>
          <cell r="CM14">
            <v>0.11999999999999997</v>
          </cell>
          <cell r="CN14">
            <v>1.0958005892528775</v>
          </cell>
          <cell r="CR14">
            <v>0.11999999999999997</v>
          </cell>
          <cell r="CS14">
            <v>1.0958005892528775</v>
          </cell>
          <cell r="CW14">
            <v>0.11999999999999997</v>
          </cell>
          <cell r="CX14">
            <v>1.0958005892528775</v>
          </cell>
          <cell r="DB14">
            <v>0.11999999999999997</v>
          </cell>
          <cell r="DC14">
            <v>1.0958005892528775</v>
          </cell>
          <cell r="DG14">
            <v>0.11999999999999997</v>
          </cell>
          <cell r="DH14">
            <v>1.0958005892528775</v>
          </cell>
          <cell r="DL14">
            <v>0.11999999999999997</v>
          </cell>
          <cell r="DM14">
            <v>1.0958005892528775</v>
          </cell>
          <cell r="DQ14">
            <v>0.11999999999999997</v>
          </cell>
          <cell r="DR14">
            <v>1.0958005892528775</v>
          </cell>
          <cell r="DV14">
            <v>0.11999999999999997</v>
          </cell>
          <cell r="DW14">
            <v>1.0958005892528775</v>
          </cell>
          <cell r="EA14">
            <v>0.11999999999999997</v>
          </cell>
          <cell r="EB14">
            <v>1.0958005892528775</v>
          </cell>
          <cell r="EF14">
            <v>0.11999999999999997</v>
          </cell>
          <cell r="EG14">
            <v>1.0958005892528775</v>
          </cell>
          <cell r="EK14">
            <v>0.11999999999999997</v>
          </cell>
          <cell r="EL14">
            <v>1.0958005892528775</v>
          </cell>
          <cell r="EP14">
            <v>0.11999999999999997</v>
          </cell>
          <cell r="EQ14">
            <v>1.0958005892528775</v>
          </cell>
          <cell r="EU14">
            <v>0.11999999999999997</v>
          </cell>
          <cell r="EV14">
            <v>1.0958005892528775</v>
          </cell>
        </row>
        <row r="15">
          <cell r="N15">
            <v>0</v>
          </cell>
          <cell r="U15">
            <v>0.13999999999999996</v>
          </cell>
          <cell r="V15">
            <v>1.2356208929142256</v>
          </cell>
          <cell r="Z15">
            <v>0.13999999999999996</v>
          </cell>
          <cell r="AA15">
            <v>1.2356208929142256</v>
          </cell>
          <cell r="AE15">
            <v>0.13999999999999996</v>
          </cell>
          <cell r="AF15">
            <v>1.2356208929142256</v>
          </cell>
          <cell r="AJ15">
            <v>0.13999999999999996</v>
          </cell>
          <cell r="AK15">
            <v>1.2356208929142256</v>
          </cell>
          <cell r="AO15">
            <v>0.13999999999999996</v>
          </cell>
          <cell r="AP15">
            <v>1.2356208929142256</v>
          </cell>
          <cell r="AT15">
            <v>0.13999999999999996</v>
          </cell>
          <cell r="AU15">
            <v>1.2356208929142256</v>
          </cell>
          <cell r="AY15">
            <v>0.13999999999999996</v>
          </cell>
          <cell r="AZ15">
            <v>1.2356208929142256</v>
          </cell>
          <cell r="BD15">
            <v>0.13999999999999996</v>
          </cell>
          <cell r="BE15">
            <v>1.2356208929142256</v>
          </cell>
          <cell r="BI15">
            <v>0.13999999999999996</v>
          </cell>
          <cell r="BJ15">
            <v>1.2356208929142256</v>
          </cell>
          <cell r="BN15">
            <v>0.13999999999999996</v>
          </cell>
          <cell r="BO15">
            <v>1.2356208929142256</v>
          </cell>
          <cell r="BS15">
            <v>0.13999999999999996</v>
          </cell>
          <cell r="BT15">
            <v>1.2356208929142256</v>
          </cell>
          <cell r="BX15">
            <v>0.13999999999999996</v>
          </cell>
          <cell r="BY15">
            <v>1.2356208929142256</v>
          </cell>
          <cell r="CC15">
            <v>0.13999999999999996</v>
          </cell>
          <cell r="CD15">
            <v>1.2356208929142256</v>
          </cell>
          <cell r="CH15">
            <v>0.13999999999999996</v>
          </cell>
          <cell r="CI15">
            <v>1.2356208929142256</v>
          </cell>
          <cell r="CM15">
            <v>0.13999999999999996</v>
          </cell>
          <cell r="CN15">
            <v>1.2356208929142256</v>
          </cell>
          <cell r="CR15">
            <v>0.13999999999999996</v>
          </cell>
          <cell r="CS15">
            <v>1.2356208929142256</v>
          </cell>
          <cell r="CW15">
            <v>0.13999999999999996</v>
          </cell>
          <cell r="CX15">
            <v>1.2356208929142256</v>
          </cell>
          <cell r="DB15">
            <v>0.13999999999999996</v>
          </cell>
          <cell r="DC15">
            <v>1.2356208929142256</v>
          </cell>
          <cell r="DG15">
            <v>0.13999999999999996</v>
          </cell>
          <cell r="DH15">
            <v>1.2356208929142256</v>
          </cell>
          <cell r="DL15">
            <v>0.13999999999999996</v>
          </cell>
          <cell r="DM15">
            <v>1.2356208929142256</v>
          </cell>
          <cell r="DQ15">
            <v>0.13999999999999996</v>
          </cell>
          <cell r="DR15">
            <v>1.2356208929142256</v>
          </cell>
          <cell r="DV15">
            <v>0.13999999999999996</v>
          </cell>
          <cell r="DW15">
            <v>1.2356208929142256</v>
          </cell>
          <cell r="EA15">
            <v>0.13999999999999996</v>
          </cell>
          <cell r="EB15">
            <v>1.2356208929142256</v>
          </cell>
          <cell r="EF15">
            <v>0.13999999999999996</v>
          </cell>
          <cell r="EG15">
            <v>1.2356208929142256</v>
          </cell>
          <cell r="EK15">
            <v>0.13999999999999996</v>
          </cell>
          <cell r="EL15">
            <v>1.2356208929142256</v>
          </cell>
          <cell r="EP15">
            <v>0.13999999999999996</v>
          </cell>
          <cell r="EQ15">
            <v>1.2356208929142256</v>
          </cell>
          <cell r="EU15">
            <v>0.13999999999999996</v>
          </cell>
          <cell r="EV15">
            <v>1.2356208929142256</v>
          </cell>
        </row>
        <row r="16">
          <cell r="U16">
            <v>0.15999999999999995</v>
          </cell>
          <cell r="V16">
            <v>1.3727326838477265</v>
          </cell>
          <cell r="Z16">
            <v>0.15999999999999995</v>
          </cell>
          <cell r="AA16">
            <v>1.3727326838477265</v>
          </cell>
          <cell r="AE16">
            <v>0.15999999999999995</v>
          </cell>
          <cell r="AF16">
            <v>1.3727326838477265</v>
          </cell>
          <cell r="AJ16">
            <v>0.15999999999999995</v>
          </cell>
          <cell r="AK16">
            <v>1.3727326838477265</v>
          </cell>
          <cell r="AO16">
            <v>0.15999999999999995</v>
          </cell>
          <cell r="AP16">
            <v>1.3727326838477265</v>
          </cell>
          <cell r="AT16">
            <v>0.15999999999999995</v>
          </cell>
          <cell r="AU16">
            <v>1.3727326838477265</v>
          </cell>
          <cell r="AY16">
            <v>0.15999999999999995</v>
          </cell>
          <cell r="AZ16">
            <v>1.3727326838477265</v>
          </cell>
          <cell r="BD16">
            <v>0.15999999999999995</v>
          </cell>
          <cell r="BE16">
            <v>1.3727326838477265</v>
          </cell>
          <cell r="BI16">
            <v>0.15999999999999995</v>
          </cell>
          <cell r="BJ16">
            <v>1.3727326838477265</v>
          </cell>
          <cell r="BN16">
            <v>0.15999999999999995</v>
          </cell>
          <cell r="BO16">
            <v>1.3727326838477265</v>
          </cell>
          <cell r="BS16">
            <v>0.15999999999999995</v>
          </cell>
          <cell r="BT16">
            <v>1.3727326838477265</v>
          </cell>
          <cell r="BX16">
            <v>0.15999999999999995</v>
          </cell>
          <cell r="BY16">
            <v>1.3727326838477265</v>
          </cell>
          <cell r="CC16">
            <v>0.15999999999999995</v>
          </cell>
          <cell r="CD16">
            <v>1.3727326838477265</v>
          </cell>
          <cell r="CH16">
            <v>0.15999999999999995</v>
          </cell>
          <cell r="CI16">
            <v>1.3727326838477265</v>
          </cell>
          <cell r="CM16">
            <v>0.15999999999999995</v>
          </cell>
          <cell r="CN16">
            <v>1.3727326838477265</v>
          </cell>
          <cell r="CR16">
            <v>0.15999999999999995</v>
          </cell>
          <cell r="CS16">
            <v>1.3727326838477265</v>
          </cell>
          <cell r="CW16">
            <v>0.15999999999999995</v>
          </cell>
          <cell r="CX16">
            <v>1.3727326838477265</v>
          </cell>
          <cell r="DB16">
            <v>0.15999999999999995</v>
          </cell>
          <cell r="DC16">
            <v>1.3727326838477265</v>
          </cell>
          <cell r="DG16">
            <v>0.15999999999999995</v>
          </cell>
          <cell r="DH16">
            <v>1.3727326838477265</v>
          </cell>
          <cell r="DL16">
            <v>0.15999999999999995</v>
          </cell>
          <cell r="DM16">
            <v>1.3727326838477265</v>
          </cell>
          <cell r="DQ16">
            <v>0.15999999999999995</v>
          </cell>
          <cell r="DR16">
            <v>1.3727326838477265</v>
          </cell>
          <cell r="DV16">
            <v>0.15999999999999995</v>
          </cell>
          <cell r="DW16">
            <v>1.3727326838477265</v>
          </cell>
          <cell r="EA16">
            <v>0.15999999999999995</v>
          </cell>
          <cell r="EB16">
            <v>1.3727326838477265</v>
          </cell>
          <cell r="EF16">
            <v>0.15999999999999995</v>
          </cell>
          <cell r="EG16">
            <v>1.3727326838477265</v>
          </cell>
          <cell r="EK16">
            <v>0.15999999999999995</v>
          </cell>
          <cell r="EL16">
            <v>1.3727326838477265</v>
          </cell>
          <cell r="EP16">
            <v>0.15999999999999995</v>
          </cell>
          <cell r="EQ16">
            <v>1.3727326838477265</v>
          </cell>
          <cell r="EU16">
            <v>0.15999999999999995</v>
          </cell>
          <cell r="EV16">
            <v>1.3727326838477265</v>
          </cell>
        </row>
        <row r="17">
          <cell r="U17">
            <v>0.17999999999999994</v>
          </cell>
          <cell r="V17">
            <v>1.5071359620533804</v>
          </cell>
          <cell r="Z17">
            <v>0.17999999999999994</v>
          </cell>
          <cell r="AA17">
            <v>1.5071359620533804</v>
          </cell>
          <cell r="AE17">
            <v>0.17999999999999994</v>
          </cell>
          <cell r="AF17">
            <v>1.5071359620533804</v>
          </cell>
          <cell r="AJ17">
            <v>0.17999999999999994</v>
          </cell>
          <cell r="AK17">
            <v>1.5071359620533804</v>
          </cell>
          <cell r="AO17">
            <v>0.17999999999999994</v>
          </cell>
          <cell r="AP17">
            <v>1.5071359620533804</v>
          </cell>
          <cell r="AT17">
            <v>0.17999999999999994</v>
          </cell>
          <cell r="AU17">
            <v>1.5071359620533804</v>
          </cell>
          <cell r="AY17">
            <v>0.17999999999999994</v>
          </cell>
          <cell r="AZ17">
            <v>1.5071359620533804</v>
          </cell>
          <cell r="BD17">
            <v>0.17999999999999994</v>
          </cell>
          <cell r="BE17">
            <v>1.5071359620533804</v>
          </cell>
          <cell r="BI17">
            <v>0.17999999999999994</v>
          </cell>
          <cell r="BJ17">
            <v>1.5071359620533804</v>
          </cell>
          <cell r="BN17">
            <v>0.17999999999999994</v>
          </cell>
          <cell r="BO17">
            <v>1.5071359620533804</v>
          </cell>
          <cell r="BS17">
            <v>0.17999999999999994</v>
          </cell>
          <cell r="BT17">
            <v>1.5071359620533804</v>
          </cell>
          <cell r="BX17">
            <v>0.17999999999999994</v>
          </cell>
          <cell r="BY17">
            <v>1.5071359620533804</v>
          </cell>
          <cell r="CC17">
            <v>0.17999999999999994</v>
          </cell>
          <cell r="CD17">
            <v>1.5071359620533804</v>
          </cell>
          <cell r="CH17">
            <v>0.17999999999999994</v>
          </cell>
          <cell r="CI17">
            <v>1.5071359620533804</v>
          </cell>
          <cell r="CM17">
            <v>0.17999999999999994</v>
          </cell>
          <cell r="CN17">
            <v>1.5071359620533804</v>
          </cell>
          <cell r="CR17">
            <v>0.17999999999999994</v>
          </cell>
          <cell r="CS17">
            <v>1.5071359620533804</v>
          </cell>
          <cell r="CW17">
            <v>0.17999999999999994</v>
          </cell>
          <cell r="CX17">
            <v>1.5071359620533804</v>
          </cell>
          <cell r="DB17">
            <v>0.17999999999999994</v>
          </cell>
          <cell r="DC17">
            <v>1.5071359620533804</v>
          </cell>
          <cell r="DG17">
            <v>0.17999999999999994</v>
          </cell>
          <cell r="DH17">
            <v>1.5071359620533804</v>
          </cell>
          <cell r="DL17">
            <v>0.17999999999999994</v>
          </cell>
          <cell r="DM17">
            <v>1.5071359620533804</v>
          </cell>
          <cell r="DQ17">
            <v>0.17999999999999994</v>
          </cell>
          <cell r="DR17">
            <v>1.5071359620533804</v>
          </cell>
          <cell r="DV17">
            <v>0.17999999999999994</v>
          </cell>
          <cell r="DW17">
            <v>1.5071359620533804</v>
          </cell>
          <cell r="EA17">
            <v>0.17999999999999994</v>
          </cell>
          <cell r="EB17">
            <v>1.5071359620533804</v>
          </cell>
          <cell r="EF17">
            <v>0.17999999999999994</v>
          </cell>
          <cell r="EG17">
            <v>1.5071359620533804</v>
          </cell>
          <cell r="EK17">
            <v>0.17999999999999994</v>
          </cell>
          <cell r="EL17">
            <v>1.5071359620533804</v>
          </cell>
          <cell r="EP17">
            <v>0.17999999999999994</v>
          </cell>
          <cell r="EQ17">
            <v>1.5071359620533804</v>
          </cell>
          <cell r="EU17">
            <v>0.17999999999999994</v>
          </cell>
          <cell r="EV17">
            <v>1.5071359620533804</v>
          </cell>
        </row>
        <row r="18">
          <cell r="U18">
            <v>0.19999999999999993</v>
          </cell>
          <cell r="V18">
            <v>1.6388307275311873</v>
          </cell>
          <cell r="Z18">
            <v>0.19999999999999993</v>
          </cell>
          <cell r="AA18">
            <v>1.6388307275311873</v>
          </cell>
          <cell r="AE18">
            <v>0.19999999999999993</v>
          </cell>
          <cell r="AF18">
            <v>1.6388307275311873</v>
          </cell>
          <cell r="AJ18">
            <v>0.19999999999999993</v>
          </cell>
          <cell r="AK18">
            <v>1.6388307275311873</v>
          </cell>
          <cell r="AO18">
            <v>0.19999999999999993</v>
          </cell>
          <cell r="AP18">
            <v>1.6388307275311873</v>
          </cell>
          <cell r="AT18">
            <v>0.19999999999999993</v>
          </cell>
          <cell r="AU18">
            <v>1.6388307275311873</v>
          </cell>
          <cell r="AY18">
            <v>0.19999999999999993</v>
          </cell>
          <cell r="AZ18">
            <v>1.6388307275311873</v>
          </cell>
          <cell r="BD18">
            <v>0.19999999999999993</v>
          </cell>
          <cell r="BE18">
            <v>1.6388307275311873</v>
          </cell>
          <cell r="BI18">
            <v>0.19999999999999993</v>
          </cell>
          <cell r="BJ18">
            <v>1.6388307275311873</v>
          </cell>
          <cell r="BN18">
            <v>0.19999999999999993</v>
          </cell>
          <cell r="BO18">
            <v>1.6388307275311873</v>
          </cell>
          <cell r="BS18">
            <v>0.19999999999999993</v>
          </cell>
          <cell r="BT18">
            <v>1.6388307275311873</v>
          </cell>
          <cell r="BX18">
            <v>0.19999999999999993</v>
          </cell>
          <cell r="BY18">
            <v>1.6388307275311873</v>
          </cell>
          <cell r="CC18">
            <v>0.19999999999999993</v>
          </cell>
          <cell r="CD18">
            <v>1.6388307275311873</v>
          </cell>
          <cell r="CH18">
            <v>0.19999999999999993</v>
          </cell>
          <cell r="CI18">
            <v>1.6388307275311873</v>
          </cell>
          <cell r="CM18">
            <v>0.19999999999999993</v>
          </cell>
          <cell r="CN18">
            <v>1.6388307275311873</v>
          </cell>
          <cell r="CR18">
            <v>0.19999999999999993</v>
          </cell>
          <cell r="CS18">
            <v>1.6388307275311873</v>
          </cell>
          <cell r="CW18">
            <v>0.19999999999999993</v>
          </cell>
          <cell r="CX18">
            <v>1.6388307275311873</v>
          </cell>
          <cell r="DB18">
            <v>0.19999999999999993</v>
          </cell>
          <cell r="DC18">
            <v>1.6388307275311873</v>
          </cell>
          <cell r="DG18">
            <v>0.19999999999999993</v>
          </cell>
          <cell r="DH18">
            <v>1.6388307275311873</v>
          </cell>
          <cell r="DL18">
            <v>0.19999999999999993</v>
          </cell>
          <cell r="DM18">
            <v>1.6388307275311873</v>
          </cell>
          <cell r="DQ18">
            <v>0.19999999999999993</v>
          </cell>
          <cell r="DR18">
            <v>1.6388307275311873</v>
          </cell>
          <cell r="DV18">
            <v>0.19999999999999993</v>
          </cell>
          <cell r="DW18">
            <v>1.6388307275311873</v>
          </cell>
          <cell r="EA18">
            <v>0.19999999999999993</v>
          </cell>
          <cell r="EB18">
            <v>1.6388307275311873</v>
          </cell>
          <cell r="EF18">
            <v>0.19999999999999993</v>
          </cell>
          <cell r="EG18">
            <v>1.6388307275311873</v>
          </cell>
          <cell r="EK18">
            <v>0.19999999999999993</v>
          </cell>
          <cell r="EL18">
            <v>1.6388307275311873</v>
          </cell>
          <cell r="EP18">
            <v>0.19999999999999993</v>
          </cell>
          <cell r="EQ18">
            <v>1.6388307275311873</v>
          </cell>
          <cell r="EU18">
            <v>0.19999999999999993</v>
          </cell>
          <cell r="EV18">
            <v>1.6388307275311873</v>
          </cell>
        </row>
        <row r="19">
          <cell r="U19">
            <v>0.21999999999999992</v>
          </cell>
          <cell r="V19">
            <v>1.7678169802811472</v>
          </cell>
          <cell r="Z19">
            <v>0.21999999999999992</v>
          </cell>
          <cell r="AA19">
            <v>1.7678169802811472</v>
          </cell>
          <cell r="AE19">
            <v>0.21999999999999992</v>
          </cell>
          <cell r="AF19">
            <v>1.7678169802811472</v>
          </cell>
          <cell r="AJ19">
            <v>0.21999999999999992</v>
          </cell>
          <cell r="AK19">
            <v>1.7678169802811472</v>
          </cell>
          <cell r="AO19">
            <v>0.21999999999999992</v>
          </cell>
          <cell r="AP19">
            <v>1.7678169802811472</v>
          </cell>
          <cell r="AT19">
            <v>0.21999999999999992</v>
          </cell>
          <cell r="AU19">
            <v>1.7678169802811472</v>
          </cell>
          <cell r="AY19">
            <v>0.21999999999999992</v>
          </cell>
          <cell r="AZ19">
            <v>1.7678169802811472</v>
          </cell>
          <cell r="BD19">
            <v>0.21999999999999992</v>
          </cell>
          <cell r="BE19">
            <v>1.7678169802811472</v>
          </cell>
          <cell r="BI19">
            <v>0.21999999999999992</v>
          </cell>
          <cell r="BJ19">
            <v>1.7678169802811472</v>
          </cell>
          <cell r="BN19">
            <v>0.21999999999999992</v>
          </cell>
          <cell r="BO19">
            <v>1.7678169802811472</v>
          </cell>
          <cell r="BS19">
            <v>0.21999999999999992</v>
          </cell>
          <cell r="BT19">
            <v>1.7678169802811472</v>
          </cell>
          <cell r="BX19">
            <v>0.21999999999999992</v>
          </cell>
          <cell r="BY19">
            <v>1.7678169802811472</v>
          </cell>
          <cell r="CC19">
            <v>0.21999999999999992</v>
          </cell>
          <cell r="CD19">
            <v>1.7678169802811472</v>
          </cell>
          <cell r="CH19">
            <v>0.21999999999999992</v>
          </cell>
          <cell r="CI19">
            <v>1.7678169802811472</v>
          </cell>
          <cell r="CM19">
            <v>0.21999999999999992</v>
          </cell>
          <cell r="CN19">
            <v>1.7678169802811472</v>
          </cell>
          <cell r="CR19">
            <v>0.21999999999999992</v>
          </cell>
          <cell r="CS19">
            <v>1.7678169802811472</v>
          </cell>
          <cell r="CW19">
            <v>0.21999999999999992</v>
          </cell>
          <cell r="CX19">
            <v>1.7678169802811472</v>
          </cell>
          <cell r="DB19">
            <v>0.21999999999999992</v>
          </cell>
          <cell r="DC19">
            <v>1.7678169802811472</v>
          </cell>
          <cell r="DG19">
            <v>0.21999999999999992</v>
          </cell>
          <cell r="DH19">
            <v>1.7678169802811472</v>
          </cell>
          <cell r="DL19">
            <v>0.21999999999999992</v>
          </cell>
          <cell r="DM19">
            <v>1.7678169802811472</v>
          </cell>
          <cell r="DQ19">
            <v>0.21999999999999992</v>
          </cell>
          <cell r="DR19">
            <v>1.7678169802811472</v>
          </cell>
          <cell r="DV19">
            <v>0.21999999999999992</v>
          </cell>
          <cell r="DW19">
            <v>1.7678169802811472</v>
          </cell>
          <cell r="EA19">
            <v>0.21999999999999992</v>
          </cell>
          <cell r="EB19">
            <v>1.7678169802811472</v>
          </cell>
          <cell r="EF19">
            <v>0.21999999999999992</v>
          </cell>
          <cell r="EG19">
            <v>1.7678169802811472</v>
          </cell>
          <cell r="EK19">
            <v>0.21999999999999992</v>
          </cell>
          <cell r="EL19">
            <v>1.7678169802811472</v>
          </cell>
          <cell r="EP19">
            <v>0.21999999999999992</v>
          </cell>
          <cell r="EQ19">
            <v>1.7678169802811472</v>
          </cell>
          <cell r="EU19">
            <v>0.21999999999999992</v>
          </cell>
          <cell r="EV19">
            <v>1.7678169802811472</v>
          </cell>
        </row>
        <row r="20">
          <cell r="U20">
            <v>0.23999999999999991</v>
          </cell>
          <cell r="V20">
            <v>1.8940947203032599</v>
          </cell>
          <cell r="Z20">
            <v>0.23999999999999991</v>
          </cell>
          <cell r="AA20">
            <v>1.8940947203032599</v>
          </cell>
          <cell r="AE20">
            <v>0.23999999999999991</v>
          </cell>
          <cell r="AF20">
            <v>1.8940947203032599</v>
          </cell>
          <cell r="AJ20">
            <v>0.23999999999999991</v>
          </cell>
          <cell r="AK20">
            <v>1.8940947203032599</v>
          </cell>
          <cell r="AO20">
            <v>0.23999999999999991</v>
          </cell>
          <cell r="AP20">
            <v>1.8940947203032599</v>
          </cell>
          <cell r="AT20">
            <v>0.23999999999999991</v>
          </cell>
          <cell r="AU20">
            <v>1.8940947203032599</v>
          </cell>
          <cell r="AY20">
            <v>0.23999999999999991</v>
          </cell>
          <cell r="AZ20">
            <v>1.8940947203032599</v>
          </cell>
          <cell r="BD20">
            <v>0.23999999999999991</v>
          </cell>
          <cell r="BE20">
            <v>1.8940947203032599</v>
          </cell>
          <cell r="BI20">
            <v>0.23999999999999991</v>
          </cell>
          <cell r="BJ20">
            <v>1.8940947203032599</v>
          </cell>
          <cell r="BN20">
            <v>0.23999999999999991</v>
          </cell>
          <cell r="BO20">
            <v>1.8940947203032599</v>
          </cell>
          <cell r="BS20">
            <v>0.23999999999999991</v>
          </cell>
          <cell r="BT20">
            <v>1.8940947203032599</v>
          </cell>
          <cell r="BX20">
            <v>0.23999999999999991</v>
          </cell>
          <cell r="BY20">
            <v>1.8940947203032599</v>
          </cell>
          <cell r="CC20">
            <v>0.23999999999999991</v>
          </cell>
          <cell r="CD20">
            <v>1.8940947203032599</v>
          </cell>
          <cell r="CH20">
            <v>0.23999999999999991</v>
          </cell>
          <cell r="CI20">
            <v>1.8940947203032599</v>
          </cell>
          <cell r="CM20">
            <v>0.23999999999999991</v>
          </cell>
          <cell r="CN20">
            <v>1.8940947203032599</v>
          </cell>
          <cell r="CR20">
            <v>0.23999999999999991</v>
          </cell>
          <cell r="CS20">
            <v>1.8940947203032599</v>
          </cell>
          <cell r="CW20">
            <v>0.23999999999999991</v>
          </cell>
          <cell r="CX20">
            <v>1.8940947203032599</v>
          </cell>
          <cell r="DB20">
            <v>0.23999999999999991</v>
          </cell>
          <cell r="DC20">
            <v>1.8940947203032599</v>
          </cell>
          <cell r="DG20">
            <v>0.23999999999999991</v>
          </cell>
          <cell r="DH20">
            <v>1.8940947203032599</v>
          </cell>
          <cell r="DL20">
            <v>0.23999999999999991</v>
          </cell>
          <cell r="DM20">
            <v>1.8940947203032599</v>
          </cell>
          <cell r="DQ20">
            <v>0.23999999999999991</v>
          </cell>
          <cell r="DR20">
            <v>1.8940947203032599</v>
          </cell>
          <cell r="DV20">
            <v>0.23999999999999991</v>
          </cell>
          <cell r="DW20">
            <v>1.8940947203032599</v>
          </cell>
          <cell r="EA20">
            <v>0.23999999999999991</v>
          </cell>
          <cell r="EB20">
            <v>1.8940947203032599</v>
          </cell>
          <cell r="EF20">
            <v>0.23999999999999991</v>
          </cell>
          <cell r="EG20">
            <v>1.8940947203032599</v>
          </cell>
          <cell r="EK20">
            <v>0.23999999999999991</v>
          </cell>
          <cell r="EL20">
            <v>1.8940947203032599</v>
          </cell>
          <cell r="EP20">
            <v>0.23999999999999991</v>
          </cell>
          <cell r="EQ20">
            <v>1.8940947203032599</v>
          </cell>
          <cell r="EU20">
            <v>0.23999999999999991</v>
          </cell>
          <cell r="EV20">
            <v>1.8940947203032599</v>
          </cell>
        </row>
        <row r="21">
          <cell r="U21">
            <v>0.2599999999999999</v>
          </cell>
          <cell r="V21">
            <v>2.0176639475975255</v>
          </cell>
          <cell r="Z21">
            <v>0.2599999999999999</v>
          </cell>
          <cell r="AA21">
            <v>2.0176639475975255</v>
          </cell>
          <cell r="AE21">
            <v>0.2599999999999999</v>
          </cell>
          <cell r="AF21">
            <v>2.0176639475975255</v>
          </cell>
          <cell r="AJ21">
            <v>0.2599999999999999</v>
          </cell>
          <cell r="AK21">
            <v>2.0176639475975255</v>
          </cell>
          <cell r="AO21">
            <v>0.2599999999999999</v>
          </cell>
          <cell r="AP21">
            <v>2.0176639475975255</v>
          </cell>
          <cell r="AT21">
            <v>0.2599999999999999</v>
          </cell>
          <cell r="AU21">
            <v>2.0176639475975255</v>
          </cell>
          <cell r="AY21">
            <v>0.2599999999999999</v>
          </cell>
          <cell r="AZ21">
            <v>2.0176639475975255</v>
          </cell>
          <cell r="BD21">
            <v>0.2599999999999999</v>
          </cell>
          <cell r="BE21">
            <v>2.0176639475975255</v>
          </cell>
          <cell r="BI21">
            <v>0.2599999999999999</v>
          </cell>
          <cell r="BJ21">
            <v>2.0176639475975255</v>
          </cell>
          <cell r="BN21">
            <v>0.2599999999999999</v>
          </cell>
          <cell r="BO21">
            <v>2.0176639475975255</v>
          </cell>
          <cell r="BS21">
            <v>0.2599999999999999</v>
          </cell>
          <cell r="BT21">
            <v>2.0176639475975255</v>
          </cell>
          <cell r="BX21">
            <v>0.2599999999999999</v>
          </cell>
          <cell r="BY21">
            <v>2.0176639475975255</v>
          </cell>
          <cell r="CC21">
            <v>0.2599999999999999</v>
          </cell>
          <cell r="CD21">
            <v>2.0176639475975255</v>
          </cell>
          <cell r="CH21">
            <v>0.2599999999999999</v>
          </cell>
          <cell r="CI21">
            <v>2.0176639475975255</v>
          </cell>
          <cell r="CM21">
            <v>0.2599999999999999</v>
          </cell>
          <cell r="CN21">
            <v>2.0176639475975255</v>
          </cell>
          <cell r="CR21">
            <v>0.2599999999999999</v>
          </cell>
          <cell r="CS21">
            <v>2.0176639475975255</v>
          </cell>
          <cell r="CW21">
            <v>0.2599999999999999</v>
          </cell>
          <cell r="CX21">
            <v>2.0176639475975255</v>
          </cell>
          <cell r="DB21">
            <v>0.2599999999999999</v>
          </cell>
          <cell r="DC21">
            <v>2.0176639475975255</v>
          </cell>
          <cell r="DG21">
            <v>0.2599999999999999</v>
          </cell>
          <cell r="DH21">
            <v>2.0176639475975255</v>
          </cell>
          <cell r="DL21">
            <v>0.2599999999999999</v>
          </cell>
          <cell r="DM21">
            <v>2.0176639475975255</v>
          </cell>
          <cell r="DQ21">
            <v>0.2599999999999999</v>
          </cell>
          <cell r="DR21">
            <v>2.0176639475975255</v>
          </cell>
          <cell r="DV21">
            <v>0.2599999999999999</v>
          </cell>
          <cell r="DW21">
            <v>2.0176639475975255</v>
          </cell>
          <cell r="EA21">
            <v>0.2599999999999999</v>
          </cell>
          <cell r="EB21">
            <v>2.0176639475975255</v>
          </cell>
          <cell r="EF21">
            <v>0.2599999999999999</v>
          </cell>
          <cell r="EG21">
            <v>2.0176639475975255</v>
          </cell>
          <cell r="EK21">
            <v>0.2599999999999999</v>
          </cell>
          <cell r="EL21">
            <v>2.0176639475975255</v>
          </cell>
          <cell r="EP21">
            <v>0.2599999999999999</v>
          </cell>
          <cell r="EQ21">
            <v>2.0176639475975255</v>
          </cell>
          <cell r="EU21">
            <v>0.2599999999999999</v>
          </cell>
          <cell r="EV21">
            <v>2.0176639475975255</v>
          </cell>
        </row>
        <row r="22">
          <cell r="U22">
            <v>0.27999999999999992</v>
          </cell>
          <cell r="V22">
            <v>2.1385246621639444</v>
          </cell>
          <cell r="Z22">
            <v>0.27999999999999992</v>
          </cell>
          <cell r="AA22">
            <v>2.1385246621639444</v>
          </cell>
          <cell r="AE22">
            <v>0.27999999999999992</v>
          </cell>
          <cell r="AF22">
            <v>2.1385246621639444</v>
          </cell>
          <cell r="AJ22">
            <v>0.27999999999999992</v>
          </cell>
          <cell r="AK22">
            <v>2.1385246621639444</v>
          </cell>
          <cell r="AO22">
            <v>0.27999999999999992</v>
          </cell>
          <cell r="AP22">
            <v>2.1385246621639444</v>
          </cell>
          <cell r="AT22">
            <v>0.27999999999999992</v>
          </cell>
          <cell r="AU22">
            <v>2.1385246621639444</v>
          </cell>
          <cell r="AY22">
            <v>0.27999999999999992</v>
          </cell>
          <cell r="AZ22">
            <v>2.1385246621639444</v>
          </cell>
          <cell r="BD22">
            <v>0.27999999999999992</v>
          </cell>
          <cell r="BE22">
            <v>2.1385246621639444</v>
          </cell>
          <cell r="BI22">
            <v>0.27999999999999992</v>
          </cell>
          <cell r="BJ22">
            <v>2.1385246621639444</v>
          </cell>
          <cell r="BN22">
            <v>0.27999999999999992</v>
          </cell>
          <cell r="BO22">
            <v>2.1385246621639444</v>
          </cell>
          <cell r="BS22">
            <v>0.27999999999999992</v>
          </cell>
          <cell r="BT22">
            <v>2.1385246621639444</v>
          </cell>
          <cell r="BX22">
            <v>0.27999999999999992</v>
          </cell>
          <cell r="BY22">
            <v>2.1385246621639444</v>
          </cell>
          <cell r="CC22">
            <v>0.27999999999999992</v>
          </cell>
          <cell r="CD22">
            <v>2.1385246621639444</v>
          </cell>
          <cell r="CH22">
            <v>0.27999999999999992</v>
          </cell>
          <cell r="CI22">
            <v>2.1385246621639444</v>
          </cell>
          <cell r="CM22">
            <v>0.27999999999999992</v>
          </cell>
          <cell r="CN22">
            <v>2.1385246621639444</v>
          </cell>
          <cell r="CR22">
            <v>0.27999999999999992</v>
          </cell>
          <cell r="CS22">
            <v>2.1385246621639444</v>
          </cell>
          <cell r="CW22">
            <v>0.27999999999999992</v>
          </cell>
          <cell r="CX22">
            <v>2.1385246621639444</v>
          </cell>
          <cell r="DB22">
            <v>0.27999999999999992</v>
          </cell>
          <cell r="DC22">
            <v>2.1385246621639444</v>
          </cell>
          <cell r="DG22">
            <v>0.27999999999999992</v>
          </cell>
          <cell r="DH22">
            <v>2.1385246621639444</v>
          </cell>
          <cell r="DL22">
            <v>0.27999999999999992</v>
          </cell>
          <cell r="DM22">
            <v>2.1385246621639444</v>
          </cell>
          <cell r="DQ22">
            <v>0.27999999999999992</v>
          </cell>
          <cell r="DR22">
            <v>2.1385246621639444</v>
          </cell>
          <cell r="DV22">
            <v>0.27999999999999992</v>
          </cell>
          <cell r="DW22">
            <v>2.1385246621639444</v>
          </cell>
          <cell r="EA22">
            <v>0.27999999999999992</v>
          </cell>
          <cell r="EB22">
            <v>2.1385246621639444</v>
          </cell>
          <cell r="EF22">
            <v>0.27999999999999992</v>
          </cell>
          <cell r="EG22">
            <v>2.1385246621639444</v>
          </cell>
          <cell r="EK22">
            <v>0.27999999999999992</v>
          </cell>
          <cell r="EL22">
            <v>2.1385246621639444</v>
          </cell>
          <cell r="EP22">
            <v>0.27999999999999992</v>
          </cell>
          <cell r="EQ22">
            <v>2.1385246621639444</v>
          </cell>
          <cell r="EU22">
            <v>0.27999999999999992</v>
          </cell>
          <cell r="EV22">
            <v>2.1385246621639444</v>
          </cell>
        </row>
        <row r="23">
          <cell r="U23">
            <v>0.29999999999999993</v>
          </cell>
          <cell r="V23">
            <v>2.2566768640025159</v>
          </cell>
          <cell r="Z23">
            <v>0.29999999999999993</v>
          </cell>
          <cell r="AA23">
            <v>2.2566768640025159</v>
          </cell>
          <cell r="AE23">
            <v>0.29999999999999993</v>
          </cell>
          <cell r="AF23">
            <v>2.2566768640025159</v>
          </cell>
          <cell r="AJ23">
            <v>0.29999999999999993</v>
          </cell>
          <cell r="AK23">
            <v>2.2566768640025159</v>
          </cell>
          <cell r="AO23">
            <v>0.29999999999999993</v>
          </cell>
          <cell r="AP23">
            <v>2.2566768640025159</v>
          </cell>
          <cell r="AT23">
            <v>0.29999999999999993</v>
          </cell>
          <cell r="AU23">
            <v>2.2566768640025159</v>
          </cell>
          <cell r="AY23">
            <v>0.29999999999999993</v>
          </cell>
          <cell r="AZ23">
            <v>2.2566768640025159</v>
          </cell>
          <cell r="BD23">
            <v>0.29999999999999993</v>
          </cell>
          <cell r="BE23">
            <v>2.2566768640025159</v>
          </cell>
          <cell r="BI23">
            <v>0.29999999999999993</v>
          </cell>
          <cell r="BJ23">
            <v>2.2566768640025159</v>
          </cell>
          <cell r="BN23">
            <v>0.29999999999999993</v>
          </cell>
          <cell r="BO23">
            <v>2.2566768640025159</v>
          </cell>
          <cell r="BS23">
            <v>0.29999999999999993</v>
          </cell>
          <cell r="BT23">
            <v>2.2566768640025159</v>
          </cell>
          <cell r="BX23">
            <v>0.29999999999999993</v>
          </cell>
          <cell r="BY23">
            <v>2.2566768640025159</v>
          </cell>
          <cell r="CC23">
            <v>0.29999999999999993</v>
          </cell>
          <cell r="CD23">
            <v>2.2566768640025159</v>
          </cell>
          <cell r="CH23">
            <v>0.29999999999999993</v>
          </cell>
          <cell r="CI23">
            <v>2.2566768640025159</v>
          </cell>
          <cell r="CM23">
            <v>0.29999999999999993</v>
          </cell>
          <cell r="CN23">
            <v>2.2566768640025159</v>
          </cell>
          <cell r="CR23">
            <v>0.29999999999999993</v>
          </cell>
          <cell r="CS23">
            <v>2.2566768640025159</v>
          </cell>
          <cell r="CW23">
            <v>0.29999999999999993</v>
          </cell>
          <cell r="CX23">
            <v>2.2566768640025159</v>
          </cell>
          <cell r="DB23">
            <v>0.29999999999999993</v>
          </cell>
          <cell r="DC23">
            <v>2.2566768640025159</v>
          </cell>
          <cell r="DG23">
            <v>0.29999999999999993</v>
          </cell>
          <cell r="DH23">
            <v>2.2566768640025159</v>
          </cell>
          <cell r="DL23">
            <v>0.29999999999999993</v>
          </cell>
          <cell r="DM23">
            <v>2.2566768640025159</v>
          </cell>
          <cell r="DQ23">
            <v>0.29999999999999993</v>
          </cell>
          <cell r="DR23">
            <v>2.2566768640025159</v>
          </cell>
          <cell r="DV23">
            <v>0.29999999999999993</v>
          </cell>
          <cell r="DW23">
            <v>2.2566768640025159</v>
          </cell>
          <cell r="EA23">
            <v>0.29999999999999993</v>
          </cell>
          <cell r="EB23">
            <v>2.2566768640025159</v>
          </cell>
          <cell r="EF23">
            <v>0.29999999999999993</v>
          </cell>
          <cell r="EG23">
            <v>2.2566768640025159</v>
          </cell>
          <cell r="EK23">
            <v>0.29999999999999993</v>
          </cell>
          <cell r="EL23">
            <v>2.2566768640025159</v>
          </cell>
          <cell r="EP23">
            <v>0.29999999999999993</v>
          </cell>
          <cell r="EQ23">
            <v>2.2566768640025159</v>
          </cell>
          <cell r="EU23">
            <v>0.29999999999999993</v>
          </cell>
          <cell r="EV23">
            <v>2.2566768640025159</v>
          </cell>
        </row>
        <row r="24">
          <cell r="U24">
            <v>0.31999999999999995</v>
          </cell>
          <cell r="V24">
            <v>2.3721205531132403</v>
          </cell>
          <cell r="Z24">
            <v>0.31999999999999995</v>
          </cell>
          <cell r="AA24">
            <v>2.3721205531132403</v>
          </cell>
          <cell r="AE24">
            <v>0.31999999999999995</v>
          </cell>
          <cell r="AF24">
            <v>2.3721205531132403</v>
          </cell>
          <cell r="AJ24">
            <v>0.31999999999999995</v>
          </cell>
          <cell r="AK24">
            <v>2.3721205531132403</v>
          </cell>
          <cell r="AO24">
            <v>0.31999999999999995</v>
          </cell>
          <cell r="AP24">
            <v>2.3721205531132403</v>
          </cell>
          <cell r="AT24">
            <v>0.31999999999999995</v>
          </cell>
          <cell r="AU24">
            <v>2.3721205531132403</v>
          </cell>
          <cell r="AY24">
            <v>0.31999999999999995</v>
          </cell>
          <cell r="AZ24">
            <v>2.3721205531132403</v>
          </cell>
          <cell r="BD24">
            <v>0.31999999999999995</v>
          </cell>
          <cell r="BE24">
            <v>2.3721205531132403</v>
          </cell>
          <cell r="BI24">
            <v>0.31999999999999995</v>
          </cell>
          <cell r="BJ24">
            <v>2.3721205531132403</v>
          </cell>
          <cell r="BN24">
            <v>0.31999999999999995</v>
          </cell>
          <cell r="BO24">
            <v>2.3721205531132403</v>
          </cell>
          <cell r="BS24">
            <v>0.31999999999999995</v>
          </cell>
          <cell r="BT24">
            <v>2.3721205531132403</v>
          </cell>
          <cell r="BX24">
            <v>0.31999999999999995</v>
          </cell>
          <cell r="BY24">
            <v>2.3721205531132403</v>
          </cell>
          <cell r="CC24">
            <v>0.31999999999999995</v>
          </cell>
          <cell r="CD24">
            <v>2.3721205531132403</v>
          </cell>
          <cell r="CH24">
            <v>0.31999999999999995</v>
          </cell>
          <cell r="CI24">
            <v>2.3721205531132403</v>
          </cell>
          <cell r="CM24">
            <v>0.31999999999999995</v>
          </cell>
          <cell r="CN24">
            <v>2.3721205531132403</v>
          </cell>
          <cell r="CR24">
            <v>0.31999999999999995</v>
          </cell>
          <cell r="CS24">
            <v>2.3721205531132403</v>
          </cell>
          <cell r="CW24">
            <v>0.31999999999999995</v>
          </cell>
          <cell r="CX24">
            <v>2.3721205531132403</v>
          </cell>
          <cell r="DB24">
            <v>0.31999999999999995</v>
          </cell>
          <cell r="DC24">
            <v>2.3721205531132403</v>
          </cell>
          <cell r="DG24">
            <v>0.31999999999999995</v>
          </cell>
          <cell r="DH24">
            <v>2.3721205531132403</v>
          </cell>
          <cell r="DL24">
            <v>0.31999999999999995</v>
          </cell>
          <cell r="DM24">
            <v>2.3721205531132403</v>
          </cell>
          <cell r="DQ24">
            <v>0.31999999999999995</v>
          </cell>
          <cell r="DR24">
            <v>2.3721205531132403</v>
          </cell>
          <cell r="DV24">
            <v>0.31999999999999995</v>
          </cell>
          <cell r="DW24">
            <v>2.3721205531132403</v>
          </cell>
          <cell r="EA24">
            <v>0.31999999999999995</v>
          </cell>
          <cell r="EB24">
            <v>2.3721205531132403</v>
          </cell>
          <cell r="EF24">
            <v>0.31999999999999995</v>
          </cell>
          <cell r="EG24">
            <v>2.3721205531132403</v>
          </cell>
          <cell r="EK24">
            <v>0.31999999999999995</v>
          </cell>
          <cell r="EL24">
            <v>2.3721205531132403</v>
          </cell>
          <cell r="EP24">
            <v>0.31999999999999995</v>
          </cell>
          <cell r="EQ24">
            <v>2.3721205531132403</v>
          </cell>
          <cell r="EU24">
            <v>0.31999999999999995</v>
          </cell>
          <cell r="EV24">
            <v>2.3721205531132403</v>
          </cell>
        </row>
        <row r="25">
          <cell r="U25">
            <v>0.33999999999999997</v>
          </cell>
          <cell r="V25">
            <v>2.4848557294961178</v>
          </cell>
          <cell r="Z25">
            <v>0.33999999999999997</v>
          </cell>
          <cell r="AA25">
            <v>2.4848557294961178</v>
          </cell>
          <cell r="AE25">
            <v>0.33999999999999997</v>
          </cell>
          <cell r="AF25">
            <v>2.4848557294961178</v>
          </cell>
          <cell r="AJ25">
            <v>0.33999999999999997</v>
          </cell>
          <cell r="AK25">
            <v>2.4848557294961178</v>
          </cell>
          <cell r="AO25">
            <v>0.33999999999999997</v>
          </cell>
          <cell r="AP25">
            <v>2.4848557294961178</v>
          </cell>
          <cell r="AT25">
            <v>0.33999999999999997</v>
          </cell>
          <cell r="AU25">
            <v>2.4848557294961178</v>
          </cell>
          <cell r="AY25">
            <v>0.33999999999999997</v>
          </cell>
          <cell r="AZ25">
            <v>2.4848557294961178</v>
          </cell>
          <cell r="BD25">
            <v>0.33999999999999997</v>
          </cell>
          <cell r="BE25">
            <v>2.4848557294961178</v>
          </cell>
          <cell r="BI25">
            <v>0.33999999999999997</v>
          </cell>
          <cell r="BJ25">
            <v>2.4848557294961178</v>
          </cell>
          <cell r="BN25">
            <v>0.33999999999999997</v>
          </cell>
          <cell r="BO25">
            <v>2.4848557294961178</v>
          </cell>
          <cell r="BS25">
            <v>0.33999999999999997</v>
          </cell>
          <cell r="BT25">
            <v>2.4848557294961178</v>
          </cell>
          <cell r="BX25">
            <v>0.33999999999999997</v>
          </cell>
          <cell r="BY25">
            <v>2.4848557294961178</v>
          </cell>
          <cell r="CC25">
            <v>0.33999999999999997</v>
          </cell>
          <cell r="CD25">
            <v>2.4848557294961178</v>
          </cell>
          <cell r="CH25">
            <v>0.33999999999999997</v>
          </cell>
          <cell r="CI25">
            <v>2.4848557294961178</v>
          </cell>
          <cell r="CM25">
            <v>0.33999999999999997</v>
          </cell>
          <cell r="CN25">
            <v>2.4848557294961178</v>
          </cell>
          <cell r="CR25">
            <v>0.33999999999999997</v>
          </cell>
          <cell r="CS25">
            <v>2.4848557294961178</v>
          </cell>
          <cell r="CW25">
            <v>0.33999999999999997</v>
          </cell>
          <cell r="CX25">
            <v>2.4848557294961178</v>
          </cell>
          <cell r="DB25">
            <v>0.33999999999999997</v>
          </cell>
          <cell r="DC25">
            <v>2.4848557294961178</v>
          </cell>
          <cell r="DG25">
            <v>0.33999999999999997</v>
          </cell>
          <cell r="DH25">
            <v>2.4848557294961178</v>
          </cell>
          <cell r="DL25">
            <v>0.33999999999999997</v>
          </cell>
          <cell r="DM25">
            <v>2.4848557294961178</v>
          </cell>
          <cell r="DQ25">
            <v>0.33999999999999997</v>
          </cell>
          <cell r="DR25">
            <v>2.4848557294961178</v>
          </cell>
          <cell r="DV25">
            <v>0.33999999999999997</v>
          </cell>
          <cell r="DW25">
            <v>2.4848557294961178</v>
          </cell>
          <cell r="EA25">
            <v>0.33999999999999997</v>
          </cell>
          <cell r="EB25">
            <v>2.4848557294961178</v>
          </cell>
          <cell r="EF25">
            <v>0.33999999999999997</v>
          </cell>
          <cell r="EG25">
            <v>2.4848557294961178</v>
          </cell>
          <cell r="EK25">
            <v>0.33999999999999997</v>
          </cell>
          <cell r="EL25">
            <v>2.4848557294961178</v>
          </cell>
          <cell r="EP25">
            <v>0.33999999999999997</v>
          </cell>
          <cell r="EQ25">
            <v>2.4848557294961178</v>
          </cell>
          <cell r="EU25">
            <v>0.33999999999999997</v>
          </cell>
          <cell r="EV25">
            <v>2.4848557294961178</v>
          </cell>
        </row>
        <row r="26">
          <cell r="U26">
            <v>0.36</v>
          </cell>
          <cell r="V26">
            <v>2.5948823931511482</v>
          </cell>
          <cell r="Z26">
            <v>0.36</v>
          </cell>
          <cell r="AA26">
            <v>2.5948823931511482</v>
          </cell>
          <cell r="AE26">
            <v>0.36</v>
          </cell>
          <cell r="AF26">
            <v>2.5948823931511482</v>
          </cell>
          <cell r="AJ26">
            <v>0.36</v>
          </cell>
          <cell r="AK26">
            <v>2.5948823931511482</v>
          </cell>
          <cell r="AO26">
            <v>0.36</v>
          </cell>
          <cell r="AP26">
            <v>2.5948823931511482</v>
          </cell>
          <cell r="AT26">
            <v>0.36</v>
          </cell>
          <cell r="AU26">
            <v>2.5948823931511482</v>
          </cell>
          <cell r="AY26">
            <v>0.36</v>
          </cell>
          <cell r="AZ26">
            <v>2.5948823931511482</v>
          </cell>
          <cell r="BD26">
            <v>0.36</v>
          </cell>
          <cell r="BE26">
            <v>2.5948823931511482</v>
          </cell>
          <cell r="BI26">
            <v>0.36</v>
          </cell>
          <cell r="BJ26">
            <v>2.5948823931511482</v>
          </cell>
          <cell r="BN26">
            <v>0.36</v>
          </cell>
          <cell r="BO26">
            <v>2.5948823931511482</v>
          </cell>
          <cell r="BS26">
            <v>0.36</v>
          </cell>
          <cell r="BT26">
            <v>2.5948823931511482</v>
          </cell>
          <cell r="BX26">
            <v>0.36</v>
          </cell>
          <cell r="BY26">
            <v>2.5948823931511482</v>
          </cell>
          <cell r="CC26">
            <v>0.36</v>
          </cell>
          <cell r="CD26">
            <v>2.5948823931511482</v>
          </cell>
          <cell r="CH26">
            <v>0.36</v>
          </cell>
          <cell r="CI26">
            <v>2.5948823931511482</v>
          </cell>
          <cell r="CM26">
            <v>0.36</v>
          </cell>
          <cell r="CN26">
            <v>2.5948823931511482</v>
          </cell>
          <cell r="CR26">
            <v>0.36</v>
          </cell>
          <cell r="CS26">
            <v>2.5948823931511482</v>
          </cell>
          <cell r="CW26">
            <v>0.36</v>
          </cell>
          <cell r="CX26">
            <v>2.5948823931511482</v>
          </cell>
          <cell r="DB26">
            <v>0.36</v>
          </cell>
          <cell r="DC26">
            <v>2.5948823931511482</v>
          </cell>
          <cell r="DG26">
            <v>0.36</v>
          </cell>
          <cell r="DH26">
            <v>2.5948823931511482</v>
          </cell>
          <cell r="DL26">
            <v>0.36</v>
          </cell>
          <cell r="DM26">
            <v>2.5948823931511482</v>
          </cell>
          <cell r="DQ26">
            <v>0.36</v>
          </cell>
          <cell r="DR26">
            <v>2.5948823931511482</v>
          </cell>
          <cell r="DV26">
            <v>0.36</v>
          </cell>
          <cell r="DW26">
            <v>2.5948823931511482</v>
          </cell>
          <cell r="EA26">
            <v>0.36</v>
          </cell>
          <cell r="EB26">
            <v>2.5948823931511482</v>
          </cell>
          <cell r="EF26">
            <v>0.36</v>
          </cell>
          <cell r="EG26">
            <v>2.5948823931511482</v>
          </cell>
          <cell r="EK26">
            <v>0.36</v>
          </cell>
          <cell r="EL26">
            <v>2.5948823931511482</v>
          </cell>
          <cell r="EP26">
            <v>0.36</v>
          </cell>
          <cell r="EQ26">
            <v>2.5948823931511482</v>
          </cell>
          <cell r="EU26">
            <v>0.36</v>
          </cell>
          <cell r="EV26">
            <v>2.5948823931511482</v>
          </cell>
        </row>
        <row r="27">
          <cell r="U27">
            <v>0.38</v>
          </cell>
          <cell r="V27">
            <v>2.7022005440783312</v>
          </cell>
          <cell r="Z27">
            <v>0.38</v>
          </cell>
          <cell r="AA27">
            <v>2.7022005440783312</v>
          </cell>
          <cell r="AE27">
            <v>0.38</v>
          </cell>
          <cell r="AF27">
            <v>2.7022005440783312</v>
          </cell>
          <cell r="AJ27">
            <v>0.38</v>
          </cell>
          <cell r="AK27">
            <v>2.7022005440783312</v>
          </cell>
          <cell r="AO27">
            <v>0.38</v>
          </cell>
          <cell r="AP27">
            <v>2.7022005440783312</v>
          </cell>
          <cell r="AT27">
            <v>0.38</v>
          </cell>
          <cell r="AU27">
            <v>2.7022005440783312</v>
          </cell>
          <cell r="AY27">
            <v>0.38</v>
          </cell>
          <cell r="AZ27">
            <v>2.7022005440783312</v>
          </cell>
          <cell r="BD27">
            <v>0.38</v>
          </cell>
          <cell r="BE27">
            <v>2.7022005440783312</v>
          </cell>
          <cell r="BI27">
            <v>0.38</v>
          </cell>
          <cell r="BJ27">
            <v>2.7022005440783312</v>
          </cell>
          <cell r="BN27">
            <v>0.38</v>
          </cell>
          <cell r="BO27">
            <v>2.7022005440783312</v>
          </cell>
          <cell r="BS27">
            <v>0.38</v>
          </cell>
          <cell r="BT27">
            <v>2.7022005440783312</v>
          </cell>
          <cell r="BX27">
            <v>0.38</v>
          </cell>
          <cell r="BY27">
            <v>2.7022005440783312</v>
          </cell>
          <cell r="CC27">
            <v>0.38</v>
          </cell>
          <cell r="CD27">
            <v>2.7022005440783312</v>
          </cell>
          <cell r="CH27">
            <v>0.38</v>
          </cell>
          <cell r="CI27">
            <v>2.7022005440783312</v>
          </cell>
          <cell r="CM27">
            <v>0.38</v>
          </cell>
          <cell r="CN27">
            <v>2.7022005440783312</v>
          </cell>
          <cell r="CR27">
            <v>0.38</v>
          </cell>
          <cell r="CS27">
            <v>2.7022005440783312</v>
          </cell>
          <cell r="CW27">
            <v>0.38</v>
          </cell>
          <cell r="CX27">
            <v>2.7022005440783312</v>
          </cell>
          <cell r="DB27">
            <v>0.38</v>
          </cell>
          <cell r="DC27">
            <v>2.7022005440783312</v>
          </cell>
          <cell r="DG27">
            <v>0.38</v>
          </cell>
          <cell r="DH27">
            <v>2.7022005440783312</v>
          </cell>
          <cell r="DL27">
            <v>0.38</v>
          </cell>
          <cell r="DM27">
            <v>2.7022005440783312</v>
          </cell>
          <cell r="DQ27">
            <v>0.38</v>
          </cell>
          <cell r="DR27">
            <v>2.7022005440783312</v>
          </cell>
          <cell r="DV27">
            <v>0.38</v>
          </cell>
          <cell r="DW27">
            <v>2.7022005440783312</v>
          </cell>
          <cell r="EA27">
            <v>0.38</v>
          </cell>
          <cell r="EB27">
            <v>2.7022005440783312</v>
          </cell>
          <cell r="EF27">
            <v>0.38</v>
          </cell>
          <cell r="EG27">
            <v>2.7022005440783312</v>
          </cell>
          <cell r="EK27">
            <v>0.38</v>
          </cell>
          <cell r="EL27">
            <v>2.7022005440783312</v>
          </cell>
          <cell r="EP27">
            <v>0.38</v>
          </cell>
          <cell r="EQ27">
            <v>2.7022005440783312</v>
          </cell>
          <cell r="EU27">
            <v>0.38</v>
          </cell>
          <cell r="EV27">
            <v>2.7022005440783312</v>
          </cell>
        </row>
        <row r="28">
          <cell r="U28">
            <v>0.4</v>
          </cell>
          <cell r="V28">
            <v>2.8068101822776672</v>
          </cell>
          <cell r="Z28">
            <v>0.4</v>
          </cell>
          <cell r="AA28">
            <v>2.8068101822776672</v>
          </cell>
          <cell r="AE28">
            <v>0.4</v>
          </cell>
          <cell r="AF28">
            <v>2.8068101822776672</v>
          </cell>
          <cell r="AJ28">
            <v>0.4</v>
          </cell>
          <cell r="AK28">
            <v>2.8068101822776672</v>
          </cell>
          <cell r="AO28">
            <v>0.4</v>
          </cell>
          <cell r="AP28">
            <v>2.8068101822776672</v>
          </cell>
          <cell r="AT28">
            <v>0.4</v>
          </cell>
          <cell r="AU28">
            <v>2.8068101822776672</v>
          </cell>
          <cell r="AY28">
            <v>0.4</v>
          </cell>
          <cell r="AZ28">
            <v>2.8068101822776672</v>
          </cell>
          <cell r="BD28">
            <v>0.4</v>
          </cell>
          <cell r="BE28">
            <v>2.8068101822776672</v>
          </cell>
          <cell r="BI28">
            <v>0.4</v>
          </cell>
          <cell r="BJ28">
            <v>2.8068101822776672</v>
          </cell>
          <cell r="BN28">
            <v>0.4</v>
          </cell>
          <cell r="BO28">
            <v>2.8068101822776672</v>
          </cell>
          <cell r="BS28">
            <v>0.4</v>
          </cell>
          <cell r="BT28">
            <v>2.8068101822776672</v>
          </cell>
          <cell r="BX28">
            <v>0.4</v>
          </cell>
          <cell r="BY28">
            <v>2.8068101822776672</v>
          </cell>
          <cell r="CC28">
            <v>0.4</v>
          </cell>
          <cell r="CD28">
            <v>2.8068101822776672</v>
          </cell>
          <cell r="CH28">
            <v>0.4</v>
          </cell>
          <cell r="CI28">
            <v>2.8068101822776672</v>
          </cell>
          <cell r="CM28">
            <v>0.4</v>
          </cell>
          <cell r="CN28">
            <v>2.8068101822776672</v>
          </cell>
          <cell r="CR28">
            <v>0.4</v>
          </cell>
          <cell r="CS28">
            <v>2.8068101822776672</v>
          </cell>
          <cell r="CW28">
            <v>0.4</v>
          </cell>
          <cell r="CX28">
            <v>2.8068101822776672</v>
          </cell>
          <cell r="DB28">
            <v>0.4</v>
          </cell>
          <cell r="DC28">
            <v>2.8068101822776672</v>
          </cell>
          <cell r="DG28">
            <v>0.4</v>
          </cell>
          <cell r="DH28">
            <v>2.8068101822776672</v>
          </cell>
          <cell r="DL28">
            <v>0.4</v>
          </cell>
          <cell r="DM28">
            <v>2.8068101822776672</v>
          </cell>
          <cell r="DQ28">
            <v>0.4</v>
          </cell>
          <cell r="DR28">
            <v>2.8068101822776672</v>
          </cell>
          <cell r="DV28">
            <v>0.4</v>
          </cell>
          <cell r="DW28">
            <v>2.8068101822776672</v>
          </cell>
          <cell r="EA28">
            <v>0.4</v>
          </cell>
          <cell r="EB28">
            <v>2.8068101822776672</v>
          </cell>
          <cell r="EF28">
            <v>0.4</v>
          </cell>
          <cell r="EG28">
            <v>2.8068101822776672</v>
          </cell>
          <cell r="EK28">
            <v>0.4</v>
          </cell>
          <cell r="EL28">
            <v>2.8068101822776672</v>
          </cell>
          <cell r="EP28">
            <v>0.4</v>
          </cell>
          <cell r="EQ28">
            <v>2.8068101822776672</v>
          </cell>
          <cell r="EU28">
            <v>0.4</v>
          </cell>
          <cell r="EV28">
            <v>2.8068101822776672</v>
          </cell>
        </row>
        <row r="29">
          <cell r="U29">
            <v>0.42000000000000004</v>
          </cell>
          <cell r="V29">
            <v>2.9087113077491571</v>
          </cell>
          <cell r="Z29">
            <v>0.42000000000000004</v>
          </cell>
          <cell r="AA29">
            <v>2.9087113077491571</v>
          </cell>
          <cell r="AE29">
            <v>0.42000000000000004</v>
          </cell>
          <cell r="AF29">
            <v>2.9087113077491571</v>
          </cell>
          <cell r="AJ29">
            <v>0.42000000000000004</v>
          </cell>
          <cell r="AK29">
            <v>2.9087113077491571</v>
          </cell>
          <cell r="AO29">
            <v>0.42000000000000004</v>
          </cell>
          <cell r="AP29">
            <v>2.9087113077491571</v>
          </cell>
          <cell r="AT29">
            <v>0.42000000000000004</v>
          </cell>
          <cell r="AU29">
            <v>2.9087113077491571</v>
          </cell>
          <cell r="AY29">
            <v>0.42000000000000004</v>
          </cell>
          <cell r="AZ29">
            <v>2.9087113077491571</v>
          </cell>
          <cell r="BD29">
            <v>0.42000000000000004</v>
          </cell>
          <cell r="BE29">
            <v>2.9087113077491571</v>
          </cell>
          <cell r="BI29">
            <v>0.42000000000000004</v>
          </cell>
          <cell r="BJ29">
            <v>2.9087113077491571</v>
          </cell>
          <cell r="BN29">
            <v>0.42000000000000004</v>
          </cell>
          <cell r="BO29">
            <v>2.9087113077491571</v>
          </cell>
          <cell r="BS29">
            <v>0.42000000000000004</v>
          </cell>
          <cell r="BT29">
            <v>2.9087113077491571</v>
          </cell>
          <cell r="BX29">
            <v>0.42000000000000004</v>
          </cell>
          <cell r="BY29">
            <v>2.9087113077491571</v>
          </cell>
          <cell r="CC29">
            <v>0.42000000000000004</v>
          </cell>
          <cell r="CD29">
            <v>2.9087113077491571</v>
          </cell>
          <cell r="CH29">
            <v>0.42000000000000004</v>
          </cell>
          <cell r="CI29">
            <v>2.9087113077491571</v>
          </cell>
          <cell r="CM29">
            <v>0.42000000000000004</v>
          </cell>
          <cell r="CN29">
            <v>2.9087113077491571</v>
          </cell>
          <cell r="CR29">
            <v>0.42000000000000004</v>
          </cell>
          <cell r="CS29">
            <v>2.9087113077491571</v>
          </cell>
          <cell r="CW29">
            <v>0.42000000000000004</v>
          </cell>
          <cell r="CX29">
            <v>2.9087113077491571</v>
          </cell>
          <cell r="DB29">
            <v>0.42000000000000004</v>
          </cell>
          <cell r="DC29">
            <v>2.9087113077491571</v>
          </cell>
          <cell r="DG29">
            <v>0.42000000000000004</v>
          </cell>
          <cell r="DH29">
            <v>2.9087113077491571</v>
          </cell>
          <cell r="DL29">
            <v>0.42000000000000004</v>
          </cell>
          <cell r="DM29">
            <v>2.9087113077491571</v>
          </cell>
          <cell r="DQ29">
            <v>0.42000000000000004</v>
          </cell>
          <cell r="DR29">
            <v>2.9087113077491571</v>
          </cell>
          <cell r="DV29">
            <v>0.42000000000000004</v>
          </cell>
          <cell r="DW29">
            <v>2.9087113077491571</v>
          </cell>
          <cell r="EA29">
            <v>0.42000000000000004</v>
          </cell>
          <cell r="EB29">
            <v>2.9087113077491571</v>
          </cell>
          <cell r="EF29">
            <v>0.42000000000000004</v>
          </cell>
          <cell r="EG29">
            <v>2.9087113077491571</v>
          </cell>
          <cell r="EK29">
            <v>0.42000000000000004</v>
          </cell>
          <cell r="EL29">
            <v>2.9087113077491571</v>
          </cell>
          <cell r="EP29">
            <v>0.42000000000000004</v>
          </cell>
          <cell r="EQ29">
            <v>2.9087113077491571</v>
          </cell>
          <cell r="EU29">
            <v>0.42000000000000004</v>
          </cell>
          <cell r="EV29">
            <v>2.9087113077491571</v>
          </cell>
        </row>
        <row r="30">
          <cell r="U30">
            <v>0.44000000000000006</v>
          </cell>
          <cell r="V30">
            <v>3.0079039204927986</v>
          </cell>
          <cell r="Z30">
            <v>0.44000000000000006</v>
          </cell>
          <cell r="AA30">
            <v>3.0079039204927986</v>
          </cell>
          <cell r="AE30">
            <v>0.44000000000000006</v>
          </cell>
          <cell r="AF30">
            <v>3.0079039204927986</v>
          </cell>
          <cell r="AJ30">
            <v>0.44000000000000006</v>
          </cell>
          <cell r="AK30">
            <v>3.0079039204927986</v>
          </cell>
          <cell r="AO30">
            <v>0.44000000000000006</v>
          </cell>
          <cell r="AP30">
            <v>3.0079039204927986</v>
          </cell>
          <cell r="AT30">
            <v>0.44000000000000006</v>
          </cell>
          <cell r="AU30">
            <v>3.0079039204927986</v>
          </cell>
          <cell r="AY30">
            <v>0.44000000000000006</v>
          </cell>
          <cell r="AZ30">
            <v>3.0079039204927986</v>
          </cell>
          <cell r="BD30">
            <v>0.44000000000000006</v>
          </cell>
          <cell r="BE30">
            <v>3.0079039204927986</v>
          </cell>
          <cell r="BI30">
            <v>0.44000000000000006</v>
          </cell>
          <cell r="BJ30">
            <v>3.0079039204927986</v>
          </cell>
          <cell r="BN30">
            <v>0.44000000000000006</v>
          </cell>
          <cell r="BO30">
            <v>3.0079039204927986</v>
          </cell>
          <cell r="BS30">
            <v>0.44000000000000006</v>
          </cell>
          <cell r="BT30">
            <v>3.0079039204927986</v>
          </cell>
          <cell r="BX30">
            <v>0.44000000000000006</v>
          </cell>
          <cell r="BY30">
            <v>3.0079039204927986</v>
          </cell>
          <cell r="CC30">
            <v>0.44000000000000006</v>
          </cell>
          <cell r="CD30">
            <v>3.0079039204927986</v>
          </cell>
          <cell r="CH30">
            <v>0.44000000000000006</v>
          </cell>
          <cell r="CI30">
            <v>3.0079039204927986</v>
          </cell>
          <cell r="CM30">
            <v>0.44000000000000006</v>
          </cell>
          <cell r="CN30">
            <v>3.0079039204927986</v>
          </cell>
          <cell r="CR30">
            <v>0.44000000000000006</v>
          </cell>
          <cell r="CS30">
            <v>3.0079039204927986</v>
          </cell>
          <cell r="CW30">
            <v>0.44000000000000006</v>
          </cell>
          <cell r="CX30">
            <v>3.0079039204927986</v>
          </cell>
          <cell r="DB30">
            <v>0.44000000000000006</v>
          </cell>
          <cell r="DC30">
            <v>3.0079039204927986</v>
          </cell>
          <cell r="DG30">
            <v>0.44000000000000006</v>
          </cell>
          <cell r="DH30">
            <v>3.0079039204927986</v>
          </cell>
          <cell r="DL30">
            <v>0.44000000000000006</v>
          </cell>
          <cell r="DM30">
            <v>3.0079039204927986</v>
          </cell>
          <cell r="DQ30">
            <v>0.44000000000000006</v>
          </cell>
          <cell r="DR30">
            <v>3.0079039204927986</v>
          </cell>
          <cell r="DV30">
            <v>0.44000000000000006</v>
          </cell>
          <cell r="DW30">
            <v>3.0079039204927986</v>
          </cell>
          <cell r="EA30">
            <v>0.44000000000000006</v>
          </cell>
          <cell r="EB30">
            <v>3.0079039204927986</v>
          </cell>
          <cell r="EF30">
            <v>0.44000000000000006</v>
          </cell>
          <cell r="EG30">
            <v>3.0079039204927986</v>
          </cell>
          <cell r="EK30">
            <v>0.44000000000000006</v>
          </cell>
          <cell r="EL30">
            <v>3.0079039204927986</v>
          </cell>
          <cell r="EP30">
            <v>0.44000000000000006</v>
          </cell>
          <cell r="EQ30">
            <v>3.0079039204927986</v>
          </cell>
          <cell r="EU30">
            <v>0.44000000000000006</v>
          </cell>
          <cell r="EV30">
            <v>3.0079039204927986</v>
          </cell>
        </row>
        <row r="31">
          <cell r="U31">
            <v>0.46000000000000008</v>
          </cell>
          <cell r="V31">
            <v>3.1043880205085936</v>
          </cell>
          <cell r="Z31">
            <v>0.46000000000000008</v>
          </cell>
          <cell r="AA31">
            <v>3.1043880205085936</v>
          </cell>
          <cell r="AE31">
            <v>0.46000000000000008</v>
          </cell>
          <cell r="AF31">
            <v>3.1043880205085936</v>
          </cell>
          <cell r="AJ31">
            <v>0.46000000000000008</v>
          </cell>
          <cell r="AK31">
            <v>3.1043880205085936</v>
          </cell>
          <cell r="AO31">
            <v>0.46000000000000008</v>
          </cell>
          <cell r="AP31">
            <v>3.1043880205085936</v>
          </cell>
          <cell r="AT31">
            <v>0.46000000000000008</v>
          </cell>
          <cell r="AU31">
            <v>3.1043880205085936</v>
          </cell>
          <cell r="AY31">
            <v>0.46000000000000008</v>
          </cell>
          <cell r="AZ31">
            <v>3.1043880205085936</v>
          </cell>
          <cell r="BD31">
            <v>0.46000000000000008</v>
          </cell>
          <cell r="BE31">
            <v>3.1043880205085936</v>
          </cell>
          <cell r="BI31">
            <v>0.46000000000000008</v>
          </cell>
          <cell r="BJ31">
            <v>3.1043880205085936</v>
          </cell>
          <cell r="BN31">
            <v>0.46000000000000008</v>
          </cell>
          <cell r="BO31">
            <v>3.1043880205085936</v>
          </cell>
          <cell r="BS31">
            <v>0.46000000000000008</v>
          </cell>
          <cell r="BT31">
            <v>3.1043880205085936</v>
          </cell>
          <cell r="BX31">
            <v>0.46000000000000008</v>
          </cell>
          <cell r="BY31">
            <v>3.1043880205085936</v>
          </cell>
          <cell r="CC31">
            <v>0.46000000000000008</v>
          </cell>
          <cell r="CD31">
            <v>3.1043880205085936</v>
          </cell>
          <cell r="CH31">
            <v>0.46000000000000008</v>
          </cell>
          <cell r="CI31">
            <v>3.1043880205085936</v>
          </cell>
          <cell r="CM31">
            <v>0.46000000000000008</v>
          </cell>
          <cell r="CN31">
            <v>3.1043880205085936</v>
          </cell>
          <cell r="CR31">
            <v>0.46000000000000008</v>
          </cell>
          <cell r="CS31">
            <v>3.1043880205085936</v>
          </cell>
          <cell r="CW31">
            <v>0.46000000000000008</v>
          </cell>
          <cell r="CX31">
            <v>3.1043880205085936</v>
          </cell>
          <cell r="DB31">
            <v>0.46000000000000008</v>
          </cell>
          <cell r="DC31">
            <v>3.1043880205085936</v>
          </cell>
          <cell r="DG31">
            <v>0.46000000000000008</v>
          </cell>
          <cell r="DH31">
            <v>3.1043880205085936</v>
          </cell>
          <cell r="DL31">
            <v>0.46000000000000008</v>
          </cell>
          <cell r="DM31">
            <v>3.1043880205085936</v>
          </cell>
          <cell r="DQ31">
            <v>0.46000000000000008</v>
          </cell>
          <cell r="DR31">
            <v>3.1043880205085936</v>
          </cell>
          <cell r="DV31">
            <v>0.46000000000000008</v>
          </cell>
          <cell r="DW31">
            <v>3.1043880205085936</v>
          </cell>
          <cell r="EA31">
            <v>0.46000000000000008</v>
          </cell>
          <cell r="EB31">
            <v>3.1043880205085936</v>
          </cell>
          <cell r="EF31">
            <v>0.46000000000000008</v>
          </cell>
          <cell r="EG31">
            <v>3.1043880205085936</v>
          </cell>
          <cell r="EK31">
            <v>0.46000000000000008</v>
          </cell>
          <cell r="EL31">
            <v>3.1043880205085936</v>
          </cell>
          <cell r="EP31">
            <v>0.46000000000000008</v>
          </cell>
          <cell r="EQ31">
            <v>3.1043880205085936</v>
          </cell>
          <cell r="EU31">
            <v>0.46000000000000008</v>
          </cell>
          <cell r="EV31">
            <v>3.1043880205085936</v>
          </cell>
        </row>
        <row r="32">
          <cell r="U32">
            <v>0.48000000000000009</v>
          </cell>
          <cell r="V32">
            <v>3.1981636077965412</v>
          </cell>
          <cell r="Z32">
            <v>0.48000000000000009</v>
          </cell>
          <cell r="AA32">
            <v>3.1981636077965412</v>
          </cell>
          <cell r="AE32">
            <v>0.48000000000000009</v>
          </cell>
          <cell r="AF32">
            <v>3.1981636077965412</v>
          </cell>
          <cell r="AJ32">
            <v>0.48000000000000009</v>
          </cell>
          <cell r="AK32">
            <v>3.1981636077965412</v>
          </cell>
          <cell r="AO32">
            <v>0.48000000000000009</v>
          </cell>
          <cell r="AP32">
            <v>3.1981636077965412</v>
          </cell>
          <cell r="AT32">
            <v>0.48000000000000009</v>
          </cell>
          <cell r="AU32">
            <v>3.1981636077965412</v>
          </cell>
          <cell r="AY32">
            <v>0.48000000000000009</v>
          </cell>
          <cell r="AZ32">
            <v>3.1981636077965412</v>
          </cell>
          <cell r="BD32">
            <v>0.48000000000000009</v>
          </cell>
          <cell r="BE32">
            <v>3.1981636077965412</v>
          </cell>
          <cell r="BI32">
            <v>0.48000000000000009</v>
          </cell>
          <cell r="BJ32">
            <v>3.1981636077965412</v>
          </cell>
          <cell r="BN32">
            <v>0.48000000000000009</v>
          </cell>
          <cell r="BO32">
            <v>3.1981636077965412</v>
          </cell>
          <cell r="BS32">
            <v>0.48000000000000009</v>
          </cell>
          <cell r="BT32">
            <v>3.1981636077965412</v>
          </cell>
          <cell r="BX32">
            <v>0.48000000000000009</v>
          </cell>
          <cell r="BY32">
            <v>3.1981636077965412</v>
          </cell>
          <cell r="CC32">
            <v>0.48000000000000009</v>
          </cell>
          <cell r="CD32">
            <v>3.1981636077965412</v>
          </cell>
          <cell r="CH32">
            <v>0.48000000000000009</v>
          </cell>
          <cell r="CI32">
            <v>3.1981636077965412</v>
          </cell>
          <cell r="CM32">
            <v>0.48000000000000009</v>
          </cell>
          <cell r="CN32">
            <v>3.1981636077965412</v>
          </cell>
          <cell r="CR32">
            <v>0.48000000000000009</v>
          </cell>
          <cell r="CS32">
            <v>3.1981636077965412</v>
          </cell>
          <cell r="CW32">
            <v>0.48000000000000009</v>
          </cell>
          <cell r="CX32">
            <v>3.1981636077965412</v>
          </cell>
          <cell r="DB32">
            <v>0.48000000000000009</v>
          </cell>
          <cell r="DC32">
            <v>3.1981636077965412</v>
          </cell>
          <cell r="DG32">
            <v>0.48000000000000009</v>
          </cell>
          <cell r="DH32">
            <v>3.1981636077965412</v>
          </cell>
          <cell r="DL32">
            <v>0.48000000000000009</v>
          </cell>
          <cell r="DM32">
            <v>3.1981636077965412</v>
          </cell>
          <cell r="DQ32">
            <v>0.48000000000000009</v>
          </cell>
          <cell r="DR32">
            <v>3.1981636077965412</v>
          </cell>
          <cell r="DV32">
            <v>0.48000000000000009</v>
          </cell>
          <cell r="DW32">
            <v>3.1981636077965412</v>
          </cell>
          <cell r="EA32">
            <v>0.48000000000000009</v>
          </cell>
          <cell r="EB32">
            <v>3.1981636077965412</v>
          </cell>
          <cell r="EF32">
            <v>0.48000000000000009</v>
          </cell>
          <cell r="EG32">
            <v>3.1981636077965412</v>
          </cell>
          <cell r="EK32">
            <v>0.48000000000000009</v>
          </cell>
          <cell r="EL32">
            <v>3.1981636077965412</v>
          </cell>
          <cell r="EP32">
            <v>0.48000000000000009</v>
          </cell>
          <cell r="EQ32">
            <v>3.1981636077965412</v>
          </cell>
          <cell r="EU32">
            <v>0.48000000000000009</v>
          </cell>
          <cell r="EV32">
            <v>3.1981636077965412</v>
          </cell>
        </row>
        <row r="33">
          <cell r="U33">
            <v>0.50000000000000011</v>
          </cell>
          <cell r="V33">
            <v>3.2892306823566422</v>
          </cell>
          <cell r="Z33">
            <v>0.50000000000000011</v>
          </cell>
          <cell r="AA33">
            <v>3.2892306823566422</v>
          </cell>
          <cell r="AE33">
            <v>0.50000000000000011</v>
          </cell>
          <cell r="AF33">
            <v>3.2892306823566422</v>
          </cell>
          <cell r="AJ33">
            <v>0.50000000000000011</v>
          </cell>
          <cell r="AK33">
            <v>3.2892306823566422</v>
          </cell>
          <cell r="AO33">
            <v>0.50000000000000011</v>
          </cell>
          <cell r="AP33">
            <v>3.2892306823566422</v>
          </cell>
          <cell r="AT33">
            <v>0.50000000000000011</v>
          </cell>
          <cell r="AU33">
            <v>3.2892306823566422</v>
          </cell>
          <cell r="AY33">
            <v>0.50000000000000011</v>
          </cell>
          <cell r="AZ33">
            <v>3.2892306823566422</v>
          </cell>
          <cell r="BD33">
            <v>0.50000000000000011</v>
          </cell>
          <cell r="BE33">
            <v>3.2892306823566422</v>
          </cell>
          <cell r="BI33">
            <v>0.50000000000000011</v>
          </cell>
          <cell r="BJ33">
            <v>3.2892306823566422</v>
          </cell>
          <cell r="BN33">
            <v>0.50000000000000011</v>
          </cell>
          <cell r="BO33">
            <v>3.2892306823566422</v>
          </cell>
          <cell r="BS33">
            <v>0.50000000000000011</v>
          </cell>
          <cell r="BT33">
            <v>3.2892306823566422</v>
          </cell>
          <cell r="BX33">
            <v>0.50000000000000011</v>
          </cell>
          <cell r="BY33">
            <v>3.2892306823566422</v>
          </cell>
          <cell r="CC33">
            <v>0.50000000000000011</v>
          </cell>
          <cell r="CD33">
            <v>3.2892306823566422</v>
          </cell>
          <cell r="CH33">
            <v>0.50000000000000011</v>
          </cell>
          <cell r="CI33">
            <v>3.2892306823566422</v>
          </cell>
          <cell r="CM33">
            <v>0.50000000000000011</v>
          </cell>
          <cell r="CN33">
            <v>3.2892306823566422</v>
          </cell>
          <cell r="CR33">
            <v>0.50000000000000011</v>
          </cell>
          <cell r="CS33">
            <v>3.2892306823566422</v>
          </cell>
          <cell r="CW33">
            <v>0.50000000000000011</v>
          </cell>
          <cell r="CX33">
            <v>3.2892306823566422</v>
          </cell>
          <cell r="DB33">
            <v>0.50000000000000011</v>
          </cell>
          <cell r="DC33">
            <v>3.2892306823566422</v>
          </cell>
          <cell r="DG33">
            <v>0.50000000000000011</v>
          </cell>
          <cell r="DH33">
            <v>3.2892306823566422</v>
          </cell>
          <cell r="DL33">
            <v>0.50000000000000011</v>
          </cell>
          <cell r="DM33">
            <v>3.2892306823566422</v>
          </cell>
          <cell r="DQ33">
            <v>0.50000000000000011</v>
          </cell>
          <cell r="DR33">
            <v>3.2892306823566422</v>
          </cell>
          <cell r="DV33">
            <v>0.50000000000000011</v>
          </cell>
          <cell r="DW33">
            <v>3.2892306823566422</v>
          </cell>
          <cell r="EA33">
            <v>0.50000000000000011</v>
          </cell>
          <cell r="EB33">
            <v>3.2892306823566422</v>
          </cell>
          <cell r="EF33">
            <v>0.50000000000000011</v>
          </cell>
          <cell r="EG33">
            <v>3.2892306823566422</v>
          </cell>
          <cell r="EK33">
            <v>0.50000000000000011</v>
          </cell>
          <cell r="EL33">
            <v>3.2892306823566422</v>
          </cell>
          <cell r="EP33">
            <v>0.50000000000000011</v>
          </cell>
          <cell r="EQ33">
            <v>3.2892306823566422</v>
          </cell>
          <cell r="EU33">
            <v>0.50000000000000011</v>
          </cell>
          <cell r="EV33">
            <v>3.2892306823566422</v>
          </cell>
        </row>
        <row r="34">
          <cell r="U34">
            <v>0.52000000000000013</v>
          </cell>
          <cell r="V34">
            <v>3.3775892441888962</v>
          </cell>
          <cell r="Z34">
            <v>0.52000000000000013</v>
          </cell>
          <cell r="AA34">
            <v>3.3775892441888962</v>
          </cell>
          <cell r="AE34">
            <v>0.52000000000000013</v>
          </cell>
          <cell r="AF34">
            <v>3.3775892441888962</v>
          </cell>
          <cell r="AJ34">
            <v>0.52000000000000013</v>
          </cell>
          <cell r="AK34">
            <v>3.3775892441888962</v>
          </cell>
          <cell r="AO34">
            <v>0.52000000000000013</v>
          </cell>
          <cell r="AP34">
            <v>3.3775892441888962</v>
          </cell>
          <cell r="AT34">
            <v>0.52000000000000013</v>
          </cell>
          <cell r="AU34">
            <v>3.3775892441888962</v>
          </cell>
          <cell r="AY34">
            <v>0.52000000000000013</v>
          </cell>
          <cell r="AZ34">
            <v>3.3775892441888962</v>
          </cell>
          <cell r="BD34">
            <v>0.52000000000000013</v>
          </cell>
          <cell r="BE34">
            <v>3.3775892441888962</v>
          </cell>
          <cell r="BI34">
            <v>0.52000000000000013</v>
          </cell>
          <cell r="BJ34">
            <v>3.3775892441888962</v>
          </cell>
          <cell r="BN34">
            <v>0.52000000000000013</v>
          </cell>
          <cell r="BO34">
            <v>3.3775892441888962</v>
          </cell>
          <cell r="BS34">
            <v>0.52000000000000013</v>
          </cell>
          <cell r="BT34">
            <v>3.3775892441888962</v>
          </cell>
          <cell r="BX34">
            <v>0.52000000000000013</v>
          </cell>
          <cell r="BY34">
            <v>3.3775892441888962</v>
          </cell>
          <cell r="CC34">
            <v>0.52000000000000013</v>
          </cell>
          <cell r="CD34">
            <v>3.3775892441888962</v>
          </cell>
          <cell r="CH34">
            <v>0.52000000000000013</v>
          </cell>
          <cell r="CI34">
            <v>3.3775892441888962</v>
          </cell>
          <cell r="CM34">
            <v>0.52000000000000013</v>
          </cell>
          <cell r="CN34">
            <v>3.3775892441888962</v>
          </cell>
          <cell r="CR34">
            <v>0.52000000000000013</v>
          </cell>
          <cell r="CS34">
            <v>3.3775892441888962</v>
          </cell>
          <cell r="CW34">
            <v>0.52000000000000013</v>
          </cell>
          <cell r="CX34">
            <v>3.3775892441888962</v>
          </cell>
          <cell r="DB34">
            <v>0.52000000000000013</v>
          </cell>
          <cell r="DC34">
            <v>3.3775892441888962</v>
          </cell>
          <cell r="DG34">
            <v>0.52000000000000013</v>
          </cell>
          <cell r="DH34">
            <v>3.3775892441888962</v>
          </cell>
          <cell r="DL34">
            <v>0.52000000000000013</v>
          </cell>
          <cell r="DM34">
            <v>3.3775892441888962</v>
          </cell>
          <cell r="DQ34">
            <v>0.52000000000000013</v>
          </cell>
          <cell r="DR34">
            <v>3.3775892441888962</v>
          </cell>
          <cell r="DV34">
            <v>0.52000000000000013</v>
          </cell>
          <cell r="DW34">
            <v>3.3775892441888962</v>
          </cell>
          <cell r="EA34">
            <v>0.52000000000000013</v>
          </cell>
          <cell r="EB34">
            <v>3.3775892441888962</v>
          </cell>
          <cell r="EF34">
            <v>0.52000000000000013</v>
          </cell>
          <cell r="EG34">
            <v>3.3775892441888962</v>
          </cell>
          <cell r="EK34">
            <v>0.52000000000000013</v>
          </cell>
          <cell r="EL34">
            <v>3.3775892441888962</v>
          </cell>
          <cell r="EP34">
            <v>0.52000000000000013</v>
          </cell>
          <cell r="EQ34">
            <v>3.3775892441888962</v>
          </cell>
          <cell r="EU34">
            <v>0.52000000000000013</v>
          </cell>
          <cell r="EV34">
            <v>3.3775892441888962</v>
          </cell>
        </row>
        <row r="35">
          <cell r="U35">
            <v>0.54000000000000015</v>
          </cell>
          <cell r="V35">
            <v>3.4632392932933023</v>
          </cell>
          <cell r="Z35">
            <v>0.54000000000000015</v>
          </cell>
          <cell r="AA35">
            <v>3.4632392932933023</v>
          </cell>
          <cell r="AE35">
            <v>0.54000000000000015</v>
          </cell>
          <cell r="AF35">
            <v>3.4632392932933023</v>
          </cell>
          <cell r="AJ35">
            <v>0.54000000000000015</v>
          </cell>
          <cell r="AK35">
            <v>3.4632392932933023</v>
          </cell>
          <cell r="AO35">
            <v>0.54000000000000015</v>
          </cell>
          <cell r="AP35">
            <v>3.4632392932933023</v>
          </cell>
          <cell r="AT35">
            <v>0.54000000000000015</v>
          </cell>
          <cell r="AU35">
            <v>3.4632392932933023</v>
          </cell>
          <cell r="AY35">
            <v>0.54000000000000015</v>
          </cell>
          <cell r="AZ35">
            <v>3.4632392932933023</v>
          </cell>
          <cell r="BD35">
            <v>0.54000000000000015</v>
          </cell>
          <cell r="BE35">
            <v>3.4632392932933023</v>
          </cell>
          <cell r="BI35">
            <v>0.54000000000000015</v>
          </cell>
          <cell r="BJ35">
            <v>3.4632392932933023</v>
          </cell>
          <cell r="BN35">
            <v>0.54000000000000015</v>
          </cell>
          <cell r="BO35">
            <v>3.4632392932933023</v>
          </cell>
          <cell r="BS35">
            <v>0.54000000000000015</v>
          </cell>
          <cell r="BT35">
            <v>3.4632392932933023</v>
          </cell>
          <cell r="BX35">
            <v>0.54000000000000015</v>
          </cell>
          <cell r="BY35">
            <v>3.4632392932933023</v>
          </cell>
          <cell r="CC35">
            <v>0.54000000000000015</v>
          </cell>
          <cell r="CD35">
            <v>3.4632392932933023</v>
          </cell>
          <cell r="CH35">
            <v>0.54000000000000015</v>
          </cell>
          <cell r="CI35">
            <v>3.4632392932933023</v>
          </cell>
          <cell r="CM35">
            <v>0.54000000000000015</v>
          </cell>
          <cell r="CN35">
            <v>3.4632392932933023</v>
          </cell>
          <cell r="CR35">
            <v>0.54000000000000015</v>
          </cell>
          <cell r="CS35">
            <v>3.4632392932933023</v>
          </cell>
          <cell r="CW35">
            <v>0.54000000000000015</v>
          </cell>
          <cell r="CX35">
            <v>3.4632392932933023</v>
          </cell>
          <cell r="DB35">
            <v>0.54000000000000015</v>
          </cell>
          <cell r="DC35">
            <v>3.4632392932933023</v>
          </cell>
          <cell r="DG35">
            <v>0.54000000000000015</v>
          </cell>
          <cell r="DH35">
            <v>3.4632392932933023</v>
          </cell>
          <cell r="DL35">
            <v>0.54000000000000015</v>
          </cell>
          <cell r="DM35">
            <v>3.4632392932933023</v>
          </cell>
          <cell r="DQ35">
            <v>0.54000000000000015</v>
          </cell>
          <cell r="DR35">
            <v>3.4632392932933023</v>
          </cell>
          <cell r="DV35">
            <v>0.54000000000000015</v>
          </cell>
          <cell r="DW35">
            <v>3.4632392932933023</v>
          </cell>
          <cell r="EA35">
            <v>0.54000000000000015</v>
          </cell>
          <cell r="EB35">
            <v>3.4632392932933023</v>
          </cell>
          <cell r="EF35">
            <v>0.54000000000000015</v>
          </cell>
          <cell r="EG35">
            <v>3.4632392932933023</v>
          </cell>
          <cell r="EK35">
            <v>0.54000000000000015</v>
          </cell>
          <cell r="EL35">
            <v>3.4632392932933023</v>
          </cell>
          <cell r="EP35">
            <v>0.54000000000000015</v>
          </cell>
          <cell r="EQ35">
            <v>3.4632392932933023</v>
          </cell>
          <cell r="EU35">
            <v>0.54000000000000015</v>
          </cell>
          <cell r="EV35">
            <v>3.4632392932933023</v>
          </cell>
        </row>
        <row r="36">
          <cell r="U36">
            <v>0.56000000000000016</v>
          </cell>
          <cell r="V36">
            <v>3.5461808296698623</v>
          </cell>
          <cell r="Z36">
            <v>0.56000000000000016</v>
          </cell>
          <cell r="AA36">
            <v>3.5461808296698623</v>
          </cell>
          <cell r="AE36">
            <v>0.56000000000000016</v>
          </cell>
          <cell r="AF36">
            <v>3.5461808296698623</v>
          </cell>
          <cell r="AJ36">
            <v>0.56000000000000016</v>
          </cell>
          <cell r="AK36">
            <v>3.5461808296698623</v>
          </cell>
          <cell r="AO36">
            <v>0.56000000000000016</v>
          </cell>
          <cell r="AP36">
            <v>3.5461808296698623</v>
          </cell>
          <cell r="AT36">
            <v>0.56000000000000016</v>
          </cell>
          <cell r="AU36">
            <v>3.5461808296698623</v>
          </cell>
          <cell r="AY36">
            <v>0.56000000000000016</v>
          </cell>
          <cell r="AZ36">
            <v>3.5461808296698623</v>
          </cell>
          <cell r="BD36">
            <v>0.56000000000000016</v>
          </cell>
          <cell r="BE36">
            <v>3.5461808296698623</v>
          </cell>
          <cell r="BI36">
            <v>0.56000000000000016</v>
          </cell>
          <cell r="BJ36">
            <v>3.5461808296698623</v>
          </cell>
          <cell r="BN36">
            <v>0.56000000000000016</v>
          </cell>
          <cell r="BO36">
            <v>3.5461808296698623</v>
          </cell>
          <cell r="BS36">
            <v>0.56000000000000016</v>
          </cell>
          <cell r="BT36">
            <v>3.5461808296698623</v>
          </cell>
          <cell r="BX36">
            <v>0.56000000000000016</v>
          </cell>
          <cell r="BY36">
            <v>3.5461808296698623</v>
          </cell>
          <cell r="CC36">
            <v>0.56000000000000016</v>
          </cell>
          <cell r="CD36">
            <v>3.5461808296698623</v>
          </cell>
          <cell r="CH36">
            <v>0.56000000000000016</v>
          </cell>
          <cell r="CI36">
            <v>3.5461808296698623</v>
          </cell>
          <cell r="CM36">
            <v>0.56000000000000016</v>
          </cell>
          <cell r="CN36">
            <v>3.5461808296698623</v>
          </cell>
          <cell r="CR36">
            <v>0.56000000000000016</v>
          </cell>
          <cell r="CS36">
            <v>3.5461808296698623</v>
          </cell>
          <cell r="CW36">
            <v>0.56000000000000016</v>
          </cell>
          <cell r="CX36">
            <v>3.5461808296698623</v>
          </cell>
          <cell r="DB36">
            <v>0.56000000000000016</v>
          </cell>
          <cell r="DC36">
            <v>3.5461808296698623</v>
          </cell>
          <cell r="DG36">
            <v>0.56000000000000016</v>
          </cell>
          <cell r="DH36">
            <v>3.5461808296698623</v>
          </cell>
          <cell r="DL36">
            <v>0.56000000000000016</v>
          </cell>
          <cell r="DM36">
            <v>3.5461808296698623</v>
          </cell>
          <cell r="DQ36">
            <v>0.56000000000000016</v>
          </cell>
          <cell r="DR36">
            <v>3.5461808296698623</v>
          </cell>
          <cell r="DV36">
            <v>0.56000000000000016</v>
          </cell>
          <cell r="DW36">
            <v>3.5461808296698623</v>
          </cell>
          <cell r="EA36">
            <v>0.56000000000000016</v>
          </cell>
          <cell r="EB36">
            <v>3.5461808296698623</v>
          </cell>
          <cell r="EF36">
            <v>0.56000000000000016</v>
          </cell>
          <cell r="EG36">
            <v>3.5461808296698623</v>
          </cell>
          <cell r="EK36">
            <v>0.56000000000000016</v>
          </cell>
          <cell r="EL36">
            <v>3.5461808296698623</v>
          </cell>
          <cell r="EP36">
            <v>0.56000000000000016</v>
          </cell>
          <cell r="EQ36">
            <v>3.5461808296698623</v>
          </cell>
          <cell r="EU36">
            <v>0.56000000000000016</v>
          </cell>
          <cell r="EV36">
            <v>3.5461808296698623</v>
          </cell>
        </row>
        <row r="37">
          <cell r="U37">
            <v>0.58000000000000018</v>
          </cell>
          <cell r="V37">
            <v>3.6264138533185739</v>
          </cell>
          <cell r="Z37">
            <v>0.58000000000000018</v>
          </cell>
          <cell r="AA37">
            <v>3.6264138533185739</v>
          </cell>
          <cell r="AE37">
            <v>0.58000000000000018</v>
          </cell>
          <cell r="AF37">
            <v>3.6264138533185739</v>
          </cell>
          <cell r="AJ37">
            <v>0.58000000000000018</v>
          </cell>
          <cell r="AK37">
            <v>3.6264138533185739</v>
          </cell>
          <cell r="AO37">
            <v>0.58000000000000018</v>
          </cell>
          <cell r="AP37">
            <v>3.6264138533185739</v>
          </cell>
          <cell r="AT37">
            <v>0.58000000000000018</v>
          </cell>
          <cell r="AU37">
            <v>3.6264138533185739</v>
          </cell>
          <cell r="AY37">
            <v>0.58000000000000018</v>
          </cell>
          <cell r="AZ37">
            <v>3.6264138533185739</v>
          </cell>
          <cell r="BD37">
            <v>0.58000000000000018</v>
          </cell>
          <cell r="BE37">
            <v>3.6264138533185739</v>
          </cell>
          <cell r="BI37">
            <v>0.58000000000000018</v>
          </cell>
          <cell r="BJ37">
            <v>3.6264138533185739</v>
          </cell>
          <cell r="BN37">
            <v>0.58000000000000018</v>
          </cell>
          <cell r="BO37">
            <v>3.6264138533185739</v>
          </cell>
          <cell r="BS37">
            <v>0.58000000000000018</v>
          </cell>
          <cell r="BT37">
            <v>3.6264138533185739</v>
          </cell>
          <cell r="BX37">
            <v>0.58000000000000018</v>
          </cell>
          <cell r="BY37">
            <v>3.6264138533185739</v>
          </cell>
          <cell r="CC37">
            <v>0.58000000000000018</v>
          </cell>
          <cell r="CD37">
            <v>3.6264138533185739</v>
          </cell>
          <cell r="CH37">
            <v>0.58000000000000018</v>
          </cell>
          <cell r="CI37">
            <v>3.6264138533185739</v>
          </cell>
          <cell r="CM37">
            <v>0.58000000000000018</v>
          </cell>
          <cell r="CN37">
            <v>3.6264138533185739</v>
          </cell>
          <cell r="CR37">
            <v>0.58000000000000018</v>
          </cell>
          <cell r="CS37">
            <v>3.6264138533185739</v>
          </cell>
          <cell r="CW37">
            <v>0.58000000000000018</v>
          </cell>
          <cell r="CX37">
            <v>3.6264138533185739</v>
          </cell>
          <cell r="DB37">
            <v>0.58000000000000018</v>
          </cell>
          <cell r="DC37">
            <v>3.6264138533185739</v>
          </cell>
          <cell r="DG37">
            <v>0.58000000000000018</v>
          </cell>
          <cell r="DH37">
            <v>3.6264138533185739</v>
          </cell>
          <cell r="DL37">
            <v>0.58000000000000018</v>
          </cell>
          <cell r="DM37">
            <v>3.6264138533185739</v>
          </cell>
          <cell r="DQ37">
            <v>0.58000000000000018</v>
          </cell>
          <cell r="DR37">
            <v>3.6264138533185739</v>
          </cell>
          <cell r="DV37">
            <v>0.58000000000000018</v>
          </cell>
          <cell r="DW37">
            <v>3.6264138533185739</v>
          </cell>
          <cell r="EA37">
            <v>0.58000000000000018</v>
          </cell>
          <cell r="EB37">
            <v>3.6264138533185739</v>
          </cell>
          <cell r="EF37">
            <v>0.58000000000000018</v>
          </cell>
          <cell r="EG37">
            <v>3.6264138533185739</v>
          </cell>
          <cell r="EK37">
            <v>0.58000000000000018</v>
          </cell>
          <cell r="EL37">
            <v>3.6264138533185739</v>
          </cell>
          <cell r="EP37">
            <v>0.58000000000000018</v>
          </cell>
          <cell r="EQ37">
            <v>3.6264138533185739</v>
          </cell>
          <cell r="EU37">
            <v>0.58000000000000018</v>
          </cell>
          <cell r="EV37">
            <v>3.6264138533185739</v>
          </cell>
        </row>
        <row r="38">
          <cell r="U38">
            <v>0.6000000000000002</v>
          </cell>
          <cell r="V38">
            <v>3.7039383642394395</v>
          </cell>
          <cell r="Z38">
            <v>0.6000000000000002</v>
          </cell>
          <cell r="AA38">
            <v>3.7039383642394395</v>
          </cell>
          <cell r="AE38">
            <v>0.6000000000000002</v>
          </cell>
          <cell r="AF38">
            <v>3.7039383642394395</v>
          </cell>
          <cell r="AJ38">
            <v>0.6000000000000002</v>
          </cell>
          <cell r="AK38">
            <v>3.7039383642394395</v>
          </cell>
          <cell r="AO38">
            <v>0.6000000000000002</v>
          </cell>
          <cell r="AP38">
            <v>3.7039383642394395</v>
          </cell>
          <cell r="AT38">
            <v>0.6000000000000002</v>
          </cell>
          <cell r="AU38">
            <v>3.7039383642394395</v>
          </cell>
          <cell r="AY38">
            <v>0.6000000000000002</v>
          </cell>
          <cell r="AZ38">
            <v>3.7039383642394395</v>
          </cell>
          <cell r="BD38">
            <v>0.6000000000000002</v>
          </cell>
          <cell r="BE38">
            <v>3.7039383642394395</v>
          </cell>
          <cell r="BI38">
            <v>0.6000000000000002</v>
          </cell>
          <cell r="BJ38">
            <v>3.7039383642394395</v>
          </cell>
          <cell r="BN38">
            <v>0.6000000000000002</v>
          </cell>
          <cell r="BO38">
            <v>3.7039383642394395</v>
          </cell>
          <cell r="BS38">
            <v>0.6000000000000002</v>
          </cell>
          <cell r="BT38">
            <v>3.7039383642394395</v>
          </cell>
          <cell r="BX38">
            <v>0.6000000000000002</v>
          </cell>
          <cell r="BY38">
            <v>3.7039383642394395</v>
          </cell>
          <cell r="CC38">
            <v>0.6000000000000002</v>
          </cell>
          <cell r="CD38">
            <v>3.7039383642394395</v>
          </cell>
          <cell r="CH38">
            <v>0.6000000000000002</v>
          </cell>
          <cell r="CI38">
            <v>3.7039383642394395</v>
          </cell>
          <cell r="CM38">
            <v>0.6000000000000002</v>
          </cell>
          <cell r="CN38">
            <v>3.7039383642394395</v>
          </cell>
          <cell r="CR38">
            <v>0.6000000000000002</v>
          </cell>
          <cell r="CS38">
            <v>3.7039383642394395</v>
          </cell>
          <cell r="CW38">
            <v>0.6000000000000002</v>
          </cell>
          <cell r="CX38">
            <v>3.7039383642394395</v>
          </cell>
          <cell r="DB38">
            <v>0.6000000000000002</v>
          </cell>
          <cell r="DC38">
            <v>3.7039383642394395</v>
          </cell>
          <cell r="DG38">
            <v>0.6000000000000002</v>
          </cell>
          <cell r="DH38">
            <v>3.7039383642394395</v>
          </cell>
          <cell r="DL38">
            <v>0.6000000000000002</v>
          </cell>
          <cell r="DM38">
            <v>3.7039383642394395</v>
          </cell>
          <cell r="DQ38">
            <v>0.6000000000000002</v>
          </cell>
          <cell r="DR38">
            <v>3.7039383642394395</v>
          </cell>
          <cell r="DV38">
            <v>0.6000000000000002</v>
          </cell>
          <cell r="DW38">
            <v>3.7039383642394395</v>
          </cell>
          <cell r="EA38">
            <v>0.6000000000000002</v>
          </cell>
          <cell r="EB38">
            <v>3.7039383642394395</v>
          </cell>
          <cell r="EF38">
            <v>0.6000000000000002</v>
          </cell>
          <cell r="EG38">
            <v>3.7039383642394395</v>
          </cell>
          <cell r="EK38">
            <v>0.6000000000000002</v>
          </cell>
          <cell r="EL38">
            <v>3.7039383642394395</v>
          </cell>
          <cell r="EP38">
            <v>0.6000000000000002</v>
          </cell>
          <cell r="EQ38">
            <v>3.7039383642394395</v>
          </cell>
          <cell r="EU38">
            <v>0.6000000000000002</v>
          </cell>
          <cell r="EV38">
            <v>3.7039383642394395</v>
          </cell>
        </row>
        <row r="39">
          <cell r="U39">
            <v>0.62000000000000022</v>
          </cell>
          <cell r="V39">
            <v>3.7787543624324571</v>
          </cell>
          <cell r="Z39">
            <v>0.62000000000000022</v>
          </cell>
          <cell r="AA39">
            <v>3.7787543624324571</v>
          </cell>
          <cell r="AE39">
            <v>0.62000000000000022</v>
          </cell>
          <cell r="AF39">
            <v>3.7787543624324571</v>
          </cell>
          <cell r="AJ39">
            <v>0.62000000000000022</v>
          </cell>
          <cell r="AK39">
            <v>3.7787543624324571</v>
          </cell>
          <cell r="AO39">
            <v>0.62000000000000022</v>
          </cell>
          <cell r="AP39">
            <v>3.7787543624324571</v>
          </cell>
          <cell r="AT39">
            <v>0.62000000000000022</v>
          </cell>
          <cell r="AU39">
            <v>3.7787543624324571</v>
          </cell>
          <cell r="AY39">
            <v>0.62000000000000022</v>
          </cell>
          <cell r="AZ39">
            <v>3.7787543624324571</v>
          </cell>
          <cell r="BD39">
            <v>0.62000000000000022</v>
          </cell>
          <cell r="BE39">
            <v>3.7787543624324571</v>
          </cell>
          <cell r="BI39">
            <v>0.62000000000000022</v>
          </cell>
          <cell r="BJ39">
            <v>3.7787543624324571</v>
          </cell>
          <cell r="BN39">
            <v>0.62000000000000022</v>
          </cell>
          <cell r="BO39">
            <v>3.7787543624324571</v>
          </cell>
          <cell r="BS39">
            <v>0.62000000000000022</v>
          </cell>
          <cell r="BT39">
            <v>3.7787543624324571</v>
          </cell>
          <cell r="BX39">
            <v>0.62000000000000022</v>
          </cell>
          <cell r="BY39">
            <v>3.7787543624324571</v>
          </cell>
          <cell r="CC39">
            <v>0.62000000000000022</v>
          </cell>
          <cell r="CD39">
            <v>3.7787543624324571</v>
          </cell>
          <cell r="CH39">
            <v>0.62000000000000022</v>
          </cell>
          <cell r="CI39">
            <v>3.7787543624324571</v>
          </cell>
          <cell r="CM39">
            <v>0.62000000000000022</v>
          </cell>
          <cell r="CN39">
            <v>3.7787543624324571</v>
          </cell>
          <cell r="CR39">
            <v>0.62000000000000022</v>
          </cell>
          <cell r="CS39">
            <v>3.7787543624324571</v>
          </cell>
          <cell r="CW39">
            <v>0.62000000000000022</v>
          </cell>
          <cell r="CX39">
            <v>3.7787543624324571</v>
          </cell>
          <cell r="DB39">
            <v>0.62000000000000022</v>
          </cell>
          <cell r="DC39">
            <v>3.7787543624324571</v>
          </cell>
          <cell r="DG39">
            <v>0.62000000000000022</v>
          </cell>
          <cell r="DH39">
            <v>3.7787543624324571</v>
          </cell>
          <cell r="DL39">
            <v>0.62000000000000022</v>
          </cell>
          <cell r="DM39">
            <v>3.7787543624324571</v>
          </cell>
          <cell r="DQ39">
            <v>0.62000000000000022</v>
          </cell>
          <cell r="DR39">
            <v>3.7787543624324571</v>
          </cell>
          <cell r="DV39">
            <v>0.62000000000000022</v>
          </cell>
          <cell r="DW39">
            <v>3.7787543624324571</v>
          </cell>
          <cell r="EA39">
            <v>0.62000000000000022</v>
          </cell>
          <cell r="EB39">
            <v>3.7787543624324571</v>
          </cell>
          <cell r="EF39">
            <v>0.62000000000000022</v>
          </cell>
          <cell r="EG39">
            <v>3.7787543624324571</v>
          </cell>
          <cell r="EK39">
            <v>0.62000000000000022</v>
          </cell>
          <cell r="EL39">
            <v>3.7787543624324571</v>
          </cell>
          <cell r="EP39">
            <v>0.62000000000000022</v>
          </cell>
          <cell r="EQ39">
            <v>3.7787543624324571</v>
          </cell>
          <cell r="EU39">
            <v>0.62000000000000022</v>
          </cell>
          <cell r="EV39">
            <v>3.7787543624324571</v>
          </cell>
        </row>
        <row r="40">
          <cell r="U40">
            <v>0.64000000000000024</v>
          </cell>
          <cell r="V40">
            <v>3.8508618478976286</v>
          </cell>
          <cell r="Z40">
            <v>0.64000000000000024</v>
          </cell>
          <cell r="AA40">
            <v>3.8508618478976286</v>
          </cell>
          <cell r="AE40">
            <v>0.64000000000000024</v>
          </cell>
          <cell r="AF40">
            <v>3.8508618478976286</v>
          </cell>
          <cell r="AJ40">
            <v>0.64000000000000024</v>
          </cell>
          <cell r="AK40">
            <v>3.8508618478976286</v>
          </cell>
          <cell r="AO40">
            <v>0.64000000000000024</v>
          </cell>
          <cell r="AP40">
            <v>3.8508618478976286</v>
          </cell>
          <cell r="AT40">
            <v>0.64000000000000024</v>
          </cell>
          <cell r="AU40">
            <v>3.8508618478976286</v>
          </cell>
          <cell r="AY40">
            <v>0.64000000000000024</v>
          </cell>
          <cell r="AZ40">
            <v>3.8508618478976286</v>
          </cell>
          <cell r="BD40">
            <v>0.64000000000000024</v>
          </cell>
          <cell r="BE40">
            <v>3.8508618478976286</v>
          </cell>
          <cell r="BI40">
            <v>0.64000000000000024</v>
          </cell>
          <cell r="BJ40">
            <v>3.8508618478976286</v>
          </cell>
          <cell r="BN40">
            <v>0.64000000000000024</v>
          </cell>
          <cell r="BO40">
            <v>3.8508618478976286</v>
          </cell>
          <cell r="BS40">
            <v>0.64000000000000024</v>
          </cell>
          <cell r="BT40">
            <v>3.8508618478976286</v>
          </cell>
          <cell r="BX40">
            <v>0.64000000000000024</v>
          </cell>
          <cell r="BY40">
            <v>3.8508618478976286</v>
          </cell>
          <cell r="CC40">
            <v>0.64000000000000024</v>
          </cell>
          <cell r="CD40">
            <v>3.8508618478976286</v>
          </cell>
          <cell r="CH40">
            <v>0.64000000000000024</v>
          </cell>
          <cell r="CI40">
            <v>3.8508618478976286</v>
          </cell>
          <cell r="CM40">
            <v>0.64000000000000024</v>
          </cell>
          <cell r="CN40">
            <v>3.8508618478976286</v>
          </cell>
          <cell r="CR40">
            <v>0.64000000000000024</v>
          </cell>
          <cell r="CS40">
            <v>3.8508618478976286</v>
          </cell>
          <cell r="CW40">
            <v>0.64000000000000024</v>
          </cell>
          <cell r="CX40">
            <v>3.8508618478976286</v>
          </cell>
          <cell r="DB40">
            <v>0.64000000000000024</v>
          </cell>
          <cell r="DC40">
            <v>3.8508618478976286</v>
          </cell>
          <cell r="DG40">
            <v>0.64000000000000024</v>
          </cell>
          <cell r="DH40">
            <v>3.8508618478976286</v>
          </cell>
          <cell r="DL40">
            <v>0.64000000000000024</v>
          </cell>
          <cell r="DM40">
            <v>3.8508618478976286</v>
          </cell>
          <cell r="DQ40">
            <v>0.64000000000000024</v>
          </cell>
          <cell r="DR40">
            <v>3.8508618478976286</v>
          </cell>
          <cell r="DV40">
            <v>0.64000000000000024</v>
          </cell>
          <cell r="DW40">
            <v>3.8508618478976286</v>
          </cell>
          <cell r="EA40">
            <v>0.64000000000000024</v>
          </cell>
          <cell r="EB40">
            <v>3.8508618478976286</v>
          </cell>
          <cell r="EF40">
            <v>0.64000000000000024</v>
          </cell>
          <cell r="EG40">
            <v>3.8508618478976286</v>
          </cell>
          <cell r="EK40">
            <v>0.64000000000000024</v>
          </cell>
          <cell r="EL40">
            <v>3.8508618478976286</v>
          </cell>
          <cell r="EP40">
            <v>0.64000000000000024</v>
          </cell>
          <cell r="EQ40">
            <v>3.8508618478976286</v>
          </cell>
          <cell r="EU40">
            <v>0.64000000000000024</v>
          </cell>
          <cell r="EV40">
            <v>3.8508618478976286</v>
          </cell>
        </row>
        <row r="41">
          <cell r="U41">
            <v>0.66000000000000025</v>
          </cell>
          <cell r="V41">
            <v>3.9202608206349523</v>
          </cell>
          <cell r="Z41">
            <v>0.66000000000000025</v>
          </cell>
          <cell r="AA41">
            <v>3.9202608206349523</v>
          </cell>
          <cell r="AE41">
            <v>0.66000000000000025</v>
          </cell>
          <cell r="AF41">
            <v>3.9202608206349523</v>
          </cell>
          <cell r="AJ41">
            <v>0.66000000000000025</v>
          </cell>
          <cell r="AK41">
            <v>3.9202608206349523</v>
          </cell>
          <cell r="AO41">
            <v>0.66000000000000025</v>
          </cell>
          <cell r="AP41">
            <v>3.9202608206349523</v>
          </cell>
          <cell r="AT41">
            <v>0.66000000000000025</v>
          </cell>
          <cell r="AU41">
            <v>3.9202608206349523</v>
          </cell>
          <cell r="AY41">
            <v>0.66000000000000025</v>
          </cell>
          <cell r="AZ41">
            <v>3.9202608206349523</v>
          </cell>
          <cell r="BD41">
            <v>0.66000000000000025</v>
          </cell>
          <cell r="BE41">
            <v>3.9202608206349523</v>
          </cell>
          <cell r="BI41">
            <v>0.66000000000000025</v>
          </cell>
          <cell r="BJ41">
            <v>3.9202608206349523</v>
          </cell>
          <cell r="BN41">
            <v>0.66000000000000025</v>
          </cell>
          <cell r="BO41">
            <v>3.9202608206349523</v>
          </cell>
          <cell r="BS41">
            <v>0.66000000000000025</v>
          </cell>
          <cell r="BT41">
            <v>3.9202608206349523</v>
          </cell>
          <cell r="BX41">
            <v>0.66000000000000025</v>
          </cell>
          <cell r="BY41">
            <v>3.9202608206349523</v>
          </cell>
          <cell r="CC41">
            <v>0.66000000000000025</v>
          </cell>
          <cell r="CD41">
            <v>3.9202608206349523</v>
          </cell>
          <cell r="CH41">
            <v>0.66000000000000025</v>
          </cell>
          <cell r="CI41">
            <v>3.9202608206349523</v>
          </cell>
          <cell r="CM41">
            <v>0.66000000000000025</v>
          </cell>
          <cell r="CN41">
            <v>3.9202608206349523</v>
          </cell>
          <cell r="CR41">
            <v>0.66000000000000025</v>
          </cell>
          <cell r="CS41">
            <v>3.9202608206349523</v>
          </cell>
          <cell r="CW41">
            <v>0.66000000000000025</v>
          </cell>
          <cell r="CX41">
            <v>3.9202608206349523</v>
          </cell>
          <cell r="DB41">
            <v>0.66000000000000025</v>
          </cell>
          <cell r="DC41">
            <v>3.9202608206349523</v>
          </cell>
          <cell r="DG41">
            <v>0.66000000000000025</v>
          </cell>
          <cell r="DH41">
            <v>3.9202608206349523</v>
          </cell>
          <cell r="DL41">
            <v>0.66000000000000025</v>
          </cell>
          <cell r="DM41">
            <v>3.9202608206349523</v>
          </cell>
          <cell r="DQ41">
            <v>0.66000000000000025</v>
          </cell>
          <cell r="DR41">
            <v>3.9202608206349523</v>
          </cell>
          <cell r="DV41">
            <v>0.66000000000000025</v>
          </cell>
          <cell r="DW41">
            <v>3.9202608206349523</v>
          </cell>
          <cell r="EA41">
            <v>0.66000000000000025</v>
          </cell>
          <cell r="EB41">
            <v>3.9202608206349523</v>
          </cell>
          <cell r="EF41">
            <v>0.66000000000000025</v>
          </cell>
          <cell r="EG41">
            <v>3.9202608206349523</v>
          </cell>
          <cell r="EK41">
            <v>0.66000000000000025</v>
          </cell>
          <cell r="EL41">
            <v>3.9202608206349523</v>
          </cell>
          <cell r="EP41">
            <v>0.66000000000000025</v>
          </cell>
          <cell r="EQ41">
            <v>3.9202608206349523</v>
          </cell>
          <cell r="EU41">
            <v>0.66000000000000025</v>
          </cell>
          <cell r="EV41">
            <v>3.9202608206349523</v>
          </cell>
        </row>
        <row r="42">
          <cell r="U42">
            <v>0.68000000000000027</v>
          </cell>
          <cell r="V42">
            <v>3.9869512806444294</v>
          </cell>
          <cell r="Z42">
            <v>0.68000000000000027</v>
          </cell>
          <cell r="AA42">
            <v>3.9869512806444294</v>
          </cell>
          <cell r="AE42">
            <v>0.68000000000000027</v>
          </cell>
          <cell r="AF42">
            <v>3.9869512806444294</v>
          </cell>
          <cell r="AJ42">
            <v>0.68000000000000027</v>
          </cell>
          <cell r="AK42">
            <v>3.9869512806444294</v>
          </cell>
          <cell r="AO42">
            <v>0.68000000000000027</v>
          </cell>
          <cell r="AP42">
            <v>3.9869512806444294</v>
          </cell>
          <cell r="AT42">
            <v>0.68000000000000027</v>
          </cell>
          <cell r="AU42">
            <v>3.9869512806444294</v>
          </cell>
          <cell r="AY42">
            <v>0.68000000000000027</v>
          </cell>
          <cell r="AZ42">
            <v>3.9869512806444294</v>
          </cell>
          <cell r="BD42">
            <v>0.68000000000000027</v>
          </cell>
          <cell r="BE42">
            <v>3.9869512806444294</v>
          </cell>
          <cell r="BI42">
            <v>0.68000000000000027</v>
          </cell>
          <cell r="BJ42">
            <v>3.9869512806444294</v>
          </cell>
          <cell r="BN42">
            <v>0.68000000000000027</v>
          </cell>
          <cell r="BO42">
            <v>3.9869512806444294</v>
          </cell>
          <cell r="BS42">
            <v>0.68000000000000027</v>
          </cell>
          <cell r="BT42">
            <v>3.9869512806444294</v>
          </cell>
          <cell r="BX42">
            <v>0.68000000000000027</v>
          </cell>
          <cell r="BY42">
            <v>3.9869512806444294</v>
          </cell>
          <cell r="CC42">
            <v>0.68000000000000027</v>
          </cell>
          <cell r="CD42">
            <v>3.9869512806444294</v>
          </cell>
          <cell r="CH42">
            <v>0.68000000000000027</v>
          </cell>
          <cell r="CI42">
            <v>3.9869512806444294</v>
          </cell>
          <cell r="CM42">
            <v>0.68000000000000027</v>
          </cell>
          <cell r="CN42">
            <v>3.9869512806444294</v>
          </cell>
          <cell r="CR42">
            <v>0.68000000000000027</v>
          </cell>
          <cell r="CS42">
            <v>3.9869512806444294</v>
          </cell>
          <cell r="CW42">
            <v>0.68000000000000027</v>
          </cell>
          <cell r="CX42">
            <v>3.9869512806444294</v>
          </cell>
          <cell r="DB42">
            <v>0.68000000000000027</v>
          </cell>
          <cell r="DC42">
            <v>3.9869512806444294</v>
          </cell>
          <cell r="DG42">
            <v>0.68000000000000027</v>
          </cell>
          <cell r="DH42">
            <v>3.9869512806444294</v>
          </cell>
          <cell r="DL42">
            <v>0.68000000000000027</v>
          </cell>
          <cell r="DM42">
            <v>3.9869512806444294</v>
          </cell>
          <cell r="DQ42">
            <v>0.68000000000000027</v>
          </cell>
          <cell r="DR42">
            <v>3.9869512806444294</v>
          </cell>
          <cell r="DV42">
            <v>0.68000000000000027</v>
          </cell>
          <cell r="DW42">
            <v>3.9869512806444294</v>
          </cell>
          <cell r="EA42">
            <v>0.68000000000000027</v>
          </cell>
          <cell r="EB42">
            <v>3.9869512806444294</v>
          </cell>
          <cell r="EF42">
            <v>0.68000000000000027</v>
          </cell>
          <cell r="EG42">
            <v>3.9869512806444294</v>
          </cell>
          <cell r="EK42">
            <v>0.68000000000000027</v>
          </cell>
          <cell r="EL42">
            <v>3.9869512806444294</v>
          </cell>
          <cell r="EP42">
            <v>0.68000000000000027</v>
          </cell>
          <cell r="EQ42">
            <v>3.9869512806444294</v>
          </cell>
          <cell r="EU42">
            <v>0.68000000000000027</v>
          </cell>
          <cell r="EV42">
            <v>3.9869512806444294</v>
          </cell>
        </row>
        <row r="43">
          <cell r="U43">
            <v>0.70000000000000029</v>
          </cell>
          <cell r="V43">
            <v>4.0509332279260599</v>
          </cell>
          <cell r="Z43">
            <v>0.70000000000000029</v>
          </cell>
          <cell r="AA43">
            <v>4.0509332279260599</v>
          </cell>
          <cell r="AE43">
            <v>0.70000000000000029</v>
          </cell>
          <cell r="AF43">
            <v>4.0509332279260599</v>
          </cell>
          <cell r="AJ43">
            <v>0.70000000000000029</v>
          </cell>
          <cell r="AK43">
            <v>4.0509332279260599</v>
          </cell>
          <cell r="AO43">
            <v>0.70000000000000029</v>
          </cell>
          <cell r="AP43">
            <v>4.0509332279260599</v>
          </cell>
          <cell r="AT43">
            <v>0.70000000000000029</v>
          </cell>
          <cell r="AU43">
            <v>4.0509332279260599</v>
          </cell>
          <cell r="AY43">
            <v>0.70000000000000029</v>
          </cell>
          <cell r="AZ43">
            <v>4.0509332279260599</v>
          </cell>
          <cell r="BD43">
            <v>0.70000000000000029</v>
          </cell>
          <cell r="BE43">
            <v>4.0509332279260599</v>
          </cell>
          <cell r="BI43">
            <v>0.70000000000000029</v>
          </cell>
          <cell r="BJ43">
            <v>4.0509332279260599</v>
          </cell>
          <cell r="BN43">
            <v>0.70000000000000029</v>
          </cell>
          <cell r="BO43">
            <v>4.0509332279260599</v>
          </cell>
          <cell r="BS43">
            <v>0.70000000000000029</v>
          </cell>
          <cell r="BT43">
            <v>4.0509332279260599</v>
          </cell>
          <cell r="BX43">
            <v>0.70000000000000029</v>
          </cell>
          <cell r="BY43">
            <v>4.0509332279260599</v>
          </cell>
          <cell r="CC43">
            <v>0.70000000000000029</v>
          </cell>
          <cell r="CD43">
            <v>4.0509332279260599</v>
          </cell>
          <cell r="CH43">
            <v>0.70000000000000029</v>
          </cell>
          <cell r="CI43">
            <v>4.0509332279260599</v>
          </cell>
          <cell r="CM43">
            <v>0.70000000000000029</v>
          </cell>
          <cell r="CN43">
            <v>4.0509332279260599</v>
          </cell>
          <cell r="CR43">
            <v>0.70000000000000029</v>
          </cell>
          <cell r="CS43">
            <v>4.0509332279260599</v>
          </cell>
          <cell r="CW43">
            <v>0.70000000000000029</v>
          </cell>
          <cell r="CX43">
            <v>4.0509332279260599</v>
          </cell>
          <cell r="DB43">
            <v>0.70000000000000029</v>
          </cell>
          <cell r="DC43">
            <v>4.0509332279260599</v>
          </cell>
          <cell r="DG43">
            <v>0.70000000000000029</v>
          </cell>
          <cell r="DH43">
            <v>4.0509332279260599</v>
          </cell>
          <cell r="DL43">
            <v>0.70000000000000029</v>
          </cell>
          <cell r="DM43">
            <v>4.0509332279260599</v>
          </cell>
          <cell r="DQ43">
            <v>0.70000000000000029</v>
          </cell>
          <cell r="DR43">
            <v>4.0509332279260599</v>
          </cell>
          <cell r="DV43">
            <v>0.70000000000000029</v>
          </cell>
          <cell r="DW43">
            <v>4.0509332279260599</v>
          </cell>
          <cell r="EA43">
            <v>0.70000000000000029</v>
          </cell>
          <cell r="EB43">
            <v>4.0509332279260599</v>
          </cell>
          <cell r="EF43">
            <v>0.70000000000000029</v>
          </cell>
          <cell r="EG43">
            <v>4.0509332279260599</v>
          </cell>
          <cell r="EK43">
            <v>0.70000000000000029</v>
          </cell>
          <cell r="EL43">
            <v>4.0509332279260599</v>
          </cell>
          <cell r="EP43">
            <v>0.70000000000000029</v>
          </cell>
          <cell r="EQ43">
            <v>4.0509332279260599</v>
          </cell>
          <cell r="EU43">
            <v>0.70000000000000029</v>
          </cell>
          <cell r="EV43">
            <v>4.0509332279260599</v>
          </cell>
        </row>
        <row r="44">
          <cell r="U44">
            <v>0.72000000000000031</v>
          </cell>
          <cell r="V44">
            <v>4.1122066624798421</v>
          </cell>
          <cell r="Z44">
            <v>0.72000000000000031</v>
          </cell>
          <cell r="AA44">
            <v>4.1122066624798421</v>
          </cell>
          <cell r="AE44">
            <v>0.72000000000000031</v>
          </cell>
          <cell r="AF44">
            <v>4.1122066624798421</v>
          </cell>
          <cell r="AJ44">
            <v>0.72000000000000031</v>
          </cell>
          <cell r="AK44">
            <v>4.1122066624798421</v>
          </cell>
          <cell r="AO44">
            <v>0.72000000000000031</v>
          </cell>
          <cell r="AP44">
            <v>4.1122066624798421</v>
          </cell>
          <cell r="AT44">
            <v>0.72000000000000031</v>
          </cell>
          <cell r="AU44">
            <v>4.1122066624798421</v>
          </cell>
          <cell r="AY44">
            <v>0.72000000000000031</v>
          </cell>
          <cell r="AZ44">
            <v>4.1122066624798421</v>
          </cell>
          <cell r="BD44">
            <v>0.72000000000000031</v>
          </cell>
          <cell r="BE44">
            <v>4.1122066624798421</v>
          </cell>
          <cell r="BI44">
            <v>0.72000000000000031</v>
          </cell>
          <cell r="BJ44">
            <v>4.1122066624798421</v>
          </cell>
          <cell r="BN44">
            <v>0.72000000000000031</v>
          </cell>
          <cell r="BO44">
            <v>4.1122066624798421</v>
          </cell>
          <cell r="BS44">
            <v>0.72000000000000031</v>
          </cell>
          <cell r="BT44">
            <v>4.1122066624798421</v>
          </cell>
          <cell r="BX44">
            <v>0.72000000000000031</v>
          </cell>
          <cell r="BY44">
            <v>4.1122066624798421</v>
          </cell>
          <cell r="CC44">
            <v>0.72000000000000031</v>
          </cell>
          <cell r="CD44">
            <v>4.1122066624798421</v>
          </cell>
          <cell r="CH44">
            <v>0.72000000000000031</v>
          </cell>
          <cell r="CI44">
            <v>4.1122066624798421</v>
          </cell>
          <cell r="CM44">
            <v>0.72000000000000031</v>
          </cell>
          <cell r="CN44">
            <v>4.1122066624798421</v>
          </cell>
          <cell r="CR44">
            <v>0.72000000000000031</v>
          </cell>
          <cell r="CS44">
            <v>4.1122066624798421</v>
          </cell>
          <cell r="CW44">
            <v>0.72000000000000031</v>
          </cell>
          <cell r="CX44">
            <v>4.1122066624798421</v>
          </cell>
          <cell r="DB44">
            <v>0.72000000000000031</v>
          </cell>
          <cell r="DC44">
            <v>4.1122066624798421</v>
          </cell>
          <cell r="DG44">
            <v>0.72000000000000031</v>
          </cell>
          <cell r="DH44">
            <v>4.1122066624798421</v>
          </cell>
          <cell r="DL44">
            <v>0.72000000000000031</v>
          </cell>
          <cell r="DM44">
            <v>4.1122066624798421</v>
          </cell>
          <cell r="DQ44">
            <v>0.72000000000000031</v>
          </cell>
          <cell r="DR44">
            <v>4.1122066624798421</v>
          </cell>
          <cell r="DV44">
            <v>0.72000000000000031</v>
          </cell>
          <cell r="DW44">
            <v>4.1122066624798421</v>
          </cell>
          <cell r="EA44">
            <v>0.72000000000000031</v>
          </cell>
          <cell r="EB44">
            <v>4.1122066624798421</v>
          </cell>
          <cell r="EF44">
            <v>0.72000000000000031</v>
          </cell>
          <cell r="EG44">
            <v>4.1122066624798421</v>
          </cell>
          <cell r="EK44">
            <v>0.72000000000000031</v>
          </cell>
          <cell r="EL44">
            <v>4.1122066624798421</v>
          </cell>
          <cell r="EP44">
            <v>0.72000000000000031</v>
          </cell>
          <cell r="EQ44">
            <v>4.1122066624798421</v>
          </cell>
          <cell r="EU44">
            <v>0.72000000000000031</v>
          </cell>
          <cell r="EV44">
            <v>4.1122066624798421</v>
          </cell>
        </row>
        <row r="45">
          <cell r="U45">
            <v>0.74000000000000032</v>
          </cell>
          <cell r="V45">
            <v>4.1707715843057773</v>
          </cell>
          <cell r="Z45">
            <v>0.74000000000000032</v>
          </cell>
          <cell r="AA45">
            <v>4.1707715843057773</v>
          </cell>
          <cell r="AE45">
            <v>0.74000000000000032</v>
          </cell>
          <cell r="AF45">
            <v>4.1707715843057773</v>
          </cell>
          <cell r="AJ45">
            <v>0.74000000000000032</v>
          </cell>
          <cell r="AK45">
            <v>4.1707715843057773</v>
          </cell>
          <cell r="AO45">
            <v>0.74000000000000032</v>
          </cell>
          <cell r="AP45">
            <v>4.1707715843057773</v>
          </cell>
          <cell r="AT45">
            <v>0.74000000000000032</v>
          </cell>
          <cell r="AU45">
            <v>4.1707715843057773</v>
          </cell>
          <cell r="AY45">
            <v>0.74000000000000032</v>
          </cell>
          <cell r="AZ45">
            <v>4.1707715843057773</v>
          </cell>
          <cell r="BD45">
            <v>0.74000000000000032</v>
          </cell>
          <cell r="BE45">
            <v>4.1707715843057773</v>
          </cell>
          <cell r="BI45">
            <v>0.74000000000000032</v>
          </cell>
          <cell r="BJ45">
            <v>4.1707715843057773</v>
          </cell>
          <cell r="BN45">
            <v>0.74000000000000032</v>
          </cell>
          <cell r="BO45">
            <v>4.1707715843057773</v>
          </cell>
          <cell r="BS45">
            <v>0.74000000000000032</v>
          </cell>
          <cell r="BT45">
            <v>4.1707715843057773</v>
          </cell>
          <cell r="BX45">
            <v>0.74000000000000032</v>
          </cell>
          <cell r="BY45">
            <v>4.1707715843057773</v>
          </cell>
          <cell r="CC45">
            <v>0.74000000000000032</v>
          </cell>
          <cell r="CD45">
            <v>4.1707715843057773</v>
          </cell>
          <cell r="CH45">
            <v>0.74000000000000032</v>
          </cell>
          <cell r="CI45">
            <v>4.1707715843057773</v>
          </cell>
          <cell r="CM45">
            <v>0.74000000000000032</v>
          </cell>
          <cell r="CN45">
            <v>4.1707715843057773</v>
          </cell>
          <cell r="CR45">
            <v>0.74000000000000032</v>
          </cell>
          <cell r="CS45">
            <v>4.1707715843057773</v>
          </cell>
          <cell r="CW45">
            <v>0.74000000000000032</v>
          </cell>
          <cell r="CX45">
            <v>4.1707715843057773</v>
          </cell>
          <cell r="DB45">
            <v>0.74000000000000032</v>
          </cell>
          <cell r="DC45">
            <v>4.1707715843057773</v>
          </cell>
          <cell r="DG45">
            <v>0.74000000000000032</v>
          </cell>
          <cell r="DH45">
            <v>4.1707715843057773</v>
          </cell>
          <cell r="DL45">
            <v>0.74000000000000032</v>
          </cell>
          <cell r="DM45">
            <v>4.1707715843057773</v>
          </cell>
          <cell r="DQ45">
            <v>0.74000000000000032</v>
          </cell>
          <cell r="DR45">
            <v>4.1707715843057773</v>
          </cell>
          <cell r="DV45">
            <v>0.74000000000000032</v>
          </cell>
          <cell r="DW45">
            <v>4.1707715843057773</v>
          </cell>
          <cell r="EA45">
            <v>0.74000000000000032</v>
          </cell>
          <cell r="EB45">
            <v>4.1707715843057773</v>
          </cell>
          <cell r="EF45">
            <v>0.74000000000000032</v>
          </cell>
          <cell r="EG45">
            <v>4.1707715843057773</v>
          </cell>
          <cell r="EK45">
            <v>0.74000000000000032</v>
          </cell>
          <cell r="EL45">
            <v>4.1707715843057773</v>
          </cell>
          <cell r="EP45">
            <v>0.74000000000000032</v>
          </cell>
          <cell r="EQ45">
            <v>4.1707715843057773</v>
          </cell>
          <cell r="EU45">
            <v>0.74000000000000032</v>
          </cell>
          <cell r="EV45">
            <v>4.1707715843057773</v>
          </cell>
        </row>
        <row r="46">
          <cell r="U46">
            <v>0.76000000000000034</v>
          </cell>
          <cell r="V46">
            <v>4.2266279934038655</v>
          </cell>
          <cell r="Z46">
            <v>0.76000000000000034</v>
          </cell>
          <cell r="AA46">
            <v>4.2266279934038655</v>
          </cell>
          <cell r="AE46">
            <v>0.76000000000000034</v>
          </cell>
          <cell r="AF46">
            <v>4.2266279934038655</v>
          </cell>
          <cell r="AJ46">
            <v>0.76000000000000034</v>
          </cell>
          <cell r="AK46">
            <v>4.2266279934038655</v>
          </cell>
          <cell r="AO46">
            <v>0.76000000000000034</v>
          </cell>
          <cell r="AP46">
            <v>4.2266279934038655</v>
          </cell>
          <cell r="AT46">
            <v>0.76000000000000034</v>
          </cell>
          <cell r="AU46">
            <v>4.2266279934038655</v>
          </cell>
          <cell r="AY46">
            <v>0.76000000000000034</v>
          </cell>
          <cell r="AZ46">
            <v>4.2266279934038655</v>
          </cell>
          <cell r="BD46">
            <v>0.76000000000000034</v>
          </cell>
          <cell r="BE46">
            <v>4.2266279934038655</v>
          </cell>
          <cell r="BI46">
            <v>0.76000000000000034</v>
          </cell>
          <cell r="BJ46">
            <v>4.2266279934038655</v>
          </cell>
          <cell r="BN46">
            <v>0.76000000000000034</v>
          </cell>
          <cell r="BO46">
            <v>4.2266279934038655</v>
          </cell>
          <cell r="BS46">
            <v>0.76000000000000034</v>
          </cell>
          <cell r="BT46">
            <v>4.2266279934038655</v>
          </cell>
          <cell r="BX46">
            <v>0.76000000000000034</v>
          </cell>
          <cell r="BY46">
            <v>4.2266279934038655</v>
          </cell>
          <cell r="CC46">
            <v>0.76000000000000034</v>
          </cell>
          <cell r="CD46">
            <v>4.2266279934038655</v>
          </cell>
          <cell r="CH46">
            <v>0.76000000000000034</v>
          </cell>
          <cell r="CI46">
            <v>4.2266279934038655</v>
          </cell>
          <cell r="CM46">
            <v>0.76000000000000034</v>
          </cell>
          <cell r="CN46">
            <v>4.2266279934038655</v>
          </cell>
          <cell r="CR46">
            <v>0.76000000000000034</v>
          </cell>
          <cell r="CS46">
            <v>4.2266279934038655</v>
          </cell>
          <cell r="CW46">
            <v>0.76000000000000034</v>
          </cell>
          <cell r="CX46">
            <v>4.2266279934038655</v>
          </cell>
          <cell r="DB46">
            <v>0.76000000000000034</v>
          </cell>
          <cell r="DC46">
            <v>4.2266279934038655</v>
          </cell>
          <cell r="DG46">
            <v>0.76000000000000034</v>
          </cell>
          <cell r="DH46">
            <v>4.2266279934038655</v>
          </cell>
          <cell r="DL46">
            <v>0.76000000000000034</v>
          </cell>
          <cell r="DM46">
            <v>4.2266279934038655</v>
          </cell>
          <cell r="DQ46">
            <v>0.76000000000000034</v>
          </cell>
          <cell r="DR46">
            <v>4.2266279934038655</v>
          </cell>
          <cell r="DV46">
            <v>0.76000000000000034</v>
          </cell>
          <cell r="DW46">
            <v>4.2266279934038655</v>
          </cell>
          <cell r="EA46">
            <v>0.76000000000000034</v>
          </cell>
          <cell r="EB46">
            <v>4.2266279934038655</v>
          </cell>
          <cell r="EF46">
            <v>0.76000000000000034</v>
          </cell>
          <cell r="EG46">
            <v>4.2266279934038655</v>
          </cell>
          <cell r="EK46">
            <v>0.76000000000000034</v>
          </cell>
          <cell r="EL46">
            <v>4.2266279934038655</v>
          </cell>
          <cell r="EP46">
            <v>0.76000000000000034</v>
          </cell>
          <cell r="EQ46">
            <v>4.2266279934038655</v>
          </cell>
          <cell r="EU46">
            <v>0.76000000000000034</v>
          </cell>
          <cell r="EV46">
            <v>4.2266279934038655</v>
          </cell>
        </row>
        <row r="47">
          <cell r="U47">
            <v>0.78000000000000036</v>
          </cell>
          <cell r="V47">
            <v>4.2797758897741076</v>
          </cell>
          <cell r="Z47">
            <v>0.78000000000000036</v>
          </cell>
          <cell r="AA47">
            <v>4.2797758897741076</v>
          </cell>
          <cell r="AE47">
            <v>0.78000000000000036</v>
          </cell>
          <cell r="AF47">
            <v>4.2797758897741076</v>
          </cell>
          <cell r="AJ47">
            <v>0.78000000000000036</v>
          </cell>
          <cell r="AK47">
            <v>4.2797758897741076</v>
          </cell>
          <cell r="AO47">
            <v>0.78000000000000036</v>
          </cell>
          <cell r="AP47">
            <v>4.2797758897741076</v>
          </cell>
          <cell r="AT47">
            <v>0.78000000000000036</v>
          </cell>
          <cell r="AU47">
            <v>4.2797758897741076</v>
          </cell>
          <cell r="AY47">
            <v>0.78000000000000036</v>
          </cell>
          <cell r="AZ47">
            <v>4.2797758897741076</v>
          </cell>
          <cell r="BD47">
            <v>0.78000000000000036</v>
          </cell>
          <cell r="BE47">
            <v>4.2797758897741076</v>
          </cell>
          <cell r="BI47">
            <v>0.78000000000000036</v>
          </cell>
          <cell r="BJ47">
            <v>4.2797758897741076</v>
          </cell>
          <cell r="BN47">
            <v>0.78000000000000036</v>
          </cell>
          <cell r="BO47">
            <v>4.2797758897741076</v>
          </cell>
          <cell r="BS47">
            <v>0.78000000000000036</v>
          </cell>
          <cell r="BT47">
            <v>4.2797758897741076</v>
          </cell>
          <cell r="BX47">
            <v>0.78000000000000036</v>
          </cell>
          <cell r="BY47">
            <v>4.2797758897741076</v>
          </cell>
          <cell r="CC47">
            <v>0.78000000000000036</v>
          </cell>
          <cell r="CD47">
            <v>4.2797758897741076</v>
          </cell>
          <cell r="CH47">
            <v>0.78000000000000036</v>
          </cell>
          <cell r="CI47">
            <v>4.2797758897741076</v>
          </cell>
          <cell r="CM47">
            <v>0.78000000000000036</v>
          </cell>
          <cell r="CN47">
            <v>4.2797758897741076</v>
          </cell>
          <cell r="CR47">
            <v>0.78000000000000036</v>
          </cell>
          <cell r="CS47">
            <v>4.2797758897741076</v>
          </cell>
          <cell r="CW47">
            <v>0.78000000000000036</v>
          </cell>
          <cell r="CX47">
            <v>4.2797758897741076</v>
          </cell>
          <cell r="DB47">
            <v>0.78000000000000036</v>
          </cell>
          <cell r="DC47">
            <v>4.2797758897741076</v>
          </cell>
          <cell r="DG47">
            <v>0.78000000000000036</v>
          </cell>
          <cell r="DH47">
            <v>4.2797758897741076</v>
          </cell>
          <cell r="DL47">
            <v>0.78000000000000036</v>
          </cell>
          <cell r="DM47">
            <v>4.2797758897741076</v>
          </cell>
          <cell r="DQ47">
            <v>0.78000000000000036</v>
          </cell>
          <cell r="DR47">
            <v>4.2797758897741076</v>
          </cell>
          <cell r="DV47">
            <v>0.78000000000000036</v>
          </cell>
          <cell r="DW47">
            <v>4.2797758897741076</v>
          </cell>
          <cell r="EA47">
            <v>0.78000000000000036</v>
          </cell>
          <cell r="EB47">
            <v>4.2797758897741076</v>
          </cell>
          <cell r="EF47">
            <v>0.78000000000000036</v>
          </cell>
          <cell r="EG47">
            <v>4.2797758897741076</v>
          </cell>
          <cell r="EK47">
            <v>0.78000000000000036</v>
          </cell>
          <cell r="EL47">
            <v>4.2797758897741076</v>
          </cell>
          <cell r="EP47">
            <v>0.78000000000000036</v>
          </cell>
          <cell r="EQ47">
            <v>4.2797758897741076</v>
          </cell>
          <cell r="EU47">
            <v>0.78000000000000036</v>
          </cell>
          <cell r="EV47">
            <v>4.2797758897741076</v>
          </cell>
        </row>
        <row r="48">
          <cell r="U48">
            <v>0.80000000000000038</v>
          </cell>
          <cell r="V48">
            <v>4.3302152734165018</v>
          </cell>
          <cell r="Z48">
            <v>0.80000000000000038</v>
          </cell>
          <cell r="AA48">
            <v>4.3302152734165018</v>
          </cell>
          <cell r="AE48">
            <v>0.80000000000000038</v>
          </cell>
          <cell r="AF48">
            <v>4.3302152734165018</v>
          </cell>
          <cell r="AJ48">
            <v>0.80000000000000038</v>
          </cell>
          <cell r="AK48">
            <v>4.3302152734165018</v>
          </cell>
          <cell r="AO48">
            <v>0.80000000000000038</v>
          </cell>
          <cell r="AP48">
            <v>4.3302152734165018</v>
          </cell>
          <cell r="AT48">
            <v>0.80000000000000038</v>
          </cell>
          <cell r="AU48">
            <v>4.3302152734165018</v>
          </cell>
          <cell r="AY48">
            <v>0.80000000000000038</v>
          </cell>
          <cell r="AZ48">
            <v>4.3302152734165018</v>
          </cell>
          <cell r="BD48">
            <v>0.80000000000000038</v>
          </cell>
          <cell r="BE48">
            <v>4.3302152734165018</v>
          </cell>
          <cell r="BI48">
            <v>0.80000000000000038</v>
          </cell>
          <cell r="BJ48">
            <v>4.3302152734165018</v>
          </cell>
          <cell r="BN48">
            <v>0.80000000000000038</v>
          </cell>
          <cell r="BO48">
            <v>4.3302152734165018</v>
          </cell>
          <cell r="BS48">
            <v>0.80000000000000038</v>
          </cell>
          <cell r="BT48">
            <v>4.3302152734165018</v>
          </cell>
          <cell r="BX48">
            <v>0.80000000000000038</v>
          </cell>
          <cell r="BY48">
            <v>4.3302152734165018</v>
          </cell>
          <cell r="CC48">
            <v>0.80000000000000038</v>
          </cell>
          <cell r="CD48">
            <v>4.3302152734165018</v>
          </cell>
          <cell r="CH48">
            <v>0.80000000000000038</v>
          </cell>
          <cell r="CI48">
            <v>4.3302152734165018</v>
          </cell>
          <cell r="CM48">
            <v>0.80000000000000038</v>
          </cell>
          <cell r="CN48">
            <v>4.3302152734165018</v>
          </cell>
          <cell r="CR48">
            <v>0.80000000000000038</v>
          </cell>
          <cell r="CS48">
            <v>4.3302152734165018</v>
          </cell>
          <cell r="CW48">
            <v>0.80000000000000038</v>
          </cell>
          <cell r="CX48">
            <v>4.3302152734165018</v>
          </cell>
          <cell r="DB48">
            <v>0.80000000000000038</v>
          </cell>
          <cell r="DC48">
            <v>4.3302152734165018</v>
          </cell>
          <cell r="DG48">
            <v>0.80000000000000038</v>
          </cell>
          <cell r="DH48">
            <v>4.3302152734165018</v>
          </cell>
          <cell r="DL48">
            <v>0.80000000000000038</v>
          </cell>
          <cell r="DM48">
            <v>4.3302152734165018</v>
          </cell>
          <cell r="DQ48">
            <v>0.80000000000000038</v>
          </cell>
          <cell r="DR48">
            <v>4.3302152734165018</v>
          </cell>
          <cell r="DV48">
            <v>0.80000000000000038</v>
          </cell>
          <cell r="DW48">
            <v>4.3302152734165018</v>
          </cell>
          <cell r="EA48">
            <v>0.80000000000000038</v>
          </cell>
          <cell r="EB48">
            <v>4.3302152734165018</v>
          </cell>
          <cell r="EF48">
            <v>0.80000000000000038</v>
          </cell>
          <cell r="EG48">
            <v>4.3302152734165018</v>
          </cell>
          <cell r="EK48">
            <v>0.80000000000000038</v>
          </cell>
          <cell r="EL48">
            <v>4.3302152734165018</v>
          </cell>
          <cell r="EP48">
            <v>0.80000000000000038</v>
          </cell>
          <cell r="EQ48">
            <v>4.3302152734165018</v>
          </cell>
          <cell r="EU48">
            <v>0.80000000000000038</v>
          </cell>
          <cell r="EV48">
            <v>4.3302152734165018</v>
          </cell>
        </row>
        <row r="49">
          <cell r="U49">
            <v>0.8200000000000004</v>
          </cell>
          <cell r="V49">
            <v>4.377946144331049</v>
          </cell>
          <cell r="Z49">
            <v>0.8200000000000004</v>
          </cell>
          <cell r="AA49">
            <v>4.377946144331049</v>
          </cell>
          <cell r="AE49">
            <v>0.8200000000000004</v>
          </cell>
          <cell r="AF49">
            <v>4.377946144331049</v>
          </cell>
          <cell r="AJ49">
            <v>0.8200000000000004</v>
          </cell>
          <cell r="AK49">
            <v>4.377946144331049</v>
          </cell>
          <cell r="AO49">
            <v>0.8200000000000004</v>
          </cell>
          <cell r="AP49">
            <v>4.377946144331049</v>
          </cell>
          <cell r="AT49">
            <v>0.8200000000000004</v>
          </cell>
          <cell r="AU49">
            <v>4.377946144331049</v>
          </cell>
          <cell r="AY49">
            <v>0.8200000000000004</v>
          </cell>
          <cell r="AZ49">
            <v>4.377946144331049</v>
          </cell>
          <cell r="BD49">
            <v>0.8200000000000004</v>
          </cell>
          <cell r="BE49">
            <v>4.377946144331049</v>
          </cell>
          <cell r="BI49">
            <v>0.8200000000000004</v>
          </cell>
          <cell r="BJ49">
            <v>4.377946144331049</v>
          </cell>
          <cell r="BN49">
            <v>0.8200000000000004</v>
          </cell>
          <cell r="BO49">
            <v>4.377946144331049</v>
          </cell>
          <cell r="BS49">
            <v>0.8200000000000004</v>
          </cell>
          <cell r="BT49">
            <v>4.377946144331049</v>
          </cell>
          <cell r="BX49">
            <v>0.8200000000000004</v>
          </cell>
          <cell r="BY49">
            <v>4.377946144331049</v>
          </cell>
          <cell r="CC49">
            <v>0.8200000000000004</v>
          </cell>
          <cell r="CD49">
            <v>4.377946144331049</v>
          </cell>
          <cell r="CH49">
            <v>0.8200000000000004</v>
          </cell>
          <cell r="CI49">
            <v>4.377946144331049</v>
          </cell>
          <cell r="CM49">
            <v>0.8200000000000004</v>
          </cell>
          <cell r="CN49">
            <v>4.377946144331049</v>
          </cell>
          <cell r="CR49">
            <v>0.8200000000000004</v>
          </cell>
          <cell r="CS49">
            <v>4.377946144331049</v>
          </cell>
          <cell r="CW49">
            <v>0.8200000000000004</v>
          </cell>
          <cell r="CX49">
            <v>4.377946144331049</v>
          </cell>
          <cell r="DB49">
            <v>0.8200000000000004</v>
          </cell>
          <cell r="DC49">
            <v>4.377946144331049</v>
          </cell>
          <cell r="DG49">
            <v>0.8200000000000004</v>
          </cell>
          <cell r="DH49">
            <v>4.377946144331049</v>
          </cell>
          <cell r="DL49">
            <v>0.8200000000000004</v>
          </cell>
          <cell r="DM49">
            <v>4.377946144331049</v>
          </cell>
          <cell r="DQ49">
            <v>0.8200000000000004</v>
          </cell>
          <cell r="DR49">
            <v>4.377946144331049</v>
          </cell>
          <cell r="DV49">
            <v>0.8200000000000004</v>
          </cell>
          <cell r="DW49">
            <v>4.377946144331049</v>
          </cell>
          <cell r="EA49">
            <v>0.8200000000000004</v>
          </cell>
          <cell r="EB49">
            <v>4.377946144331049</v>
          </cell>
          <cell r="EF49">
            <v>0.8200000000000004</v>
          </cell>
          <cell r="EG49">
            <v>4.377946144331049</v>
          </cell>
          <cell r="EK49">
            <v>0.8200000000000004</v>
          </cell>
          <cell r="EL49">
            <v>4.377946144331049</v>
          </cell>
          <cell r="EP49">
            <v>0.8200000000000004</v>
          </cell>
          <cell r="EQ49">
            <v>4.377946144331049</v>
          </cell>
          <cell r="EU49">
            <v>0.8200000000000004</v>
          </cell>
          <cell r="EV49">
            <v>4.377946144331049</v>
          </cell>
        </row>
        <row r="50">
          <cell r="U50">
            <v>0.84000000000000041</v>
          </cell>
          <cell r="V50">
            <v>4.4229685025177492</v>
          </cell>
          <cell r="Z50">
            <v>0.84000000000000041</v>
          </cell>
          <cell r="AA50">
            <v>4.4229685025177492</v>
          </cell>
          <cell r="AE50">
            <v>0.84000000000000041</v>
          </cell>
          <cell r="AF50">
            <v>4.4229685025177492</v>
          </cell>
          <cell r="AJ50">
            <v>0.84000000000000041</v>
          </cell>
          <cell r="AK50">
            <v>4.4229685025177492</v>
          </cell>
          <cell r="AO50">
            <v>0.84000000000000041</v>
          </cell>
          <cell r="AP50">
            <v>4.4229685025177492</v>
          </cell>
          <cell r="AT50">
            <v>0.84000000000000041</v>
          </cell>
          <cell r="AU50">
            <v>4.4229685025177492</v>
          </cell>
          <cell r="AY50">
            <v>0.84000000000000041</v>
          </cell>
          <cell r="AZ50">
            <v>4.4229685025177492</v>
          </cell>
          <cell r="BD50">
            <v>0.84000000000000041</v>
          </cell>
          <cell r="BE50">
            <v>4.4229685025177492</v>
          </cell>
          <cell r="BI50">
            <v>0.84000000000000041</v>
          </cell>
          <cell r="BJ50">
            <v>4.4229685025177492</v>
          </cell>
          <cell r="BN50">
            <v>0.84000000000000041</v>
          </cell>
          <cell r="BO50">
            <v>4.4229685025177492</v>
          </cell>
          <cell r="BS50">
            <v>0.84000000000000041</v>
          </cell>
          <cell r="BT50">
            <v>4.4229685025177492</v>
          </cell>
          <cell r="BX50">
            <v>0.84000000000000041</v>
          </cell>
          <cell r="BY50">
            <v>4.4229685025177492</v>
          </cell>
          <cell r="CC50">
            <v>0.84000000000000041</v>
          </cell>
          <cell r="CD50">
            <v>4.4229685025177492</v>
          </cell>
          <cell r="CH50">
            <v>0.84000000000000041</v>
          </cell>
          <cell r="CI50">
            <v>4.4229685025177492</v>
          </cell>
          <cell r="CM50">
            <v>0.84000000000000041</v>
          </cell>
          <cell r="CN50">
            <v>4.4229685025177492</v>
          </cell>
          <cell r="CR50">
            <v>0.84000000000000041</v>
          </cell>
          <cell r="CS50">
            <v>4.4229685025177492</v>
          </cell>
          <cell r="CW50">
            <v>0.84000000000000041</v>
          </cell>
          <cell r="CX50">
            <v>4.4229685025177492</v>
          </cell>
          <cell r="DB50">
            <v>0.84000000000000041</v>
          </cell>
          <cell r="DC50">
            <v>4.4229685025177492</v>
          </cell>
          <cell r="DG50">
            <v>0.84000000000000041</v>
          </cell>
          <cell r="DH50">
            <v>4.4229685025177492</v>
          </cell>
          <cell r="DL50">
            <v>0.84000000000000041</v>
          </cell>
          <cell r="DM50">
            <v>4.4229685025177492</v>
          </cell>
          <cell r="DQ50">
            <v>0.84000000000000041</v>
          </cell>
          <cell r="DR50">
            <v>4.4229685025177492</v>
          </cell>
          <cell r="DV50">
            <v>0.84000000000000041</v>
          </cell>
          <cell r="DW50">
            <v>4.4229685025177492</v>
          </cell>
          <cell r="EA50">
            <v>0.84000000000000041</v>
          </cell>
          <cell r="EB50">
            <v>4.4229685025177492</v>
          </cell>
          <cell r="EF50">
            <v>0.84000000000000041</v>
          </cell>
          <cell r="EG50">
            <v>4.4229685025177492</v>
          </cell>
          <cell r="EK50">
            <v>0.84000000000000041</v>
          </cell>
          <cell r="EL50">
            <v>4.4229685025177492</v>
          </cell>
          <cell r="EP50">
            <v>0.84000000000000041</v>
          </cell>
          <cell r="EQ50">
            <v>4.4229685025177492</v>
          </cell>
          <cell r="EU50">
            <v>0.84000000000000041</v>
          </cell>
          <cell r="EV50">
            <v>4.4229685025177492</v>
          </cell>
        </row>
        <row r="51">
          <cell r="U51">
            <v>0.86000000000000043</v>
          </cell>
          <cell r="V51">
            <v>4.4652823479766033</v>
          </cell>
          <cell r="Z51">
            <v>0.86000000000000043</v>
          </cell>
          <cell r="AA51">
            <v>4.4652823479766033</v>
          </cell>
          <cell r="AE51">
            <v>0.86000000000000043</v>
          </cell>
          <cell r="AF51">
            <v>4.4652823479766033</v>
          </cell>
          <cell r="AJ51">
            <v>0.86000000000000043</v>
          </cell>
          <cell r="AK51">
            <v>4.4652823479766033</v>
          </cell>
          <cell r="AO51">
            <v>0.86000000000000043</v>
          </cell>
          <cell r="AP51">
            <v>4.4652823479766033</v>
          </cell>
          <cell r="AT51">
            <v>0.86000000000000043</v>
          </cell>
          <cell r="AU51">
            <v>4.4652823479766033</v>
          </cell>
          <cell r="AY51">
            <v>0.86000000000000043</v>
          </cell>
          <cell r="AZ51">
            <v>4.4652823479766033</v>
          </cell>
          <cell r="BD51">
            <v>0.86000000000000043</v>
          </cell>
          <cell r="BE51">
            <v>4.4652823479766033</v>
          </cell>
          <cell r="BI51">
            <v>0.86000000000000043</v>
          </cell>
          <cell r="BJ51">
            <v>4.4652823479766033</v>
          </cell>
          <cell r="BN51">
            <v>0.86000000000000043</v>
          </cell>
          <cell r="BO51">
            <v>4.4652823479766033</v>
          </cell>
          <cell r="BS51">
            <v>0.86000000000000043</v>
          </cell>
          <cell r="BT51">
            <v>4.4652823479766033</v>
          </cell>
          <cell r="BX51">
            <v>0.86000000000000043</v>
          </cell>
          <cell r="BY51">
            <v>4.4652823479766033</v>
          </cell>
          <cell r="CC51">
            <v>0.86000000000000043</v>
          </cell>
          <cell r="CD51">
            <v>4.4652823479766033</v>
          </cell>
          <cell r="CH51">
            <v>0.86000000000000043</v>
          </cell>
          <cell r="CI51">
            <v>4.4652823479766033</v>
          </cell>
          <cell r="CM51">
            <v>0.86000000000000043</v>
          </cell>
          <cell r="CN51">
            <v>4.4652823479766033</v>
          </cell>
          <cell r="CR51">
            <v>0.86000000000000043</v>
          </cell>
          <cell r="CS51">
            <v>4.4652823479766033</v>
          </cell>
          <cell r="CW51">
            <v>0.86000000000000043</v>
          </cell>
          <cell r="CX51">
            <v>4.4652823479766033</v>
          </cell>
          <cell r="DB51">
            <v>0.86000000000000043</v>
          </cell>
          <cell r="DC51">
            <v>4.4652823479766033</v>
          </cell>
          <cell r="DG51">
            <v>0.86000000000000043</v>
          </cell>
          <cell r="DH51">
            <v>4.4652823479766033</v>
          </cell>
          <cell r="DL51">
            <v>0.86000000000000043</v>
          </cell>
          <cell r="DM51">
            <v>4.4652823479766033</v>
          </cell>
          <cell r="DQ51">
            <v>0.86000000000000043</v>
          </cell>
          <cell r="DR51">
            <v>4.4652823479766033</v>
          </cell>
          <cell r="DV51">
            <v>0.86000000000000043</v>
          </cell>
          <cell r="DW51">
            <v>4.4652823479766033</v>
          </cell>
          <cell r="EA51">
            <v>0.86000000000000043</v>
          </cell>
          <cell r="EB51">
            <v>4.4652823479766033</v>
          </cell>
          <cell r="EF51">
            <v>0.86000000000000043</v>
          </cell>
          <cell r="EG51">
            <v>4.4652823479766033</v>
          </cell>
          <cell r="EK51">
            <v>0.86000000000000043</v>
          </cell>
          <cell r="EL51">
            <v>4.4652823479766033</v>
          </cell>
          <cell r="EP51">
            <v>0.86000000000000043</v>
          </cell>
          <cell r="EQ51">
            <v>4.4652823479766033</v>
          </cell>
          <cell r="EU51">
            <v>0.86000000000000043</v>
          </cell>
          <cell r="EV51">
            <v>4.4652823479766033</v>
          </cell>
        </row>
        <row r="52">
          <cell r="U52">
            <v>0.88000000000000045</v>
          </cell>
          <cell r="V52">
            <v>4.5048876807076086</v>
          </cell>
          <cell r="Z52">
            <v>0.88000000000000045</v>
          </cell>
          <cell r="AA52">
            <v>4.5048876807076086</v>
          </cell>
          <cell r="AE52">
            <v>0.88000000000000045</v>
          </cell>
          <cell r="AF52">
            <v>4.5048876807076086</v>
          </cell>
          <cell r="AJ52">
            <v>0.88000000000000045</v>
          </cell>
          <cell r="AK52">
            <v>4.5048876807076086</v>
          </cell>
          <cell r="AO52">
            <v>0.88000000000000045</v>
          </cell>
          <cell r="AP52">
            <v>4.5048876807076086</v>
          </cell>
          <cell r="AT52">
            <v>0.88000000000000045</v>
          </cell>
          <cell r="AU52">
            <v>4.5048876807076086</v>
          </cell>
          <cell r="AY52">
            <v>0.88000000000000045</v>
          </cell>
          <cell r="AZ52">
            <v>4.5048876807076086</v>
          </cell>
          <cell r="BD52">
            <v>0.88000000000000045</v>
          </cell>
          <cell r="BE52">
            <v>4.5048876807076086</v>
          </cell>
          <cell r="BI52">
            <v>0.88000000000000045</v>
          </cell>
          <cell r="BJ52">
            <v>4.5048876807076086</v>
          </cell>
          <cell r="BN52">
            <v>0.88000000000000045</v>
          </cell>
          <cell r="BO52">
            <v>4.5048876807076086</v>
          </cell>
          <cell r="BS52">
            <v>0.88000000000000045</v>
          </cell>
          <cell r="BT52">
            <v>4.5048876807076086</v>
          </cell>
          <cell r="BX52">
            <v>0.88000000000000045</v>
          </cell>
          <cell r="BY52">
            <v>4.5048876807076086</v>
          </cell>
          <cell r="CC52">
            <v>0.88000000000000045</v>
          </cell>
          <cell r="CD52">
            <v>4.5048876807076086</v>
          </cell>
          <cell r="CH52">
            <v>0.88000000000000045</v>
          </cell>
          <cell r="CI52">
            <v>4.5048876807076086</v>
          </cell>
          <cell r="CM52">
            <v>0.88000000000000045</v>
          </cell>
          <cell r="CN52">
            <v>4.5048876807076086</v>
          </cell>
          <cell r="CR52">
            <v>0.88000000000000045</v>
          </cell>
          <cell r="CS52">
            <v>4.5048876807076086</v>
          </cell>
          <cell r="CW52">
            <v>0.88000000000000045</v>
          </cell>
          <cell r="CX52">
            <v>4.5048876807076086</v>
          </cell>
          <cell r="DB52">
            <v>0.88000000000000045</v>
          </cell>
          <cell r="DC52">
            <v>4.5048876807076086</v>
          </cell>
          <cell r="DG52">
            <v>0.88000000000000045</v>
          </cell>
          <cell r="DH52">
            <v>4.5048876807076086</v>
          </cell>
          <cell r="DL52">
            <v>0.88000000000000045</v>
          </cell>
          <cell r="DM52">
            <v>4.5048876807076086</v>
          </cell>
          <cell r="DQ52">
            <v>0.88000000000000045</v>
          </cell>
          <cell r="DR52">
            <v>4.5048876807076086</v>
          </cell>
          <cell r="DV52">
            <v>0.88000000000000045</v>
          </cell>
          <cell r="DW52">
            <v>4.5048876807076086</v>
          </cell>
          <cell r="EA52">
            <v>0.88000000000000045</v>
          </cell>
          <cell r="EB52">
            <v>4.5048876807076086</v>
          </cell>
          <cell r="EF52">
            <v>0.88000000000000045</v>
          </cell>
          <cell r="EG52">
            <v>4.5048876807076086</v>
          </cell>
          <cell r="EK52">
            <v>0.88000000000000045</v>
          </cell>
          <cell r="EL52">
            <v>4.5048876807076086</v>
          </cell>
          <cell r="EP52">
            <v>0.88000000000000045</v>
          </cell>
          <cell r="EQ52">
            <v>4.5048876807076086</v>
          </cell>
          <cell r="EU52">
            <v>0.88000000000000045</v>
          </cell>
          <cell r="EV52">
            <v>4.5048876807076086</v>
          </cell>
        </row>
        <row r="53">
          <cell r="U53">
            <v>0.90000000000000047</v>
          </cell>
          <cell r="V53">
            <v>4.5417845007107678</v>
          </cell>
          <cell r="Z53">
            <v>0.90000000000000047</v>
          </cell>
          <cell r="AA53">
            <v>4.5417845007107678</v>
          </cell>
          <cell r="AE53">
            <v>0.90000000000000047</v>
          </cell>
          <cell r="AF53">
            <v>4.5417845007107678</v>
          </cell>
          <cell r="AJ53">
            <v>0.90000000000000047</v>
          </cell>
          <cell r="AK53">
            <v>4.5417845007107678</v>
          </cell>
          <cell r="AO53">
            <v>0.90000000000000047</v>
          </cell>
          <cell r="AP53">
            <v>4.5417845007107678</v>
          </cell>
          <cell r="AT53">
            <v>0.90000000000000047</v>
          </cell>
          <cell r="AU53">
            <v>4.5417845007107678</v>
          </cell>
          <cell r="AY53">
            <v>0.90000000000000047</v>
          </cell>
          <cell r="AZ53">
            <v>4.5417845007107678</v>
          </cell>
          <cell r="BD53">
            <v>0.90000000000000047</v>
          </cell>
          <cell r="BE53">
            <v>4.5417845007107678</v>
          </cell>
          <cell r="BI53">
            <v>0.90000000000000047</v>
          </cell>
          <cell r="BJ53">
            <v>4.5417845007107678</v>
          </cell>
          <cell r="BN53">
            <v>0.90000000000000047</v>
          </cell>
          <cell r="BO53">
            <v>4.5417845007107678</v>
          </cell>
          <cell r="BS53">
            <v>0.90000000000000047</v>
          </cell>
          <cell r="BT53">
            <v>4.5417845007107678</v>
          </cell>
          <cell r="BX53">
            <v>0.90000000000000047</v>
          </cell>
          <cell r="BY53">
            <v>4.5417845007107678</v>
          </cell>
          <cell r="CC53">
            <v>0.90000000000000047</v>
          </cell>
          <cell r="CD53">
            <v>4.5417845007107678</v>
          </cell>
          <cell r="CH53">
            <v>0.90000000000000047</v>
          </cell>
          <cell r="CI53">
            <v>4.5417845007107678</v>
          </cell>
          <cell r="CM53">
            <v>0.90000000000000047</v>
          </cell>
          <cell r="CN53">
            <v>4.5417845007107678</v>
          </cell>
          <cell r="CR53">
            <v>0.90000000000000047</v>
          </cell>
          <cell r="CS53">
            <v>4.5417845007107678</v>
          </cell>
          <cell r="CW53">
            <v>0.90000000000000047</v>
          </cell>
          <cell r="CX53">
            <v>4.5417845007107678</v>
          </cell>
          <cell r="DB53">
            <v>0.90000000000000047</v>
          </cell>
          <cell r="DC53">
            <v>4.5417845007107678</v>
          </cell>
          <cell r="DG53">
            <v>0.90000000000000047</v>
          </cell>
          <cell r="DH53">
            <v>4.5417845007107678</v>
          </cell>
          <cell r="DL53">
            <v>0.90000000000000047</v>
          </cell>
          <cell r="DM53">
            <v>4.5417845007107678</v>
          </cell>
          <cell r="DQ53">
            <v>0.90000000000000047</v>
          </cell>
          <cell r="DR53">
            <v>4.5417845007107678</v>
          </cell>
          <cell r="DV53">
            <v>0.90000000000000047</v>
          </cell>
          <cell r="DW53">
            <v>4.5417845007107678</v>
          </cell>
          <cell r="EA53">
            <v>0.90000000000000047</v>
          </cell>
          <cell r="EB53">
            <v>4.5417845007107678</v>
          </cell>
          <cell r="EF53">
            <v>0.90000000000000047</v>
          </cell>
          <cell r="EG53">
            <v>4.5417845007107678</v>
          </cell>
          <cell r="EK53">
            <v>0.90000000000000047</v>
          </cell>
          <cell r="EL53">
            <v>4.5417845007107678</v>
          </cell>
          <cell r="EP53">
            <v>0.90000000000000047</v>
          </cell>
          <cell r="EQ53">
            <v>4.5417845007107678</v>
          </cell>
          <cell r="EU53">
            <v>0.90000000000000047</v>
          </cell>
          <cell r="EV53">
            <v>4.5417845007107678</v>
          </cell>
        </row>
        <row r="54">
          <cell r="U54">
            <v>0.92000000000000048</v>
          </cell>
          <cell r="V54">
            <v>4.5759728079860791</v>
          </cell>
          <cell r="Z54">
            <v>0.92000000000000048</v>
          </cell>
          <cell r="AA54">
            <v>4.5759728079860791</v>
          </cell>
          <cell r="AE54">
            <v>0.92000000000000048</v>
          </cell>
          <cell r="AF54">
            <v>4.5759728079860791</v>
          </cell>
          <cell r="AJ54">
            <v>0.92000000000000048</v>
          </cell>
          <cell r="AK54">
            <v>4.5759728079860791</v>
          </cell>
          <cell r="AO54">
            <v>0.92000000000000048</v>
          </cell>
          <cell r="AP54">
            <v>4.5759728079860791</v>
          </cell>
          <cell r="AT54">
            <v>0.92000000000000048</v>
          </cell>
          <cell r="AU54">
            <v>4.5759728079860791</v>
          </cell>
          <cell r="AY54">
            <v>0.92000000000000048</v>
          </cell>
          <cell r="AZ54">
            <v>4.5759728079860791</v>
          </cell>
          <cell r="BD54">
            <v>0.92000000000000048</v>
          </cell>
          <cell r="BE54">
            <v>4.5759728079860791</v>
          </cell>
          <cell r="BI54">
            <v>0.92000000000000048</v>
          </cell>
          <cell r="BJ54">
            <v>4.5759728079860791</v>
          </cell>
          <cell r="BN54">
            <v>0.92000000000000048</v>
          </cell>
          <cell r="BO54">
            <v>4.5759728079860791</v>
          </cell>
          <cell r="BS54">
            <v>0.92000000000000048</v>
          </cell>
          <cell r="BT54">
            <v>4.5759728079860791</v>
          </cell>
          <cell r="BX54">
            <v>0.92000000000000048</v>
          </cell>
          <cell r="BY54">
            <v>4.5759728079860791</v>
          </cell>
          <cell r="CC54">
            <v>0.92000000000000048</v>
          </cell>
          <cell r="CD54">
            <v>4.5759728079860791</v>
          </cell>
          <cell r="CH54">
            <v>0.92000000000000048</v>
          </cell>
          <cell r="CI54">
            <v>4.5759728079860791</v>
          </cell>
          <cell r="CM54">
            <v>0.92000000000000048</v>
          </cell>
          <cell r="CN54">
            <v>4.5759728079860791</v>
          </cell>
          <cell r="CR54">
            <v>0.92000000000000048</v>
          </cell>
          <cell r="CS54">
            <v>4.5759728079860791</v>
          </cell>
          <cell r="CW54">
            <v>0.92000000000000048</v>
          </cell>
          <cell r="CX54">
            <v>4.5759728079860791</v>
          </cell>
          <cell r="DB54">
            <v>0.92000000000000048</v>
          </cell>
          <cell r="DC54">
            <v>4.5759728079860791</v>
          </cell>
          <cell r="DG54">
            <v>0.92000000000000048</v>
          </cell>
          <cell r="DH54">
            <v>4.5759728079860791</v>
          </cell>
          <cell r="DL54">
            <v>0.92000000000000048</v>
          </cell>
          <cell r="DM54">
            <v>4.5759728079860791</v>
          </cell>
          <cell r="DQ54">
            <v>0.92000000000000048</v>
          </cell>
          <cell r="DR54">
            <v>4.5759728079860791</v>
          </cell>
          <cell r="DV54">
            <v>0.92000000000000048</v>
          </cell>
          <cell r="DW54">
            <v>4.5759728079860791</v>
          </cell>
          <cell r="EA54">
            <v>0.92000000000000048</v>
          </cell>
          <cell r="EB54">
            <v>4.5759728079860791</v>
          </cell>
          <cell r="EF54">
            <v>0.92000000000000048</v>
          </cell>
          <cell r="EG54">
            <v>4.5759728079860791</v>
          </cell>
          <cell r="EK54">
            <v>0.92000000000000048</v>
          </cell>
          <cell r="EL54">
            <v>4.5759728079860791</v>
          </cell>
          <cell r="EP54">
            <v>0.92000000000000048</v>
          </cell>
          <cell r="EQ54">
            <v>4.5759728079860791</v>
          </cell>
          <cell r="EU54">
            <v>0.92000000000000048</v>
          </cell>
          <cell r="EV54">
            <v>4.5759728079860791</v>
          </cell>
        </row>
        <row r="55">
          <cell r="U55">
            <v>0.9400000000000005</v>
          </cell>
          <cell r="V55">
            <v>4.6074526025335443</v>
          </cell>
          <cell r="Z55">
            <v>0.9400000000000005</v>
          </cell>
          <cell r="AA55">
            <v>4.6074526025335443</v>
          </cell>
          <cell r="AE55">
            <v>0.9400000000000005</v>
          </cell>
          <cell r="AF55">
            <v>4.6074526025335443</v>
          </cell>
          <cell r="AJ55">
            <v>0.9400000000000005</v>
          </cell>
          <cell r="AK55">
            <v>4.6074526025335443</v>
          </cell>
          <cell r="AO55">
            <v>0.9400000000000005</v>
          </cell>
          <cell r="AP55">
            <v>4.6074526025335443</v>
          </cell>
          <cell r="AT55">
            <v>0.9400000000000005</v>
          </cell>
          <cell r="AU55">
            <v>4.6074526025335443</v>
          </cell>
          <cell r="AY55">
            <v>0.9400000000000005</v>
          </cell>
          <cell r="AZ55">
            <v>4.6074526025335443</v>
          </cell>
          <cell r="BD55">
            <v>0.9400000000000005</v>
          </cell>
          <cell r="BE55">
            <v>4.6074526025335443</v>
          </cell>
          <cell r="BI55">
            <v>0.9400000000000005</v>
          </cell>
          <cell r="BJ55">
            <v>4.6074526025335443</v>
          </cell>
          <cell r="BN55">
            <v>0.9400000000000005</v>
          </cell>
          <cell r="BO55">
            <v>4.6074526025335443</v>
          </cell>
          <cell r="BS55">
            <v>0.9400000000000005</v>
          </cell>
          <cell r="BT55">
            <v>4.6074526025335443</v>
          </cell>
          <cell r="BX55">
            <v>0.9400000000000005</v>
          </cell>
          <cell r="BY55">
            <v>4.6074526025335443</v>
          </cell>
          <cell r="CC55">
            <v>0.9400000000000005</v>
          </cell>
          <cell r="CD55">
            <v>4.6074526025335443</v>
          </cell>
          <cell r="CH55">
            <v>0.9400000000000005</v>
          </cell>
          <cell r="CI55">
            <v>4.6074526025335443</v>
          </cell>
          <cell r="CM55">
            <v>0.9400000000000005</v>
          </cell>
          <cell r="CN55">
            <v>4.6074526025335443</v>
          </cell>
          <cell r="CR55">
            <v>0.9400000000000005</v>
          </cell>
          <cell r="CS55">
            <v>4.6074526025335443</v>
          </cell>
          <cell r="CW55">
            <v>0.9400000000000005</v>
          </cell>
          <cell r="CX55">
            <v>4.6074526025335443</v>
          </cell>
          <cell r="DB55">
            <v>0.9400000000000005</v>
          </cell>
          <cell r="DC55">
            <v>4.6074526025335443</v>
          </cell>
          <cell r="DG55">
            <v>0.9400000000000005</v>
          </cell>
          <cell r="DH55">
            <v>4.6074526025335443</v>
          </cell>
          <cell r="DL55">
            <v>0.9400000000000005</v>
          </cell>
          <cell r="DM55">
            <v>4.6074526025335443</v>
          </cell>
          <cell r="DQ55">
            <v>0.9400000000000005</v>
          </cell>
          <cell r="DR55">
            <v>4.6074526025335443</v>
          </cell>
          <cell r="DV55">
            <v>0.9400000000000005</v>
          </cell>
          <cell r="DW55">
            <v>4.6074526025335443</v>
          </cell>
          <cell r="EA55">
            <v>0.9400000000000005</v>
          </cell>
          <cell r="EB55">
            <v>4.6074526025335443</v>
          </cell>
          <cell r="EF55">
            <v>0.9400000000000005</v>
          </cell>
          <cell r="EG55">
            <v>4.6074526025335443</v>
          </cell>
          <cell r="EK55">
            <v>0.9400000000000005</v>
          </cell>
          <cell r="EL55">
            <v>4.6074526025335443</v>
          </cell>
          <cell r="EP55">
            <v>0.9400000000000005</v>
          </cell>
          <cell r="EQ55">
            <v>4.6074526025335443</v>
          </cell>
          <cell r="EU55">
            <v>0.9400000000000005</v>
          </cell>
          <cell r="EV55">
            <v>4.6074526025335443</v>
          </cell>
        </row>
        <row r="56">
          <cell r="U56">
            <v>0.96000000000000052</v>
          </cell>
          <cell r="V56">
            <v>4.6362238843531625</v>
          </cell>
          <cell r="Z56">
            <v>0.96000000000000052</v>
          </cell>
          <cell r="AA56">
            <v>4.6362238843531625</v>
          </cell>
          <cell r="AE56">
            <v>0.96000000000000052</v>
          </cell>
          <cell r="AF56">
            <v>4.6362238843531625</v>
          </cell>
          <cell r="AJ56">
            <v>0.96000000000000052</v>
          </cell>
          <cell r="AK56">
            <v>4.6362238843531625</v>
          </cell>
          <cell r="AO56">
            <v>0.96000000000000052</v>
          </cell>
          <cell r="AP56">
            <v>4.6362238843531625</v>
          </cell>
          <cell r="AT56">
            <v>0.96000000000000052</v>
          </cell>
          <cell r="AU56">
            <v>4.6362238843531625</v>
          </cell>
          <cell r="AY56">
            <v>0.96000000000000052</v>
          </cell>
          <cell r="AZ56">
            <v>4.6362238843531625</v>
          </cell>
          <cell r="BD56">
            <v>0.96000000000000052</v>
          </cell>
          <cell r="BE56">
            <v>4.6362238843531625</v>
          </cell>
          <cell r="BI56">
            <v>0.96000000000000052</v>
          </cell>
          <cell r="BJ56">
            <v>4.6362238843531625</v>
          </cell>
          <cell r="BN56">
            <v>0.96000000000000052</v>
          </cell>
          <cell r="BO56">
            <v>4.6362238843531625</v>
          </cell>
          <cell r="BS56">
            <v>0.96000000000000052</v>
          </cell>
          <cell r="BT56">
            <v>4.6362238843531625</v>
          </cell>
          <cell r="BX56">
            <v>0.96000000000000052</v>
          </cell>
          <cell r="BY56">
            <v>4.6362238843531625</v>
          </cell>
          <cell r="CC56">
            <v>0.96000000000000052</v>
          </cell>
          <cell r="CD56">
            <v>4.6362238843531625</v>
          </cell>
          <cell r="CH56">
            <v>0.96000000000000052</v>
          </cell>
          <cell r="CI56">
            <v>4.6362238843531625</v>
          </cell>
          <cell r="CM56">
            <v>0.96000000000000052</v>
          </cell>
          <cell r="CN56">
            <v>4.6362238843531625</v>
          </cell>
          <cell r="CR56">
            <v>0.96000000000000052</v>
          </cell>
          <cell r="CS56">
            <v>4.6362238843531625</v>
          </cell>
          <cell r="CW56">
            <v>0.96000000000000052</v>
          </cell>
          <cell r="CX56">
            <v>4.6362238843531625</v>
          </cell>
          <cell r="DB56">
            <v>0.96000000000000052</v>
          </cell>
          <cell r="DC56">
            <v>4.6362238843531625</v>
          </cell>
          <cell r="DG56">
            <v>0.96000000000000052</v>
          </cell>
          <cell r="DH56">
            <v>4.6362238843531625</v>
          </cell>
          <cell r="DL56">
            <v>0.96000000000000052</v>
          </cell>
          <cell r="DM56">
            <v>4.6362238843531625</v>
          </cell>
          <cell r="DQ56">
            <v>0.96000000000000052</v>
          </cell>
          <cell r="DR56">
            <v>4.6362238843531625</v>
          </cell>
          <cell r="DV56">
            <v>0.96000000000000052</v>
          </cell>
          <cell r="DW56">
            <v>4.6362238843531625</v>
          </cell>
          <cell r="EA56">
            <v>0.96000000000000052</v>
          </cell>
          <cell r="EB56">
            <v>4.6362238843531625</v>
          </cell>
          <cell r="EF56">
            <v>0.96000000000000052</v>
          </cell>
          <cell r="EG56">
            <v>4.6362238843531625</v>
          </cell>
          <cell r="EK56">
            <v>0.96000000000000052</v>
          </cell>
          <cell r="EL56">
            <v>4.6362238843531625</v>
          </cell>
          <cell r="EP56">
            <v>0.96000000000000052</v>
          </cell>
          <cell r="EQ56">
            <v>4.6362238843531625</v>
          </cell>
          <cell r="EU56">
            <v>0.96000000000000052</v>
          </cell>
          <cell r="EV56">
            <v>4.6362238843531625</v>
          </cell>
        </row>
        <row r="57">
          <cell r="U57">
            <v>0.98000000000000054</v>
          </cell>
          <cell r="V57">
            <v>4.6622866534449319</v>
          </cell>
          <cell r="Z57">
            <v>0.98000000000000054</v>
          </cell>
          <cell r="AA57">
            <v>4.6622866534449319</v>
          </cell>
          <cell r="AE57">
            <v>0.98000000000000054</v>
          </cell>
          <cell r="AF57">
            <v>4.6622866534449319</v>
          </cell>
          <cell r="AJ57">
            <v>0.98000000000000054</v>
          </cell>
          <cell r="AK57">
            <v>4.6622866534449319</v>
          </cell>
          <cell r="AO57">
            <v>0.98000000000000054</v>
          </cell>
          <cell r="AP57">
            <v>4.6622866534449319</v>
          </cell>
          <cell r="AT57">
            <v>0.98000000000000054</v>
          </cell>
          <cell r="AU57">
            <v>4.6622866534449319</v>
          </cell>
          <cell r="AY57">
            <v>0.98000000000000054</v>
          </cell>
          <cell r="AZ57">
            <v>4.6622866534449319</v>
          </cell>
          <cell r="BD57">
            <v>0.98000000000000054</v>
          </cell>
          <cell r="BE57">
            <v>4.6622866534449319</v>
          </cell>
          <cell r="BI57">
            <v>0.98000000000000054</v>
          </cell>
          <cell r="BJ57">
            <v>4.6622866534449319</v>
          </cell>
          <cell r="BN57">
            <v>0.98000000000000054</v>
          </cell>
          <cell r="BO57">
            <v>4.6622866534449319</v>
          </cell>
          <cell r="BS57">
            <v>0.98000000000000054</v>
          </cell>
          <cell r="BT57">
            <v>4.6622866534449319</v>
          </cell>
          <cell r="BX57">
            <v>0.98000000000000054</v>
          </cell>
          <cell r="BY57">
            <v>4.6622866534449319</v>
          </cell>
          <cell r="CC57">
            <v>0.98000000000000054</v>
          </cell>
          <cell r="CD57">
            <v>4.6622866534449319</v>
          </cell>
          <cell r="CH57">
            <v>0.98000000000000054</v>
          </cell>
          <cell r="CI57">
            <v>4.6622866534449319</v>
          </cell>
          <cell r="CM57">
            <v>0.98000000000000054</v>
          </cell>
          <cell r="CN57">
            <v>4.6622866534449319</v>
          </cell>
          <cell r="CR57">
            <v>0.98000000000000054</v>
          </cell>
          <cell r="CS57">
            <v>4.6622866534449319</v>
          </cell>
          <cell r="CW57">
            <v>0.98000000000000054</v>
          </cell>
          <cell r="CX57">
            <v>4.6622866534449319</v>
          </cell>
          <cell r="DB57">
            <v>0.98000000000000054</v>
          </cell>
          <cell r="DC57">
            <v>4.6622866534449319</v>
          </cell>
          <cell r="DG57">
            <v>0.98000000000000054</v>
          </cell>
          <cell r="DH57">
            <v>4.6622866534449319</v>
          </cell>
          <cell r="DL57">
            <v>0.98000000000000054</v>
          </cell>
          <cell r="DM57">
            <v>4.6622866534449319</v>
          </cell>
          <cell r="DQ57">
            <v>0.98000000000000054</v>
          </cell>
          <cell r="DR57">
            <v>4.6622866534449319</v>
          </cell>
          <cell r="DV57">
            <v>0.98000000000000054</v>
          </cell>
          <cell r="DW57">
            <v>4.6622866534449319</v>
          </cell>
          <cell r="EA57">
            <v>0.98000000000000054</v>
          </cell>
          <cell r="EB57">
            <v>4.6622866534449319</v>
          </cell>
          <cell r="EF57">
            <v>0.98000000000000054</v>
          </cell>
          <cell r="EG57">
            <v>4.6622866534449319</v>
          </cell>
          <cell r="EK57">
            <v>0.98000000000000054</v>
          </cell>
          <cell r="EL57">
            <v>4.6622866534449319</v>
          </cell>
          <cell r="EP57">
            <v>0.98000000000000054</v>
          </cell>
          <cell r="EQ57">
            <v>4.6622866534449319</v>
          </cell>
          <cell r="EU57">
            <v>0.98000000000000054</v>
          </cell>
          <cell r="EV57">
            <v>4.6622866534449319</v>
          </cell>
        </row>
        <row r="58">
          <cell r="U58">
            <v>1.0000000000000004</v>
          </cell>
          <cell r="V58">
            <v>4.6856409098088561</v>
          </cell>
          <cell r="Z58">
            <v>1.0000000000000004</v>
          </cell>
          <cell r="AA58">
            <v>4.6856409098088561</v>
          </cell>
          <cell r="AE58">
            <v>1.0000000000000004</v>
          </cell>
          <cell r="AF58">
            <v>4.6856409098088561</v>
          </cell>
          <cell r="AJ58">
            <v>1.0000000000000004</v>
          </cell>
          <cell r="AK58">
            <v>4.6856409098088561</v>
          </cell>
          <cell r="AO58">
            <v>1.0000000000000004</v>
          </cell>
          <cell r="AP58">
            <v>4.6856409098088561</v>
          </cell>
          <cell r="AT58">
            <v>1.0000000000000004</v>
          </cell>
          <cell r="AU58">
            <v>4.6856409098088561</v>
          </cell>
          <cell r="AY58">
            <v>1.0000000000000004</v>
          </cell>
          <cell r="AZ58">
            <v>4.6856409098088561</v>
          </cell>
          <cell r="BD58">
            <v>1.0000000000000004</v>
          </cell>
          <cell r="BE58">
            <v>4.6856409098088561</v>
          </cell>
          <cell r="BI58">
            <v>1.0000000000000004</v>
          </cell>
          <cell r="BJ58">
            <v>4.6856409098088561</v>
          </cell>
          <cell r="BN58">
            <v>1.0000000000000004</v>
          </cell>
          <cell r="BO58">
            <v>4.6856409098088561</v>
          </cell>
          <cell r="BS58">
            <v>1.0000000000000004</v>
          </cell>
          <cell r="BT58">
            <v>4.6856409098088561</v>
          </cell>
          <cell r="BX58">
            <v>1.0000000000000004</v>
          </cell>
          <cell r="BY58">
            <v>4.6856409098088561</v>
          </cell>
          <cell r="CC58">
            <v>1.0000000000000004</v>
          </cell>
          <cell r="CD58">
            <v>4.6856409098088561</v>
          </cell>
          <cell r="CH58">
            <v>1.0000000000000004</v>
          </cell>
          <cell r="CI58">
            <v>4.6856409098088561</v>
          </cell>
          <cell r="CM58">
            <v>1.0000000000000004</v>
          </cell>
          <cell r="CN58">
            <v>4.6856409098088561</v>
          </cell>
          <cell r="CR58">
            <v>1.0000000000000004</v>
          </cell>
          <cell r="CS58">
            <v>4.6856409098088561</v>
          </cell>
          <cell r="CW58">
            <v>1.0000000000000004</v>
          </cell>
          <cell r="CX58">
            <v>4.6856409098088561</v>
          </cell>
          <cell r="DB58">
            <v>1.0000000000000004</v>
          </cell>
          <cell r="DC58">
            <v>4.6856409098088561</v>
          </cell>
          <cell r="DG58">
            <v>1.0000000000000004</v>
          </cell>
          <cell r="DH58">
            <v>4.6856409098088561</v>
          </cell>
          <cell r="DL58">
            <v>1.0000000000000004</v>
          </cell>
          <cell r="DM58">
            <v>4.6856409098088561</v>
          </cell>
          <cell r="DQ58">
            <v>1.0000000000000004</v>
          </cell>
          <cell r="DR58">
            <v>4.6856409098088561</v>
          </cell>
          <cell r="DV58">
            <v>1.0000000000000004</v>
          </cell>
          <cell r="DW58">
            <v>4.6856409098088561</v>
          </cell>
          <cell r="EA58">
            <v>1.0000000000000004</v>
          </cell>
          <cell r="EB58">
            <v>4.6856409098088561</v>
          </cell>
          <cell r="EF58">
            <v>1.0000000000000004</v>
          </cell>
          <cell r="EG58">
            <v>4.6856409098088561</v>
          </cell>
          <cell r="EK58">
            <v>1.0000000000000004</v>
          </cell>
          <cell r="EL58">
            <v>4.6856409098088561</v>
          </cell>
          <cell r="EP58">
            <v>1.0000000000000004</v>
          </cell>
          <cell r="EQ58">
            <v>4.6856409098088561</v>
          </cell>
          <cell r="EU58">
            <v>1.0000000000000004</v>
          </cell>
          <cell r="EV58">
            <v>4.6856409098088561</v>
          </cell>
        </row>
        <row r="59">
          <cell r="U59">
            <v>1.0200000000000005</v>
          </cell>
          <cell r="V59">
            <v>4.7062866534449324</v>
          </cell>
          <cell r="Z59">
            <v>1.0200000000000005</v>
          </cell>
          <cell r="AA59">
            <v>4.7062866534449324</v>
          </cell>
          <cell r="AE59">
            <v>1.0200000000000005</v>
          </cell>
          <cell r="AF59">
            <v>4.7062866534449324</v>
          </cell>
          <cell r="AJ59">
            <v>1.0200000000000005</v>
          </cell>
          <cell r="AK59">
            <v>4.7062866534449324</v>
          </cell>
          <cell r="AO59">
            <v>1.0200000000000005</v>
          </cell>
          <cell r="AP59">
            <v>4.7062866534449324</v>
          </cell>
          <cell r="AT59">
            <v>1.0200000000000005</v>
          </cell>
          <cell r="AU59">
            <v>4.7062866534449324</v>
          </cell>
          <cell r="AY59">
            <v>1.0200000000000005</v>
          </cell>
          <cell r="AZ59">
            <v>4.7062866534449324</v>
          </cell>
          <cell r="BD59">
            <v>1.0200000000000005</v>
          </cell>
          <cell r="BE59">
            <v>4.7062866534449324</v>
          </cell>
          <cell r="BI59">
            <v>1.0200000000000005</v>
          </cell>
          <cell r="BJ59">
            <v>4.7062866534449324</v>
          </cell>
          <cell r="BN59">
            <v>1.0200000000000005</v>
          </cell>
          <cell r="BO59">
            <v>4.7062866534449324</v>
          </cell>
          <cell r="BS59">
            <v>1.0200000000000005</v>
          </cell>
          <cell r="BT59">
            <v>4.7062866534449324</v>
          </cell>
          <cell r="BX59">
            <v>1.0200000000000005</v>
          </cell>
          <cell r="BY59">
            <v>4.7062866534449324</v>
          </cell>
          <cell r="CC59">
            <v>1.0200000000000005</v>
          </cell>
          <cell r="CD59">
            <v>4.7062866534449324</v>
          </cell>
          <cell r="CH59">
            <v>1.0200000000000005</v>
          </cell>
          <cell r="CI59">
            <v>4.7062866534449324</v>
          </cell>
          <cell r="CM59">
            <v>1.0200000000000005</v>
          </cell>
          <cell r="CN59">
            <v>4.7062866534449324</v>
          </cell>
          <cell r="CR59">
            <v>1.0200000000000005</v>
          </cell>
          <cell r="CS59">
            <v>4.7062866534449324</v>
          </cell>
          <cell r="CW59">
            <v>1.0200000000000005</v>
          </cell>
          <cell r="CX59">
            <v>4.7062866534449324</v>
          </cell>
          <cell r="DB59">
            <v>1.0200000000000005</v>
          </cell>
          <cell r="DC59">
            <v>4.7062866534449324</v>
          </cell>
          <cell r="DG59">
            <v>1.0200000000000005</v>
          </cell>
          <cell r="DH59">
            <v>4.7062866534449324</v>
          </cell>
          <cell r="DL59">
            <v>1.0200000000000005</v>
          </cell>
          <cell r="DM59">
            <v>4.7062866534449324</v>
          </cell>
          <cell r="DQ59">
            <v>1.0200000000000005</v>
          </cell>
          <cell r="DR59">
            <v>4.7062866534449324</v>
          </cell>
          <cell r="DV59">
            <v>1.0200000000000005</v>
          </cell>
          <cell r="DW59">
            <v>4.7062866534449324</v>
          </cell>
          <cell r="EA59">
            <v>1.0200000000000005</v>
          </cell>
          <cell r="EB59">
            <v>4.7062866534449324</v>
          </cell>
          <cell r="EF59">
            <v>1.0200000000000005</v>
          </cell>
          <cell r="EG59">
            <v>4.7062866534449324</v>
          </cell>
          <cell r="EK59">
            <v>1.0200000000000005</v>
          </cell>
          <cell r="EL59">
            <v>4.7062866534449324</v>
          </cell>
          <cell r="EP59">
            <v>1.0200000000000005</v>
          </cell>
          <cell r="EQ59">
            <v>4.7062866534449324</v>
          </cell>
          <cell r="EU59">
            <v>1.0200000000000005</v>
          </cell>
          <cell r="EV59">
            <v>4.7062866534449324</v>
          </cell>
        </row>
        <row r="60">
          <cell r="U60">
            <v>1.0400000000000005</v>
          </cell>
          <cell r="V60">
            <v>4.7242238843531625</v>
          </cell>
          <cell r="Z60">
            <v>1.0400000000000005</v>
          </cell>
          <cell r="AA60">
            <v>4.7242238843531625</v>
          </cell>
          <cell r="AE60">
            <v>1.0400000000000005</v>
          </cell>
          <cell r="AF60">
            <v>4.7242238843531625</v>
          </cell>
          <cell r="AJ60">
            <v>1.0400000000000005</v>
          </cell>
          <cell r="AK60">
            <v>4.7242238843531625</v>
          </cell>
          <cell r="AO60">
            <v>1.0400000000000005</v>
          </cell>
          <cell r="AP60">
            <v>4.7242238843531625</v>
          </cell>
          <cell r="AT60">
            <v>1.0400000000000005</v>
          </cell>
          <cell r="AU60">
            <v>4.7242238843531625</v>
          </cell>
          <cell r="AY60">
            <v>1.0400000000000005</v>
          </cell>
          <cell r="AZ60">
            <v>4.7242238843531625</v>
          </cell>
          <cell r="BD60">
            <v>1.0400000000000005</v>
          </cell>
          <cell r="BE60">
            <v>4.7242238843531625</v>
          </cell>
          <cell r="BI60">
            <v>1.0400000000000005</v>
          </cell>
          <cell r="BJ60">
            <v>4.7242238843531625</v>
          </cell>
          <cell r="BN60">
            <v>1.0400000000000005</v>
          </cell>
          <cell r="BO60">
            <v>4.7242238843531625</v>
          </cell>
          <cell r="BS60">
            <v>1.0400000000000005</v>
          </cell>
          <cell r="BT60">
            <v>4.7242238843531625</v>
          </cell>
          <cell r="BX60">
            <v>1.0400000000000005</v>
          </cell>
          <cell r="BY60">
            <v>4.7242238843531625</v>
          </cell>
          <cell r="CC60">
            <v>1.0400000000000005</v>
          </cell>
          <cell r="CD60">
            <v>4.7242238843531625</v>
          </cell>
          <cell r="CH60">
            <v>1.0400000000000005</v>
          </cell>
          <cell r="CI60">
            <v>4.7242238843531625</v>
          </cell>
          <cell r="CM60">
            <v>1.0400000000000005</v>
          </cell>
          <cell r="CN60">
            <v>4.7242238843531625</v>
          </cell>
          <cell r="CR60">
            <v>1.0400000000000005</v>
          </cell>
          <cell r="CS60">
            <v>4.7242238843531625</v>
          </cell>
          <cell r="CW60">
            <v>1.0400000000000005</v>
          </cell>
          <cell r="CX60">
            <v>4.7242238843531625</v>
          </cell>
          <cell r="DB60">
            <v>1.0400000000000005</v>
          </cell>
          <cell r="DC60">
            <v>4.7242238843531625</v>
          </cell>
          <cell r="DG60">
            <v>1.0400000000000005</v>
          </cell>
          <cell r="DH60">
            <v>4.7242238843531625</v>
          </cell>
          <cell r="DL60">
            <v>1.0400000000000005</v>
          </cell>
          <cell r="DM60">
            <v>4.7242238843531625</v>
          </cell>
          <cell r="DQ60">
            <v>1.0400000000000005</v>
          </cell>
          <cell r="DR60">
            <v>4.7242238843531625</v>
          </cell>
          <cell r="DV60">
            <v>1.0400000000000005</v>
          </cell>
          <cell r="DW60">
            <v>4.7242238843531625</v>
          </cell>
          <cell r="EA60">
            <v>1.0400000000000005</v>
          </cell>
          <cell r="EB60">
            <v>4.7242238843531625</v>
          </cell>
          <cell r="EF60">
            <v>1.0400000000000005</v>
          </cell>
          <cell r="EG60">
            <v>4.7242238843531625</v>
          </cell>
          <cell r="EK60">
            <v>1.0400000000000005</v>
          </cell>
          <cell r="EL60">
            <v>4.7242238843531625</v>
          </cell>
          <cell r="EP60">
            <v>1.0400000000000005</v>
          </cell>
          <cell r="EQ60">
            <v>4.7242238843531625</v>
          </cell>
          <cell r="EU60">
            <v>1.0400000000000005</v>
          </cell>
          <cell r="EV60">
            <v>4.7242238843531625</v>
          </cell>
        </row>
        <row r="61">
          <cell r="U61">
            <v>1.0600000000000005</v>
          </cell>
          <cell r="V61">
            <v>4.7394526025335439</v>
          </cell>
          <cell r="Z61">
            <v>1.0600000000000005</v>
          </cell>
          <cell r="AA61">
            <v>4.7394526025335439</v>
          </cell>
          <cell r="AE61">
            <v>1.0600000000000005</v>
          </cell>
          <cell r="AF61">
            <v>4.7394526025335439</v>
          </cell>
          <cell r="AJ61">
            <v>1.0600000000000005</v>
          </cell>
          <cell r="AK61">
            <v>4.7394526025335439</v>
          </cell>
          <cell r="AO61">
            <v>1.0600000000000005</v>
          </cell>
          <cell r="AP61">
            <v>4.7394526025335439</v>
          </cell>
          <cell r="AT61">
            <v>1.0600000000000005</v>
          </cell>
          <cell r="AU61">
            <v>4.7394526025335439</v>
          </cell>
          <cell r="AY61">
            <v>1.0600000000000005</v>
          </cell>
          <cell r="AZ61">
            <v>4.7394526025335439</v>
          </cell>
          <cell r="BD61">
            <v>1.0600000000000005</v>
          </cell>
          <cell r="BE61">
            <v>4.7394526025335439</v>
          </cell>
          <cell r="BI61">
            <v>1.0600000000000005</v>
          </cell>
          <cell r="BJ61">
            <v>4.7394526025335439</v>
          </cell>
          <cell r="BN61">
            <v>1.0600000000000005</v>
          </cell>
          <cell r="BO61">
            <v>4.7394526025335439</v>
          </cell>
          <cell r="BS61">
            <v>1.0600000000000005</v>
          </cell>
          <cell r="BT61">
            <v>4.7394526025335439</v>
          </cell>
          <cell r="BX61">
            <v>1.0600000000000005</v>
          </cell>
          <cell r="BY61">
            <v>4.7394526025335439</v>
          </cell>
          <cell r="CC61">
            <v>1.0600000000000005</v>
          </cell>
          <cell r="CD61">
            <v>4.7394526025335439</v>
          </cell>
          <cell r="CH61">
            <v>1.0600000000000005</v>
          </cell>
          <cell r="CI61">
            <v>4.7394526025335439</v>
          </cell>
          <cell r="CM61">
            <v>1.0600000000000005</v>
          </cell>
          <cell r="CN61">
            <v>4.7394526025335439</v>
          </cell>
          <cell r="CR61">
            <v>1.0600000000000005</v>
          </cell>
          <cell r="CS61">
            <v>4.7394526025335439</v>
          </cell>
          <cell r="CW61">
            <v>1.0600000000000005</v>
          </cell>
          <cell r="CX61">
            <v>4.7394526025335439</v>
          </cell>
          <cell r="DB61">
            <v>1.0600000000000005</v>
          </cell>
          <cell r="DC61">
            <v>4.7394526025335439</v>
          </cell>
          <cell r="DG61">
            <v>1.0600000000000005</v>
          </cell>
          <cell r="DH61">
            <v>4.7394526025335439</v>
          </cell>
          <cell r="DL61">
            <v>1.0600000000000005</v>
          </cell>
          <cell r="DM61">
            <v>4.7394526025335439</v>
          </cell>
          <cell r="DQ61">
            <v>1.0600000000000005</v>
          </cell>
          <cell r="DR61">
            <v>4.7394526025335439</v>
          </cell>
          <cell r="DV61">
            <v>1.0600000000000005</v>
          </cell>
          <cell r="DW61">
            <v>4.7394526025335439</v>
          </cell>
          <cell r="EA61">
            <v>1.0600000000000005</v>
          </cell>
          <cell r="EB61">
            <v>4.7394526025335439</v>
          </cell>
          <cell r="EF61">
            <v>1.0600000000000005</v>
          </cell>
          <cell r="EG61">
            <v>4.7394526025335439</v>
          </cell>
          <cell r="EK61">
            <v>1.0600000000000005</v>
          </cell>
          <cell r="EL61">
            <v>4.7394526025335439</v>
          </cell>
          <cell r="EP61">
            <v>1.0600000000000005</v>
          </cell>
          <cell r="EQ61">
            <v>4.7394526025335439</v>
          </cell>
          <cell r="EU61">
            <v>1.0600000000000005</v>
          </cell>
          <cell r="EV61">
            <v>4.7394526025335439</v>
          </cell>
        </row>
        <row r="62">
          <cell r="U62">
            <v>1.0800000000000005</v>
          </cell>
          <cell r="V62">
            <v>4.7519728079860784</v>
          </cell>
          <cell r="Z62">
            <v>1.0800000000000005</v>
          </cell>
          <cell r="AA62">
            <v>4.7519728079860784</v>
          </cell>
          <cell r="AE62">
            <v>1.0800000000000005</v>
          </cell>
          <cell r="AF62">
            <v>4.7519728079860784</v>
          </cell>
          <cell r="AJ62">
            <v>1.0800000000000005</v>
          </cell>
          <cell r="AK62">
            <v>4.7519728079860784</v>
          </cell>
          <cell r="AO62">
            <v>1.0800000000000005</v>
          </cell>
          <cell r="AP62">
            <v>4.7519728079860784</v>
          </cell>
          <cell r="AT62">
            <v>1.0800000000000005</v>
          </cell>
          <cell r="AU62">
            <v>4.7519728079860784</v>
          </cell>
          <cell r="AY62">
            <v>1.0800000000000005</v>
          </cell>
          <cell r="AZ62">
            <v>4.7519728079860784</v>
          </cell>
          <cell r="BD62">
            <v>1.0800000000000005</v>
          </cell>
          <cell r="BE62">
            <v>4.7519728079860784</v>
          </cell>
          <cell r="BI62">
            <v>1.0800000000000005</v>
          </cell>
          <cell r="BJ62">
            <v>4.7519728079860784</v>
          </cell>
          <cell r="BN62">
            <v>1.0800000000000005</v>
          </cell>
          <cell r="BO62">
            <v>4.7519728079860784</v>
          </cell>
          <cell r="BS62">
            <v>1.0800000000000005</v>
          </cell>
          <cell r="BT62">
            <v>4.7519728079860784</v>
          </cell>
          <cell r="BX62">
            <v>1.0800000000000005</v>
          </cell>
          <cell r="BY62">
            <v>4.7519728079860784</v>
          </cell>
          <cell r="CC62">
            <v>1.0800000000000005</v>
          </cell>
          <cell r="CD62">
            <v>4.7519728079860784</v>
          </cell>
          <cell r="CH62">
            <v>1.0800000000000005</v>
          </cell>
          <cell r="CI62">
            <v>4.7519728079860784</v>
          </cell>
          <cell r="CM62">
            <v>1.0800000000000005</v>
          </cell>
          <cell r="CN62">
            <v>4.7519728079860784</v>
          </cell>
          <cell r="CR62">
            <v>1.0800000000000005</v>
          </cell>
          <cell r="CS62">
            <v>4.7519728079860784</v>
          </cell>
          <cell r="CW62">
            <v>1.0800000000000005</v>
          </cell>
          <cell r="CX62">
            <v>4.7519728079860784</v>
          </cell>
          <cell r="DB62">
            <v>1.0800000000000005</v>
          </cell>
          <cell r="DC62">
            <v>4.7519728079860784</v>
          </cell>
          <cell r="DG62">
            <v>1.0800000000000005</v>
          </cell>
          <cell r="DH62">
            <v>4.7519728079860784</v>
          </cell>
          <cell r="DL62">
            <v>1.0800000000000005</v>
          </cell>
          <cell r="DM62">
            <v>4.7519728079860784</v>
          </cell>
          <cell r="DQ62">
            <v>1.0800000000000005</v>
          </cell>
          <cell r="DR62">
            <v>4.7519728079860784</v>
          </cell>
          <cell r="DV62">
            <v>1.0800000000000005</v>
          </cell>
          <cell r="DW62">
            <v>4.7519728079860784</v>
          </cell>
          <cell r="EA62">
            <v>1.0800000000000005</v>
          </cell>
          <cell r="EB62">
            <v>4.7519728079860784</v>
          </cell>
          <cell r="EF62">
            <v>1.0800000000000005</v>
          </cell>
          <cell r="EG62">
            <v>4.7519728079860784</v>
          </cell>
          <cell r="EK62">
            <v>1.0800000000000005</v>
          </cell>
          <cell r="EL62">
            <v>4.7519728079860784</v>
          </cell>
          <cell r="EP62">
            <v>1.0800000000000005</v>
          </cell>
          <cell r="EQ62">
            <v>4.7519728079860784</v>
          </cell>
          <cell r="EU62">
            <v>1.0800000000000005</v>
          </cell>
          <cell r="EV62">
            <v>4.7519728079860784</v>
          </cell>
        </row>
        <row r="63">
          <cell r="U63">
            <v>1.1000000000000005</v>
          </cell>
          <cell r="V63">
            <v>4.7617845007107666</v>
          </cell>
          <cell r="Z63">
            <v>1.1000000000000005</v>
          </cell>
          <cell r="AA63">
            <v>4.7617845007107666</v>
          </cell>
          <cell r="AE63">
            <v>1.1000000000000005</v>
          </cell>
          <cell r="AF63">
            <v>4.7617845007107666</v>
          </cell>
          <cell r="AJ63">
            <v>1.1000000000000005</v>
          </cell>
          <cell r="AK63">
            <v>4.7617845007107666</v>
          </cell>
          <cell r="AO63">
            <v>1.1000000000000005</v>
          </cell>
          <cell r="AP63">
            <v>4.7617845007107666</v>
          </cell>
          <cell r="AT63">
            <v>1.1000000000000005</v>
          </cell>
          <cell r="AU63">
            <v>4.7617845007107666</v>
          </cell>
          <cell r="AY63">
            <v>1.1000000000000005</v>
          </cell>
          <cell r="AZ63">
            <v>4.7617845007107666</v>
          </cell>
          <cell r="BD63">
            <v>1.1000000000000005</v>
          </cell>
          <cell r="BE63">
            <v>4.7617845007107666</v>
          </cell>
          <cell r="BI63">
            <v>1.1000000000000005</v>
          </cell>
          <cell r="BJ63">
            <v>4.7617845007107666</v>
          </cell>
          <cell r="BN63">
            <v>1.1000000000000005</v>
          </cell>
          <cell r="BO63">
            <v>4.7617845007107666</v>
          </cell>
          <cell r="BS63">
            <v>1.1000000000000005</v>
          </cell>
          <cell r="BT63">
            <v>4.7617845007107666</v>
          </cell>
          <cell r="BX63">
            <v>1.1000000000000005</v>
          </cell>
          <cell r="BY63">
            <v>4.7617845007107666</v>
          </cell>
          <cell r="CC63">
            <v>1.1000000000000005</v>
          </cell>
          <cell r="CD63">
            <v>4.7617845007107666</v>
          </cell>
          <cell r="CH63">
            <v>1.1000000000000005</v>
          </cell>
          <cell r="CI63">
            <v>4.7617845007107666</v>
          </cell>
          <cell r="CM63">
            <v>1.1000000000000005</v>
          </cell>
          <cell r="CN63">
            <v>4.7617845007107666</v>
          </cell>
          <cell r="CR63">
            <v>1.1000000000000005</v>
          </cell>
          <cell r="CS63">
            <v>4.7617845007107666</v>
          </cell>
          <cell r="CW63">
            <v>1.1000000000000005</v>
          </cell>
          <cell r="CX63">
            <v>4.7617845007107666</v>
          </cell>
          <cell r="DB63">
            <v>1.1000000000000005</v>
          </cell>
          <cell r="DC63">
            <v>4.7617845007107666</v>
          </cell>
          <cell r="DG63">
            <v>1.1000000000000005</v>
          </cell>
          <cell r="DH63">
            <v>4.7617845007107666</v>
          </cell>
          <cell r="DL63">
            <v>1.1000000000000005</v>
          </cell>
          <cell r="DM63">
            <v>4.7617845007107666</v>
          </cell>
          <cell r="DQ63">
            <v>1.1000000000000005</v>
          </cell>
          <cell r="DR63">
            <v>4.7617845007107666</v>
          </cell>
          <cell r="DV63">
            <v>1.1000000000000005</v>
          </cell>
          <cell r="DW63">
            <v>4.7617845007107666</v>
          </cell>
          <cell r="EA63">
            <v>1.1000000000000005</v>
          </cell>
          <cell r="EB63">
            <v>4.7617845007107666</v>
          </cell>
          <cell r="EF63">
            <v>1.1000000000000005</v>
          </cell>
          <cell r="EG63">
            <v>4.7617845007107666</v>
          </cell>
          <cell r="EK63">
            <v>1.1000000000000005</v>
          </cell>
          <cell r="EL63">
            <v>4.7617845007107666</v>
          </cell>
          <cell r="EP63">
            <v>1.1000000000000005</v>
          </cell>
          <cell r="EQ63">
            <v>4.7617845007107666</v>
          </cell>
          <cell r="EU63">
            <v>1.1000000000000005</v>
          </cell>
          <cell r="EV63">
            <v>4.7617845007107666</v>
          </cell>
        </row>
        <row r="64">
          <cell r="U64">
            <v>1.1200000000000006</v>
          </cell>
          <cell r="V64">
            <v>4.7688876807076088</v>
          </cell>
          <cell r="Z64">
            <v>1.1200000000000006</v>
          </cell>
          <cell r="AA64">
            <v>4.7688876807076088</v>
          </cell>
          <cell r="AE64">
            <v>1.1200000000000006</v>
          </cell>
          <cell r="AF64">
            <v>4.7688876807076088</v>
          </cell>
          <cell r="AJ64">
            <v>1.1200000000000006</v>
          </cell>
          <cell r="AK64">
            <v>4.7688876807076088</v>
          </cell>
          <cell r="AO64">
            <v>1.1200000000000006</v>
          </cell>
          <cell r="AP64">
            <v>4.7688876807076088</v>
          </cell>
          <cell r="AT64">
            <v>1.1200000000000006</v>
          </cell>
          <cell r="AU64">
            <v>4.7688876807076088</v>
          </cell>
          <cell r="AY64">
            <v>1.1200000000000006</v>
          </cell>
          <cell r="AZ64">
            <v>4.7688876807076088</v>
          </cell>
          <cell r="BD64">
            <v>1.1200000000000006</v>
          </cell>
          <cell r="BE64">
            <v>4.7688876807076088</v>
          </cell>
          <cell r="BI64">
            <v>1.1200000000000006</v>
          </cell>
          <cell r="BJ64">
            <v>4.7688876807076088</v>
          </cell>
          <cell r="BN64">
            <v>1.1200000000000006</v>
          </cell>
          <cell r="BO64">
            <v>4.7688876807076088</v>
          </cell>
          <cell r="BS64">
            <v>1.1200000000000006</v>
          </cell>
          <cell r="BT64">
            <v>4.7688876807076088</v>
          </cell>
          <cell r="BX64">
            <v>1.1200000000000006</v>
          </cell>
          <cell r="BY64">
            <v>4.7688876807076088</v>
          </cell>
          <cell r="CC64">
            <v>1.1200000000000006</v>
          </cell>
          <cell r="CD64">
            <v>4.7688876807076088</v>
          </cell>
          <cell r="CH64">
            <v>1.1200000000000006</v>
          </cell>
          <cell r="CI64">
            <v>4.7688876807076088</v>
          </cell>
          <cell r="CM64">
            <v>1.1200000000000006</v>
          </cell>
          <cell r="CN64">
            <v>4.7688876807076088</v>
          </cell>
          <cell r="CR64">
            <v>1.1200000000000006</v>
          </cell>
          <cell r="CS64">
            <v>4.7688876807076088</v>
          </cell>
          <cell r="CW64">
            <v>1.1200000000000006</v>
          </cell>
          <cell r="CX64">
            <v>4.7688876807076088</v>
          </cell>
          <cell r="DB64">
            <v>1.1200000000000006</v>
          </cell>
          <cell r="DC64">
            <v>4.7688876807076088</v>
          </cell>
          <cell r="DG64">
            <v>1.1200000000000006</v>
          </cell>
          <cell r="DH64">
            <v>4.7688876807076088</v>
          </cell>
          <cell r="DL64">
            <v>1.1200000000000006</v>
          </cell>
          <cell r="DM64">
            <v>4.7688876807076088</v>
          </cell>
          <cell r="DQ64">
            <v>1.1200000000000006</v>
          </cell>
          <cell r="DR64">
            <v>4.7688876807076088</v>
          </cell>
          <cell r="DV64">
            <v>1.1200000000000006</v>
          </cell>
          <cell r="DW64">
            <v>4.7688876807076088</v>
          </cell>
          <cell r="EA64">
            <v>1.1200000000000006</v>
          </cell>
          <cell r="EB64">
            <v>4.7688876807076088</v>
          </cell>
          <cell r="EF64">
            <v>1.1200000000000006</v>
          </cell>
          <cell r="EG64">
            <v>4.7688876807076088</v>
          </cell>
          <cell r="EK64">
            <v>1.1200000000000006</v>
          </cell>
          <cell r="EL64">
            <v>4.7688876807076088</v>
          </cell>
          <cell r="EP64">
            <v>1.1200000000000006</v>
          </cell>
          <cell r="EQ64">
            <v>4.7688876807076088</v>
          </cell>
          <cell r="EU64">
            <v>1.1200000000000006</v>
          </cell>
          <cell r="EV64">
            <v>4.7688876807076088</v>
          </cell>
        </row>
        <row r="65">
          <cell r="U65">
            <v>1.1400000000000006</v>
          </cell>
          <cell r="V65">
            <v>4.7732823479766022</v>
          </cell>
          <cell r="Z65">
            <v>1.1400000000000006</v>
          </cell>
          <cell r="AA65">
            <v>4.7732823479766022</v>
          </cell>
          <cell r="AE65">
            <v>1.1400000000000006</v>
          </cell>
          <cell r="AF65">
            <v>4.7732823479766022</v>
          </cell>
          <cell r="AJ65">
            <v>1.1400000000000006</v>
          </cell>
          <cell r="AK65">
            <v>4.7732823479766022</v>
          </cell>
          <cell r="AO65">
            <v>1.1400000000000006</v>
          </cell>
          <cell r="AP65">
            <v>4.7732823479766022</v>
          </cell>
          <cell r="AT65">
            <v>1.1400000000000006</v>
          </cell>
          <cell r="AU65">
            <v>4.7732823479766022</v>
          </cell>
          <cell r="AY65">
            <v>1.1400000000000006</v>
          </cell>
          <cell r="AZ65">
            <v>4.7732823479766022</v>
          </cell>
          <cell r="BD65">
            <v>1.1400000000000006</v>
          </cell>
          <cell r="BE65">
            <v>4.7732823479766022</v>
          </cell>
          <cell r="BI65">
            <v>1.1400000000000006</v>
          </cell>
          <cell r="BJ65">
            <v>4.7732823479766022</v>
          </cell>
          <cell r="BN65">
            <v>1.1400000000000006</v>
          </cell>
          <cell r="BO65">
            <v>4.7732823479766022</v>
          </cell>
          <cell r="BS65">
            <v>1.1400000000000006</v>
          </cell>
          <cell r="BT65">
            <v>4.7732823479766022</v>
          </cell>
          <cell r="BX65">
            <v>1.1400000000000006</v>
          </cell>
          <cell r="BY65">
            <v>4.7732823479766022</v>
          </cell>
          <cell r="CC65">
            <v>1.1400000000000006</v>
          </cell>
          <cell r="CD65">
            <v>4.7732823479766022</v>
          </cell>
          <cell r="CH65">
            <v>1.1400000000000006</v>
          </cell>
          <cell r="CI65">
            <v>4.7732823479766022</v>
          </cell>
          <cell r="CM65">
            <v>1.1400000000000006</v>
          </cell>
          <cell r="CN65">
            <v>4.7732823479766022</v>
          </cell>
          <cell r="CR65">
            <v>1.1400000000000006</v>
          </cell>
          <cell r="CS65">
            <v>4.7732823479766022</v>
          </cell>
          <cell r="CW65">
            <v>1.1400000000000006</v>
          </cell>
          <cell r="CX65">
            <v>4.7732823479766022</v>
          </cell>
          <cell r="DB65">
            <v>1.1400000000000006</v>
          </cell>
          <cell r="DC65">
            <v>4.7732823479766022</v>
          </cell>
          <cell r="DG65">
            <v>1.1400000000000006</v>
          </cell>
          <cell r="DH65">
            <v>4.7732823479766022</v>
          </cell>
          <cell r="DL65">
            <v>1.1400000000000006</v>
          </cell>
          <cell r="DM65">
            <v>4.7732823479766022</v>
          </cell>
          <cell r="DQ65">
            <v>1.1400000000000006</v>
          </cell>
          <cell r="DR65">
            <v>4.7732823479766022</v>
          </cell>
          <cell r="DV65">
            <v>1.1400000000000006</v>
          </cell>
          <cell r="DW65">
            <v>4.7732823479766022</v>
          </cell>
          <cell r="EA65">
            <v>1.1400000000000006</v>
          </cell>
          <cell r="EB65">
            <v>4.7732823479766022</v>
          </cell>
          <cell r="EF65">
            <v>1.1400000000000006</v>
          </cell>
          <cell r="EG65">
            <v>4.7732823479766022</v>
          </cell>
          <cell r="EK65">
            <v>1.1400000000000006</v>
          </cell>
          <cell r="EL65">
            <v>4.7732823479766022</v>
          </cell>
          <cell r="EP65">
            <v>1.1400000000000006</v>
          </cell>
          <cell r="EQ65">
            <v>4.7732823479766022</v>
          </cell>
          <cell r="EU65">
            <v>1.1400000000000006</v>
          </cell>
          <cell r="EV65">
            <v>4.7732823479766022</v>
          </cell>
        </row>
        <row r="66">
          <cell r="U66">
            <v>1.1600000000000006</v>
          </cell>
          <cell r="V66">
            <v>4.7749685025177477</v>
          </cell>
          <cell r="Z66">
            <v>1.1600000000000006</v>
          </cell>
          <cell r="AA66">
            <v>4.7749685025177477</v>
          </cell>
          <cell r="AE66">
            <v>1.1600000000000006</v>
          </cell>
          <cell r="AF66">
            <v>4.7749685025177477</v>
          </cell>
          <cell r="AJ66">
            <v>1.1600000000000006</v>
          </cell>
          <cell r="AK66">
            <v>4.7749685025177477</v>
          </cell>
          <cell r="AO66">
            <v>1.1600000000000006</v>
          </cell>
          <cell r="AP66">
            <v>4.7749685025177477</v>
          </cell>
          <cell r="AT66">
            <v>1.1600000000000006</v>
          </cell>
          <cell r="AU66">
            <v>4.7749685025177477</v>
          </cell>
          <cell r="AY66">
            <v>1.1600000000000006</v>
          </cell>
          <cell r="AZ66">
            <v>4.7749685025177477</v>
          </cell>
          <cell r="BD66">
            <v>1.1600000000000006</v>
          </cell>
          <cell r="BE66">
            <v>4.7749685025177477</v>
          </cell>
          <cell r="BI66">
            <v>1.1600000000000006</v>
          </cell>
          <cell r="BJ66">
            <v>4.7749685025177477</v>
          </cell>
          <cell r="BN66">
            <v>1.1600000000000006</v>
          </cell>
          <cell r="BO66">
            <v>4.7749685025177477</v>
          </cell>
          <cell r="BS66">
            <v>1.1600000000000006</v>
          </cell>
          <cell r="BT66">
            <v>4.7749685025177477</v>
          </cell>
          <cell r="BX66">
            <v>1.1600000000000006</v>
          </cell>
          <cell r="BY66">
            <v>4.7749685025177477</v>
          </cell>
          <cell r="CC66">
            <v>1.1600000000000006</v>
          </cell>
          <cell r="CD66">
            <v>4.7749685025177477</v>
          </cell>
          <cell r="CH66">
            <v>1.1600000000000006</v>
          </cell>
          <cell r="CI66">
            <v>4.7749685025177477</v>
          </cell>
          <cell r="CM66">
            <v>1.1600000000000006</v>
          </cell>
          <cell r="CN66">
            <v>4.7749685025177477</v>
          </cell>
          <cell r="CR66">
            <v>1.1600000000000006</v>
          </cell>
          <cell r="CS66">
            <v>4.7749685025177477</v>
          </cell>
          <cell r="CW66">
            <v>1.1600000000000006</v>
          </cell>
          <cell r="CX66">
            <v>4.7749685025177477</v>
          </cell>
          <cell r="DB66">
            <v>1.1600000000000006</v>
          </cell>
          <cell r="DC66">
            <v>4.7749685025177477</v>
          </cell>
          <cell r="DG66">
            <v>1.1600000000000006</v>
          </cell>
          <cell r="DH66">
            <v>4.7749685025177477</v>
          </cell>
          <cell r="DL66">
            <v>1.1600000000000006</v>
          </cell>
          <cell r="DM66">
            <v>4.7749685025177477</v>
          </cell>
          <cell r="DQ66">
            <v>1.1600000000000006</v>
          </cell>
          <cell r="DR66">
            <v>4.7749685025177477</v>
          </cell>
          <cell r="DV66">
            <v>1.1600000000000006</v>
          </cell>
          <cell r="DW66">
            <v>4.7749685025177477</v>
          </cell>
          <cell r="EA66">
            <v>1.1600000000000006</v>
          </cell>
          <cell r="EB66">
            <v>4.7749685025177477</v>
          </cell>
          <cell r="EF66">
            <v>1.1600000000000006</v>
          </cell>
          <cell r="EG66">
            <v>4.7749685025177477</v>
          </cell>
          <cell r="EK66">
            <v>1.1600000000000006</v>
          </cell>
          <cell r="EL66">
            <v>4.7749685025177477</v>
          </cell>
          <cell r="EP66">
            <v>1.1600000000000006</v>
          </cell>
          <cell r="EQ66">
            <v>4.7749685025177477</v>
          </cell>
          <cell r="EU66">
            <v>1.1600000000000006</v>
          </cell>
          <cell r="EV66">
            <v>4.7749685025177477</v>
          </cell>
        </row>
        <row r="67">
          <cell r="U67">
            <v>1.1800000000000006</v>
          </cell>
          <cell r="V67">
            <v>4.773946144331048</v>
          </cell>
          <cell r="Z67">
            <v>1.1800000000000006</v>
          </cell>
          <cell r="AA67">
            <v>4.773946144331048</v>
          </cell>
          <cell r="AE67">
            <v>1.1800000000000006</v>
          </cell>
          <cell r="AF67">
            <v>4.773946144331048</v>
          </cell>
          <cell r="AJ67">
            <v>1.1800000000000006</v>
          </cell>
          <cell r="AK67">
            <v>4.773946144331048</v>
          </cell>
          <cell r="AO67">
            <v>1.1800000000000006</v>
          </cell>
          <cell r="AP67">
            <v>4.773946144331048</v>
          </cell>
          <cell r="AT67">
            <v>1.1800000000000006</v>
          </cell>
          <cell r="AU67">
            <v>4.773946144331048</v>
          </cell>
          <cell r="AY67">
            <v>1.1800000000000006</v>
          </cell>
          <cell r="AZ67">
            <v>4.773946144331048</v>
          </cell>
          <cell r="BD67">
            <v>1.1800000000000006</v>
          </cell>
          <cell r="BE67">
            <v>4.773946144331048</v>
          </cell>
          <cell r="BI67">
            <v>1.1800000000000006</v>
          </cell>
          <cell r="BJ67">
            <v>4.773946144331048</v>
          </cell>
          <cell r="BN67">
            <v>1.1800000000000006</v>
          </cell>
          <cell r="BO67">
            <v>4.773946144331048</v>
          </cell>
          <cell r="BS67">
            <v>1.1800000000000006</v>
          </cell>
          <cell r="BT67">
            <v>4.773946144331048</v>
          </cell>
          <cell r="BX67">
            <v>1.1800000000000006</v>
          </cell>
          <cell r="BY67">
            <v>4.773946144331048</v>
          </cell>
          <cell r="CC67">
            <v>1.1800000000000006</v>
          </cell>
          <cell r="CD67">
            <v>4.773946144331048</v>
          </cell>
          <cell r="CH67">
            <v>1.1800000000000006</v>
          </cell>
          <cell r="CI67">
            <v>4.773946144331048</v>
          </cell>
          <cell r="CM67">
            <v>1.1800000000000006</v>
          </cell>
          <cell r="CN67">
            <v>4.773946144331048</v>
          </cell>
          <cell r="CR67">
            <v>1.1800000000000006</v>
          </cell>
          <cell r="CS67">
            <v>4.773946144331048</v>
          </cell>
          <cell r="CW67">
            <v>1.1800000000000006</v>
          </cell>
          <cell r="CX67">
            <v>4.773946144331048</v>
          </cell>
          <cell r="DB67">
            <v>1.1800000000000006</v>
          </cell>
          <cell r="DC67">
            <v>4.773946144331048</v>
          </cell>
          <cell r="DG67">
            <v>1.1800000000000006</v>
          </cell>
          <cell r="DH67">
            <v>4.773946144331048</v>
          </cell>
          <cell r="DL67">
            <v>1.1800000000000006</v>
          </cell>
          <cell r="DM67">
            <v>4.773946144331048</v>
          </cell>
          <cell r="DQ67">
            <v>1.1800000000000006</v>
          </cell>
          <cell r="DR67">
            <v>4.773946144331048</v>
          </cell>
          <cell r="DV67">
            <v>1.1800000000000006</v>
          </cell>
          <cell r="DW67">
            <v>4.773946144331048</v>
          </cell>
          <cell r="EA67">
            <v>1.1800000000000006</v>
          </cell>
          <cell r="EB67">
            <v>4.773946144331048</v>
          </cell>
          <cell r="EF67">
            <v>1.1800000000000006</v>
          </cell>
          <cell r="EG67">
            <v>4.773946144331048</v>
          </cell>
          <cell r="EK67">
            <v>1.1800000000000006</v>
          </cell>
          <cell r="EL67">
            <v>4.773946144331048</v>
          </cell>
          <cell r="EP67">
            <v>1.1800000000000006</v>
          </cell>
          <cell r="EQ67">
            <v>4.773946144331048</v>
          </cell>
          <cell r="EU67">
            <v>1.1800000000000006</v>
          </cell>
          <cell r="EV67">
            <v>4.773946144331048</v>
          </cell>
        </row>
        <row r="68">
          <cell r="U68">
            <v>1.2000000000000006</v>
          </cell>
          <cell r="V68">
            <v>4.7702152734165013</v>
          </cell>
          <cell r="Z68">
            <v>1.2000000000000006</v>
          </cell>
          <cell r="AA68">
            <v>4.7702152734165013</v>
          </cell>
          <cell r="AE68">
            <v>1.2000000000000006</v>
          </cell>
          <cell r="AF68">
            <v>4.7702152734165013</v>
          </cell>
          <cell r="AJ68">
            <v>1.2000000000000006</v>
          </cell>
          <cell r="AK68">
            <v>4.7702152734165013</v>
          </cell>
          <cell r="AO68">
            <v>1.2000000000000006</v>
          </cell>
          <cell r="AP68">
            <v>4.7702152734165013</v>
          </cell>
          <cell r="AT68">
            <v>1.2000000000000006</v>
          </cell>
          <cell r="AU68">
            <v>4.7702152734165013</v>
          </cell>
          <cell r="AY68">
            <v>1.2000000000000006</v>
          </cell>
          <cell r="AZ68">
            <v>4.7702152734165013</v>
          </cell>
          <cell r="BD68">
            <v>1.2000000000000006</v>
          </cell>
          <cell r="BE68">
            <v>4.7702152734165013</v>
          </cell>
          <cell r="BI68">
            <v>1.2000000000000006</v>
          </cell>
          <cell r="BJ68">
            <v>4.7702152734165013</v>
          </cell>
          <cell r="BN68">
            <v>1.2000000000000006</v>
          </cell>
          <cell r="BO68">
            <v>4.7702152734165013</v>
          </cell>
          <cell r="BS68">
            <v>1.2000000000000006</v>
          </cell>
          <cell r="BT68">
            <v>4.7702152734165013</v>
          </cell>
          <cell r="BX68">
            <v>1.2000000000000006</v>
          </cell>
          <cell r="BY68">
            <v>4.7702152734165013</v>
          </cell>
          <cell r="CC68">
            <v>1.2000000000000006</v>
          </cell>
          <cell r="CD68">
            <v>4.7702152734165013</v>
          </cell>
          <cell r="CH68">
            <v>1.2000000000000006</v>
          </cell>
          <cell r="CI68">
            <v>4.7702152734165013</v>
          </cell>
          <cell r="CM68">
            <v>1.2000000000000006</v>
          </cell>
          <cell r="CN68">
            <v>4.7702152734165013</v>
          </cell>
          <cell r="CR68">
            <v>1.2000000000000006</v>
          </cell>
          <cell r="CS68">
            <v>4.7702152734165013</v>
          </cell>
          <cell r="CW68">
            <v>1.2000000000000006</v>
          </cell>
          <cell r="CX68">
            <v>4.7702152734165013</v>
          </cell>
          <cell r="DB68">
            <v>1.2000000000000006</v>
          </cell>
          <cell r="DC68">
            <v>4.7702152734165013</v>
          </cell>
          <cell r="DG68">
            <v>1.2000000000000006</v>
          </cell>
          <cell r="DH68">
            <v>4.7702152734165013</v>
          </cell>
          <cell r="DL68">
            <v>1.2000000000000006</v>
          </cell>
          <cell r="DM68">
            <v>4.7702152734165013</v>
          </cell>
          <cell r="DQ68">
            <v>1.2000000000000006</v>
          </cell>
          <cell r="DR68">
            <v>4.7702152734165013</v>
          </cell>
          <cell r="DV68">
            <v>1.2000000000000006</v>
          </cell>
          <cell r="DW68">
            <v>4.7702152734165013</v>
          </cell>
          <cell r="EA68">
            <v>1.2000000000000006</v>
          </cell>
          <cell r="EB68">
            <v>4.7702152734165013</v>
          </cell>
          <cell r="EF68">
            <v>1.2000000000000006</v>
          </cell>
          <cell r="EG68">
            <v>4.7702152734165013</v>
          </cell>
          <cell r="EK68">
            <v>1.2000000000000006</v>
          </cell>
          <cell r="EL68">
            <v>4.7702152734165013</v>
          </cell>
          <cell r="EP68">
            <v>1.2000000000000006</v>
          </cell>
          <cell r="EQ68">
            <v>4.7702152734165013</v>
          </cell>
          <cell r="EU68">
            <v>1.2000000000000006</v>
          </cell>
          <cell r="EV68">
            <v>4.7702152734165013</v>
          </cell>
        </row>
        <row r="69">
          <cell r="U69">
            <v>1.2200000000000006</v>
          </cell>
          <cell r="V69">
            <v>4.7637758897741067</v>
          </cell>
          <cell r="Z69">
            <v>1.2200000000000006</v>
          </cell>
          <cell r="AA69">
            <v>4.7637758897741067</v>
          </cell>
          <cell r="AE69">
            <v>1.2200000000000006</v>
          </cell>
          <cell r="AF69">
            <v>4.7637758897741067</v>
          </cell>
          <cell r="AJ69">
            <v>1.2200000000000006</v>
          </cell>
          <cell r="AK69">
            <v>4.7637758897741067</v>
          </cell>
          <cell r="AO69">
            <v>1.2200000000000006</v>
          </cell>
          <cell r="AP69">
            <v>4.7637758897741067</v>
          </cell>
          <cell r="AT69">
            <v>1.2200000000000006</v>
          </cell>
          <cell r="AU69">
            <v>4.7637758897741067</v>
          </cell>
          <cell r="AY69">
            <v>1.2200000000000006</v>
          </cell>
          <cell r="AZ69">
            <v>4.7637758897741067</v>
          </cell>
          <cell r="BD69">
            <v>1.2200000000000006</v>
          </cell>
          <cell r="BE69">
            <v>4.7637758897741067</v>
          </cell>
          <cell r="BI69">
            <v>1.2200000000000006</v>
          </cell>
          <cell r="BJ69">
            <v>4.7637758897741067</v>
          </cell>
          <cell r="BN69">
            <v>1.2200000000000006</v>
          </cell>
          <cell r="BO69">
            <v>4.7637758897741067</v>
          </cell>
          <cell r="BS69">
            <v>1.2200000000000006</v>
          </cell>
          <cell r="BT69">
            <v>4.7637758897741067</v>
          </cell>
          <cell r="BX69">
            <v>1.2200000000000006</v>
          </cell>
          <cell r="BY69">
            <v>4.7637758897741067</v>
          </cell>
          <cell r="CC69">
            <v>1.2200000000000006</v>
          </cell>
          <cell r="CD69">
            <v>4.7637758897741067</v>
          </cell>
          <cell r="CH69">
            <v>1.2200000000000006</v>
          </cell>
          <cell r="CI69">
            <v>4.7637758897741067</v>
          </cell>
          <cell r="CM69">
            <v>1.2200000000000006</v>
          </cell>
          <cell r="CN69">
            <v>4.7637758897741067</v>
          </cell>
          <cell r="CR69">
            <v>1.2200000000000006</v>
          </cell>
          <cell r="CS69">
            <v>4.7637758897741067</v>
          </cell>
          <cell r="CW69">
            <v>1.2200000000000006</v>
          </cell>
          <cell r="CX69">
            <v>4.7637758897741067</v>
          </cell>
          <cell r="DB69">
            <v>1.2200000000000006</v>
          </cell>
          <cell r="DC69">
            <v>4.7637758897741067</v>
          </cell>
          <cell r="DG69">
            <v>1.2200000000000006</v>
          </cell>
          <cell r="DH69">
            <v>4.7637758897741067</v>
          </cell>
          <cell r="DL69">
            <v>1.2200000000000006</v>
          </cell>
          <cell r="DM69">
            <v>4.7637758897741067</v>
          </cell>
          <cell r="DQ69">
            <v>1.2200000000000006</v>
          </cell>
          <cell r="DR69">
            <v>4.7637758897741067</v>
          </cell>
          <cell r="DV69">
            <v>1.2200000000000006</v>
          </cell>
          <cell r="DW69">
            <v>4.7637758897741067</v>
          </cell>
          <cell r="EA69">
            <v>1.2200000000000006</v>
          </cell>
          <cell r="EB69">
            <v>4.7637758897741067</v>
          </cell>
          <cell r="EF69">
            <v>1.2200000000000006</v>
          </cell>
          <cell r="EG69">
            <v>4.7637758897741067</v>
          </cell>
          <cell r="EK69">
            <v>1.2200000000000006</v>
          </cell>
          <cell r="EL69">
            <v>4.7637758897741067</v>
          </cell>
          <cell r="EP69">
            <v>1.2200000000000006</v>
          </cell>
          <cell r="EQ69">
            <v>4.7637758897741067</v>
          </cell>
          <cell r="EU69">
            <v>1.2200000000000006</v>
          </cell>
          <cell r="EV69">
            <v>4.7637758897741067</v>
          </cell>
        </row>
        <row r="70">
          <cell r="U70">
            <v>1.2400000000000007</v>
          </cell>
          <cell r="V70">
            <v>4.7546279934038642</v>
          </cell>
          <cell r="Z70">
            <v>1.2400000000000007</v>
          </cell>
          <cell r="AA70">
            <v>4.7546279934038642</v>
          </cell>
          <cell r="AE70">
            <v>1.2400000000000007</v>
          </cell>
          <cell r="AF70">
            <v>4.7546279934038642</v>
          </cell>
          <cell r="AJ70">
            <v>1.2400000000000007</v>
          </cell>
          <cell r="AK70">
            <v>4.7546279934038642</v>
          </cell>
          <cell r="AO70">
            <v>1.2400000000000007</v>
          </cell>
          <cell r="AP70">
            <v>4.7546279934038642</v>
          </cell>
          <cell r="AT70">
            <v>1.2400000000000007</v>
          </cell>
          <cell r="AU70">
            <v>4.7546279934038642</v>
          </cell>
          <cell r="AY70">
            <v>1.2400000000000007</v>
          </cell>
          <cell r="AZ70">
            <v>4.7546279934038642</v>
          </cell>
          <cell r="BD70">
            <v>1.2400000000000007</v>
          </cell>
          <cell r="BE70">
            <v>4.7546279934038642</v>
          </cell>
          <cell r="BI70">
            <v>1.2400000000000007</v>
          </cell>
          <cell r="BJ70">
            <v>4.7546279934038642</v>
          </cell>
          <cell r="BN70">
            <v>1.2400000000000007</v>
          </cell>
          <cell r="BO70">
            <v>4.7546279934038642</v>
          </cell>
          <cell r="BS70">
            <v>1.2400000000000007</v>
          </cell>
          <cell r="BT70">
            <v>4.7546279934038642</v>
          </cell>
          <cell r="BX70">
            <v>1.2400000000000007</v>
          </cell>
          <cell r="BY70">
            <v>4.7546279934038642</v>
          </cell>
          <cell r="CC70">
            <v>1.2400000000000007</v>
          </cell>
          <cell r="CD70">
            <v>4.7546279934038642</v>
          </cell>
          <cell r="CH70">
            <v>1.2400000000000007</v>
          </cell>
          <cell r="CI70">
            <v>4.7546279934038642</v>
          </cell>
          <cell r="CM70">
            <v>1.2400000000000007</v>
          </cell>
          <cell r="CN70">
            <v>4.7546279934038642</v>
          </cell>
          <cell r="CR70">
            <v>1.2400000000000007</v>
          </cell>
          <cell r="CS70">
            <v>4.7546279934038642</v>
          </cell>
          <cell r="CW70">
            <v>1.2400000000000007</v>
          </cell>
          <cell r="CX70">
            <v>4.7546279934038642</v>
          </cell>
          <cell r="DB70">
            <v>1.2400000000000007</v>
          </cell>
          <cell r="DC70">
            <v>4.7546279934038642</v>
          </cell>
          <cell r="DG70">
            <v>1.2400000000000007</v>
          </cell>
          <cell r="DH70">
            <v>4.7546279934038642</v>
          </cell>
          <cell r="DL70">
            <v>1.2400000000000007</v>
          </cell>
          <cell r="DM70">
            <v>4.7546279934038642</v>
          </cell>
          <cell r="DQ70">
            <v>1.2400000000000007</v>
          </cell>
          <cell r="DR70">
            <v>4.7546279934038642</v>
          </cell>
          <cell r="DV70">
            <v>1.2400000000000007</v>
          </cell>
          <cell r="DW70">
            <v>4.7546279934038642</v>
          </cell>
          <cell r="EA70">
            <v>1.2400000000000007</v>
          </cell>
          <cell r="EB70">
            <v>4.7546279934038642</v>
          </cell>
          <cell r="EF70">
            <v>1.2400000000000007</v>
          </cell>
          <cell r="EG70">
            <v>4.7546279934038642</v>
          </cell>
          <cell r="EK70">
            <v>1.2400000000000007</v>
          </cell>
          <cell r="EL70">
            <v>4.7546279934038642</v>
          </cell>
          <cell r="EP70">
            <v>1.2400000000000007</v>
          </cell>
          <cell r="EQ70">
            <v>4.7546279934038642</v>
          </cell>
          <cell r="EU70">
            <v>1.2400000000000007</v>
          </cell>
          <cell r="EV70">
            <v>4.7546279934038642</v>
          </cell>
        </row>
        <row r="71">
          <cell r="U71">
            <v>1.2600000000000007</v>
          </cell>
          <cell r="V71">
            <v>4.7427715843057765</v>
          </cell>
          <cell r="Z71">
            <v>1.2600000000000007</v>
          </cell>
          <cell r="AA71">
            <v>4.7427715843057765</v>
          </cell>
          <cell r="AE71">
            <v>1.2600000000000007</v>
          </cell>
          <cell r="AF71">
            <v>4.7427715843057765</v>
          </cell>
          <cell r="AJ71">
            <v>1.2600000000000007</v>
          </cell>
          <cell r="AK71">
            <v>4.7427715843057765</v>
          </cell>
          <cell r="AO71">
            <v>1.2600000000000007</v>
          </cell>
          <cell r="AP71">
            <v>4.7427715843057765</v>
          </cell>
          <cell r="AT71">
            <v>1.2600000000000007</v>
          </cell>
          <cell r="AU71">
            <v>4.7427715843057765</v>
          </cell>
          <cell r="AY71">
            <v>1.2600000000000007</v>
          </cell>
          <cell r="AZ71">
            <v>4.7427715843057765</v>
          </cell>
          <cell r="BD71">
            <v>1.2600000000000007</v>
          </cell>
          <cell r="BE71">
            <v>4.7427715843057765</v>
          </cell>
          <cell r="BI71">
            <v>1.2600000000000007</v>
          </cell>
          <cell r="BJ71">
            <v>4.7427715843057765</v>
          </cell>
          <cell r="BN71">
            <v>1.2600000000000007</v>
          </cell>
          <cell r="BO71">
            <v>4.7427715843057765</v>
          </cell>
          <cell r="BS71">
            <v>1.2600000000000007</v>
          </cell>
          <cell r="BT71">
            <v>4.7427715843057765</v>
          </cell>
          <cell r="BX71">
            <v>1.2600000000000007</v>
          </cell>
          <cell r="BY71">
            <v>4.7427715843057765</v>
          </cell>
          <cell r="CC71">
            <v>1.2600000000000007</v>
          </cell>
          <cell r="CD71">
            <v>4.7427715843057765</v>
          </cell>
          <cell r="CH71">
            <v>1.2600000000000007</v>
          </cell>
          <cell r="CI71">
            <v>4.7427715843057765</v>
          </cell>
          <cell r="CM71">
            <v>1.2600000000000007</v>
          </cell>
          <cell r="CN71">
            <v>4.7427715843057765</v>
          </cell>
          <cell r="CR71">
            <v>1.2600000000000007</v>
          </cell>
          <cell r="CS71">
            <v>4.7427715843057765</v>
          </cell>
          <cell r="CW71">
            <v>1.2600000000000007</v>
          </cell>
          <cell r="CX71">
            <v>4.7427715843057765</v>
          </cell>
          <cell r="DB71">
            <v>1.2600000000000007</v>
          </cell>
          <cell r="DC71">
            <v>4.7427715843057765</v>
          </cell>
          <cell r="DG71">
            <v>1.2600000000000007</v>
          </cell>
          <cell r="DH71">
            <v>4.7427715843057765</v>
          </cell>
          <cell r="DL71">
            <v>1.2600000000000007</v>
          </cell>
          <cell r="DM71">
            <v>4.7427715843057765</v>
          </cell>
          <cell r="DQ71">
            <v>1.2600000000000007</v>
          </cell>
          <cell r="DR71">
            <v>4.7427715843057765</v>
          </cell>
          <cell r="DV71">
            <v>1.2600000000000007</v>
          </cell>
          <cell r="DW71">
            <v>4.7427715843057765</v>
          </cell>
          <cell r="EA71">
            <v>1.2600000000000007</v>
          </cell>
          <cell r="EB71">
            <v>4.7427715843057765</v>
          </cell>
          <cell r="EF71">
            <v>1.2600000000000007</v>
          </cell>
          <cell r="EG71">
            <v>4.7427715843057765</v>
          </cell>
          <cell r="EK71">
            <v>1.2600000000000007</v>
          </cell>
          <cell r="EL71">
            <v>4.7427715843057765</v>
          </cell>
          <cell r="EP71">
            <v>1.2600000000000007</v>
          </cell>
          <cell r="EQ71">
            <v>4.7427715843057765</v>
          </cell>
          <cell r="EU71">
            <v>1.2600000000000007</v>
          </cell>
          <cell r="EV71">
            <v>4.7427715843057765</v>
          </cell>
        </row>
        <row r="72">
          <cell r="U72">
            <v>1.2800000000000007</v>
          </cell>
          <cell r="V72">
            <v>4.72820666247984</v>
          </cell>
          <cell r="Z72">
            <v>1.2800000000000007</v>
          </cell>
          <cell r="AA72">
            <v>4.72820666247984</v>
          </cell>
          <cell r="AE72">
            <v>1.2800000000000007</v>
          </cell>
          <cell r="AF72">
            <v>4.72820666247984</v>
          </cell>
          <cell r="AJ72">
            <v>1.2800000000000007</v>
          </cell>
          <cell r="AK72">
            <v>4.72820666247984</v>
          </cell>
          <cell r="AO72">
            <v>1.2800000000000007</v>
          </cell>
          <cell r="AP72">
            <v>4.72820666247984</v>
          </cell>
          <cell r="AT72">
            <v>1.2800000000000007</v>
          </cell>
          <cell r="AU72">
            <v>4.72820666247984</v>
          </cell>
          <cell r="AY72">
            <v>1.2800000000000007</v>
          </cell>
          <cell r="AZ72">
            <v>4.72820666247984</v>
          </cell>
          <cell r="BD72">
            <v>1.2800000000000007</v>
          </cell>
          <cell r="BE72">
            <v>4.72820666247984</v>
          </cell>
          <cell r="BI72">
            <v>1.2800000000000007</v>
          </cell>
          <cell r="BJ72">
            <v>4.72820666247984</v>
          </cell>
          <cell r="BN72">
            <v>1.2800000000000007</v>
          </cell>
          <cell r="BO72">
            <v>4.72820666247984</v>
          </cell>
          <cell r="BS72">
            <v>1.2800000000000007</v>
          </cell>
          <cell r="BT72">
            <v>4.72820666247984</v>
          </cell>
          <cell r="BX72">
            <v>1.2800000000000007</v>
          </cell>
          <cell r="BY72">
            <v>4.72820666247984</v>
          </cell>
          <cell r="CC72">
            <v>1.2800000000000007</v>
          </cell>
          <cell r="CD72">
            <v>4.72820666247984</v>
          </cell>
          <cell r="CH72">
            <v>1.2800000000000007</v>
          </cell>
          <cell r="CI72">
            <v>4.72820666247984</v>
          </cell>
          <cell r="CM72">
            <v>1.2800000000000007</v>
          </cell>
          <cell r="CN72">
            <v>4.72820666247984</v>
          </cell>
          <cell r="CR72">
            <v>1.2800000000000007</v>
          </cell>
          <cell r="CS72">
            <v>4.72820666247984</v>
          </cell>
          <cell r="CW72">
            <v>1.2800000000000007</v>
          </cell>
          <cell r="CX72">
            <v>4.72820666247984</v>
          </cell>
          <cell r="DB72">
            <v>1.2800000000000007</v>
          </cell>
          <cell r="DC72">
            <v>4.72820666247984</v>
          </cell>
          <cell r="DG72">
            <v>1.2800000000000007</v>
          </cell>
          <cell r="DH72">
            <v>4.72820666247984</v>
          </cell>
          <cell r="DL72">
            <v>1.2800000000000007</v>
          </cell>
          <cell r="DM72">
            <v>4.72820666247984</v>
          </cell>
          <cell r="DQ72">
            <v>1.2800000000000007</v>
          </cell>
          <cell r="DR72">
            <v>4.72820666247984</v>
          </cell>
          <cell r="DV72">
            <v>1.2800000000000007</v>
          </cell>
          <cell r="DW72">
            <v>4.72820666247984</v>
          </cell>
          <cell r="EA72">
            <v>1.2800000000000007</v>
          </cell>
          <cell r="EB72">
            <v>4.72820666247984</v>
          </cell>
          <cell r="EF72">
            <v>1.2800000000000007</v>
          </cell>
          <cell r="EG72">
            <v>4.72820666247984</v>
          </cell>
          <cell r="EK72">
            <v>1.2800000000000007</v>
          </cell>
          <cell r="EL72">
            <v>4.72820666247984</v>
          </cell>
          <cell r="EP72">
            <v>1.2800000000000007</v>
          </cell>
          <cell r="EQ72">
            <v>4.72820666247984</v>
          </cell>
          <cell r="EU72">
            <v>1.2800000000000007</v>
          </cell>
          <cell r="EV72">
            <v>4.72820666247984</v>
          </cell>
        </row>
        <row r="73">
          <cell r="U73">
            <v>1.3000000000000007</v>
          </cell>
          <cell r="V73">
            <v>4.7109332279260574</v>
          </cell>
          <cell r="Z73">
            <v>1.3000000000000007</v>
          </cell>
          <cell r="AA73">
            <v>4.7109332279260574</v>
          </cell>
          <cell r="AE73">
            <v>1.3000000000000007</v>
          </cell>
          <cell r="AF73">
            <v>4.7109332279260574</v>
          </cell>
          <cell r="AJ73">
            <v>1.3000000000000007</v>
          </cell>
          <cell r="AK73">
            <v>4.7109332279260574</v>
          </cell>
          <cell r="AO73">
            <v>1.3000000000000007</v>
          </cell>
          <cell r="AP73">
            <v>4.7109332279260574</v>
          </cell>
          <cell r="AT73">
            <v>1.3000000000000007</v>
          </cell>
          <cell r="AU73">
            <v>4.7109332279260574</v>
          </cell>
          <cell r="AY73">
            <v>1.3000000000000007</v>
          </cell>
          <cell r="AZ73">
            <v>4.7109332279260574</v>
          </cell>
          <cell r="BD73">
            <v>1.3000000000000007</v>
          </cell>
          <cell r="BE73">
            <v>4.7109332279260574</v>
          </cell>
          <cell r="BI73">
            <v>1.3000000000000007</v>
          </cell>
          <cell r="BJ73">
            <v>4.7109332279260574</v>
          </cell>
          <cell r="BN73">
            <v>1.3000000000000007</v>
          </cell>
          <cell r="BO73">
            <v>4.7109332279260574</v>
          </cell>
          <cell r="BS73">
            <v>1.3000000000000007</v>
          </cell>
          <cell r="BT73">
            <v>4.7109332279260574</v>
          </cell>
          <cell r="BX73">
            <v>1.3000000000000007</v>
          </cell>
          <cell r="BY73">
            <v>4.7109332279260574</v>
          </cell>
          <cell r="CC73">
            <v>1.3000000000000007</v>
          </cell>
          <cell r="CD73">
            <v>4.7109332279260574</v>
          </cell>
          <cell r="CH73">
            <v>1.3000000000000007</v>
          </cell>
          <cell r="CI73">
            <v>4.7109332279260574</v>
          </cell>
          <cell r="CM73">
            <v>1.3000000000000007</v>
          </cell>
          <cell r="CN73">
            <v>4.7109332279260574</v>
          </cell>
          <cell r="CR73">
            <v>1.3000000000000007</v>
          </cell>
          <cell r="CS73">
            <v>4.7109332279260574</v>
          </cell>
          <cell r="CW73">
            <v>1.3000000000000007</v>
          </cell>
          <cell r="CX73">
            <v>4.7109332279260574</v>
          </cell>
          <cell r="DB73">
            <v>1.3000000000000007</v>
          </cell>
          <cell r="DC73">
            <v>4.7109332279260574</v>
          </cell>
          <cell r="DG73">
            <v>1.3000000000000007</v>
          </cell>
          <cell r="DH73">
            <v>4.7109332279260574</v>
          </cell>
          <cell r="DL73">
            <v>1.3000000000000007</v>
          </cell>
          <cell r="DM73">
            <v>4.7109332279260574</v>
          </cell>
          <cell r="DQ73">
            <v>1.3000000000000007</v>
          </cell>
          <cell r="DR73">
            <v>4.7109332279260574</v>
          </cell>
          <cell r="DV73">
            <v>1.3000000000000007</v>
          </cell>
          <cell r="DW73">
            <v>4.7109332279260574</v>
          </cell>
          <cell r="EA73">
            <v>1.3000000000000007</v>
          </cell>
          <cell r="EB73">
            <v>4.7109332279260574</v>
          </cell>
          <cell r="EF73">
            <v>1.3000000000000007</v>
          </cell>
          <cell r="EG73">
            <v>4.7109332279260574</v>
          </cell>
          <cell r="EK73">
            <v>1.3000000000000007</v>
          </cell>
          <cell r="EL73">
            <v>4.7109332279260574</v>
          </cell>
          <cell r="EP73">
            <v>1.3000000000000007</v>
          </cell>
          <cell r="EQ73">
            <v>4.7109332279260574</v>
          </cell>
          <cell r="EU73">
            <v>1.3000000000000007</v>
          </cell>
          <cell r="EV73">
            <v>4.7109332279260574</v>
          </cell>
        </row>
        <row r="74">
          <cell r="U74">
            <v>1.3200000000000007</v>
          </cell>
          <cell r="V74">
            <v>4.6909512806444269</v>
          </cell>
          <cell r="Z74">
            <v>1.3200000000000007</v>
          </cell>
          <cell r="AA74">
            <v>4.6909512806444269</v>
          </cell>
          <cell r="AE74">
            <v>1.3200000000000007</v>
          </cell>
          <cell r="AF74">
            <v>4.6909512806444269</v>
          </cell>
          <cell r="AJ74">
            <v>1.3200000000000007</v>
          </cell>
          <cell r="AK74">
            <v>4.6909512806444269</v>
          </cell>
          <cell r="AO74">
            <v>1.3200000000000007</v>
          </cell>
          <cell r="AP74">
            <v>4.6909512806444269</v>
          </cell>
          <cell r="AT74">
            <v>1.3200000000000007</v>
          </cell>
          <cell r="AU74">
            <v>4.6909512806444269</v>
          </cell>
          <cell r="AY74">
            <v>1.3200000000000007</v>
          </cell>
          <cell r="AZ74">
            <v>4.6909512806444269</v>
          </cell>
          <cell r="BD74">
            <v>1.3200000000000007</v>
          </cell>
          <cell r="BE74">
            <v>4.6909512806444269</v>
          </cell>
          <cell r="BI74">
            <v>1.3200000000000007</v>
          </cell>
          <cell r="BJ74">
            <v>4.6909512806444269</v>
          </cell>
          <cell r="BN74">
            <v>1.3200000000000007</v>
          </cell>
          <cell r="BO74">
            <v>4.6909512806444269</v>
          </cell>
          <cell r="BS74">
            <v>1.3200000000000007</v>
          </cell>
          <cell r="BT74">
            <v>4.6909512806444269</v>
          </cell>
          <cell r="BX74">
            <v>1.3200000000000007</v>
          </cell>
          <cell r="BY74">
            <v>4.6909512806444269</v>
          </cell>
          <cell r="CC74">
            <v>1.3200000000000007</v>
          </cell>
          <cell r="CD74">
            <v>4.6909512806444269</v>
          </cell>
          <cell r="CH74">
            <v>1.3200000000000007</v>
          </cell>
          <cell r="CI74">
            <v>4.6909512806444269</v>
          </cell>
          <cell r="CM74">
            <v>1.3200000000000007</v>
          </cell>
          <cell r="CN74">
            <v>4.6909512806444269</v>
          </cell>
          <cell r="CR74">
            <v>1.3200000000000007</v>
          </cell>
          <cell r="CS74">
            <v>4.6909512806444269</v>
          </cell>
          <cell r="CW74">
            <v>1.3200000000000007</v>
          </cell>
          <cell r="CX74">
            <v>4.6909512806444269</v>
          </cell>
          <cell r="DB74">
            <v>1.3200000000000007</v>
          </cell>
          <cell r="DC74">
            <v>4.6909512806444269</v>
          </cell>
          <cell r="DG74">
            <v>1.3200000000000007</v>
          </cell>
          <cell r="DH74">
            <v>4.6909512806444269</v>
          </cell>
          <cell r="DL74">
            <v>1.3200000000000007</v>
          </cell>
          <cell r="DM74">
            <v>4.6909512806444269</v>
          </cell>
          <cell r="DQ74">
            <v>1.3200000000000007</v>
          </cell>
          <cell r="DR74">
            <v>4.6909512806444269</v>
          </cell>
          <cell r="DV74">
            <v>1.3200000000000007</v>
          </cell>
          <cell r="DW74">
            <v>4.6909512806444269</v>
          </cell>
          <cell r="EA74">
            <v>1.3200000000000007</v>
          </cell>
          <cell r="EB74">
            <v>4.6909512806444269</v>
          </cell>
          <cell r="EF74">
            <v>1.3200000000000007</v>
          </cell>
          <cell r="EG74">
            <v>4.6909512806444269</v>
          </cell>
          <cell r="EK74">
            <v>1.3200000000000007</v>
          </cell>
          <cell r="EL74">
            <v>4.6909512806444269</v>
          </cell>
          <cell r="EP74">
            <v>1.3200000000000007</v>
          </cell>
          <cell r="EQ74">
            <v>4.6909512806444269</v>
          </cell>
          <cell r="EU74">
            <v>1.3200000000000007</v>
          </cell>
          <cell r="EV74">
            <v>4.6909512806444269</v>
          </cell>
        </row>
        <row r="75">
          <cell r="U75">
            <v>1.3400000000000007</v>
          </cell>
          <cell r="V75">
            <v>4.6682608206349512</v>
          </cell>
          <cell r="Z75">
            <v>1.3400000000000007</v>
          </cell>
          <cell r="AA75">
            <v>4.6682608206349512</v>
          </cell>
          <cell r="AE75">
            <v>1.3400000000000007</v>
          </cell>
          <cell r="AF75">
            <v>4.6682608206349512</v>
          </cell>
          <cell r="AJ75">
            <v>1.3400000000000007</v>
          </cell>
          <cell r="AK75">
            <v>4.6682608206349512</v>
          </cell>
          <cell r="AO75">
            <v>1.3400000000000007</v>
          </cell>
          <cell r="AP75">
            <v>4.6682608206349512</v>
          </cell>
          <cell r="AT75">
            <v>1.3400000000000007</v>
          </cell>
          <cell r="AU75">
            <v>4.6682608206349512</v>
          </cell>
          <cell r="AY75">
            <v>1.3400000000000007</v>
          </cell>
          <cell r="AZ75">
            <v>4.6682608206349512</v>
          </cell>
          <cell r="BD75">
            <v>1.3400000000000007</v>
          </cell>
          <cell r="BE75">
            <v>4.6682608206349512</v>
          </cell>
          <cell r="BI75">
            <v>1.3400000000000007</v>
          </cell>
          <cell r="BJ75">
            <v>4.6682608206349512</v>
          </cell>
          <cell r="BN75">
            <v>1.3400000000000007</v>
          </cell>
          <cell r="BO75">
            <v>4.6682608206349512</v>
          </cell>
          <cell r="BS75">
            <v>1.3400000000000007</v>
          </cell>
          <cell r="BT75">
            <v>4.6682608206349512</v>
          </cell>
          <cell r="BX75">
            <v>1.3400000000000007</v>
          </cell>
          <cell r="BY75">
            <v>4.6682608206349512</v>
          </cell>
          <cell r="CC75">
            <v>1.3400000000000007</v>
          </cell>
          <cell r="CD75">
            <v>4.6682608206349512</v>
          </cell>
          <cell r="CH75">
            <v>1.3400000000000007</v>
          </cell>
          <cell r="CI75">
            <v>4.6682608206349512</v>
          </cell>
          <cell r="CM75">
            <v>1.3400000000000007</v>
          </cell>
          <cell r="CN75">
            <v>4.6682608206349512</v>
          </cell>
          <cell r="CR75">
            <v>1.3400000000000007</v>
          </cell>
          <cell r="CS75">
            <v>4.6682608206349512</v>
          </cell>
          <cell r="CW75">
            <v>1.3400000000000007</v>
          </cell>
          <cell r="CX75">
            <v>4.6682608206349512</v>
          </cell>
          <cell r="DB75">
            <v>1.3400000000000007</v>
          </cell>
          <cell r="DC75">
            <v>4.6682608206349512</v>
          </cell>
          <cell r="DG75">
            <v>1.3400000000000007</v>
          </cell>
          <cell r="DH75">
            <v>4.6682608206349512</v>
          </cell>
          <cell r="DL75">
            <v>1.3400000000000007</v>
          </cell>
          <cell r="DM75">
            <v>4.6682608206349512</v>
          </cell>
          <cell r="DQ75">
            <v>1.3400000000000007</v>
          </cell>
          <cell r="DR75">
            <v>4.6682608206349512</v>
          </cell>
          <cell r="DV75">
            <v>1.3400000000000007</v>
          </cell>
          <cell r="DW75">
            <v>4.6682608206349512</v>
          </cell>
          <cell r="EA75">
            <v>1.3400000000000007</v>
          </cell>
          <cell r="EB75">
            <v>4.6682608206349512</v>
          </cell>
          <cell r="EF75">
            <v>1.3400000000000007</v>
          </cell>
          <cell r="EG75">
            <v>4.6682608206349512</v>
          </cell>
          <cell r="EK75">
            <v>1.3400000000000007</v>
          </cell>
          <cell r="EL75">
            <v>4.6682608206349512</v>
          </cell>
          <cell r="EP75">
            <v>1.3400000000000007</v>
          </cell>
          <cell r="EQ75">
            <v>4.6682608206349512</v>
          </cell>
          <cell r="EU75">
            <v>1.3400000000000007</v>
          </cell>
          <cell r="EV75">
            <v>4.6682608206349512</v>
          </cell>
        </row>
        <row r="76">
          <cell r="U76">
            <v>1.3600000000000008</v>
          </cell>
          <cell r="V76">
            <v>4.6428618478976267</v>
          </cell>
          <cell r="Z76">
            <v>1.3600000000000008</v>
          </cell>
          <cell r="AA76">
            <v>4.6428618478976267</v>
          </cell>
          <cell r="AE76">
            <v>1.3600000000000008</v>
          </cell>
          <cell r="AF76">
            <v>4.6428618478976267</v>
          </cell>
          <cell r="AJ76">
            <v>1.3600000000000008</v>
          </cell>
          <cell r="AK76">
            <v>4.6428618478976267</v>
          </cell>
          <cell r="AO76">
            <v>1.3600000000000008</v>
          </cell>
          <cell r="AP76">
            <v>4.6428618478976267</v>
          </cell>
          <cell r="AT76">
            <v>1.3600000000000008</v>
          </cell>
          <cell r="AU76">
            <v>4.6428618478976267</v>
          </cell>
          <cell r="AY76">
            <v>1.3600000000000008</v>
          </cell>
          <cell r="AZ76">
            <v>4.6428618478976267</v>
          </cell>
          <cell r="BD76">
            <v>1.3600000000000008</v>
          </cell>
          <cell r="BE76">
            <v>4.6428618478976267</v>
          </cell>
          <cell r="BI76">
            <v>1.3600000000000008</v>
          </cell>
          <cell r="BJ76">
            <v>4.6428618478976267</v>
          </cell>
          <cell r="BN76">
            <v>1.3600000000000008</v>
          </cell>
          <cell r="BO76">
            <v>4.6428618478976267</v>
          </cell>
          <cell r="BS76">
            <v>1.3600000000000008</v>
          </cell>
          <cell r="BT76">
            <v>4.6428618478976267</v>
          </cell>
          <cell r="BX76">
            <v>1.3600000000000008</v>
          </cell>
          <cell r="BY76">
            <v>4.6428618478976267</v>
          </cell>
          <cell r="CC76">
            <v>1.3600000000000008</v>
          </cell>
          <cell r="CD76">
            <v>4.6428618478976267</v>
          </cell>
          <cell r="CH76">
            <v>1.3600000000000008</v>
          </cell>
          <cell r="CI76">
            <v>4.6428618478976267</v>
          </cell>
          <cell r="CM76">
            <v>1.3600000000000008</v>
          </cell>
          <cell r="CN76">
            <v>4.6428618478976267</v>
          </cell>
          <cell r="CR76">
            <v>1.3600000000000008</v>
          </cell>
          <cell r="CS76">
            <v>4.6428618478976267</v>
          </cell>
          <cell r="CW76">
            <v>1.3600000000000008</v>
          </cell>
          <cell r="CX76">
            <v>4.6428618478976267</v>
          </cell>
          <cell r="DB76">
            <v>1.3600000000000008</v>
          </cell>
          <cell r="DC76">
            <v>4.6428618478976267</v>
          </cell>
          <cell r="DG76">
            <v>1.3600000000000008</v>
          </cell>
          <cell r="DH76">
            <v>4.6428618478976267</v>
          </cell>
          <cell r="DL76">
            <v>1.3600000000000008</v>
          </cell>
          <cell r="DM76">
            <v>4.6428618478976267</v>
          </cell>
          <cell r="DQ76">
            <v>1.3600000000000008</v>
          </cell>
          <cell r="DR76">
            <v>4.6428618478976267</v>
          </cell>
          <cell r="DV76">
            <v>1.3600000000000008</v>
          </cell>
          <cell r="DW76">
            <v>4.6428618478976267</v>
          </cell>
          <cell r="EA76">
            <v>1.3600000000000008</v>
          </cell>
          <cell r="EB76">
            <v>4.6428618478976267</v>
          </cell>
          <cell r="EF76">
            <v>1.3600000000000008</v>
          </cell>
          <cell r="EG76">
            <v>4.6428618478976267</v>
          </cell>
          <cell r="EK76">
            <v>1.3600000000000008</v>
          </cell>
          <cell r="EL76">
            <v>4.6428618478976267</v>
          </cell>
          <cell r="EP76">
            <v>1.3600000000000008</v>
          </cell>
          <cell r="EQ76">
            <v>4.6428618478976267</v>
          </cell>
          <cell r="EU76">
            <v>1.3600000000000008</v>
          </cell>
          <cell r="EV76">
            <v>4.6428618478976267</v>
          </cell>
        </row>
        <row r="77">
          <cell r="U77">
            <v>1.3800000000000008</v>
          </cell>
          <cell r="V77">
            <v>4.6147543624324552</v>
          </cell>
          <cell r="Z77">
            <v>1.3800000000000008</v>
          </cell>
          <cell r="AA77">
            <v>4.6147543624324552</v>
          </cell>
          <cell r="AE77">
            <v>1.3800000000000008</v>
          </cell>
          <cell r="AF77">
            <v>4.6147543624324552</v>
          </cell>
          <cell r="AJ77">
            <v>1.3800000000000008</v>
          </cell>
          <cell r="AK77">
            <v>4.6147543624324552</v>
          </cell>
          <cell r="AO77">
            <v>1.3800000000000008</v>
          </cell>
          <cell r="AP77">
            <v>4.6147543624324552</v>
          </cell>
          <cell r="AT77">
            <v>1.3800000000000008</v>
          </cell>
          <cell r="AU77">
            <v>4.6147543624324552</v>
          </cell>
          <cell r="AY77">
            <v>1.3800000000000008</v>
          </cell>
          <cell r="AZ77">
            <v>4.6147543624324552</v>
          </cell>
          <cell r="BD77">
            <v>1.3800000000000008</v>
          </cell>
          <cell r="BE77">
            <v>4.6147543624324552</v>
          </cell>
          <cell r="BI77">
            <v>1.3800000000000008</v>
          </cell>
          <cell r="BJ77">
            <v>4.6147543624324552</v>
          </cell>
          <cell r="BN77">
            <v>1.3800000000000008</v>
          </cell>
          <cell r="BO77">
            <v>4.6147543624324552</v>
          </cell>
          <cell r="BS77">
            <v>1.3800000000000008</v>
          </cell>
          <cell r="BT77">
            <v>4.6147543624324552</v>
          </cell>
          <cell r="BX77">
            <v>1.3800000000000008</v>
          </cell>
          <cell r="BY77">
            <v>4.6147543624324552</v>
          </cell>
          <cell r="CC77">
            <v>1.3800000000000008</v>
          </cell>
          <cell r="CD77">
            <v>4.6147543624324552</v>
          </cell>
          <cell r="CH77">
            <v>1.3800000000000008</v>
          </cell>
          <cell r="CI77">
            <v>4.6147543624324552</v>
          </cell>
          <cell r="CM77">
            <v>1.3800000000000008</v>
          </cell>
          <cell r="CN77">
            <v>4.6147543624324552</v>
          </cell>
          <cell r="CR77">
            <v>1.3800000000000008</v>
          </cell>
          <cell r="CS77">
            <v>4.6147543624324552</v>
          </cell>
          <cell r="CW77">
            <v>1.3800000000000008</v>
          </cell>
          <cell r="CX77">
            <v>4.6147543624324552</v>
          </cell>
          <cell r="DB77">
            <v>1.3800000000000008</v>
          </cell>
          <cell r="DC77">
            <v>4.6147543624324552</v>
          </cell>
          <cell r="DG77">
            <v>1.3800000000000008</v>
          </cell>
          <cell r="DH77">
            <v>4.6147543624324552</v>
          </cell>
          <cell r="DL77">
            <v>1.3800000000000008</v>
          </cell>
          <cell r="DM77">
            <v>4.6147543624324552</v>
          </cell>
          <cell r="DQ77">
            <v>1.3800000000000008</v>
          </cell>
          <cell r="DR77">
            <v>4.6147543624324552</v>
          </cell>
          <cell r="DV77">
            <v>1.3800000000000008</v>
          </cell>
          <cell r="DW77">
            <v>4.6147543624324552</v>
          </cell>
          <cell r="EA77">
            <v>1.3800000000000008</v>
          </cell>
          <cell r="EB77">
            <v>4.6147543624324552</v>
          </cell>
          <cell r="EF77">
            <v>1.3800000000000008</v>
          </cell>
          <cell r="EG77">
            <v>4.6147543624324552</v>
          </cell>
          <cell r="EK77">
            <v>1.3800000000000008</v>
          </cell>
          <cell r="EL77">
            <v>4.6147543624324552</v>
          </cell>
          <cell r="EP77">
            <v>1.3800000000000008</v>
          </cell>
          <cell r="EQ77">
            <v>4.6147543624324552</v>
          </cell>
          <cell r="EU77">
            <v>1.3800000000000008</v>
          </cell>
          <cell r="EV77">
            <v>4.6147543624324552</v>
          </cell>
        </row>
        <row r="78">
          <cell r="U78">
            <v>1.4000000000000008</v>
          </cell>
          <cell r="V78">
            <v>4.5839383642394385</v>
          </cell>
          <cell r="Z78">
            <v>1.4000000000000008</v>
          </cell>
          <cell r="AA78">
            <v>4.5839383642394385</v>
          </cell>
          <cell r="AE78">
            <v>1.4000000000000008</v>
          </cell>
          <cell r="AF78">
            <v>4.5839383642394385</v>
          </cell>
          <cell r="AJ78">
            <v>1.4000000000000008</v>
          </cell>
          <cell r="AK78">
            <v>4.5839383642394385</v>
          </cell>
          <cell r="AO78">
            <v>1.4000000000000008</v>
          </cell>
          <cell r="AP78">
            <v>4.5839383642394385</v>
          </cell>
          <cell r="AT78">
            <v>1.4000000000000008</v>
          </cell>
          <cell r="AU78">
            <v>4.5839383642394385</v>
          </cell>
          <cell r="AY78">
            <v>1.4000000000000008</v>
          </cell>
          <cell r="AZ78">
            <v>4.5839383642394385</v>
          </cell>
          <cell r="BD78">
            <v>1.4000000000000008</v>
          </cell>
          <cell r="BE78">
            <v>4.5839383642394385</v>
          </cell>
          <cell r="BI78">
            <v>1.4000000000000008</v>
          </cell>
          <cell r="BJ78">
            <v>4.5839383642394385</v>
          </cell>
          <cell r="BN78">
            <v>1.4000000000000008</v>
          </cell>
          <cell r="BO78">
            <v>4.5839383642394385</v>
          </cell>
          <cell r="BS78">
            <v>1.4000000000000008</v>
          </cell>
          <cell r="BT78">
            <v>4.5839383642394385</v>
          </cell>
          <cell r="BX78">
            <v>1.4000000000000008</v>
          </cell>
          <cell r="BY78">
            <v>4.5839383642394385</v>
          </cell>
          <cell r="CC78">
            <v>1.4000000000000008</v>
          </cell>
          <cell r="CD78">
            <v>4.5839383642394385</v>
          </cell>
          <cell r="CH78">
            <v>1.4000000000000008</v>
          </cell>
          <cell r="CI78">
            <v>4.5839383642394385</v>
          </cell>
          <cell r="CM78">
            <v>1.4000000000000008</v>
          </cell>
          <cell r="CN78">
            <v>4.5839383642394385</v>
          </cell>
          <cell r="CR78">
            <v>1.4000000000000008</v>
          </cell>
          <cell r="CS78">
            <v>4.5839383642394385</v>
          </cell>
          <cell r="CW78">
            <v>1.4000000000000008</v>
          </cell>
          <cell r="CX78">
            <v>4.5839383642394385</v>
          </cell>
          <cell r="DB78">
            <v>1.4000000000000008</v>
          </cell>
          <cell r="DC78">
            <v>4.5839383642394385</v>
          </cell>
          <cell r="DG78">
            <v>1.4000000000000008</v>
          </cell>
          <cell r="DH78">
            <v>4.5839383642394385</v>
          </cell>
          <cell r="DL78">
            <v>1.4000000000000008</v>
          </cell>
          <cell r="DM78">
            <v>4.5839383642394385</v>
          </cell>
          <cell r="DQ78">
            <v>1.4000000000000008</v>
          </cell>
          <cell r="DR78">
            <v>4.5839383642394385</v>
          </cell>
          <cell r="DV78">
            <v>1.4000000000000008</v>
          </cell>
          <cell r="DW78">
            <v>4.5839383642394385</v>
          </cell>
          <cell r="EA78">
            <v>1.4000000000000008</v>
          </cell>
          <cell r="EB78">
            <v>4.5839383642394385</v>
          </cell>
          <cell r="EF78">
            <v>1.4000000000000008</v>
          </cell>
          <cell r="EG78">
            <v>4.5839383642394385</v>
          </cell>
          <cell r="EK78">
            <v>1.4000000000000008</v>
          </cell>
          <cell r="EL78">
            <v>4.5839383642394385</v>
          </cell>
          <cell r="EP78">
            <v>1.4000000000000008</v>
          </cell>
          <cell r="EQ78">
            <v>4.5839383642394385</v>
          </cell>
          <cell r="EU78">
            <v>1.4000000000000008</v>
          </cell>
          <cell r="EV78">
            <v>4.5839383642394385</v>
          </cell>
        </row>
        <row r="79">
          <cell r="U79">
            <v>1.4200000000000008</v>
          </cell>
          <cell r="V79">
            <v>4.550413853318573</v>
          </cell>
          <cell r="Z79">
            <v>1.4200000000000008</v>
          </cell>
          <cell r="AA79">
            <v>4.550413853318573</v>
          </cell>
          <cell r="AE79">
            <v>1.4200000000000008</v>
          </cell>
          <cell r="AF79">
            <v>4.550413853318573</v>
          </cell>
          <cell r="AJ79">
            <v>1.4200000000000008</v>
          </cell>
          <cell r="AK79">
            <v>4.550413853318573</v>
          </cell>
          <cell r="AO79">
            <v>1.4200000000000008</v>
          </cell>
          <cell r="AP79">
            <v>4.550413853318573</v>
          </cell>
          <cell r="AT79">
            <v>1.4200000000000008</v>
          </cell>
          <cell r="AU79">
            <v>4.550413853318573</v>
          </cell>
          <cell r="AY79">
            <v>1.4200000000000008</v>
          </cell>
          <cell r="AZ79">
            <v>4.550413853318573</v>
          </cell>
          <cell r="BD79">
            <v>1.4200000000000008</v>
          </cell>
          <cell r="BE79">
            <v>4.550413853318573</v>
          </cell>
          <cell r="BI79">
            <v>1.4200000000000008</v>
          </cell>
          <cell r="BJ79">
            <v>4.550413853318573</v>
          </cell>
          <cell r="BN79">
            <v>1.4200000000000008</v>
          </cell>
          <cell r="BO79">
            <v>4.550413853318573</v>
          </cell>
          <cell r="BS79">
            <v>1.4200000000000008</v>
          </cell>
          <cell r="BT79">
            <v>4.550413853318573</v>
          </cell>
          <cell r="BX79">
            <v>1.4200000000000008</v>
          </cell>
          <cell r="BY79">
            <v>4.550413853318573</v>
          </cell>
          <cell r="CC79">
            <v>1.4200000000000008</v>
          </cell>
          <cell r="CD79">
            <v>4.550413853318573</v>
          </cell>
          <cell r="CH79">
            <v>1.4200000000000008</v>
          </cell>
          <cell r="CI79">
            <v>4.550413853318573</v>
          </cell>
          <cell r="CM79">
            <v>1.4200000000000008</v>
          </cell>
          <cell r="CN79">
            <v>4.550413853318573</v>
          </cell>
          <cell r="CR79">
            <v>1.4200000000000008</v>
          </cell>
          <cell r="CS79">
            <v>4.550413853318573</v>
          </cell>
          <cell r="CW79">
            <v>1.4200000000000008</v>
          </cell>
          <cell r="CX79">
            <v>4.550413853318573</v>
          </cell>
          <cell r="DB79">
            <v>1.4200000000000008</v>
          </cell>
          <cell r="DC79">
            <v>4.550413853318573</v>
          </cell>
          <cell r="DG79">
            <v>1.4200000000000008</v>
          </cell>
          <cell r="DH79">
            <v>4.550413853318573</v>
          </cell>
          <cell r="DL79">
            <v>1.4200000000000008</v>
          </cell>
          <cell r="DM79">
            <v>4.550413853318573</v>
          </cell>
          <cell r="DQ79">
            <v>1.4200000000000008</v>
          </cell>
          <cell r="DR79">
            <v>4.550413853318573</v>
          </cell>
          <cell r="DV79">
            <v>1.4200000000000008</v>
          </cell>
          <cell r="DW79">
            <v>4.550413853318573</v>
          </cell>
          <cell r="EA79">
            <v>1.4200000000000008</v>
          </cell>
          <cell r="EB79">
            <v>4.550413853318573</v>
          </cell>
          <cell r="EF79">
            <v>1.4200000000000008</v>
          </cell>
          <cell r="EG79">
            <v>4.550413853318573</v>
          </cell>
          <cell r="EK79">
            <v>1.4200000000000008</v>
          </cell>
          <cell r="EL79">
            <v>4.550413853318573</v>
          </cell>
          <cell r="EP79">
            <v>1.4200000000000008</v>
          </cell>
          <cell r="EQ79">
            <v>4.550413853318573</v>
          </cell>
          <cell r="EU79">
            <v>1.4200000000000008</v>
          </cell>
          <cell r="EV79">
            <v>4.550413853318573</v>
          </cell>
        </row>
        <row r="80">
          <cell r="U80">
            <v>1.4400000000000008</v>
          </cell>
          <cell r="V80">
            <v>4.5141808296698596</v>
          </cell>
          <cell r="Z80">
            <v>1.4400000000000008</v>
          </cell>
          <cell r="AA80">
            <v>4.5141808296698596</v>
          </cell>
          <cell r="AE80">
            <v>1.4400000000000008</v>
          </cell>
          <cell r="AF80">
            <v>4.5141808296698596</v>
          </cell>
          <cell r="AJ80">
            <v>1.4400000000000008</v>
          </cell>
          <cell r="AK80">
            <v>4.5141808296698596</v>
          </cell>
          <cell r="AO80">
            <v>1.4400000000000008</v>
          </cell>
          <cell r="AP80">
            <v>4.5141808296698596</v>
          </cell>
          <cell r="AT80">
            <v>1.4400000000000008</v>
          </cell>
          <cell r="AU80">
            <v>4.5141808296698596</v>
          </cell>
          <cell r="AY80">
            <v>1.4400000000000008</v>
          </cell>
          <cell r="AZ80">
            <v>4.5141808296698596</v>
          </cell>
          <cell r="BD80">
            <v>1.4400000000000008</v>
          </cell>
          <cell r="BE80">
            <v>4.5141808296698596</v>
          </cell>
          <cell r="BI80">
            <v>1.4400000000000008</v>
          </cell>
          <cell r="BJ80">
            <v>4.5141808296698596</v>
          </cell>
          <cell r="BN80">
            <v>1.4400000000000008</v>
          </cell>
          <cell r="BO80">
            <v>4.5141808296698596</v>
          </cell>
          <cell r="BS80">
            <v>1.4400000000000008</v>
          </cell>
          <cell r="BT80">
            <v>4.5141808296698596</v>
          </cell>
          <cell r="BX80">
            <v>1.4400000000000008</v>
          </cell>
          <cell r="BY80">
            <v>4.5141808296698596</v>
          </cell>
          <cell r="CC80">
            <v>1.4400000000000008</v>
          </cell>
          <cell r="CD80">
            <v>4.5141808296698596</v>
          </cell>
          <cell r="CH80">
            <v>1.4400000000000008</v>
          </cell>
          <cell r="CI80">
            <v>4.5141808296698596</v>
          </cell>
          <cell r="CM80">
            <v>1.4400000000000008</v>
          </cell>
          <cell r="CN80">
            <v>4.5141808296698596</v>
          </cell>
          <cell r="CR80">
            <v>1.4400000000000008</v>
          </cell>
          <cell r="CS80">
            <v>4.5141808296698596</v>
          </cell>
          <cell r="CW80">
            <v>1.4400000000000008</v>
          </cell>
          <cell r="CX80">
            <v>4.5141808296698596</v>
          </cell>
          <cell r="DB80">
            <v>1.4400000000000008</v>
          </cell>
          <cell r="DC80">
            <v>4.5141808296698596</v>
          </cell>
          <cell r="DG80">
            <v>1.4400000000000008</v>
          </cell>
          <cell r="DH80">
            <v>4.5141808296698596</v>
          </cell>
          <cell r="DL80">
            <v>1.4400000000000008</v>
          </cell>
          <cell r="DM80">
            <v>4.5141808296698596</v>
          </cell>
          <cell r="DQ80">
            <v>1.4400000000000008</v>
          </cell>
          <cell r="DR80">
            <v>4.5141808296698596</v>
          </cell>
          <cell r="DV80">
            <v>1.4400000000000008</v>
          </cell>
          <cell r="DW80">
            <v>4.5141808296698596</v>
          </cell>
          <cell r="EA80">
            <v>1.4400000000000008</v>
          </cell>
          <cell r="EB80">
            <v>4.5141808296698596</v>
          </cell>
          <cell r="EF80">
            <v>1.4400000000000008</v>
          </cell>
          <cell r="EG80">
            <v>4.5141808296698596</v>
          </cell>
          <cell r="EK80">
            <v>1.4400000000000008</v>
          </cell>
          <cell r="EL80">
            <v>4.5141808296698596</v>
          </cell>
          <cell r="EP80">
            <v>1.4400000000000008</v>
          </cell>
          <cell r="EQ80">
            <v>4.5141808296698596</v>
          </cell>
          <cell r="EU80">
            <v>1.4400000000000008</v>
          </cell>
          <cell r="EV80">
            <v>4.5141808296698596</v>
          </cell>
        </row>
        <row r="81">
          <cell r="U81">
            <v>1.4600000000000009</v>
          </cell>
          <cell r="V81">
            <v>4.4752392932933001</v>
          </cell>
          <cell r="Z81">
            <v>1.4600000000000009</v>
          </cell>
          <cell r="AA81">
            <v>4.4752392932933001</v>
          </cell>
          <cell r="AE81">
            <v>1.4600000000000009</v>
          </cell>
          <cell r="AF81">
            <v>4.4752392932933001</v>
          </cell>
          <cell r="AJ81">
            <v>1.4600000000000009</v>
          </cell>
          <cell r="AK81">
            <v>4.4752392932933001</v>
          </cell>
          <cell r="AO81">
            <v>1.4600000000000009</v>
          </cell>
          <cell r="AP81">
            <v>4.4752392932933001</v>
          </cell>
          <cell r="AT81">
            <v>1.4600000000000009</v>
          </cell>
          <cell r="AU81">
            <v>4.4752392932933001</v>
          </cell>
          <cell r="AY81">
            <v>1.4600000000000009</v>
          </cell>
          <cell r="AZ81">
            <v>4.4752392932933001</v>
          </cell>
          <cell r="BD81">
            <v>1.4600000000000009</v>
          </cell>
          <cell r="BE81">
            <v>4.4752392932933001</v>
          </cell>
          <cell r="BI81">
            <v>1.4600000000000009</v>
          </cell>
          <cell r="BJ81">
            <v>4.4752392932933001</v>
          </cell>
          <cell r="BN81">
            <v>1.4600000000000009</v>
          </cell>
          <cell r="BO81">
            <v>4.4752392932933001</v>
          </cell>
          <cell r="BS81">
            <v>1.4600000000000009</v>
          </cell>
          <cell r="BT81">
            <v>4.4752392932933001</v>
          </cell>
          <cell r="BX81">
            <v>1.4600000000000009</v>
          </cell>
          <cell r="BY81">
            <v>4.4752392932933001</v>
          </cell>
          <cell r="CC81">
            <v>1.4600000000000009</v>
          </cell>
          <cell r="CD81">
            <v>4.4752392932933001</v>
          </cell>
          <cell r="CH81">
            <v>1.4600000000000009</v>
          </cell>
          <cell r="CI81">
            <v>4.4752392932933001</v>
          </cell>
          <cell r="CM81">
            <v>1.4600000000000009</v>
          </cell>
          <cell r="CN81">
            <v>4.4752392932933001</v>
          </cell>
          <cell r="CR81">
            <v>1.4600000000000009</v>
          </cell>
          <cell r="CS81">
            <v>4.4752392932933001</v>
          </cell>
          <cell r="CW81">
            <v>1.4600000000000009</v>
          </cell>
          <cell r="CX81">
            <v>4.4752392932933001</v>
          </cell>
          <cell r="DB81">
            <v>1.4600000000000009</v>
          </cell>
          <cell r="DC81">
            <v>4.4752392932933001</v>
          </cell>
          <cell r="DG81">
            <v>1.4600000000000009</v>
          </cell>
          <cell r="DH81">
            <v>4.4752392932933001</v>
          </cell>
          <cell r="DL81">
            <v>1.4600000000000009</v>
          </cell>
          <cell r="DM81">
            <v>4.4752392932933001</v>
          </cell>
          <cell r="DQ81">
            <v>1.4600000000000009</v>
          </cell>
          <cell r="DR81">
            <v>4.4752392932933001</v>
          </cell>
          <cell r="DV81">
            <v>1.4600000000000009</v>
          </cell>
          <cell r="DW81">
            <v>4.4752392932933001</v>
          </cell>
          <cell r="EA81">
            <v>1.4600000000000009</v>
          </cell>
          <cell r="EB81">
            <v>4.4752392932933001</v>
          </cell>
          <cell r="EF81">
            <v>1.4600000000000009</v>
          </cell>
          <cell r="EG81">
            <v>4.4752392932933001</v>
          </cell>
          <cell r="EK81">
            <v>1.4600000000000009</v>
          </cell>
          <cell r="EL81">
            <v>4.4752392932933001</v>
          </cell>
          <cell r="EP81">
            <v>1.4600000000000009</v>
          </cell>
          <cell r="EQ81">
            <v>4.4752392932933001</v>
          </cell>
          <cell r="EU81">
            <v>1.4600000000000009</v>
          </cell>
          <cell r="EV81">
            <v>4.4752392932933001</v>
          </cell>
        </row>
        <row r="82">
          <cell r="U82">
            <v>1.4800000000000009</v>
          </cell>
          <cell r="V82">
            <v>4.4335892441888944</v>
          </cell>
          <cell r="Z82">
            <v>1.4800000000000009</v>
          </cell>
          <cell r="AA82">
            <v>4.4335892441888944</v>
          </cell>
          <cell r="AE82">
            <v>1.4800000000000009</v>
          </cell>
          <cell r="AF82">
            <v>4.4335892441888944</v>
          </cell>
          <cell r="AJ82">
            <v>1.4800000000000009</v>
          </cell>
          <cell r="AK82">
            <v>4.4335892441888944</v>
          </cell>
          <cell r="AO82">
            <v>1.4800000000000009</v>
          </cell>
          <cell r="AP82">
            <v>4.4335892441888944</v>
          </cell>
          <cell r="AT82">
            <v>1.4800000000000009</v>
          </cell>
          <cell r="AU82">
            <v>4.4335892441888944</v>
          </cell>
          <cell r="AY82">
            <v>1.4800000000000009</v>
          </cell>
          <cell r="AZ82">
            <v>4.4335892441888944</v>
          </cell>
          <cell r="BD82">
            <v>1.4800000000000009</v>
          </cell>
          <cell r="BE82">
            <v>4.4335892441888944</v>
          </cell>
          <cell r="BI82">
            <v>1.4800000000000009</v>
          </cell>
          <cell r="BJ82">
            <v>4.4335892441888944</v>
          </cell>
          <cell r="BN82">
            <v>1.4800000000000009</v>
          </cell>
          <cell r="BO82">
            <v>4.4335892441888944</v>
          </cell>
          <cell r="BS82">
            <v>1.4800000000000009</v>
          </cell>
          <cell r="BT82">
            <v>4.4335892441888944</v>
          </cell>
          <cell r="BX82">
            <v>1.4800000000000009</v>
          </cell>
          <cell r="BY82">
            <v>4.4335892441888944</v>
          </cell>
          <cell r="CC82">
            <v>1.4800000000000009</v>
          </cell>
          <cell r="CD82">
            <v>4.4335892441888944</v>
          </cell>
          <cell r="CH82">
            <v>1.4800000000000009</v>
          </cell>
          <cell r="CI82">
            <v>4.4335892441888944</v>
          </cell>
          <cell r="CM82">
            <v>1.4800000000000009</v>
          </cell>
          <cell r="CN82">
            <v>4.4335892441888944</v>
          </cell>
          <cell r="CR82">
            <v>1.4800000000000009</v>
          </cell>
          <cell r="CS82">
            <v>4.4335892441888944</v>
          </cell>
          <cell r="CW82">
            <v>1.4800000000000009</v>
          </cell>
          <cell r="CX82">
            <v>4.4335892441888944</v>
          </cell>
          <cell r="DB82">
            <v>1.4800000000000009</v>
          </cell>
          <cell r="DC82">
            <v>4.4335892441888944</v>
          </cell>
          <cell r="DG82">
            <v>1.4800000000000009</v>
          </cell>
          <cell r="DH82">
            <v>4.4335892441888944</v>
          </cell>
          <cell r="DL82">
            <v>1.4800000000000009</v>
          </cell>
          <cell r="DM82">
            <v>4.4335892441888944</v>
          </cell>
          <cell r="DQ82">
            <v>1.4800000000000009</v>
          </cell>
          <cell r="DR82">
            <v>4.4335892441888944</v>
          </cell>
          <cell r="DV82">
            <v>1.4800000000000009</v>
          </cell>
          <cell r="DW82">
            <v>4.4335892441888944</v>
          </cell>
          <cell r="EA82">
            <v>1.4800000000000009</v>
          </cell>
          <cell r="EB82">
            <v>4.4335892441888944</v>
          </cell>
          <cell r="EF82">
            <v>1.4800000000000009</v>
          </cell>
          <cell r="EG82">
            <v>4.4335892441888944</v>
          </cell>
          <cell r="EK82">
            <v>1.4800000000000009</v>
          </cell>
          <cell r="EL82">
            <v>4.4335892441888944</v>
          </cell>
          <cell r="EP82">
            <v>1.4800000000000009</v>
          </cell>
          <cell r="EQ82">
            <v>4.4335892441888944</v>
          </cell>
          <cell r="EU82">
            <v>1.4800000000000009</v>
          </cell>
          <cell r="EV82">
            <v>4.4335892441888944</v>
          </cell>
        </row>
        <row r="83">
          <cell r="U83">
            <v>1.5000000000000009</v>
          </cell>
          <cell r="V83">
            <v>4.38923068235664</v>
          </cell>
          <cell r="Z83">
            <v>1.5000000000000009</v>
          </cell>
          <cell r="AA83">
            <v>4.38923068235664</v>
          </cell>
          <cell r="AE83">
            <v>1.5000000000000009</v>
          </cell>
          <cell r="AF83">
            <v>4.38923068235664</v>
          </cell>
          <cell r="AJ83">
            <v>1.5000000000000009</v>
          </cell>
          <cell r="AK83">
            <v>4.38923068235664</v>
          </cell>
          <cell r="AO83">
            <v>1.5000000000000009</v>
          </cell>
          <cell r="AP83">
            <v>4.38923068235664</v>
          </cell>
          <cell r="AT83">
            <v>1.5000000000000009</v>
          </cell>
          <cell r="AU83">
            <v>4.38923068235664</v>
          </cell>
          <cell r="AY83">
            <v>1.5000000000000009</v>
          </cell>
          <cell r="AZ83">
            <v>4.38923068235664</v>
          </cell>
          <cell r="BD83">
            <v>1.5000000000000009</v>
          </cell>
          <cell r="BE83">
            <v>4.38923068235664</v>
          </cell>
          <cell r="BI83">
            <v>1.5000000000000009</v>
          </cell>
          <cell r="BJ83">
            <v>4.38923068235664</v>
          </cell>
          <cell r="BN83">
            <v>1.5000000000000009</v>
          </cell>
          <cell r="BO83">
            <v>4.38923068235664</v>
          </cell>
          <cell r="BS83">
            <v>1.5000000000000009</v>
          </cell>
          <cell r="BT83">
            <v>4.38923068235664</v>
          </cell>
          <cell r="BX83">
            <v>1.5000000000000009</v>
          </cell>
          <cell r="BY83">
            <v>4.38923068235664</v>
          </cell>
          <cell r="CC83">
            <v>1.5000000000000009</v>
          </cell>
          <cell r="CD83">
            <v>4.38923068235664</v>
          </cell>
          <cell r="CH83">
            <v>1.5000000000000009</v>
          </cell>
          <cell r="CI83">
            <v>4.38923068235664</v>
          </cell>
          <cell r="CM83">
            <v>1.5000000000000009</v>
          </cell>
          <cell r="CN83">
            <v>4.38923068235664</v>
          </cell>
          <cell r="CR83">
            <v>1.5000000000000009</v>
          </cell>
          <cell r="CS83">
            <v>4.38923068235664</v>
          </cell>
          <cell r="CW83">
            <v>1.5000000000000009</v>
          </cell>
          <cell r="CX83">
            <v>4.38923068235664</v>
          </cell>
          <cell r="DB83">
            <v>1.5000000000000009</v>
          </cell>
          <cell r="DC83">
            <v>4.38923068235664</v>
          </cell>
          <cell r="DG83">
            <v>1.5000000000000009</v>
          </cell>
          <cell r="DH83">
            <v>4.38923068235664</v>
          </cell>
          <cell r="DL83">
            <v>1.5000000000000009</v>
          </cell>
          <cell r="DM83">
            <v>4.38923068235664</v>
          </cell>
          <cell r="DQ83">
            <v>1.5000000000000009</v>
          </cell>
          <cell r="DR83">
            <v>4.38923068235664</v>
          </cell>
          <cell r="DV83">
            <v>1.5000000000000009</v>
          </cell>
          <cell r="DW83">
            <v>4.38923068235664</v>
          </cell>
          <cell r="EA83">
            <v>1.5000000000000009</v>
          </cell>
          <cell r="EB83">
            <v>4.38923068235664</v>
          </cell>
          <cell r="EF83">
            <v>1.5000000000000009</v>
          </cell>
          <cell r="EG83">
            <v>4.38923068235664</v>
          </cell>
          <cell r="EK83">
            <v>1.5000000000000009</v>
          </cell>
          <cell r="EL83">
            <v>4.38923068235664</v>
          </cell>
          <cell r="EP83">
            <v>1.5000000000000009</v>
          </cell>
          <cell r="EQ83">
            <v>4.38923068235664</v>
          </cell>
          <cell r="EU83">
            <v>1.5000000000000009</v>
          </cell>
          <cell r="EV83">
            <v>4.38923068235664</v>
          </cell>
        </row>
        <row r="84">
          <cell r="U84">
            <v>1.5200000000000009</v>
          </cell>
          <cell r="V84">
            <v>4.3421636077965386</v>
          </cell>
          <cell r="Z84">
            <v>1.5200000000000009</v>
          </cell>
          <cell r="AA84">
            <v>4.3421636077965386</v>
          </cell>
          <cell r="AE84">
            <v>1.5200000000000009</v>
          </cell>
          <cell r="AF84">
            <v>4.3421636077965386</v>
          </cell>
          <cell r="AJ84">
            <v>1.5200000000000009</v>
          </cell>
          <cell r="AK84">
            <v>4.3421636077965386</v>
          </cell>
          <cell r="AO84">
            <v>1.5200000000000009</v>
          </cell>
          <cell r="AP84">
            <v>4.3421636077965386</v>
          </cell>
          <cell r="AT84">
            <v>1.5200000000000009</v>
          </cell>
          <cell r="AU84">
            <v>4.3421636077965386</v>
          </cell>
          <cell r="AY84">
            <v>1.5200000000000009</v>
          </cell>
          <cell r="AZ84">
            <v>4.3421636077965386</v>
          </cell>
          <cell r="BD84">
            <v>1.5200000000000009</v>
          </cell>
          <cell r="BE84">
            <v>4.3421636077965386</v>
          </cell>
          <cell r="BI84">
            <v>1.5200000000000009</v>
          </cell>
          <cell r="BJ84">
            <v>4.3421636077965386</v>
          </cell>
          <cell r="BN84">
            <v>1.5200000000000009</v>
          </cell>
          <cell r="BO84">
            <v>4.3421636077965386</v>
          </cell>
          <cell r="BS84">
            <v>1.5200000000000009</v>
          </cell>
          <cell r="BT84">
            <v>4.3421636077965386</v>
          </cell>
          <cell r="BX84">
            <v>1.5200000000000009</v>
          </cell>
          <cell r="BY84">
            <v>4.3421636077965386</v>
          </cell>
          <cell r="CC84">
            <v>1.5200000000000009</v>
          </cell>
          <cell r="CD84">
            <v>4.3421636077965386</v>
          </cell>
          <cell r="CH84">
            <v>1.5200000000000009</v>
          </cell>
          <cell r="CI84">
            <v>4.3421636077965386</v>
          </cell>
          <cell r="CM84">
            <v>1.5200000000000009</v>
          </cell>
          <cell r="CN84">
            <v>4.3421636077965386</v>
          </cell>
          <cell r="CR84">
            <v>1.5200000000000009</v>
          </cell>
          <cell r="CS84">
            <v>4.3421636077965386</v>
          </cell>
          <cell r="CW84">
            <v>1.5200000000000009</v>
          </cell>
          <cell r="CX84">
            <v>4.3421636077965386</v>
          </cell>
          <cell r="DB84">
            <v>1.5200000000000009</v>
          </cell>
          <cell r="DC84">
            <v>4.3421636077965386</v>
          </cell>
          <cell r="DG84">
            <v>1.5200000000000009</v>
          </cell>
          <cell r="DH84">
            <v>4.3421636077965386</v>
          </cell>
          <cell r="DL84">
            <v>1.5200000000000009</v>
          </cell>
          <cell r="DM84">
            <v>4.3421636077965386</v>
          </cell>
          <cell r="DQ84">
            <v>1.5200000000000009</v>
          </cell>
          <cell r="DR84">
            <v>4.3421636077965386</v>
          </cell>
          <cell r="DV84">
            <v>1.5200000000000009</v>
          </cell>
          <cell r="DW84">
            <v>4.3421636077965386</v>
          </cell>
          <cell r="EA84">
            <v>1.5200000000000009</v>
          </cell>
          <cell r="EB84">
            <v>4.3421636077965386</v>
          </cell>
          <cell r="EF84">
            <v>1.5200000000000009</v>
          </cell>
          <cell r="EG84">
            <v>4.3421636077965386</v>
          </cell>
          <cell r="EK84">
            <v>1.5200000000000009</v>
          </cell>
          <cell r="EL84">
            <v>4.3421636077965386</v>
          </cell>
          <cell r="EP84">
            <v>1.5200000000000009</v>
          </cell>
          <cell r="EQ84">
            <v>4.3421636077965386</v>
          </cell>
          <cell r="EU84">
            <v>1.5200000000000009</v>
          </cell>
          <cell r="EV84">
            <v>4.3421636077965386</v>
          </cell>
        </row>
        <row r="85">
          <cell r="U85">
            <v>1.5400000000000009</v>
          </cell>
          <cell r="V85">
            <v>4.2923880205085885</v>
          </cell>
          <cell r="Z85">
            <v>1.5400000000000009</v>
          </cell>
          <cell r="AA85">
            <v>4.2923880205085885</v>
          </cell>
          <cell r="AE85">
            <v>1.5400000000000009</v>
          </cell>
          <cell r="AF85">
            <v>4.2923880205085885</v>
          </cell>
          <cell r="AJ85">
            <v>1.5400000000000009</v>
          </cell>
          <cell r="AK85">
            <v>4.2923880205085885</v>
          </cell>
          <cell r="AO85">
            <v>1.5400000000000009</v>
          </cell>
          <cell r="AP85">
            <v>4.2923880205085885</v>
          </cell>
          <cell r="AT85">
            <v>1.5400000000000009</v>
          </cell>
          <cell r="AU85">
            <v>4.2923880205085885</v>
          </cell>
          <cell r="AY85">
            <v>1.5400000000000009</v>
          </cell>
          <cell r="AZ85">
            <v>4.2923880205085885</v>
          </cell>
          <cell r="BD85">
            <v>1.5400000000000009</v>
          </cell>
          <cell r="BE85">
            <v>4.2923880205085885</v>
          </cell>
          <cell r="BI85">
            <v>1.5400000000000009</v>
          </cell>
          <cell r="BJ85">
            <v>4.2923880205085885</v>
          </cell>
          <cell r="BN85">
            <v>1.5400000000000009</v>
          </cell>
          <cell r="BO85">
            <v>4.2923880205085885</v>
          </cell>
          <cell r="BS85">
            <v>1.5400000000000009</v>
          </cell>
          <cell r="BT85">
            <v>4.2923880205085885</v>
          </cell>
          <cell r="BX85">
            <v>1.5400000000000009</v>
          </cell>
          <cell r="BY85">
            <v>4.2923880205085885</v>
          </cell>
          <cell r="CC85">
            <v>1.5400000000000009</v>
          </cell>
          <cell r="CD85">
            <v>4.2923880205085885</v>
          </cell>
          <cell r="CH85">
            <v>1.5400000000000009</v>
          </cell>
          <cell r="CI85">
            <v>4.2923880205085885</v>
          </cell>
          <cell r="CM85">
            <v>1.5400000000000009</v>
          </cell>
          <cell r="CN85">
            <v>4.2923880205085885</v>
          </cell>
          <cell r="CR85">
            <v>1.5400000000000009</v>
          </cell>
          <cell r="CS85">
            <v>4.2923880205085885</v>
          </cell>
          <cell r="CW85">
            <v>1.5400000000000009</v>
          </cell>
          <cell r="CX85">
            <v>4.2923880205085885</v>
          </cell>
          <cell r="DB85">
            <v>1.5400000000000009</v>
          </cell>
          <cell r="DC85">
            <v>4.2923880205085885</v>
          </cell>
          <cell r="DG85">
            <v>1.5400000000000009</v>
          </cell>
          <cell r="DH85">
            <v>4.2923880205085885</v>
          </cell>
          <cell r="DL85">
            <v>1.5400000000000009</v>
          </cell>
          <cell r="DM85">
            <v>4.2923880205085885</v>
          </cell>
          <cell r="DQ85">
            <v>1.5400000000000009</v>
          </cell>
          <cell r="DR85">
            <v>4.2923880205085885</v>
          </cell>
          <cell r="DV85">
            <v>1.5400000000000009</v>
          </cell>
          <cell r="DW85">
            <v>4.2923880205085885</v>
          </cell>
          <cell r="EA85">
            <v>1.5400000000000009</v>
          </cell>
          <cell r="EB85">
            <v>4.2923880205085885</v>
          </cell>
          <cell r="EF85">
            <v>1.5400000000000009</v>
          </cell>
          <cell r="EG85">
            <v>4.2923880205085885</v>
          </cell>
          <cell r="EK85">
            <v>1.5400000000000009</v>
          </cell>
          <cell r="EL85">
            <v>4.2923880205085885</v>
          </cell>
          <cell r="EP85">
            <v>1.5400000000000009</v>
          </cell>
          <cell r="EQ85">
            <v>4.2923880205085885</v>
          </cell>
          <cell r="EU85">
            <v>1.5400000000000009</v>
          </cell>
          <cell r="EV85">
            <v>4.2923880205085885</v>
          </cell>
        </row>
        <row r="86">
          <cell r="U86">
            <v>1.5600000000000009</v>
          </cell>
          <cell r="V86">
            <v>4.2399039204927975</v>
          </cell>
          <cell r="Z86">
            <v>1.5600000000000009</v>
          </cell>
          <cell r="AA86">
            <v>4.2399039204927975</v>
          </cell>
          <cell r="AE86">
            <v>1.5600000000000009</v>
          </cell>
          <cell r="AF86">
            <v>4.2399039204927975</v>
          </cell>
          <cell r="AJ86">
            <v>1.5600000000000009</v>
          </cell>
          <cell r="AK86">
            <v>4.2399039204927975</v>
          </cell>
          <cell r="AO86">
            <v>1.5600000000000009</v>
          </cell>
          <cell r="AP86">
            <v>4.2399039204927975</v>
          </cell>
          <cell r="AT86">
            <v>1.5600000000000009</v>
          </cell>
          <cell r="AU86">
            <v>4.2399039204927975</v>
          </cell>
          <cell r="AY86">
            <v>1.5600000000000009</v>
          </cell>
          <cell r="AZ86">
            <v>4.2399039204927975</v>
          </cell>
          <cell r="BD86">
            <v>1.5600000000000009</v>
          </cell>
          <cell r="BE86">
            <v>4.2399039204927975</v>
          </cell>
          <cell r="BI86">
            <v>1.5600000000000009</v>
          </cell>
          <cell r="BJ86">
            <v>4.2399039204927975</v>
          </cell>
          <cell r="BN86">
            <v>1.5600000000000009</v>
          </cell>
          <cell r="BO86">
            <v>4.2399039204927975</v>
          </cell>
          <cell r="BS86">
            <v>1.5600000000000009</v>
          </cell>
          <cell r="BT86">
            <v>4.2399039204927975</v>
          </cell>
          <cell r="BX86">
            <v>1.5600000000000009</v>
          </cell>
          <cell r="BY86">
            <v>4.2399039204927975</v>
          </cell>
          <cell r="CC86">
            <v>1.5600000000000009</v>
          </cell>
          <cell r="CD86">
            <v>4.2399039204927975</v>
          </cell>
          <cell r="CH86">
            <v>1.5600000000000009</v>
          </cell>
          <cell r="CI86">
            <v>4.2399039204927975</v>
          </cell>
          <cell r="CM86">
            <v>1.5600000000000009</v>
          </cell>
          <cell r="CN86">
            <v>4.2399039204927975</v>
          </cell>
          <cell r="CR86">
            <v>1.5600000000000009</v>
          </cell>
          <cell r="CS86">
            <v>4.2399039204927975</v>
          </cell>
          <cell r="CW86">
            <v>1.5600000000000009</v>
          </cell>
          <cell r="CX86">
            <v>4.2399039204927975</v>
          </cell>
          <cell r="DB86">
            <v>1.5600000000000009</v>
          </cell>
          <cell r="DC86">
            <v>4.2399039204927975</v>
          </cell>
          <cell r="DG86">
            <v>1.5600000000000009</v>
          </cell>
          <cell r="DH86">
            <v>4.2399039204927975</v>
          </cell>
          <cell r="DL86">
            <v>1.5600000000000009</v>
          </cell>
          <cell r="DM86">
            <v>4.2399039204927975</v>
          </cell>
          <cell r="DQ86">
            <v>1.5600000000000009</v>
          </cell>
          <cell r="DR86">
            <v>4.2399039204927975</v>
          </cell>
          <cell r="DV86">
            <v>1.5600000000000009</v>
          </cell>
          <cell r="DW86">
            <v>4.2399039204927975</v>
          </cell>
          <cell r="EA86">
            <v>1.5600000000000009</v>
          </cell>
          <cell r="EB86">
            <v>4.2399039204927975</v>
          </cell>
          <cell r="EF86">
            <v>1.5600000000000009</v>
          </cell>
          <cell r="EG86">
            <v>4.2399039204927975</v>
          </cell>
          <cell r="EK86">
            <v>1.5600000000000009</v>
          </cell>
          <cell r="EL86">
            <v>4.2399039204927975</v>
          </cell>
          <cell r="EP86">
            <v>1.5600000000000009</v>
          </cell>
          <cell r="EQ86">
            <v>4.2399039204927975</v>
          </cell>
          <cell r="EU86">
            <v>1.5600000000000009</v>
          </cell>
          <cell r="EV86">
            <v>4.2399039204927975</v>
          </cell>
        </row>
        <row r="87">
          <cell r="U87">
            <v>1.580000000000001</v>
          </cell>
          <cell r="V87">
            <v>4.1847113077491533</v>
          </cell>
          <cell r="Z87">
            <v>1.580000000000001</v>
          </cell>
          <cell r="AA87">
            <v>4.1847113077491533</v>
          </cell>
          <cell r="AE87">
            <v>1.580000000000001</v>
          </cell>
          <cell r="AF87">
            <v>4.1847113077491533</v>
          </cell>
          <cell r="AJ87">
            <v>1.580000000000001</v>
          </cell>
          <cell r="AK87">
            <v>4.1847113077491533</v>
          </cell>
          <cell r="AO87">
            <v>1.580000000000001</v>
          </cell>
          <cell r="AP87">
            <v>4.1847113077491533</v>
          </cell>
          <cell r="AT87">
            <v>1.580000000000001</v>
          </cell>
          <cell r="AU87">
            <v>4.1847113077491533</v>
          </cell>
          <cell r="AY87">
            <v>1.580000000000001</v>
          </cell>
          <cell r="AZ87">
            <v>4.1847113077491533</v>
          </cell>
          <cell r="BD87">
            <v>1.580000000000001</v>
          </cell>
          <cell r="BE87">
            <v>4.1847113077491533</v>
          </cell>
          <cell r="BI87">
            <v>1.580000000000001</v>
          </cell>
          <cell r="BJ87">
            <v>4.1847113077491533</v>
          </cell>
          <cell r="BN87">
            <v>1.580000000000001</v>
          </cell>
          <cell r="BO87">
            <v>4.1847113077491533</v>
          </cell>
          <cell r="BS87">
            <v>1.580000000000001</v>
          </cell>
          <cell r="BT87">
            <v>4.1847113077491533</v>
          </cell>
          <cell r="BX87">
            <v>1.580000000000001</v>
          </cell>
          <cell r="BY87">
            <v>4.1847113077491533</v>
          </cell>
          <cell r="CC87">
            <v>1.580000000000001</v>
          </cell>
          <cell r="CD87">
            <v>4.1847113077491533</v>
          </cell>
          <cell r="CH87">
            <v>1.580000000000001</v>
          </cell>
          <cell r="CI87">
            <v>4.1847113077491533</v>
          </cell>
          <cell r="CM87">
            <v>1.580000000000001</v>
          </cell>
          <cell r="CN87">
            <v>4.1847113077491533</v>
          </cell>
          <cell r="CR87">
            <v>1.580000000000001</v>
          </cell>
          <cell r="CS87">
            <v>4.1847113077491533</v>
          </cell>
          <cell r="CW87">
            <v>1.580000000000001</v>
          </cell>
          <cell r="CX87">
            <v>4.1847113077491533</v>
          </cell>
          <cell r="DB87">
            <v>1.580000000000001</v>
          </cell>
          <cell r="DC87">
            <v>4.1847113077491533</v>
          </cell>
          <cell r="DG87">
            <v>1.580000000000001</v>
          </cell>
          <cell r="DH87">
            <v>4.1847113077491533</v>
          </cell>
          <cell r="DL87">
            <v>1.580000000000001</v>
          </cell>
          <cell r="DM87">
            <v>4.1847113077491533</v>
          </cell>
          <cell r="DQ87">
            <v>1.580000000000001</v>
          </cell>
          <cell r="DR87">
            <v>4.1847113077491533</v>
          </cell>
          <cell r="DV87">
            <v>1.580000000000001</v>
          </cell>
          <cell r="DW87">
            <v>4.1847113077491533</v>
          </cell>
          <cell r="EA87">
            <v>1.580000000000001</v>
          </cell>
          <cell r="EB87">
            <v>4.1847113077491533</v>
          </cell>
          <cell r="EF87">
            <v>1.580000000000001</v>
          </cell>
          <cell r="EG87">
            <v>4.1847113077491533</v>
          </cell>
          <cell r="EK87">
            <v>1.580000000000001</v>
          </cell>
          <cell r="EL87">
            <v>4.1847113077491533</v>
          </cell>
          <cell r="EP87">
            <v>1.580000000000001</v>
          </cell>
          <cell r="EQ87">
            <v>4.1847113077491533</v>
          </cell>
          <cell r="EU87">
            <v>1.580000000000001</v>
          </cell>
          <cell r="EV87">
            <v>4.1847113077491533</v>
          </cell>
        </row>
        <row r="88">
          <cell r="U88">
            <v>1.600000000000001</v>
          </cell>
          <cell r="V88">
            <v>4.1268101822776631</v>
          </cell>
          <cell r="Z88">
            <v>1.600000000000001</v>
          </cell>
          <cell r="AA88">
            <v>4.1268101822776631</v>
          </cell>
          <cell r="AE88">
            <v>1.600000000000001</v>
          </cell>
          <cell r="AF88">
            <v>4.1268101822776631</v>
          </cell>
          <cell r="AJ88">
            <v>1.600000000000001</v>
          </cell>
          <cell r="AK88">
            <v>4.1268101822776631</v>
          </cell>
          <cell r="AO88">
            <v>1.600000000000001</v>
          </cell>
          <cell r="AP88">
            <v>4.1268101822776631</v>
          </cell>
          <cell r="AT88">
            <v>1.600000000000001</v>
          </cell>
          <cell r="AU88">
            <v>4.1268101822776631</v>
          </cell>
          <cell r="AY88">
            <v>1.600000000000001</v>
          </cell>
          <cell r="AZ88">
            <v>4.1268101822776631</v>
          </cell>
          <cell r="BD88">
            <v>1.600000000000001</v>
          </cell>
          <cell r="BE88">
            <v>4.1268101822776631</v>
          </cell>
          <cell r="BI88">
            <v>1.600000000000001</v>
          </cell>
          <cell r="BJ88">
            <v>4.1268101822776631</v>
          </cell>
          <cell r="BN88">
            <v>1.600000000000001</v>
          </cell>
          <cell r="BO88">
            <v>4.1268101822776631</v>
          </cell>
          <cell r="BS88">
            <v>1.600000000000001</v>
          </cell>
          <cell r="BT88">
            <v>4.1268101822776631</v>
          </cell>
          <cell r="BX88">
            <v>1.600000000000001</v>
          </cell>
          <cell r="BY88">
            <v>4.1268101822776631</v>
          </cell>
          <cell r="CC88">
            <v>1.600000000000001</v>
          </cell>
          <cell r="CD88">
            <v>4.1268101822776631</v>
          </cell>
          <cell r="CH88">
            <v>1.600000000000001</v>
          </cell>
          <cell r="CI88">
            <v>4.1268101822776631</v>
          </cell>
          <cell r="CM88">
            <v>1.600000000000001</v>
          </cell>
          <cell r="CN88">
            <v>4.1268101822776631</v>
          </cell>
          <cell r="CR88">
            <v>1.600000000000001</v>
          </cell>
          <cell r="CS88">
            <v>4.1268101822776631</v>
          </cell>
          <cell r="CW88">
            <v>1.600000000000001</v>
          </cell>
          <cell r="CX88">
            <v>4.1268101822776631</v>
          </cell>
          <cell r="DB88">
            <v>1.600000000000001</v>
          </cell>
          <cell r="DC88">
            <v>4.1268101822776631</v>
          </cell>
          <cell r="DG88">
            <v>1.600000000000001</v>
          </cell>
          <cell r="DH88">
            <v>4.1268101822776631</v>
          </cell>
          <cell r="DL88">
            <v>1.600000000000001</v>
          </cell>
          <cell r="DM88">
            <v>4.1268101822776631</v>
          </cell>
          <cell r="DQ88">
            <v>1.600000000000001</v>
          </cell>
          <cell r="DR88">
            <v>4.1268101822776631</v>
          </cell>
          <cell r="DV88">
            <v>1.600000000000001</v>
          </cell>
          <cell r="DW88">
            <v>4.1268101822776631</v>
          </cell>
          <cell r="EA88">
            <v>1.600000000000001</v>
          </cell>
          <cell r="EB88">
            <v>4.1268101822776631</v>
          </cell>
          <cell r="EF88">
            <v>1.600000000000001</v>
          </cell>
          <cell r="EG88">
            <v>4.1268101822776631</v>
          </cell>
          <cell r="EK88">
            <v>1.600000000000001</v>
          </cell>
          <cell r="EL88">
            <v>4.1268101822776631</v>
          </cell>
          <cell r="EP88">
            <v>1.600000000000001</v>
          </cell>
          <cell r="EQ88">
            <v>4.1268101822776631</v>
          </cell>
          <cell r="EU88">
            <v>1.600000000000001</v>
          </cell>
          <cell r="EV88">
            <v>4.1268101822776631</v>
          </cell>
        </row>
        <row r="89">
          <cell r="U89">
            <v>1.620000000000001</v>
          </cell>
          <cell r="V89">
            <v>4.0662005440783302</v>
          </cell>
          <cell r="Z89">
            <v>1.620000000000001</v>
          </cell>
          <cell r="AA89">
            <v>4.0662005440783302</v>
          </cell>
          <cell r="AE89">
            <v>1.620000000000001</v>
          </cell>
          <cell r="AF89">
            <v>4.0662005440783302</v>
          </cell>
          <cell r="AJ89">
            <v>1.620000000000001</v>
          </cell>
          <cell r="AK89">
            <v>4.0662005440783302</v>
          </cell>
          <cell r="AO89">
            <v>1.620000000000001</v>
          </cell>
          <cell r="AP89">
            <v>4.0662005440783302</v>
          </cell>
          <cell r="AT89">
            <v>1.620000000000001</v>
          </cell>
          <cell r="AU89">
            <v>4.0662005440783302</v>
          </cell>
          <cell r="AY89">
            <v>1.620000000000001</v>
          </cell>
          <cell r="AZ89">
            <v>4.0662005440783302</v>
          </cell>
          <cell r="BD89">
            <v>1.620000000000001</v>
          </cell>
          <cell r="BE89">
            <v>4.0662005440783302</v>
          </cell>
          <cell r="BI89">
            <v>1.620000000000001</v>
          </cell>
          <cell r="BJ89">
            <v>4.0662005440783302</v>
          </cell>
          <cell r="BN89">
            <v>1.620000000000001</v>
          </cell>
          <cell r="BO89">
            <v>4.0662005440783302</v>
          </cell>
          <cell r="BS89">
            <v>1.620000000000001</v>
          </cell>
          <cell r="BT89">
            <v>4.0662005440783302</v>
          </cell>
          <cell r="BX89">
            <v>1.620000000000001</v>
          </cell>
          <cell r="BY89">
            <v>4.0662005440783302</v>
          </cell>
          <cell r="CC89">
            <v>1.620000000000001</v>
          </cell>
          <cell r="CD89">
            <v>4.0662005440783302</v>
          </cell>
          <cell r="CH89">
            <v>1.620000000000001</v>
          </cell>
          <cell r="CI89">
            <v>4.0662005440783302</v>
          </cell>
          <cell r="CM89">
            <v>1.620000000000001</v>
          </cell>
          <cell r="CN89">
            <v>4.0662005440783302</v>
          </cell>
          <cell r="CR89">
            <v>1.620000000000001</v>
          </cell>
          <cell r="CS89">
            <v>4.0662005440783302</v>
          </cell>
          <cell r="CW89">
            <v>1.620000000000001</v>
          </cell>
          <cell r="CX89">
            <v>4.0662005440783302</v>
          </cell>
          <cell r="DB89">
            <v>1.620000000000001</v>
          </cell>
          <cell r="DC89">
            <v>4.0662005440783302</v>
          </cell>
          <cell r="DG89">
            <v>1.620000000000001</v>
          </cell>
          <cell r="DH89">
            <v>4.0662005440783302</v>
          </cell>
          <cell r="DL89">
            <v>1.620000000000001</v>
          </cell>
          <cell r="DM89">
            <v>4.0662005440783302</v>
          </cell>
          <cell r="DQ89">
            <v>1.620000000000001</v>
          </cell>
          <cell r="DR89">
            <v>4.0662005440783302</v>
          </cell>
          <cell r="DV89">
            <v>1.620000000000001</v>
          </cell>
          <cell r="DW89">
            <v>4.0662005440783302</v>
          </cell>
          <cell r="EA89">
            <v>1.620000000000001</v>
          </cell>
          <cell r="EB89">
            <v>4.0662005440783302</v>
          </cell>
          <cell r="EF89">
            <v>1.620000000000001</v>
          </cell>
          <cell r="EG89">
            <v>4.0662005440783302</v>
          </cell>
          <cell r="EK89">
            <v>1.620000000000001</v>
          </cell>
          <cell r="EL89">
            <v>4.0662005440783302</v>
          </cell>
          <cell r="EP89">
            <v>1.620000000000001</v>
          </cell>
          <cell r="EQ89">
            <v>4.0662005440783302</v>
          </cell>
          <cell r="EU89">
            <v>1.620000000000001</v>
          </cell>
          <cell r="EV89">
            <v>4.0662005440783302</v>
          </cell>
        </row>
        <row r="90">
          <cell r="U90">
            <v>1.640000000000001</v>
          </cell>
          <cell r="V90">
            <v>4.0028823931511459</v>
          </cell>
          <cell r="Z90">
            <v>1.640000000000001</v>
          </cell>
          <cell r="AA90">
            <v>4.0028823931511459</v>
          </cell>
          <cell r="AE90">
            <v>1.640000000000001</v>
          </cell>
          <cell r="AF90">
            <v>4.0028823931511459</v>
          </cell>
          <cell r="AJ90">
            <v>1.640000000000001</v>
          </cell>
          <cell r="AK90">
            <v>4.0028823931511459</v>
          </cell>
          <cell r="AO90">
            <v>1.640000000000001</v>
          </cell>
          <cell r="AP90">
            <v>4.0028823931511459</v>
          </cell>
          <cell r="AT90">
            <v>1.640000000000001</v>
          </cell>
          <cell r="AU90">
            <v>4.0028823931511459</v>
          </cell>
          <cell r="AY90">
            <v>1.640000000000001</v>
          </cell>
          <cell r="AZ90">
            <v>4.0028823931511459</v>
          </cell>
          <cell r="BD90">
            <v>1.640000000000001</v>
          </cell>
          <cell r="BE90">
            <v>4.0028823931511459</v>
          </cell>
          <cell r="BI90">
            <v>1.640000000000001</v>
          </cell>
          <cell r="BJ90">
            <v>4.0028823931511459</v>
          </cell>
          <cell r="BN90">
            <v>1.640000000000001</v>
          </cell>
          <cell r="BO90">
            <v>4.0028823931511459</v>
          </cell>
          <cell r="BS90">
            <v>1.640000000000001</v>
          </cell>
          <cell r="BT90">
            <v>4.0028823931511459</v>
          </cell>
          <cell r="BX90">
            <v>1.640000000000001</v>
          </cell>
          <cell r="BY90">
            <v>4.0028823931511459</v>
          </cell>
          <cell r="CC90">
            <v>1.640000000000001</v>
          </cell>
          <cell r="CD90">
            <v>4.0028823931511459</v>
          </cell>
          <cell r="CH90">
            <v>1.640000000000001</v>
          </cell>
          <cell r="CI90">
            <v>4.0028823931511459</v>
          </cell>
          <cell r="CM90">
            <v>1.640000000000001</v>
          </cell>
          <cell r="CN90">
            <v>4.0028823931511459</v>
          </cell>
          <cell r="CR90">
            <v>1.640000000000001</v>
          </cell>
          <cell r="CS90">
            <v>4.0028823931511459</v>
          </cell>
          <cell r="CW90">
            <v>1.640000000000001</v>
          </cell>
          <cell r="CX90">
            <v>4.0028823931511459</v>
          </cell>
          <cell r="DB90">
            <v>1.640000000000001</v>
          </cell>
          <cell r="DC90">
            <v>4.0028823931511459</v>
          </cell>
          <cell r="DG90">
            <v>1.640000000000001</v>
          </cell>
          <cell r="DH90">
            <v>4.0028823931511459</v>
          </cell>
          <cell r="DL90">
            <v>1.640000000000001</v>
          </cell>
          <cell r="DM90">
            <v>4.0028823931511459</v>
          </cell>
          <cell r="DQ90">
            <v>1.640000000000001</v>
          </cell>
          <cell r="DR90">
            <v>4.0028823931511459</v>
          </cell>
          <cell r="DV90">
            <v>1.640000000000001</v>
          </cell>
          <cell r="DW90">
            <v>4.0028823931511459</v>
          </cell>
          <cell r="EA90">
            <v>1.640000000000001</v>
          </cell>
          <cell r="EB90">
            <v>4.0028823931511459</v>
          </cell>
          <cell r="EF90">
            <v>1.640000000000001</v>
          </cell>
          <cell r="EG90">
            <v>4.0028823931511459</v>
          </cell>
          <cell r="EK90">
            <v>1.640000000000001</v>
          </cell>
          <cell r="EL90">
            <v>4.0028823931511459</v>
          </cell>
          <cell r="EP90">
            <v>1.640000000000001</v>
          </cell>
          <cell r="EQ90">
            <v>4.0028823931511459</v>
          </cell>
          <cell r="EU90">
            <v>1.640000000000001</v>
          </cell>
          <cell r="EV90">
            <v>4.0028823931511459</v>
          </cell>
        </row>
        <row r="91">
          <cell r="U91">
            <v>1.660000000000001</v>
          </cell>
          <cell r="V91">
            <v>3.9368557294961137</v>
          </cell>
          <cell r="Z91">
            <v>1.660000000000001</v>
          </cell>
          <cell r="AA91">
            <v>3.9368557294961137</v>
          </cell>
          <cell r="AE91">
            <v>1.660000000000001</v>
          </cell>
          <cell r="AF91">
            <v>3.9368557294961137</v>
          </cell>
          <cell r="AJ91">
            <v>1.660000000000001</v>
          </cell>
          <cell r="AK91">
            <v>3.9368557294961137</v>
          </cell>
          <cell r="AO91">
            <v>1.660000000000001</v>
          </cell>
          <cell r="AP91">
            <v>3.9368557294961137</v>
          </cell>
          <cell r="AT91">
            <v>1.660000000000001</v>
          </cell>
          <cell r="AU91">
            <v>3.9368557294961137</v>
          </cell>
          <cell r="AY91">
            <v>1.660000000000001</v>
          </cell>
          <cell r="AZ91">
            <v>3.9368557294961137</v>
          </cell>
          <cell r="BD91">
            <v>1.660000000000001</v>
          </cell>
          <cell r="BE91">
            <v>3.9368557294961137</v>
          </cell>
          <cell r="BI91">
            <v>1.660000000000001</v>
          </cell>
          <cell r="BJ91">
            <v>3.9368557294961137</v>
          </cell>
          <cell r="BN91">
            <v>1.660000000000001</v>
          </cell>
          <cell r="BO91">
            <v>3.9368557294961137</v>
          </cell>
          <cell r="BS91">
            <v>1.660000000000001</v>
          </cell>
          <cell r="BT91">
            <v>3.9368557294961137</v>
          </cell>
          <cell r="BX91">
            <v>1.660000000000001</v>
          </cell>
          <cell r="BY91">
            <v>3.9368557294961137</v>
          </cell>
          <cell r="CC91">
            <v>1.660000000000001</v>
          </cell>
          <cell r="CD91">
            <v>3.9368557294961137</v>
          </cell>
          <cell r="CH91">
            <v>1.660000000000001</v>
          </cell>
          <cell r="CI91">
            <v>3.9368557294961137</v>
          </cell>
          <cell r="CM91">
            <v>1.660000000000001</v>
          </cell>
          <cell r="CN91">
            <v>3.9368557294961137</v>
          </cell>
          <cell r="CR91">
            <v>1.660000000000001</v>
          </cell>
          <cell r="CS91">
            <v>3.9368557294961137</v>
          </cell>
          <cell r="CW91">
            <v>1.660000000000001</v>
          </cell>
          <cell r="CX91">
            <v>3.9368557294961137</v>
          </cell>
          <cell r="DB91">
            <v>1.660000000000001</v>
          </cell>
          <cell r="DC91">
            <v>3.9368557294961137</v>
          </cell>
          <cell r="DG91">
            <v>1.660000000000001</v>
          </cell>
          <cell r="DH91">
            <v>3.9368557294961137</v>
          </cell>
          <cell r="DL91">
            <v>1.660000000000001</v>
          </cell>
          <cell r="DM91">
            <v>3.9368557294961137</v>
          </cell>
          <cell r="DQ91">
            <v>1.660000000000001</v>
          </cell>
          <cell r="DR91">
            <v>3.9368557294961137</v>
          </cell>
          <cell r="DV91">
            <v>1.660000000000001</v>
          </cell>
          <cell r="DW91">
            <v>3.9368557294961137</v>
          </cell>
          <cell r="EA91">
            <v>1.660000000000001</v>
          </cell>
          <cell r="EB91">
            <v>3.9368557294961137</v>
          </cell>
          <cell r="EF91">
            <v>1.660000000000001</v>
          </cell>
          <cell r="EG91">
            <v>3.9368557294961137</v>
          </cell>
          <cell r="EK91">
            <v>1.660000000000001</v>
          </cell>
          <cell r="EL91">
            <v>3.9368557294961137</v>
          </cell>
          <cell r="EP91">
            <v>1.660000000000001</v>
          </cell>
          <cell r="EQ91">
            <v>3.9368557294961137</v>
          </cell>
          <cell r="EU91">
            <v>1.660000000000001</v>
          </cell>
          <cell r="EV91">
            <v>3.9368557294961137</v>
          </cell>
        </row>
        <row r="92">
          <cell r="U92">
            <v>1.680000000000001</v>
          </cell>
          <cell r="V92">
            <v>3.8681205531132354</v>
          </cell>
          <cell r="Z92">
            <v>1.680000000000001</v>
          </cell>
          <cell r="AA92">
            <v>3.8681205531132354</v>
          </cell>
          <cell r="AE92">
            <v>1.680000000000001</v>
          </cell>
          <cell r="AF92">
            <v>3.8681205531132354</v>
          </cell>
          <cell r="AJ92">
            <v>1.680000000000001</v>
          </cell>
          <cell r="AK92">
            <v>3.8681205531132354</v>
          </cell>
          <cell r="AO92">
            <v>1.680000000000001</v>
          </cell>
          <cell r="AP92">
            <v>3.8681205531132354</v>
          </cell>
          <cell r="AT92">
            <v>1.680000000000001</v>
          </cell>
          <cell r="AU92">
            <v>3.8681205531132354</v>
          </cell>
          <cell r="AY92">
            <v>1.680000000000001</v>
          </cell>
          <cell r="AZ92">
            <v>3.8681205531132354</v>
          </cell>
          <cell r="BD92">
            <v>1.680000000000001</v>
          </cell>
          <cell r="BE92">
            <v>3.8681205531132354</v>
          </cell>
          <cell r="BI92">
            <v>1.680000000000001</v>
          </cell>
          <cell r="BJ92">
            <v>3.8681205531132354</v>
          </cell>
          <cell r="BN92">
            <v>1.680000000000001</v>
          </cell>
          <cell r="BO92">
            <v>3.8681205531132354</v>
          </cell>
          <cell r="BS92">
            <v>1.680000000000001</v>
          </cell>
          <cell r="BT92">
            <v>3.8681205531132354</v>
          </cell>
          <cell r="BX92">
            <v>1.680000000000001</v>
          </cell>
          <cell r="BY92">
            <v>3.8681205531132354</v>
          </cell>
          <cell r="CC92">
            <v>1.680000000000001</v>
          </cell>
          <cell r="CD92">
            <v>3.8681205531132354</v>
          </cell>
          <cell r="CH92">
            <v>1.680000000000001</v>
          </cell>
          <cell r="CI92">
            <v>3.8681205531132354</v>
          </cell>
          <cell r="CM92">
            <v>1.680000000000001</v>
          </cell>
          <cell r="CN92">
            <v>3.8681205531132354</v>
          </cell>
          <cell r="CR92">
            <v>1.680000000000001</v>
          </cell>
          <cell r="CS92">
            <v>3.8681205531132354</v>
          </cell>
          <cell r="CW92">
            <v>1.680000000000001</v>
          </cell>
          <cell r="CX92">
            <v>3.8681205531132354</v>
          </cell>
          <cell r="DB92">
            <v>1.680000000000001</v>
          </cell>
          <cell r="DC92">
            <v>3.8681205531132354</v>
          </cell>
          <cell r="DG92">
            <v>1.680000000000001</v>
          </cell>
          <cell r="DH92">
            <v>3.8681205531132354</v>
          </cell>
          <cell r="DL92">
            <v>1.680000000000001</v>
          </cell>
          <cell r="DM92">
            <v>3.8681205531132354</v>
          </cell>
          <cell r="DQ92">
            <v>1.680000000000001</v>
          </cell>
          <cell r="DR92">
            <v>3.8681205531132354</v>
          </cell>
          <cell r="DV92">
            <v>1.680000000000001</v>
          </cell>
          <cell r="DW92">
            <v>3.8681205531132354</v>
          </cell>
          <cell r="EA92">
            <v>1.680000000000001</v>
          </cell>
          <cell r="EB92">
            <v>3.8681205531132354</v>
          </cell>
          <cell r="EF92">
            <v>1.680000000000001</v>
          </cell>
          <cell r="EG92">
            <v>3.8681205531132354</v>
          </cell>
          <cell r="EK92">
            <v>1.680000000000001</v>
          </cell>
          <cell r="EL92">
            <v>3.8681205531132354</v>
          </cell>
          <cell r="EP92">
            <v>1.680000000000001</v>
          </cell>
          <cell r="EQ92">
            <v>3.8681205531132354</v>
          </cell>
          <cell r="EU92">
            <v>1.680000000000001</v>
          </cell>
          <cell r="EV92">
            <v>3.8681205531132354</v>
          </cell>
        </row>
        <row r="93">
          <cell r="U93">
            <v>1.7000000000000011</v>
          </cell>
          <cell r="V93">
            <v>3.7966768640025128</v>
          </cell>
          <cell r="Z93">
            <v>1.7000000000000011</v>
          </cell>
          <cell r="AA93">
            <v>3.7966768640025128</v>
          </cell>
          <cell r="AE93">
            <v>1.7000000000000011</v>
          </cell>
          <cell r="AF93">
            <v>3.7966768640025128</v>
          </cell>
          <cell r="AJ93">
            <v>1.7000000000000011</v>
          </cell>
          <cell r="AK93">
            <v>3.7966768640025128</v>
          </cell>
          <cell r="AO93">
            <v>1.7000000000000011</v>
          </cell>
          <cell r="AP93">
            <v>3.7966768640025128</v>
          </cell>
          <cell r="AT93">
            <v>1.7000000000000011</v>
          </cell>
          <cell r="AU93">
            <v>3.7966768640025128</v>
          </cell>
          <cell r="AY93">
            <v>1.7000000000000011</v>
          </cell>
          <cell r="AZ93">
            <v>3.7966768640025128</v>
          </cell>
          <cell r="BD93">
            <v>1.7000000000000011</v>
          </cell>
          <cell r="BE93">
            <v>3.7966768640025128</v>
          </cell>
          <cell r="BI93">
            <v>1.7000000000000011</v>
          </cell>
          <cell r="BJ93">
            <v>3.7966768640025128</v>
          </cell>
          <cell r="BN93">
            <v>1.7000000000000011</v>
          </cell>
          <cell r="BO93">
            <v>3.7966768640025128</v>
          </cell>
          <cell r="BS93">
            <v>1.7000000000000011</v>
          </cell>
          <cell r="BT93">
            <v>3.7966768640025128</v>
          </cell>
          <cell r="BX93">
            <v>1.7000000000000011</v>
          </cell>
          <cell r="BY93">
            <v>3.7966768640025128</v>
          </cell>
          <cell r="CC93">
            <v>1.7000000000000011</v>
          </cell>
          <cell r="CD93">
            <v>3.7966768640025128</v>
          </cell>
          <cell r="CH93">
            <v>1.7000000000000011</v>
          </cell>
          <cell r="CI93">
            <v>3.7966768640025128</v>
          </cell>
          <cell r="CM93">
            <v>1.7000000000000011</v>
          </cell>
          <cell r="CN93">
            <v>3.7966768640025128</v>
          </cell>
          <cell r="CR93">
            <v>1.7000000000000011</v>
          </cell>
          <cell r="CS93">
            <v>3.7966768640025128</v>
          </cell>
          <cell r="CW93">
            <v>1.7000000000000011</v>
          </cell>
          <cell r="CX93">
            <v>3.7966768640025128</v>
          </cell>
          <cell r="DB93">
            <v>1.7000000000000011</v>
          </cell>
          <cell r="DC93">
            <v>3.7966768640025128</v>
          </cell>
          <cell r="DG93">
            <v>1.7000000000000011</v>
          </cell>
          <cell r="DH93">
            <v>3.7966768640025128</v>
          </cell>
          <cell r="DL93">
            <v>1.7000000000000011</v>
          </cell>
          <cell r="DM93">
            <v>3.7966768640025128</v>
          </cell>
          <cell r="DQ93">
            <v>1.7000000000000011</v>
          </cell>
          <cell r="DR93">
            <v>3.7966768640025128</v>
          </cell>
          <cell r="DV93">
            <v>1.7000000000000011</v>
          </cell>
          <cell r="DW93">
            <v>3.7966768640025128</v>
          </cell>
          <cell r="EA93">
            <v>1.7000000000000011</v>
          </cell>
          <cell r="EB93">
            <v>3.7966768640025128</v>
          </cell>
          <cell r="EF93">
            <v>1.7000000000000011</v>
          </cell>
          <cell r="EG93">
            <v>3.7966768640025128</v>
          </cell>
          <cell r="EK93">
            <v>1.7000000000000011</v>
          </cell>
          <cell r="EL93">
            <v>3.7966768640025128</v>
          </cell>
          <cell r="EP93">
            <v>1.7000000000000011</v>
          </cell>
          <cell r="EQ93">
            <v>3.7966768640025128</v>
          </cell>
          <cell r="EU93">
            <v>1.7000000000000011</v>
          </cell>
          <cell r="EV93">
            <v>3.7966768640025128</v>
          </cell>
        </row>
        <row r="94">
          <cell r="U94">
            <v>1.7200000000000011</v>
          </cell>
          <cell r="V94">
            <v>3.7225246621639405</v>
          </cell>
          <cell r="Z94">
            <v>1.7200000000000011</v>
          </cell>
          <cell r="AA94">
            <v>3.7225246621639405</v>
          </cell>
          <cell r="AE94">
            <v>1.7200000000000011</v>
          </cell>
          <cell r="AF94">
            <v>3.7225246621639405</v>
          </cell>
          <cell r="AJ94">
            <v>1.7200000000000011</v>
          </cell>
          <cell r="AK94">
            <v>3.7225246621639405</v>
          </cell>
          <cell r="AO94">
            <v>1.7200000000000011</v>
          </cell>
          <cell r="AP94">
            <v>3.7225246621639405</v>
          </cell>
          <cell r="AT94">
            <v>1.7200000000000011</v>
          </cell>
          <cell r="AU94">
            <v>3.7225246621639405</v>
          </cell>
          <cell r="AY94">
            <v>1.7200000000000011</v>
          </cell>
          <cell r="AZ94">
            <v>3.7225246621639405</v>
          </cell>
          <cell r="BD94">
            <v>1.7200000000000011</v>
          </cell>
          <cell r="BE94">
            <v>3.7225246621639405</v>
          </cell>
          <cell r="BI94">
            <v>1.7200000000000011</v>
          </cell>
          <cell r="BJ94">
            <v>3.7225246621639405</v>
          </cell>
          <cell r="BN94">
            <v>1.7200000000000011</v>
          </cell>
          <cell r="BO94">
            <v>3.7225246621639405</v>
          </cell>
          <cell r="BS94">
            <v>1.7200000000000011</v>
          </cell>
          <cell r="BT94">
            <v>3.7225246621639405</v>
          </cell>
          <cell r="BX94">
            <v>1.7200000000000011</v>
          </cell>
          <cell r="BY94">
            <v>3.7225246621639405</v>
          </cell>
          <cell r="CC94">
            <v>1.7200000000000011</v>
          </cell>
          <cell r="CD94">
            <v>3.7225246621639405</v>
          </cell>
          <cell r="CH94">
            <v>1.7200000000000011</v>
          </cell>
          <cell r="CI94">
            <v>3.7225246621639405</v>
          </cell>
          <cell r="CM94">
            <v>1.7200000000000011</v>
          </cell>
          <cell r="CN94">
            <v>3.7225246621639405</v>
          </cell>
          <cell r="CR94">
            <v>1.7200000000000011</v>
          </cell>
          <cell r="CS94">
            <v>3.7225246621639405</v>
          </cell>
          <cell r="CW94">
            <v>1.7200000000000011</v>
          </cell>
          <cell r="CX94">
            <v>3.7225246621639405</v>
          </cell>
          <cell r="DB94">
            <v>1.7200000000000011</v>
          </cell>
          <cell r="DC94">
            <v>3.7225246621639405</v>
          </cell>
          <cell r="DG94">
            <v>1.7200000000000011</v>
          </cell>
          <cell r="DH94">
            <v>3.7225246621639405</v>
          </cell>
          <cell r="DL94">
            <v>1.7200000000000011</v>
          </cell>
          <cell r="DM94">
            <v>3.7225246621639405</v>
          </cell>
          <cell r="DQ94">
            <v>1.7200000000000011</v>
          </cell>
          <cell r="DR94">
            <v>3.7225246621639405</v>
          </cell>
          <cell r="DV94">
            <v>1.7200000000000011</v>
          </cell>
          <cell r="DW94">
            <v>3.7225246621639405</v>
          </cell>
          <cell r="EA94">
            <v>1.7200000000000011</v>
          </cell>
          <cell r="EB94">
            <v>3.7225246621639405</v>
          </cell>
          <cell r="EF94">
            <v>1.7200000000000011</v>
          </cell>
          <cell r="EG94">
            <v>3.7225246621639405</v>
          </cell>
          <cell r="EK94">
            <v>1.7200000000000011</v>
          </cell>
          <cell r="EL94">
            <v>3.7225246621639405</v>
          </cell>
          <cell r="EP94">
            <v>1.7200000000000011</v>
          </cell>
          <cell r="EQ94">
            <v>3.7225246621639405</v>
          </cell>
          <cell r="EU94">
            <v>1.7200000000000011</v>
          </cell>
          <cell r="EV94">
            <v>3.7225246621639405</v>
          </cell>
        </row>
        <row r="95">
          <cell r="U95">
            <v>1.7400000000000011</v>
          </cell>
          <cell r="V95">
            <v>3.6456639475975221</v>
          </cell>
          <cell r="Z95">
            <v>1.7400000000000011</v>
          </cell>
          <cell r="AA95">
            <v>3.6456639475975221</v>
          </cell>
          <cell r="AE95">
            <v>1.7400000000000011</v>
          </cell>
          <cell r="AF95">
            <v>3.6456639475975221</v>
          </cell>
          <cell r="AJ95">
            <v>1.7400000000000011</v>
          </cell>
          <cell r="AK95">
            <v>3.6456639475975221</v>
          </cell>
          <cell r="AO95">
            <v>1.7400000000000011</v>
          </cell>
          <cell r="AP95">
            <v>3.6456639475975221</v>
          </cell>
          <cell r="AT95">
            <v>1.7400000000000011</v>
          </cell>
          <cell r="AU95">
            <v>3.6456639475975221</v>
          </cell>
          <cell r="AY95">
            <v>1.7400000000000011</v>
          </cell>
          <cell r="AZ95">
            <v>3.6456639475975221</v>
          </cell>
          <cell r="BD95">
            <v>1.7400000000000011</v>
          </cell>
          <cell r="BE95">
            <v>3.6456639475975221</v>
          </cell>
          <cell r="BI95">
            <v>1.7400000000000011</v>
          </cell>
          <cell r="BJ95">
            <v>3.6456639475975221</v>
          </cell>
          <cell r="BN95">
            <v>1.7400000000000011</v>
          </cell>
          <cell r="BO95">
            <v>3.6456639475975221</v>
          </cell>
          <cell r="BS95">
            <v>1.7400000000000011</v>
          </cell>
          <cell r="BT95">
            <v>3.6456639475975221</v>
          </cell>
          <cell r="BX95">
            <v>1.7400000000000011</v>
          </cell>
          <cell r="BY95">
            <v>3.6456639475975221</v>
          </cell>
          <cell r="CC95">
            <v>1.7400000000000011</v>
          </cell>
          <cell r="CD95">
            <v>3.6456639475975221</v>
          </cell>
          <cell r="CH95">
            <v>1.7400000000000011</v>
          </cell>
          <cell r="CI95">
            <v>3.6456639475975221</v>
          </cell>
          <cell r="CM95">
            <v>1.7400000000000011</v>
          </cell>
          <cell r="CN95">
            <v>3.6456639475975221</v>
          </cell>
          <cell r="CR95">
            <v>1.7400000000000011</v>
          </cell>
          <cell r="CS95">
            <v>3.6456639475975221</v>
          </cell>
          <cell r="CW95">
            <v>1.7400000000000011</v>
          </cell>
          <cell r="CX95">
            <v>3.6456639475975221</v>
          </cell>
          <cell r="DB95">
            <v>1.7400000000000011</v>
          </cell>
          <cell r="DC95">
            <v>3.6456639475975221</v>
          </cell>
          <cell r="DG95">
            <v>1.7400000000000011</v>
          </cell>
          <cell r="DH95">
            <v>3.6456639475975221</v>
          </cell>
          <cell r="DL95">
            <v>1.7400000000000011</v>
          </cell>
          <cell r="DM95">
            <v>3.6456639475975221</v>
          </cell>
          <cell r="DQ95">
            <v>1.7400000000000011</v>
          </cell>
          <cell r="DR95">
            <v>3.6456639475975221</v>
          </cell>
          <cell r="DV95">
            <v>1.7400000000000011</v>
          </cell>
          <cell r="DW95">
            <v>3.6456639475975221</v>
          </cell>
          <cell r="EA95">
            <v>1.7400000000000011</v>
          </cell>
          <cell r="EB95">
            <v>3.6456639475975221</v>
          </cell>
          <cell r="EF95">
            <v>1.7400000000000011</v>
          </cell>
          <cell r="EG95">
            <v>3.6456639475975221</v>
          </cell>
          <cell r="EK95">
            <v>1.7400000000000011</v>
          </cell>
          <cell r="EL95">
            <v>3.6456639475975221</v>
          </cell>
          <cell r="EP95">
            <v>1.7400000000000011</v>
          </cell>
          <cell r="EQ95">
            <v>3.6456639475975221</v>
          </cell>
          <cell r="EU95">
            <v>1.7400000000000011</v>
          </cell>
          <cell r="EV95">
            <v>3.6456639475975221</v>
          </cell>
        </row>
        <row r="96">
          <cell r="U96">
            <v>1.7600000000000011</v>
          </cell>
          <cell r="V96">
            <v>3.5660947203032576</v>
          </cell>
          <cell r="Z96">
            <v>1.7600000000000011</v>
          </cell>
          <cell r="AA96">
            <v>3.5660947203032576</v>
          </cell>
          <cell r="AE96">
            <v>1.7600000000000011</v>
          </cell>
          <cell r="AF96">
            <v>3.5660947203032576</v>
          </cell>
          <cell r="AJ96">
            <v>1.7600000000000011</v>
          </cell>
          <cell r="AK96">
            <v>3.5660947203032576</v>
          </cell>
          <cell r="AO96">
            <v>1.7600000000000011</v>
          </cell>
          <cell r="AP96">
            <v>3.5660947203032576</v>
          </cell>
          <cell r="AT96">
            <v>1.7600000000000011</v>
          </cell>
          <cell r="AU96">
            <v>3.5660947203032576</v>
          </cell>
          <cell r="AY96">
            <v>1.7600000000000011</v>
          </cell>
          <cell r="AZ96">
            <v>3.5660947203032576</v>
          </cell>
          <cell r="BD96">
            <v>1.7600000000000011</v>
          </cell>
          <cell r="BE96">
            <v>3.5660947203032576</v>
          </cell>
          <cell r="BI96">
            <v>1.7600000000000011</v>
          </cell>
          <cell r="BJ96">
            <v>3.5660947203032576</v>
          </cell>
          <cell r="BN96">
            <v>1.7600000000000011</v>
          </cell>
          <cell r="BO96">
            <v>3.5660947203032576</v>
          </cell>
          <cell r="BS96">
            <v>1.7600000000000011</v>
          </cell>
          <cell r="BT96">
            <v>3.5660947203032576</v>
          </cell>
          <cell r="BX96">
            <v>1.7600000000000011</v>
          </cell>
          <cell r="BY96">
            <v>3.5660947203032576</v>
          </cell>
          <cell r="CC96">
            <v>1.7600000000000011</v>
          </cell>
          <cell r="CD96">
            <v>3.5660947203032576</v>
          </cell>
          <cell r="CH96">
            <v>1.7600000000000011</v>
          </cell>
          <cell r="CI96">
            <v>3.5660947203032576</v>
          </cell>
          <cell r="CM96">
            <v>1.7600000000000011</v>
          </cell>
          <cell r="CN96">
            <v>3.5660947203032576</v>
          </cell>
          <cell r="CR96">
            <v>1.7600000000000011</v>
          </cell>
          <cell r="CS96">
            <v>3.5660947203032576</v>
          </cell>
          <cell r="CW96">
            <v>1.7600000000000011</v>
          </cell>
          <cell r="CX96">
            <v>3.5660947203032576</v>
          </cell>
          <cell r="DB96">
            <v>1.7600000000000011</v>
          </cell>
          <cell r="DC96">
            <v>3.5660947203032576</v>
          </cell>
          <cell r="DG96">
            <v>1.7600000000000011</v>
          </cell>
          <cell r="DH96">
            <v>3.5660947203032576</v>
          </cell>
          <cell r="DL96">
            <v>1.7600000000000011</v>
          </cell>
          <cell r="DM96">
            <v>3.5660947203032576</v>
          </cell>
          <cell r="DQ96">
            <v>1.7600000000000011</v>
          </cell>
          <cell r="DR96">
            <v>3.5660947203032576</v>
          </cell>
          <cell r="DV96">
            <v>1.7600000000000011</v>
          </cell>
          <cell r="DW96">
            <v>3.5660947203032576</v>
          </cell>
          <cell r="EA96">
            <v>1.7600000000000011</v>
          </cell>
          <cell r="EB96">
            <v>3.5660947203032576</v>
          </cell>
          <cell r="EF96">
            <v>1.7600000000000011</v>
          </cell>
          <cell r="EG96">
            <v>3.5660947203032576</v>
          </cell>
          <cell r="EK96">
            <v>1.7600000000000011</v>
          </cell>
          <cell r="EL96">
            <v>3.5660947203032576</v>
          </cell>
          <cell r="EP96">
            <v>1.7600000000000011</v>
          </cell>
          <cell r="EQ96">
            <v>3.5660947203032576</v>
          </cell>
          <cell r="EU96">
            <v>1.7600000000000011</v>
          </cell>
          <cell r="EV96">
            <v>3.5660947203032576</v>
          </cell>
        </row>
        <row r="97">
          <cell r="U97">
            <v>1.7800000000000011</v>
          </cell>
          <cell r="V97">
            <v>3.4838169802811434</v>
          </cell>
          <cell r="Z97">
            <v>1.7800000000000011</v>
          </cell>
          <cell r="AA97">
            <v>3.4838169802811434</v>
          </cell>
          <cell r="AE97">
            <v>1.7800000000000011</v>
          </cell>
          <cell r="AF97">
            <v>3.4838169802811434</v>
          </cell>
          <cell r="AJ97">
            <v>1.7800000000000011</v>
          </cell>
          <cell r="AK97">
            <v>3.4838169802811434</v>
          </cell>
          <cell r="AO97">
            <v>1.7800000000000011</v>
          </cell>
          <cell r="AP97">
            <v>3.4838169802811434</v>
          </cell>
          <cell r="AT97">
            <v>1.7800000000000011</v>
          </cell>
          <cell r="AU97">
            <v>3.4838169802811434</v>
          </cell>
          <cell r="AY97">
            <v>1.7800000000000011</v>
          </cell>
          <cell r="AZ97">
            <v>3.4838169802811434</v>
          </cell>
          <cell r="BD97">
            <v>1.7800000000000011</v>
          </cell>
          <cell r="BE97">
            <v>3.4838169802811434</v>
          </cell>
          <cell r="BI97">
            <v>1.7800000000000011</v>
          </cell>
          <cell r="BJ97">
            <v>3.4838169802811434</v>
          </cell>
          <cell r="BN97">
            <v>1.7800000000000011</v>
          </cell>
          <cell r="BO97">
            <v>3.4838169802811434</v>
          </cell>
          <cell r="BS97">
            <v>1.7800000000000011</v>
          </cell>
          <cell r="BT97">
            <v>3.4838169802811434</v>
          </cell>
          <cell r="BX97">
            <v>1.7800000000000011</v>
          </cell>
          <cell r="BY97">
            <v>3.4838169802811434</v>
          </cell>
          <cell r="CC97">
            <v>1.7800000000000011</v>
          </cell>
          <cell r="CD97">
            <v>3.4838169802811434</v>
          </cell>
          <cell r="CH97">
            <v>1.7800000000000011</v>
          </cell>
          <cell r="CI97">
            <v>3.4838169802811434</v>
          </cell>
          <cell r="CM97">
            <v>1.7800000000000011</v>
          </cell>
          <cell r="CN97">
            <v>3.4838169802811434</v>
          </cell>
          <cell r="CR97">
            <v>1.7800000000000011</v>
          </cell>
          <cell r="CS97">
            <v>3.4838169802811434</v>
          </cell>
          <cell r="CW97">
            <v>1.7800000000000011</v>
          </cell>
          <cell r="CX97">
            <v>3.4838169802811434</v>
          </cell>
          <cell r="DB97">
            <v>1.7800000000000011</v>
          </cell>
          <cell r="DC97">
            <v>3.4838169802811434</v>
          </cell>
          <cell r="DG97">
            <v>1.7800000000000011</v>
          </cell>
          <cell r="DH97">
            <v>3.4838169802811434</v>
          </cell>
          <cell r="DL97">
            <v>1.7800000000000011</v>
          </cell>
          <cell r="DM97">
            <v>3.4838169802811434</v>
          </cell>
          <cell r="DQ97">
            <v>1.7800000000000011</v>
          </cell>
          <cell r="DR97">
            <v>3.4838169802811434</v>
          </cell>
          <cell r="DV97">
            <v>1.7800000000000011</v>
          </cell>
          <cell r="DW97">
            <v>3.4838169802811434</v>
          </cell>
          <cell r="EA97">
            <v>1.7800000000000011</v>
          </cell>
          <cell r="EB97">
            <v>3.4838169802811434</v>
          </cell>
          <cell r="EF97">
            <v>1.7800000000000011</v>
          </cell>
          <cell r="EG97">
            <v>3.4838169802811434</v>
          </cell>
          <cell r="EK97">
            <v>1.7800000000000011</v>
          </cell>
          <cell r="EL97">
            <v>3.4838169802811434</v>
          </cell>
          <cell r="EP97">
            <v>1.7800000000000011</v>
          </cell>
          <cell r="EQ97">
            <v>3.4838169802811434</v>
          </cell>
          <cell r="EU97">
            <v>1.7800000000000011</v>
          </cell>
          <cell r="EV97">
            <v>3.4838169802811434</v>
          </cell>
        </row>
        <row r="98">
          <cell r="U98">
            <v>1.8000000000000012</v>
          </cell>
          <cell r="V98">
            <v>3.3988307275311831</v>
          </cell>
          <cell r="Z98">
            <v>1.8000000000000012</v>
          </cell>
          <cell r="AA98">
            <v>3.3988307275311831</v>
          </cell>
          <cell r="AE98">
            <v>1.8000000000000012</v>
          </cell>
          <cell r="AF98">
            <v>3.3988307275311831</v>
          </cell>
          <cell r="AJ98">
            <v>1.8000000000000012</v>
          </cell>
          <cell r="AK98">
            <v>3.3988307275311831</v>
          </cell>
          <cell r="AO98">
            <v>1.8000000000000012</v>
          </cell>
          <cell r="AP98">
            <v>3.3988307275311831</v>
          </cell>
          <cell r="AT98">
            <v>1.8000000000000012</v>
          </cell>
          <cell r="AU98">
            <v>3.3988307275311831</v>
          </cell>
          <cell r="AY98">
            <v>1.8000000000000012</v>
          </cell>
          <cell r="AZ98">
            <v>3.3988307275311831</v>
          </cell>
          <cell r="BD98">
            <v>1.8000000000000012</v>
          </cell>
          <cell r="BE98">
            <v>3.3988307275311831</v>
          </cell>
          <cell r="BI98">
            <v>1.8000000000000012</v>
          </cell>
          <cell r="BJ98">
            <v>3.3988307275311831</v>
          </cell>
          <cell r="BN98">
            <v>1.8000000000000012</v>
          </cell>
          <cell r="BO98">
            <v>3.3988307275311831</v>
          </cell>
          <cell r="BS98">
            <v>1.8000000000000012</v>
          </cell>
          <cell r="BT98">
            <v>3.3988307275311831</v>
          </cell>
          <cell r="BX98">
            <v>1.8000000000000012</v>
          </cell>
          <cell r="BY98">
            <v>3.3988307275311831</v>
          </cell>
          <cell r="CC98">
            <v>1.8000000000000012</v>
          </cell>
          <cell r="CD98">
            <v>3.3988307275311831</v>
          </cell>
          <cell r="CH98">
            <v>1.8000000000000012</v>
          </cell>
          <cell r="CI98">
            <v>3.3988307275311831</v>
          </cell>
          <cell r="CM98">
            <v>1.8000000000000012</v>
          </cell>
          <cell r="CN98">
            <v>3.3988307275311831</v>
          </cell>
          <cell r="CR98">
            <v>1.8000000000000012</v>
          </cell>
          <cell r="CS98">
            <v>3.3988307275311831</v>
          </cell>
          <cell r="CW98">
            <v>1.8000000000000012</v>
          </cell>
          <cell r="CX98">
            <v>3.3988307275311831</v>
          </cell>
          <cell r="DB98">
            <v>1.8000000000000012</v>
          </cell>
          <cell r="DC98">
            <v>3.3988307275311831</v>
          </cell>
          <cell r="DG98">
            <v>1.8000000000000012</v>
          </cell>
          <cell r="DH98">
            <v>3.3988307275311831</v>
          </cell>
          <cell r="DL98">
            <v>1.8000000000000012</v>
          </cell>
          <cell r="DM98">
            <v>3.3988307275311831</v>
          </cell>
          <cell r="DQ98">
            <v>1.8000000000000012</v>
          </cell>
          <cell r="DR98">
            <v>3.3988307275311831</v>
          </cell>
          <cell r="DV98">
            <v>1.8000000000000012</v>
          </cell>
          <cell r="DW98">
            <v>3.3988307275311831</v>
          </cell>
          <cell r="EA98">
            <v>1.8000000000000012</v>
          </cell>
          <cell r="EB98">
            <v>3.3988307275311831</v>
          </cell>
          <cell r="EF98">
            <v>1.8000000000000012</v>
          </cell>
          <cell r="EG98">
            <v>3.3988307275311831</v>
          </cell>
          <cell r="EK98">
            <v>1.8000000000000012</v>
          </cell>
          <cell r="EL98">
            <v>3.3988307275311831</v>
          </cell>
          <cell r="EP98">
            <v>1.8000000000000012</v>
          </cell>
          <cell r="EQ98">
            <v>3.3988307275311831</v>
          </cell>
          <cell r="EU98">
            <v>1.8000000000000012</v>
          </cell>
          <cell r="EV98">
            <v>3.3988307275311831</v>
          </cell>
        </row>
        <row r="99">
          <cell r="U99">
            <v>1.8200000000000012</v>
          </cell>
          <cell r="V99">
            <v>3.3111359620533767</v>
          </cell>
          <cell r="Z99">
            <v>1.8200000000000012</v>
          </cell>
          <cell r="AA99">
            <v>3.3111359620533767</v>
          </cell>
          <cell r="AE99">
            <v>1.8200000000000012</v>
          </cell>
          <cell r="AF99">
            <v>3.3111359620533767</v>
          </cell>
          <cell r="AJ99">
            <v>1.8200000000000012</v>
          </cell>
          <cell r="AK99">
            <v>3.3111359620533767</v>
          </cell>
          <cell r="AO99">
            <v>1.8200000000000012</v>
          </cell>
          <cell r="AP99">
            <v>3.3111359620533767</v>
          </cell>
          <cell r="AT99">
            <v>1.8200000000000012</v>
          </cell>
          <cell r="AU99">
            <v>3.3111359620533767</v>
          </cell>
          <cell r="AY99">
            <v>1.8200000000000012</v>
          </cell>
          <cell r="AZ99">
            <v>3.3111359620533767</v>
          </cell>
          <cell r="BD99">
            <v>1.8200000000000012</v>
          </cell>
          <cell r="BE99">
            <v>3.3111359620533767</v>
          </cell>
          <cell r="BI99">
            <v>1.8200000000000012</v>
          </cell>
          <cell r="BJ99">
            <v>3.3111359620533767</v>
          </cell>
          <cell r="BN99">
            <v>1.8200000000000012</v>
          </cell>
          <cell r="BO99">
            <v>3.3111359620533767</v>
          </cell>
          <cell r="BS99">
            <v>1.8200000000000012</v>
          </cell>
          <cell r="BT99">
            <v>3.3111359620533767</v>
          </cell>
          <cell r="BX99">
            <v>1.8200000000000012</v>
          </cell>
          <cell r="BY99">
            <v>3.3111359620533767</v>
          </cell>
          <cell r="CC99">
            <v>1.8200000000000012</v>
          </cell>
          <cell r="CD99">
            <v>3.3111359620533767</v>
          </cell>
          <cell r="CH99">
            <v>1.8200000000000012</v>
          </cell>
          <cell r="CI99">
            <v>3.3111359620533767</v>
          </cell>
          <cell r="CM99">
            <v>1.8200000000000012</v>
          </cell>
          <cell r="CN99">
            <v>3.3111359620533767</v>
          </cell>
          <cell r="CR99">
            <v>1.8200000000000012</v>
          </cell>
          <cell r="CS99">
            <v>3.3111359620533767</v>
          </cell>
          <cell r="CW99">
            <v>1.8200000000000012</v>
          </cell>
          <cell r="CX99">
            <v>3.3111359620533767</v>
          </cell>
          <cell r="DB99">
            <v>1.8200000000000012</v>
          </cell>
          <cell r="DC99">
            <v>3.3111359620533767</v>
          </cell>
          <cell r="DG99">
            <v>1.8200000000000012</v>
          </cell>
          <cell r="DH99">
            <v>3.3111359620533767</v>
          </cell>
          <cell r="DL99">
            <v>1.8200000000000012</v>
          </cell>
          <cell r="DM99">
            <v>3.3111359620533767</v>
          </cell>
          <cell r="DQ99">
            <v>1.8200000000000012</v>
          </cell>
          <cell r="DR99">
            <v>3.3111359620533767</v>
          </cell>
          <cell r="DV99">
            <v>1.8200000000000012</v>
          </cell>
          <cell r="DW99">
            <v>3.3111359620533767</v>
          </cell>
          <cell r="EA99">
            <v>1.8200000000000012</v>
          </cell>
          <cell r="EB99">
            <v>3.3111359620533767</v>
          </cell>
          <cell r="EF99">
            <v>1.8200000000000012</v>
          </cell>
          <cell r="EG99">
            <v>3.3111359620533767</v>
          </cell>
          <cell r="EK99">
            <v>1.8200000000000012</v>
          </cell>
          <cell r="EL99">
            <v>3.3111359620533767</v>
          </cell>
          <cell r="EP99">
            <v>1.8200000000000012</v>
          </cell>
          <cell r="EQ99">
            <v>3.3111359620533767</v>
          </cell>
          <cell r="EU99">
            <v>1.8200000000000012</v>
          </cell>
          <cell r="EV99">
            <v>3.3111359620533767</v>
          </cell>
        </row>
        <row r="100">
          <cell r="U100">
            <v>1.8400000000000012</v>
          </cell>
          <cell r="V100">
            <v>3.2207326838477224</v>
          </cell>
          <cell r="Z100">
            <v>1.8400000000000012</v>
          </cell>
          <cell r="AA100">
            <v>3.2207326838477224</v>
          </cell>
          <cell r="AE100">
            <v>1.8400000000000012</v>
          </cell>
          <cell r="AF100">
            <v>3.2207326838477224</v>
          </cell>
          <cell r="AJ100">
            <v>1.8400000000000012</v>
          </cell>
          <cell r="AK100">
            <v>3.2207326838477224</v>
          </cell>
          <cell r="AO100">
            <v>1.8400000000000012</v>
          </cell>
          <cell r="AP100">
            <v>3.2207326838477224</v>
          </cell>
          <cell r="AT100">
            <v>1.8400000000000012</v>
          </cell>
          <cell r="AU100">
            <v>3.2207326838477224</v>
          </cell>
          <cell r="AY100">
            <v>1.8400000000000012</v>
          </cell>
          <cell r="AZ100">
            <v>3.2207326838477224</v>
          </cell>
          <cell r="BD100">
            <v>1.8400000000000012</v>
          </cell>
          <cell r="BE100">
            <v>3.2207326838477224</v>
          </cell>
          <cell r="BI100">
            <v>1.8400000000000012</v>
          </cell>
          <cell r="BJ100">
            <v>3.2207326838477224</v>
          </cell>
          <cell r="BN100">
            <v>1.8400000000000012</v>
          </cell>
          <cell r="BO100">
            <v>3.2207326838477224</v>
          </cell>
          <cell r="BS100">
            <v>1.8400000000000012</v>
          </cell>
          <cell r="BT100">
            <v>3.2207326838477224</v>
          </cell>
          <cell r="BX100">
            <v>1.8400000000000012</v>
          </cell>
          <cell r="BY100">
            <v>3.2207326838477224</v>
          </cell>
          <cell r="CC100">
            <v>1.8400000000000012</v>
          </cell>
          <cell r="CD100">
            <v>3.2207326838477224</v>
          </cell>
          <cell r="CH100">
            <v>1.8400000000000012</v>
          </cell>
          <cell r="CI100">
            <v>3.2207326838477224</v>
          </cell>
          <cell r="CM100">
            <v>1.8400000000000012</v>
          </cell>
          <cell r="CN100">
            <v>3.2207326838477224</v>
          </cell>
          <cell r="CR100">
            <v>1.8400000000000012</v>
          </cell>
          <cell r="CS100">
            <v>3.2207326838477224</v>
          </cell>
          <cell r="CW100">
            <v>1.8400000000000012</v>
          </cell>
          <cell r="CX100">
            <v>3.2207326838477224</v>
          </cell>
          <cell r="DB100">
            <v>1.8400000000000012</v>
          </cell>
          <cell r="DC100">
            <v>3.2207326838477224</v>
          </cell>
          <cell r="DG100">
            <v>1.8400000000000012</v>
          </cell>
          <cell r="DH100">
            <v>3.2207326838477224</v>
          </cell>
          <cell r="DL100">
            <v>1.8400000000000012</v>
          </cell>
          <cell r="DM100">
            <v>3.2207326838477224</v>
          </cell>
          <cell r="DQ100">
            <v>1.8400000000000012</v>
          </cell>
          <cell r="DR100">
            <v>3.2207326838477224</v>
          </cell>
          <cell r="DV100">
            <v>1.8400000000000012</v>
          </cell>
          <cell r="DW100">
            <v>3.2207326838477224</v>
          </cell>
          <cell r="EA100">
            <v>1.8400000000000012</v>
          </cell>
          <cell r="EB100">
            <v>3.2207326838477224</v>
          </cell>
          <cell r="EF100">
            <v>1.8400000000000012</v>
          </cell>
          <cell r="EG100">
            <v>3.2207326838477224</v>
          </cell>
          <cell r="EK100">
            <v>1.8400000000000012</v>
          </cell>
          <cell r="EL100">
            <v>3.2207326838477224</v>
          </cell>
          <cell r="EP100">
            <v>1.8400000000000012</v>
          </cell>
          <cell r="EQ100">
            <v>3.2207326838477224</v>
          </cell>
          <cell r="EU100">
            <v>1.8400000000000012</v>
          </cell>
          <cell r="EV100">
            <v>3.2207326838477224</v>
          </cell>
        </row>
        <row r="101">
          <cell r="U101">
            <v>1.8600000000000012</v>
          </cell>
          <cell r="V101">
            <v>3.1276208929142202</v>
          </cell>
          <cell r="Z101">
            <v>1.8600000000000012</v>
          </cell>
          <cell r="AA101">
            <v>3.1276208929142202</v>
          </cell>
          <cell r="AE101">
            <v>1.8600000000000012</v>
          </cell>
          <cell r="AF101">
            <v>3.1276208929142202</v>
          </cell>
          <cell r="AJ101">
            <v>1.8600000000000012</v>
          </cell>
          <cell r="AK101">
            <v>3.1276208929142202</v>
          </cell>
          <cell r="AO101">
            <v>1.8600000000000012</v>
          </cell>
          <cell r="AP101">
            <v>3.1276208929142202</v>
          </cell>
          <cell r="AT101">
            <v>1.8600000000000012</v>
          </cell>
          <cell r="AU101">
            <v>3.1276208929142202</v>
          </cell>
          <cell r="AY101">
            <v>1.8600000000000012</v>
          </cell>
          <cell r="AZ101">
            <v>3.1276208929142202</v>
          </cell>
          <cell r="BD101">
            <v>1.8600000000000012</v>
          </cell>
          <cell r="BE101">
            <v>3.1276208929142202</v>
          </cell>
          <cell r="BI101">
            <v>1.8600000000000012</v>
          </cell>
          <cell r="BJ101">
            <v>3.1276208929142202</v>
          </cell>
          <cell r="BN101">
            <v>1.8600000000000012</v>
          </cell>
          <cell r="BO101">
            <v>3.1276208929142202</v>
          </cell>
          <cell r="BS101">
            <v>1.8600000000000012</v>
          </cell>
          <cell r="BT101">
            <v>3.1276208929142202</v>
          </cell>
          <cell r="BX101">
            <v>1.8600000000000012</v>
          </cell>
          <cell r="BY101">
            <v>3.1276208929142202</v>
          </cell>
          <cell r="CC101">
            <v>1.8600000000000012</v>
          </cell>
          <cell r="CD101">
            <v>3.1276208929142202</v>
          </cell>
          <cell r="CH101">
            <v>1.8600000000000012</v>
          </cell>
          <cell r="CI101">
            <v>3.1276208929142202</v>
          </cell>
          <cell r="CM101">
            <v>1.8600000000000012</v>
          </cell>
          <cell r="CN101">
            <v>3.1276208929142202</v>
          </cell>
          <cell r="CR101">
            <v>1.8600000000000012</v>
          </cell>
          <cell r="CS101">
            <v>3.1276208929142202</v>
          </cell>
          <cell r="CW101">
            <v>1.8600000000000012</v>
          </cell>
          <cell r="CX101">
            <v>3.1276208929142202</v>
          </cell>
          <cell r="DB101">
            <v>1.8600000000000012</v>
          </cell>
          <cell r="DC101">
            <v>3.1276208929142202</v>
          </cell>
          <cell r="DG101">
            <v>1.8600000000000012</v>
          </cell>
          <cell r="DH101">
            <v>3.1276208929142202</v>
          </cell>
          <cell r="DL101">
            <v>1.8600000000000012</v>
          </cell>
          <cell r="DM101">
            <v>3.1276208929142202</v>
          </cell>
          <cell r="DQ101">
            <v>1.8600000000000012</v>
          </cell>
          <cell r="DR101">
            <v>3.1276208929142202</v>
          </cell>
          <cell r="DV101">
            <v>1.8600000000000012</v>
          </cell>
          <cell r="DW101">
            <v>3.1276208929142202</v>
          </cell>
          <cell r="EA101">
            <v>1.8600000000000012</v>
          </cell>
          <cell r="EB101">
            <v>3.1276208929142202</v>
          </cell>
          <cell r="EF101">
            <v>1.8600000000000012</v>
          </cell>
          <cell r="EG101">
            <v>3.1276208929142202</v>
          </cell>
          <cell r="EK101">
            <v>1.8600000000000012</v>
          </cell>
          <cell r="EL101">
            <v>3.1276208929142202</v>
          </cell>
          <cell r="EP101">
            <v>1.8600000000000012</v>
          </cell>
          <cell r="EQ101">
            <v>3.1276208929142202</v>
          </cell>
          <cell r="EU101">
            <v>1.8600000000000012</v>
          </cell>
          <cell r="EV101">
            <v>3.1276208929142202</v>
          </cell>
        </row>
        <row r="102">
          <cell r="U102">
            <v>1.8800000000000012</v>
          </cell>
          <cell r="V102">
            <v>3.0318005892528701</v>
          </cell>
          <cell r="Z102">
            <v>1.8800000000000012</v>
          </cell>
          <cell r="AA102">
            <v>3.0318005892528701</v>
          </cell>
          <cell r="AE102">
            <v>1.8800000000000012</v>
          </cell>
          <cell r="AF102">
            <v>3.0318005892528701</v>
          </cell>
          <cell r="AJ102">
            <v>1.8800000000000012</v>
          </cell>
          <cell r="AK102">
            <v>3.0318005892528701</v>
          </cell>
          <cell r="AO102">
            <v>1.8800000000000012</v>
          </cell>
          <cell r="AP102">
            <v>3.0318005892528701</v>
          </cell>
          <cell r="AT102">
            <v>1.8800000000000012</v>
          </cell>
          <cell r="AU102">
            <v>3.0318005892528701</v>
          </cell>
          <cell r="AY102">
            <v>1.8800000000000012</v>
          </cell>
          <cell r="AZ102">
            <v>3.0318005892528701</v>
          </cell>
          <cell r="BD102">
            <v>1.8800000000000012</v>
          </cell>
          <cell r="BE102">
            <v>3.0318005892528701</v>
          </cell>
          <cell r="BI102">
            <v>1.8800000000000012</v>
          </cell>
          <cell r="BJ102">
            <v>3.0318005892528701</v>
          </cell>
          <cell r="BN102">
            <v>1.8800000000000012</v>
          </cell>
          <cell r="BO102">
            <v>3.0318005892528701</v>
          </cell>
          <cell r="BS102">
            <v>1.8800000000000012</v>
          </cell>
          <cell r="BT102">
            <v>3.0318005892528701</v>
          </cell>
          <cell r="BX102">
            <v>1.8800000000000012</v>
          </cell>
          <cell r="BY102">
            <v>3.0318005892528701</v>
          </cell>
          <cell r="CC102">
            <v>1.8800000000000012</v>
          </cell>
          <cell r="CD102">
            <v>3.0318005892528701</v>
          </cell>
          <cell r="CH102">
            <v>1.8800000000000012</v>
          </cell>
          <cell r="CI102">
            <v>3.0318005892528701</v>
          </cell>
          <cell r="CM102">
            <v>1.8800000000000012</v>
          </cell>
          <cell r="CN102">
            <v>3.0318005892528701</v>
          </cell>
          <cell r="CR102">
            <v>1.8800000000000012</v>
          </cell>
          <cell r="CS102">
            <v>3.0318005892528701</v>
          </cell>
          <cell r="CW102">
            <v>1.8800000000000012</v>
          </cell>
          <cell r="CX102">
            <v>3.0318005892528701</v>
          </cell>
          <cell r="DB102">
            <v>1.8800000000000012</v>
          </cell>
          <cell r="DC102">
            <v>3.0318005892528701</v>
          </cell>
          <cell r="DG102">
            <v>1.8800000000000012</v>
          </cell>
          <cell r="DH102">
            <v>3.0318005892528701</v>
          </cell>
          <cell r="DL102">
            <v>1.8800000000000012</v>
          </cell>
          <cell r="DM102">
            <v>3.0318005892528701</v>
          </cell>
          <cell r="DQ102">
            <v>1.8800000000000012</v>
          </cell>
          <cell r="DR102">
            <v>3.0318005892528701</v>
          </cell>
          <cell r="DV102">
            <v>1.8800000000000012</v>
          </cell>
          <cell r="DW102">
            <v>3.0318005892528701</v>
          </cell>
          <cell r="EA102">
            <v>1.8800000000000012</v>
          </cell>
          <cell r="EB102">
            <v>3.0318005892528701</v>
          </cell>
          <cell r="EF102">
            <v>1.8800000000000012</v>
          </cell>
          <cell r="EG102">
            <v>3.0318005892528701</v>
          </cell>
          <cell r="EK102">
            <v>1.8800000000000012</v>
          </cell>
          <cell r="EL102">
            <v>3.0318005892528701</v>
          </cell>
          <cell r="EP102">
            <v>1.8800000000000012</v>
          </cell>
          <cell r="EQ102">
            <v>3.0318005892528701</v>
          </cell>
          <cell r="EU102">
            <v>1.8800000000000012</v>
          </cell>
          <cell r="EV102">
            <v>3.0318005892528701</v>
          </cell>
        </row>
        <row r="103">
          <cell r="U103">
            <v>1.9000000000000012</v>
          </cell>
          <cell r="V103">
            <v>2.9332717728636775</v>
          </cell>
          <cell r="Z103">
            <v>1.9000000000000012</v>
          </cell>
          <cell r="AA103">
            <v>2.9332717728636775</v>
          </cell>
          <cell r="AE103">
            <v>1.9000000000000012</v>
          </cell>
          <cell r="AF103">
            <v>2.9332717728636775</v>
          </cell>
          <cell r="AJ103">
            <v>1.9000000000000012</v>
          </cell>
          <cell r="AK103">
            <v>2.9332717728636775</v>
          </cell>
          <cell r="AO103">
            <v>1.9000000000000012</v>
          </cell>
          <cell r="AP103">
            <v>2.9332717728636775</v>
          </cell>
          <cell r="AT103">
            <v>1.9000000000000012</v>
          </cell>
          <cell r="AU103">
            <v>2.9332717728636775</v>
          </cell>
          <cell r="AY103">
            <v>1.9000000000000012</v>
          </cell>
          <cell r="AZ103">
            <v>2.9332717728636775</v>
          </cell>
          <cell r="BD103">
            <v>1.9000000000000012</v>
          </cell>
          <cell r="BE103">
            <v>2.9332717728636775</v>
          </cell>
          <cell r="BI103">
            <v>1.9000000000000012</v>
          </cell>
          <cell r="BJ103">
            <v>2.9332717728636775</v>
          </cell>
          <cell r="BN103">
            <v>1.9000000000000012</v>
          </cell>
          <cell r="BO103">
            <v>2.9332717728636775</v>
          </cell>
          <cell r="BS103">
            <v>1.9000000000000012</v>
          </cell>
          <cell r="BT103">
            <v>2.9332717728636775</v>
          </cell>
          <cell r="BX103">
            <v>1.9000000000000012</v>
          </cell>
          <cell r="BY103">
            <v>2.9332717728636775</v>
          </cell>
          <cell r="CC103">
            <v>1.9000000000000012</v>
          </cell>
          <cell r="CD103">
            <v>2.9332717728636775</v>
          </cell>
          <cell r="CH103">
            <v>1.9000000000000012</v>
          </cell>
          <cell r="CI103">
            <v>2.9332717728636775</v>
          </cell>
          <cell r="CM103">
            <v>1.9000000000000012</v>
          </cell>
          <cell r="CN103">
            <v>2.9332717728636775</v>
          </cell>
          <cell r="CR103">
            <v>1.9000000000000012</v>
          </cell>
          <cell r="CS103">
            <v>2.9332717728636775</v>
          </cell>
          <cell r="CW103">
            <v>1.9000000000000012</v>
          </cell>
          <cell r="CX103">
            <v>2.9332717728636775</v>
          </cell>
          <cell r="DB103">
            <v>1.9000000000000012</v>
          </cell>
          <cell r="DC103">
            <v>2.9332717728636775</v>
          </cell>
          <cell r="DG103">
            <v>1.9000000000000012</v>
          </cell>
          <cell r="DH103">
            <v>2.9332717728636775</v>
          </cell>
          <cell r="DL103">
            <v>1.9000000000000012</v>
          </cell>
          <cell r="DM103">
            <v>2.9332717728636775</v>
          </cell>
          <cell r="DQ103">
            <v>1.9000000000000012</v>
          </cell>
          <cell r="DR103">
            <v>2.9332717728636775</v>
          </cell>
          <cell r="DV103">
            <v>1.9000000000000012</v>
          </cell>
          <cell r="DW103">
            <v>2.9332717728636775</v>
          </cell>
          <cell r="EA103">
            <v>1.9000000000000012</v>
          </cell>
          <cell r="EB103">
            <v>2.9332717728636775</v>
          </cell>
          <cell r="EF103">
            <v>1.9000000000000012</v>
          </cell>
          <cell r="EG103">
            <v>2.9332717728636775</v>
          </cell>
          <cell r="EK103">
            <v>1.9000000000000012</v>
          </cell>
          <cell r="EL103">
            <v>2.9332717728636775</v>
          </cell>
          <cell r="EP103">
            <v>1.9000000000000012</v>
          </cell>
          <cell r="EQ103">
            <v>2.9332717728636775</v>
          </cell>
          <cell r="EU103">
            <v>1.9000000000000012</v>
          </cell>
          <cell r="EV103">
            <v>2.9332717728636775</v>
          </cell>
        </row>
        <row r="104">
          <cell r="U104">
            <v>1.9200000000000013</v>
          </cell>
          <cell r="V104">
            <v>2.8320344437466334</v>
          </cell>
          <cell r="Z104">
            <v>1.9200000000000013</v>
          </cell>
          <cell r="AA104">
            <v>2.8320344437466334</v>
          </cell>
          <cell r="AE104">
            <v>1.9200000000000013</v>
          </cell>
          <cell r="AF104">
            <v>2.8320344437466334</v>
          </cell>
          <cell r="AJ104">
            <v>1.9200000000000013</v>
          </cell>
          <cell r="AK104">
            <v>2.8320344437466334</v>
          </cell>
          <cell r="AO104">
            <v>1.9200000000000013</v>
          </cell>
          <cell r="AP104">
            <v>2.8320344437466334</v>
          </cell>
          <cell r="AT104">
            <v>1.9200000000000013</v>
          </cell>
          <cell r="AU104">
            <v>2.8320344437466334</v>
          </cell>
          <cell r="AY104">
            <v>1.9200000000000013</v>
          </cell>
          <cell r="AZ104">
            <v>2.8320344437466334</v>
          </cell>
          <cell r="BD104">
            <v>1.9200000000000013</v>
          </cell>
          <cell r="BE104">
            <v>2.8320344437466334</v>
          </cell>
          <cell r="BI104">
            <v>1.9200000000000013</v>
          </cell>
          <cell r="BJ104">
            <v>2.8320344437466334</v>
          </cell>
          <cell r="BN104">
            <v>1.9200000000000013</v>
          </cell>
          <cell r="BO104">
            <v>2.8320344437466334</v>
          </cell>
          <cell r="BS104">
            <v>1.9200000000000013</v>
          </cell>
          <cell r="BT104">
            <v>2.8320344437466334</v>
          </cell>
          <cell r="BX104">
            <v>1.9200000000000013</v>
          </cell>
          <cell r="BY104">
            <v>2.8320344437466334</v>
          </cell>
          <cell r="CC104">
            <v>1.9200000000000013</v>
          </cell>
          <cell r="CD104">
            <v>2.8320344437466334</v>
          </cell>
          <cell r="CH104">
            <v>1.9200000000000013</v>
          </cell>
          <cell r="CI104">
            <v>2.8320344437466334</v>
          </cell>
          <cell r="CM104">
            <v>1.9200000000000013</v>
          </cell>
          <cell r="CN104">
            <v>2.8320344437466334</v>
          </cell>
          <cell r="CR104">
            <v>1.9200000000000013</v>
          </cell>
          <cell r="CS104">
            <v>2.8320344437466334</v>
          </cell>
          <cell r="CW104">
            <v>1.9200000000000013</v>
          </cell>
          <cell r="CX104">
            <v>2.8320344437466334</v>
          </cell>
          <cell r="DB104">
            <v>1.9200000000000013</v>
          </cell>
          <cell r="DC104">
            <v>2.8320344437466334</v>
          </cell>
          <cell r="DG104">
            <v>1.9200000000000013</v>
          </cell>
          <cell r="DH104">
            <v>2.8320344437466334</v>
          </cell>
          <cell r="DL104">
            <v>1.9200000000000013</v>
          </cell>
          <cell r="DM104">
            <v>2.8320344437466334</v>
          </cell>
          <cell r="DQ104">
            <v>1.9200000000000013</v>
          </cell>
          <cell r="DR104">
            <v>2.8320344437466334</v>
          </cell>
          <cell r="DV104">
            <v>1.9200000000000013</v>
          </cell>
          <cell r="DW104">
            <v>2.8320344437466334</v>
          </cell>
          <cell r="EA104">
            <v>1.9200000000000013</v>
          </cell>
          <cell r="EB104">
            <v>2.8320344437466334</v>
          </cell>
          <cell r="EF104">
            <v>1.9200000000000013</v>
          </cell>
          <cell r="EG104">
            <v>2.8320344437466334</v>
          </cell>
          <cell r="EK104">
            <v>1.9200000000000013</v>
          </cell>
          <cell r="EL104">
            <v>2.8320344437466334</v>
          </cell>
          <cell r="EP104">
            <v>1.9200000000000013</v>
          </cell>
          <cell r="EQ104">
            <v>2.8320344437466334</v>
          </cell>
          <cell r="EU104">
            <v>1.9200000000000013</v>
          </cell>
          <cell r="EV104">
            <v>2.8320344437466334</v>
          </cell>
        </row>
        <row r="105">
          <cell r="U105">
            <v>1.9400000000000013</v>
          </cell>
          <cell r="V105">
            <v>2.728088601901745</v>
          </cell>
          <cell r="Z105">
            <v>1.9400000000000013</v>
          </cell>
          <cell r="AA105">
            <v>2.728088601901745</v>
          </cell>
          <cell r="AE105">
            <v>1.9400000000000013</v>
          </cell>
          <cell r="AF105">
            <v>2.728088601901745</v>
          </cell>
          <cell r="AJ105">
            <v>1.9400000000000013</v>
          </cell>
          <cell r="AK105">
            <v>2.728088601901745</v>
          </cell>
          <cell r="AO105">
            <v>1.9400000000000013</v>
          </cell>
          <cell r="AP105">
            <v>2.728088601901745</v>
          </cell>
          <cell r="AT105">
            <v>1.9400000000000013</v>
          </cell>
          <cell r="AU105">
            <v>2.728088601901745</v>
          </cell>
          <cell r="AY105">
            <v>1.9400000000000013</v>
          </cell>
          <cell r="AZ105">
            <v>2.728088601901745</v>
          </cell>
          <cell r="BD105">
            <v>1.9400000000000013</v>
          </cell>
          <cell r="BE105">
            <v>2.728088601901745</v>
          </cell>
          <cell r="BI105">
            <v>1.9400000000000013</v>
          </cell>
          <cell r="BJ105">
            <v>2.728088601901745</v>
          </cell>
          <cell r="BN105">
            <v>1.9400000000000013</v>
          </cell>
          <cell r="BO105">
            <v>2.728088601901745</v>
          </cell>
          <cell r="BS105">
            <v>1.9400000000000013</v>
          </cell>
          <cell r="BT105">
            <v>2.728088601901745</v>
          </cell>
          <cell r="BX105">
            <v>1.9400000000000013</v>
          </cell>
          <cell r="BY105">
            <v>2.728088601901745</v>
          </cell>
          <cell r="CC105">
            <v>1.9400000000000013</v>
          </cell>
          <cell r="CD105">
            <v>2.728088601901745</v>
          </cell>
          <cell r="CH105">
            <v>1.9400000000000013</v>
          </cell>
          <cell r="CI105">
            <v>2.728088601901745</v>
          </cell>
          <cell r="CM105">
            <v>1.9400000000000013</v>
          </cell>
          <cell r="CN105">
            <v>2.728088601901745</v>
          </cell>
          <cell r="CR105">
            <v>1.9400000000000013</v>
          </cell>
          <cell r="CS105">
            <v>2.728088601901745</v>
          </cell>
          <cell r="CW105">
            <v>1.9400000000000013</v>
          </cell>
          <cell r="CX105">
            <v>2.728088601901745</v>
          </cell>
          <cell r="DB105">
            <v>1.9400000000000013</v>
          </cell>
          <cell r="DC105">
            <v>2.728088601901745</v>
          </cell>
          <cell r="DG105">
            <v>1.9400000000000013</v>
          </cell>
          <cell r="DH105">
            <v>2.728088601901745</v>
          </cell>
          <cell r="DL105">
            <v>1.9400000000000013</v>
          </cell>
          <cell r="DM105">
            <v>2.728088601901745</v>
          </cell>
          <cell r="DQ105">
            <v>1.9400000000000013</v>
          </cell>
          <cell r="DR105">
            <v>2.728088601901745</v>
          </cell>
          <cell r="DV105">
            <v>1.9400000000000013</v>
          </cell>
          <cell r="DW105">
            <v>2.728088601901745</v>
          </cell>
          <cell r="EA105">
            <v>1.9400000000000013</v>
          </cell>
          <cell r="EB105">
            <v>2.728088601901745</v>
          </cell>
          <cell r="EF105">
            <v>1.9400000000000013</v>
          </cell>
          <cell r="EG105">
            <v>2.728088601901745</v>
          </cell>
          <cell r="EK105">
            <v>1.9400000000000013</v>
          </cell>
          <cell r="EL105">
            <v>2.728088601901745</v>
          </cell>
          <cell r="EP105">
            <v>1.9400000000000013</v>
          </cell>
          <cell r="EQ105">
            <v>2.728088601901745</v>
          </cell>
          <cell r="EU105">
            <v>1.9400000000000013</v>
          </cell>
          <cell r="EV105">
            <v>2.728088601901745</v>
          </cell>
        </row>
        <row r="106">
          <cell r="U106">
            <v>1.9600000000000013</v>
          </cell>
          <cell r="V106">
            <v>2.6214342473290069</v>
          </cell>
          <cell r="Z106">
            <v>1.9600000000000013</v>
          </cell>
          <cell r="AA106">
            <v>2.6214342473290069</v>
          </cell>
          <cell r="AE106">
            <v>1.9600000000000013</v>
          </cell>
          <cell r="AF106">
            <v>2.6214342473290069</v>
          </cell>
          <cell r="AJ106">
            <v>1.9600000000000013</v>
          </cell>
          <cell r="AK106">
            <v>2.6214342473290069</v>
          </cell>
          <cell r="AO106">
            <v>1.9600000000000013</v>
          </cell>
          <cell r="AP106">
            <v>2.6214342473290069</v>
          </cell>
          <cell r="AT106">
            <v>1.9600000000000013</v>
          </cell>
          <cell r="AU106">
            <v>2.6214342473290069</v>
          </cell>
          <cell r="AY106">
            <v>1.9600000000000013</v>
          </cell>
          <cell r="AZ106">
            <v>2.6214342473290069</v>
          </cell>
          <cell r="BD106">
            <v>1.9600000000000013</v>
          </cell>
          <cell r="BE106">
            <v>2.6214342473290069</v>
          </cell>
          <cell r="BI106">
            <v>1.9600000000000013</v>
          </cell>
          <cell r="BJ106">
            <v>2.6214342473290069</v>
          </cell>
          <cell r="BN106">
            <v>1.9600000000000013</v>
          </cell>
          <cell r="BO106">
            <v>2.6214342473290069</v>
          </cell>
          <cell r="BS106">
            <v>1.9600000000000013</v>
          </cell>
          <cell r="BT106">
            <v>2.6214342473290069</v>
          </cell>
          <cell r="BX106">
            <v>1.9600000000000013</v>
          </cell>
          <cell r="BY106">
            <v>2.6214342473290069</v>
          </cell>
          <cell r="CC106">
            <v>1.9600000000000013</v>
          </cell>
          <cell r="CD106">
            <v>2.6214342473290069</v>
          </cell>
          <cell r="CH106">
            <v>1.9600000000000013</v>
          </cell>
          <cell r="CI106">
            <v>2.6214342473290069</v>
          </cell>
          <cell r="CM106">
            <v>1.9600000000000013</v>
          </cell>
          <cell r="CN106">
            <v>2.6214342473290069</v>
          </cell>
          <cell r="CR106">
            <v>1.9600000000000013</v>
          </cell>
          <cell r="CS106">
            <v>2.6214342473290069</v>
          </cell>
          <cell r="CW106">
            <v>1.9600000000000013</v>
          </cell>
          <cell r="CX106">
            <v>2.6214342473290069</v>
          </cell>
          <cell r="DB106">
            <v>1.9600000000000013</v>
          </cell>
          <cell r="DC106">
            <v>2.6214342473290069</v>
          </cell>
          <cell r="DG106">
            <v>1.9600000000000013</v>
          </cell>
          <cell r="DH106">
            <v>2.6214342473290069</v>
          </cell>
          <cell r="DL106">
            <v>1.9600000000000013</v>
          </cell>
          <cell r="DM106">
            <v>2.6214342473290069</v>
          </cell>
          <cell r="DQ106">
            <v>1.9600000000000013</v>
          </cell>
          <cell r="DR106">
            <v>2.6214342473290069</v>
          </cell>
          <cell r="DV106">
            <v>1.9600000000000013</v>
          </cell>
          <cell r="DW106">
            <v>2.6214342473290069</v>
          </cell>
          <cell r="EA106">
            <v>1.9600000000000013</v>
          </cell>
          <cell r="EB106">
            <v>2.6214342473290069</v>
          </cell>
          <cell r="EF106">
            <v>1.9600000000000013</v>
          </cell>
          <cell r="EG106">
            <v>2.6214342473290069</v>
          </cell>
          <cell r="EK106">
            <v>1.9600000000000013</v>
          </cell>
          <cell r="EL106">
            <v>2.6214342473290069</v>
          </cell>
          <cell r="EP106">
            <v>1.9600000000000013</v>
          </cell>
          <cell r="EQ106">
            <v>2.6214342473290069</v>
          </cell>
          <cell r="EU106">
            <v>1.9600000000000013</v>
          </cell>
          <cell r="EV106">
            <v>2.6214342473290069</v>
          </cell>
        </row>
        <row r="107">
          <cell r="U107">
            <v>1.9800000000000013</v>
          </cell>
          <cell r="V107">
            <v>2.5120713800284244</v>
          </cell>
          <cell r="Z107">
            <v>1.9800000000000013</v>
          </cell>
          <cell r="AA107">
            <v>2.5120713800284244</v>
          </cell>
          <cell r="AE107">
            <v>1.9800000000000013</v>
          </cell>
          <cell r="AF107">
            <v>2.5120713800284244</v>
          </cell>
          <cell r="AJ107">
            <v>1.9800000000000013</v>
          </cell>
          <cell r="AK107">
            <v>2.5120713800284244</v>
          </cell>
          <cell r="AO107">
            <v>1.9800000000000013</v>
          </cell>
          <cell r="AP107">
            <v>2.5120713800284244</v>
          </cell>
          <cell r="AT107">
            <v>1.9800000000000013</v>
          </cell>
          <cell r="AU107">
            <v>2.5120713800284244</v>
          </cell>
          <cell r="AY107">
            <v>1.9800000000000013</v>
          </cell>
          <cell r="AZ107">
            <v>2.5120713800284244</v>
          </cell>
          <cell r="BD107">
            <v>1.9800000000000013</v>
          </cell>
          <cell r="BE107">
            <v>2.5120713800284244</v>
          </cell>
          <cell r="BI107">
            <v>1.9800000000000013</v>
          </cell>
          <cell r="BJ107">
            <v>2.5120713800284244</v>
          </cell>
          <cell r="BN107">
            <v>1.9800000000000013</v>
          </cell>
          <cell r="BO107">
            <v>2.5120713800284244</v>
          </cell>
          <cell r="BS107">
            <v>1.9800000000000013</v>
          </cell>
          <cell r="BT107">
            <v>2.5120713800284244</v>
          </cell>
          <cell r="BX107">
            <v>1.9800000000000013</v>
          </cell>
          <cell r="BY107">
            <v>2.5120713800284244</v>
          </cell>
          <cell r="CC107">
            <v>1.9800000000000013</v>
          </cell>
          <cell r="CD107">
            <v>2.5120713800284244</v>
          </cell>
          <cell r="CH107">
            <v>1.9800000000000013</v>
          </cell>
          <cell r="CI107">
            <v>2.5120713800284244</v>
          </cell>
          <cell r="CM107">
            <v>1.9800000000000013</v>
          </cell>
          <cell r="CN107">
            <v>2.5120713800284244</v>
          </cell>
          <cell r="CR107">
            <v>1.9800000000000013</v>
          </cell>
          <cell r="CS107">
            <v>2.5120713800284244</v>
          </cell>
          <cell r="CW107">
            <v>1.9800000000000013</v>
          </cell>
          <cell r="CX107">
            <v>2.5120713800284244</v>
          </cell>
          <cell r="DB107">
            <v>1.9800000000000013</v>
          </cell>
          <cell r="DC107">
            <v>2.5120713800284244</v>
          </cell>
          <cell r="DG107">
            <v>1.9800000000000013</v>
          </cell>
          <cell r="DH107">
            <v>2.5120713800284244</v>
          </cell>
          <cell r="DL107">
            <v>1.9800000000000013</v>
          </cell>
          <cell r="DM107">
            <v>2.5120713800284244</v>
          </cell>
          <cell r="DQ107">
            <v>1.9800000000000013</v>
          </cell>
          <cell r="DR107">
            <v>2.5120713800284244</v>
          </cell>
          <cell r="DV107">
            <v>1.9800000000000013</v>
          </cell>
          <cell r="DW107">
            <v>2.5120713800284244</v>
          </cell>
          <cell r="EA107">
            <v>1.9800000000000013</v>
          </cell>
          <cell r="EB107">
            <v>2.5120713800284244</v>
          </cell>
          <cell r="EF107">
            <v>1.9800000000000013</v>
          </cell>
          <cell r="EG107">
            <v>2.5120713800284244</v>
          </cell>
          <cell r="EK107">
            <v>1.9800000000000013</v>
          </cell>
          <cell r="EL107">
            <v>2.5120713800284244</v>
          </cell>
          <cell r="EP107">
            <v>1.9800000000000013</v>
          </cell>
          <cell r="EQ107">
            <v>2.5120713800284244</v>
          </cell>
          <cell r="EU107">
            <v>1.9800000000000013</v>
          </cell>
          <cell r="EV107">
            <v>2.5120713800284244</v>
          </cell>
        </row>
        <row r="108">
          <cell r="U108">
            <v>2.0000000000000013</v>
          </cell>
          <cell r="V108">
            <v>2.3999999999999941</v>
          </cell>
          <cell r="Z108">
            <v>2.0000000000000013</v>
          </cell>
          <cell r="AA108">
            <v>2.3999999999999941</v>
          </cell>
          <cell r="AE108">
            <v>2.0000000000000013</v>
          </cell>
          <cell r="AF108">
            <v>2.3999999999999941</v>
          </cell>
          <cell r="AJ108">
            <v>2.0000000000000013</v>
          </cell>
          <cell r="AK108">
            <v>2.3999999999999941</v>
          </cell>
          <cell r="AO108">
            <v>2.0000000000000013</v>
          </cell>
          <cell r="AP108">
            <v>2.3999999999999941</v>
          </cell>
          <cell r="AT108">
            <v>2.0000000000000013</v>
          </cell>
          <cell r="AU108">
            <v>2.3999999999999941</v>
          </cell>
          <cell r="AY108">
            <v>2.0000000000000013</v>
          </cell>
          <cell r="AZ108">
            <v>2.3999999999999941</v>
          </cell>
          <cell r="BD108">
            <v>2.0000000000000013</v>
          </cell>
          <cell r="BE108">
            <v>2.3999999999999941</v>
          </cell>
          <cell r="BI108">
            <v>2.0000000000000013</v>
          </cell>
          <cell r="BJ108">
            <v>2.3999999999999941</v>
          </cell>
          <cell r="BN108">
            <v>2.0000000000000013</v>
          </cell>
          <cell r="BO108">
            <v>2.3999999999999941</v>
          </cell>
          <cell r="BS108">
            <v>2.0000000000000013</v>
          </cell>
          <cell r="BT108">
            <v>2.3999999999999941</v>
          </cell>
          <cell r="BX108">
            <v>2.0000000000000013</v>
          </cell>
          <cell r="BY108">
            <v>2.3999999999999941</v>
          </cell>
          <cell r="CC108">
            <v>2.0000000000000013</v>
          </cell>
          <cell r="CD108">
            <v>2.3999999999999941</v>
          </cell>
          <cell r="CH108">
            <v>2.0000000000000013</v>
          </cell>
          <cell r="CI108">
            <v>2.3999999999999941</v>
          </cell>
          <cell r="CM108">
            <v>2.0000000000000013</v>
          </cell>
          <cell r="CN108">
            <v>2.3999999999999941</v>
          </cell>
          <cell r="CR108">
            <v>2.0000000000000013</v>
          </cell>
          <cell r="CS108">
            <v>2.3999999999999941</v>
          </cell>
          <cell r="CW108">
            <v>2.0000000000000013</v>
          </cell>
          <cell r="CX108">
            <v>2.3999999999999941</v>
          </cell>
          <cell r="DB108">
            <v>2.0000000000000013</v>
          </cell>
          <cell r="DC108">
            <v>2.3999999999999941</v>
          </cell>
          <cell r="DG108">
            <v>2.0000000000000013</v>
          </cell>
          <cell r="DH108">
            <v>2.3999999999999941</v>
          </cell>
          <cell r="DL108">
            <v>2.0000000000000013</v>
          </cell>
          <cell r="DM108">
            <v>2.3999999999999941</v>
          </cell>
          <cell r="DQ108">
            <v>2.0000000000000013</v>
          </cell>
          <cell r="DR108">
            <v>2.3999999999999941</v>
          </cell>
          <cell r="DV108">
            <v>2.0000000000000013</v>
          </cell>
          <cell r="DW108">
            <v>2.3999999999999941</v>
          </cell>
          <cell r="EA108">
            <v>2.0000000000000013</v>
          </cell>
          <cell r="EB108">
            <v>2.3999999999999941</v>
          </cell>
          <cell r="EF108">
            <v>2.0000000000000013</v>
          </cell>
          <cell r="EG108">
            <v>2.3999999999999941</v>
          </cell>
          <cell r="EK108">
            <v>2.0000000000000013</v>
          </cell>
          <cell r="EL108">
            <v>2.3999999999999941</v>
          </cell>
          <cell r="EP108">
            <v>2.0000000000000013</v>
          </cell>
          <cell r="EQ108">
            <v>2.3999999999999941</v>
          </cell>
          <cell r="EU108">
            <v>2.0000000000000013</v>
          </cell>
          <cell r="EV108">
            <v>2.3999999999999941</v>
          </cell>
        </row>
      </sheetData>
      <sheetData sheetId="6"/>
      <sheetData sheetId="7"/>
      <sheetData sheetId="8"/>
      <sheetData sheetId="9"/>
      <sheetData sheetId="10"/>
      <sheetData sheetId="11">
        <row r="2">
          <cell r="D2" t="str">
            <v>1/2" Hex AM 9015 9</v>
          </cell>
          <cell r="E2">
            <v>10</v>
          </cell>
          <cell r="F2">
            <v>10</v>
          </cell>
        </row>
        <row r="3">
          <cell r="D3" t="str">
            <v>1/2" Hex AM 9015 12</v>
          </cell>
          <cell r="E3">
            <v>10</v>
          </cell>
          <cell r="F3">
            <v>7</v>
          </cell>
          <cell r="I3" t="str">
            <v>1/2" Hex</v>
          </cell>
          <cell r="J3">
            <v>39.99</v>
          </cell>
          <cell r="K3">
            <v>31.979999999999997</v>
          </cell>
          <cell r="L3" t="str">
            <v>217-4973,</v>
          </cell>
          <cell r="M3" t="str">
            <v>217-5823,217-2897,</v>
          </cell>
        </row>
        <row r="4">
          <cell r="D4" t="str">
            <v>1/2" Hex AM 9015 15</v>
          </cell>
          <cell r="E4">
            <v>10</v>
          </cell>
          <cell r="F4">
            <v>5</v>
          </cell>
          <cell r="I4" t="str">
            <v>1/2" Round</v>
          </cell>
          <cell r="J4">
            <v>39.99</v>
          </cell>
          <cell r="K4">
            <v>27.979999999999997</v>
          </cell>
          <cell r="L4" t="str">
            <v>217-4975,</v>
          </cell>
          <cell r="M4" t="str">
            <v>217-5823,217-2895,</v>
          </cell>
        </row>
        <row r="5">
          <cell r="D5" t="str">
            <v>1/2" Hex AM 9015 16</v>
          </cell>
          <cell r="E5">
            <v>10</v>
          </cell>
          <cell r="F5">
            <v>5</v>
          </cell>
          <cell r="I5" t="str">
            <v>3/8" Hex</v>
          </cell>
          <cell r="J5">
            <v>39.99</v>
          </cell>
          <cell r="K5">
            <v>17.989999999999998</v>
          </cell>
          <cell r="L5" t="str">
            <v>217-4974,</v>
          </cell>
          <cell r="M5" t="str">
            <v>217-5823,</v>
          </cell>
        </row>
        <row r="6">
          <cell r="D6" t="str">
            <v>1/2" Hex AM 9015 20</v>
          </cell>
          <cell r="E6">
            <v>10</v>
          </cell>
          <cell r="F6">
            <v>4</v>
          </cell>
          <cell r="I6" t="str">
            <v>CIM Motor</v>
          </cell>
          <cell r="J6">
            <v>39.99</v>
          </cell>
          <cell r="K6">
            <v>27.979999999999997</v>
          </cell>
          <cell r="L6" t="str">
            <v>217-4976,</v>
          </cell>
          <cell r="M6" t="str">
            <v>217-5823,217-2893,</v>
          </cell>
        </row>
        <row r="7">
          <cell r="D7" t="str">
            <v>1/2" Hex AM 9015 21</v>
          </cell>
          <cell r="E7">
            <v>10</v>
          </cell>
          <cell r="F7">
            <v>4</v>
          </cell>
          <cell r="I7" t="str">
            <v>Female</v>
          </cell>
          <cell r="J7">
            <v>44.99</v>
          </cell>
          <cell r="K7">
            <v>24.99</v>
          </cell>
          <cell r="L7" t="str">
            <v>217-6473,</v>
          </cell>
          <cell r="M7" t="str">
            <v>217-5995,</v>
          </cell>
        </row>
        <row r="8">
          <cell r="D8" t="str">
            <v>1/2" Hex AM 9015 25</v>
          </cell>
          <cell r="E8">
            <v>7</v>
          </cell>
          <cell r="F8">
            <v>3</v>
          </cell>
        </row>
        <row r="9">
          <cell r="D9" t="str">
            <v>1/2" Hex AM 9015 27</v>
          </cell>
          <cell r="E9">
            <v>7</v>
          </cell>
          <cell r="F9">
            <v>3</v>
          </cell>
        </row>
        <row r="10">
          <cell r="D10" t="str">
            <v>1/2" Hex AM 9015 28</v>
          </cell>
          <cell r="E10">
            <v>7</v>
          </cell>
          <cell r="F10">
            <v>3</v>
          </cell>
        </row>
        <row r="11">
          <cell r="D11" t="str">
            <v>1/2" Hex AM 9015 30</v>
          </cell>
          <cell r="E11">
            <v>7</v>
          </cell>
          <cell r="F11">
            <v>3</v>
          </cell>
          <cell r="I11" t="str">
            <v>AM 9015</v>
          </cell>
          <cell r="J11">
            <v>0</v>
          </cell>
          <cell r="K11">
            <v>12.98</v>
          </cell>
          <cell r="M11" t="str">
            <v>217-3564,217-4649,</v>
          </cell>
        </row>
        <row r="12">
          <cell r="D12" t="str">
            <v>1/2" Hex AM 9015 35</v>
          </cell>
          <cell r="E12">
            <v>5</v>
          </cell>
          <cell r="F12">
            <v>1</v>
          </cell>
          <cell r="I12" t="str">
            <v>NeveRest</v>
          </cell>
          <cell r="J12">
            <v>0</v>
          </cell>
          <cell r="K12">
            <v>0</v>
          </cell>
        </row>
        <row r="13">
          <cell r="D13" t="str">
            <v>1/2" Hex AM 9015 36</v>
          </cell>
          <cell r="E13">
            <v>5</v>
          </cell>
          <cell r="F13">
            <v>1</v>
          </cell>
          <cell r="I13" t="str">
            <v>BB RS-550</v>
          </cell>
          <cell r="J13">
            <v>0</v>
          </cell>
          <cell r="K13">
            <v>0</v>
          </cell>
        </row>
        <row r="14">
          <cell r="D14" t="str">
            <v>1/2" Hex AM 9015 40</v>
          </cell>
          <cell r="E14">
            <v>5</v>
          </cell>
          <cell r="F14">
            <v>1</v>
          </cell>
          <cell r="I14" t="str">
            <v>BB RS-775</v>
          </cell>
          <cell r="J14">
            <v>0</v>
          </cell>
          <cell r="K14">
            <v>12.98</v>
          </cell>
          <cell r="M14" t="str">
            <v>217-3564,217-4649,</v>
          </cell>
        </row>
        <row r="15">
          <cell r="D15" t="str">
            <v>1/2" Hex AM 9015 45</v>
          </cell>
          <cell r="E15">
            <v>5</v>
          </cell>
          <cell r="F15">
            <v>1</v>
          </cell>
          <cell r="I15" t="str">
            <v>BAG</v>
          </cell>
          <cell r="J15">
            <v>0</v>
          </cell>
          <cell r="K15">
            <v>12.98</v>
          </cell>
          <cell r="M15" t="str">
            <v>217-3564,217-4649,</v>
          </cell>
        </row>
        <row r="16">
          <cell r="D16" t="str">
            <v>1/2" Hex AM 9015 49</v>
          </cell>
          <cell r="E16">
            <v>5</v>
          </cell>
          <cell r="F16">
            <v>1</v>
          </cell>
          <cell r="I16" t="str">
            <v>Mini CIM</v>
          </cell>
          <cell r="J16">
            <v>4.99</v>
          </cell>
          <cell r="K16">
            <v>11.98</v>
          </cell>
          <cell r="L16" t="str">
            <v>217-4018,</v>
          </cell>
          <cell r="M16" t="str">
            <v>217-4018,</v>
          </cell>
        </row>
        <row r="17">
          <cell r="D17" t="str">
            <v>1/2" Hex AM 9015 50</v>
          </cell>
          <cell r="E17">
            <v>5</v>
          </cell>
          <cell r="F17">
            <v>1</v>
          </cell>
          <cell r="I17" t="str">
            <v>CIM</v>
          </cell>
          <cell r="J17">
            <v>4.99</v>
          </cell>
          <cell r="K17">
            <v>11.98</v>
          </cell>
          <cell r="L17" t="str">
            <v>217-4018,</v>
          </cell>
          <cell r="M17" t="str">
            <v>217-4018,</v>
          </cell>
        </row>
        <row r="18">
          <cell r="D18" t="str">
            <v>1/2" Hex AM 9015 63</v>
          </cell>
          <cell r="E18">
            <v>5</v>
          </cell>
          <cell r="F18">
            <v>1</v>
          </cell>
          <cell r="I18" t="str">
            <v>775pro</v>
          </cell>
          <cell r="J18">
            <v>0</v>
          </cell>
          <cell r="K18">
            <v>12.98</v>
          </cell>
          <cell r="M18" t="str">
            <v>217-3564,217-4649,</v>
          </cell>
        </row>
        <row r="19">
          <cell r="D19" t="str">
            <v>1/2" Hex AM 9015 70</v>
          </cell>
          <cell r="E19">
            <v>4</v>
          </cell>
          <cell r="F19">
            <v>1</v>
          </cell>
        </row>
        <row r="20">
          <cell r="D20" t="str">
            <v>1/2" Hex AM 9015 81</v>
          </cell>
          <cell r="E20">
            <v>4</v>
          </cell>
          <cell r="F20">
            <v>1</v>
          </cell>
        </row>
        <row r="21">
          <cell r="D21" t="str">
            <v>1/2" Hex AM 9015 90</v>
          </cell>
          <cell r="E21">
            <v>3</v>
          </cell>
          <cell r="F21">
            <v>1</v>
          </cell>
        </row>
        <row r="22">
          <cell r="D22" t="str">
            <v>1/2" Hex AM 9015 100</v>
          </cell>
          <cell r="E22">
            <v>3</v>
          </cell>
          <cell r="F22">
            <v>0</v>
          </cell>
          <cell r="I22" t="str">
            <v>None</v>
          </cell>
          <cell r="J22">
            <v>0</v>
          </cell>
          <cell r="K22">
            <v>0</v>
          </cell>
        </row>
        <row r="23">
          <cell r="D23" t="str">
            <v>1/2" Hex NeveRest 9</v>
          </cell>
          <cell r="E23">
            <v>10</v>
          </cell>
          <cell r="F23">
            <v>10</v>
          </cell>
          <cell r="I23" t="str">
            <v>3 : 1</v>
          </cell>
          <cell r="J23">
            <v>24.98</v>
          </cell>
          <cell r="K23">
            <v>16.98</v>
          </cell>
          <cell r="L23" t="str">
            <v>217-2816,217-2817,</v>
          </cell>
          <cell r="M23" t="str">
            <v>217-5832,217-2817,</v>
          </cell>
        </row>
        <row r="24">
          <cell r="D24" t="str">
            <v>1/2" Hex NeveRest 12</v>
          </cell>
          <cell r="E24">
            <v>10</v>
          </cell>
          <cell r="F24">
            <v>10</v>
          </cell>
          <cell r="I24" t="str">
            <v>4 : 1</v>
          </cell>
          <cell r="J24">
            <v>24.98</v>
          </cell>
          <cell r="K24">
            <v>16.98</v>
          </cell>
          <cell r="L24" t="str">
            <v>217-2816,217-2818,</v>
          </cell>
          <cell r="M24" t="str">
            <v>217-5832,217-2818,</v>
          </cell>
        </row>
        <row r="25">
          <cell r="D25" t="str">
            <v>1/2" Hex NeveRest 15</v>
          </cell>
          <cell r="E25">
            <v>10</v>
          </cell>
          <cell r="F25">
            <v>10</v>
          </cell>
          <cell r="I25" t="str">
            <v>5 : 1</v>
          </cell>
          <cell r="J25">
            <v>24.98</v>
          </cell>
          <cell r="K25">
            <v>16.98</v>
          </cell>
          <cell r="L25" t="str">
            <v>217-2816,217-2819,</v>
          </cell>
          <cell r="M25" t="str">
            <v>217-5832,217-2819,</v>
          </cell>
        </row>
        <row r="26">
          <cell r="D26" t="str">
            <v>1/2" Hex NeveRest 16</v>
          </cell>
          <cell r="E26">
            <v>10</v>
          </cell>
          <cell r="F26">
            <v>10</v>
          </cell>
          <cell r="I26" t="str">
            <v>7 : 1</v>
          </cell>
          <cell r="J26">
            <v>24.98</v>
          </cell>
          <cell r="K26">
            <v>16.98</v>
          </cell>
          <cell r="L26" t="str">
            <v>217-2816,217-3102,</v>
          </cell>
          <cell r="M26" t="str">
            <v>217-5832,217-3102,</v>
          </cell>
        </row>
        <row r="27">
          <cell r="D27" t="str">
            <v>1/2" Hex NeveRest 20</v>
          </cell>
          <cell r="E27">
            <v>10</v>
          </cell>
          <cell r="F27">
            <v>10</v>
          </cell>
          <cell r="I27" t="str">
            <v>9 : 1</v>
          </cell>
          <cell r="J27">
            <v>24.98</v>
          </cell>
          <cell r="K27">
            <v>16.98</v>
          </cell>
          <cell r="L27" t="str">
            <v>217-2816,217-3106,</v>
          </cell>
          <cell r="M27" t="str">
            <v>217-5832,217-3106,</v>
          </cell>
        </row>
        <row r="28">
          <cell r="D28" t="str">
            <v>1/2" Hex NeveRest 21</v>
          </cell>
          <cell r="E28">
            <v>9</v>
          </cell>
          <cell r="F28">
            <v>9</v>
          </cell>
          <cell r="I28" t="str">
            <v>10 : 1</v>
          </cell>
          <cell r="J28">
            <v>24.98</v>
          </cell>
          <cell r="K28">
            <v>16.98</v>
          </cell>
          <cell r="L28" t="str">
            <v>217-2816,217-2820,</v>
          </cell>
          <cell r="M28" t="str">
            <v>217-5832,217-2820,</v>
          </cell>
        </row>
        <row r="29">
          <cell r="D29" t="str">
            <v>1/2" Hex NeveRest 25</v>
          </cell>
          <cell r="E29">
            <v>7</v>
          </cell>
          <cell r="F29">
            <v>7</v>
          </cell>
        </row>
        <row r="30">
          <cell r="D30" t="str">
            <v>1/2" Hex NeveRest 27</v>
          </cell>
          <cell r="E30">
            <v>7</v>
          </cell>
          <cell r="F30">
            <v>7</v>
          </cell>
        </row>
        <row r="31">
          <cell r="D31" t="str">
            <v>1/2" Hex NeveRest 28</v>
          </cell>
          <cell r="E31">
            <v>7</v>
          </cell>
          <cell r="F31">
            <v>7</v>
          </cell>
        </row>
        <row r="32">
          <cell r="D32" t="str">
            <v>1/2" Hex NeveRest 30</v>
          </cell>
          <cell r="E32">
            <v>5</v>
          </cell>
          <cell r="F32">
            <v>5</v>
          </cell>
          <cell r="I32" t="str">
            <v>None</v>
          </cell>
          <cell r="J32">
            <v>0</v>
          </cell>
        </row>
        <row r="33">
          <cell r="D33" t="str">
            <v>1/2" Hex NeveRest 35</v>
          </cell>
          <cell r="E33">
            <v>5</v>
          </cell>
          <cell r="F33">
            <v>5</v>
          </cell>
          <cell r="I33" t="str">
            <v>DM Nyl 1:1</v>
          </cell>
          <cell r="J33">
            <v>41.97</v>
          </cell>
          <cell r="L33" t="str">
            <v>217-6342,217-2701,217-6432,</v>
          </cell>
          <cell r="M33" t="str">
            <v>217-6342,217-2701,217-6432,</v>
          </cell>
          <cell r="N33" t="str">
            <v>217-6342,217-2701,217-6432,</v>
          </cell>
        </row>
        <row r="34">
          <cell r="D34" t="str">
            <v>1/2" Hex NeveRest 36</v>
          </cell>
          <cell r="E34">
            <v>5</v>
          </cell>
          <cell r="F34">
            <v>5</v>
          </cell>
          <cell r="I34" t="str">
            <v>DM Nyl 3.75:1</v>
          </cell>
          <cell r="J34">
            <v>42.97</v>
          </cell>
          <cell r="L34" t="str">
            <v>217-6342,217-3210,217-6367,</v>
          </cell>
          <cell r="M34" t="str">
            <v>217-6342,217-3210,217-6362,</v>
          </cell>
          <cell r="N34" t="str">
            <v>217-6342,217-3210,217-6368,</v>
          </cell>
        </row>
        <row r="35">
          <cell r="D35" t="str">
            <v>1/2" Hex NeveRest 40</v>
          </cell>
          <cell r="E35">
            <v>5</v>
          </cell>
          <cell r="F35">
            <v>5</v>
          </cell>
          <cell r="I35" t="str">
            <v>DM Nyl 5.33:1</v>
          </cell>
          <cell r="J35">
            <v>42.97</v>
          </cell>
          <cell r="L35" t="str">
            <v>217-6342,217-5455,217-6333,</v>
          </cell>
          <cell r="M35" t="str">
            <v>217-6342,217-5455,217-6285,</v>
          </cell>
          <cell r="N35" t="str">
            <v>217-6342,217-5455,217-6339,</v>
          </cell>
        </row>
        <row r="36">
          <cell r="D36" t="str">
            <v>1/2" Hex NeveRest 45</v>
          </cell>
          <cell r="E36">
            <v>5</v>
          </cell>
          <cell r="F36">
            <v>4</v>
          </cell>
          <cell r="I36" t="str">
            <v>DM Al 1:1</v>
          </cell>
          <cell r="J36">
            <v>56.97</v>
          </cell>
          <cell r="L36" t="str">
            <v>217-6417,217-2701,217-6432,</v>
          </cell>
          <cell r="M36" t="str">
            <v>217-6417,217-2701,217-6432,</v>
          </cell>
          <cell r="N36" t="str">
            <v>217-6417,217-2701,217-6432,</v>
          </cell>
        </row>
        <row r="37">
          <cell r="D37" t="str">
            <v>1/2" Hex NeveRest 49</v>
          </cell>
          <cell r="E37">
            <v>5</v>
          </cell>
          <cell r="F37">
            <v>4</v>
          </cell>
          <cell r="I37" t="str">
            <v>DM Al 3.75:1</v>
          </cell>
          <cell r="J37">
            <v>57.97</v>
          </cell>
          <cell r="L37" t="str">
            <v>217-6417,217-3210,217-6367,</v>
          </cell>
          <cell r="M37" t="str">
            <v>217-6417,217-3210,217-6362,</v>
          </cell>
          <cell r="N37" t="str">
            <v>217-6417,217-3210,217-6368,</v>
          </cell>
        </row>
        <row r="38">
          <cell r="D38" t="str">
            <v>1/2" Hex NeveRest 50</v>
          </cell>
          <cell r="E38">
            <v>5</v>
          </cell>
          <cell r="F38">
            <v>4</v>
          </cell>
          <cell r="I38" t="str">
            <v>DM Al 5.33:1</v>
          </cell>
          <cell r="J38">
            <v>57.97</v>
          </cell>
          <cell r="L38" t="str">
            <v>217-6417,217-5455,217-6333,</v>
          </cell>
          <cell r="M38" t="str">
            <v>217-6417,217-5455,217-6285,</v>
          </cell>
          <cell r="N38" t="str">
            <v>217-6417,217-5455,217-6339,</v>
          </cell>
        </row>
        <row r="39">
          <cell r="D39" t="str">
            <v>1/2" Hex NeveRest 63</v>
          </cell>
          <cell r="E39">
            <v>4</v>
          </cell>
          <cell r="F39">
            <v>3</v>
          </cell>
          <cell r="I39" t="str">
            <v>Dual Motor</v>
          </cell>
          <cell r="J39">
            <v>14.98</v>
          </cell>
          <cell r="L39" t="str">
            <v>217-3141,</v>
          </cell>
        </row>
        <row r="40">
          <cell r="D40" t="str">
            <v>1/2" Hex NeveRest 70</v>
          </cell>
          <cell r="E40">
            <v>4</v>
          </cell>
          <cell r="F40">
            <v>1</v>
          </cell>
        </row>
        <row r="41">
          <cell r="D41" t="str">
            <v>1/2" Hex NeveRest 81</v>
          </cell>
          <cell r="E41">
            <v>3</v>
          </cell>
          <cell r="F41">
            <v>1</v>
          </cell>
        </row>
        <row r="42">
          <cell r="D42" t="str">
            <v>1/2" Hex NeveRest 90</v>
          </cell>
          <cell r="E42">
            <v>3</v>
          </cell>
          <cell r="F42">
            <v>1</v>
          </cell>
        </row>
        <row r="43">
          <cell r="D43" t="str">
            <v>1/2" Hex NeveRest 100</v>
          </cell>
          <cell r="E43">
            <v>3</v>
          </cell>
          <cell r="F43">
            <v>1</v>
          </cell>
          <cell r="I43" t="str">
            <v>Yes</v>
          </cell>
          <cell r="J43">
            <v>67.95</v>
          </cell>
          <cell r="L43" t="str">
            <v>217-6011,217-6043,217-5882,217-5875,217-5870,</v>
          </cell>
          <cell r="M43" t="str">
            <v>217-6011,217-6043,217-5882,217-5875,217-5871,</v>
          </cell>
          <cell r="N43" t="str">
            <v>217-6011,217-6043,217-5882,217-5875,217-5872,</v>
          </cell>
        </row>
        <row r="44">
          <cell r="D44" t="str">
            <v>1/2" Hex BB RS-550 9</v>
          </cell>
          <cell r="E44">
            <v>10</v>
          </cell>
          <cell r="F44">
            <v>10</v>
          </cell>
          <cell r="I44" t="str">
            <v>No</v>
          </cell>
          <cell r="J44">
            <v>0</v>
          </cell>
        </row>
        <row r="45">
          <cell r="D45" t="str">
            <v>1/2" Hex BB RS-550 12</v>
          </cell>
          <cell r="E45">
            <v>10</v>
          </cell>
          <cell r="F45">
            <v>7</v>
          </cell>
        </row>
        <row r="46">
          <cell r="D46" t="str">
            <v>1/2" Hex BB RS-550 15</v>
          </cell>
          <cell r="E46">
            <v>10</v>
          </cell>
          <cell r="F46">
            <v>5</v>
          </cell>
        </row>
        <row r="47">
          <cell r="D47" t="str">
            <v>1/2" Hex BB RS-550 16</v>
          </cell>
          <cell r="E47">
            <v>10</v>
          </cell>
          <cell r="F47">
            <v>5</v>
          </cell>
        </row>
        <row r="48">
          <cell r="D48" t="str">
            <v>1/2" Hex BB RS-550 20</v>
          </cell>
          <cell r="E48">
            <v>10</v>
          </cell>
          <cell r="F48">
            <v>4</v>
          </cell>
          <cell r="I48" t="str">
            <v>Yes</v>
          </cell>
          <cell r="J48">
            <v>84.99</v>
          </cell>
          <cell r="L48" t="str">
            <v>217-6293,</v>
          </cell>
        </row>
        <row r="49">
          <cell r="D49" t="str">
            <v>1/2" Hex BB RS-550 21</v>
          </cell>
          <cell r="E49">
            <v>9</v>
          </cell>
          <cell r="F49">
            <v>4</v>
          </cell>
          <cell r="I49" t="str">
            <v>No</v>
          </cell>
          <cell r="J49">
            <v>0</v>
          </cell>
        </row>
        <row r="50">
          <cell r="D50" t="str">
            <v>1/2" Hex BB RS-550 25</v>
          </cell>
          <cell r="E50">
            <v>7</v>
          </cell>
          <cell r="F50">
            <v>3</v>
          </cell>
        </row>
        <row r="51">
          <cell r="D51" t="str">
            <v>1/2" Hex BB RS-550 27</v>
          </cell>
          <cell r="E51">
            <v>7</v>
          </cell>
          <cell r="F51">
            <v>3</v>
          </cell>
        </row>
        <row r="52">
          <cell r="D52" t="str">
            <v>1/2" Hex BB RS-550 28</v>
          </cell>
          <cell r="E52">
            <v>7</v>
          </cell>
          <cell r="F52">
            <v>3</v>
          </cell>
        </row>
        <row r="53">
          <cell r="D53" t="str">
            <v>1/2" Hex BB RS-550 30</v>
          </cell>
          <cell r="E53">
            <v>5</v>
          </cell>
          <cell r="F53">
            <v>3</v>
          </cell>
          <cell r="I53" t="str">
            <v>Yes</v>
          </cell>
          <cell r="J53">
            <v>14.99</v>
          </cell>
          <cell r="L53" t="str">
            <v>217-6048,</v>
          </cell>
        </row>
        <row r="54">
          <cell r="D54" t="str">
            <v>1/2" Hex BB RS-550 35</v>
          </cell>
          <cell r="E54">
            <v>5</v>
          </cell>
          <cell r="F54">
            <v>1</v>
          </cell>
          <cell r="I54" t="str">
            <v>No</v>
          </cell>
          <cell r="J54">
            <v>0</v>
          </cell>
        </row>
        <row r="55">
          <cell r="D55" t="str">
            <v>1/2" Hex BB RS-550 36</v>
          </cell>
          <cell r="E55">
            <v>5</v>
          </cell>
          <cell r="F55">
            <v>1</v>
          </cell>
        </row>
        <row r="56">
          <cell r="D56" t="str">
            <v>1/2" Hex BB RS-550 40</v>
          </cell>
          <cell r="E56">
            <v>5</v>
          </cell>
          <cell r="F56">
            <v>5</v>
          </cell>
        </row>
        <row r="57">
          <cell r="D57" t="str">
            <v>1/2" Hex BB RS-550 45</v>
          </cell>
          <cell r="E57">
            <v>5</v>
          </cell>
          <cell r="F57">
            <v>4</v>
          </cell>
          <cell r="I57" t="str">
            <v>Yes</v>
          </cell>
          <cell r="J57">
            <v>49.99</v>
          </cell>
          <cell r="L57" t="str">
            <v>217-5046,</v>
          </cell>
        </row>
        <row r="58">
          <cell r="D58" t="str">
            <v>1/2" Hex BB RS-550 49</v>
          </cell>
          <cell r="E58">
            <v>5</v>
          </cell>
          <cell r="F58">
            <v>4</v>
          </cell>
          <cell r="I58" t="str">
            <v>No</v>
          </cell>
          <cell r="J58">
            <v>0</v>
          </cell>
        </row>
        <row r="59">
          <cell r="D59" t="str">
            <v>1/2" Hex BB RS-550 50</v>
          </cell>
          <cell r="E59">
            <v>5</v>
          </cell>
          <cell r="F59">
            <v>1</v>
          </cell>
        </row>
        <row r="60">
          <cell r="D60" t="str">
            <v>1/2" Hex BB RS-550 63</v>
          </cell>
          <cell r="E60">
            <v>4</v>
          </cell>
          <cell r="F60">
            <v>1</v>
          </cell>
        </row>
        <row r="61">
          <cell r="D61" t="str">
            <v>1/2" Hex BB RS-550 70</v>
          </cell>
          <cell r="E61">
            <v>4</v>
          </cell>
          <cell r="F61">
            <v>1</v>
          </cell>
        </row>
        <row r="62">
          <cell r="D62" t="str">
            <v>1/2" Hex BB RS-550 81</v>
          </cell>
          <cell r="E62">
            <v>3</v>
          </cell>
          <cell r="F62">
            <v>1</v>
          </cell>
        </row>
        <row r="63">
          <cell r="D63" t="str">
            <v>1/2" Hex BB RS-550 90</v>
          </cell>
          <cell r="E63">
            <v>3</v>
          </cell>
          <cell r="F63">
            <v>1</v>
          </cell>
        </row>
        <row r="64">
          <cell r="D64" t="str">
            <v>1/2" Hex BB RS-550 100</v>
          </cell>
          <cell r="E64">
            <v>3</v>
          </cell>
          <cell r="F64">
            <v>0</v>
          </cell>
        </row>
        <row r="65">
          <cell r="D65" t="str">
            <v>1/2" Hex BB RS-775 9</v>
          </cell>
          <cell r="E65">
            <v>10</v>
          </cell>
          <cell r="F65">
            <v>10</v>
          </cell>
        </row>
        <row r="66">
          <cell r="D66" t="str">
            <v>1/2" Hex BB RS-775 12</v>
          </cell>
          <cell r="E66">
            <v>10</v>
          </cell>
          <cell r="F66">
            <v>10</v>
          </cell>
        </row>
        <row r="67">
          <cell r="D67" t="str">
            <v>1/2" Hex BB RS-775 15</v>
          </cell>
          <cell r="E67">
            <v>7</v>
          </cell>
          <cell r="F67">
            <v>7</v>
          </cell>
        </row>
        <row r="68">
          <cell r="D68" t="str">
            <v>1/2" Hex BB RS-775 16</v>
          </cell>
          <cell r="E68">
            <v>7</v>
          </cell>
          <cell r="F68">
            <v>7</v>
          </cell>
        </row>
        <row r="69">
          <cell r="D69" t="str">
            <v>1/2" Hex BB RS-775 20</v>
          </cell>
          <cell r="E69">
            <v>5</v>
          </cell>
          <cell r="F69">
            <v>5</v>
          </cell>
        </row>
        <row r="70">
          <cell r="D70" t="str">
            <v>1/2" Hex BB RS-775 21</v>
          </cell>
          <cell r="E70">
            <v>5</v>
          </cell>
          <cell r="F70">
            <v>5</v>
          </cell>
        </row>
        <row r="71">
          <cell r="D71" t="str">
            <v>1/2" Hex BB RS-775 25</v>
          </cell>
          <cell r="E71">
            <v>5</v>
          </cell>
          <cell r="F71">
            <v>5</v>
          </cell>
        </row>
        <row r="72">
          <cell r="D72" t="str">
            <v>1/2" Hex BB RS-775 27</v>
          </cell>
          <cell r="E72">
            <v>5</v>
          </cell>
          <cell r="F72">
            <v>4</v>
          </cell>
        </row>
        <row r="73">
          <cell r="D73" t="str">
            <v>1/2" Hex BB RS-775 28</v>
          </cell>
          <cell r="E73">
            <v>5</v>
          </cell>
          <cell r="F73">
            <v>4</v>
          </cell>
        </row>
        <row r="74">
          <cell r="D74" t="str">
            <v>1/2" Hex BB RS-775 30</v>
          </cell>
          <cell r="E74">
            <v>5</v>
          </cell>
          <cell r="F74">
            <v>4</v>
          </cell>
        </row>
        <row r="75">
          <cell r="D75" t="str">
            <v>1/2" Hex BB RS-775 35</v>
          </cell>
          <cell r="E75">
            <v>5</v>
          </cell>
          <cell r="F75">
            <v>3</v>
          </cell>
        </row>
        <row r="76">
          <cell r="D76" t="str">
            <v>1/2" Hex BB RS-775 36</v>
          </cell>
          <cell r="E76">
            <v>5</v>
          </cell>
          <cell r="F76">
            <v>3</v>
          </cell>
        </row>
        <row r="77">
          <cell r="D77" t="str">
            <v>1/2" Hex BB RS-775 40</v>
          </cell>
          <cell r="E77">
            <v>4</v>
          </cell>
          <cell r="F77">
            <v>3</v>
          </cell>
        </row>
        <row r="78">
          <cell r="D78" t="str">
            <v>1/2" Hex BB RS-775 45</v>
          </cell>
          <cell r="E78">
            <v>4</v>
          </cell>
          <cell r="F78">
            <v>1</v>
          </cell>
        </row>
        <row r="79">
          <cell r="D79" t="str">
            <v>1/2" Hex BB RS-775 49</v>
          </cell>
          <cell r="E79">
            <v>4</v>
          </cell>
          <cell r="F79">
            <v>1</v>
          </cell>
        </row>
        <row r="80">
          <cell r="D80" t="str">
            <v>1/2" Hex BB RS-775 50</v>
          </cell>
          <cell r="E80">
            <v>3</v>
          </cell>
          <cell r="F80">
            <v>1</v>
          </cell>
        </row>
        <row r="81">
          <cell r="D81" t="str">
            <v>1/2" Hex BB RS-775 63</v>
          </cell>
          <cell r="E81">
            <v>3</v>
          </cell>
          <cell r="F81">
            <v>1</v>
          </cell>
        </row>
        <row r="82">
          <cell r="D82" t="str">
            <v>1/2" Hex BB RS-775 70</v>
          </cell>
          <cell r="E82">
            <v>1</v>
          </cell>
          <cell r="F82">
            <v>1</v>
          </cell>
        </row>
        <row r="83">
          <cell r="D83" t="str">
            <v>1/2" Hex BB RS-775 81</v>
          </cell>
          <cell r="E83">
            <v>1</v>
          </cell>
          <cell r="F83">
            <v>1</v>
          </cell>
        </row>
        <row r="84">
          <cell r="D84" t="str">
            <v>1/2" Hex BB RS-775 90</v>
          </cell>
          <cell r="E84">
            <v>1</v>
          </cell>
          <cell r="F84">
            <v>1</v>
          </cell>
        </row>
        <row r="85">
          <cell r="D85" t="str">
            <v>1/2" Hex BB RS-775 100</v>
          </cell>
          <cell r="E85">
            <v>1</v>
          </cell>
          <cell r="F85">
            <v>1</v>
          </cell>
        </row>
        <row r="86">
          <cell r="D86" t="str">
            <v>1/2" Hex BAG 9</v>
          </cell>
          <cell r="E86">
            <v>10</v>
          </cell>
          <cell r="F86">
            <v>9</v>
          </cell>
        </row>
        <row r="87">
          <cell r="D87" t="str">
            <v>1/2" Hex BAG 12</v>
          </cell>
          <cell r="E87">
            <v>10</v>
          </cell>
          <cell r="F87">
            <v>5</v>
          </cell>
        </row>
        <row r="88">
          <cell r="D88" t="str">
            <v>1/2" Hex BAG 15</v>
          </cell>
          <cell r="E88">
            <v>10</v>
          </cell>
          <cell r="F88">
            <v>5</v>
          </cell>
        </row>
        <row r="89">
          <cell r="D89" t="str">
            <v>1/2" Hex BAG 16</v>
          </cell>
          <cell r="E89">
            <v>10</v>
          </cell>
          <cell r="F89">
            <v>5</v>
          </cell>
        </row>
        <row r="90">
          <cell r="D90" t="str">
            <v>1/2" Hex BAG 20</v>
          </cell>
          <cell r="E90">
            <v>10</v>
          </cell>
          <cell r="F90">
            <v>4</v>
          </cell>
        </row>
        <row r="91">
          <cell r="D91" t="str">
            <v>1/2" Hex BAG 21</v>
          </cell>
          <cell r="E91">
            <v>10</v>
          </cell>
          <cell r="F91">
            <v>3</v>
          </cell>
        </row>
        <row r="92">
          <cell r="D92" t="str">
            <v>1/2" Hex BAG 25</v>
          </cell>
          <cell r="E92">
            <v>7</v>
          </cell>
          <cell r="F92">
            <v>3</v>
          </cell>
        </row>
        <row r="93">
          <cell r="D93" t="str">
            <v>1/2" Hex BAG 27</v>
          </cell>
          <cell r="E93">
            <v>7</v>
          </cell>
          <cell r="F93">
            <v>3</v>
          </cell>
        </row>
        <row r="94">
          <cell r="D94" t="str">
            <v>1/2" Hex BAG 28</v>
          </cell>
          <cell r="E94">
            <v>7</v>
          </cell>
          <cell r="F94">
            <v>1</v>
          </cell>
        </row>
        <row r="95">
          <cell r="D95" t="str">
            <v>1/2" Hex BAG 30</v>
          </cell>
          <cell r="E95">
            <v>7</v>
          </cell>
          <cell r="F95">
            <v>1</v>
          </cell>
        </row>
        <row r="96">
          <cell r="D96" t="str">
            <v>1/2" Hex BAG 35</v>
          </cell>
          <cell r="E96">
            <v>5</v>
          </cell>
          <cell r="F96">
            <v>1</v>
          </cell>
        </row>
        <row r="97">
          <cell r="D97" t="str">
            <v>1/2" Hex BAG 36</v>
          </cell>
          <cell r="E97">
            <v>5</v>
          </cell>
          <cell r="F97">
            <v>1</v>
          </cell>
        </row>
        <row r="98">
          <cell r="D98" t="str">
            <v>1/2" Hex BAG 40</v>
          </cell>
          <cell r="E98">
            <v>5</v>
          </cell>
          <cell r="F98">
            <v>1</v>
          </cell>
        </row>
        <row r="99">
          <cell r="D99" t="str">
            <v>1/2" Hex BAG 45</v>
          </cell>
          <cell r="E99">
            <v>5</v>
          </cell>
          <cell r="F99">
            <v>1</v>
          </cell>
        </row>
        <row r="100">
          <cell r="D100" t="str">
            <v>1/2" Hex BAG 49</v>
          </cell>
          <cell r="E100">
            <v>5</v>
          </cell>
          <cell r="F100">
            <v>1</v>
          </cell>
        </row>
        <row r="101">
          <cell r="D101" t="str">
            <v>1/2" Hex BAG 50</v>
          </cell>
          <cell r="E101">
            <v>5</v>
          </cell>
          <cell r="F101">
            <v>1</v>
          </cell>
        </row>
        <row r="102">
          <cell r="D102" t="str">
            <v>1/2" Hex BAG 63</v>
          </cell>
          <cell r="E102">
            <v>5</v>
          </cell>
          <cell r="F102">
            <v>1</v>
          </cell>
        </row>
        <row r="103">
          <cell r="D103" t="str">
            <v>1/2" Hex BAG 70</v>
          </cell>
          <cell r="E103">
            <v>4</v>
          </cell>
          <cell r="F103">
            <v>1</v>
          </cell>
        </row>
        <row r="104">
          <cell r="D104" t="str">
            <v>1/2" Hex BAG 81</v>
          </cell>
          <cell r="E104">
            <v>4</v>
          </cell>
          <cell r="F104">
            <v>1</v>
          </cell>
        </row>
        <row r="105">
          <cell r="D105" t="str">
            <v>1/2" Hex BAG 90</v>
          </cell>
          <cell r="E105">
            <v>3</v>
          </cell>
          <cell r="F105">
            <v>0</v>
          </cell>
        </row>
        <row r="106">
          <cell r="D106" t="str">
            <v>1/2" Hex BAG 100</v>
          </cell>
          <cell r="E106">
            <v>3</v>
          </cell>
          <cell r="F106">
            <v>0</v>
          </cell>
        </row>
        <row r="107">
          <cell r="D107" t="str">
            <v>1/2" Hex Mini CIM 9</v>
          </cell>
          <cell r="E107">
            <v>7</v>
          </cell>
          <cell r="F107">
            <v>0</v>
          </cell>
        </row>
        <row r="108">
          <cell r="D108" t="str">
            <v>1/2" Hex Mini CIM 12</v>
          </cell>
          <cell r="E108">
            <v>5</v>
          </cell>
          <cell r="F108">
            <v>0</v>
          </cell>
        </row>
        <row r="109">
          <cell r="D109" t="str">
            <v>1/2" Hex Mini CIM 15</v>
          </cell>
          <cell r="E109">
            <v>5</v>
          </cell>
          <cell r="F109">
            <v>0</v>
          </cell>
        </row>
        <row r="110">
          <cell r="D110" t="str">
            <v>1/2" Hex Mini CIM 16</v>
          </cell>
          <cell r="E110">
            <v>5</v>
          </cell>
          <cell r="F110">
            <v>0</v>
          </cell>
        </row>
        <row r="111">
          <cell r="D111" t="str">
            <v>1/2" Hex Mini CIM 20</v>
          </cell>
          <cell r="E111">
            <v>5</v>
          </cell>
          <cell r="F111">
            <v>0</v>
          </cell>
        </row>
        <row r="112">
          <cell r="D112" t="str">
            <v>1/2" Hex Mini CIM 21</v>
          </cell>
          <cell r="E112">
            <v>5</v>
          </cell>
          <cell r="F112">
            <v>0</v>
          </cell>
        </row>
        <row r="113">
          <cell r="D113" t="str">
            <v>1/2" Hex Mini CIM 25</v>
          </cell>
          <cell r="E113">
            <v>4</v>
          </cell>
          <cell r="F113">
            <v>0</v>
          </cell>
        </row>
        <row r="114">
          <cell r="D114" t="str">
            <v>1/2" Hex Mini CIM 27</v>
          </cell>
          <cell r="E114">
            <v>4</v>
          </cell>
          <cell r="F114">
            <v>0</v>
          </cell>
        </row>
        <row r="115">
          <cell r="D115" t="str">
            <v>1/2" Hex Mini CIM 28</v>
          </cell>
          <cell r="E115">
            <v>3</v>
          </cell>
          <cell r="F115">
            <v>0</v>
          </cell>
        </row>
        <row r="116">
          <cell r="D116" t="str">
            <v>1/2" Hex Mini CIM 30</v>
          </cell>
          <cell r="E116">
            <v>3</v>
          </cell>
          <cell r="F116">
            <v>0</v>
          </cell>
        </row>
        <row r="117">
          <cell r="D117" t="str">
            <v>1/2" Hex Mini CIM 35</v>
          </cell>
          <cell r="E117">
            <v>3</v>
          </cell>
          <cell r="F117">
            <v>0</v>
          </cell>
        </row>
        <row r="118">
          <cell r="D118" t="str">
            <v>1/2" Hex Mini CIM 36</v>
          </cell>
          <cell r="E118">
            <v>1</v>
          </cell>
          <cell r="F118">
            <v>0</v>
          </cell>
        </row>
        <row r="119">
          <cell r="D119" t="str">
            <v>1/2" Hex Mini CIM 40</v>
          </cell>
          <cell r="E119">
            <v>1</v>
          </cell>
          <cell r="F119">
            <v>0</v>
          </cell>
        </row>
        <row r="120">
          <cell r="D120" t="str">
            <v>1/2" Hex Mini CIM 45</v>
          </cell>
          <cell r="E120">
            <v>1</v>
          </cell>
          <cell r="F120">
            <v>0</v>
          </cell>
        </row>
        <row r="121">
          <cell r="D121" t="str">
            <v>1/2" Hex Mini CIM 49</v>
          </cell>
          <cell r="E121">
            <v>1</v>
          </cell>
          <cell r="F121">
            <v>0</v>
          </cell>
        </row>
        <row r="122">
          <cell r="D122" t="str">
            <v>1/2" Hex Mini CIM 50</v>
          </cell>
          <cell r="E122">
            <v>1</v>
          </cell>
          <cell r="F122">
            <v>0</v>
          </cell>
        </row>
        <row r="123">
          <cell r="D123" t="str">
            <v>1/2" Hex Mini CIM 63</v>
          </cell>
          <cell r="E123">
            <v>1</v>
          </cell>
          <cell r="F123">
            <v>0</v>
          </cell>
        </row>
        <row r="124">
          <cell r="D124" t="str">
            <v>1/2" Hex Mini CIM 70</v>
          </cell>
          <cell r="E124">
            <v>0</v>
          </cell>
          <cell r="F124">
            <v>0</v>
          </cell>
        </row>
        <row r="125">
          <cell r="D125" t="str">
            <v>1/2" Hex Mini CIM 81</v>
          </cell>
          <cell r="E125">
            <v>0</v>
          </cell>
          <cell r="F125">
            <v>0</v>
          </cell>
        </row>
        <row r="126">
          <cell r="D126" t="str">
            <v>1/2" Hex Mini CIM 90</v>
          </cell>
          <cell r="E126">
            <v>0</v>
          </cell>
          <cell r="F126">
            <v>0</v>
          </cell>
        </row>
        <row r="127">
          <cell r="D127" t="str">
            <v>1/2" Hex Mini CIM 100</v>
          </cell>
          <cell r="E127">
            <v>0</v>
          </cell>
          <cell r="F127">
            <v>0</v>
          </cell>
        </row>
        <row r="128">
          <cell r="D128" t="str">
            <v>1/2" Hex CIM 9</v>
          </cell>
          <cell r="E128">
            <v>5</v>
          </cell>
          <cell r="F128">
            <v>0</v>
          </cell>
        </row>
        <row r="129">
          <cell r="D129" t="str">
            <v>1/2" Hex CIM 12</v>
          </cell>
          <cell r="E129">
            <v>5</v>
          </cell>
          <cell r="F129">
            <v>0</v>
          </cell>
        </row>
        <row r="130">
          <cell r="D130" t="str">
            <v>1/2" Hex CIM 15</v>
          </cell>
          <cell r="E130">
            <v>4</v>
          </cell>
          <cell r="F130">
            <v>0</v>
          </cell>
        </row>
        <row r="131">
          <cell r="D131" t="str">
            <v>1/2" Hex CIM 16</v>
          </cell>
          <cell r="E131">
            <v>4</v>
          </cell>
          <cell r="F131">
            <v>0</v>
          </cell>
        </row>
        <row r="132">
          <cell r="D132" t="str">
            <v>1/2" Hex CIM 20</v>
          </cell>
          <cell r="E132">
            <v>3</v>
          </cell>
          <cell r="F132">
            <v>0</v>
          </cell>
        </row>
        <row r="133">
          <cell r="D133" t="str">
            <v>1/2" Hex CIM 21</v>
          </cell>
          <cell r="E133">
            <v>3</v>
          </cell>
          <cell r="F133">
            <v>0</v>
          </cell>
        </row>
        <row r="134">
          <cell r="D134" t="str">
            <v>1/2" Hex CIM 25</v>
          </cell>
          <cell r="E134">
            <v>1</v>
          </cell>
          <cell r="F134">
            <v>0</v>
          </cell>
        </row>
        <row r="135">
          <cell r="D135" t="str">
            <v>1/2" Hex CIM 27</v>
          </cell>
          <cell r="E135">
            <v>1</v>
          </cell>
          <cell r="F135">
            <v>0</v>
          </cell>
        </row>
        <row r="136">
          <cell r="D136" t="str">
            <v>1/2" Hex CIM 28</v>
          </cell>
          <cell r="E136">
            <v>1</v>
          </cell>
          <cell r="F136">
            <v>0</v>
          </cell>
        </row>
        <row r="137">
          <cell r="D137" t="str">
            <v>1/2" Hex CIM 30</v>
          </cell>
          <cell r="E137">
            <v>1</v>
          </cell>
          <cell r="F137">
            <v>0</v>
          </cell>
        </row>
        <row r="138">
          <cell r="D138" t="str">
            <v>1/2" Hex CIM 35</v>
          </cell>
          <cell r="E138">
            <v>1</v>
          </cell>
          <cell r="F138">
            <v>0</v>
          </cell>
        </row>
        <row r="139">
          <cell r="D139" t="str">
            <v>1/2" Hex CIM 36</v>
          </cell>
          <cell r="E139">
            <v>1</v>
          </cell>
          <cell r="F139">
            <v>0</v>
          </cell>
        </row>
        <row r="140">
          <cell r="D140" t="str">
            <v>1/2" Hex CIM 40</v>
          </cell>
          <cell r="E140">
            <v>1</v>
          </cell>
          <cell r="F140">
            <v>0</v>
          </cell>
        </row>
        <row r="141">
          <cell r="D141" t="str">
            <v>1/2" Hex CIM 45</v>
          </cell>
          <cell r="E141">
            <v>0</v>
          </cell>
          <cell r="F141">
            <v>0</v>
          </cell>
        </row>
        <row r="142">
          <cell r="D142" t="str">
            <v>1/2" Hex CIM 49</v>
          </cell>
          <cell r="E142">
            <v>0</v>
          </cell>
          <cell r="F142">
            <v>0</v>
          </cell>
        </row>
        <row r="143">
          <cell r="D143" t="str">
            <v>1/2" Hex CIM 50</v>
          </cell>
          <cell r="E143">
            <v>0</v>
          </cell>
          <cell r="F143">
            <v>0</v>
          </cell>
        </row>
        <row r="144">
          <cell r="D144" t="str">
            <v>1/2" Hex CIM 63</v>
          </cell>
          <cell r="E144">
            <v>0</v>
          </cell>
          <cell r="F144">
            <v>0</v>
          </cell>
        </row>
        <row r="145">
          <cell r="D145" t="str">
            <v>1/2" Hex CIM 70</v>
          </cell>
          <cell r="E145">
            <v>0</v>
          </cell>
          <cell r="F145">
            <v>0</v>
          </cell>
        </row>
        <row r="146">
          <cell r="D146" t="str">
            <v>1/2" Hex CIM 81</v>
          </cell>
          <cell r="E146">
            <v>0</v>
          </cell>
          <cell r="F146">
            <v>0</v>
          </cell>
        </row>
        <row r="147">
          <cell r="D147" t="str">
            <v>1/2" Hex CIM 90</v>
          </cell>
          <cell r="E147">
            <v>0</v>
          </cell>
          <cell r="F147">
            <v>0</v>
          </cell>
        </row>
        <row r="148">
          <cell r="D148" t="str">
            <v>1/2" Hex CIM 100</v>
          </cell>
          <cell r="E148">
            <v>0</v>
          </cell>
          <cell r="F148">
            <v>0</v>
          </cell>
        </row>
        <row r="149">
          <cell r="D149" t="str">
            <v>1/2" Hex 775pro 9</v>
          </cell>
          <cell r="E149">
            <v>10</v>
          </cell>
          <cell r="F149">
            <v>5</v>
          </cell>
        </row>
        <row r="150">
          <cell r="D150" t="str">
            <v>1/2" Hex 775pro 12</v>
          </cell>
          <cell r="E150">
            <v>10</v>
          </cell>
          <cell r="F150">
            <v>4</v>
          </cell>
        </row>
        <row r="151">
          <cell r="D151" t="str">
            <v>1/2" Hex 775pro 15</v>
          </cell>
          <cell r="E151">
            <v>10</v>
          </cell>
          <cell r="F151">
            <v>3</v>
          </cell>
        </row>
        <row r="152">
          <cell r="D152" t="str">
            <v>1/2" Hex 775pro 16</v>
          </cell>
          <cell r="E152">
            <v>10</v>
          </cell>
          <cell r="F152">
            <v>3</v>
          </cell>
        </row>
        <row r="153">
          <cell r="D153" t="str">
            <v>1/2" Hex 775pro 20</v>
          </cell>
          <cell r="E153">
            <v>10</v>
          </cell>
          <cell r="F153">
            <v>1</v>
          </cell>
        </row>
        <row r="154">
          <cell r="D154" t="str">
            <v>1/2" Hex 775pro 21</v>
          </cell>
          <cell r="E154">
            <v>10</v>
          </cell>
          <cell r="F154">
            <v>1</v>
          </cell>
        </row>
        <row r="155">
          <cell r="D155" t="str">
            <v>1/2" Hex 775pro 25</v>
          </cell>
          <cell r="E155">
            <v>7</v>
          </cell>
          <cell r="F155">
            <v>1</v>
          </cell>
        </row>
        <row r="156">
          <cell r="D156" t="str">
            <v>1/2" Hex 775pro 27</v>
          </cell>
          <cell r="E156">
            <v>7</v>
          </cell>
          <cell r="F156">
            <v>1</v>
          </cell>
        </row>
        <row r="157">
          <cell r="D157" t="str">
            <v>1/2" Hex 775pro 28</v>
          </cell>
          <cell r="E157">
            <v>7</v>
          </cell>
          <cell r="F157">
            <v>1</v>
          </cell>
        </row>
        <row r="158">
          <cell r="D158" t="str">
            <v>1/2" Hex 775pro 30</v>
          </cell>
          <cell r="E158">
            <v>7</v>
          </cell>
          <cell r="F158">
            <v>1</v>
          </cell>
        </row>
        <row r="159">
          <cell r="D159" t="str">
            <v>1/2" Hex 775pro 35</v>
          </cell>
          <cell r="E159">
            <v>5</v>
          </cell>
          <cell r="F159">
            <v>1</v>
          </cell>
        </row>
        <row r="160">
          <cell r="D160" t="str">
            <v>1/2" Hex 775pro 36</v>
          </cell>
          <cell r="E160">
            <v>5</v>
          </cell>
          <cell r="F160">
            <v>1</v>
          </cell>
        </row>
        <row r="161">
          <cell r="D161" t="str">
            <v>1/2" Hex 775pro 40</v>
          </cell>
          <cell r="E161">
            <v>5</v>
          </cell>
          <cell r="F161">
            <v>1</v>
          </cell>
        </row>
        <row r="162">
          <cell r="D162" t="str">
            <v>1/2" Hex 775pro 45</v>
          </cell>
          <cell r="E162">
            <v>4</v>
          </cell>
          <cell r="F162">
            <v>1</v>
          </cell>
        </row>
        <row r="163">
          <cell r="D163" t="str">
            <v>1/2" Hex 775pro 49</v>
          </cell>
          <cell r="E163">
            <v>4</v>
          </cell>
          <cell r="F163">
            <v>1</v>
          </cell>
        </row>
        <row r="164">
          <cell r="D164" t="str">
            <v>1/2" Hex 775pro 50</v>
          </cell>
          <cell r="E164">
            <v>4</v>
          </cell>
          <cell r="F164">
            <v>0</v>
          </cell>
        </row>
        <row r="165">
          <cell r="D165" t="str">
            <v>1/2" Hex 775pro 63</v>
          </cell>
          <cell r="E165">
            <v>3</v>
          </cell>
          <cell r="F165">
            <v>0</v>
          </cell>
        </row>
        <row r="166">
          <cell r="D166" t="str">
            <v>1/2" Hex 775pro 70</v>
          </cell>
          <cell r="E166">
            <v>3</v>
          </cell>
          <cell r="F166">
            <v>0</v>
          </cell>
        </row>
        <row r="167">
          <cell r="D167" t="str">
            <v>1/2" Hex 775pro 81</v>
          </cell>
          <cell r="E167">
            <v>1</v>
          </cell>
          <cell r="F167">
            <v>0</v>
          </cell>
        </row>
        <row r="168">
          <cell r="D168" t="str">
            <v>1/2" Hex 775pro 90</v>
          </cell>
          <cell r="E168">
            <v>1</v>
          </cell>
          <cell r="F168">
            <v>0</v>
          </cell>
        </row>
        <row r="169">
          <cell r="D169" t="str">
            <v>1/2" Hex 775pro 100</v>
          </cell>
          <cell r="E169">
            <v>1</v>
          </cell>
          <cell r="F169">
            <v>0</v>
          </cell>
        </row>
        <row r="170">
          <cell r="D170" t="str">
            <v>1/2" Round AM 9015 9</v>
          </cell>
          <cell r="E170">
            <v>10</v>
          </cell>
          <cell r="F170">
            <v>10</v>
          </cell>
        </row>
        <row r="171">
          <cell r="D171" t="str">
            <v>1/2" Round AM 9015 12</v>
          </cell>
          <cell r="E171">
            <v>10</v>
          </cell>
          <cell r="F171">
            <v>7</v>
          </cell>
        </row>
        <row r="172">
          <cell r="D172" t="str">
            <v>1/2" Round AM 9015 15</v>
          </cell>
          <cell r="E172">
            <v>10</v>
          </cell>
          <cell r="F172">
            <v>5</v>
          </cell>
        </row>
        <row r="173">
          <cell r="D173" t="str">
            <v>1/2" Round AM 9015 16</v>
          </cell>
          <cell r="E173">
            <v>10</v>
          </cell>
          <cell r="F173">
            <v>5</v>
          </cell>
        </row>
        <row r="174">
          <cell r="D174" t="str">
            <v>1/2" Round AM 9015 20</v>
          </cell>
          <cell r="E174">
            <v>10</v>
          </cell>
          <cell r="F174">
            <v>4</v>
          </cell>
        </row>
        <row r="175">
          <cell r="D175" t="str">
            <v>1/2" Round AM 9015 21</v>
          </cell>
          <cell r="E175">
            <v>10</v>
          </cell>
          <cell r="F175">
            <v>4</v>
          </cell>
        </row>
        <row r="176">
          <cell r="D176" t="str">
            <v>1/2" Round AM 9015 25</v>
          </cell>
          <cell r="E176">
            <v>7</v>
          </cell>
          <cell r="F176">
            <v>3</v>
          </cell>
        </row>
        <row r="177">
          <cell r="D177" t="str">
            <v>1/2" Round AM 9015 27</v>
          </cell>
          <cell r="E177">
            <v>7</v>
          </cell>
          <cell r="F177">
            <v>3</v>
          </cell>
        </row>
        <row r="178">
          <cell r="D178" t="str">
            <v>1/2" Round AM 9015 28</v>
          </cell>
          <cell r="E178">
            <v>7</v>
          </cell>
          <cell r="F178">
            <v>3</v>
          </cell>
        </row>
        <row r="179">
          <cell r="D179" t="str">
            <v>1/2" Round AM 9015 30</v>
          </cell>
          <cell r="E179">
            <v>7</v>
          </cell>
          <cell r="F179">
            <v>3</v>
          </cell>
        </row>
        <row r="180">
          <cell r="D180" t="str">
            <v>1/2" Round AM 9015 35</v>
          </cell>
          <cell r="E180">
            <v>5</v>
          </cell>
          <cell r="F180">
            <v>1</v>
          </cell>
        </row>
        <row r="181">
          <cell r="D181" t="str">
            <v>1/2" Round AM 9015 36</v>
          </cell>
          <cell r="E181">
            <v>5</v>
          </cell>
          <cell r="F181">
            <v>1</v>
          </cell>
        </row>
        <row r="182">
          <cell r="D182" t="str">
            <v>1/2" Round AM 9015 40</v>
          </cell>
          <cell r="E182">
            <v>5</v>
          </cell>
          <cell r="F182">
            <v>1</v>
          </cell>
        </row>
        <row r="183">
          <cell r="D183" t="str">
            <v>1/2" Round AM 9015 45</v>
          </cell>
          <cell r="E183">
            <v>5</v>
          </cell>
          <cell r="F183">
            <v>1</v>
          </cell>
        </row>
        <row r="184">
          <cell r="D184" t="str">
            <v>1/2" Round AM 9015 49</v>
          </cell>
          <cell r="E184">
            <v>5</v>
          </cell>
          <cell r="F184">
            <v>1</v>
          </cell>
        </row>
        <row r="185">
          <cell r="D185" t="str">
            <v>1/2" Round AM 9015 50</v>
          </cell>
          <cell r="E185">
            <v>5</v>
          </cell>
          <cell r="F185">
            <v>1</v>
          </cell>
        </row>
        <row r="186">
          <cell r="D186" t="str">
            <v>1/2" Round AM 9015 63</v>
          </cell>
          <cell r="E186">
            <v>4</v>
          </cell>
          <cell r="F186">
            <v>1</v>
          </cell>
        </row>
        <row r="187">
          <cell r="D187" t="str">
            <v>1/2" Round AM 9015 70</v>
          </cell>
          <cell r="E187">
            <v>4</v>
          </cell>
          <cell r="F187">
            <v>1</v>
          </cell>
        </row>
        <row r="188">
          <cell r="D188" t="str">
            <v>1/2" Round AM 9015 81</v>
          </cell>
          <cell r="E188">
            <v>3</v>
          </cell>
          <cell r="F188">
            <v>1</v>
          </cell>
        </row>
        <row r="189">
          <cell r="D189" t="str">
            <v>1/2" Round AM 9015 90</v>
          </cell>
          <cell r="E189">
            <v>3</v>
          </cell>
          <cell r="F189">
            <v>1</v>
          </cell>
        </row>
        <row r="190">
          <cell r="D190" t="str">
            <v>1/2" Round AM 9015 100</v>
          </cell>
          <cell r="E190">
            <v>1</v>
          </cell>
          <cell r="F190">
            <v>0</v>
          </cell>
        </row>
        <row r="191">
          <cell r="D191" t="str">
            <v>1/2" Round NeveRest 9</v>
          </cell>
          <cell r="E191">
            <v>10</v>
          </cell>
          <cell r="F191">
            <v>10</v>
          </cell>
        </row>
        <row r="192">
          <cell r="D192" t="str">
            <v>1/2" Round NeveRest 12</v>
          </cell>
          <cell r="E192">
            <v>10</v>
          </cell>
          <cell r="F192">
            <v>10</v>
          </cell>
        </row>
        <row r="193">
          <cell r="D193" t="str">
            <v>1/2" Round NeveRest 15</v>
          </cell>
          <cell r="E193">
            <v>10</v>
          </cell>
          <cell r="F193">
            <v>10</v>
          </cell>
        </row>
        <row r="194">
          <cell r="D194" t="str">
            <v>1/2" Round NeveRest 16</v>
          </cell>
          <cell r="E194">
            <v>10</v>
          </cell>
          <cell r="F194">
            <v>10</v>
          </cell>
        </row>
        <row r="195">
          <cell r="D195" t="str">
            <v>1/2" Round NeveRest 20</v>
          </cell>
          <cell r="E195">
            <v>10</v>
          </cell>
          <cell r="F195">
            <v>10</v>
          </cell>
        </row>
        <row r="196">
          <cell r="D196" t="str">
            <v>1/2" Round NeveRest 21</v>
          </cell>
          <cell r="E196">
            <v>9</v>
          </cell>
          <cell r="F196">
            <v>9</v>
          </cell>
        </row>
        <row r="197">
          <cell r="D197" t="str">
            <v>1/2" Round NeveRest 25</v>
          </cell>
          <cell r="E197">
            <v>7</v>
          </cell>
          <cell r="F197">
            <v>7</v>
          </cell>
        </row>
        <row r="198">
          <cell r="D198" t="str">
            <v>1/2" Round NeveRest 27</v>
          </cell>
          <cell r="E198">
            <v>7</v>
          </cell>
          <cell r="F198">
            <v>7</v>
          </cell>
        </row>
        <row r="199">
          <cell r="D199" t="str">
            <v>1/2" Round NeveRest 28</v>
          </cell>
          <cell r="E199">
            <v>7</v>
          </cell>
          <cell r="F199">
            <v>7</v>
          </cell>
        </row>
        <row r="200">
          <cell r="D200" t="str">
            <v>1/2" Round NeveRest 30</v>
          </cell>
          <cell r="E200">
            <v>5</v>
          </cell>
          <cell r="F200">
            <v>5</v>
          </cell>
        </row>
        <row r="201">
          <cell r="D201" t="str">
            <v>1/2" Round NeveRest 35</v>
          </cell>
          <cell r="E201">
            <v>5</v>
          </cell>
          <cell r="F201">
            <v>5</v>
          </cell>
        </row>
        <row r="202">
          <cell r="D202" t="str">
            <v>1/2" Round NeveRest 36</v>
          </cell>
          <cell r="E202">
            <v>5</v>
          </cell>
          <cell r="F202">
            <v>5</v>
          </cell>
        </row>
        <row r="203">
          <cell r="D203" t="str">
            <v>1/2" Round NeveRest 40</v>
          </cell>
          <cell r="E203">
            <v>5</v>
          </cell>
          <cell r="F203">
            <v>5</v>
          </cell>
        </row>
        <row r="204">
          <cell r="D204" t="str">
            <v>1/2" Round NeveRest 45</v>
          </cell>
          <cell r="E204">
            <v>5</v>
          </cell>
          <cell r="F204">
            <v>4</v>
          </cell>
        </row>
        <row r="205">
          <cell r="D205" t="str">
            <v>1/2" Round NeveRest 49</v>
          </cell>
          <cell r="E205">
            <v>5</v>
          </cell>
          <cell r="F205">
            <v>4</v>
          </cell>
        </row>
        <row r="206">
          <cell r="D206" t="str">
            <v>1/2" Round NeveRest 50</v>
          </cell>
          <cell r="E206">
            <v>5</v>
          </cell>
          <cell r="F206">
            <v>4</v>
          </cell>
        </row>
        <row r="207">
          <cell r="D207" t="str">
            <v>1/2" Round NeveRest 63</v>
          </cell>
          <cell r="E207">
            <v>4</v>
          </cell>
          <cell r="F207">
            <v>3</v>
          </cell>
        </row>
        <row r="208">
          <cell r="D208" t="str">
            <v>1/2" Round NeveRest 70</v>
          </cell>
          <cell r="E208">
            <v>3</v>
          </cell>
          <cell r="F208">
            <v>1</v>
          </cell>
        </row>
        <row r="209">
          <cell r="D209" t="str">
            <v>1/2" Round NeveRest 81</v>
          </cell>
          <cell r="E209">
            <v>3</v>
          </cell>
          <cell r="F209">
            <v>1</v>
          </cell>
        </row>
        <row r="210">
          <cell r="D210" t="str">
            <v>1/2" Round NeveRest 90</v>
          </cell>
          <cell r="E210">
            <v>1</v>
          </cell>
          <cell r="F210">
            <v>1</v>
          </cell>
        </row>
        <row r="211">
          <cell r="D211" t="str">
            <v>1/2" Round NeveRest 100</v>
          </cell>
          <cell r="E211">
            <v>1</v>
          </cell>
          <cell r="F211">
            <v>1</v>
          </cell>
        </row>
        <row r="212">
          <cell r="D212" t="str">
            <v>1/2" Round BB RS-550 9</v>
          </cell>
          <cell r="E212">
            <v>10</v>
          </cell>
          <cell r="F212">
            <v>10</v>
          </cell>
        </row>
        <row r="213">
          <cell r="D213" t="str">
            <v>1/2" Round BB RS-550 12</v>
          </cell>
          <cell r="E213">
            <v>10</v>
          </cell>
          <cell r="F213">
            <v>7</v>
          </cell>
        </row>
        <row r="214">
          <cell r="D214" t="str">
            <v>1/2" Round BB RS-550 15</v>
          </cell>
          <cell r="E214">
            <v>10</v>
          </cell>
          <cell r="F214">
            <v>5</v>
          </cell>
        </row>
        <row r="215">
          <cell r="D215" t="str">
            <v>1/2" Round BB RS-550 16</v>
          </cell>
          <cell r="E215">
            <v>10</v>
          </cell>
          <cell r="F215">
            <v>5</v>
          </cell>
        </row>
        <row r="216">
          <cell r="D216" t="str">
            <v>1/2" Round BB RS-550 20</v>
          </cell>
          <cell r="E216">
            <v>10</v>
          </cell>
          <cell r="F216">
            <v>4</v>
          </cell>
        </row>
        <row r="217">
          <cell r="D217" t="str">
            <v>1/2" Round BB RS-550 21</v>
          </cell>
          <cell r="E217">
            <v>9</v>
          </cell>
          <cell r="F217">
            <v>4</v>
          </cell>
        </row>
        <row r="218">
          <cell r="D218" t="str">
            <v>1/2" Round BB RS-550 25</v>
          </cell>
          <cell r="E218">
            <v>7</v>
          </cell>
          <cell r="F218">
            <v>3</v>
          </cell>
        </row>
        <row r="219">
          <cell r="D219" t="str">
            <v>1/2" Round BB RS-550 27</v>
          </cell>
          <cell r="E219">
            <v>7</v>
          </cell>
          <cell r="F219">
            <v>3</v>
          </cell>
        </row>
        <row r="220">
          <cell r="D220" t="str">
            <v>1/2" Round BB RS-550 28</v>
          </cell>
          <cell r="E220">
            <v>7</v>
          </cell>
          <cell r="F220">
            <v>3</v>
          </cell>
        </row>
        <row r="221">
          <cell r="D221" t="str">
            <v>1/2" Round BB RS-550 30</v>
          </cell>
          <cell r="E221">
            <v>5</v>
          </cell>
          <cell r="F221">
            <v>3</v>
          </cell>
        </row>
        <row r="222">
          <cell r="D222" t="str">
            <v>1/2" Round BB RS-550 35</v>
          </cell>
          <cell r="E222">
            <v>5</v>
          </cell>
          <cell r="F222">
            <v>1</v>
          </cell>
        </row>
        <row r="223">
          <cell r="D223" t="str">
            <v>1/2" Round BB RS-550 36</v>
          </cell>
          <cell r="E223">
            <v>5</v>
          </cell>
          <cell r="F223">
            <v>1</v>
          </cell>
        </row>
        <row r="224">
          <cell r="D224" t="str">
            <v>1/2" Round BB RS-550 40</v>
          </cell>
          <cell r="E224">
            <v>5</v>
          </cell>
          <cell r="F224">
            <v>1</v>
          </cell>
        </row>
        <row r="225">
          <cell r="D225" t="str">
            <v>1/2" Round BB RS-550 45</v>
          </cell>
          <cell r="E225">
            <v>5</v>
          </cell>
          <cell r="F225">
            <v>1</v>
          </cell>
        </row>
        <row r="226">
          <cell r="D226" t="str">
            <v>1/2" Round BB RS-550 49</v>
          </cell>
          <cell r="E226">
            <v>5</v>
          </cell>
          <cell r="F226">
            <v>1</v>
          </cell>
        </row>
        <row r="227">
          <cell r="D227" t="str">
            <v>1/2" Round BB RS-550 50</v>
          </cell>
          <cell r="E227">
            <v>5</v>
          </cell>
          <cell r="F227">
            <v>1</v>
          </cell>
        </row>
        <row r="228">
          <cell r="D228" t="str">
            <v>1/2" Round BB RS-550 63</v>
          </cell>
          <cell r="E228">
            <v>4</v>
          </cell>
          <cell r="F228">
            <v>1</v>
          </cell>
        </row>
        <row r="229">
          <cell r="D229" t="str">
            <v>1/2" Round BB RS-550 70</v>
          </cell>
          <cell r="E229">
            <v>3</v>
          </cell>
          <cell r="F229">
            <v>1</v>
          </cell>
        </row>
        <row r="230">
          <cell r="D230" t="str">
            <v>1/2" Round BB RS-550 81</v>
          </cell>
          <cell r="E230">
            <v>3</v>
          </cell>
          <cell r="F230">
            <v>1</v>
          </cell>
        </row>
        <row r="231">
          <cell r="D231" t="str">
            <v>1/2" Round BB RS-550 90</v>
          </cell>
          <cell r="E231">
            <v>1</v>
          </cell>
          <cell r="F231">
            <v>1</v>
          </cell>
        </row>
        <row r="232">
          <cell r="D232" t="str">
            <v>1/2" Round BB RS-550 100</v>
          </cell>
          <cell r="E232">
            <v>1</v>
          </cell>
          <cell r="F232">
            <v>0</v>
          </cell>
        </row>
        <row r="233">
          <cell r="D233" t="str">
            <v>1/2" Round BB RS-775 9</v>
          </cell>
          <cell r="E233">
            <v>10</v>
          </cell>
          <cell r="F233">
            <v>10</v>
          </cell>
        </row>
        <row r="234">
          <cell r="D234" t="str">
            <v>1/2" Round BB RS-775 12</v>
          </cell>
          <cell r="E234">
            <v>10</v>
          </cell>
          <cell r="F234">
            <v>10</v>
          </cell>
        </row>
        <row r="235">
          <cell r="D235" t="str">
            <v>1/2" Round BB RS-775 15</v>
          </cell>
          <cell r="E235">
            <v>7</v>
          </cell>
          <cell r="F235">
            <v>7</v>
          </cell>
        </row>
        <row r="236">
          <cell r="D236" t="str">
            <v>1/2" Round BB RS-775 16</v>
          </cell>
          <cell r="E236">
            <v>7</v>
          </cell>
          <cell r="F236">
            <v>7</v>
          </cell>
        </row>
        <row r="237">
          <cell r="D237" t="str">
            <v>1/2" Round BB RS-775 20</v>
          </cell>
          <cell r="E237">
            <v>5</v>
          </cell>
          <cell r="F237">
            <v>5</v>
          </cell>
        </row>
        <row r="238">
          <cell r="D238" t="str">
            <v>1/2" Round BB RS-775 21</v>
          </cell>
          <cell r="E238">
            <v>5</v>
          </cell>
          <cell r="F238">
            <v>5</v>
          </cell>
        </row>
        <row r="239">
          <cell r="D239" t="str">
            <v>1/2" Round BB RS-775 25</v>
          </cell>
          <cell r="E239">
            <v>5</v>
          </cell>
          <cell r="F239">
            <v>5</v>
          </cell>
        </row>
        <row r="240">
          <cell r="D240" t="str">
            <v>1/2" Round BB RS-775 27</v>
          </cell>
          <cell r="E240">
            <v>5</v>
          </cell>
          <cell r="F240">
            <v>4</v>
          </cell>
        </row>
        <row r="241">
          <cell r="D241" t="str">
            <v>1/2" Round BB RS-775 28</v>
          </cell>
          <cell r="E241">
            <v>5</v>
          </cell>
          <cell r="F241">
            <v>4</v>
          </cell>
        </row>
        <row r="242">
          <cell r="D242" t="str">
            <v>1/2" Round BB RS-775 30</v>
          </cell>
          <cell r="E242">
            <v>5</v>
          </cell>
          <cell r="F242">
            <v>4</v>
          </cell>
        </row>
        <row r="243">
          <cell r="D243" t="str">
            <v>1/2" Round BB RS-775 35</v>
          </cell>
          <cell r="E243">
            <v>4</v>
          </cell>
          <cell r="F243">
            <v>3</v>
          </cell>
        </row>
        <row r="244">
          <cell r="D244" t="str">
            <v>1/2" Round BB RS-775 36</v>
          </cell>
          <cell r="E244">
            <v>4</v>
          </cell>
          <cell r="F244">
            <v>3</v>
          </cell>
        </row>
        <row r="245">
          <cell r="D245" t="str">
            <v>1/2" Round BB RS-775 40</v>
          </cell>
          <cell r="E245">
            <v>4</v>
          </cell>
          <cell r="F245">
            <v>3</v>
          </cell>
        </row>
        <row r="246">
          <cell r="D246" t="str">
            <v>1/2" Round BB RS-775 45</v>
          </cell>
          <cell r="E246">
            <v>3</v>
          </cell>
          <cell r="F246">
            <v>1</v>
          </cell>
        </row>
        <row r="247">
          <cell r="D247" t="str">
            <v>1/2" Round BB RS-775 49</v>
          </cell>
          <cell r="E247">
            <v>3</v>
          </cell>
          <cell r="F247">
            <v>1</v>
          </cell>
        </row>
        <row r="248">
          <cell r="D248" t="str">
            <v>1/2" Round BB RS-775 50</v>
          </cell>
          <cell r="E248">
            <v>3</v>
          </cell>
          <cell r="F248">
            <v>1</v>
          </cell>
        </row>
        <row r="249">
          <cell r="D249" t="str">
            <v>1/2" Round BB RS-775 63</v>
          </cell>
          <cell r="E249">
            <v>1</v>
          </cell>
          <cell r="F249">
            <v>1</v>
          </cell>
        </row>
        <row r="250">
          <cell r="D250" t="str">
            <v>1/2" Round BB RS-775 70</v>
          </cell>
          <cell r="E250">
            <v>1</v>
          </cell>
          <cell r="F250">
            <v>1</v>
          </cell>
        </row>
        <row r="251">
          <cell r="D251" t="str">
            <v>1/2" Round BB RS-775 81</v>
          </cell>
          <cell r="E251">
            <v>1</v>
          </cell>
          <cell r="F251">
            <v>1</v>
          </cell>
        </row>
        <row r="252">
          <cell r="D252" t="str">
            <v>1/2" Round BB RS-775 90</v>
          </cell>
          <cell r="E252">
            <v>1</v>
          </cell>
          <cell r="F252">
            <v>1</v>
          </cell>
        </row>
        <row r="253">
          <cell r="D253" t="str">
            <v>1/2" Round BB RS-775 100</v>
          </cell>
          <cell r="E253">
            <v>1</v>
          </cell>
          <cell r="F253">
            <v>1</v>
          </cell>
        </row>
        <row r="254">
          <cell r="D254" t="str">
            <v>1/2" Round BAG 9</v>
          </cell>
          <cell r="E254">
            <v>10</v>
          </cell>
          <cell r="F254">
            <v>9</v>
          </cell>
        </row>
        <row r="255">
          <cell r="D255" t="str">
            <v>1/2" Round BAG 12</v>
          </cell>
          <cell r="E255">
            <v>10</v>
          </cell>
          <cell r="F255">
            <v>5</v>
          </cell>
        </row>
        <row r="256">
          <cell r="D256" t="str">
            <v>1/2" Round BAG 15</v>
          </cell>
          <cell r="E256">
            <v>10</v>
          </cell>
          <cell r="F256">
            <v>5</v>
          </cell>
        </row>
        <row r="257">
          <cell r="D257" t="str">
            <v>1/2" Round BAG 16</v>
          </cell>
          <cell r="E257">
            <v>10</v>
          </cell>
          <cell r="F257">
            <v>5</v>
          </cell>
        </row>
        <row r="258">
          <cell r="D258" t="str">
            <v>1/2" Round BAG 20</v>
          </cell>
          <cell r="E258">
            <v>10</v>
          </cell>
          <cell r="F258">
            <v>4</v>
          </cell>
        </row>
        <row r="259">
          <cell r="D259" t="str">
            <v>1/2" Round BAG 21</v>
          </cell>
          <cell r="E259">
            <v>10</v>
          </cell>
          <cell r="F259">
            <v>3</v>
          </cell>
        </row>
        <row r="260">
          <cell r="D260" t="str">
            <v>1/2" Round BAG 25</v>
          </cell>
          <cell r="E260">
            <v>7</v>
          </cell>
          <cell r="F260">
            <v>3</v>
          </cell>
        </row>
        <row r="261">
          <cell r="D261" t="str">
            <v>1/2" Round BAG 27</v>
          </cell>
          <cell r="E261">
            <v>7</v>
          </cell>
          <cell r="F261">
            <v>3</v>
          </cell>
        </row>
        <row r="262">
          <cell r="D262" t="str">
            <v>1/2" Round BAG 28</v>
          </cell>
          <cell r="E262">
            <v>7</v>
          </cell>
          <cell r="F262">
            <v>1</v>
          </cell>
        </row>
        <row r="263">
          <cell r="D263" t="str">
            <v>1/2" Round BAG 30</v>
          </cell>
          <cell r="E263">
            <v>7</v>
          </cell>
          <cell r="F263">
            <v>1</v>
          </cell>
        </row>
        <row r="264">
          <cell r="D264" t="str">
            <v>1/2" Round BAG 35</v>
          </cell>
          <cell r="E264">
            <v>5</v>
          </cell>
          <cell r="F264">
            <v>1</v>
          </cell>
        </row>
        <row r="265">
          <cell r="D265" t="str">
            <v>1/2" Round BAG 36</v>
          </cell>
          <cell r="E265">
            <v>5</v>
          </cell>
          <cell r="F265">
            <v>1</v>
          </cell>
        </row>
        <row r="266">
          <cell r="D266" t="str">
            <v>1/2" Round BAG 40</v>
          </cell>
          <cell r="E266">
            <v>5</v>
          </cell>
          <cell r="F266">
            <v>1</v>
          </cell>
        </row>
        <row r="267">
          <cell r="D267" t="str">
            <v>1/2" Round BAG 45</v>
          </cell>
          <cell r="E267">
            <v>5</v>
          </cell>
          <cell r="F267">
            <v>1</v>
          </cell>
        </row>
        <row r="268">
          <cell r="D268" t="str">
            <v>1/2" Round BAG 49</v>
          </cell>
          <cell r="E268">
            <v>5</v>
          </cell>
          <cell r="F268">
            <v>1</v>
          </cell>
        </row>
        <row r="269">
          <cell r="D269" t="str">
            <v>1/2" Round BAG 50</v>
          </cell>
          <cell r="E269">
            <v>5</v>
          </cell>
          <cell r="F269">
            <v>1</v>
          </cell>
        </row>
        <row r="270">
          <cell r="D270" t="str">
            <v>1/2" Round BAG 63</v>
          </cell>
          <cell r="E270">
            <v>4</v>
          </cell>
          <cell r="F270">
            <v>1</v>
          </cell>
        </row>
        <row r="271">
          <cell r="D271" t="str">
            <v>1/2" Round BAG 70</v>
          </cell>
          <cell r="E271">
            <v>4</v>
          </cell>
          <cell r="F271">
            <v>1</v>
          </cell>
        </row>
        <row r="272">
          <cell r="D272" t="str">
            <v>1/2" Round BAG 81</v>
          </cell>
          <cell r="E272">
            <v>3</v>
          </cell>
          <cell r="F272">
            <v>1</v>
          </cell>
        </row>
        <row r="273">
          <cell r="D273" t="str">
            <v>1/2" Round BAG 90</v>
          </cell>
          <cell r="E273">
            <v>3</v>
          </cell>
          <cell r="F273">
            <v>0</v>
          </cell>
        </row>
        <row r="274">
          <cell r="D274" t="str">
            <v>1/2" Round BAG 100</v>
          </cell>
          <cell r="E274">
            <v>1</v>
          </cell>
          <cell r="F274">
            <v>0</v>
          </cell>
        </row>
        <row r="275">
          <cell r="D275" t="str">
            <v>1/2" Round Mini CIM 9</v>
          </cell>
          <cell r="E275">
            <v>7</v>
          </cell>
          <cell r="F275">
            <v>0</v>
          </cell>
        </row>
        <row r="276">
          <cell r="D276" t="str">
            <v>1/2" Round Mini CIM 12</v>
          </cell>
          <cell r="E276">
            <v>5</v>
          </cell>
          <cell r="F276">
            <v>0</v>
          </cell>
        </row>
        <row r="277">
          <cell r="D277" t="str">
            <v>1/2" Round Mini CIM 15</v>
          </cell>
          <cell r="E277">
            <v>5</v>
          </cell>
          <cell r="F277">
            <v>0</v>
          </cell>
        </row>
        <row r="278">
          <cell r="D278" t="str">
            <v>1/2" Round Mini CIM 16</v>
          </cell>
          <cell r="E278">
            <v>5</v>
          </cell>
          <cell r="F278">
            <v>0</v>
          </cell>
        </row>
        <row r="279">
          <cell r="D279" t="str">
            <v>1/2" Round Mini CIM 20</v>
          </cell>
          <cell r="E279">
            <v>4</v>
          </cell>
          <cell r="F279">
            <v>0</v>
          </cell>
        </row>
        <row r="280">
          <cell r="D280" t="str">
            <v>1/2" Round Mini CIM 21</v>
          </cell>
          <cell r="E280">
            <v>4</v>
          </cell>
          <cell r="F280">
            <v>0</v>
          </cell>
        </row>
        <row r="281">
          <cell r="D281" t="str">
            <v>1/2" Round Mini CIM 25</v>
          </cell>
          <cell r="E281">
            <v>3</v>
          </cell>
          <cell r="F281">
            <v>0</v>
          </cell>
        </row>
        <row r="282">
          <cell r="D282" t="str">
            <v>1/2" Round Mini CIM 27</v>
          </cell>
          <cell r="E282">
            <v>3</v>
          </cell>
          <cell r="F282">
            <v>0</v>
          </cell>
        </row>
        <row r="283">
          <cell r="D283" t="str">
            <v>1/2" Round Mini CIM 28</v>
          </cell>
          <cell r="E283">
            <v>3</v>
          </cell>
          <cell r="F283">
            <v>0</v>
          </cell>
        </row>
        <row r="284">
          <cell r="D284" t="str">
            <v>1/2" Round Mini CIM 30</v>
          </cell>
          <cell r="E284">
            <v>3</v>
          </cell>
          <cell r="F284">
            <v>0</v>
          </cell>
        </row>
        <row r="285">
          <cell r="D285" t="str">
            <v>1/2" Round Mini CIM 35</v>
          </cell>
          <cell r="E285">
            <v>1</v>
          </cell>
          <cell r="F285">
            <v>0</v>
          </cell>
        </row>
        <row r="286">
          <cell r="D286" t="str">
            <v>1/2" Round Mini CIM 36</v>
          </cell>
          <cell r="E286">
            <v>1</v>
          </cell>
          <cell r="F286">
            <v>0</v>
          </cell>
        </row>
        <row r="287">
          <cell r="D287" t="str">
            <v>1/2" Round Mini CIM 40</v>
          </cell>
          <cell r="E287">
            <v>1</v>
          </cell>
          <cell r="F287">
            <v>0</v>
          </cell>
        </row>
        <row r="288">
          <cell r="D288" t="str">
            <v>1/2" Round Mini CIM 45</v>
          </cell>
          <cell r="E288">
            <v>1</v>
          </cell>
          <cell r="F288">
            <v>0</v>
          </cell>
        </row>
        <row r="289">
          <cell r="D289" t="str">
            <v>1/2" Round Mini CIM 49</v>
          </cell>
          <cell r="E289">
            <v>1</v>
          </cell>
          <cell r="F289">
            <v>0</v>
          </cell>
        </row>
        <row r="290">
          <cell r="D290" t="str">
            <v>1/2" Round Mini CIM 50</v>
          </cell>
          <cell r="E290">
            <v>1</v>
          </cell>
          <cell r="F290">
            <v>0</v>
          </cell>
        </row>
        <row r="291">
          <cell r="D291" t="str">
            <v>1/2" Round Mini CIM 63</v>
          </cell>
          <cell r="E291">
            <v>1</v>
          </cell>
          <cell r="F291">
            <v>0</v>
          </cell>
        </row>
        <row r="292">
          <cell r="D292" t="str">
            <v>1/2" Round Mini CIM 70</v>
          </cell>
          <cell r="E292">
            <v>0</v>
          </cell>
          <cell r="F292">
            <v>0</v>
          </cell>
        </row>
        <row r="293">
          <cell r="D293" t="str">
            <v>1/2" Round Mini CIM 81</v>
          </cell>
          <cell r="E293">
            <v>0</v>
          </cell>
          <cell r="F293">
            <v>0</v>
          </cell>
        </row>
        <row r="294">
          <cell r="D294" t="str">
            <v>1/2" Round Mini CIM 90</v>
          </cell>
          <cell r="E294">
            <v>0</v>
          </cell>
          <cell r="F294">
            <v>0</v>
          </cell>
        </row>
        <row r="295">
          <cell r="D295" t="str">
            <v>1/2" Round Mini CIM 100</v>
          </cell>
          <cell r="E295">
            <v>0</v>
          </cell>
          <cell r="F295">
            <v>0</v>
          </cell>
        </row>
        <row r="296">
          <cell r="D296" t="str">
            <v>1/2" Round CIM 9</v>
          </cell>
          <cell r="E296">
            <v>5</v>
          </cell>
          <cell r="F296">
            <v>0</v>
          </cell>
        </row>
        <row r="297">
          <cell r="D297" t="str">
            <v>1/2" Round CIM 12</v>
          </cell>
          <cell r="E297">
            <v>4</v>
          </cell>
          <cell r="F297">
            <v>0</v>
          </cell>
        </row>
        <row r="298">
          <cell r="D298" t="str">
            <v>1/2" Round CIM 15</v>
          </cell>
          <cell r="E298">
            <v>3</v>
          </cell>
          <cell r="F298">
            <v>0</v>
          </cell>
        </row>
        <row r="299">
          <cell r="D299" t="str">
            <v>1/2" Round CIM 16</v>
          </cell>
          <cell r="E299">
            <v>3</v>
          </cell>
          <cell r="F299">
            <v>0</v>
          </cell>
        </row>
        <row r="300">
          <cell r="D300" t="str">
            <v>1/2" Round CIM 20</v>
          </cell>
          <cell r="E300">
            <v>1</v>
          </cell>
          <cell r="F300">
            <v>0</v>
          </cell>
        </row>
        <row r="301">
          <cell r="D301" t="str">
            <v>1/2" Round CIM 21</v>
          </cell>
          <cell r="E301">
            <v>1</v>
          </cell>
          <cell r="F301">
            <v>0</v>
          </cell>
        </row>
        <row r="302">
          <cell r="D302" t="str">
            <v>1/2" Round CIM 25</v>
          </cell>
          <cell r="E302">
            <v>1</v>
          </cell>
          <cell r="F302">
            <v>0</v>
          </cell>
        </row>
        <row r="303">
          <cell r="D303" t="str">
            <v>1/2" Round CIM 27</v>
          </cell>
          <cell r="E303">
            <v>1</v>
          </cell>
          <cell r="F303">
            <v>0</v>
          </cell>
        </row>
        <row r="304">
          <cell r="D304" t="str">
            <v>1/2" Round CIM 28</v>
          </cell>
          <cell r="E304">
            <v>1</v>
          </cell>
          <cell r="F304">
            <v>0</v>
          </cell>
        </row>
        <row r="305">
          <cell r="D305" t="str">
            <v>1/2" Round CIM 30</v>
          </cell>
          <cell r="E305">
            <v>1</v>
          </cell>
          <cell r="F305">
            <v>0</v>
          </cell>
        </row>
        <row r="306">
          <cell r="D306" t="str">
            <v>1/2" Round CIM 35</v>
          </cell>
          <cell r="E306">
            <v>1</v>
          </cell>
          <cell r="F306">
            <v>0</v>
          </cell>
        </row>
        <row r="307">
          <cell r="D307" t="str">
            <v>1/2" Round CIM 36</v>
          </cell>
          <cell r="E307">
            <v>1</v>
          </cell>
          <cell r="F307">
            <v>0</v>
          </cell>
        </row>
        <row r="308">
          <cell r="D308" t="str">
            <v>1/2" Round CIM 40</v>
          </cell>
          <cell r="E308">
            <v>1</v>
          </cell>
          <cell r="F308">
            <v>0</v>
          </cell>
        </row>
        <row r="309">
          <cell r="D309" t="str">
            <v>1/2" Round CIM 45</v>
          </cell>
          <cell r="E309">
            <v>1</v>
          </cell>
          <cell r="F309">
            <v>0</v>
          </cell>
        </row>
        <row r="310">
          <cell r="D310" t="str">
            <v>1/2" Round CIM 49</v>
          </cell>
          <cell r="E310">
            <v>0</v>
          </cell>
          <cell r="F310">
            <v>0</v>
          </cell>
        </row>
        <row r="311">
          <cell r="D311" t="str">
            <v>1/2" Round CIM 50</v>
          </cell>
          <cell r="E311">
            <v>1</v>
          </cell>
          <cell r="F311">
            <v>0</v>
          </cell>
        </row>
        <row r="312">
          <cell r="D312" t="str">
            <v>1/2" Round CIM 63</v>
          </cell>
          <cell r="E312">
            <v>0</v>
          </cell>
          <cell r="F312">
            <v>0</v>
          </cell>
        </row>
        <row r="313">
          <cell r="D313" t="str">
            <v>1/2" Round CIM 70</v>
          </cell>
          <cell r="E313">
            <v>0</v>
          </cell>
          <cell r="F313">
            <v>0</v>
          </cell>
        </row>
        <row r="314">
          <cell r="D314" t="str">
            <v>1/2" Round CIM 81</v>
          </cell>
          <cell r="E314">
            <v>0</v>
          </cell>
          <cell r="F314">
            <v>0</v>
          </cell>
        </row>
        <row r="315">
          <cell r="D315" t="str">
            <v>1/2" Round CIM 90</v>
          </cell>
          <cell r="E315">
            <v>0</v>
          </cell>
          <cell r="F315">
            <v>0</v>
          </cell>
        </row>
        <row r="316">
          <cell r="D316" t="str">
            <v>1/2" Round CIM 100</v>
          </cell>
          <cell r="E316">
            <v>0</v>
          </cell>
          <cell r="F316">
            <v>0</v>
          </cell>
        </row>
        <row r="317">
          <cell r="D317" t="str">
            <v>1/2" Round 775pro 9</v>
          </cell>
          <cell r="E317">
            <v>10</v>
          </cell>
          <cell r="F317">
            <v>5</v>
          </cell>
        </row>
        <row r="318">
          <cell r="D318" t="str">
            <v>1/2" Round 775pro 12</v>
          </cell>
          <cell r="E318">
            <v>10</v>
          </cell>
          <cell r="F318">
            <v>4</v>
          </cell>
        </row>
        <row r="319">
          <cell r="D319" t="str">
            <v>1/2" Round 775pro 15</v>
          </cell>
          <cell r="E319">
            <v>10</v>
          </cell>
          <cell r="F319">
            <v>3</v>
          </cell>
        </row>
        <row r="320">
          <cell r="D320" t="str">
            <v>1/2" Round 775pro 16</v>
          </cell>
          <cell r="E320">
            <v>10</v>
          </cell>
          <cell r="F320">
            <v>3</v>
          </cell>
        </row>
        <row r="321">
          <cell r="D321" t="str">
            <v>1/2" Round 775pro 20</v>
          </cell>
          <cell r="E321">
            <v>9</v>
          </cell>
          <cell r="F321">
            <v>1</v>
          </cell>
        </row>
        <row r="322">
          <cell r="D322" t="str">
            <v>1/2" Round 775pro 21</v>
          </cell>
          <cell r="E322">
            <v>7</v>
          </cell>
          <cell r="F322">
            <v>1</v>
          </cell>
        </row>
        <row r="323">
          <cell r="D323" t="str">
            <v>1/2" Round 775pro 25</v>
          </cell>
          <cell r="E323">
            <v>7</v>
          </cell>
          <cell r="F323">
            <v>1</v>
          </cell>
        </row>
        <row r="324">
          <cell r="D324" t="str">
            <v>1/2" Round 775pro 27</v>
          </cell>
          <cell r="E324">
            <v>5</v>
          </cell>
          <cell r="F324">
            <v>1</v>
          </cell>
        </row>
        <row r="325">
          <cell r="D325" t="str">
            <v>1/2" Round 775pro 28</v>
          </cell>
          <cell r="E325">
            <v>5</v>
          </cell>
          <cell r="F325">
            <v>1</v>
          </cell>
        </row>
        <row r="326">
          <cell r="D326" t="str">
            <v>1/2" Round 775pro 30</v>
          </cell>
          <cell r="E326">
            <v>5</v>
          </cell>
          <cell r="F326">
            <v>1</v>
          </cell>
        </row>
        <row r="327">
          <cell r="D327" t="str">
            <v>1/2" Round 775pro 35</v>
          </cell>
          <cell r="E327">
            <v>5</v>
          </cell>
          <cell r="F327">
            <v>1</v>
          </cell>
        </row>
        <row r="328">
          <cell r="D328" t="str">
            <v>1/2" Round 775pro 36</v>
          </cell>
          <cell r="E328">
            <v>5</v>
          </cell>
          <cell r="F328">
            <v>1</v>
          </cell>
        </row>
        <row r="329">
          <cell r="D329" t="str">
            <v>1/2" Round 775pro 40</v>
          </cell>
          <cell r="E329">
            <v>4</v>
          </cell>
          <cell r="F329">
            <v>1</v>
          </cell>
        </row>
        <row r="330">
          <cell r="D330" t="str">
            <v>1/2" Round 775pro 45</v>
          </cell>
          <cell r="E330">
            <v>4</v>
          </cell>
          <cell r="F330">
            <v>1</v>
          </cell>
        </row>
        <row r="331">
          <cell r="D331" t="str">
            <v>1/2" Round 775pro 49</v>
          </cell>
          <cell r="E331">
            <v>3</v>
          </cell>
          <cell r="F331">
            <v>1</v>
          </cell>
        </row>
        <row r="332">
          <cell r="D332" t="str">
            <v>1/2" Round 775pro 50</v>
          </cell>
          <cell r="E332">
            <v>3</v>
          </cell>
          <cell r="F332">
            <v>0</v>
          </cell>
        </row>
        <row r="333">
          <cell r="D333" t="str">
            <v>1/2" Round 775pro 63</v>
          </cell>
          <cell r="E333">
            <v>1</v>
          </cell>
          <cell r="F333">
            <v>0</v>
          </cell>
        </row>
        <row r="334">
          <cell r="D334" t="str">
            <v>1/2" Round 775pro 70</v>
          </cell>
          <cell r="E334">
            <v>1</v>
          </cell>
          <cell r="F334">
            <v>0</v>
          </cell>
        </row>
        <row r="335">
          <cell r="D335" t="str">
            <v>1/2" Round 775pro 81</v>
          </cell>
          <cell r="E335">
            <v>1</v>
          </cell>
          <cell r="F335">
            <v>0</v>
          </cell>
        </row>
        <row r="336">
          <cell r="D336" t="str">
            <v>1/2" Round 775pro 90</v>
          </cell>
          <cell r="E336">
            <v>1</v>
          </cell>
          <cell r="F336">
            <v>0</v>
          </cell>
        </row>
        <row r="337">
          <cell r="D337" t="str">
            <v>1/2" Round 775pro 100</v>
          </cell>
          <cell r="E337">
            <v>1</v>
          </cell>
          <cell r="F337">
            <v>0</v>
          </cell>
        </row>
        <row r="338">
          <cell r="D338" t="str">
            <v>3/8" Hex AM 9015 9</v>
          </cell>
          <cell r="E338">
            <v>10</v>
          </cell>
          <cell r="F338">
            <v>10</v>
          </cell>
        </row>
        <row r="339">
          <cell r="D339" t="str">
            <v>3/8" Hex AM 9015 12</v>
          </cell>
          <cell r="E339">
            <v>10</v>
          </cell>
          <cell r="F339">
            <v>7</v>
          </cell>
        </row>
        <row r="340">
          <cell r="D340" t="str">
            <v>3/8" Hex AM 9015 15</v>
          </cell>
          <cell r="E340">
            <v>7</v>
          </cell>
          <cell r="F340">
            <v>5</v>
          </cell>
        </row>
        <row r="341">
          <cell r="D341" t="str">
            <v>3/8" Hex AM 9015 16</v>
          </cell>
          <cell r="E341">
            <v>7</v>
          </cell>
          <cell r="F341">
            <v>5</v>
          </cell>
        </row>
        <row r="342">
          <cell r="D342" t="str">
            <v>3/8" Hex AM 9015 20</v>
          </cell>
          <cell r="E342">
            <v>5</v>
          </cell>
          <cell r="F342">
            <v>4</v>
          </cell>
        </row>
        <row r="343">
          <cell r="D343" t="str">
            <v>3/8" Hex AM 9015 21</v>
          </cell>
          <cell r="E343">
            <v>5</v>
          </cell>
          <cell r="F343">
            <v>4</v>
          </cell>
        </row>
        <row r="344">
          <cell r="D344" t="str">
            <v>3/8" Hex AM 9015 25</v>
          </cell>
          <cell r="E344">
            <v>5</v>
          </cell>
          <cell r="F344">
            <v>3</v>
          </cell>
        </row>
        <row r="345">
          <cell r="D345" t="str">
            <v>3/8" Hex AM 9015 27</v>
          </cell>
          <cell r="E345">
            <v>4</v>
          </cell>
          <cell r="F345">
            <v>3</v>
          </cell>
        </row>
        <row r="346">
          <cell r="D346" t="str">
            <v>3/8" Hex AM 9015 28</v>
          </cell>
          <cell r="E346">
            <v>4</v>
          </cell>
          <cell r="F346">
            <v>3</v>
          </cell>
        </row>
        <row r="347">
          <cell r="D347" t="str">
            <v>3/8" Hex AM 9015 30</v>
          </cell>
          <cell r="E347">
            <v>4</v>
          </cell>
          <cell r="F347">
            <v>3</v>
          </cell>
        </row>
        <row r="348">
          <cell r="D348" t="str">
            <v>3/8" Hex AM 9015 35</v>
          </cell>
          <cell r="E348">
            <v>3</v>
          </cell>
          <cell r="F348">
            <v>1</v>
          </cell>
        </row>
        <row r="349">
          <cell r="D349" t="str">
            <v>3/8" Hex AM 9015 36</v>
          </cell>
          <cell r="E349">
            <v>3</v>
          </cell>
          <cell r="F349">
            <v>1</v>
          </cell>
        </row>
        <row r="350">
          <cell r="D350" t="str">
            <v>3/8" Hex AM 9015 40</v>
          </cell>
          <cell r="E350">
            <v>3</v>
          </cell>
          <cell r="F350">
            <v>1</v>
          </cell>
        </row>
        <row r="351">
          <cell r="D351" t="str">
            <v>3/8" Hex AM 9015 45</v>
          </cell>
          <cell r="E351">
            <v>1</v>
          </cell>
          <cell r="F351">
            <v>1</v>
          </cell>
        </row>
        <row r="352">
          <cell r="D352" t="str">
            <v>3/8" Hex AM 9015 49</v>
          </cell>
          <cell r="E352">
            <v>1</v>
          </cell>
          <cell r="F352">
            <v>1</v>
          </cell>
        </row>
        <row r="353">
          <cell r="D353" t="str">
            <v>3/8" Hex AM 9015 50</v>
          </cell>
          <cell r="E353">
            <v>1</v>
          </cell>
          <cell r="F353">
            <v>1</v>
          </cell>
        </row>
        <row r="354">
          <cell r="D354" t="str">
            <v>3/8" Hex AM 9015 63</v>
          </cell>
          <cell r="E354">
            <v>1</v>
          </cell>
          <cell r="F354">
            <v>1</v>
          </cell>
        </row>
        <row r="355">
          <cell r="D355" t="str">
            <v>3/8" Hex AM 9015 70</v>
          </cell>
          <cell r="E355">
            <v>1</v>
          </cell>
          <cell r="F355">
            <v>1</v>
          </cell>
        </row>
        <row r="356">
          <cell r="D356" t="str">
            <v>3/8" Hex AM 9015 81</v>
          </cell>
          <cell r="E356">
            <v>1</v>
          </cell>
          <cell r="F356">
            <v>1</v>
          </cell>
        </row>
        <row r="357">
          <cell r="D357" t="str">
            <v>3/8" Hex AM 9015 90</v>
          </cell>
          <cell r="E357">
            <v>1</v>
          </cell>
          <cell r="F357">
            <v>1</v>
          </cell>
        </row>
        <row r="358">
          <cell r="D358" t="str">
            <v>3/8" Hex AM 9015 100</v>
          </cell>
          <cell r="E358">
            <v>1</v>
          </cell>
          <cell r="F358">
            <v>0</v>
          </cell>
        </row>
        <row r="359">
          <cell r="D359" t="str">
            <v>3/8" Hex NeveRest 9</v>
          </cell>
          <cell r="E359">
            <v>10</v>
          </cell>
          <cell r="F359">
            <v>10</v>
          </cell>
        </row>
        <row r="360">
          <cell r="D360" t="str">
            <v>3/8" Hex NeveRest 12</v>
          </cell>
          <cell r="E360">
            <v>10</v>
          </cell>
          <cell r="F360">
            <v>10</v>
          </cell>
        </row>
        <row r="361">
          <cell r="D361" t="str">
            <v>3/8" Hex NeveRest 15</v>
          </cell>
          <cell r="E361">
            <v>7</v>
          </cell>
          <cell r="F361">
            <v>10</v>
          </cell>
        </row>
        <row r="362">
          <cell r="D362" t="str">
            <v>3/8" Hex NeveRest 16</v>
          </cell>
          <cell r="E362">
            <v>7</v>
          </cell>
          <cell r="F362">
            <v>10</v>
          </cell>
        </row>
        <row r="363">
          <cell r="D363" t="str">
            <v>3/8" Hex NeveRest 20</v>
          </cell>
          <cell r="E363">
            <v>5</v>
          </cell>
          <cell r="F363">
            <v>10</v>
          </cell>
        </row>
        <row r="364">
          <cell r="D364" t="str">
            <v>3/8" Hex NeveRest 21</v>
          </cell>
          <cell r="E364">
            <v>5</v>
          </cell>
          <cell r="F364">
            <v>9</v>
          </cell>
        </row>
        <row r="365">
          <cell r="D365" t="str">
            <v>3/8" Hex NeveRest 25</v>
          </cell>
          <cell r="E365">
            <v>5</v>
          </cell>
          <cell r="F365">
            <v>7</v>
          </cell>
        </row>
        <row r="366">
          <cell r="D366" t="str">
            <v>3/8" Hex NeveRest 27</v>
          </cell>
          <cell r="E366">
            <v>4</v>
          </cell>
          <cell r="F366">
            <v>7</v>
          </cell>
        </row>
        <row r="367">
          <cell r="D367" t="str">
            <v>3/8" Hex NeveRest 28</v>
          </cell>
          <cell r="E367">
            <v>4</v>
          </cell>
          <cell r="F367">
            <v>7</v>
          </cell>
        </row>
        <row r="368">
          <cell r="D368" t="str">
            <v>3/8" Hex NeveRest 30</v>
          </cell>
          <cell r="E368">
            <v>4</v>
          </cell>
          <cell r="F368">
            <v>5</v>
          </cell>
        </row>
        <row r="369">
          <cell r="D369" t="str">
            <v>3/8" Hex NeveRest 35</v>
          </cell>
          <cell r="E369">
            <v>3</v>
          </cell>
          <cell r="F369">
            <v>5</v>
          </cell>
        </row>
        <row r="370">
          <cell r="D370" t="str">
            <v>3/8" Hex NeveRest 36</v>
          </cell>
          <cell r="E370">
            <v>3</v>
          </cell>
          <cell r="F370">
            <v>5</v>
          </cell>
        </row>
        <row r="371">
          <cell r="D371" t="str">
            <v>3/8" Hex NeveRest 40</v>
          </cell>
          <cell r="E371">
            <v>3</v>
          </cell>
          <cell r="F371">
            <v>5</v>
          </cell>
        </row>
        <row r="372">
          <cell r="D372" t="str">
            <v>3/8" Hex NeveRest 45</v>
          </cell>
          <cell r="E372">
            <v>1</v>
          </cell>
          <cell r="F372">
            <v>4</v>
          </cell>
        </row>
        <row r="373">
          <cell r="D373" t="str">
            <v>3/8" Hex NeveRest 49</v>
          </cell>
          <cell r="E373">
            <v>1</v>
          </cell>
          <cell r="F373">
            <v>4</v>
          </cell>
        </row>
        <row r="374">
          <cell r="D374" t="str">
            <v>3/8" Hex NeveRest 50</v>
          </cell>
          <cell r="E374">
            <v>1</v>
          </cell>
          <cell r="F374">
            <v>4</v>
          </cell>
        </row>
        <row r="375">
          <cell r="D375" t="str">
            <v>3/8" Hex NeveRest 63</v>
          </cell>
          <cell r="E375">
            <v>1</v>
          </cell>
          <cell r="F375">
            <v>3</v>
          </cell>
        </row>
        <row r="376">
          <cell r="D376" t="str">
            <v>3/8" Hex NeveRest 70</v>
          </cell>
          <cell r="E376">
            <v>1</v>
          </cell>
          <cell r="F376">
            <v>1</v>
          </cell>
        </row>
        <row r="377">
          <cell r="D377" t="str">
            <v>3/8" Hex NeveRest 81</v>
          </cell>
          <cell r="E377">
            <v>1</v>
          </cell>
          <cell r="F377">
            <v>1</v>
          </cell>
        </row>
        <row r="378">
          <cell r="D378" t="str">
            <v>3/8" Hex NeveRest 90</v>
          </cell>
          <cell r="E378">
            <v>1</v>
          </cell>
          <cell r="F378">
            <v>1</v>
          </cell>
        </row>
        <row r="379">
          <cell r="D379" t="str">
            <v>3/8" Hex NeveRest 100</v>
          </cell>
          <cell r="E379">
            <v>1</v>
          </cell>
          <cell r="F379">
            <v>1</v>
          </cell>
        </row>
        <row r="380">
          <cell r="D380" t="str">
            <v>3/8" Hex BB RS-550 9</v>
          </cell>
          <cell r="E380">
            <v>10</v>
          </cell>
          <cell r="F380">
            <v>10</v>
          </cell>
        </row>
        <row r="381">
          <cell r="D381" t="str">
            <v>3/8" Hex BB RS-550 12</v>
          </cell>
          <cell r="E381">
            <v>10</v>
          </cell>
          <cell r="F381">
            <v>7</v>
          </cell>
        </row>
        <row r="382">
          <cell r="D382" t="str">
            <v>3/8" Hex BB RS-550 15</v>
          </cell>
          <cell r="E382">
            <v>7</v>
          </cell>
          <cell r="F382">
            <v>5</v>
          </cell>
        </row>
        <row r="383">
          <cell r="D383" t="str">
            <v>3/8" Hex BB RS-550 16</v>
          </cell>
          <cell r="E383">
            <v>7</v>
          </cell>
          <cell r="F383">
            <v>5</v>
          </cell>
        </row>
        <row r="384">
          <cell r="D384" t="str">
            <v>3/8" Hex BB RS-550 20</v>
          </cell>
          <cell r="E384">
            <v>5</v>
          </cell>
          <cell r="F384">
            <v>4</v>
          </cell>
        </row>
        <row r="385">
          <cell r="D385" t="str">
            <v>3/8" Hex BB RS-550 21</v>
          </cell>
          <cell r="E385">
            <v>5</v>
          </cell>
          <cell r="F385">
            <v>4</v>
          </cell>
        </row>
        <row r="386">
          <cell r="D386" t="str">
            <v>3/8" Hex BB RS-550 25</v>
          </cell>
          <cell r="E386">
            <v>5</v>
          </cell>
          <cell r="F386">
            <v>3</v>
          </cell>
        </row>
        <row r="387">
          <cell r="D387" t="str">
            <v>3/8" Hex BB RS-550 27</v>
          </cell>
          <cell r="E387">
            <v>4</v>
          </cell>
          <cell r="F387">
            <v>3</v>
          </cell>
        </row>
        <row r="388">
          <cell r="D388" t="str">
            <v>3/8" Hex BB RS-550 28</v>
          </cell>
          <cell r="E388">
            <v>4</v>
          </cell>
          <cell r="F388">
            <v>3</v>
          </cell>
        </row>
        <row r="389">
          <cell r="D389" t="str">
            <v>3/8" Hex BB RS-550 30</v>
          </cell>
          <cell r="E389">
            <v>4</v>
          </cell>
          <cell r="F389">
            <v>3</v>
          </cell>
        </row>
        <row r="390">
          <cell r="D390" t="str">
            <v>3/8" Hex BB RS-550 35</v>
          </cell>
          <cell r="E390">
            <v>3</v>
          </cell>
          <cell r="F390">
            <v>1</v>
          </cell>
        </row>
        <row r="391">
          <cell r="D391" t="str">
            <v>3/8" Hex BB RS-550 36</v>
          </cell>
          <cell r="E391">
            <v>3</v>
          </cell>
          <cell r="F391">
            <v>1</v>
          </cell>
        </row>
        <row r="392">
          <cell r="D392" t="str">
            <v>3/8" Hex BB RS-550 40</v>
          </cell>
          <cell r="E392">
            <v>3</v>
          </cell>
          <cell r="F392">
            <v>5</v>
          </cell>
        </row>
        <row r="393">
          <cell r="D393" t="str">
            <v>3/8" Hex BB RS-550 45</v>
          </cell>
          <cell r="E393">
            <v>1</v>
          </cell>
          <cell r="F393">
            <v>4</v>
          </cell>
        </row>
        <row r="394">
          <cell r="D394" t="str">
            <v>3/8" Hex BB RS-550 49</v>
          </cell>
          <cell r="E394">
            <v>1</v>
          </cell>
          <cell r="F394">
            <v>4</v>
          </cell>
        </row>
        <row r="395">
          <cell r="D395" t="str">
            <v>3/8" Hex BB RS-550 50</v>
          </cell>
          <cell r="E395">
            <v>1</v>
          </cell>
          <cell r="F395">
            <v>1</v>
          </cell>
        </row>
        <row r="396">
          <cell r="D396" t="str">
            <v>3/8" Hex BB RS-550 63</v>
          </cell>
          <cell r="E396">
            <v>1</v>
          </cell>
          <cell r="F396">
            <v>1</v>
          </cell>
        </row>
        <row r="397">
          <cell r="D397" t="str">
            <v>3/8" Hex BB RS-550 70</v>
          </cell>
          <cell r="E397">
            <v>1</v>
          </cell>
          <cell r="F397">
            <v>1</v>
          </cell>
        </row>
        <row r="398">
          <cell r="D398" t="str">
            <v>3/8" Hex BB RS-550 81</v>
          </cell>
          <cell r="E398">
            <v>1</v>
          </cell>
          <cell r="F398">
            <v>1</v>
          </cell>
        </row>
        <row r="399">
          <cell r="D399" t="str">
            <v>3/8" Hex BB RS-550 90</v>
          </cell>
          <cell r="E399">
            <v>1</v>
          </cell>
          <cell r="F399">
            <v>1</v>
          </cell>
        </row>
        <row r="400">
          <cell r="D400" t="str">
            <v>3/8" Hex BB RS-550 100</v>
          </cell>
          <cell r="E400">
            <v>1</v>
          </cell>
          <cell r="F400">
            <v>0</v>
          </cell>
        </row>
        <row r="401">
          <cell r="D401" t="str">
            <v>3/8" Hex BB RS-775 9</v>
          </cell>
          <cell r="E401">
            <v>7</v>
          </cell>
          <cell r="F401">
            <v>10</v>
          </cell>
        </row>
        <row r="402">
          <cell r="D402" t="str">
            <v>3/8" Hex BB RS-775 12</v>
          </cell>
          <cell r="E402">
            <v>5</v>
          </cell>
          <cell r="F402">
            <v>10</v>
          </cell>
        </row>
        <row r="403">
          <cell r="D403" t="str">
            <v>3/8" Hex BB RS-775 15</v>
          </cell>
          <cell r="E403">
            <v>4</v>
          </cell>
          <cell r="F403">
            <v>7</v>
          </cell>
        </row>
        <row r="404">
          <cell r="D404" t="str">
            <v>3/8" Hex BB RS-775 16</v>
          </cell>
          <cell r="E404">
            <v>4</v>
          </cell>
          <cell r="F404">
            <v>7</v>
          </cell>
        </row>
        <row r="405">
          <cell r="D405" t="str">
            <v>3/8" Hex BB RS-775 20</v>
          </cell>
          <cell r="E405">
            <v>3</v>
          </cell>
          <cell r="F405">
            <v>5</v>
          </cell>
        </row>
        <row r="406">
          <cell r="D406" t="str">
            <v>3/8" Hex BB RS-775 21</v>
          </cell>
          <cell r="E406">
            <v>3</v>
          </cell>
          <cell r="F406">
            <v>5</v>
          </cell>
        </row>
        <row r="407">
          <cell r="D407" t="str">
            <v>3/8" Hex BB RS-775 25</v>
          </cell>
          <cell r="E407">
            <v>1</v>
          </cell>
          <cell r="F407">
            <v>5</v>
          </cell>
        </row>
        <row r="408">
          <cell r="D408" t="str">
            <v>3/8" Hex BB RS-775 27</v>
          </cell>
          <cell r="E408">
            <v>1</v>
          </cell>
          <cell r="F408">
            <v>4</v>
          </cell>
        </row>
        <row r="409">
          <cell r="D409" t="str">
            <v>3/8" Hex BB RS-775 28</v>
          </cell>
          <cell r="E409">
            <v>1</v>
          </cell>
          <cell r="F409">
            <v>4</v>
          </cell>
        </row>
        <row r="410">
          <cell r="D410" t="str">
            <v>3/8" Hex BB RS-775 30</v>
          </cell>
          <cell r="E410">
            <v>1</v>
          </cell>
          <cell r="F410">
            <v>4</v>
          </cell>
        </row>
        <row r="411">
          <cell r="D411" t="str">
            <v>3/8" Hex BB RS-775 35</v>
          </cell>
          <cell r="E411">
            <v>1</v>
          </cell>
          <cell r="F411">
            <v>3</v>
          </cell>
        </row>
        <row r="412">
          <cell r="D412" t="str">
            <v>3/8" Hex BB RS-775 36</v>
          </cell>
          <cell r="E412">
            <v>1</v>
          </cell>
          <cell r="F412">
            <v>3</v>
          </cell>
        </row>
        <row r="413">
          <cell r="D413" t="str">
            <v>3/8" Hex BB RS-775 40</v>
          </cell>
          <cell r="E413">
            <v>1</v>
          </cell>
          <cell r="F413">
            <v>3</v>
          </cell>
        </row>
        <row r="414">
          <cell r="D414" t="str">
            <v>3/8" Hex BB RS-775 45</v>
          </cell>
          <cell r="E414">
            <v>1</v>
          </cell>
          <cell r="F414">
            <v>1</v>
          </cell>
        </row>
        <row r="415">
          <cell r="D415" t="str">
            <v>3/8" Hex BB RS-775 49</v>
          </cell>
          <cell r="E415">
            <v>1</v>
          </cell>
          <cell r="F415">
            <v>1</v>
          </cell>
        </row>
        <row r="416">
          <cell r="D416" t="str">
            <v>3/8" Hex BB RS-775 50</v>
          </cell>
          <cell r="E416">
            <v>1</v>
          </cell>
          <cell r="F416">
            <v>1</v>
          </cell>
        </row>
        <row r="417">
          <cell r="D417" t="str">
            <v>3/8" Hex BB RS-775 63</v>
          </cell>
          <cell r="E417">
            <v>1</v>
          </cell>
          <cell r="F417">
            <v>1</v>
          </cell>
        </row>
        <row r="418">
          <cell r="D418" t="str">
            <v>3/8" Hex BB RS-775 70</v>
          </cell>
          <cell r="E418">
            <v>1</v>
          </cell>
          <cell r="F418">
            <v>1</v>
          </cell>
        </row>
        <row r="419">
          <cell r="D419" t="str">
            <v>3/8" Hex BB RS-775 81</v>
          </cell>
          <cell r="E419">
            <v>0</v>
          </cell>
          <cell r="F419">
            <v>1</v>
          </cell>
        </row>
        <row r="420">
          <cell r="D420" t="str">
            <v>3/8" Hex BB RS-775 90</v>
          </cell>
          <cell r="E420">
            <v>0</v>
          </cell>
          <cell r="F420">
            <v>1</v>
          </cell>
        </row>
        <row r="421">
          <cell r="D421" t="str">
            <v>3/8" Hex BB RS-775 100</v>
          </cell>
          <cell r="E421">
            <v>0</v>
          </cell>
          <cell r="F421">
            <v>1</v>
          </cell>
        </row>
        <row r="422">
          <cell r="D422" t="str">
            <v>3/8" Hex BAG 9</v>
          </cell>
          <cell r="E422">
            <v>10</v>
          </cell>
          <cell r="F422">
            <v>9</v>
          </cell>
        </row>
        <row r="423">
          <cell r="D423" t="str">
            <v>3/8" Hex BAG 12</v>
          </cell>
          <cell r="E423">
            <v>10</v>
          </cell>
          <cell r="F423">
            <v>5</v>
          </cell>
        </row>
        <row r="424">
          <cell r="D424" t="str">
            <v>3/8" Hex BAG 15</v>
          </cell>
          <cell r="E424">
            <v>7</v>
          </cell>
          <cell r="F424">
            <v>5</v>
          </cell>
        </row>
        <row r="425">
          <cell r="D425" t="str">
            <v>3/8" Hex BAG 16</v>
          </cell>
          <cell r="E425">
            <v>7</v>
          </cell>
          <cell r="F425">
            <v>5</v>
          </cell>
        </row>
        <row r="426">
          <cell r="D426" t="str">
            <v>3/8" Hex BAG 20</v>
          </cell>
          <cell r="E426">
            <v>5</v>
          </cell>
          <cell r="F426">
            <v>4</v>
          </cell>
        </row>
        <row r="427">
          <cell r="D427" t="str">
            <v>3/8" Hex BAG 21</v>
          </cell>
          <cell r="E427">
            <v>5</v>
          </cell>
          <cell r="F427">
            <v>3</v>
          </cell>
        </row>
        <row r="428">
          <cell r="D428" t="str">
            <v>3/8" Hex BAG 25</v>
          </cell>
          <cell r="E428">
            <v>5</v>
          </cell>
          <cell r="F428">
            <v>3</v>
          </cell>
        </row>
        <row r="429">
          <cell r="D429" t="str">
            <v>3/8" Hex BAG 27</v>
          </cell>
          <cell r="E429">
            <v>4</v>
          </cell>
          <cell r="F429">
            <v>3</v>
          </cell>
        </row>
        <row r="430">
          <cell r="D430" t="str">
            <v>3/8" Hex BAG 28</v>
          </cell>
          <cell r="E430">
            <v>4</v>
          </cell>
          <cell r="F430">
            <v>1</v>
          </cell>
        </row>
        <row r="431">
          <cell r="D431" t="str">
            <v>3/8" Hex BAG 30</v>
          </cell>
          <cell r="E431">
            <v>4</v>
          </cell>
          <cell r="F431">
            <v>1</v>
          </cell>
        </row>
        <row r="432">
          <cell r="D432" t="str">
            <v>3/8" Hex BAG 35</v>
          </cell>
          <cell r="E432">
            <v>3</v>
          </cell>
          <cell r="F432">
            <v>1</v>
          </cell>
        </row>
        <row r="433">
          <cell r="D433" t="str">
            <v>3/8" Hex BAG 36</v>
          </cell>
          <cell r="E433">
            <v>3</v>
          </cell>
          <cell r="F433">
            <v>1</v>
          </cell>
        </row>
        <row r="434">
          <cell r="D434" t="str">
            <v>3/8" Hex BAG 40</v>
          </cell>
          <cell r="E434">
            <v>3</v>
          </cell>
          <cell r="F434">
            <v>1</v>
          </cell>
        </row>
        <row r="435">
          <cell r="D435" t="str">
            <v>3/8" Hex BAG 45</v>
          </cell>
          <cell r="E435">
            <v>1</v>
          </cell>
          <cell r="F435">
            <v>1</v>
          </cell>
        </row>
        <row r="436">
          <cell r="D436" t="str">
            <v>3/8" Hex BAG 49</v>
          </cell>
          <cell r="E436">
            <v>1</v>
          </cell>
          <cell r="F436">
            <v>1</v>
          </cell>
        </row>
        <row r="437">
          <cell r="D437" t="str">
            <v>3/8" Hex BAG 50</v>
          </cell>
          <cell r="E437">
            <v>1</v>
          </cell>
          <cell r="F437">
            <v>1</v>
          </cell>
        </row>
        <row r="438">
          <cell r="D438" t="str">
            <v>3/8" Hex BAG 63</v>
          </cell>
          <cell r="E438">
            <v>1</v>
          </cell>
          <cell r="F438">
            <v>1</v>
          </cell>
        </row>
        <row r="439">
          <cell r="D439" t="str">
            <v>3/8" Hex BAG 70</v>
          </cell>
          <cell r="E439">
            <v>1</v>
          </cell>
          <cell r="F439">
            <v>1</v>
          </cell>
        </row>
        <row r="440">
          <cell r="D440" t="str">
            <v>3/8" Hex BAG 81</v>
          </cell>
          <cell r="E440">
            <v>1</v>
          </cell>
          <cell r="F440">
            <v>1</v>
          </cell>
        </row>
        <row r="441">
          <cell r="D441" t="str">
            <v>3/8" Hex BAG 90</v>
          </cell>
          <cell r="E441">
            <v>1</v>
          </cell>
          <cell r="F441">
            <v>0</v>
          </cell>
        </row>
        <row r="442">
          <cell r="D442" t="str">
            <v>3/8" Hex BAG 100</v>
          </cell>
          <cell r="E442">
            <v>1</v>
          </cell>
          <cell r="F442">
            <v>0</v>
          </cell>
        </row>
        <row r="443">
          <cell r="D443" t="str">
            <v>3/8" Hex Mini CIM 9</v>
          </cell>
          <cell r="E443">
            <v>4</v>
          </cell>
          <cell r="F443">
            <v>0</v>
          </cell>
        </row>
        <row r="444">
          <cell r="D444" t="str">
            <v>3/8" Hex Mini CIM 12</v>
          </cell>
          <cell r="E444">
            <v>3</v>
          </cell>
          <cell r="F444">
            <v>0</v>
          </cell>
        </row>
        <row r="445">
          <cell r="D445" t="str">
            <v>3/8" Hex Mini CIM 15</v>
          </cell>
          <cell r="E445">
            <v>1</v>
          </cell>
          <cell r="F445">
            <v>0</v>
          </cell>
        </row>
        <row r="446">
          <cell r="D446" t="str">
            <v>3/8" Hex Mini CIM 16</v>
          </cell>
          <cell r="E446">
            <v>1</v>
          </cell>
          <cell r="F446">
            <v>0</v>
          </cell>
        </row>
        <row r="447">
          <cell r="D447" t="str">
            <v>3/8" Hex Mini CIM 20</v>
          </cell>
          <cell r="E447">
            <v>1</v>
          </cell>
          <cell r="F447">
            <v>0</v>
          </cell>
        </row>
        <row r="448">
          <cell r="D448" t="str">
            <v>3/8" Hex Mini CIM 21</v>
          </cell>
          <cell r="E448">
            <v>1</v>
          </cell>
          <cell r="F448">
            <v>0</v>
          </cell>
        </row>
        <row r="449">
          <cell r="D449" t="str">
            <v>3/8" Hex Mini CIM 25</v>
          </cell>
          <cell r="E449">
            <v>1</v>
          </cell>
          <cell r="F449">
            <v>0</v>
          </cell>
        </row>
        <row r="450">
          <cell r="D450" t="str">
            <v>3/8" Hex Mini CIM 27</v>
          </cell>
          <cell r="E450">
            <v>1</v>
          </cell>
          <cell r="F450">
            <v>0</v>
          </cell>
        </row>
        <row r="451">
          <cell r="D451" t="str">
            <v>3/8" Hex Mini CIM 28</v>
          </cell>
          <cell r="E451">
            <v>1</v>
          </cell>
          <cell r="F451">
            <v>0</v>
          </cell>
        </row>
        <row r="452">
          <cell r="D452" t="str">
            <v>3/8" Hex Mini CIM 30</v>
          </cell>
          <cell r="E452">
            <v>1</v>
          </cell>
          <cell r="F452">
            <v>0</v>
          </cell>
        </row>
        <row r="453">
          <cell r="D453" t="str">
            <v>3/8" Hex Mini CIM 35</v>
          </cell>
          <cell r="E453">
            <v>1</v>
          </cell>
          <cell r="F453">
            <v>0</v>
          </cell>
        </row>
        <row r="454">
          <cell r="D454" t="str">
            <v>3/8" Hex Mini CIM 36</v>
          </cell>
          <cell r="E454">
            <v>1</v>
          </cell>
          <cell r="F454">
            <v>0</v>
          </cell>
        </row>
        <row r="455">
          <cell r="D455" t="str">
            <v>3/8" Hex Mini CIM 40</v>
          </cell>
          <cell r="E455">
            <v>1</v>
          </cell>
          <cell r="F455">
            <v>0</v>
          </cell>
        </row>
        <row r="456">
          <cell r="D456" t="str">
            <v>3/8" Hex Mini CIM 45</v>
          </cell>
          <cell r="E456">
            <v>0</v>
          </cell>
          <cell r="F456">
            <v>0</v>
          </cell>
        </row>
        <row r="457">
          <cell r="D457" t="str">
            <v>3/8" Hex Mini CIM 49</v>
          </cell>
          <cell r="E457">
            <v>0</v>
          </cell>
          <cell r="F457">
            <v>0</v>
          </cell>
        </row>
        <row r="458">
          <cell r="D458" t="str">
            <v>3/8" Hex Mini CIM 50</v>
          </cell>
          <cell r="E458">
            <v>0</v>
          </cell>
          <cell r="F458">
            <v>0</v>
          </cell>
        </row>
        <row r="459">
          <cell r="D459" t="str">
            <v>3/8" Hex Mini CIM 63</v>
          </cell>
          <cell r="E459">
            <v>0</v>
          </cell>
          <cell r="F459">
            <v>0</v>
          </cell>
        </row>
        <row r="460">
          <cell r="D460" t="str">
            <v>3/8" Hex Mini CIM 70</v>
          </cell>
          <cell r="E460">
            <v>0</v>
          </cell>
          <cell r="F460">
            <v>0</v>
          </cell>
        </row>
        <row r="461">
          <cell r="D461" t="str">
            <v>3/8" Hex Mini CIM 81</v>
          </cell>
          <cell r="E461">
            <v>0</v>
          </cell>
          <cell r="F461">
            <v>0</v>
          </cell>
        </row>
        <row r="462">
          <cell r="D462" t="str">
            <v>3/8" Hex Mini CIM 90</v>
          </cell>
          <cell r="E462">
            <v>0</v>
          </cell>
          <cell r="F462">
            <v>0</v>
          </cell>
        </row>
        <row r="463">
          <cell r="D463" t="str">
            <v>3/8" Hex Mini CIM 100</v>
          </cell>
          <cell r="E463">
            <v>0</v>
          </cell>
          <cell r="F463">
            <v>0</v>
          </cell>
        </row>
        <row r="464">
          <cell r="D464" t="str">
            <v>3/8" Hex CIM 9</v>
          </cell>
          <cell r="E464">
            <v>1</v>
          </cell>
          <cell r="F464">
            <v>0</v>
          </cell>
        </row>
        <row r="465">
          <cell r="D465" t="str">
            <v>3/8" Hex CIM 12</v>
          </cell>
          <cell r="E465">
            <v>1</v>
          </cell>
          <cell r="F465">
            <v>0</v>
          </cell>
        </row>
        <row r="466">
          <cell r="D466" t="str">
            <v>3/8" Hex CIM 15</v>
          </cell>
          <cell r="E466">
            <v>1</v>
          </cell>
          <cell r="F466">
            <v>0</v>
          </cell>
        </row>
        <row r="467">
          <cell r="D467" t="str">
            <v>3/8" Hex CIM 16</v>
          </cell>
          <cell r="E467">
            <v>1</v>
          </cell>
          <cell r="F467">
            <v>0</v>
          </cell>
        </row>
        <row r="468">
          <cell r="D468" t="str">
            <v>3/8" Hex CIM 20</v>
          </cell>
          <cell r="E468">
            <v>1</v>
          </cell>
          <cell r="F468">
            <v>0</v>
          </cell>
        </row>
        <row r="469">
          <cell r="D469" t="str">
            <v>3/8" Hex CIM 21</v>
          </cell>
          <cell r="E469">
            <v>1</v>
          </cell>
          <cell r="F469">
            <v>0</v>
          </cell>
        </row>
        <row r="470">
          <cell r="D470" t="str">
            <v>3/8" Hex CIM 25</v>
          </cell>
          <cell r="E470">
            <v>0</v>
          </cell>
          <cell r="F470">
            <v>0</v>
          </cell>
        </row>
        <row r="471">
          <cell r="D471" t="str">
            <v>3/8" Hex CIM 27</v>
          </cell>
          <cell r="E471">
            <v>0</v>
          </cell>
          <cell r="F471">
            <v>0</v>
          </cell>
        </row>
        <row r="472">
          <cell r="D472" t="str">
            <v>3/8" Hex CIM 28</v>
          </cell>
          <cell r="E472">
            <v>0</v>
          </cell>
          <cell r="F472">
            <v>0</v>
          </cell>
        </row>
        <row r="473">
          <cell r="D473" t="str">
            <v>3/8" Hex CIM 30</v>
          </cell>
          <cell r="E473">
            <v>0</v>
          </cell>
          <cell r="F473">
            <v>0</v>
          </cell>
        </row>
        <row r="474">
          <cell r="D474" t="str">
            <v>3/8" Hex CIM 35</v>
          </cell>
          <cell r="E474">
            <v>0</v>
          </cell>
          <cell r="F474">
            <v>0</v>
          </cell>
        </row>
        <row r="475">
          <cell r="D475" t="str">
            <v>3/8" Hex CIM 36</v>
          </cell>
          <cell r="E475">
            <v>0</v>
          </cell>
          <cell r="F475">
            <v>0</v>
          </cell>
        </row>
        <row r="476">
          <cell r="D476" t="str">
            <v>3/8" Hex CIM 40</v>
          </cell>
          <cell r="E476">
            <v>0</v>
          </cell>
          <cell r="F476">
            <v>0</v>
          </cell>
        </row>
        <row r="477">
          <cell r="D477" t="str">
            <v>3/8" Hex CIM 45</v>
          </cell>
          <cell r="E477">
            <v>0</v>
          </cell>
          <cell r="F477">
            <v>0</v>
          </cell>
        </row>
        <row r="478">
          <cell r="D478" t="str">
            <v>3/8" Hex CIM 49</v>
          </cell>
          <cell r="E478">
            <v>0</v>
          </cell>
          <cell r="F478">
            <v>0</v>
          </cell>
        </row>
        <row r="479">
          <cell r="D479" t="str">
            <v>3/8" Hex CIM 50</v>
          </cell>
          <cell r="E479">
            <v>0</v>
          </cell>
          <cell r="F479">
            <v>0</v>
          </cell>
        </row>
        <row r="480">
          <cell r="D480" t="str">
            <v>3/8" Hex CIM 63</v>
          </cell>
          <cell r="E480">
            <v>0</v>
          </cell>
          <cell r="F480">
            <v>0</v>
          </cell>
        </row>
        <row r="481">
          <cell r="D481" t="str">
            <v>3/8" Hex CIM 70</v>
          </cell>
          <cell r="E481">
            <v>0</v>
          </cell>
          <cell r="F481">
            <v>0</v>
          </cell>
        </row>
        <row r="482">
          <cell r="D482" t="str">
            <v>3/8" Hex CIM 81</v>
          </cell>
          <cell r="E482">
            <v>0</v>
          </cell>
          <cell r="F482">
            <v>0</v>
          </cell>
        </row>
        <row r="483">
          <cell r="D483" t="str">
            <v>3/8" Hex CIM 90</v>
          </cell>
          <cell r="E483">
            <v>0</v>
          </cell>
          <cell r="F483">
            <v>0</v>
          </cell>
        </row>
        <row r="484">
          <cell r="D484" t="str">
            <v>3/8" Hex CIM 100</v>
          </cell>
          <cell r="E484">
            <v>0</v>
          </cell>
          <cell r="F484">
            <v>0</v>
          </cell>
        </row>
        <row r="485">
          <cell r="D485" t="str">
            <v>3/8" Hex 775pro 9</v>
          </cell>
          <cell r="E485">
            <v>7</v>
          </cell>
          <cell r="F485">
            <v>5</v>
          </cell>
        </row>
        <row r="486">
          <cell r="D486" t="str">
            <v>3/8" Hex 775pro 12</v>
          </cell>
          <cell r="E486">
            <v>5</v>
          </cell>
          <cell r="F486">
            <v>4</v>
          </cell>
        </row>
        <row r="487">
          <cell r="D487" t="str">
            <v>3/8" Hex 775pro 15</v>
          </cell>
          <cell r="E487">
            <v>5</v>
          </cell>
          <cell r="F487">
            <v>3</v>
          </cell>
        </row>
        <row r="488">
          <cell r="D488" t="str">
            <v>3/8" Hex 775pro 16</v>
          </cell>
          <cell r="E488">
            <v>4</v>
          </cell>
          <cell r="F488">
            <v>3</v>
          </cell>
        </row>
        <row r="489">
          <cell r="D489" t="str">
            <v>3/8" Hex 775pro 20</v>
          </cell>
          <cell r="E489">
            <v>3</v>
          </cell>
          <cell r="F489">
            <v>1</v>
          </cell>
        </row>
        <row r="490">
          <cell r="D490" t="str">
            <v>3/8" Hex 775pro 21</v>
          </cell>
          <cell r="E490">
            <v>3</v>
          </cell>
          <cell r="F490">
            <v>1</v>
          </cell>
        </row>
        <row r="491">
          <cell r="D491" t="str">
            <v>3/8" Hex 775pro 25</v>
          </cell>
          <cell r="E491">
            <v>3</v>
          </cell>
          <cell r="F491">
            <v>1</v>
          </cell>
        </row>
        <row r="492">
          <cell r="D492" t="str">
            <v>3/8" Hex 775pro 27</v>
          </cell>
          <cell r="E492">
            <v>1</v>
          </cell>
          <cell r="F492">
            <v>1</v>
          </cell>
        </row>
        <row r="493">
          <cell r="D493" t="str">
            <v>3/8" Hex 775pro 28</v>
          </cell>
          <cell r="E493">
            <v>1</v>
          </cell>
          <cell r="F493">
            <v>1</v>
          </cell>
        </row>
        <row r="494">
          <cell r="D494" t="str">
            <v>3/8" Hex 775pro 30</v>
          </cell>
          <cell r="E494">
            <v>1</v>
          </cell>
          <cell r="F494">
            <v>1</v>
          </cell>
        </row>
        <row r="495">
          <cell r="D495" t="str">
            <v>3/8" Hex 775pro 35</v>
          </cell>
          <cell r="E495">
            <v>1</v>
          </cell>
          <cell r="F495">
            <v>1</v>
          </cell>
        </row>
        <row r="496">
          <cell r="D496" t="str">
            <v>3/8" Hex 775pro 36</v>
          </cell>
          <cell r="E496">
            <v>1</v>
          </cell>
          <cell r="F496">
            <v>1</v>
          </cell>
        </row>
        <row r="497">
          <cell r="D497" t="str">
            <v>3/8" Hex 775pro 40</v>
          </cell>
          <cell r="E497">
            <v>1</v>
          </cell>
          <cell r="F497">
            <v>1</v>
          </cell>
        </row>
        <row r="498">
          <cell r="D498" t="str">
            <v>3/8" Hex 775pro 45</v>
          </cell>
          <cell r="E498">
            <v>1</v>
          </cell>
          <cell r="F498">
            <v>1</v>
          </cell>
        </row>
        <row r="499">
          <cell r="D499" t="str">
            <v>3/8" Hex 775pro 49</v>
          </cell>
          <cell r="E499">
            <v>1</v>
          </cell>
          <cell r="F499">
            <v>1</v>
          </cell>
        </row>
        <row r="500">
          <cell r="D500" t="str">
            <v>3/8" Hex 775pro 50</v>
          </cell>
          <cell r="E500">
            <v>1</v>
          </cell>
          <cell r="F500">
            <v>0</v>
          </cell>
        </row>
        <row r="501">
          <cell r="D501" t="str">
            <v>3/8" Hex 775pro 63</v>
          </cell>
          <cell r="E501">
            <v>1</v>
          </cell>
          <cell r="F501">
            <v>0</v>
          </cell>
        </row>
        <row r="502">
          <cell r="D502" t="str">
            <v>3/8" Hex 775pro 70</v>
          </cell>
          <cell r="E502">
            <v>1</v>
          </cell>
          <cell r="F502">
            <v>0</v>
          </cell>
        </row>
        <row r="503">
          <cell r="D503" t="str">
            <v>3/8" Hex 775pro 81</v>
          </cell>
          <cell r="E503">
            <v>0</v>
          </cell>
          <cell r="F503">
            <v>0</v>
          </cell>
        </row>
        <row r="504">
          <cell r="D504" t="str">
            <v>3/8" Hex 775pro 90</v>
          </cell>
          <cell r="E504">
            <v>0</v>
          </cell>
          <cell r="F504">
            <v>0</v>
          </cell>
        </row>
        <row r="505">
          <cell r="D505" t="str">
            <v>3/8" Hex 775pro 100</v>
          </cell>
          <cell r="E505">
            <v>0</v>
          </cell>
          <cell r="F505">
            <v>0</v>
          </cell>
        </row>
        <row r="506">
          <cell r="D506" t="str">
            <v>CIM Motor AM 9015 9</v>
          </cell>
          <cell r="E506">
            <v>7</v>
          </cell>
          <cell r="F506">
            <v>7</v>
          </cell>
        </row>
        <row r="507">
          <cell r="D507" t="str">
            <v>CIM Motor AM 9015 12</v>
          </cell>
          <cell r="E507">
            <v>5</v>
          </cell>
          <cell r="F507">
            <v>5</v>
          </cell>
        </row>
        <row r="508">
          <cell r="D508" t="str">
            <v>CIM Motor AM 9015 15</v>
          </cell>
          <cell r="E508">
            <v>4</v>
          </cell>
          <cell r="F508">
            <v>5</v>
          </cell>
        </row>
        <row r="509">
          <cell r="D509" t="str">
            <v>CIM Motor AM 9015 16</v>
          </cell>
          <cell r="E509">
            <v>4</v>
          </cell>
          <cell r="F509">
            <v>5</v>
          </cell>
        </row>
        <row r="510">
          <cell r="D510" t="str">
            <v>CIM Motor AM 9015 20</v>
          </cell>
          <cell r="E510">
            <v>3</v>
          </cell>
          <cell r="F510">
            <v>4</v>
          </cell>
        </row>
        <row r="511">
          <cell r="D511" t="str">
            <v>CIM Motor AM 9015 21</v>
          </cell>
          <cell r="E511">
            <v>3</v>
          </cell>
          <cell r="F511">
            <v>3</v>
          </cell>
        </row>
        <row r="512">
          <cell r="D512" t="str">
            <v>CIM Motor AM 9015 25</v>
          </cell>
          <cell r="E512">
            <v>1</v>
          </cell>
          <cell r="F512">
            <v>3</v>
          </cell>
        </row>
        <row r="513">
          <cell r="D513" t="str">
            <v>CIM Motor AM 9015 27</v>
          </cell>
          <cell r="E513">
            <v>1</v>
          </cell>
          <cell r="F513">
            <v>1</v>
          </cell>
        </row>
        <row r="514">
          <cell r="D514" t="str">
            <v>CIM Motor AM 9015 28</v>
          </cell>
          <cell r="E514">
            <v>1</v>
          </cell>
          <cell r="F514">
            <v>1</v>
          </cell>
        </row>
        <row r="515">
          <cell r="D515" t="str">
            <v>CIM Motor AM 9015 30</v>
          </cell>
          <cell r="E515">
            <v>1</v>
          </cell>
          <cell r="F515">
            <v>1</v>
          </cell>
        </row>
        <row r="516">
          <cell r="D516" t="str">
            <v>CIM Motor AM 9015 35</v>
          </cell>
          <cell r="E516">
            <v>1</v>
          </cell>
          <cell r="F516">
            <v>1</v>
          </cell>
        </row>
        <row r="517">
          <cell r="D517" t="str">
            <v>CIM Motor AM 9015 36</v>
          </cell>
          <cell r="E517">
            <v>1</v>
          </cell>
          <cell r="F517">
            <v>1</v>
          </cell>
        </row>
        <row r="518">
          <cell r="D518" t="str">
            <v>CIM Motor AM 9015 40</v>
          </cell>
          <cell r="E518">
            <v>1</v>
          </cell>
          <cell r="F518">
            <v>1</v>
          </cell>
        </row>
        <row r="519">
          <cell r="D519" t="str">
            <v>CIM Motor AM 9015 45</v>
          </cell>
          <cell r="E519">
            <v>1</v>
          </cell>
          <cell r="F519">
            <v>1</v>
          </cell>
        </row>
        <row r="520">
          <cell r="D520" t="str">
            <v>CIM Motor AM 9015 49</v>
          </cell>
          <cell r="E520">
            <v>1</v>
          </cell>
          <cell r="F520">
            <v>1</v>
          </cell>
        </row>
        <row r="521">
          <cell r="D521" t="str">
            <v>CIM Motor AM 9015 50</v>
          </cell>
          <cell r="E521">
            <v>1</v>
          </cell>
          <cell r="F521">
            <v>1</v>
          </cell>
        </row>
        <row r="522">
          <cell r="D522" t="str">
            <v>CIM Motor AM 9015 63</v>
          </cell>
          <cell r="E522">
            <v>1</v>
          </cell>
          <cell r="F522">
            <v>1</v>
          </cell>
        </row>
        <row r="523">
          <cell r="D523" t="str">
            <v>CIM Motor AM 9015 70</v>
          </cell>
          <cell r="E523">
            <v>0</v>
          </cell>
          <cell r="F523">
            <v>1</v>
          </cell>
        </row>
        <row r="524">
          <cell r="D524" t="str">
            <v>CIM Motor AM 9015 81</v>
          </cell>
          <cell r="E524">
            <v>0</v>
          </cell>
          <cell r="F524">
            <v>0</v>
          </cell>
        </row>
        <row r="525">
          <cell r="D525" t="str">
            <v>CIM Motor AM 9015 90</v>
          </cell>
          <cell r="E525">
            <v>0</v>
          </cell>
          <cell r="F525">
            <v>0</v>
          </cell>
        </row>
        <row r="526">
          <cell r="D526" t="str">
            <v>CIM Motor AM 9015 100</v>
          </cell>
          <cell r="E526">
            <v>0</v>
          </cell>
          <cell r="F526">
            <v>0</v>
          </cell>
        </row>
        <row r="527">
          <cell r="D527" t="str">
            <v>CIM Motor NeveRest 9</v>
          </cell>
          <cell r="E527">
            <v>5</v>
          </cell>
          <cell r="F527">
            <v>10</v>
          </cell>
        </row>
        <row r="528">
          <cell r="D528" t="str">
            <v>CIM Motor NeveRest 12</v>
          </cell>
          <cell r="E528">
            <v>4</v>
          </cell>
          <cell r="F528">
            <v>10</v>
          </cell>
        </row>
        <row r="529">
          <cell r="D529" t="str">
            <v>CIM Motor NeveRest 15</v>
          </cell>
          <cell r="E529">
            <v>3</v>
          </cell>
          <cell r="F529">
            <v>10</v>
          </cell>
        </row>
        <row r="530">
          <cell r="D530" t="str">
            <v>CIM Motor NeveRest 16</v>
          </cell>
          <cell r="E530">
            <v>3</v>
          </cell>
          <cell r="F530">
            <v>10</v>
          </cell>
        </row>
        <row r="531">
          <cell r="D531" t="str">
            <v>CIM Motor NeveRest 20</v>
          </cell>
          <cell r="E531">
            <v>1</v>
          </cell>
          <cell r="F531">
            <v>7</v>
          </cell>
        </row>
        <row r="532">
          <cell r="D532" t="str">
            <v>CIM Motor NeveRest 21</v>
          </cell>
          <cell r="E532">
            <v>1</v>
          </cell>
          <cell r="F532">
            <v>7</v>
          </cell>
        </row>
        <row r="533">
          <cell r="D533" t="str">
            <v>CIM Motor NeveRest 25</v>
          </cell>
          <cell r="E533">
            <v>1</v>
          </cell>
          <cell r="F533">
            <v>5</v>
          </cell>
        </row>
        <row r="534">
          <cell r="D534" t="str">
            <v>CIM Motor NeveRest 27</v>
          </cell>
          <cell r="E534">
            <v>1</v>
          </cell>
          <cell r="F534">
            <v>5</v>
          </cell>
        </row>
        <row r="535">
          <cell r="D535" t="str">
            <v>CIM Motor NeveRest 28</v>
          </cell>
          <cell r="E535">
            <v>1</v>
          </cell>
          <cell r="F535">
            <v>5</v>
          </cell>
        </row>
        <row r="536">
          <cell r="D536" t="str">
            <v>CIM Motor NeveRest 30</v>
          </cell>
          <cell r="E536">
            <v>1</v>
          </cell>
          <cell r="F536">
            <v>5</v>
          </cell>
        </row>
        <row r="537">
          <cell r="D537" t="str">
            <v>CIM Motor NeveRest 35</v>
          </cell>
          <cell r="E537">
            <v>1</v>
          </cell>
          <cell r="F537">
            <v>4</v>
          </cell>
        </row>
        <row r="538">
          <cell r="D538" t="str">
            <v>CIM Motor NeveRest 36</v>
          </cell>
          <cell r="E538">
            <v>1</v>
          </cell>
          <cell r="F538">
            <v>4</v>
          </cell>
        </row>
        <row r="539">
          <cell r="D539" t="str">
            <v>CIM Motor NeveRest 40</v>
          </cell>
          <cell r="E539">
            <v>1</v>
          </cell>
          <cell r="F539">
            <v>4</v>
          </cell>
        </row>
        <row r="540">
          <cell r="D540" t="str">
            <v>CIM Motor NeveRest 45</v>
          </cell>
          <cell r="E540">
            <v>1</v>
          </cell>
          <cell r="F540">
            <v>3</v>
          </cell>
        </row>
        <row r="541">
          <cell r="D541" t="str">
            <v>CIM Motor NeveRest 49</v>
          </cell>
          <cell r="E541">
            <v>1</v>
          </cell>
          <cell r="F541">
            <v>3</v>
          </cell>
        </row>
        <row r="542">
          <cell r="D542" t="str">
            <v>CIM Motor NeveRest 50</v>
          </cell>
          <cell r="E542">
            <v>1</v>
          </cell>
          <cell r="F542">
            <v>3</v>
          </cell>
        </row>
        <row r="543">
          <cell r="D543" t="str">
            <v>CIM Motor NeveRest 63</v>
          </cell>
          <cell r="E543">
            <v>0</v>
          </cell>
          <cell r="F543">
            <v>1</v>
          </cell>
        </row>
        <row r="544">
          <cell r="D544" t="str">
            <v>CIM Motor NeveRest 70</v>
          </cell>
          <cell r="E544">
            <v>0</v>
          </cell>
          <cell r="F544">
            <v>1</v>
          </cell>
        </row>
        <row r="545">
          <cell r="D545" t="str">
            <v>CIM Motor NeveRest 81</v>
          </cell>
          <cell r="E545">
            <v>0</v>
          </cell>
          <cell r="F545">
            <v>1</v>
          </cell>
        </row>
        <row r="546">
          <cell r="D546" t="str">
            <v>CIM Motor NeveRest 90</v>
          </cell>
          <cell r="E546">
            <v>0</v>
          </cell>
          <cell r="F546">
            <v>1</v>
          </cell>
        </row>
        <row r="547">
          <cell r="D547" t="str">
            <v>CIM Motor NeveRest 100</v>
          </cell>
          <cell r="E547">
            <v>0</v>
          </cell>
          <cell r="F547">
            <v>1</v>
          </cell>
        </row>
        <row r="548">
          <cell r="D548" t="str">
            <v>CIM Motor BB RS-550 9</v>
          </cell>
          <cell r="E548">
            <v>5</v>
          </cell>
          <cell r="F548">
            <v>7</v>
          </cell>
        </row>
        <row r="549">
          <cell r="D549" t="str">
            <v>CIM Motor BB RS-550 12</v>
          </cell>
          <cell r="E549">
            <v>4</v>
          </cell>
          <cell r="F549">
            <v>5</v>
          </cell>
        </row>
        <row r="550">
          <cell r="D550" t="str">
            <v>CIM Motor BB RS-550 15</v>
          </cell>
          <cell r="E550">
            <v>3</v>
          </cell>
          <cell r="F550">
            <v>5</v>
          </cell>
        </row>
        <row r="551">
          <cell r="D551" t="str">
            <v>CIM Motor BB RS-550 16</v>
          </cell>
          <cell r="E551">
            <v>3</v>
          </cell>
          <cell r="F551">
            <v>5</v>
          </cell>
        </row>
        <row r="552">
          <cell r="D552" t="str">
            <v>CIM Motor BB RS-550 20</v>
          </cell>
          <cell r="E552">
            <v>1</v>
          </cell>
          <cell r="F552">
            <v>4</v>
          </cell>
        </row>
        <row r="553">
          <cell r="D553" t="str">
            <v>CIM Motor BB RS-550 21</v>
          </cell>
          <cell r="E553">
            <v>1</v>
          </cell>
          <cell r="F553">
            <v>3</v>
          </cell>
        </row>
        <row r="554">
          <cell r="D554" t="str">
            <v>CIM Motor BB RS-550 25</v>
          </cell>
          <cell r="E554">
            <v>1</v>
          </cell>
          <cell r="F554">
            <v>3</v>
          </cell>
        </row>
        <row r="555">
          <cell r="D555" t="str">
            <v>CIM Motor BB RS-550 27</v>
          </cell>
          <cell r="E555">
            <v>1</v>
          </cell>
          <cell r="F555">
            <v>1</v>
          </cell>
        </row>
        <row r="556">
          <cell r="D556" t="str">
            <v>CIM Motor BB RS-550 28</v>
          </cell>
          <cell r="E556">
            <v>1</v>
          </cell>
          <cell r="F556">
            <v>1</v>
          </cell>
        </row>
        <row r="557">
          <cell r="D557" t="str">
            <v>CIM Motor BB RS-550 30</v>
          </cell>
          <cell r="E557">
            <v>1</v>
          </cell>
          <cell r="F557">
            <v>1</v>
          </cell>
        </row>
        <row r="558">
          <cell r="D558" t="str">
            <v>CIM Motor BB RS-550 35</v>
          </cell>
          <cell r="E558">
            <v>1</v>
          </cell>
          <cell r="F558">
            <v>1</v>
          </cell>
        </row>
        <row r="559">
          <cell r="D559" t="str">
            <v>CIM Motor BB RS-550 36</v>
          </cell>
          <cell r="E559">
            <v>1</v>
          </cell>
          <cell r="F559">
            <v>1</v>
          </cell>
        </row>
        <row r="560">
          <cell r="D560" t="str">
            <v>CIM Motor BB RS-550 40</v>
          </cell>
          <cell r="E560">
            <v>1</v>
          </cell>
          <cell r="F560">
            <v>1</v>
          </cell>
        </row>
        <row r="561">
          <cell r="D561" t="str">
            <v>CIM Motor BB RS-550 45</v>
          </cell>
          <cell r="E561">
            <v>1</v>
          </cell>
          <cell r="F561">
            <v>1</v>
          </cell>
        </row>
        <row r="562">
          <cell r="D562" t="str">
            <v>CIM Motor BB RS-550 49</v>
          </cell>
          <cell r="E562">
            <v>1</v>
          </cell>
          <cell r="F562">
            <v>1</v>
          </cell>
        </row>
        <row r="563">
          <cell r="D563" t="str">
            <v>CIM Motor BB RS-550 50</v>
          </cell>
          <cell r="E563">
            <v>1</v>
          </cell>
          <cell r="F563">
            <v>1</v>
          </cell>
        </row>
        <row r="564">
          <cell r="D564" t="str">
            <v>CIM Motor BB RS-550 63</v>
          </cell>
          <cell r="E564">
            <v>0</v>
          </cell>
          <cell r="F564">
            <v>1</v>
          </cell>
        </row>
        <row r="565">
          <cell r="D565" t="str">
            <v>CIM Motor BB RS-550 70</v>
          </cell>
          <cell r="E565">
            <v>0</v>
          </cell>
          <cell r="F565">
            <v>1</v>
          </cell>
        </row>
        <row r="566">
          <cell r="D566" t="str">
            <v>CIM Motor BB RS-550 81</v>
          </cell>
          <cell r="E566">
            <v>0</v>
          </cell>
          <cell r="F566">
            <v>0</v>
          </cell>
        </row>
        <row r="567">
          <cell r="D567" t="str">
            <v>CIM Motor BB RS-550 90</v>
          </cell>
          <cell r="E567">
            <v>0</v>
          </cell>
          <cell r="F567">
            <v>0</v>
          </cell>
        </row>
        <row r="568">
          <cell r="D568" t="str">
            <v>CIM Motor BB RS-550 100</v>
          </cell>
          <cell r="E568">
            <v>0</v>
          </cell>
          <cell r="F568">
            <v>0</v>
          </cell>
        </row>
        <row r="569">
          <cell r="D569" t="str">
            <v>CIM Motor BB RS-775 9</v>
          </cell>
          <cell r="E569">
            <v>4</v>
          </cell>
          <cell r="F569">
            <v>7</v>
          </cell>
        </row>
        <row r="570">
          <cell r="D570" t="str">
            <v>CIM Motor BB RS-775 12</v>
          </cell>
          <cell r="E570">
            <v>3</v>
          </cell>
          <cell r="F570">
            <v>5</v>
          </cell>
        </row>
        <row r="571">
          <cell r="D571" t="str">
            <v>CIM Motor BB RS-775 15</v>
          </cell>
          <cell r="E571">
            <v>1</v>
          </cell>
          <cell r="F571">
            <v>5</v>
          </cell>
        </row>
        <row r="572">
          <cell r="D572" t="str">
            <v>CIM Motor BB RS-775 16</v>
          </cell>
          <cell r="E572">
            <v>1</v>
          </cell>
          <cell r="F572">
            <v>5</v>
          </cell>
        </row>
        <row r="573">
          <cell r="D573" t="str">
            <v>CIM Motor BB RS-775 20</v>
          </cell>
          <cell r="E573">
            <v>1</v>
          </cell>
          <cell r="F573">
            <v>4</v>
          </cell>
        </row>
        <row r="574">
          <cell r="D574" t="str">
            <v>CIM Motor BB RS-775 21</v>
          </cell>
          <cell r="E574">
            <v>1</v>
          </cell>
          <cell r="F574">
            <v>3</v>
          </cell>
        </row>
        <row r="575">
          <cell r="D575" t="str">
            <v>CIM Motor BB RS-775 25</v>
          </cell>
          <cell r="E575">
            <v>1</v>
          </cell>
          <cell r="F575">
            <v>3</v>
          </cell>
        </row>
        <row r="576">
          <cell r="D576" t="str">
            <v>CIM Motor BB RS-775 27</v>
          </cell>
          <cell r="E576">
            <v>1</v>
          </cell>
          <cell r="F576">
            <v>1</v>
          </cell>
        </row>
        <row r="577">
          <cell r="D577" t="str">
            <v>CIM Motor BB RS-775 28</v>
          </cell>
          <cell r="E577">
            <v>1</v>
          </cell>
          <cell r="F577">
            <v>1</v>
          </cell>
        </row>
        <row r="578">
          <cell r="D578" t="str">
            <v>CIM Motor BB RS-775 30</v>
          </cell>
          <cell r="E578">
            <v>1</v>
          </cell>
          <cell r="F578">
            <v>1</v>
          </cell>
        </row>
        <row r="579">
          <cell r="D579" t="str">
            <v>CIM Motor BB RS-775 35</v>
          </cell>
          <cell r="E579">
            <v>1</v>
          </cell>
          <cell r="F579">
            <v>1</v>
          </cell>
        </row>
        <row r="580">
          <cell r="D580" t="str">
            <v>CIM Motor BB RS-775 36</v>
          </cell>
          <cell r="E580">
            <v>1</v>
          </cell>
          <cell r="F580">
            <v>1</v>
          </cell>
        </row>
        <row r="581">
          <cell r="D581" t="str">
            <v>CIM Motor BB RS-775 40</v>
          </cell>
          <cell r="E581">
            <v>0</v>
          </cell>
          <cell r="F581">
            <v>1</v>
          </cell>
        </row>
        <row r="582">
          <cell r="D582" t="str">
            <v>CIM Motor BB RS-775 45</v>
          </cell>
          <cell r="E582">
            <v>0</v>
          </cell>
          <cell r="F582">
            <v>1</v>
          </cell>
        </row>
        <row r="583">
          <cell r="D583" t="str">
            <v>CIM Motor BB RS-775 49</v>
          </cell>
          <cell r="E583">
            <v>0</v>
          </cell>
          <cell r="F583">
            <v>1</v>
          </cell>
        </row>
        <row r="584">
          <cell r="D584" t="str">
            <v>CIM Motor BB RS-775 50</v>
          </cell>
          <cell r="E584">
            <v>0</v>
          </cell>
          <cell r="F584">
            <v>1</v>
          </cell>
        </row>
        <row r="585">
          <cell r="D585" t="str">
            <v>CIM Motor BB RS-775 63</v>
          </cell>
          <cell r="E585">
            <v>0</v>
          </cell>
          <cell r="F585">
            <v>1</v>
          </cell>
        </row>
        <row r="586">
          <cell r="D586" t="str">
            <v>CIM Motor BB RS-775 70</v>
          </cell>
          <cell r="E586">
            <v>0</v>
          </cell>
          <cell r="F586">
            <v>1</v>
          </cell>
        </row>
        <row r="587">
          <cell r="D587" t="str">
            <v>CIM Motor BB RS-775 81</v>
          </cell>
          <cell r="E587">
            <v>0</v>
          </cell>
          <cell r="F587">
            <v>1</v>
          </cell>
        </row>
        <row r="588">
          <cell r="D588" t="str">
            <v>CIM Motor BB RS-775 90</v>
          </cell>
          <cell r="E588">
            <v>0</v>
          </cell>
          <cell r="F588">
            <v>1</v>
          </cell>
        </row>
        <row r="589">
          <cell r="D589" t="str">
            <v>CIM Motor BB RS-775 100</v>
          </cell>
          <cell r="E589">
            <v>0</v>
          </cell>
          <cell r="F589">
            <v>1</v>
          </cell>
        </row>
        <row r="590">
          <cell r="D590" t="str">
            <v>CIM Motor BAG 9</v>
          </cell>
          <cell r="E590">
            <v>7</v>
          </cell>
          <cell r="F590">
            <v>7</v>
          </cell>
        </row>
        <row r="591">
          <cell r="D591" t="str">
            <v>CIM Motor BAG 12</v>
          </cell>
          <cell r="E591">
            <v>5</v>
          </cell>
          <cell r="F591">
            <v>5</v>
          </cell>
        </row>
        <row r="592">
          <cell r="D592" t="str">
            <v>CIM Motor BAG 15</v>
          </cell>
          <cell r="E592">
            <v>4</v>
          </cell>
          <cell r="F592">
            <v>4</v>
          </cell>
        </row>
        <row r="593">
          <cell r="D593" t="str">
            <v>CIM Motor BAG 16</v>
          </cell>
          <cell r="E593">
            <v>4</v>
          </cell>
          <cell r="F593">
            <v>4</v>
          </cell>
        </row>
        <row r="594">
          <cell r="D594" t="str">
            <v>CIM Motor BAG 20</v>
          </cell>
          <cell r="E594">
            <v>3</v>
          </cell>
          <cell r="F594">
            <v>3</v>
          </cell>
        </row>
        <row r="595">
          <cell r="D595" t="str">
            <v>CIM Motor BAG 21</v>
          </cell>
          <cell r="E595">
            <v>3</v>
          </cell>
          <cell r="F595">
            <v>3</v>
          </cell>
        </row>
        <row r="596">
          <cell r="D596" t="str">
            <v>CIM Motor BAG 25</v>
          </cell>
          <cell r="E596">
            <v>1</v>
          </cell>
          <cell r="F596">
            <v>1</v>
          </cell>
        </row>
        <row r="597">
          <cell r="D597" t="str">
            <v>CIM Motor BAG 27</v>
          </cell>
          <cell r="E597">
            <v>1</v>
          </cell>
          <cell r="F597">
            <v>1</v>
          </cell>
        </row>
        <row r="598">
          <cell r="D598" t="str">
            <v>CIM Motor BAG 28</v>
          </cell>
          <cell r="E598">
            <v>1</v>
          </cell>
          <cell r="F598">
            <v>1</v>
          </cell>
        </row>
        <row r="599">
          <cell r="D599" t="str">
            <v>CIM Motor BAG 30</v>
          </cell>
          <cell r="E599">
            <v>1</v>
          </cell>
          <cell r="F599">
            <v>1</v>
          </cell>
        </row>
        <row r="600">
          <cell r="D600" t="str">
            <v>CIM Motor BAG 35</v>
          </cell>
          <cell r="E600">
            <v>1</v>
          </cell>
          <cell r="F600">
            <v>1</v>
          </cell>
        </row>
        <row r="601">
          <cell r="D601" t="str">
            <v>CIM Motor BAG 36</v>
          </cell>
          <cell r="E601">
            <v>1</v>
          </cell>
          <cell r="F601">
            <v>1</v>
          </cell>
        </row>
        <row r="602">
          <cell r="D602" t="str">
            <v>CIM Motor BAG 40</v>
          </cell>
          <cell r="E602">
            <v>1</v>
          </cell>
          <cell r="F602">
            <v>1</v>
          </cell>
        </row>
        <row r="603">
          <cell r="D603" t="str">
            <v>CIM Motor BAG 45</v>
          </cell>
          <cell r="E603">
            <v>1</v>
          </cell>
          <cell r="F603">
            <v>1</v>
          </cell>
        </row>
        <row r="604">
          <cell r="D604" t="str">
            <v>CIM Motor BAG 49</v>
          </cell>
          <cell r="E604">
            <v>1</v>
          </cell>
          <cell r="F604">
            <v>1</v>
          </cell>
        </row>
        <row r="605">
          <cell r="D605" t="str">
            <v>CIM Motor BAG 50</v>
          </cell>
          <cell r="E605">
            <v>1</v>
          </cell>
          <cell r="F605">
            <v>1</v>
          </cell>
        </row>
        <row r="606">
          <cell r="D606" t="str">
            <v>CIM Motor BAG 63</v>
          </cell>
          <cell r="E606">
            <v>1</v>
          </cell>
          <cell r="F606">
            <v>1</v>
          </cell>
        </row>
        <row r="607">
          <cell r="D607" t="str">
            <v>CIM Motor BAG 70</v>
          </cell>
          <cell r="E607">
            <v>1</v>
          </cell>
          <cell r="F607">
            <v>0</v>
          </cell>
        </row>
        <row r="608">
          <cell r="D608" t="str">
            <v>CIM Motor BAG 81</v>
          </cell>
          <cell r="E608">
            <v>1</v>
          </cell>
          <cell r="F608">
            <v>0</v>
          </cell>
        </row>
        <row r="609">
          <cell r="D609" t="str">
            <v>CIM Motor BAG 90</v>
          </cell>
          <cell r="E609">
            <v>1</v>
          </cell>
          <cell r="F609">
            <v>0</v>
          </cell>
        </row>
        <row r="610">
          <cell r="D610" t="str">
            <v>CIM Motor BAG 100</v>
          </cell>
          <cell r="E610">
            <v>1</v>
          </cell>
          <cell r="F610">
            <v>0</v>
          </cell>
        </row>
        <row r="611">
          <cell r="D611" t="str">
            <v>CIM Motor Mini CIM 9</v>
          </cell>
          <cell r="E611">
            <v>1</v>
          </cell>
          <cell r="F611">
            <v>0</v>
          </cell>
        </row>
        <row r="612">
          <cell r="D612" t="str">
            <v>CIM Motor Mini CIM 12</v>
          </cell>
          <cell r="E612">
            <v>1</v>
          </cell>
          <cell r="F612">
            <v>0</v>
          </cell>
        </row>
        <row r="613">
          <cell r="D613" t="str">
            <v>CIM Motor Mini CIM 15</v>
          </cell>
          <cell r="E613">
            <v>1</v>
          </cell>
          <cell r="F613">
            <v>0</v>
          </cell>
        </row>
        <row r="614">
          <cell r="D614" t="str">
            <v>CIM Motor Mini CIM 16</v>
          </cell>
          <cell r="E614">
            <v>1</v>
          </cell>
          <cell r="F614">
            <v>0</v>
          </cell>
        </row>
        <row r="615">
          <cell r="D615" t="str">
            <v>CIM Motor Mini CIM 20</v>
          </cell>
          <cell r="E615">
            <v>1</v>
          </cell>
          <cell r="F615">
            <v>0</v>
          </cell>
        </row>
        <row r="616">
          <cell r="D616" t="str">
            <v>CIM Motor Mini CIM 21</v>
          </cell>
          <cell r="E616">
            <v>1</v>
          </cell>
          <cell r="F616">
            <v>0</v>
          </cell>
        </row>
        <row r="617">
          <cell r="D617" t="str">
            <v>CIM Motor Mini CIM 25</v>
          </cell>
          <cell r="E617">
            <v>1</v>
          </cell>
          <cell r="F617">
            <v>0</v>
          </cell>
        </row>
        <row r="618">
          <cell r="D618" t="str">
            <v>CIM Motor Mini CIM 27</v>
          </cell>
          <cell r="E618">
            <v>1</v>
          </cell>
          <cell r="F618">
            <v>0</v>
          </cell>
        </row>
        <row r="619">
          <cell r="D619" t="str">
            <v>CIM Motor Mini CIM 28</v>
          </cell>
          <cell r="E619">
            <v>1</v>
          </cell>
          <cell r="F619">
            <v>0</v>
          </cell>
        </row>
        <row r="620">
          <cell r="D620" t="str">
            <v>CIM Motor Mini CIM 30</v>
          </cell>
          <cell r="E620">
            <v>1</v>
          </cell>
          <cell r="F620">
            <v>0</v>
          </cell>
        </row>
        <row r="621">
          <cell r="D621" t="str">
            <v>CIM Motor Mini CIM 35</v>
          </cell>
          <cell r="E621">
            <v>0</v>
          </cell>
          <cell r="F621">
            <v>0</v>
          </cell>
        </row>
        <row r="622">
          <cell r="D622" t="str">
            <v>CIM Motor Mini CIM 36</v>
          </cell>
          <cell r="E622">
            <v>0</v>
          </cell>
          <cell r="F622">
            <v>0</v>
          </cell>
        </row>
        <row r="623">
          <cell r="D623" t="str">
            <v>CIM Motor Mini CIM 40</v>
          </cell>
          <cell r="E623">
            <v>0</v>
          </cell>
          <cell r="F623">
            <v>0</v>
          </cell>
        </row>
        <row r="624">
          <cell r="D624" t="str">
            <v>CIM Motor Mini CIM 45</v>
          </cell>
          <cell r="E624">
            <v>0</v>
          </cell>
          <cell r="F624">
            <v>0</v>
          </cell>
        </row>
        <row r="625">
          <cell r="D625" t="str">
            <v>CIM Motor Mini CIM 49</v>
          </cell>
          <cell r="E625">
            <v>0</v>
          </cell>
          <cell r="F625">
            <v>0</v>
          </cell>
        </row>
        <row r="626">
          <cell r="D626" t="str">
            <v>CIM Motor Mini CIM 50</v>
          </cell>
          <cell r="E626">
            <v>0</v>
          </cell>
          <cell r="F626">
            <v>0</v>
          </cell>
        </row>
        <row r="627">
          <cell r="D627" t="str">
            <v>CIM Motor Mini CIM 63</v>
          </cell>
          <cell r="E627">
            <v>0</v>
          </cell>
          <cell r="F627">
            <v>0</v>
          </cell>
        </row>
        <row r="628">
          <cell r="D628" t="str">
            <v>CIM Motor Mini CIM 70</v>
          </cell>
          <cell r="E628">
            <v>0</v>
          </cell>
          <cell r="F628">
            <v>0</v>
          </cell>
        </row>
        <row r="629">
          <cell r="D629" t="str">
            <v>CIM Motor Mini CIM 81</v>
          </cell>
          <cell r="E629">
            <v>0</v>
          </cell>
          <cell r="F629">
            <v>0</v>
          </cell>
        </row>
        <row r="630">
          <cell r="D630" t="str">
            <v>CIM Motor Mini CIM 90</v>
          </cell>
          <cell r="E630">
            <v>0</v>
          </cell>
          <cell r="F630">
            <v>0</v>
          </cell>
        </row>
        <row r="631">
          <cell r="D631" t="str">
            <v>CIM Motor Mini CIM 100</v>
          </cell>
          <cell r="E631">
            <v>0</v>
          </cell>
          <cell r="F631">
            <v>0</v>
          </cell>
        </row>
        <row r="632">
          <cell r="D632" t="str">
            <v>CIM Motor CIM 9</v>
          </cell>
          <cell r="E632">
            <v>1</v>
          </cell>
          <cell r="F632">
            <v>0</v>
          </cell>
        </row>
        <row r="633">
          <cell r="D633" t="str">
            <v>CIM Motor CIM 12</v>
          </cell>
          <cell r="E633">
            <v>1</v>
          </cell>
          <cell r="F633">
            <v>0</v>
          </cell>
        </row>
        <row r="634">
          <cell r="D634" t="str">
            <v>CIM Motor CIM 15</v>
          </cell>
          <cell r="E634">
            <v>0</v>
          </cell>
          <cell r="F634">
            <v>0</v>
          </cell>
        </row>
        <row r="635">
          <cell r="D635" t="str">
            <v>CIM Motor CIM 16</v>
          </cell>
          <cell r="E635">
            <v>0</v>
          </cell>
          <cell r="F635">
            <v>0</v>
          </cell>
        </row>
        <row r="636">
          <cell r="D636" t="str">
            <v>CIM Motor CIM 20</v>
          </cell>
          <cell r="E636">
            <v>0</v>
          </cell>
          <cell r="F636">
            <v>0</v>
          </cell>
        </row>
        <row r="637">
          <cell r="D637" t="str">
            <v>CIM Motor CIM 21</v>
          </cell>
          <cell r="E637">
            <v>0</v>
          </cell>
          <cell r="F637">
            <v>0</v>
          </cell>
        </row>
        <row r="638">
          <cell r="D638" t="str">
            <v>CIM Motor CIM 25</v>
          </cell>
          <cell r="E638">
            <v>0</v>
          </cell>
          <cell r="F638">
            <v>0</v>
          </cell>
        </row>
        <row r="639">
          <cell r="D639" t="str">
            <v>CIM Motor CIM 27</v>
          </cell>
          <cell r="E639">
            <v>0</v>
          </cell>
          <cell r="F639">
            <v>0</v>
          </cell>
        </row>
        <row r="640">
          <cell r="D640" t="str">
            <v>CIM Motor CIM 28</v>
          </cell>
          <cell r="E640">
            <v>0</v>
          </cell>
          <cell r="F640">
            <v>0</v>
          </cell>
        </row>
        <row r="641">
          <cell r="D641" t="str">
            <v>CIM Motor CIM 30</v>
          </cell>
          <cell r="E641">
            <v>0</v>
          </cell>
          <cell r="F641">
            <v>0</v>
          </cell>
        </row>
        <row r="642">
          <cell r="D642" t="str">
            <v>CIM Motor CIM 35</v>
          </cell>
          <cell r="E642">
            <v>0</v>
          </cell>
          <cell r="F642">
            <v>0</v>
          </cell>
        </row>
        <row r="643">
          <cell r="D643" t="str">
            <v>CIM Motor CIM 36</v>
          </cell>
          <cell r="E643">
            <v>0</v>
          </cell>
          <cell r="F643">
            <v>0</v>
          </cell>
        </row>
        <row r="644">
          <cell r="D644" t="str">
            <v>CIM Motor CIM 40</v>
          </cell>
          <cell r="E644">
            <v>0</v>
          </cell>
          <cell r="F644">
            <v>0</v>
          </cell>
        </row>
        <row r="645">
          <cell r="D645" t="str">
            <v>CIM Motor CIM 45</v>
          </cell>
          <cell r="E645">
            <v>0</v>
          </cell>
          <cell r="F645">
            <v>0</v>
          </cell>
        </row>
        <row r="646">
          <cell r="D646" t="str">
            <v>CIM Motor CIM 49</v>
          </cell>
          <cell r="E646">
            <v>0</v>
          </cell>
          <cell r="F646">
            <v>0</v>
          </cell>
        </row>
        <row r="647">
          <cell r="D647" t="str">
            <v>CIM Motor CIM 50</v>
          </cell>
          <cell r="E647">
            <v>0</v>
          </cell>
          <cell r="F647">
            <v>0</v>
          </cell>
        </row>
        <row r="648">
          <cell r="D648" t="str">
            <v>CIM Motor CIM 63</v>
          </cell>
          <cell r="E648">
            <v>0</v>
          </cell>
          <cell r="F648">
            <v>0</v>
          </cell>
        </row>
        <row r="649">
          <cell r="D649" t="str">
            <v>CIM Motor CIM 70</v>
          </cell>
          <cell r="E649">
            <v>0</v>
          </cell>
          <cell r="F649">
            <v>0</v>
          </cell>
        </row>
        <row r="650">
          <cell r="D650" t="str">
            <v>CIM Motor CIM 81</v>
          </cell>
          <cell r="E650">
            <v>0</v>
          </cell>
          <cell r="F650">
            <v>0</v>
          </cell>
        </row>
        <row r="651">
          <cell r="D651" t="str">
            <v>CIM Motor CIM 90</v>
          </cell>
          <cell r="E651">
            <v>0</v>
          </cell>
          <cell r="F651">
            <v>0</v>
          </cell>
        </row>
        <row r="652">
          <cell r="D652" t="str">
            <v>CIM Motor CIM 100</v>
          </cell>
          <cell r="E652">
            <v>0</v>
          </cell>
          <cell r="F652">
            <v>0</v>
          </cell>
        </row>
        <row r="653">
          <cell r="D653" t="str">
            <v>CIM Motor 775pro 9</v>
          </cell>
          <cell r="E653">
            <v>4</v>
          </cell>
          <cell r="F653">
            <v>4</v>
          </cell>
        </row>
        <row r="654">
          <cell r="D654" t="str">
            <v>CIM Motor 775pro 12</v>
          </cell>
          <cell r="E654">
            <v>3</v>
          </cell>
          <cell r="F654">
            <v>3</v>
          </cell>
        </row>
        <row r="655">
          <cell r="D655" t="str">
            <v>CIM Motor 775pro 15</v>
          </cell>
          <cell r="E655">
            <v>1</v>
          </cell>
          <cell r="F655">
            <v>1</v>
          </cell>
        </row>
        <row r="656">
          <cell r="D656" t="str">
            <v>CIM Motor 775pro 16</v>
          </cell>
          <cell r="E656">
            <v>1</v>
          </cell>
          <cell r="F656">
            <v>1</v>
          </cell>
        </row>
        <row r="657">
          <cell r="D657" t="str">
            <v>CIM Motor 775pro 20</v>
          </cell>
          <cell r="E657">
            <v>1</v>
          </cell>
          <cell r="F657">
            <v>1</v>
          </cell>
        </row>
        <row r="658">
          <cell r="D658" t="str">
            <v>CIM Motor 775pro 21</v>
          </cell>
          <cell r="E658">
            <v>1</v>
          </cell>
          <cell r="F658">
            <v>1</v>
          </cell>
        </row>
        <row r="659">
          <cell r="D659" t="str">
            <v>CIM Motor 775pro 25</v>
          </cell>
          <cell r="E659">
            <v>1</v>
          </cell>
          <cell r="F659">
            <v>1</v>
          </cell>
        </row>
        <row r="660">
          <cell r="D660" t="str">
            <v>CIM Motor 775pro 27</v>
          </cell>
          <cell r="E660">
            <v>1</v>
          </cell>
          <cell r="F660">
            <v>1</v>
          </cell>
        </row>
        <row r="661">
          <cell r="D661" t="str">
            <v>CIM Motor 775pro 28</v>
          </cell>
          <cell r="E661">
            <v>1</v>
          </cell>
          <cell r="F661">
            <v>1</v>
          </cell>
        </row>
        <row r="662">
          <cell r="D662" t="str">
            <v>CIM Motor 775pro 30</v>
          </cell>
          <cell r="E662">
            <v>1</v>
          </cell>
          <cell r="F662">
            <v>1</v>
          </cell>
        </row>
        <row r="663">
          <cell r="D663" t="str">
            <v>CIM Motor 775pro 35</v>
          </cell>
          <cell r="E663">
            <v>1</v>
          </cell>
          <cell r="F663">
            <v>1</v>
          </cell>
        </row>
        <row r="664">
          <cell r="D664" t="str">
            <v>CIM Motor 775pro 36</v>
          </cell>
          <cell r="E664">
            <v>1</v>
          </cell>
          <cell r="F664">
            <v>1</v>
          </cell>
        </row>
        <row r="665">
          <cell r="D665" t="str">
            <v>CIM Motor 775pro 40</v>
          </cell>
          <cell r="E665">
            <v>1</v>
          </cell>
          <cell r="F665">
            <v>1</v>
          </cell>
        </row>
        <row r="666">
          <cell r="D666" t="str">
            <v>CIM Motor 775pro 45</v>
          </cell>
          <cell r="E666">
            <v>0</v>
          </cell>
          <cell r="F666">
            <v>0</v>
          </cell>
        </row>
        <row r="667">
          <cell r="D667" t="str">
            <v>CIM Motor 775pro 49</v>
          </cell>
          <cell r="E667">
            <v>0</v>
          </cell>
          <cell r="F667">
            <v>0</v>
          </cell>
        </row>
        <row r="668">
          <cell r="D668" t="str">
            <v>CIM Motor 775pro 50</v>
          </cell>
          <cell r="E668">
            <v>0</v>
          </cell>
          <cell r="F668">
            <v>0</v>
          </cell>
        </row>
        <row r="669">
          <cell r="D669" t="str">
            <v>CIM Motor 775pro 63</v>
          </cell>
          <cell r="E669">
            <v>0</v>
          </cell>
          <cell r="F669">
            <v>0</v>
          </cell>
        </row>
        <row r="670">
          <cell r="D670" t="str">
            <v>CIM Motor 775pro 70</v>
          </cell>
          <cell r="E670">
            <v>0</v>
          </cell>
          <cell r="F670">
            <v>0</v>
          </cell>
        </row>
        <row r="671">
          <cell r="D671" t="str">
            <v>CIM Motor 775pro 81</v>
          </cell>
          <cell r="E671">
            <v>0</v>
          </cell>
          <cell r="F671">
            <v>0</v>
          </cell>
        </row>
        <row r="672">
          <cell r="D672" t="str">
            <v>CIM Motor 775pro 90</v>
          </cell>
          <cell r="E672">
            <v>0</v>
          </cell>
          <cell r="F672">
            <v>0</v>
          </cell>
        </row>
        <row r="673">
          <cell r="D673" t="str">
            <v>CIM Motor 775pro 100</v>
          </cell>
          <cell r="E673">
            <v>0</v>
          </cell>
          <cell r="F673">
            <v>0</v>
          </cell>
        </row>
        <row r="674">
          <cell r="D674" t="str">
            <v>Female AM 9015 9</v>
          </cell>
          <cell r="E674">
            <v>10</v>
          </cell>
          <cell r="F674">
            <v>10</v>
          </cell>
        </row>
        <row r="675">
          <cell r="D675" t="str">
            <v>Female AM 9015 12</v>
          </cell>
          <cell r="E675">
            <v>10</v>
          </cell>
          <cell r="F675">
            <v>7</v>
          </cell>
        </row>
        <row r="676">
          <cell r="D676" t="str">
            <v>Female AM 9015 15</v>
          </cell>
          <cell r="E676">
            <v>10</v>
          </cell>
          <cell r="F676">
            <v>5</v>
          </cell>
        </row>
        <row r="677">
          <cell r="D677" t="str">
            <v>Female AM 9015 16</v>
          </cell>
          <cell r="E677">
            <v>10</v>
          </cell>
          <cell r="F677">
            <v>5</v>
          </cell>
        </row>
        <row r="678">
          <cell r="D678" t="str">
            <v>Female AM 9015 20</v>
          </cell>
          <cell r="E678">
            <v>10</v>
          </cell>
          <cell r="F678">
            <v>4</v>
          </cell>
        </row>
        <row r="679">
          <cell r="D679" t="str">
            <v>Female AM 9015 21</v>
          </cell>
          <cell r="E679">
            <v>10</v>
          </cell>
          <cell r="F679">
            <v>4</v>
          </cell>
        </row>
        <row r="680">
          <cell r="D680" t="str">
            <v>Female AM 9015 25</v>
          </cell>
          <cell r="E680">
            <v>7</v>
          </cell>
          <cell r="F680">
            <v>3</v>
          </cell>
        </row>
        <row r="681">
          <cell r="D681" t="str">
            <v>Female AM 9015 27</v>
          </cell>
          <cell r="E681">
            <v>7</v>
          </cell>
          <cell r="F681">
            <v>3</v>
          </cell>
        </row>
        <row r="682">
          <cell r="D682" t="str">
            <v>Female AM 9015 28</v>
          </cell>
          <cell r="E682">
            <v>7</v>
          </cell>
          <cell r="F682">
            <v>3</v>
          </cell>
        </row>
        <row r="683">
          <cell r="D683" t="str">
            <v>Female AM 9015 30</v>
          </cell>
          <cell r="E683">
            <v>7</v>
          </cell>
          <cell r="F683">
            <v>3</v>
          </cell>
        </row>
        <row r="684">
          <cell r="D684" t="str">
            <v>Female AM 9015 35</v>
          </cell>
          <cell r="E684">
            <v>5</v>
          </cell>
          <cell r="F684">
            <v>1</v>
          </cell>
        </row>
        <row r="685">
          <cell r="D685" t="str">
            <v>Female AM 9015 36</v>
          </cell>
          <cell r="E685">
            <v>5</v>
          </cell>
          <cell r="F685">
            <v>1</v>
          </cell>
        </row>
        <row r="686">
          <cell r="D686" t="str">
            <v>Female AM 9015 40</v>
          </cell>
          <cell r="E686">
            <v>5</v>
          </cell>
          <cell r="F686">
            <v>1</v>
          </cell>
        </row>
        <row r="687">
          <cell r="D687" t="str">
            <v>Female AM 9015 45</v>
          </cell>
          <cell r="E687">
            <v>5</v>
          </cell>
          <cell r="F687">
            <v>1</v>
          </cell>
        </row>
        <row r="688">
          <cell r="D688" t="str">
            <v>Female AM 9015 49</v>
          </cell>
          <cell r="E688">
            <v>5</v>
          </cell>
          <cell r="F688">
            <v>1</v>
          </cell>
        </row>
        <row r="689">
          <cell r="D689" t="str">
            <v>Female AM 9015 50</v>
          </cell>
          <cell r="E689">
            <v>5</v>
          </cell>
          <cell r="F689">
            <v>1</v>
          </cell>
        </row>
        <row r="690">
          <cell r="D690" t="str">
            <v>Female AM 9015 63</v>
          </cell>
          <cell r="E690">
            <v>5</v>
          </cell>
          <cell r="F690">
            <v>1</v>
          </cell>
        </row>
        <row r="691">
          <cell r="D691" t="str">
            <v>Female AM 9015 70</v>
          </cell>
          <cell r="E691">
            <v>4</v>
          </cell>
          <cell r="F691">
            <v>1</v>
          </cell>
        </row>
        <row r="692">
          <cell r="D692" t="str">
            <v>Female AM 9015 81</v>
          </cell>
          <cell r="E692">
            <v>4</v>
          </cell>
          <cell r="F692">
            <v>1</v>
          </cell>
        </row>
        <row r="693">
          <cell r="D693" t="str">
            <v>Female AM 9015 90</v>
          </cell>
          <cell r="E693">
            <v>3</v>
          </cell>
          <cell r="F693">
            <v>1</v>
          </cell>
        </row>
        <row r="694">
          <cell r="D694" t="str">
            <v>Female AM 9015 100</v>
          </cell>
          <cell r="E694">
            <v>3</v>
          </cell>
          <cell r="F694">
            <v>0</v>
          </cell>
        </row>
        <row r="695">
          <cell r="D695" t="str">
            <v>Female NeveRest 9</v>
          </cell>
          <cell r="E695">
            <v>10</v>
          </cell>
          <cell r="F695">
            <v>10</v>
          </cell>
        </row>
        <row r="696">
          <cell r="D696" t="str">
            <v>Female NeveRest 12</v>
          </cell>
          <cell r="E696">
            <v>10</v>
          </cell>
          <cell r="F696">
            <v>10</v>
          </cell>
        </row>
        <row r="697">
          <cell r="D697" t="str">
            <v>Female NeveRest 15</v>
          </cell>
          <cell r="E697">
            <v>10</v>
          </cell>
          <cell r="F697">
            <v>10</v>
          </cell>
        </row>
        <row r="698">
          <cell r="D698" t="str">
            <v>Female NeveRest 16</v>
          </cell>
          <cell r="E698">
            <v>10</v>
          </cell>
          <cell r="F698">
            <v>10</v>
          </cell>
        </row>
        <row r="699">
          <cell r="D699" t="str">
            <v>Female NeveRest 20</v>
          </cell>
          <cell r="E699">
            <v>10</v>
          </cell>
          <cell r="F699">
            <v>10</v>
          </cell>
        </row>
        <row r="700">
          <cell r="D700" t="str">
            <v>Female NeveRest 21</v>
          </cell>
          <cell r="E700">
            <v>9</v>
          </cell>
          <cell r="F700">
            <v>9</v>
          </cell>
        </row>
        <row r="701">
          <cell r="D701" t="str">
            <v>Female NeveRest 25</v>
          </cell>
          <cell r="E701">
            <v>7</v>
          </cell>
          <cell r="F701">
            <v>7</v>
          </cell>
        </row>
        <row r="702">
          <cell r="D702" t="str">
            <v>Female NeveRest 27</v>
          </cell>
          <cell r="E702">
            <v>7</v>
          </cell>
          <cell r="F702">
            <v>7</v>
          </cell>
        </row>
        <row r="703">
          <cell r="D703" t="str">
            <v>Female NeveRest 28</v>
          </cell>
          <cell r="E703">
            <v>7</v>
          </cell>
          <cell r="F703">
            <v>7</v>
          </cell>
        </row>
        <row r="704">
          <cell r="D704" t="str">
            <v>Female NeveRest 30</v>
          </cell>
          <cell r="E704">
            <v>5</v>
          </cell>
          <cell r="F704">
            <v>5</v>
          </cell>
        </row>
        <row r="705">
          <cell r="D705" t="str">
            <v>Female NeveRest 35</v>
          </cell>
          <cell r="E705">
            <v>5</v>
          </cell>
          <cell r="F705">
            <v>5</v>
          </cell>
        </row>
        <row r="706">
          <cell r="D706" t="str">
            <v>Female NeveRest 36</v>
          </cell>
          <cell r="E706">
            <v>5</v>
          </cell>
          <cell r="F706">
            <v>5</v>
          </cell>
        </row>
        <row r="707">
          <cell r="D707" t="str">
            <v>Female NeveRest 40</v>
          </cell>
          <cell r="E707">
            <v>5</v>
          </cell>
          <cell r="F707">
            <v>5</v>
          </cell>
        </row>
        <row r="708">
          <cell r="D708" t="str">
            <v>Female NeveRest 45</v>
          </cell>
          <cell r="E708">
            <v>5</v>
          </cell>
          <cell r="F708">
            <v>4</v>
          </cell>
        </row>
        <row r="709">
          <cell r="D709" t="str">
            <v>Female NeveRest 49</v>
          </cell>
          <cell r="E709">
            <v>5</v>
          </cell>
          <cell r="F709">
            <v>4</v>
          </cell>
        </row>
        <row r="710">
          <cell r="D710" t="str">
            <v>Female NeveRest 50</v>
          </cell>
          <cell r="E710">
            <v>5</v>
          </cell>
          <cell r="F710">
            <v>4</v>
          </cell>
        </row>
        <row r="711">
          <cell r="D711" t="str">
            <v>Female NeveRest 63</v>
          </cell>
          <cell r="E711">
            <v>4</v>
          </cell>
          <cell r="F711">
            <v>3</v>
          </cell>
        </row>
        <row r="712">
          <cell r="D712" t="str">
            <v>Female NeveRest 70</v>
          </cell>
          <cell r="E712">
            <v>4</v>
          </cell>
          <cell r="F712">
            <v>1</v>
          </cell>
        </row>
        <row r="713">
          <cell r="D713" t="str">
            <v>Female NeveRest 81</v>
          </cell>
          <cell r="E713">
            <v>3</v>
          </cell>
          <cell r="F713">
            <v>1</v>
          </cell>
        </row>
        <row r="714">
          <cell r="D714" t="str">
            <v>Female NeveRest 90</v>
          </cell>
          <cell r="E714">
            <v>3</v>
          </cell>
          <cell r="F714">
            <v>1</v>
          </cell>
        </row>
        <row r="715">
          <cell r="D715" t="str">
            <v>Female NeveRest 100</v>
          </cell>
          <cell r="E715">
            <v>3</v>
          </cell>
          <cell r="F715">
            <v>1</v>
          </cell>
        </row>
        <row r="716">
          <cell r="D716" t="str">
            <v>Female BB RS-550 9</v>
          </cell>
          <cell r="E716">
            <v>10</v>
          </cell>
          <cell r="F716">
            <v>10</v>
          </cell>
        </row>
        <row r="717">
          <cell r="D717" t="str">
            <v>Female BB RS-550 12</v>
          </cell>
          <cell r="E717">
            <v>10</v>
          </cell>
          <cell r="F717">
            <v>7</v>
          </cell>
        </row>
        <row r="718">
          <cell r="D718" t="str">
            <v>Female BB RS-550 15</v>
          </cell>
          <cell r="E718">
            <v>10</v>
          </cell>
          <cell r="F718">
            <v>5</v>
          </cell>
        </row>
        <row r="719">
          <cell r="D719" t="str">
            <v>Female BB RS-550 16</v>
          </cell>
          <cell r="E719">
            <v>10</v>
          </cell>
          <cell r="F719">
            <v>5</v>
          </cell>
        </row>
        <row r="720">
          <cell r="D720" t="str">
            <v>Female BB RS-550 20</v>
          </cell>
          <cell r="E720">
            <v>10</v>
          </cell>
          <cell r="F720">
            <v>4</v>
          </cell>
        </row>
        <row r="721">
          <cell r="D721" t="str">
            <v>Female BB RS-550 21</v>
          </cell>
          <cell r="E721">
            <v>9</v>
          </cell>
          <cell r="F721">
            <v>4</v>
          </cell>
        </row>
        <row r="722">
          <cell r="D722" t="str">
            <v>Female BB RS-550 25</v>
          </cell>
          <cell r="E722">
            <v>7</v>
          </cell>
          <cell r="F722">
            <v>3</v>
          </cell>
        </row>
        <row r="723">
          <cell r="D723" t="str">
            <v>Female BB RS-550 27</v>
          </cell>
          <cell r="E723">
            <v>7</v>
          </cell>
          <cell r="F723">
            <v>3</v>
          </cell>
        </row>
        <row r="724">
          <cell r="D724" t="str">
            <v>Female BB RS-550 28</v>
          </cell>
          <cell r="E724">
            <v>7</v>
          </cell>
          <cell r="F724">
            <v>3</v>
          </cell>
        </row>
        <row r="725">
          <cell r="D725" t="str">
            <v>Female BB RS-550 30</v>
          </cell>
          <cell r="E725">
            <v>5</v>
          </cell>
          <cell r="F725">
            <v>3</v>
          </cell>
        </row>
        <row r="726">
          <cell r="D726" t="str">
            <v>Female BB RS-550 35</v>
          </cell>
          <cell r="E726">
            <v>5</v>
          </cell>
          <cell r="F726">
            <v>1</v>
          </cell>
        </row>
        <row r="727">
          <cell r="D727" t="str">
            <v>Female BB RS-550 36</v>
          </cell>
          <cell r="E727">
            <v>5</v>
          </cell>
          <cell r="F727">
            <v>1</v>
          </cell>
        </row>
        <row r="728">
          <cell r="D728" t="str">
            <v>Female BB RS-550 40</v>
          </cell>
          <cell r="E728">
            <v>5</v>
          </cell>
          <cell r="F728">
            <v>1</v>
          </cell>
        </row>
        <row r="729">
          <cell r="D729" t="str">
            <v>Female BB RS-550 45</v>
          </cell>
          <cell r="E729">
            <v>5</v>
          </cell>
          <cell r="F729">
            <v>1</v>
          </cell>
        </row>
        <row r="730">
          <cell r="D730" t="str">
            <v>Female BB RS-550 49</v>
          </cell>
          <cell r="E730">
            <v>5</v>
          </cell>
          <cell r="F730">
            <v>1</v>
          </cell>
        </row>
        <row r="731">
          <cell r="D731" t="str">
            <v>Female BB RS-550 50</v>
          </cell>
          <cell r="E731">
            <v>5</v>
          </cell>
          <cell r="F731">
            <v>1</v>
          </cell>
        </row>
        <row r="732">
          <cell r="D732" t="str">
            <v>Female BB RS-550 63</v>
          </cell>
          <cell r="E732">
            <v>4</v>
          </cell>
          <cell r="F732">
            <v>1</v>
          </cell>
        </row>
        <row r="733">
          <cell r="D733" t="str">
            <v>Female BB RS-550 70</v>
          </cell>
          <cell r="E733">
            <v>4</v>
          </cell>
          <cell r="F733">
            <v>1</v>
          </cell>
        </row>
        <row r="734">
          <cell r="D734" t="str">
            <v>Female BB RS-550 81</v>
          </cell>
          <cell r="E734">
            <v>3</v>
          </cell>
          <cell r="F734">
            <v>1</v>
          </cell>
        </row>
        <row r="735">
          <cell r="D735" t="str">
            <v>Female BB RS-550 90</v>
          </cell>
          <cell r="E735">
            <v>3</v>
          </cell>
          <cell r="F735">
            <v>1</v>
          </cell>
        </row>
        <row r="736">
          <cell r="D736" t="str">
            <v>Female BB RS-550 100</v>
          </cell>
          <cell r="E736">
            <v>3</v>
          </cell>
          <cell r="F736">
            <v>0</v>
          </cell>
        </row>
        <row r="737">
          <cell r="D737" t="str">
            <v>Female BB RS-775 9</v>
          </cell>
          <cell r="E737">
            <v>10</v>
          </cell>
          <cell r="F737">
            <v>10</v>
          </cell>
        </row>
        <row r="738">
          <cell r="D738" t="str">
            <v>Female BB RS-775 12</v>
          </cell>
          <cell r="E738">
            <v>10</v>
          </cell>
          <cell r="F738">
            <v>10</v>
          </cell>
        </row>
        <row r="739">
          <cell r="D739" t="str">
            <v>Female BB RS-775 15</v>
          </cell>
          <cell r="E739">
            <v>7</v>
          </cell>
          <cell r="F739">
            <v>7</v>
          </cell>
        </row>
        <row r="740">
          <cell r="D740" t="str">
            <v>Female BB RS-775 16</v>
          </cell>
          <cell r="E740">
            <v>7</v>
          </cell>
          <cell r="F740">
            <v>7</v>
          </cell>
        </row>
        <row r="741">
          <cell r="D741" t="str">
            <v>Female BB RS-775 20</v>
          </cell>
          <cell r="E741">
            <v>5</v>
          </cell>
          <cell r="F741">
            <v>5</v>
          </cell>
        </row>
        <row r="742">
          <cell r="D742" t="str">
            <v>Female BB RS-775 21</v>
          </cell>
          <cell r="E742">
            <v>5</v>
          </cell>
          <cell r="F742">
            <v>5</v>
          </cell>
        </row>
        <row r="743">
          <cell r="D743" t="str">
            <v>Female BB RS-775 25</v>
          </cell>
          <cell r="E743">
            <v>5</v>
          </cell>
          <cell r="F743">
            <v>5</v>
          </cell>
        </row>
        <row r="744">
          <cell r="D744" t="str">
            <v>Female BB RS-775 27</v>
          </cell>
          <cell r="E744">
            <v>5</v>
          </cell>
          <cell r="F744">
            <v>4</v>
          </cell>
        </row>
        <row r="745">
          <cell r="D745" t="str">
            <v>Female BB RS-775 28</v>
          </cell>
          <cell r="E745">
            <v>5</v>
          </cell>
          <cell r="F745">
            <v>4</v>
          </cell>
        </row>
        <row r="746">
          <cell r="D746" t="str">
            <v>Female BB RS-775 30</v>
          </cell>
          <cell r="E746">
            <v>5</v>
          </cell>
          <cell r="F746">
            <v>4</v>
          </cell>
        </row>
        <row r="747">
          <cell r="D747" t="str">
            <v>Female BB RS-775 35</v>
          </cell>
          <cell r="E747">
            <v>5</v>
          </cell>
          <cell r="F747">
            <v>3</v>
          </cell>
        </row>
        <row r="748">
          <cell r="D748" t="str">
            <v>Female BB RS-775 36</v>
          </cell>
          <cell r="E748">
            <v>5</v>
          </cell>
          <cell r="F748">
            <v>3</v>
          </cell>
        </row>
        <row r="749">
          <cell r="D749" t="str">
            <v>Female BB RS-775 40</v>
          </cell>
          <cell r="E749">
            <v>4</v>
          </cell>
          <cell r="F749">
            <v>3</v>
          </cell>
        </row>
        <row r="750">
          <cell r="D750" t="str">
            <v>Female BB RS-775 45</v>
          </cell>
          <cell r="E750">
            <v>4</v>
          </cell>
          <cell r="F750">
            <v>1</v>
          </cell>
        </row>
        <row r="751">
          <cell r="D751" t="str">
            <v>Female BB RS-775 49</v>
          </cell>
          <cell r="E751">
            <v>4</v>
          </cell>
          <cell r="F751">
            <v>1</v>
          </cell>
        </row>
        <row r="752">
          <cell r="D752" t="str">
            <v>Female BB RS-775 50</v>
          </cell>
          <cell r="E752">
            <v>3</v>
          </cell>
          <cell r="F752">
            <v>1</v>
          </cell>
        </row>
        <row r="753">
          <cell r="D753" t="str">
            <v>Female BB RS-775 63</v>
          </cell>
          <cell r="E753">
            <v>3</v>
          </cell>
          <cell r="F753">
            <v>1</v>
          </cell>
        </row>
        <row r="754">
          <cell r="D754" t="str">
            <v>Female BB RS-775 70</v>
          </cell>
          <cell r="E754">
            <v>1</v>
          </cell>
          <cell r="F754">
            <v>1</v>
          </cell>
        </row>
        <row r="755">
          <cell r="D755" t="str">
            <v>Female BB RS-775 81</v>
          </cell>
          <cell r="E755">
            <v>1</v>
          </cell>
          <cell r="F755">
            <v>1</v>
          </cell>
        </row>
        <row r="756">
          <cell r="D756" t="str">
            <v>Female BB RS-775 90</v>
          </cell>
          <cell r="E756">
            <v>1</v>
          </cell>
          <cell r="F756">
            <v>1</v>
          </cell>
        </row>
        <row r="757">
          <cell r="D757" t="str">
            <v>Female BB RS-775 100</v>
          </cell>
          <cell r="E757">
            <v>1</v>
          </cell>
          <cell r="F757">
            <v>1</v>
          </cell>
        </row>
        <row r="758">
          <cell r="D758" t="str">
            <v>Female BAG 9</v>
          </cell>
          <cell r="E758">
            <v>10</v>
          </cell>
          <cell r="F758">
            <v>9</v>
          </cell>
        </row>
        <row r="759">
          <cell r="D759" t="str">
            <v>Female BAG 12</v>
          </cell>
          <cell r="E759">
            <v>10</v>
          </cell>
          <cell r="F759">
            <v>5</v>
          </cell>
        </row>
        <row r="760">
          <cell r="D760" t="str">
            <v>Female BAG 15</v>
          </cell>
          <cell r="E760">
            <v>10</v>
          </cell>
          <cell r="F760">
            <v>5</v>
          </cell>
        </row>
        <row r="761">
          <cell r="D761" t="str">
            <v>Female BAG 16</v>
          </cell>
          <cell r="E761">
            <v>10</v>
          </cell>
          <cell r="F761">
            <v>5</v>
          </cell>
        </row>
        <row r="762">
          <cell r="D762" t="str">
            <v>Female BAG 20</v>
          </cell>
          <cell r="E762">
            <v>10</v>
          </cell>
          <cell r="F762">
            <v>4</v>
          </cell>
        </row>
        <row r="763">
          <cell r="D763" t="str">
            <v>Female BAG 21</v>
          </cell>
          <cell r="E763">
            <v>10</v>
          </cell>
          <cell r="F763">
            <v>3</v>
          </cell>
        </row>
        <row r="764">
          <cell r="D764" t="str">
            <v>Female BAG 25</v>
          </cell>
          <cell r="E764">
            <v>7</v>
          </cell>
          <cell r="F764">
            <v>3</v>
          </cell>
        </row>
        <row r="765">
          <cell r="D765" t="str">
            <v>Female BAG 27</v>
          </cell>
          <cell r="E765">
            <v>7</v>
          </cell>
          <cell r="F765">
            <v>3</v>
          </cell>
        </row>
        <row r="766">
          <cell r="D766" t="str">
            <v>Female BAG 28</v>
          </cell>
          <cell r="E766">
            <v>7</v>
          </cell>
          <cell r="F766">
            <v>1</v>
          </cell>
        </row>
        <row r="767">
          <cell r="D767" t="str">
            <v>Female BAG 30</v>
          </cell>
          <cell r="E767">
            <v>7</v>
          </cell>
          <cell r="F767">
            <v>1</v>
          </cell>
        </row>
        <row r="768">
          <cell r="D768" t="str">
            <v>Female BAG 35</v>
          </cell>
          <cell r="E768">
            <v>5</v>
          </cell>
          <cell r="F768">
            <v>1</v>
          </cell>
        </row>
        <row r="769">
          <cell r="D769" t="str">
            <v>Female BAG 36</v>
          </cell>
          <cell r="E769">
            <v>5</v>
          </cell>
          <cell r="F769">
            <v>1</v>
          </cell>
        </row>
        <row r="770">
          <cell r="D770" t="str">
            <v>Female BAG 40</v>
          </cell>
          <cell r="E770">
            <v>5</v>
          </cell>
          <cell r="F770">
            <v>1</v>
          </cell>
        </row>
        <row r="771">
          <cell r="D771" t="str">
            <v>Female BAG 45</v>
          </cell>
          <cell r="E771">
            <v>5</v>
          </cell>
          <cell r="F771">
            <v>1</v>
          </cell>
        </row>
        <row r="772">
          <cell r="D772" t="str">
            <v>Female BAG 49</v>
          </cell>
          <cell r="E772">
            <v>5</v>
          </cell>
          <cell r="F772">
            <v>1</v>
          </cell>
        </row>
        <row r="773">
          <cell r="D773" t="str">
            <v>Female BAG 50</v>
          </cell>
          <cell r="E773">
            <v>5</v>
          </cell>
          <cell r="F773">
            <v>1</v>
          </cell>
        </row>
        <row r="774">
          <cell r="D774" t="str">
            <v>Female BAG 63</v>
          </cell>
          <cell r="E774">
            <v>5</v>
          </cell>
          <cell r="F774">
            <v>1</v>
          </cell>
        </row>
        <row r="775">
          <cell r="D775" t="str">
            <v>Female BAG 70</v>
          </cell>
          <cell r="E775">
            <v>4</v>
          </cell>
          <cell r="F775">
            <v>1</v>
          </cell>
        </row>
        <row r="776">
          <cell r="D776" t="str">
            <v>Female BAG 81</v>
          </cell>
          <cell r="E776">
            <v>4</v>
          </cell>
          <cell r="F776">
            <v>1</v>
          </cell>
        </row>
        <row r="777">
          <cell r="D777" t="str">
            <v>Female BAG 90</v>
          </cell>
          <cell r="E777">
            <v>3</v>
          </cell>
          <cell r="F777">
            <v>0</v>
          </cell>
        </row>
        <row r="778">
          <cell r="D778" t="str">
            <v>Female BAG 100</v>
          </cell>
          <cell r="E778">
            <v>3</v>
          </cell>
          <cell r="F778">
            <v>0</v>
          </cell>
        </row>
        <row r="779">
          <cell r="D779" t="str">
            <v>Female Mini CIM 9</v>
          </cell>
          <cell r="E779">
            <v>7</v>
          </cell>
          <cell r="F779">
            <v>0</v>
          </cell>
        </row>
        <row r="780">
          <cell r="D780" t="str">
            <v>Female Mini CIM 12</v>
          </cell>
          <cell r="E780">
            <v>5</v>
          </cell>
          <cell r="F780">
            <v>0</v>
          </cell>
        </row>
        <row r="781">
          <cell r="D781" t="str">
            <v>Female Mini CIM 15</v>
          </cell>
          <cell r="E781">
            <v>5</v>
          </cell>
          <cell r="F781">
            <v>0</v>
          </cell>
        </row>
        <row r="782">
          <cell r="D782" t="str">
            <v>Female Mini CIM 16</v>
          </cell>
          <cell r="E782">
            <v>5</v>
          </cell>
          <cell r="F782">
            <v>0</v>
          </cell>
        </row>
        <row r="783">
          <cell r="D783" t="str">
            <v>Female Mini CIM 20</v>
          </cell>
          <cell r="E783">
            <v>5</v>
          </cell>
          <cell r="F783">
            <v>0</v>
          </cell>
        </row>
        <row r="784">
          <cell r="D784" t="str">
            <v>Female Mini CIM 21</v>
          </cell>
          <cell r="E784">
            <v>5</v>
          </cell>
          <cell r="F784">
            <v>0</v>
          </cell>
        </row>
        <row r="785">
          <cell r="D785" t="str">
            <v>Female Mini CIM 25</v>
          </cell>
          <cell r="E785">
            <v>4</v>
          </cell>
          <cell r="F785">
            <v>0</v>
          </cell>
        </row>
        <row r="786">
          <cell r="D786" t="str">
            <v>Female Mini CIM 27</v>
          </cell>
          <cell r="E786">
            <v>4</v>
          </cell>
          <cell r="F786">
            <v>0</v>
          </cell>
        </row>
        <row r="787">
          <cell r="D787" t="str">
            <v>Female Mini CIM 28</v>
          </cell>
          <cell r="E787">
            <v>3</v>
          </cell>
          <cell r="F787">
            <v>0</v>
          </cell>
        </row>
        <row r="788">
          <cell r="D788" t="str">
            <v>Female Mini CIM 30</v>
          </cell>
          <cell r="E788">
            <v>3</v>
          </cell>
          <cell r="F788">
            <v>0</v>
          </cell>
        </row>
        <row r="789">
          <cell r="D789" t="str">
            <v>Female Mini CIM 35</v>
          </cell>
          <cell r="E789">
            <v>3</v>
          </cell>
          <cell r="F789">
            <v>0</v>
          </cell>
        </row>
        <row r="790">
          <cell r="D790" t="str">
            <v>Female Mini CIM 36</v>
          </cell>
          <cell r="E790">
            <v>1</v>
          </cell>
          <cell r="F790">
            <v>0</v>
          </cell>
        </row>
        <row r="791">
          <cell r="D791" t="str">
            <v>Female Mini CIM 40</v>
          </cell>
          <cell r="E791">
            <v>1</v>
          </cell>
          <cell r="F791">
            <v>0</v>
          </cell>
        </row>
        <row r="792">
          <cell r="D792" t="str">
            <v>Female Mini CIM 45</v>
          </cell>
          <cell r="E792">
            <v>1</v>
          </cell>
          <cell r="F792">
            <v>0</v>
          </cell>
        </row>
        <row r="793">
          <cell r="D793" t="str">
            <v>Female Mini CIM 49</v>
          </cell>
          <cell r="E793">
            <v>1</v>
          </cell>
          <cell r="F793">
            <v>0</v>
          </cell>
        </row>
        <row r="794">
          <cell r="D794" t="str">
            <v>Female Mini CIM 50</v>
          </cell>
          <cell r="E794">
            <v>1</v>
          </cell>
          <cell r="F794">
            <v>0</v>
          </cell>
        </row>
        <row r="795">
          <cell r="D795" t="str">
            <v>Female Mini CIM 63</v>
          </cell>
          <cell r="E795">
            <v>1</v>
          </cell>
          <cell r="F795">
            <v>0</v>
          </cell>
        </row>
        <row r="796">
          <cell r="D796" t="str">
            <v>Female Mini CIM 70</v>
          </cell>
          <cell r="E796">
            <v>0</v>
          </cell>
          <cell r="F796">
            <v>0</v>
          </cell>
        </row>
        <row r="797">
          <cell r="D797" t="str">
            <v>Female Mini CIM 81</v>
          </cell>
          <cell r="E797">
            <v>0</v>
          </cell>
          <cell r="F797">
            <v>0</v>
          </cell>
        </row>
        <row r="798">
          <cell r="D798" t="str">
            <v>Female Mini CIM 90</v>
          </cell>
          <cell r="E798">
            <v>0</v>
          </cell>
          <cell r="F798">
            <v>0</v>
          </cell>
        </row>
        <row r="799">
          <cell r="D799" t="str">
            <v>Female Mini CIM 100</v>
          </cell>
          <cell r="E799">
            <v>0</v>
          </cell>
          <cell r="F799">
            <v>0</v>
          </cell>
        </row>
        <row r="800">
          <cell r="D800" t="str">
            <v>Female CIM 9</v>
          </cell>
          <cell r="E800">
            <v>5</v>
          </cell>
          <cell r="F800">
            <v>0</v>
          </cell>
        </row>
        <row r="801">
          <cell r="D801" t="str">
            <v>Female CIM 12</v>
          </cell>
          <cell r="E801">
            <v>5</v>
          </cell>
          <cell r="F801">
            <v>0</v>
          </cell>
        </row>
        <row r="802">
          <cell r="D802" t="str">
            <v>Female CIM 15</v>
          </cell>
          <cell r="E802">
            <v>4</v>
          </cell>
          <cell r="F802">
            <v>0</v>
          </cell>
        </row>
        <row r="803">
          <cell r="D803" t="str">
            <v>Female CIM 16</v>
          </cell>
          <cell r="E803">
            <v>4</v>
          </cell>
          <cell r="F803">
            <v>0</v>
          </cell>
        </row>
        <row r="804">
          <cell r="D804" t="str">
            <v>Female CIM 20</v>
          </cell>
          <cell r="E804">
            <v>3</v>
          </cell>
          <cell r="F804">
            <v>0</v>
          </cell>
        </row>
        <row r="805">
          <cell r="D805" t="str">
            <v>Female CIM 21</v>
          </cell>
          <cell r="E805">
            <v>3</v>
          </cell>
          <cell r="F805">
            <v>0</v>
          </cell>
        </row>
        <row r="806">
          <cell r="D806" t="str">
            <v>Female CIM 25</v>
          </cell>
          <cell r="E806">
            <v>1</v>
          </cell>
          <cell r="F806">
            <v>0</v>
          </cell>
        </row>
        <row r="807">
          <cell r="D807" t="str">
            <v>Female CIM 27</v>
          </cell>
          <cell r="E807">
            <v>1</v>
          </cell>
          <cell r="F807">
            <v>0</v>
          </cell>
        </row>
        <row r="808">
          <cell r="D808" t="str">
            <v>Female CIM 28</v>
          </cell>
          <cell r="E808">
            <v>1</v>
          </cell>
          <cell r="F808">
            <v>0</v>
          </cell>
        </row>
        <row r="809">
          <cell r="D809" t="str">
            <v>Female CIM 30</v>
          </cell>
          <cell r="E809">
            <v>1</v>
          </cell>
          <cell r="F809">
            <v>0</v>
          </cell>
        </row>
        <row r="810">
          <cell r="D810" t="str">
            <v>Female CIM 35</v>
          </cell>
          <cell r="E810">
            <v>1</v>
          </cell>
          <cell r="F810">
            <v>0</v>
          </cell>
        </row>
        <row r="811">
          <cell r="D811" t="str">
            <v>Female CIM 36</v>
          </cell>
          <cell r="E811">
            <v>1</v>
          </cell>
          <cell r="F811">
            <v>0</v>
          </cell>
        </row>
        <row r="812">
          <cell r="D812" t="str">
            <v>Female CIM 40</v>
          </cell>
          <cell r="E812">
            <v>1</v>
          </cell>
          <cell r="F812">
            <v>0</v>
          </cell>
        </row>
        <row r="813">
          <cell r="D813" t="str">
            <v>Female CIM 45</v>
          </cell>
          <cell r="E813">
            <v>0</v>
          </cell>
          <cell r="F813">
            <v>0</v>
          </cell>
        </row>
        <row r="814">
          <cell r="D814" t="str">
            <v>Female CIM 49</v>
          </cell>
          <cell r="E814">
            <v>0</v>
          </cell>
          <cell r="F814">
            <v>0</v>
          </cell>
        </row>
        <row r="815">
          <cell r="D815" t="str">
            <v>Female CIM 50</v>
          </cell>
          <cell r="E815">
            <v>0</v>
          </cell>
          <cell r="F815">
            <v>0</v>
          </cell>
        </row>
        <row r="816">
          <cell r="D816" t="str">
            <v>Female CIM 63</v>
          </cell>
          <cell r="E816">
            <v>0</v>
          </cell>
          <cell r="F816">
            <v>0</v>
          </cell>
        </row>
        <row r="817">
          <cell r="D817" t="str">
            <v>Female CIM 70</v>
          </cell>
          <cell r="E817">
            <v>0</v>
          </cell>
          <cell r="F817">
            <v>0</v>
          </cell>
        </row>
        <row r="818">
          <cell r="D818" t="str">
            <v>Female CIM 81</v>
          </cell>
          <cell r="E818">
            <v>0</v>
          </cell>
          <cell r="F818">
            <v>0</v>
          </cell>
        </row>
        <row r="819">
          <cell r="D819" t="str">
            <v>Female CIM 90</v>
          </cell>
          <cell r="E819">
            <v>0</v>
          </cell>
          <cell r="F819">
            <v>0</v>
          </cell>
        </row>
        <row r="820">
          <cell r="D820" t="str">
            <v>Female CIM 100</v>
          </cell>
          <cell r="E820">
            <v>0</v>
          </cell>
          <cell r="F820">
            <v>0</v>
          </cell>
        </row>
        <row r="821">
          <cell r="D821" t="str">
            <v>Female 775pro 9</v>
          </cell>
          <cell r="E821">
            <v>10</v>
          </cell>
          <cell r="F821">
            <v>5</v>
          </cell>
        </row>
        <row r="822">
          <cell r="D822" t="str">
            <v>Female 775pro 12</v>
          </cell>
          <cell r="E822">
            <v>10</v>
          </cell>
          <cell r="F822">
            <v>4</v>
          </cell>
        </row>
        <row r="823">
          <cell r="D823" t="str">
            <v>Female 775pro 15</v>
          </cell>
          <cell r="E823">
            <v>10</v>
          </cell>
          <cell r="F823">
            <v>3</v>
          </cell>
        </row>
        <row r="824">
          <cell r="D824" t="str">
            <v>Female 775pro 16</v>
          </cell>
          <cell r="E824">
            <v>10</v>
          </cell>
          <cell r="F824">
            <v>3</v>
          </cell>
        </row>
        <row r="825">
          <cell r="D825" t="str">
            <v>Female 775pro 20</v>
          </cell>
          <cell r="E825">
            <v>10</v>
          </cell>
          <cell r="F825">
            <v>1</v>
          </cell>
        </row>
        <row r="826">
          <cell r="D826" t="str">
            <v>Female 775pro 21</v>
          </cell>
          <cell r="E826">
            <v>10</v>
          </cell>
          <cell r="F826">
            <v>1</v>
          </cell>
        </row>
        <row r="827">
          <cell r="D827" t="str">
            <v>Female 775pro 25</v>
          </cell>
          <cell r="E827">
            <v>7</v>
          </cell>
          <cell r="F827">
            <v>1</v>
          </cell>
        </row>
        <row r="828">
          <cell r="D828" t="str">
            <v>Female 775pro 27</v>
          </cell>
          <cell r="E828">
            <v>7</v>
          </cell>
          <cell r="F828">
            <v>1</v>
          </cell>
        </row>
        <row r="829">
          <cell r="D829" t="str">
            <v>Female 775pro 28</v>
          </cell>
          <cell r="E829">
            <v>7</v>
          </cell>
          <cell r="F829">
            <v>1</v>
          </cell>
        </row>
        <row r="830">
          <cell r="D830" t="str">
            <v>Female 775pro 30</v>
          </cell>
          <cell r="E830">
            <v>7</v>
          </cell>
          <cell r="F830">
            <v>1</v>
          </cell>
        </row>
        <row r="831">
          <cell r="D831" t="str">
            <v>Female 775pro 35</v>
          </cell>
          <cell r="E831">
            <v>5</v>
          </cell>
          <cell r="F831">
            <v>1</v>
          </cell>
        </row>
        <row r="832">
          <cell r="D832" t="str">
            <v>Female 775pro 36</v>
          </cell>
          <cell r="E832">
            <v>5</v>
          </cell>
          <cell r="F832">
            <v>1</v>
          </cell>
        </row>
        <row r="833">
          <cell r="D833" t="str">
            <v>Female 775pro 40</v>
          </cell>
          <cell r="E833">
            <v>5</v>
          </cell>
          <cell r="F833">
            <v>1</v>
          </cell>
        </row>
        <row r="834">
          <cell r="D834" t="str">
            <v>Female 775pro 45</v>
          </cell>
          <cell r="E834">
            <v>4</v>
          </cell>
          <cell r="F834">
            <v>1</v>
          </cell>
        </row>
        <row r="835">
          <cell r="D835" t="str">
            <v>Female 775pro 49</v>
          </cell>
          <cell r="E835">
            <v>4</v>
          </cell>
          <cell r="F835">
            <v>1</v>
          </cell>
        </row>
        <row r="836">
          <cell r="D836" t="str">
            <v>Female 775pro 50</v>
          </cell>
          <cell r="E836">
            <v>4</v>
          </cell>
          <cell r="F836">
            <v>0</v>
          </cell>
        </row>
        <row r="837">
          <cell r="D837" t="str">
            <v>Female 775pro 63</v>
          </cell>
          <cell r="E837">
            <v>3</v>
          </cell>
          <cell r="F837">
            <v>0</v>
          </cell>
        </row>
        <row r="838">
          <cell r="D838" t="str">
            <v>Female 775pro 70</v>
          </cell>
          <cell r="E838">
            <v>3</v>
          </cell>
          <cell r="F838">
            <v>0</v>
          </cell>
        </row>
        <row r="839">
          <cell r="D839" t="str">
            <v>Female 775pro 81</v>
          </cell>
          <cell r="E839">
            <v>1</v>
          </cell>
          <cell r="F839">
            <v>0</v>
          </cell>
        </row>
        <row r="840">
          <cell r="D840" t="str">
            <v>Female 775pro 90</v>
          </cell>
          <cell r="E840">
            <v>1</v>
          </cell>
          <cell r="F840">
            <v>0</v>
          </cell>
        </row>
        <row r="841">
          <cell r="D841" t="str">
            <v>Female 775pro 100</v>
          </cell>
          <cell r="E841">
            <v>1</v>
          </cell>
          <cell r="F841">
            <v>0</v>
          </cell>
        </row>
      </sheetData>
      <sheetData sheetId="12"/>
      <sheetData sheetId="13">
        <row r="5">
          <cell r="B5" t="str">
            <v>CIM</v>
          </cell>
          <cell r="C5">
            <v>5330</v>
          </cell>
          <cell r="D5">
            <v>2.41</v>
          </cell>
          <cell r="E5">
            <v>2.7</v>
          </cell>
          <cell r="F5">
            <v>131</v>
          </cell>
          <cell r="G5">
            <v>336.28916760964142</v>
          </cell>
          <cell r="J5" t="str">
            <v>#25 Chain</v>
          </cell>
          <cell r="K5">
            <v>6.35</v>
          </cell>
          <cell r="L5">
            <v>9</v>
          </cell>
          <cell r="M5">
            <v>5.9</v>
          </cell>
          <cell r="N5">
            <v>0.31</v>
          </cell>
          <cell r="Q5" t="str">
            <v>7075-T6 Al</v>
          </cell>
          <cell r="R5">
            <v>71700</v>
          </cell>
          <cell r="S5">
            <v>26900</v>
          </cell>
        </row>
        <row r="6">
          <cell r="B6" t="str">
            <v>Mini CIM</v>
          </cell>
          <cell r="C6">
            <v>5840</v>
          </cell>
          <cell r="D6">
            <v>1.41</v>
          </cell>
          <cell r="E6">
            <v>3</v>
          </cell>
          <cell r="F6">
            <v>89</v>
          </cell>
          <cell r="G6">
            <v>215.57608788933157</v>
          </cell>
          <cell r="J6" t="str">
            <v>#35 Chain</v>
          </cell>
          <cell r="K6">
            <v>9.5299999999999994</v>
          </cell>
          <cell r="L6">
            <v>11.76</v>
          </cell>
          <cell r="M6">
            <v>8.94</v>
          </cell>
          <cell r="N6">
            <v>0.41</v>
          </cell>
          <cell r="Q6" t="str">
            <v>6061-T6 Al</v>
          </cell>
          <cell r="R6">
            <v>68900</v>
          </cell>
          <cell r="S6">
            <v>26000</v>
          </cell>
        </row>
        <row r="7">
          <cell r="B7" t="str">
            <v>NEO</v>
          </cell>
          <cell r="C7">
            <v>5676</v>
          </cell>
          <cell r="D7">
            <v>2.6</v>
          </cell>
          <cell r="E7">
            <v>1.8</v>
          </cell>
          <cell r="F7">
            <v>105</v>
          </cell>
          <cell r="G7">
            <v>386.35306453847278</v>
          </cell>
          <cell r="J7" t="str">
            <v>5mm HTD</v>
          </cell>
          <cell r="K7">
            <v>5</v>
          </cell>
          <cell r="L7">
            <v>15</v>
          </cell>
          <cell r="M7">
            <v>3</v>
          </cell>
          <cell r="N7">
            <v>0</v>
          </cell>
          <cell r="Q7" t="str">
            <v>Steel</v>
          </cell>
          <cell r="R7">
            <v>206000</v>
          </cell>
          <cell r="S7">
            <v>70000</v>
          </cell>
        </row>
        <row r="8">
          <cell r="B8" t="str">
            <v>BAG Motor</v>
          </cell>
          <cell r="C8">
            <v>13180</v>
          </cell>
          <cell r="D8">
            <v>0.43</v>
          </cell>
          <cell r="E8">
            <v>1.8</v>
          </cell>
          <cell r="F8">
            <v>53</v>
          </cell>
          <cell r="G8">
            <v>148.37218504128995</v>
          </cell>
          <cell r="J8" t="str">
            <v>3mm GT2</v>
          </cell>
          <cell r="K8">
            <v>3</v>
          </cell>
          <cell r="L8">
            <v>9</v>
          </cell>
          <cell r="M8">
            <v>3</v>
          </cell>
          <cell r="N8">
            <v>0</v>
          </cell>
          <cell r="Q8" t="str">
            <v>Stainless</v>
          </cell>
          <cell r="R8">
            <v>193000</v>
          </cell>
          <cell r="S8">
            <v>77000</v>
          </cell>
        </row>
        <row r="9">
          <cell r="B9" t="str">
            <v>775pro</v>
          </cell>
          <cell r="C9">
            <v>18730</v>
          </cell>
          <cell r="D9">
            <v>0.71</v>
          </cell>
          <cell r="E9">
            <v>0.7</v>
          </cell>
          <cell r="F9">
            <v>134</v>
          </cell>
          <cell r="G9">
            <v>348.14867987694288</v>
          </cell>
        </row>
        <row r="10">
          <cell r="B10" t="str">
            <v>Redline</v>
          </cell>
          <cell r="C10">
            <v>21020</v>
          </cell>
          <cell r="D10">
            <v>0.7</v>
          </cell>
          <cell r="E10">
            <v>3.8</v>
          </cell>
          <cell r="F10">
            <v>130</v>
          </cell>
          <cell r="G10">
            <v>385.21161920766843</v>
          </cell>
        </row>
        <row r="11">
          <cell r="B11" t="str">
            <v>AM 775</v>
          </cell>
          <cell r="C11">
            <v>5800</v>
          </cell>
          <cell r="D11">
            <v>0.28000000000000003</v>
          </cell>
          <cell r="E11">
            <v>1.6</v>
          </cell>
          <cell r="F11">
            <v>18</v>
          </cell>
          <cell r="G11">
            <v>42.516220578581873</v>
          </cell>
        </row>
        <row r="12">
          <cell r="B12" t="str">
            <v>AM 9015</v>
          </cell>
          <cell r="C12">
            <v>14270</v>
          </cell>
          <cell r="D12">
            <v>0.36</v>
          </cell>
          <cell r="E12">
            <v>3.7</v>
          </cell>
          <cell r="F12">
            <v>71</v>
          </cell>
          <cell r="G12">
            <v>134.49158150017905</v>
          </cell>
        </row>
        <row r="13">
          <cell r="B13" t="str">
            <v>CIM + Mini</v>
          </cell>
          <cell r="C13">
            <v>5508</v>
          </cell>
          <cell r="D13">
            <v>3.82</v>
          </cell>
          <cell r="E13">
            <v>8.16</v>
          </cell>
          <cell r="F13">
            <v>220</v>
          </cell>
          <cell r="G13">
            <v>550.84057269512709</v>
          </cell>
        </row>
        <row r="14">
          <cell r="B14" t="str">
            <v>CIM + 2 Mini</v>
          </cell>
          <cell r="C14">
            <v>5593</v>
          </cell>
          <cell r="D14">
            <v>5.23</v>
          </cell>
          <cell r="E14">
            <v>9.6199999999999992</v>
          </cell>
          <cell r="F14">
            <v>309</v>
          </cell>
          <cell r="G14">
            <v>765.79959942741618</v>
          </cell>
        </row>
        <row r="15">
          <cell r="B15" t="str">
            <v>2 CIM + Mini</v>
          </cell>
          <cell r="C15">
            <v>5437</v>
          </cell>
          <cell r="D15">
            <v>6.23</v>
          </cell>
          <cell r="E15">
            <v>9.15</v>
          </cell>
          <cell r="F15">
            <v>351</v>
          </cell>
          <cell r="G15">
            <v>886.78023812205663</v>
          </cell>
        </row>
        <row r="16">
          <cell r="B16" t="str">
            <v>BB RS-775</v>
          </cell>
          <cell r="C16">
            <v>13050</v>
          </cell>
          <cell r="D16">
            <v>0.72</v>
          </cell>
          <cell r="E16">
            <v>2.7</v>
          </cell>
          <cell r="F16">
            <v>97</v>
          </cell>
          <cell r="G16">
            <v>245.98670477608078</v>
          </cell>
        </row>
        <row r="17">
          <cell r="B17" t="str">
            <v>BB RS-550</v>
          </cell>
          <cell r="C17">
            <v>19000</v>
          </cell>
          <cell r="D17">
            <v>0.38</v>
          </cell>
          <cell r="E17">
            <v>0.4</v>
          </cell>
          <cell r="F17">
            <v>84</v>
          </cell>
          <cell r="G17">
            <v>189.01915799098592</v>
          </cell>
        </row>
        <row r="18">
          <cell r="B18" t="str">
            <v>Snowblower</v>
          </cell>
          <cell r="C18">
            <v>100</v>
          </cell>
          <cell r="D18">
            <v>7.91</v>
          </cell>
          <cell r="E18">
            <v>5</v>
          </cell>
          <cell r="F18">
            <v>24</v>
          </cell>
          <cell r="G18">
            <v>20.708331574912719</v>
          </cell>
        </row>
        <row r="19">
          <cell r="B19" t="str">
            <v>NeveRest</v>
          </cell>
          <cell r="C19">
            <v>6600</v>
          </cell>
          <cell r="D19">
            <v>6.1800000000000001E-2</v>
          </cell>
          <cell r="E19">
            <v>2</v>
          </cell>
          <cell r="F19">
            <v>11.5</v>
          </cell>
          <cell r="G19">
            <v>10.678273429551707</v>
          </cell>
        </row>
        <row r="20">
          <cell r="B20" t="str">
            <v>Throttle Motor</v>
          </cell>
          <cell r="C20">
            <v>5300</v>
          </cell>
          <cell r="D20">
            <v>0.13</v>
          </cell>
          <cell r="E20">
            <v>1</v>
          </cell>
          <cell r="F20">
            <v>7</v>
          </cell>
          <cell r="G20">
            <v>18.037977819361398</v>
          </cell>
        </row>
        <row r="21">
          <cell r="B21" t="str">
            <v>Bosch Motor</v>
          </cell>
          <cell r="C21">
            <v>24</v>
          </cell>
          <cell r="D21">
            <v>22</v>
          </cell>
          <cell r="E21">
            <v>3</v>
          </cell>
          <cell r="F21">
            <v>12</v>
          </cell>
          <cell r="G21">
            <v>13.82300767579509</v>
          </cell>
        </row>
        <row r="22">
          <cell r="B22" t="str">
            <v>Dynamo</v>
          </cell>
          <cell r="C22">
            <v>3084</v>
          </cell>
          <cell r="D22">
            <v>0.32</v>
          </cell>
          <cell r="E22">
            <v>0.28000000000000003</v>
          </cell>
          <cell r="F22">
            <v>6.5</v>
          </cell>
          <cell r="G22">
            <v>25.836457983122461</v>
          </cell>
        </row>
        <row r="23">
          <cell r="B23" t="str">
            <v>Window Motor</v>
          </cell>
          <cell r="C23">
            <v>90</v>
          </cell>
          <cell r="D23">
            <v>9.24</v>
          </cell>
          <cell r="E23">
            <v>1.5</v>
          </cell>
          <cell r="F23">
            <v>16.25</v>
          </cell>
          <cell r="G23">
            <v>21.771237089377266</v>
          </cell>
        </row>
        <row r="24">
          <cell r="G24">
            <v>0</v>
          </cell>
        </row>
        <row r="25">
          <cell r="G25">
            <v>0</v>
          </cell>
        </row>
        <row r="26">
          <cell r="G26">
            <v>0</v>
          </cell>
        </row>
        <row r="27">
          <cell r="G27">
            <v>0</v>
          </cell>
        </row>
        <row r="28">
          <cell r="G28">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EZ121"/>
  <sheetViews>
    <sheetView tabSelected="1"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9" width="9.140625" style="1"/>
    <col min="20" max="154" width="9.140625" style="3" hidden="1" customWidth="1"/>
    <col min="155" max="16384" width="9.140625" style="1"/>
  </cols>
  <sheetData>
    <row r="2" spans="2:156" ht="31.5" x14ac:dyDescent="0.25">
      <c r="C2" s="2" t="s">
        <v>0</v>
      </c>
    </row>
    <row r="3" spans="2:156" x14ac:dyDescent="0.25">
      <c r="I3" s="4" t="s">
        <v>1</v>
      </c>
      <c r="J3" s="5"/>
    </row>
    <row r="4" spans="2:156" x14ac:dyDescent="0.25">
      <c r="B4" s="6" t="b">
        <v>1</v>
      </c>
      <c r="C4" s="1" t="s">
        <v>2</v>
      </c>
      <c r="V4" s="7"/>
      <c r="W4" s="8"/>
      <c r="Y4" s="9"/>
      <c r="Z4" s="8"/>
    </row>
    <row r="5" spans="2:156" x14ac:dyDescent="0.25">
      <c r="T5" s="3">
        <f>IF($I$3="Forward",D7,G7)</f>
        <v>0.29999999999999993</v>
      </c>
      <c r="V5" s="7"/>
      <c r="W5" s="8"/>
      <c r="Y5" s="9"/>
      <c r="Z5" s="8"/>
    </row>
    <row r="6" spans="2:156" ht="18.75" x14ac:dyDescent="0.25">
      <c r="C6" s="10" t="s">
        <v>3</v>
      </c>
      <c r="D6" s="10"/>
      <c r="F6" s="10" t="s">
        <v>1</v>
      </c>
      <c r="G6" s="10"/>
    </row>
    <row r="7" spans="2:156" x14ac:dyDescent="0.25">
      <c r="C7" s="11" t="str">
        <f>"Release Height (" &amp; IF($B$4, "m", "ft") &amp; ")"</f>
        <v>Release Height (m)</v>
      </c>
      <c r="D7" s="12">
        <v>0.2</v>
      </c>
      <c r="F7" s="11" t="str">
        <f>"Release Height (" &amp; IF($B$4, "m", "ft") &amp; ")"</f>
        <v>Release Height (m)</v>
      </c>
      <c r="G7" s="12">
        <v>0.29999999999999993</v>
      </c>
      <c r="T7" s="7">
        <f>IF($I$3="Forward", $D$8-$D$9, $G$8-$G$9)</f>
        <v>1.9999999999999998</v>
      </c>
      <c r="U7" s="7">
        <f>$G$10-$G$11</f>
        <v>2.5</v>
      </c>
      <c r="V7" s="7">
        <f>$G$12-$G$13</f>
        <v>-80</v>
      </c>
      <c r="W7" s="7">
        <f>IF($I$3="Forward", $D$10*(1-$D$11), SQRT((IF($B$4, 9.807, 32.174)*T7)/(ABS(TAN(RADIANS(X7))-TAN(RADIANS(V7)))))/COS(RADIANS(X7)))</f>
        <v>9.5489346835634272</v>
      </c>
      <c r="X7" s="8">
        <f>IF($I$3="Forward", $D$12-$D$13, DEGREES(ATAN(2*(U7-$T$5)/T7-TAN(RADIANS(V7)))))</f>
        <v>82.759695716411017</v>
      </c>
      <c r="Y7" s="7">
        <f>IF($I$3="Forward", $D$8, $G$8)</f>
        <v>1.9999999999999998</v>
      </c>
      <c r="Z7" s="7">
        <f>$G$10-$G$11</f>
        <v>2.5</v>
      </c>
      <c r="AA7" s="7">
        <f>$G$12-$G$13</f>
        <v>-80</v>
      </c>
      <c r="AB7" s="7">
        <f>IF($I$3="Forward", $D$10*(1-$D$11), SQRT((IF($B$4, 9.807, 32.174)*Y7)/(ABS(TAN(RADIANS(AC7))-TAN(RADIANS(AA7)))))/COS(RADIANS(AC7)))</f>
        <v>9.5489346835634272</v>
      </c>
      <c r="AC7" s="8">
        <f>IF($I$3="Forward", $D$12-$D$13, DEGREES(ATAN(2*(Z7-$T$5)/Y7-TAN(RADIANS(AA7)))))</f>
        <v>82.759695716411017</v>
      </c>
      <c r="AD7" s="7">
        <f>IF($I$3="Forward", $D$8+$D$9, $G$8+$G$9)</f>
        <v>1.9999999999999998</v>
      </c>
      <c r="AE7" s="7">
        <f>$G$10-$G$11</f>
        <v>2.5</v>
      </c>
      <c r="AF7" s="7">
        <f>$G$12-$G$13</f>
        <v>-80</v>
      </c>
      <c r="AG7" s="7">
        <f>IF($I$3="Forward", $D$10*(1-$D$11), SQRT((IF($B$4, 9.807, 32.174)*AD7)/(ABS(TAN(RADIANS(AH7))-TAN(RADIANS(AF7)))))/COS(RADIANS(AH7)))</f>
        <v>9.5489346835634272</v>
      </c>
      <c r="AH7" s="8">
        <f>IF($I$3="Forward", $D$12-$D$13, DEGREES(ATAN(2*(AE7-$T$5)/AD7-TAN(RADIANS(AF7)))))</f>
        <v>82.759695716411017</v>
      </c>
      <c r="AI7" s="7">
        <f>IF($I$3="Forward", $D$8-$D$9, $G$8-$G$9)</f>
        <v>1.9999999999999998</v>
      </c>
      <c r="AJ7" s="7">
        <f>$G$10</f>
        <v>2.5</v>
      </c>
      <c r="AK7" s="7">
        <f>$G$12-$G$13</f>
        <v>-80</v>
      </c>
      <c r="AL7" s="7">
        <f>IF($I$3="Forward", $D$10, SQRT((IF($B$4, 9.807, 32.174)*AI7)/(ABS(TAN(RADIANS(AM7))-TAN(RADIANS(AK7)))))/COS(RADIANS(AM7)))</f>
        <v>9.5489346835634272</v>
      </c>
      <c r="AM7" s="8">
        <f>IF($I$3="Forward", $D$12-$D$13, DEGREES(ATAN(2*(AJ7-$T$5)/AI7-TAN(RADIANS(AK7)))))</f>
        <v>82.759695716411017</v>
      </c>
      <c r="AN7" s="7">
        <f>IF($I$3="Forward", $D$8, $G$8)</f>
        <v>1.9999999999999998</v>
      </c>
      <c r="AO7" s="7">
        <f>$G$10</f>
        <v>2.5</v>
      </c>
      <c r="AP7" s="7">
        <f>$G$12-$G$13</f>
        <v>-80</v>
      </c>
      <c r="AQ7" s="7">
        <f>IF($I$3="Forward", $D$10, SQRT((IF($B$4, 9.807, 32.174)*AN7)/(ABS(TAN(RADIANS(AR7))-TAN(RADIANS(AP7)))))/COS(RADIANS(AR7)))</f>
        <v>9.5489346835634272</v>
      </c>
      <c r="AR7" s="8">
        <f>IF($I$3="Forward", $D$12-$D$13, DEGREES(ATAN(2*(AO7-$T$5)/AN7-TAN(RADIANS(AP7)))))</f>
        <v>82.759695716411017</v>
      </c>
      <c r="AS7" s="7">
        <f>IF($I$3="Forward", $D$8+$D$9, $G$8+$G$9)</f>
        <v>1.9999999999999998</v>
      </c>
      <c r="AT7" s="7">
        <f>$G$10</f>
        <v>2.5</v>
      </c>
      <c r="AU7" s="7">
        <f>$G$12-$G$13</f>
        <v>-80</v>
      </c>
      <c r="AV7" s="7">
        <f>IF($I$3="Forward", $D$10, SQRT((IF($B$4, 9.807, 32.174)*AS7)/(ABS(TAN(RADIANS(AW7))-TAN(RADIANS(AU7)))))/COS(RADIANS(AW7)))</f>
        <v>9.5489346835634272</v>
      </c>
      <c r="AW7" s="8">
        <f>IF($I$3="Forward", $D$12-$D$13, DEGREES(ATAN(2*(AT7-$T$5)/AS7-TAN(RADIANS(AU7)))))</f>
        <v>82.759695716411017</v>
      </c>
      <c r="AX7" s="7">
        <f>IF($I$3="Forward", $D$8-$D$9, $G$8-$G$9)</f>
        <v>1.9999999999999998</v>
      </c>
      <c r="AY7" s="7">
        <f>$G$10+$G$11</f>
        <v>2.5</v>
      </c>
      <c r="AZ7" s="7">
        <f>$G$12-$G$13</f>
        <v>-80</v>
      </c>
      <c r="BA7" s="7">
        <f>IF($I$3="Forward", $D$10*(1+$D$11), SQRT((IF($B$4, 9.807, 32.174)*AX7)/(ABS(TAN(RADIANS(BB7))-TAN(RADIANS(AZ7)))))/COS(RADIANS(BB7)))</f>
        <v>9.5489346835634272</v>
      </c>
      <c r="BB7" s="8">
        <f>IF($I$3="Forward", $D$12-$D$13, DEGREES(ATAN(2*(AY7-$T$5)/AX7-TAN(RADIANS(AZ7)))))</f>
        <v>82.759695716411017</v>
      </c>
      <c r="BC7" s="7">
        <f>IF($I$3="Forward", $D$8, $G$8)</f>
        <v>1.9999999999999998</v>
      </c>
      <c r="BD7" s="7">
        <f>$G$10+$G$11</f>
        <v>2.5</v>
      </c>
      <c r="BE7" s="7">
        <f>$G$12-$G$13</f>
        <v>-80</v>
      </c>
      <c r="BF7" s="7">
        <f>IF($I$3="Forward", $D$10*(1+$D$11), SQRT((IF($B$4, 9.807, 32.174)*BC7)/(ABS(TAN(RADIANS(BG7))-TAN(RADIANS(BE7)))))/COS(RADIANS(BG7)))</f>
        <v>9.5489346835634272</v>
      </c>
      <c r="BG7" s="8">
        <f>IF($I$3="Forward", $D$12-$D$13, DEGREES(ATAN(2*(BD7-$T$5)/BC7-TAN(RADIANS(BE7)))))</f>
        <v>82.759695716411017</v>
      </c>
      <c r="BH7" s="7">
        <f>IF($I$3="Forward", $D$8+$D$9, $G$8+$G$9)</f>
        <v>1.9999999999999998</v>
      </c>
      <c r="BI7" s="7">
        <f>$G$10+$G$11</f>
        <v>2.5</v>
      </c>
      <c r="BJ7" s="7">
        <f>$G$12-$G$13</f>
        <v>-80</v>
      </c>
      <c r="BK7" s="7">
        <f>IF($I$3="Forward", $D$10*(1+$D$11), SQRT((IF($B$4, 9.807, 32.174)*BH7)/(ABS(TAN(RADIANS(BL7))-TAN(RADIANS(BJ7)))))/COS(RADIANS(BL7)))</f>
        <v>9.5489346835634272</v>
      </c>
      <c r="BL7" s="8">
        <f>IF($I$3="Forward", $D$12-$D$13, DEGREES(ATAN(2*(BI7-$T$5)/BH7-TAN(RADIANS(BJ7)))))</f>
        <v>82.759695716411017</v>
      </c>
      <c r="BM7" s="7">
        <f>IF($I$3="Forward", $D$8-$D$9, $G$8-$G$9)</f>
        <v>1.9999999999999998</v>
      </c>
      <c r="BN7" s="7">
        <f>$G$10-$G$11</f>
        <v>2.5</v>
      </c>
      <c r="BO7" s="7">
        <f>$G$12</f>
        <v>-80</v>
      </c>
      <c r="BP7" s="7">
        <f>IF($I$3="Forward", $D$10*(1-$D$11), SQRT((IF($B$4, 9.807, 32.174)*BM7)/(ABS(TAN(RADIANS(BQ7))-TAN(RADIANS(BO7)))))/COS(RADIANS(BQ7)))</f>
        <v>9.5489346835634272</v>
      </c>
      <c r="BQ7" s="8">
        <f>IF($I$3="Forward", $D$12, DEGREES(ATAN(2*(BN7-$T$5)/BM7-TAN(RADIANS(BO7)))))</f>
        <v>82.759695716411017</v>
      </c>
      <c r="BR7" s="7">
        <f>IF($I$3="Forward", $D$8, $G$8)</f>
        <v>1.9999999999999998</v>
      </c>
      <c r="BS7" s="7">
        <f>$G$10-$G$11</f>
        <v>2.5</v>
      </c>
      <c r="BT7" s="7">
        <f>$G$12</f>
        <v>-80</v>
      </c>
      <c r="BU7" s="7">
        <f>IF($I$3="Forward", $D$10*(1-$D$11), SQRT((IF($B$4, 9.807, 32.174)*BR7)/(ABS(TAN(RADIANS(BV7))-TAN(RADIANS(BT7)))))/COS(RADIANS(BV7)))</f>
        <v>9.5489346835634272</v>
      </c>
      <c r="BV7" s="8">
        <f>IF($I$3="Forward", $D$12, DEGREES(ATAN(2*(BS7-$T$5)/BR7-TAN(RADIANS(BT7)))))</f>
        <v>82.759695716411017</v>
      </c>
      <c r="BW7" s="7">
        <f>IF($I$3="Forward", $D$8+$D$9, $G$8+$G$9)</f>
        <v>1.9999999999999998</v>
      </c>
      <c r="BX7" s="7">
        <f>$G$10-$G$11</f>
        <v>2.5</v>
      </c>
      <c r="BY7" s="7">
        <f>$G$12</f>
        <v>-80</v>
      </c>
      <c r="BZ7" s="7">
        <f>IF($I$3="Forward", $D$10*(1-$D$11), SQRT((IF($B$4, 9.807, 32.174)*BW7)/(ABS(TAN(RADIANS(CA7))-TAN(RADIANS(BY7)))))/COS(RADIANS(CA7)))</f>
        <v>9.5489346835634272</v>
      </c>
      <c r="CA7" s="8">
        <f>IF($I$3="Forward", $D$12, DEGREES(ATAN(2*(BX7-$T$5)/BW7-TAN(RADIANS(BY7)))))</f>
        <v>82.759695716411017</v>
      </c>
      <c r="CB7" s="7">
        <f>IF($I$3="Forward", $D$8-$D$9, $G$8-$G$9)</f>
        <v>1.9999999999999998</v>
      </c>
      <c r="CC7" s="7">
        <f>$G$10</f>
        <v>2.5</v>
      </c>
      <c r="CD7" s="7">
        <f>$G$12</f>
        <v>-80</v>
      </c>
      <c r="CE7" s="7">
        <f>IF($I$3="Forward", $D$10, SQRT((IF($B$4, 9.807, 32.174)*CB7)/(ABS(TAN(RADIANS(CF7))-TAN(RADIANS(CD7)))))/COS(RADIANS(CF7)))</f>
        <v>9.5489346835634272</v>
      </c>
      <c r="CF7" s="8">
        <f>IF($I$3="Forward", $D$12, DEGREES(ATAN(2*(CC7-$T$5)/CB7-TAN(RADIANS(CD7)))))</f>
        <v>82.759695716411017</v>
      </c>
      <c r="CG7" s="7">
        <f>IF($I$3="Forward", $D$8, $G$8)</f>
        <v>1.9999999999999998</v>
      </c>
      <c r="CH7" s="7">
        <f>$G$10</f>
        <v>2.5</v>
      </c>
      <c r="CI7" s="7">
        <f>$G$12</f>
        <v>-80</v>
      </c>
      <c r="CJ7" s="7">
        <f>IF($I$3="Forward", $D$10, SQRT((IF($B$4, 9.807, 32.174)*CG7)/(ABS(TAN(RADIANS(CK7))-TAN(RADIANS(CI7)))))/COS(RADIANS(CK7)))</f>
        <v>9.5489346835634272</v>
      </c>
      <c r="CK7" s="8">
        <f>IF($I$3="Forward", $D$12, DEGREES(ATAN(2*(CH7-$T$5)/CG7-TAN(RADIANS(CI7)))))</f>
        <v>82.759695716411017</v>
      </c>
      <c r="CL7" s="7">
        <f>IF($I$3="Forward", $D$8+$D$9, $G$8+$G$9)</f>
        <v>1.9999999999999998</v>
      </c>
      <c r="CM7" s="7">
        <f>$G$10</f>
        <v>2.5</v>
      </c>
      <c r="CN7" s="7">
        <f>$G$12</f>
        <v>-80</v>
      </c>
      <c r="CO7" s="7">
        <f>IF($I$3="Forward", $D$10, SQRT((IF($B$4, 9.807, 32.174)*CL7)/(ABS(TAN(RADIANS(CP7))-TAN(RADIANS(CN7)))))/COS(RADIANS(CP7)))</f>
        <v>9.5489346835634272</v>
      </c>
      <c r="CP7" s="8">
        <f>IF($I$3="Forward", $D$12, DEGREES(ATAN(2*(CM7-$T$5)/CL7-TAN(RADIANS(CN7)))))</f>
        <v>82.759695716411017</v>
      </c>
      <c r="CQ7" s="7">
        <f>IF($I$3="Forward", $D$8-$D$9, $G$8-$G$9)</f>
        <v>1.9999999999999998</v>
      </c>
      <c r="CR7" s="7">
        <f>$G$10+$G$11</f>
        <v>2.5</v>
      </c>
      <c r="CS7" s="7">
        <f>$G$12</f>
        <v>-80</v>
      </c>
      <c r="CT7" s="7">
        <f>IF($I$3="Forward", $D$10*(1+$D$11), SQRT((IF($B$4, 9.807, 32.174)*CQ7)/(ABS(TAN(RADIANS(CU7))-TAN(RADIANS(CS7)))))/COS(RADIANS(CU7)))</f>
        <v>9.5489346835634272</v>
      </c>
      <c r="CU7" s="8">
        <f>IF($I$3="Forward", $D$12, DEGREES(ATAN(2*(CR7-$T$5)/CQ7-TAN(RADIANS(CS7)))))</f>
        <v>82.759695716411017</v>
      </c>
      <c r="CV7" s="7">
        <f>IF($I$3="Forward", $D$8, $G$8)</f>
        <v>1.9999999999999998</v>
      </c>
      <c r="CW7" s="7">
        <f>$G$10+$G$11</f>
        <v>2.5</v>
      </c>
      <c r="CX7" s="7">
        <f>$G$12</f>
        <v>-80</v>
      </c>
      <c r="CY7" s="7">
        <f>IF($I$3="Forward", $D$10*(1+$D$11), SQRT((IF($B$4, 9.807, 32.174)*CV7)/(ABS(TAN(RADIANS(CZ7))-TAN(RADIANS(CX7)))))/COS(RADIANS(CZ7)))</f>
        <v>9.5489346835634272</v>
      </c>
      <c r="CZ7" s="8">
        <f>IF($I$3="Forward", $D$12, DEGREES(ATAN(2*(CW7-$T$5)/CV7-TAN(RADIANS(CX7)))))</f>
        <v>82.759695716411017</v>
      </c>
      <c r="DA7" s="7">
        <f>IF($I$3="Forward", $D$8+$D$9, $G$8+$G$9)</f>
        <v>1.9999999999999998</v>
      </c>
      <c r="DB7" s="7">
        <f>$G$10+$G$11</f>
        <v>2.5</v>
      </c>
      <c r="DC7" s="7">
        <f>$G$12</f>
        <v>-80</v>
      </c>
      <c r="DD7" s="7">
        <f>IF($I$3="Forward", $D$10*(1+$D$11), SQRT((IF($B$4, 9.807, 32.174)*DA7)/(ABS(TAN(RADIANS(DE7))-TAN(RADIANS(DC7)))))/COS(RADIANS(DE7)))</f>
        <v>9.5489346835634272</v>
      </c>
      <c r="DE7" s="8">
        <f>IF($I$3="Forward", $D$12, DEGREES(ATAN(2*(DB7-$T$5)/DA7-TAN(RADIANS(DC7)))))</f>
        <v>82.759695716411017</v>
      </c>
      <c r="DF7" s="7">
        <f>IF($I$3="Forward", $D$8-$D$9, $G$8-$G$9)</f>
        <v>1.9999999999999998</v>
      </c>
      <c r="DG7" s="7">
        <f>$G$10-$G$11</f>
        <v>2.5</v>
      </c>
      <c r="DH7" s="7">
        <f>$G$12+$G$13</f>
        <v>-80</v>
      </c>
      <c r="DI7" s="7">
        <f>IF($I$3="Forward", $D$10*(1-$D$11), SQRT((IF($B$4, 9.807, 32.174)*DF7)/(ABS(TAN(RADIANS(DJ7))-TAN(RADIANS(DH7)))))/COS(RADIANS(DJ7)))</f>
        <v>9.5489346835634272</v>
      </c>
      <c r="DJ7" s="8">
        <f>IF($I$3="Forward", $D$12+$D$13, DEGREES(ATAN(2*(DG7-$T$5)/DF7-TAN(RADIANS(DH7)))))</f>
        <v>82.759695716411017</v>
      </c>
      <c r="DK7" s="7">
        <f>IF($I$3="Forward", $D$8, $G$8)</f>
        <v>1.9999999999999998</v>
      </c>
      <c r="DL7" s="7">
        <f>$G$10-$G$11</f>
        <v>2.5</v>
      </c>
      <c r="DM7" s="7">
        <f>$G$12+$G$13</f>
        <v>-80</v>
      </c>
      <c r="DN7" s="7">
        <f>IF($I$3="Forward", $D$10*(1-$D$11), SQRT((IF($B$4, 9.807, 32.174)*DK7)/(ABS(TAN(RADIANS(DO7))-TAN(RADIANS(DM7)))))/COS(RADIANS(DO7)))</f>
        <v>9.5489346835634272</v>
      </c>
      <c r="DO7" s="8">
        <f>IF($I$3="Forward", $D$12+$D$13, DEGREES(ATAN(2*(DL7-$T$5)/DK7-TAN(RADIANS(DM7)))))</f>
        <v>82.759695716411017</v>
      </c>
      <c r="DP7" s="7">
        <f>IF($I$3="Forward", $D$8+$D$9, $G$8+$G$9)</f>
        <v>1.9999999999999998</v>
      </c>
      <c r="DQ7" s="7">
        <f>$G$10-$G$11</f>
        <v>2.5</v>
      </c>
      <c r="DR7" s="7">
        <f>$G$12+$G$13</f>
        <v>-80</v>
      </c>
      <c r="DS7" s="7">
        <f>IF($I$3="Forward", $D$10*(1-$D$11), SQRT((IF($B$4, 9.807, 32.174)*DP7)/(ABS(TAN(RADIANS(DT7))-TAN(RADIANS(DR7)))))/COS(RADIANS(DT7)))</f>
        <v>9.5489346835634272</v>
      </c>
      <c r="DT7" s="8">
        <f>IF($I$3="Forward", $D$12+$D$13, DEGREES(ATAN(2*(DQ7-$T$5)/DP7-TAN(RADIANS(DR7)))))</f>
        <v>82.759695716411017</v>
      </c>
      <c r="DU7" s="7">
        <f>IF($I$3="Forward", $D$8-$D$9, $G$8-$G$9)</f>
        <v>1.9999999999999998</v>
      </c>
      <c r="DV7" s="7">
        <f>$G$10</f>
        <v>2.5</v>
      </c>
      <c r="DW7" s="7">
        <f>$G$12+$G$13</f>
        <v>-80</v>
      </c>
      <c r="DX7" s="7">
        <f>IF($I$3="Forward", $D$10, SQRT((IF($B$4, 9.807, 32.174)*DU7)/(ABS(TAN(RADIANS(DY7))-TAN(RADIANS(DW7)))))/COS(RADIANS(DY7)))</f>
        <v>9.5489346835634272</v>
      </c>
      <c r="DY7" s="8">
        <f>IF($I$3="Forward", $D$12+$D$13, DEGREES(ATAN(2*(DV7-$T$5)/DU7-TAN(RADIANS(DW7)))))</f>
        <v>82.759695716411017</v>
      </c>
      <c r="DZ7" s="7">
        <f>IF($I$3="Forward", $D$8, $G$8)</f>
        <v>1.9999999999999998</v>
      </c>
      <c r="EA7" s="7">
        <f>$G$10</f>
        <v>2.5</v>
      </c>
      <c r="EB7" s="7">
        <f>$G$12+$G$13</f>
        <v>-80</v>
      </c>
      <c r="EC7" s="7">
        <f>IF($I$3="Forward", $D$10, SQRT((IF($B$4, 9.807, 32.174)*DZ7)/(ABS(TAN(RADIANS(ED7))-TAN(RADIANS(EB7)))))/COS(RADIANS(ED7)))</f>
        <v>9.5489346835634272</v>
      </c>
      <c r="ED7" s="8">
        <f>IF($I$3="Forward", $D$12+$D$13, DEGREES(ATAN(2*(EA7-$T$5)/DZ7-TAN(RADIANS(EB7)))))</f>
        <v>82.759695716411017</v>
      </c>
      <c r="EE7" s="7">
        <f>IF($I$3="Forward", $D$8+$D$9, $G$8+$G$9)</f>
        <v>1.9999999999999998</v>
      </c>
      <c r="EF7" s="7">
        <f>$G$10</f>
        <v>2.5</v>
      </c>
      <c r="EG7" s="7">
        <f>$G$12+$G$13</f>
        <v>-80</v>
      </c>
      <c r="EH7" s="7">
        <f>IF($I$3="Forward", $D$10, SQRT((IF($B$4, 9.807, 32.174)*EE7)/(ABS(TAN(RADIANS(EI7))-TAN(RADIANS(EG7)))))/COS(RADIANS(EI7)))</f>
        <v>9.5489346835634272</v>
      </c>
      <c r="EI7" s="8">
        <f>IF($I$3="Forward", $D$12+$D$13, DEGREES(ATAN(2*(EF7-$T$5)/EE7-TAN(RADIANS(EG7)))))</f>
        <v>82.759695716411017</v>
      </c>
      <c r="EJ7" s="7">
        <f>IF($I$3="Forward", $D$8-$D$9, $G$8-$G$9)</f>
        <v>1.9999999999999998</v>
      </c>
      <c r="EK7" s="7">
        <f>$G$10+$G$11</f>
        <v>2.5</v>
      </c>
      <c r="EL7" s="7">
        <f>$G$12+$G$13</f>
        <v>-80</v>
      </c>
      <c r="EM7" s="7">
        <f>IF($I$3="Forward", $D$10*(1+$D$11), SQRT((IF($B$4, 9.807, 32.174)*EJ7)/(ABS(TAN(RADIANS(EN7))-TAN(RADIANS(EL7)))))/COS(RADIANS(EN7)))</f>
        <v>9.5489346835634272</v>
      </c>
      <c r="EN7" s="8">
        <f>IF($I$3="Forward", $D$12+$D$13, DEGREES(ATAN(2*(EK7-$T$5)/EJ7-TAN(RADIANS(EL7)))))</f>
        <v>82.759695716411017</v>
      </c>
      <c r="EO7" s="7">
        <f>IF($I$3="Forward", $D$8, $G$8)</f>
        <v>1.9999999999999998</v>
      </c>
      <c r="EP7" s="7">
        <f>$G$10+$G$11</f>
        <v>2.5</v>
      </c>
      <c r="EQ7" s="7">
        <f>$G$12+$G$13</f>
        <v>-80</v>
      </c>
      <c r="ER7" s="7">
        <f>IF($I$3="Forward", $D$10*(1+$D$11), SQRT((IF($B$4, 9.807, 32.174)*EO7)/(ABS(TAN(RADIANS(ES7))-TAN(RADIANS(EQ7)))))/COS(RADIANS(ES7)))</f>
        <v>9.5489346835634272</v>
      </c>
      <c r="ES7" s="8">
        <f>IF($I$3="Forward", $D$12+$D$13, DEGREES(ATAN(2*(EP7-$T$5)/EO7-TAN(RADIANS(EQ7)))))</f>
        <v>82.759695716411017</v>
      </c>
      <c r="ET7" s="7">
        <f>IF($I$3="Forward", $D$8+$D$9, $G$8+$G$9)</f>
        <v>1.9999999999999998</v>
      </c>
      <c r="EU7" s="7">
        <f>$G$10+$G$11</f>
        <v>2.5</v>
      </c>
      <c r="EV7" s="7">
        <f>$G$12+$G$13</f>
        <v>-80</v>
      </c>
      <c r="EW7" s="7">
        <f>IF($I$3="Forward", $D$10*(1+$D$11), SQRT((IF($B$4, 9.807, 32.174)*ET7)/(ABS(TAN(RADIANS(EX7))-TAN(RADIANS(EV7)))))/COS(RADIANS(EX7)))</f>
        <v>9.5489346835634272</v>
      </c>
      <c r="EX7" s="8">
        <f>IF($I$3="Forward", $D$12+$D$13, DEGREES(ATAN(2*(EU7-$T$5)/ET7-TAN(RADIANS(EV7)))))</f>
        <v>82.759695716411017</v>
      </c>
    </row>
    <row r="8" spans="2:156" x14ac:dyDescent="0.25">
      <c r="C8" s="11" t="str">
        <f>"Distance to Target (" &amp; IF($B$4, "m", "ft") &amp; ")"</f>
        <v>Distance to Target (m)</v>
      </c>
      <c r="D8" s="12">
        <v>4.6500000000000004</v>
      </c>
      <c r="F8" s="11" t="str">
        <f>"Distance to Target (" &amp; IF($B$4, "m", "ft") &amp; ")"</f>
        <v>Distance to Target (m)</v>
      </c>
      <c r="G8" s="12">
        <v>1.9999999999999998</v>
      </c>
      <c r="I8" s="13"/>
      <c r="J8" s="13">
        <v>0</v>
      </c>
      <c r="L8" s="13"/>
      <c r="M8" s="13"/>
      <c r="O8" s="13"/>
      <c r="P8" s="13"/>
      <c r="T8" s="3">
        <f>0</f>
        <v>0</v>
      </c>
      <c r="U8" s="14">
        <f>T8+IF($I$3="Forward", $D$9, $G$9)</f>
        <v>0</v>
      </c>
      <c r="V8" s="3">
        <f t="shared" ref="V8:V71" si="0">T8*TAN(RADIANS(X$7))-(IF($B$4, 9.807, 32.174)*T8^2)/(2*W$7^2*COS(RADIANS(X$7))^2)+$D$7</f>
        <v>0.2</v>
      </c>
      <c r="Y8" s="3">
        <f>0</f>
        <v>0</v>
      </c>
      <c r="Z8" s="3">
        <f>Y8</f>
        <v>0</v>
      </c>
      <c r="AA8" s="3">
        <f t="shared" ref="AA8:AA71" si="1">Y8*TAN(RADIANS(AC$7))-(IF($B$4, 9.807, 32.174)*Y8^2)/(2*AB$7^2*COS(RADIANS(AC$7))^2)+$D$7</f>
        <v>0.2</v>
      </c>
      <c r="AD8" s="3">
        <f>0</f>
        <v>0</v>
      </c>
      <c r="AE8" s="14">
        <f>AD8-IF($I$3="Forward", $D$9, $G$9)</f>
        <v>0</v>
      </c>
      <c r="AF8" s="3">
        <f t="shared" ref="AF8:AF71" si="2">AD8*TAN(RADIANS(AH$7))-(IF($B$4, 9.807, 32.174)*AD8^2)/(2*AG$7^2*COS(RADIANS(AH$7))^2)+$D$7</f>
        <v>0.2</v>
      </c>
      <c r="AI8" s="3">
        <f>0</f>
        <v>0</v>
      </c>
      <c r="AJ8" s="14">
        <f>AI8+IF($I$3="Forward", $D$9, $G$9)</f>
        <v>0</v>
      </c>
      <c r="AK8" s="3">
        <f t="shared" ref="AK8:AK71" si="3">AI8*TAN(RADIANS(AM$7))-(IF($B$4, 9.807, 32.174)*AI8^2)/(2*AL$7^2*COS(RADIANS(AM$7))^2)+$D$7</f>
        <v>0.2</v>
      </c>
      <c r="AN8" s="3">
        <f>0</f>
        <v>0</v>
      </c>
      <c r="AO8" s="3">
        <f>AN8</f>
        <v>0</v>
      </c>
      <c r="AP8" s="3">
        <f t="shared" ref="AP8:AP71" si="4">AN8*TAN(RADIANS(AR$7))-(IF($B$4, 9.807, 32.174)*AN8^2)/(2*AQ$7^2*COS(RADIANS(AR$7))^2)+$D$7</f>
        <v>0.2</v>
      </c>
      <c r="AS8" s="3">
        <f>0</f>
        <v>0</v>
      </c>
      <c r="AT8" s="14">
        <f>AS8-IF($I$3="Forward", $D$9, $G$9)</f>
        <v>0</v>
      </c>
      <c r="AU8" s="3">
        <f t="shared" ref="AU8:AU71" si="5">AS8*TAN(RADIANS(AW$7))-(IF($B$4, 9.807, 32.174)*AS8^2)/(2*AV$7^2*COS(RADIANS(AW$7))^2)+$D$7</f>
        <v>0.2</v>
      </c>
      <c r="AX8" s="3">
        <f>0</f>
        <v>0</v>
      </c>
      <c r="AY8" s="14">
        <f>AX8+IF($I$3="Forward", $D$9, $G$9)</f>
        <v>0</v>
      </c>
      <c r="AZ8" s="3">
        <f t="shared" ref="AZ8:AZ71" si="6">AX8*TAN(RADIANS(BB$7))-(IF($B$4, 9.807, 32.174)*AX8^2)/(2*BA$7^2*COS(RADIANS(BB$7))^2)+$D$7</f>
        <v>0.2</v>
      </c>
      <c r="BC8" s="3">
        <f>0</f>
        <v>0</v>
      </c>
      <c r="BD8" s="3">
        <f>BC8</f>
        <v>0</v>
      </c>
      <c r="BE8" s="3">
        <f t="shared" ref="BE8:BE71" si="7">BC8*TAN(RADIANS(BG$7))-(IF($B$4, 9.807, 32.174)*BC8^2)/(2*BF$7^2*COS(RADIANS(BG$7))^2)+$D$7</f>
        <v>0.2</v>
      </c>
      <c r="BH8" s="3">
        <f>0</f>
        <v>0</v>
      </c>
      <c r="BI8" s="14">
        <f>BH8-IF($I$3="Forward", $D$9, $G$9)</f>
        <v>0</v>
      </c>
      <c r="BJ8" s="3">
        <f t="shared" ref="BJ8:BJ71" si="8">BH8*TAN(RADIANS(BL$7))-(IF($B$4, 9.807, 32.174)*BH8^2)/(2*BK$7^2*COS(RADIANS(BL$7))^2)+$D$7</f>
        <v>0.2</v>
      </c>
      <c r="BM8" s="3">
        <f>0</f>
        <v>0</v>
      </c>
      <c r="BN8" s="14">
        <f>BM8+IF($I$3="Forward", $D$9, $G$9)</f>
        <v>0</v>
      </c>
      <c r="BO8" s="3">
        <f t="shared" ref="BO8:BO71" si="9">BM8*TAN(RADIANS(BQ$7))-(IF($B$4, 9.807, 32.174)*BM8^2)/(2*BP$7^2*COS(RADIANS(BQ$7))^2)+$D$7</f>
        <v>0.2</v>
      </c>
      <c r="BR8" s="3">
        <f>0</f>
        <v>0</v>
      </c>
      <c r="BS8" s="3">
        <f>BR8</f>
        <v>0</v>
      </c>
      <c r="BT8" s="3">
        <f t="shared" ref="BT8:BT71" si="10">BR8*TAN(RADIANS(BV$7))-(IF($B$4, 9.807, 32.174)*BR8^2)/(2*BU$7^2*COS(RADIANS(BV$7))^2)+$D$7</f>
        <v>0.2</v>
      </c>
      <c r="BW8" s="3">
        <f>0</f>
        <v>0</v>
      </c>
      <c r="BX8" s="14">
        <f>BW8-IF($I$3="Forward", $D$9, $G$9)</f>
        <v>0</v>
      </c>
      <c r="BY8" s="3">
        <f t="shared" ref="BY8:BY71" si="11">BW8*TAN(RADIANS(CA$7))-(IF($B$4, 9.807, 32.174)*BW8^2)/(2*BZ$7^2*COS(RADIANS(CA$7))^2)+$D$7</f>
        <v>0.2</v>
      </c>
      <c r="CB8" s="3">
        <f>0</f>
        <v>0</v>
      </c>
      <c r="CC8" s="14">
        <f>CB8+IF($I$3="Forward", $D$9, $G$9)</f>
        <v>0</v>
      </c>
      <c r="CD8" s="3">
        <f t="shared" ref="CD8:CD71" si="12">CB8*TAN(RADIANS(CF$7))-(IF($B$4, 9.807, 32.174)*CB8^2)/(2*CE$7^2*COS(RADIANS(CF$7))^2)+$D$7</f>
        <v>0.2</v>
      </c>
      <c r="CG8" s="3">
        <f>0</f>
        <v>0</v>
      </c>
      <c r="CH8" s="3">
        <f>CG8</f>
        <v>0</v>
      </c>
      <c r="CI8" s="3">
        <f t="shared" ref="CI8:CI71" si="13">CG8*TAN(RADIANS(CK$7))-(IF($B$4, 9.807, 32.174)*CG8^2)/(2*CJ$7^2*COS(RADIANS(CK$7))^2)+$D$7</f>
        <v>0.2</v>
      </c>
      <c r="CL8" s="3">
        <f>0</f>
        <v>0</v>
      </c>
      <c r="CM8" s="14">
        <f>CL8-IF($I$3="Forward", $D$9, $G$9)</f>
        <v>0</v>
      </c>
      <c r="CN8" s="3">
        <f t="shared" ref="CN8:CN71" si="14">CL8*TAN(RADIANS(CP$7))-(IF($B$4, 9.807, 32.174)*CL8^2)/(2*CO$7^2*COS(RADIANS(CP$7))^2)+$D$7</f>
        <v>0.2</v>
      </c>
      <c r="CQ8" s="3">
        <f>0</f>
        <v>0</v>
      </c>
      <c r="CR8" s="14">
        <f>CQ8+IF($I$3="Forward", $D$9, $G$9)</f>
        <v>0</v>
      </c>
      <c r="CS8" s="3">
        <f t="shared" ref="CS8:CS71" si="15">CQ8*TAN(RADIANS(CU$7))-(IF($B$4, 9.807, 32.174)*CQ8^2)/(2*CT$7^2*COS(RADIANS(CU$7))^2)+$D$7</f>
        <v>0.2</v>
      </c>
      <c r="CV8" s="3">
        <f>0</f>
        <v>0</v>
      </c>
      <c r="CW8" s="3">
        <f>CV8</f>
        <v>0</v>
      </c>
      <c r="CX8" s="3">
        <f t="shared" ref="CX8:CX71" si="16">CV8*TAN(RADIANS(CZ$7))-(IF($B$4, 9.807, 32.174)*CV8^2)/(2*CY$7^2*COS(RADIANS(CZ$7))^2)+$D$7</f>
        <v>0.2</v>
      </c>
      <c r="DA8" s="3">
        <f>0</f>
        <v>0</v>
      </c>
      <c r="DB8" s="14">
        <f>DA8-IF($I$3="Forward", $D$9, $G$9)</f>
        <v>0</v>
      </c>
      <c r="DC8" s="3">
        <f t="shared" ref="DC8:DC71" si="17">DA8*TAN(RADIANS(DE$7))-(IF($B$4, 9.807, 32.174)*DA8^2)/(2*DD$7^2*COS(RADIANS(DE$7))^2)+$D$7</f>
        <v>0.2</v>
      </c>
      <c r="DF8" s="3">
        <f>0</f>
        <v>0</v>
      </c>
      <c r="DG8" s="14">
        <f>DF8+IF($I$3="Forward", $D$9, $G$9)</f>
        <v>0</v>
      </c>
      <c r="DH8" s="3">
        <f t="shared" ref="DH8:DH71" si="18">DF8*TAN(RADIANS(DJ$7))-(IF($B$4, 9.807, 32.174)*DF8^2)/(2*DI$7^2*COS(RADIANS(DJ$7))^2)+$D$7</f>
        <v>0.2</v>
      </c>
      <c r="DK8" s="3">
        <f>0</f>
        <v>0</v>
      </c>
      <c r="DL8" s="3">
        <f>DK8</f>
        <v>0</v>
      </c>
      <c r="DM8" s="3">
        <f t="shared" ref="DM8:DM71" si="19">DK8*TAN(RADIANS(DO$7))-(IF($B$4, 9.807, 32.174)*DK8^2)/(2*DN$7^2*COS(RADIANS(DO$7))^2)+$D$7</f>
        <v>0.2</v>
      </c>
      <c r="DP8" s="3">
        <f>0</f>
        <v>0</v>
      </c>
      <c r="DQ8" s="14">
        <f>DP8-IF($I$3="Forward", $D$9, $G$9)</f>
        <v>0</v>
      </c>
      <c r="DR8" s="3">
        <f t="shared" ref="DR8:DR71" si="20">DP8*TAN(RADIANS(DT$7))-(IF($B$4, 9.807, 32.174)*DP8^2)/(2*DS$7^2*COS(RADIANS(DT$7))^2)+$D$7</f>
        <v>0.2</v>
      </c>
      <c r="DU8" s="3">
        <f>0</f>
        <v>0</v>
      </c>
      <c r="DV8" s="14">
        <f>DU8+IF($I$3="Forward", $D$9, $G$9)</f>
        <v>0</v>
      </c>
      <c r="DW8" s="3">
        <f t="shared" ref="DW8:DW71" si="21">DU8*TAN(RADIANS(DY$7))-(IF($B$4, 9.807, 32.174)*DU8^2)/(2*DX$7^2*COS(RADIANS(DY$7))^2)+$D$7</f>
        <v>0.2</v>
      </c>
      <c r="DZ8" s="3">
        <f>0</f>
        <v>0</v>
      </c>
      <c r="EA8" s="3">
        <f>DZ8</f>
        <v>0</v>
      </c>
      <c r="EB8" s="3">
        <f t="shared" ref="EB8:EB71" si="22">DZ8*TAN(RADIANS(ED$7))-(IF($B$4, 9.807, 32.174)*DZ8^2)/(2*EC$7^2*COS(RADIANS(ED$7))^2)+$D$7</f>
        <v>0.2</v>
      </c>
      <c r="EE8" s="3">
        <f>0</f>
        <v>0</v>
      </c>
      <c r="EF8" s="14">
        <f>EE8-IF($I$3="Forward", $D$9, $G$9)</f>
        <v>0</v>
      </c>
      <c r="EG8" s="3">
        <f t="shared" ref="EG8:EG71" si="23">EE8*TAN(RADIANS(EI$7))-(IF($B$4, 9.807, 32.174)*EE8^2)/(2*EH$7^2*COS(RADIANS(EI$7))^2)+$D$7</f>
        <v>0.2</v>
      </c>
      <c r="EJ8" s="3">
        <f>0</f>
        <v>0</v>
      </c>
      <c r="EK8" s="14">
        <f>EJ8+IF($I$3="Forward", $D$9, $G$9)</f>
        <v>0</v>
      </c>
      <c r="EL8" s="3">
        <f t="shared" ref="EL8:EL71" si="24">EJ8*TAN(RADIANS(EN$7))-(IF($B$4, 9.807, 32.174)*EJ8^2)/(2*EM$7^2*COS(RADIANS(EN$7))^2)+$D$7</f>
        <v>0.2</v>
      </c>
      <c r="EO8" s="3">
        <f>0</f>
        <v>0</v>
      </c>
      <c r="EP8" s="3">
        <f>EO8</f>
        <v>0</v>
      </c>
      <c r="EQ8" s="3">
        <f t="shared" ref="EQ8:EQ71" si="25">EO8*TAN(RADIANS(ES$7))-(IF($B$4, 9.807, 32.174)*EO8^2)/(2*ER$7^2*COS(RADIANS(ES$7))^2)+$D$7</f>
        <v>0.2</v>
      </c>
      <c r="ET8" s="3">
        <f>0</f>
        <v>0</v>
      </c>
      <c r="EU8" s="14">
        <f>ET8-IF($I$3="Forward", $D$9, $G$9)</f>
        <v>0</v>
      </c>
      <c r="EV8" s="3">
        <f t="shared" ref="EV8:EV71" si="26">ET8*TAN(RADIANS(EX$7))-(IF($B$4, 9.807, 32.174)*ET8^2)/(2*EW$7^2*COS(RADIANS(EX$7))^2)+$D$7</f>
        <v>0.2</v>
      </c>
      <c r="EZ8" s="13"/>
    </row>
    <row r="9" spans="2:156" x14ac:dyDescent="0.25">
      <c r="C9" s="11" t="str">
        <f>"     ^ Tolerance (" &amp; IF($B$4, "m", "ft") &amp; ")"</f>
        <v xml:space="preserve">     ^ Tolerance (m)</v>
      </c>
      <c r="D9" s="15">
        <v>0</v>
      </c>
      <c r="F9" s="11" t="str">
        <f>"     ^ Tolerance (" &amp; IF($B$4, "m", "ft") &amp; ")"</f>
        <v xml:space="preserve">     ^ Tolerance (m)</v>
      </c>
      <c r="G9" s="15">
        <v>0</v>
      </c>
      <c r="I9" s="13"/>
      <c r="J9" s="13">
        <v>0</v>
      </c>
      <c r="O9" s="13"/>
      <c r="P9" s="13"/>
      <c r="T9" s="3">
        <f t="shared" ref="T9:T72" si="27">T8+T$7/100</f>
        <v>1.9999999999999997E-2</v>
      </c>
      <c r="U9" s="14">
        <f t="shared" ref="U9:U72" si="28">T9+IF($I$3="Forward", $D$9, $G$9)</f>
        <v>1.9999999999999997E-2</v>
      </c>
      <c r="V9" s="3">
        <f t="shared" si="0"/>
        <v>0.35607138002843064</v>
      </c>
      <c r="Y9" s="3">
        <f t="shared" ref="Y9:Y72" si="29">Y8+Y$7/100</f>
        <v>1.9999999999999997E-2</v>
      </c>
      <c r="Z9" s="3">
        <f t="shared" ref="Z9:Z72" si="30">Y9</f>
        <v>1.9999999999999997E-2</v>
      </c>
      <c r="AA9" s="3">
        <f t="shared" si="1"/>
        <v>0.35607138002843064</v>
      </c>
      <c r="AD9" s="3">
        <f t="shared" ref="AD9:AD72" si="31">AD8+AD$7/100</f>
        <v>1.9999999999999997E-2</v>
      </c>
      <c r="AE9" s="14">
        <f t="shared" ref="AE9:AE72" si="32">AD9-IF($I$3="Forward", $D$9, $G$9)</f>
        <v>1.9999999999999997E-2</v>
      </c>
      <c r="AF9" s="3">
        <f t="shared" si="2"/>
        <v>0.35607138002843064</v>
      </c>
      <c r="AI9" s="3">
        <f t="shared" ref="AI9:AI72" si="33">AI8+AI$7/100</f>
        <v>1.9999999999999997E-2</v>
      </c>
      <c r="AJ9" s="14">
        <f t="shared" ref="AJ9:AJ72" si="34">AI9+IF($I$3="Forward", $D$9, $G$9)</f>
        <v>1.9999999999999997E-2</v>
      </c>
      <c r="AK9" s="3">
        <f t="shared" si="3"/>
        <v>0.35607138002843064</v>
      </c>
      <c r="AN9" s="3">
        <f t="shared" ref="AN9:AN72" si="35">AN8+AN$7/100</f>
        <v>1.9999999999999997E-2</v>
      </c>
      <c r="AO9" s="3">
        <f t="shared" ref="AO9:AO72" si="36">AN9</f>
        <v>1.9999999999999997E-2</v>
      </c>
      <c r="AP9" s="3">
        <f t="shared" si="4"/>
        <v>0.35607138002843064</v>
      </c>
      <c r="AS9" s="3">
        <f t="shared" ref="AS9:AS72" si="37">AS8+AS$7/100</f>
        <v>1.9999999999999997E-2</v>
      </c>
      <c r="AT9" s="14">
        <f t="shared" ref="AT9:AT72" si="38">AS9-IF($I$3="Forward", $D$9, $G$9)</f>
        <v>1.9999999999999997E-2</v>
      </c>
      <c r="AU9" s="3">
        <f t="shared" si="5"/>
        <v>0.35607138002843064</v>
      </c>
      <c r="AX9" s="3">
        <f t="shared" ref="AX9:AX72" si="39">AX8+AX$7/100</f>
        <v>1.9999999999999997E-2</v>
      </c>
      <c r="AY9" s="14">
        <f t="shared" ref="AY9:AY72" si="40">AX9+IF($I$3="Forward", $D$9, $G$9)</f>
        <v>1.9999999999999997E-2</v>
      </c>
      <c r="AZ9" s="3">
        <f t="shared" si="6"/>
        <v>0.35607138002843064</v>
      </c>
      <c r="BC9" s="3">
        <f t="shared" ref="BC9:BC72" si="41">BC8+BC$7/100</f>
        <v>1.9999999999999997E-2</v>
      </c>
      <c r="BD9" s="3">
        <f t="shared" ref="BD9:BD72" si="42">BC9</f>
        <v>1.9999999999999997E-2</v>
      </c>
      <c r="BE9" s="3">
        <f t="shared" si="7"/>
        <v>0.35607138002843064</v>
      </c>
      <c r="BH9" s="3">
        <f t="shared" ref="BH9:BH72" si="43">BH8+BH$7/100</f>
        <v>1.9999999999999997E-2</v>
      </c>
      <c r="BI9" s="14">
        <f t="shared" ref="BI9:BI72" si="44">BH9-IF($I$3="Forward", $D$9, $G$9)</f>
        <v>1.9999999999999997E-2</v>
      </c>
      <c r="BJ9" s="3">
        <f t="shared" si="8"/>
        <v>0.35607138002843064</v>
      </c>
      <c r="BM9" s="3">
        <f t="shared" ref="BM9:BM72" si="45">BM8+BM$7/100</f>
        <v>1.9999999999999997E-2</v>
      </c>
      <c r="BN9" s="14">
        <f t="shared" ref="BN9:BN72" si="46">BM9+IF($I$3="Forward", $D$9, $G$9)</f>
        <v>1.9999999999999997E-2</v>
      </c>
      <c r="BO9" s="3">
        <f t="shared" si="9"/>
        <v>0.35607138002843064</v>
      </c>
      <c r="BR9" s="3">
        <f t="shared" ref="BR9:BR72" si="47">BR8+BR$7/100</f>
        <v>1.9999999999999997E-2</v>
      </c>
      <c r="BS9" s="3">
        <f t="shared" ref="BS9:BS72" si="48">BR9</f>
        <v>1.9999999999999997E-2</v>
      </c>
      <c r="BT9" s="3">
        <f t="shared" si="10"/>
        <v>0.35607138002843064</v>
      </c>
      <c r="BW9" s="3">
        <f t="shared" ref="BW9:BW72" si="49">BW8+BW$7/100</f>
        <v>1.9999999999999997E-2</v>
      </c>
      <c r="BX9" s="14">
        <f t="shared" ref="BX9:BX72" si="50">BW9-IF($I$3="Forward", $D$9, $G$9)</f>
        <v>1.9999999999999997E-2</v>
      </c>
      <c r="BY9" s="3">
        <f t="shared" si="11"/>
        <v>0.35607138002843064</v>
      </c>
      <c r="CB9" s="3">
        <f t="shared" ref="CB9:CB72" si="51">CB8+CB$7/100</f>
        <v>1.9999999999999997E-2</v>
      </c>
      <c r="CC9" s="14">
        <f t="shared" ref="CC9:CC72" si="52">CB9+IF($I$3="Forward", $D$9, $G$9)</f>
        <v>1.9999999999999997E-2</v>
      </c>
      <c r="CD9" s="3">
        <f t="shared" si="12"/>
        <v>0.35607138002843064</v>
      </c>
      <c r="CG9" s="3">
        <f t="shared" ref="CG9:CG72" si="53">CG8+CG$7/100</f>
        <v>1.9999999999999997E-2</v>
      </c>
      <c r="CH9" s="3">
        <f t="shared" ref="CH9:CH72" si="54">CG9</f>
        <v>1.9999999999999997E-2</v>
      </c>
      <c r="CI9" s="3">
        <f t="shared" si="13"/>
        <v>0.35607138002843064</v>
      </c>
      <c r="CL9" s="3">
        <f t="shared" ref="CL9:CL72" si="55">CL8+CL$7/100</f>
        <v>1.9999999999999997E-2</v>
      </c>
      <c r="CM9" s="14">
        <f t="shared" ref="CM9:CM72" si="56">CL9-IF($I$3="Forward", $D$9, $G$9)</f>
        <v>1.9999999999999997E-2</v>
      </c>
      <c r="CN9" s="3">
        <f t="shared" si="14"/>
        <v>0.35607138002843064</v>
      </c>
      <c r="CQ9" s="3">
        <f t="shared" ref="CQ9:CQ72" si="57">CQ8+CQ$7/100</f>
        <v>1.9999999999999997E-2</v>
      </c>
      <c r="CR9" s="14">
        <f t="shared" ref="CR9:CR72" si="58">CQ9+IF($I$3="Forward", $D$9, $G$9)</f>
        <v>1.9999999999999997E-2</v>
      </c>
      <c r="CS9" s="3">
        <f t="shared" si="15"/>
        <v>0.35607138002843064</v>
      </c>
      <c r="CV9" s="3">
        <f t="shared" ref="CV9:CV72" si="59">CV8+CV$7/100</f>
        <v>1.9999999999999997E-2</v>
      </c>
      <c r="CW9" s="3">
        <f t="shared" ref="CW9:CW72" si="60">CV9</f>
        <v>1.9999999999999997E-2</v>
      </c>
      <c r="CX9" s="3">
        <f t="shared" si="16"/>
        <v>0.35607138002843064</v>
      </c>
      <c r="DA9" s="3">
        <f t="shared" ref="DA9:DA72" si="61">DA8+DA$7/100</f>
        <v>1.9999999999999997E-2</v>
      </c>
      <c r="DB9" s="14">
        <f t="shared" ref="DB9:DB72" si="62">DA9-IF($I$3="Forward", $D$9, $G$9)</f>
        <v>1.9999999999999997E-2</v>
      </c>
      <c r="DC9" s="3">
        <f t="shared" si="17"/>
        <v>0.35607138002843064</v>
      </c>
      <c r="DF9" s="3">
        <f t="shared" ref="DF9:DF72" si="63">DF8+DF$7/100</f>
        <v>1.9999999999999997E-2</v>
      </c>
      <c r="DG9" s="14">
        <f t="shared" ref="DG9:DG72" si="64">DF9+IF($I$3="Forward", $D$9, $G$9)</f>
        <v>1.9999999999999997E-2</v>
      </c>
      <c r="DH9" s="3">
        <f t="shared" si="18"/>
        <v>0.35607138002843064</v>
      </c>
      <c r="DK9" s="3">
        <f t="shared" ref="DK9:DK72" si="65">DK8+DK$7/100</f>
        <v>1.9999999999999997E-2</v>
      </c>
      <c r="DL9" s="3">
        <f t="shared" ref="DL9:DL72" si="66">DK9</f>
        <v>1.9999999999999997E-2</v>
      </c>
      <c r="DM9" s="3">
        <f t="shared" si="19"/>
        <v>0.35607138002843064</v>
      </c>
      <c r="DP9" s="3">
        <f t="shared" ref="DP9:DP72" si="67">DP8+DP$7/100</f>
        <v>1.9999999999999997E-2</v>
      </c>
      <c r="DQ9" s="14">
        <f t="shared" ref="DQ9:DQ72" si="68">DP9-IF($I$3="Forward", $D$9, $G$9)</f>
        <v>1.9999999999999997E-2</v>
      </c>
      <c r="DR9" s="3">
        <f t="shared" si="20"/>
        <v>0.35607138002843064</v>
      </c>
      <c r="DU9" s="3">
        <f t="shared" ref="DU9:DU72" si="69">DU8+DU$7/100</f>
        <v>1.9999999999999997E-2</v>
      </c>
      <c r="DV9" s="14">
        <f t="shared" ref="DV9:DV72" si="70">DU9+IF($I$3="Forward", $D$9, $G$9)</f>
        <v>1.9999999999999997E-2</v>
      </c>
      <c r="DW9" s="3">
        <f t="shared" si="21"/>
        <v>0.35607138002843064</v>
      </c>
      <c r="DZ9" s="3">
        <f t="shared" ref="DZ9:DZ72" si="71">DZ8+DZ$7/100</f>
        <v>1.9999999999999997E-2</v>
      </c>
      <c r="EA9" s="3">
        <f t="shared" ref="EA9:EA72" si="72">DZ9</f>
        <v>1.9999999999999997E-2</v>
      </c>
      <c r="EB9" s="3">
        <f t="shared" si="22"/>
        <v>0.35607138002843064</v>
      </c>
      <c r="EE9" s="3">
        <f t="shared" ref="EE9:EE72" si="73">EE8+EE$7/100</f>
        <v>1.9999999999999997E-2</v>
      </c>
      <c r="EF9" s="14">
        <f t="shared" ref="EF9:EF72" si="74">EE9-IF($I$3="Forward", $D$9, $G$9)</f>
        <v>1.9999999999999997E-2</v>
      </c>
      <c r="EG9" s="3">
        <f t="shared" si="23"/>
        <v>0.35607138002843064</v>
      </c>
      <c r="EJ9" s="3">
        <f t="shared" ref="EJ9:EJ72" si="75">EJ8+EJ$7/100</f>
        <v>1.9999999999999997E-2</v>
      </c>
      <c r="EK9" s="14">
        <f t="shared" ref="EK9:EK72" si="76">EJ9+IF($I$3="Forward", $D$9, $G$9)</f>
        <v>1.9999999999999997E-2</v>
      </c>
      <c r="EL9" s="3">
        <f t="shared" si="24"/>
        <v>0.35607138002843064</v>
      </c>
      <c r="EO9" s="3">
        <f t="shared" ref="EO9:EO72" si="77">EO8+EO$7/100</f>
        <v>1.9999999999999997E-2</v>
      </c>
      <c r="EP9" s="3">
        <f t="shared" ref="EP9:EP72" si="78">EO9</f>
        <v>1.9999999999999997E-2</v>
      </c>
      <c r="EQ9" s="3">
        <f t="shared" si="25"/>
        <v>0.35607138002843064</v>
      </c>
      <c r="ET9" s="3">
        <f t="shared" ref="ET9:ET72" si="79">ET8+ET$7/100</f>
        <v>1.9999999999999997E-2</v>
      </c>
      <c r="EU9" s="14">
        <f t="shared" ref="EU9:EU72" si="80">ET9-IF($I$3="Forward", $D$9, $G$9)</f>
        <v>1.9999999999999997E-2</v>
      </c>
      <c r="EV9" s="3">
        <f t="shared" si="26"/>
        <v>0.35607138002843064</v>
      </c>
    </row>
    <row r="10" spans="2:156" x14ac:dyDescent="0.25">
      <c r="C10" s="11" t="str">
        <f>"Release Velocity (" &amp; IF($B$4, "m", "ft") &amp; "/s)"</f>
        <v>Release Velocity (m/s)</v>
      </c>
      <c r="D10" s="12">
        <v>9.5999999999999979</v>
      </c>
      <c r="F10" s="11" t="str">
        <f>"Target Height (" &amp; IF($B$4, "m", "ft") &amp; ")"</f>
        <v>Target Height (m)</v>
      </c>
      <c r="G10" s="12">
        <v>2.5</v>
      </c>
      <c r="I10" s="16"/>
      <c r="J10" s="13">
        <v>0</v>
      </c>
      <c r="T10" s="3">
        <f t="shared" si="27"/>
        <v>3.9999999999999994E-2</v>
      </c>
      <c r="U10" s="14">
        <f t="shared" si="28"/>
        <v>3.9999999999999994E-2</v>
      </c>
      <c r="V10" s="3">
        <f t="shared" si="0"/>
        <v>0.50943424732901421</v>
      </c>
      <c r="Y10" s="3">
        <f t="shared" si="29"/>
        <v>3.9999999999999994E-2</v>
      </c>
      <c r="Z10" s="3">
        <f t="shared" si="30"/>
        <v>3.9999999999999994E-2</v>
      </c>
      <c r="AA10" s="3">
        <f t="shared" si="1"/>
        <v>0.50943424732901421</v>
      </c>
      <c r="AD10" s="3">
        <f t="shared" si="31"/>
        <v>3.9999999999999994E-2</v>
      </c>
      <c r="AE10" s="14">
        <f t="shared" si="32"/>
        <v>3.9999999999999994E-2</v>
      </c>
      <c r="AF10" s="3">
        <f t="shared" si="2"/>
        <v>0.50943424732901421</v>
      </c>
      <c r="AI10" s="3">
        <f t="shared" si="33"/>
        <v>3.9999999999999994E-2</v>
      </c>
      <c r="AJ10" s="14">
        <f t="shared" si="34"/>
        <v>3.9999999999999994E-2</v>
      </c>
      <c r="AK10" s="3">
        <f t="shared" si="3"/>
        <v>0.50943424732901421</v>
      </c>
      <c r="AN10" s="3">
        <f t="shared" si="35"/>
        <v>3.9999999999999994E-2</v>
      </c>
      <c r="AO10" s="3">
        <f t="shared" si="36"/>
        <v>3.9999999999999994E-2</v>
      </c>
      <c r="AP10" s="3">
        <f t="shared" si="4"/>
        <v>0.50943424732901421</v>
      </c>
      <c r="AS10" s="3">
        <f t="shared" si="37"/>
        <v>3.9999999999999994E-2</v>
      </c>
      <c r="AT10" s="14">
        <f t="shared" si="38"/>
        <v>3.9999999999999994E-2</v>
      </c>
      <c r="AU10" s="3">
        <f t="shared" si="5"/>
        <v>0.50943424732901421</v>
      </c>
      <c r="AX10" s="3">
        <f t="shared" si="39"/>
        <v>3.9999999999999994E-2</v>
      </c>
      <c r="AY10" s="14">
        <f t="shared" si="40"/>
        <v>3.9999999999999994E-2</v>
      </c>
      <c r="AZ10" s="3">
        <f t="shared" si="6"/>
        <v>0.50943424732901421</v>
      </c>
      <c r="BC10" s="3">
        <f t="shared" si="41"/>
        <v>3.9999999999999994E-2</v>
      </c>
      <c r="BD10" s="3">
        <f t="shared" si="42"/>
        <v>3.9999999999999994E-2</v>
      </c>
      <c r="BE10" s="3">
        <f t="shared" si="7"/>
        <v>0.50943424732901421</v>
      </c>
      <c r="BH10" s="3">
        <f t="shared" si="43"/>
        <v>3.9999999999999994E-2</v>
      </c>
      <c r="BI10" s="14">
        <f t="shared" si="44"/>
        <v>3.9999999999999994E-2</v>
      </c>
      <c r="BJ10" s="3">
        <f t="shared" si="8"/>
        <v>0.50943424732901421</v>
      </c>
      <c r="BM10" s="3">
        <f t="shared" si="45"/>
        <v>3.9999999999999994E-2</v>
      </c>
      <c r="BN10" s="14">
        <f t="shared" si="46"/>
        <v>3.9999999999999994E-2</v>
      </c>
      <c r="BO10" s="3">
        <f t="shared" si="9"/>
        <v>0.50943424732901421</v>
      </c>
      <c r="BR10" s="3">
        <f t="shared" si="47"/>
        <v>3.9999999999999994E-2</v>
      </c>
      <c r="BS10" s="3">
        <f t="shared" si="48"/>
        <v>3.9999999999999994E-2</v>
      </c>
      <c r="BT10" s="3">
        <f t="shared" si="10"/>
        <v>0.50943424732901421</v>
      </c>
      <c r="BW10" s="3">
        <f t="shared" si="49"/>
        <v>3.9999999999999994E-2</v>
      </c>
      <c r="BX10" s="14">
        <f t="shared" si="50"/>
        <v>3.9999999999999994E-2</v>
      </c>
      <c r="BY10" s="3">
        <f t="shared" si="11"/>
        <v>0.50943424732901421</v>
      </c>
      <c r="CB10" s="3">
        <f t="shared" si="51"/>
        <v>3.9999999999999994E-2</v>
      </c>
      <c r="CC10" s="14">
        <f t="shared" si="52"/>
        <v>3.9999999999999994E-2</v>
      </c>
      <c r="CD10" s="3">
        <f t="shared" si="12"/>
        <v>0.50943424732901421</v>
      </c>
      <c r="CG10" s="3">
        <f t="shared" si="53"/>
        <v>3.9999999999999994E-2</v>
      </c>
      <c r="CH10" s="3">
        <f t="shared" si="54"/>
        <v>3.9999999999999994E-2</v>
      </c>
      <c r="CI10" s="3">
        <f t="shared" si="13"/>
        <v>0.50943424732901421</v>
      </c>
      <c r="CL10" s="3">
        <f t="shared" si="55"/>
        <v>3.9999999999999994E-2</v>
      </c>
      <c r="CM10" s="14">
        <f t="shared" si="56"/>
        <v>3.9999999999999994E-2</v>
      </c>
      <c r="CN10" s="3">
        <f t="shared" si="14"/>
        <v>0.50943424732901421</v>
      </c>
      <c r="CQ10" s="3">
        <f t="shared" si="57"/>
        <v>3.9999999999999994E-2</v>
      </c>
      <c r="CR10" s="14">
        <f t="shared" si="58"/>
        <v>3.9999999999999994E-2</v>
      </c>
      <c r="CS10" s="3">
        <f t="shared" si="15"/>
        <v>0.50943424732901421</v>
      </c>
      <c r="CV10" s="3">
        <f t="shared" si="59"/>
        <v>3.9999999999999994E-2</v>
      </c>
      <c r="CW10" s="3">
        <f t="shared" si="60"/>
        <v>3.9999999999999994E-2</v>
      </c>
      <c r="CX10" s="3">
        <f t="shared" si="16"/>
        <v>0.50943424732901421</v>
      </c>
      <c r="DA10" s="3">
        <f t="shared" si="61"/>
        <v>3.9999999999999994E-2</v>
      </c>
      <c r="DB10" s="14">
        <f t="shared" si="62"/>
        <v>3.9999999999999994E-2</v>
      </c>
      <c r="DC10" s="3">
        <f t="shared" si="17"/>
        <v>0.50943424732901421</v>
      </c>
      <c r="DF10" s="3">
        <f t="shared" si="63"/>
        <v>3.9999999999999994E-2</v>
      </c>
      <c r="DG10" s="14">
        <f t="shared" si="64"/>
        <v>3.9999999999999994E-2</v>
      </c>
      <c r="DH10" s="3">
        <f t="shared" si="18"/>
        <v>0.50943424732901421</v>
      </c>
      <c r="DK10" s="3">
        <f t="shared" si="65"/>
        <v>3.9999999999999994E-2</v>
      </c>
      <c r="DL10" s="3">
        <f t="shared" si="66"/>
        <v>3.9999999999999994E-2</v>
      </c>
      <c r="DM10" s="3">
        <f t="shared" si="19"/>
        <v>0.50943424732901421</v>
      </c>
      <c r="DP10" s="3">
        <f t="shared" si="67"/>
        <v>3.9999999999999994E-2</v>
      </c>
      <c r="DQ10" s="14">
        <f t="shared" si="68"/>
        <v>3.9999999999999994E-2</v>
      </c>
      <c r="DR10" s="3">
        <f t="shared" si="20"/>
        <v>0.50943424732901421</v>
      </c>
      <c r="DU10" s="3">
        <f t="shared" si="69"/>
        <v>3.9999999999999994E-2</v>
      </c>
      <c r="DV10" s="14">
        <f t="shared" si="70"/>
        <v>3.9999999999999994E-2</v>
      </c>
      <c r="DW10" s="3">
        <f t="shared" si="21"/>
        <v>0.50943424732901421</v>
      </c>
      <c r="DZ10" s="3">
        <f t="shared" si="71"/>
        <v>3.9999999999999994E-2</v>
      </c>
      <c r="EA10" s="3">
        <f t="shared" si="72"/>
        <v>3.9999999999999994E-2</v>
      </c>
      <c r="EB10" s="3">
        <f t="shared" si="22"/>
        <v>0.50943424732901421</v>
      </c>
      <c r="EE10" s="3">
        <f t="shared" si="73"/>
        <v>3.9999999999999994E-2</v>
      </c>
      <c r="EF10" s="14">
        <f t="shared" si="74"/>
        <v>3.9999999999999994E-2</v>
      </c>
      <c r="EG10" s="3">
        <f t="shared" si="23"/>
        <v>0.50943424732901421</v>
      </c>
      <c r="EJ10" s="3">
        <f t="shared" si="75"/>
        <v>3.9999999999999994E-2</v>
      </c>
      <c r="EK10" s="14">
        <f t="shared" si="76"/>
        <v>3.9999999999999994E-2</v>
      </c>
      <c r="EL10" s="3">
        <f t="shared" si="24"/>
        <v>0.50943424732901421</v>
      </c>
      <c r="EO10" s="3">
        <f t="shared" si="77"/>
        <v>3.9999999999999994E-2</v>
      </c>
      <c r="EP10" s="3">
        <f t="shared" si="78"/>
        <v>3.9999999999999994E-2</v>
      </c>
      <c r="EQ10" s="3">
        <f t="shared" si="25"/>
        <v>0.50943424732901421</v>
      </c>
      <c r="ET10" s="3">
        <f t="shared" si="79"/>
        <v>3.9999999999999994E-2</v>
      </c>
      <c r="EU10" s="14">
        <f t="shared" si="80"/>
        <v>3.9999999999999994E-2</v>
      </c>
      <c r="EV10" s="3">
        <f t="shared" si="26"/>
        <v>0.50943424732901421</v>
      </c>
    </row>
    <row r="11" spans="2:156" x14ac:dyDescent="0.25">
      <c r="C11" s="11" t="s">
        <v>4</v>
      </c>
      <c r="D11" s="17">
        <v>0</v>
      </c>
      <c r="F11" s="11" t="str">
        <f>"     ^ Tolerance (" &amp; IF($B$4, "m", "ft") &amp; ")"</f>
        <v xml:space="preserve">     ^ Tolerance (m)</v>
      </c>
      <c r="G11" s="15">
        <v>0</v>
      </c>
      <c r="T11" s="3">
        <f t="shared" si="27"/>
        <v>5.9999999999999991E-2</v>
      </c>
      <c r="U11" s="14">
        <f t="shared" si="28"/>
        <v>5.9999999999999991E-2</v>
      </c>
      <c r="V11" s="3">
        <f t="shared" si="0"/>
        <v>0.66008860190175067</v>
      </c>
      <c r="Y11" s="3">
        <f t="shared" si="29"/>
        <v>5.9999999999999991E-2</v>
      </c>
      <c r="Z11" s="3">
        <f t="shared" si="30"/>
        <v>5.9999999999999991E-2</v>
      </c>
      <c r="AA11" s="3">
        <f t="shared" si="1"/>
        <v>0.66008860190175067</v>
      </c>
      <c r="AD11" s="3">
        <f t="shared" si="31"/>
        <v>5.9999999999999991E-2</v>
      </c>
      <c r="AE11" s="14">
        <f t="shared" si="32"/>
        <v>5.9999999999999991E-2</v>
      </c>
      <c r="AF11" s="3">
        <f t="shared" si="2"/>
        <v>0.66008860190175067</v>
      </c>
      <c r="AI11" s="3">
        <f t="shared" si="33"/>
        <v>5.9999999999999991E-2</v>
      </c>
      <c r="AJ11" s="14">
        <f t="shared" si="34"/>
        <v>5.9999999999999991E-2</v>
      </c>
      <c r="AK11" s="3">
        <f t="shared" si="3"/>
        <v>0.66008860190175067</v>
      </c>
      <c r="AN11" s="3">
        <f t="shared" si="35"/>
        <v>5.9999999999999991E-2</v>
      </c>
      <c r="AO11" s="3">
        <f t="shared" si="36"/>
        <v>5.9999999999999991E-2</v>
      </c>
      <c r="AP11" s="3">
        <f t="shared" si="4"/>
        <v>0.66008860190175067</v>
      </c>
      <c r="AS11" s="3">
        <f t="shared" si="37"/>
        <v>5.9999999999999991E-2</v>
      </c>
      <c r="AT11" s="14">
        <f t="shared" si="38"/>
        <v>5.9999999999999991E-2</v>
      </c>
      <c r="AU11" s="3">
        <f t="shared" si="5"/>
        <v>0.66008860190175067</v>
      </c>
      <c r="AX11" s="3">
        <f t="shared" si="39"/>
        <v>5.9999999999999991E-2</v>
      </c>
      <c r="AY11" s="14">
        <f t="shared" si="40"/>
        <v>5.9999999999999991E-2</v>
      </c>
      <c r="AZ11" s="3">
        <f t="shared" si="6"/>
        <v>0.66008860190175067</v>
      </c>
      <c r="BC11" s="3">
        <f t="shared" si="41"/>
        <v>5.9999999999999991E-2</v>
      </c>
      <c r="BD11" s="3">
        <f t="shared" si="42"/>
        <v>5.9999999999999991E-2</v>
      </c>
      <c r="BE11" s="3">
        <f t="shared" si="7"/>
        <v>0.66008860190175067</v>
      </c>
      <c r="BH11" s="3">
        <f t="shared" si="43"/>
        <v>5.9999999999999991E-2</v>
      </c>
      <c r="BI11" s="14">
        <f t="shared" si="44"/>
        <v>5.9999999999999991E-2</v>
      </c>
      <c r="BJ11" s="3">
        <f t="shared" si="8"/>
        <v>0.66008860190175067</v>
      </c>
      <c r="BM11" s="3">
        <f t="shared" si="45"/>
        <v>5.9999999999999991E-2</v>
      </c>
      <c r="BN11" s="14">
        <f t="shared" si="46"/>
        <v>5.9999999999999991E-2</v>
      </c>
      <c r="BO11" s="3">
        <f t="shared" si="9"/>
        <v>0.66008860190175067</v>
      </c>
      <c r="BR11" s="3">
        <f t="shared" si="47"/>
        <v>5.9999999999999991E-2</v>
      </c>
      <c r="BS11" s="3">
        <f t="shared" si="48"/>
        <v>5.9999999999999991E-2</v>
      </c>
      <c r="BT11" s="3">
        <f t="shared" si="10"/>
        <v>0.66008860190175067</v>
      </c>
      <c r="BW11" s="3">
        <f t="shared" si="49"/>
        <v>5.9999999999999991E-2</v>
      </c>
      <c r="BX11" s="14">
        <f t="shared" si="50"/>
        <v>5.9999999999999991E-2</v>
      </c>
      <c r="BY11" s="3">
        <f t="shared" si="11"/>
        <v>0.66008860190175067</v>
      </c>
      <c r="CB11" s="3">
        <f t="shared" si="51"/>
        <v>5.9999999999999991E-2</v>
      </c>
      <c r="CC11" s="14">
        <f t="shared" si="52"/>
        <v>5.9999999999999991E-2</v>
      </c>
      <c r="CD11" s="3">
        <f t="shared" si="12"/>
        <v>0.66008860190175067</v>
      </c>
      <c r="CG11" s="3">
        <f t="shared" si="53"/>
        <v>5.9999999999999991E-2</v>
      </c>
      <c r="CH11" s="3">
        <f t="shared" si="54"/>
        <v>5.9999999999999991E-2</v>
      </c>
      <c r="CI11" s="3">
        <f t="shared" si="13"/>
        <v>0.66008860190175067</v>
      </c>
      <c r="CL11" s="3">
        <f t="shared" si="55"/>
        <v>5.9999999999999991E-2</v>
      </c>
      <c r="CM11" s="14">
        <f t="shared" si="56"/>
        <v>5.9999999999999991E-2</v>
      </c>
      <c r="CN11" s="3">
        <f t="shared" si="14"/>
        <v>0.66008860190175067</v>
      </c>
      <c r="CQ11" s="3">
        <f t="shared" si="57"/>
        <v>5.9999999999999991E-2</v>
      </c>
      <c r="CR11" s="14">
        <f t="shared" si="58"/>
        <v>5.9999999999999991E-2</v>
      </c>
      <c r="CS11" s="3">
        <f t="shared" si="15"/>
        <v>0.66008860190175067</v>
      </c>
      <c r="CV11" s="3">
        <f t="shared" si="59"/>
        <v>5.9999999999999991E-2</v>
      </c>
      <c r="CW11" s="3">
        <f t="shared" si="60"/>
        <v>5.9999999999999991E-2</v>
      </c>
      <c r="CX11" s="3">
        <f t="shared" si="16"/>
        <v>0.66008860190175067</v>
      </c>
      <c r="DA11" s="3">
        <f t="shared" si="61"/>
        <v>5.9999999999999991E-2</v>
      </c>
      <c r="DB11" s="14">
        <f t="shared" si="62"/>
        <v>5.9999999999999991E-2</v>
      </c>
      <c r="DC11" s="3">
        <f t="shared" si="17"/>
        <v>0.66008860190175067</v>
      </c>
      <c r="DF11" s="3">
        <f t="shared" si="63"/>
        <v>5.9999999999999991E-2</v>
      </c>
      <c r="DG11" s="14">
        <f t="shared" si="64"/>
        <v>5.9999999999999991E-2</v>
      </c>
      <c r="DH11" s="3">
        <f t="shared" si="18"/>
        <v>0.66008860190175067</v>
      </c>
      <c r="DK11" s="3">
        <f t="shared" si="65"/>
        <v>5.9999999999999991E-2</v>
      </c>
      <c r="DL11" s="3">
        <f t="shared" si="66"/>
        <v>5.9999999999999991E-2</v>
      </c>
      <c r="DM11" s="3">
        <f t="shared" si="19"/>
        <v>0.66008860190175067</v>
      </c>
      <c r="DP11" s="3">
        <f t="shared" si="67"/>
        <v>5.9999999999999991E-2</v>
      </c>
      <c r="DQ11" s="14">
        <f t="shared" si="68"/>
        <v>5.9999999999999991E-2</v>
      </c>
      <c r="DR11" s="3">
        <f t="shared" si="20"/>
        <v>0.66008860190175067</v>
      </c>
      <c r="DU11" s="3">
        <f t="shared" si="69"/>
        <v>5.9999999999999991E-2</v>
      </c>
      <c r="DV11" s="14">
        <f t="shared" si="70"/>
        <v>5.9999999999999991E-2</v>
      </c>
      <c r="DW11" s="3">
        <f t="shared" si="21"/>
        <v>0.66008860190175067</v>
      </c>
      <c r="DZ11" s="3">
        <f t="shared" si="71"/>
        <v>5.9999999999999991E-2</v>
      </c>
      <c r="EA11" s="3">
        <f t="shared" si="72"/>
        <v>5.9999999999999991E-2</v>
      </c>
      <c r="EB11" s="3">
        <f t="shared" si="22"/>
        <v>0.66008860190175067</v>
      </c>
      <c r="EE11" s="3">
        <f t="shared" si="73"/>
        <v>5.9999999999999991E-2</v>
      </c>
      <c r="EF11" s="14">
        <f t="shared" si="74"/>
        <v>5.9999999999999991E-2</v>
      </c>
      <c r="EG11" s="3">
        <f t="shared" si="23"/>
        <v>0.66008860190175067</v>
      </c>
      <c r="EJ11" s="3">
        <f t="shared" si="75"/>
        <v>5.9999999999999991E-2</v>
      </c>
      <c r="EK11" s="14">
        <f t="shared" si="76"/>
        <v>5.9999999999999991E-2</v>
      </c>
      <c r="EL11" s="3">
        <f t="shared" si="24"/>
        <v>0.66008860190175067</v>
      </c>
      <c r="EO11" s="3">
        <f t="shared" si="77"/>
        <v>5.9999999999999991E-2</v>
      </c>
      <c r="EP11" s="3">
        <f t="shared" si="78"/>
        <v>5.9999999999999991E-2</v>
      </c>
      <c r="EQ11" s="3">
        <f t="shared" si="25"/>
        <v>0.66008860190175067</v>
      </c>
      <c r="ET11" s="3">
        <f t="shared" si="79"/>
        <v>5.9999999999999991E-2</v>
      </c>
      <c r="EU11" s="14">
        <f t="shared" si="80"/>
        <v>5.9999999999999991E-2</v>
      </c>
      <c r="EV11" s="3">
        <f t="shared" si="26"/>
        <v>0.66008860190175067</v>
      </c>
    </row>
    <row r="12" spans="2:156" x14ac:dyDescent="0.25">
      <c r="C12" s="11" t="s">
        <v>5</v>
      </c>
      <c r="D12" s="18">
        <v>43</v>
      </c>
      <c r="F12" s="11" t="s">
        <v>6</v>
      </c>
      <c r="G12" s="18">
        <v>-80</v>
      </c>
      <c r="T12" s="3">
        <f t="shared" si="27"/>
        <v>7.9999999999999988E-2</v>
      </c>
      <c r="U12" s="14">
        <f t="shared" si="28"/>
        <v>7.9999999999999988E-2</v>
      </c>
      <c r="V12" s="3">
        <f t="shared" si="0"/>
        <v>0.80803444374664002</v>
      </c>
      <c r="Y12" s="3">
        <f t="shared" si="29"/>
        <v>7.9999999999999988E-2</v>
      </c>
      <c r="Z12" s="3">
        <f t="shared" si="30"/>
        <v>7.9999999999999988E-2</v>
      </c>
      <c r="AA12" s="3">
        <f t="shared" si="1"/>
        <v>0.80803444374664002</v>
      </c>
      <c r="AD12" s="3">
        <f t="shared" si="31"/>
        <v>7.9999999999999988E-2</v>
      </c>
      <c r="AE12" s="14">
        <f t="shared" si="32"/>
        <v>7.9999999999999988E-2</v>
      </c>
      <c r="AF12" s="3">
        <f t="shared" si="2"/>
        <v>0.80803444374664002</v>
      </c>
      <c r="AI12" s="3">
        <f t="shared" si="33"/>
        <v>7.9999999999999988E-2</v>
      </c>
      <c r="AJ12" s="14">
        <f t="shared" si="34"/>
        <v>7.9999999999999988E-2</v>
      </c>
      <c r="AK12" s="3">
        <f t="shared" si="3"/>
        <v>0.80803444374664002</v>
      </c>
      <c r="AN12" s="3">
        <f t="shared" si="35"/>
        <v>7.9999999999999988E-2</v>
      </c>
      <c r="AO12" s="3">
        <f t="shared" si="36"/>
        <v>7.9999999999999988E-2</v>
      </c>
      <c r="AP12" s="3">
        <f t="shared" si="4"/>
        <v>0.80803444374664002</v>
      </c>
      <c r="AS12" s="3">
        <f t="shared" si="37"/>
        <v>7.9999999999999988E-2</v>
      </c>
      <c r="AT12" s="14">
        <f t="shared" si="38"/>
        <v>7.9999999999999988E-2</v>
      </c>
      <c r="AU12" s="3">
        <f t="shared" si="5"/>
        <v>0.80803444374664002</v>
      </c>
      <c r="AX12" s="3">
        <f t="shared" si="39"/>
        <v>7.9999999999999988E-2</v>
      </c>
      <c r="AY12" s="14">
        <f t="shared" si="40"/>
        <v>7.9999999999999988E-2</v>
      </c>
      <c r="AZ12" s="3">
        <f t="shared" si="6"/>
        <v>0.80803444374664002</v>
      </c>
      <c r="BC12" s="3">
        <f t="shared" si="41"/>
        <v>7.9999999999999988E-2</v>
      </c>
      <c r="BD12" s="3">
        <f t="shared" si="42"/>
        <v>7.9999999999999988E-2</v>
      </c>
      <c r="BE12" s="3">
        <f t="shared" si="7"/>
        <v>0.80803444374664002</v>
      </c>
      <c r="BH12" s="3">
        <f t="shared" si="43"/>
        <v>7.9999999999999988E-2</v>
      </c>
      <c r="BI12" s="14">
        <f t="shared" si="44"/>
        <v>7.9999999999999988E-2</v>
      </c>
      <c r="BJ12" s="3">
        <f t="shared" si="8"/>
        <v>0.80803444374664002</v>
      </c>
      <c r="BM12" s="3">
        <f t="shared" si="45"/>
        <v>7.9999999999999988E-2</v>
      </c>
      <c r="BN12" s="14">
        <f t="shared" si="46"/>
        <v>7.9999999999999988E-2</v>
      </c>
      <c r="BO12" s="3">
        <f t="shared" si="9"/>
        <v>0.80803444374664002</v>
      </c>
      <c r="BR12" s="3">
        <f t="shared" si="47"/>
        <v>7.9999999999999988E-2</v>
      </c>
      <c r="BS12" s="3">
        <f t="shared" si="48"/>
        <v>7.9999999999999988E-2</v>
      </c>
      <c r="BT12" s="3">
        <f t="shared" si="10"/>
        <v>0.80803444374664002</v>
      </c>
      <c r="BW12" s="3">
        <f t="shared" si="49"/>
        <v>7.9999999999999988E-2</v>
      </c>
      <c r="BX12" s="14">
        <f t="shared" si="50"/>
        <v>7.9999999999999988E-2</v>
      </c>
      <c r="BY12" s="3">
        <f t="shared" si="11"/>
        <v>0.80803444374664002</v>
      </c>
      <c r="CB12" s="3">
        <f t="shared" si="51"/>
        <v>7.9999999999999988E-2</v>
      </c>
      <c r="CC12" s="14">
        <f t="shared" si="52"/>
        <v>7.9999999999999988E-2</v>
      </c>
      <c r="CD12" s="3">
        <f t="shared" si="12"/>
        <v>0.80803444374664002</v>
      </c>
      <c r="CG12" s="3">
        <f t="shared" si="53"/>
        <v>7.9999999999999988E-2</v>
      </c>
      <c r="CH12" s="3">
        <f t="shared" si="54"/>
        <v>7.9999999999999988E-2</v>
      </c>
      <c r="CI12" s="3">
        <f t="shared" si="13"/>
        <v>0.80803444374664002</v>
      </c>
      <c r="CL12" s="3">
        <f t="shared" si="55"/>
        <v>7.9999999999999988E-2</v>
      </c>
      <c r="CM12" s="14">
        <f t="shared" si="56"/>
        <v>7.9999999999999988E-2</v>
      </c>
      <c r="CN12" s="3">
        <f t="shared" si="14"/>
        <v>0.80803444374664002</v>
      </c>
      <c r="CQ12" s="3">
        <f t="shared" si="57"/>
        <v>7.9999999999999988E-2</v>
      </c>
      <c r="CR12" s="14">
        <f t="shared" si="58"/>
        <v>7.9999999999999988E-2</v>
      </c>
      <c r="CS12" s="3">
        <f t="shared" si="15"/>
        <v>0.80803444374664002</v>
      </c>
      <c r="CV12" s="3">
        <f t="shared" si="59"/>
        <v>7.9999999999999988E-2</v>
      </c>
      <c r="CW12" s="3">
        <f t="shared" si="60"/>
        <v>7.9999999999999988E-2</v>
      </c>
      <c r="CX12" s="3">
        <f t="shared" si="16"/>
        <v>0.80803444374664002</v>
      </c>
      <c r="DA12" s="3">
        <f t="shared" si="61"/>
        <v>7.9999999999999988E-2</v>
      </c>
      <c r="DB12" s="14">
        <f t="shared" si="62"/>
        <v>7.9999999999999988E-2</v>
      </c>
      <c r="DC12" s="3">
        <f t="shared" si="17"/>
        <v>0.80803444374664002</v>
      </c>
      <c r="DF12" s="3">
        <f t="shared" si="63"/>
        <v>7.9999999999999988E-2</v>
      </c>
      <c r="DG12" s="14">
        <f t="shared" si="64"/>
        <v>7.9999999999999988E-2</v>
      </c>
      <c r="DH12" s="3">
        <f t="shared" si="18"/>
        <v>0.80803444374664002</v>
      </c>
      <c r="DK12" s="3">
        <f t="shared" si="65"/>
        <v>7.9999999999999988E-2</v>
      </c>
      <c r="DL12" s="3">
        <f t="shared" si="66"/>
        <v>7.9999999999999988E-2</v>
      </c>
      <c r="DM12" s="3">
        <f t="shared" si="19"/>
        <v>0.80803444374664002</v>
      </c>
      <c r="DP12" s="3">
        <f t="shared" si="67"/>
        <v>7.9999999999999988E-2</v>
      </c>
      <c r="DQ12" s="14">
        <f t="shared" si="68"/>
        <v>7.9999999999999988E-2</v>
      </c>
      <c r="DR12" s="3">
        <f t="shared" si="20"/>
        <v>0.80803444374664002</v>
      </c>
      <c r="DU12" s="3">
        <f t="shared" si="69"/>
        <v>7.9999999999999988E-2</v>
      </c>
      <c r="DV12" s="14">
        <f t="shared" si="70"/>
        <v>7.9999999999999988E-2</v>
      </c>
      <c r="DW12" s="3">
        <f t="shared" si="21"/>
        <v>0.80803444374664002</v>
      </c>
      <c r="DZ12" s="3">
        <f t="shared" si="71"/>
        <v>7.9999999999999988E-2</v>
      </c>
      <c r="EA12" s="3">
        <f t="shared" si="72"/>
        <v>7.9999999999999988E-2</v>
      </c>
      <c r="EB12" s="3">
        <f t="shared" si="22"/>
        <v>0.80803444374664002</v>
      </c>
      <c r="EE12" s="3">
        <f t="shared" si="73"/>
        <v>7.9999999999999988E-2</v>
      </c>
      <c r="EF12" s="14">
        <f t="shared" si="74"/>
        <v>7.9999999999999988E-2</v>
      </c>
      <c r="EG12" s="3">
        <f t="shared" si="23"/>
        <v>0.80803444374664002</v>
      </c>
      <c r="EJ12" s="3">
        <f t="shared" si="75"/>
        <v>7.9999999999999988E-2</v>
      </c>
      <c r="EK12" s="14">
        <f t="shared" si="76"/>
        <v>7.9999999999999988E-2</v>
      </c>
      <c r="EL12" s="3">
        <f t="shared" si="24"/>
        <v>0.80803444374664002</v>
      </c>
      <c r="EO12" s="3">
        <f t="shared" si="77"/>
        <v>7.9999999999999988E-2</v>
      </c>
      <c r="EP12" s="3">
        <f t="shared" si="78"/>
        <v>7.9999999999999988E-2</v>
      </c>
      <c r="EQ12" s="3">
        <f t="shared" si="25"/>
        <v>0.80803444374664002</v>
      </c>
      <c r="ET12" s="3">
        <f t="shared" si="79"/>
        <v>7.9999999999999988E-2</v>
      </c>
      <c r="EU12" s="14">
        <f t="shared" si="80"/>
        <v>7.9999999999999988E-2</v>
      </c>
      <c r="EV12" s="3">
        <f t="shared" si="26"/>
        <v>0.80803444374664002</v>
      </c>
    </row>
    <row r="13" spans="2:156" x14ac:dyDescent="0.25">
      <c r="C13" s="11" t="s">
        <v>7</v>
      </c>
      <c r="D13" s="19">
        <v>0</v>
      </c>
      <c r="F13" s="11" t="s">
        <v>7</v>
      </c>
      <c r="G13" s="19">
        <v>0</v>
      </c>
      <c r="T13" s="3">
        <f t="shared" si="27"/>
        <v>9.9999999999999978E-2</v>
      </c>
      <c r="U13" s="14">
        <f t="shared" si="28"/>
        <v>9.9999999999999978E-2</v>
      </c>
      <c r="V13" s="3">
        <f t="shared" si="0"/>
        <v>0.95327177286368237</v>
      </c>
      <c r="Y13" s="3">
        <f t="shared" si="29"/>
        <v>9.9999999999999978E-2</v>
      </c>
      <c r="Z13" s="3">
        <f t="shared" si="30"/>
        <v>9.9999999999999978E-2</v>
      </c>
      <c r="AA13" s="3">
        <f t="shared" si="1"/>
        <v>0.95327177286368237</v>
      </c>
      <c r="AD13" s="3">
        <f t="shared" si="31"/>
        <v>9.9999999999999978E-2</v>
      </c>
      <c r="AE13" s="14">
        <f t="shared" si="32"/>
        <v>9.9999999999999978E-2</v>
      </c>
      <c r="AF13" s="3">
        <f t="shared" si="2"/>
        <v>0.95327177286368237</v>
      </c>
      <c r="AI13" s="3">
        <f t="shared" si="33"/>
        <v>9.9999999999999978E-2</v>
      </c>
      <c r="AJ13" s="14">
        <f t="shared" si="34"/>
        <v>9.9999999999999978E-2</v>
      </c>
      <c r="AK13" s="3">
        <f t="shared" si="3"/>
        <v>0.95327177286368237</v>
      </c>
      <c r="AN13" s="3">
        <f t="shared" si="35"/>
        <v>9.9999999999999978E-2</v>
      </c>
      <c r="AO13" s="3">
        <f t="shared" si="36"/>
        <v>9.9999999999999978E-2</v>
      </c>
      <c r="AP13" s="3">
        <f t="shared" si="4"/>
        <v>0.95327177286368237</v>
      </c>
      <c r="AS13" s="3">
        <f t="shared" si="37"/>
        <v>9.9999999999999978E-2</v>
      </c>
      <c r="AT13" s="14">
        <f t="shared" si="38"/>
        <v>9.9999999999999978E-2</v>
      </c>
      <c r="AU13" s="3">
        <f t="shared" si="5"/>
        <v>0.95327177286368237</v>
      </c>
      <c r="AX13" s="3">
        <f t="shared" si="39"/>
        <v>9.9999999999999978E-2</v>
      </c>
      <c r="AY13" s="14">
        <f t="shared" si="40"/>
        <v>9.9999999999999978E-2</v>
      </c>
      <c r="AZ13" s="3">
        <f t="shared" si="6"/>
        <v>0.95327177286368237</v>
      </c>
      <c r="BC13" s="3">
        <f t="shared" si="41"/>
        <v>9.9999999999999978E-2</v>
      </c>
      <c r="BD13" s="3">
        <f t="shared" si="42"/>
        <v>9.9999999999999978E-2</v>
      </c>
      <c r="BE13" s="3">
        <f t="shared" si="7"/>
        <v>0.95327177286368237</v>
      </c>
      <c r="BH13" s="3">
        <f t="shared" si="43"/>
        <v>9.9999999999999978E-2</v>
      </c>
      <c r="BI13" s="14">
        <f t="shared" si="44"/>
        <v>9.9999999999999978E-2</v>
      </c>
      <c r="BJ13" s="3">
        <f t="shared" si="8"/>
        <v>0.95327177286368237</v>
      </c>
      <c r="BM13" s="3">
        <f t="shared" si="45"/>
        <v>9.9999999999999978E-2</v>
      </c>
      <c r="BN13" s="14">
        <f t="shared" si="46"/>
        <v>9.9999999999999978E-2</v>
      </c>
      <c r="BO13" s="3">
        <f t="shared" si="9"/>
        <v>0.95327177286368237</v>
      </c>
      <c r="BR13" s="3">
        <f t="shared" si="47"/>
        <v>9.9999999999999978E-2</v>
      </c>
      <c r="BS13" s="3">
        <f t="shared" si="48"/>
        <v>9.9999999999999978E-2</v>
      </c>
      <c r="BT13" s="3">
        <f t="shared" si="10"/>
        <v>0.95327177286368237</v>
      </c>
      <c r="BW13" s="3">
        <f t="shared" si="49"/>
        <v>9.9999999999999978E-2</v>
      </c>
      <c r="BX13" s="14">
        <f t="shared" si="50"/>
        <v>9.9999999999999978E-2</v>
      </c>
      <c r="BY13" s="3">
        <f t="shared" si="11"/>
        <v>0.95327177286368237</v>
      </c>
      <c r="CB13" s="3">
        <f t="shared" si="51"/>
        <v>9.9999999999999978E-2</v>
      </c>
      <c r="CC13" s="14">
        <f t="shared" si="52"/>
        <v>9.9999999999999978E-2</v>
      </c>
      <c r="CD13" s="3">
        <f t="shared" si="12"/>
        <v>0.95327177286368237</v>
      </c>
      <c r="CG13" s="3">
        <f t="shared" si="53"/>
        <v>9.9999999999999978E-2</v>
      </c>
      <c r="CH13" s="3">
        <f t="shared" si="54"/>
        <v>9.9999999999999978E-2</v>
      </c>
      <c r="CI13" s="3">
        <f t="shared" si="13"/>
        <v>0.95327177286368237</v>
      </c>
      <c r="CL13" s="3">
        <f t="shared" si="55"/>
        <v>9.9999999999999978E-2</v>
      </c>
      <c r="CM13" s="14">
        <f t="shared" si="56"/>
        <v>9.9999999999999978E-2</v>
      </c>
      <c r="CN13" s="3">
        <f t="shared" si="14"/>
        <v>0.95327177286368237</v>
      </c>
      <c r="CQ13" s="3">
        <f t="shared" si="57"/>
        <v>9.9999999999999978E-2</v>
      </c>
      <c r="CR13" s="14">
        <f t="shared" si="58"/>
        <v>9.9999999999999978E-2</v>
      </c>
      <c r="CS13" s="3">
        <f t="shared" si="15"/>
        <v>0.95327177286368237</v>
      </c>
      <c r="CV13" s="3">
        <f t="shared" si="59"/>
        <v>9.9999999999999978E-2</v>
      </c>
      <c r="CW13" s="3">
        <f t="shared" si="60"/>
        <v>9.9999999999999978E-2</v>
      </c>
      <c r="CX13" s="3">
        <f t="shared" si="16"/>
        <v>0.95327177286368237</v>
      </c>
      <c r="DA13" s="3">
        <f t="shared" si="61"/>
        <v>9.9999999999999978E-2</v>
      </c>
      <c r="DB13" s="14">
        <f t="shared" si="62"/>
        <v>9.9999999999999978E-2</v>
      </c>
      <c r="DC13" s="3">
        <f t="shared" si="17"/>
        <v>0.95327177286368237</v>
      </c>
      <c r="DF13" s="3">
        <f t="shared" si="63"/>
        <v>9.9999999999999978E-2</v>
      </c>
      <c r="DG13" s="14">
        <f t="shared" si="64"/>
        <v>9.9999999999999978E-2</v>
      </c>
      <c r="DH13" s="3">
        <f t="shared" si="18"/>
        <v>0.95327177286368237</v>
      </c>
      <c r="DK13" s="3">
        <f t="shared" si="65"/>
        <v>9.9999999999999978E-2</v>
      </c>
      <c r="DL13" s="3">
        <f t="shared" si="66"/>
        <v>9.9999999999999978E-2</v>
      </c>
      <c r="DM13" s="3">
        <f t="shared" si="19"/>
        <v>0.95327177286368237</v>
      </c>
      <c r="DP13" s="3">
        <f t="shared" si="67"/>
        <v>9.9999999999999978E-2</v>
      </c>
      <c r="DQ13" s="14">
        <f t="shared" si="68"/>
        <v>9.9999999999999978E-2</v>
      </c>
      <c r="DR13" s="3">
        <f t="shared" si="20"/>
        <v>0.95327177286368237</v>
      </c>
      <c r="DU13" s="3">
        <f t="shared" si="69"/>
        <v>9.9999999999999978E-2</v>
      </c>
      <c r="DV13" s="14">
        <f t="shared" si="70"/>
        <v>9.9999999999999978E-2</v>
      </c>
      <c r="DW13" s="3">
        <f t="shared" si="21"/>
        <v>0.95327177286368237</v>
      </c>
      <c r="DZ13" s="3">
        <f t="shared" si="71"/>
        <v>9.9999999999999978E-2</v>
      </c>
      <c r="EA13" s="3">
        <f t="shared" si="72"/>
        <v>9.9999999999999978E-2</v>
      </c>
      <c r="EB13" s="3">
        <f t="shared" si="22"/>
        <v>0.95327177286368237</v>
      </c>
      <c r="EE13" s="3">
        <f t="shared" si="73"/>
        <v>9.9999999999999978E-2</v>
      </c>
      <c r="EF13" s="14">
        <f t="shared" si="74"/>
        <v>9.9999999999999978E-2</v>
      </c>
      <c r="EG13" s="3">
        <f t="shared" si="23"/>
        <v>0.95327177286368237</v>
      </c>
      <c r="EJ13" s="3">
        <f t="shared" si="75"/>
        <v>9.9999999999999978E-2</v>
      </c>
      <c r="EK13" s="14">
        <f t="shared" si="76"/>
        <v>9.9999999999999978E-2</v>
      </c>
      <c r="EL13" s="3">
        <f t="shared" si="24"/>
        <v>0.95327177286368237</v>
      </c>
      <c r="EO13" s="3">
        <f t="shared" si="77"/>
        <v>9.9999999999999978E-2</v>
      </c>
      <c r="EP13" s="3">
        <f t="shared" si="78"/>
        <v>9.9999999999999978E-2</v>
      </c>
      <c r="EQ13" s="3">
        <f t="shared" si="25"/>
        <v>0.95327177286368237</v>
      </c>
      <c r="ET13" s="3">
        <f t="shared" si="79"/>
        <v>9.9999999999999978E-2</v>
      </c>
      <c r="EU13" s="14">
        <f t="shared" si="80"/>
        <v>9.9999999999999978E-2</v>
      </c>
      <c r="EV13" s="3">
        <f t="shared" si="26"/>
        <v>0.95327177286368237</v>
      </c>
    </row>
    <row r="14" spans="2:156" x14ac:dyDescent="0.25">
      <c r="D14" s="20"/>
      <c r="N14" s="1">
        <f>MAX(T8:EV108)</f>
        <v>4.7749685025177477</v>
      </c>
      <c r="T14" s="3">
        <f t="shared" si="27"/>
        <v>0.11999999999999997</v>
      </c>
      <c r="U14" s="14">
        <f t="shared" si="28"/>
        <v>0.11999999999999997</v>
      </c>
      <c r="V14" s="3">
        <f t="shared" si="0"/>
        <v>1.0958005892528775</v>
      </c>
      <c r="Y14" s="3">
        <f t="shared" si="29"/>
        <v>0.11999999999999997</v>
      </c>
      <c r="Z14" s="3">
        <f t="shared" si="30"/>
        <v>0.11999999999999997</v>
      </c>
      <c r="AA14" s="3">
        <f t="shared" si="1"/>
        <v>1.0958005892528775</v>
      </c>
      <c r="AD14" s="3">
        <f t="shared" si="31"/>
        <v>0.11999999999999997</v>
      </c>
      <c r="AE14" s="14">
        <f t="shared" si="32"/>
        <v>0.11999999999999997</v>
      </c>
      <c r="AF14" s="3">
        <f t="shared" si="2"/>
        <v>1.0958005892528775</v>
      </c>
      <c r="AI14" s="3">
        <f t="shared" si="33"/>
        <v>0.11999999999999997</v>
      </c>
      <c r="AJ14" s="14">
        <f t="shared" si="34"/>
        <v>0.11999999999999997</v>
      </c>
      <c r="AK14" s="3">
        <f t="shared" si="3"/>
        <v>1.0958005892528775</v>
      </c>
      <c r="AN14" s="3">
        <f t="shared" si="35"/>
        <v>0.11999999999999997</v>
      </c>
      <c r="AO14" s="3">
        <f t="shared" si="36"/>
        <v>0.11999999999999997</v>
      </c>
      <c r="AP14" s="3">
        <f t="shared" si="4"/>
        <v>1.0958005892528775</v>
      </c>
      <c r="AS14" s="3">
        <f t="shared" si="37"/>
        <v>0.11999999999999997</v>
      </c>
      <c r="AT14" s="14">
        <f t="shared" si="38"/>
        <v>0.11999999999999997</v>
      </c>
      <c r="AU14" s="3">
        <f t="shared" si="5"/>
        <v>1.0958005892528775</v>
      </c>
      <c r="AX14" s="3">
        <f t="shared" si="39"/>
        <v>0.11999999999999997</v>
      </c>
      <c r="AY14" s="14">
        <f t="shared" si="40"/>
        <v>0.11999999999999997</v>
      </c>
      <c r="AZ14" s="3">
        <f t="shared" si="6"/>
        <v>1.0958005892528775</v>
      </c>
      <c r="BC14" s="3">
        <f t="shared" si="41"/>
        <v>0.11999999999999997</v>
      </c>
      <c r="BD14" s="3">
        <f t="shared" si="42"/>
        <v>0.11999999999999997</v>
      </c>
      <c r="BE14" s="3">
        <f t="shared" si="7"/>
        <v>1.0958005892528775</v>
      </c>
      <c r="BH14" s="3">
        <f t="shared" si="43"/>
        <v>0.11999999999999997</v>
      </c>
      <c r="BI14" s="14">
        <f t="shared" si="44"/>
        <v>0.11999999999999997</v>
      </c>
      <c r="BJ14" s="3">
        <f t="shared" si="8"/>
        <v>1.0958005892528775</v>
      </c>
      <c r="BM14" s="3">
        <f t="shared" si="45"/>
        <v>0.11999999999999997</v>
      </c>
      <c r="BN14" s="14">
        <f t="shared" si="46"/>
        <v>0.11999999999999997</v>
      </c>
      <c r="BO14" s="3">
        <f t="shared" si="9"/>
        <v>1.0958005892528775</v>
      </c>
      <c r="BR14" s="3">
        <f t="shared" si="47"/>
        <v>0.11999999999999997</v>
      </c>
      <c r="BS14" s="3">
        <f t="shared" si="48"/>
        <v>0.11999999999999997</v>
      </c>
      <c r="BT14" s="3">
        <f t="shared" si="10"/>
        <v>1.0958005892528775</v>
      </c>
      <c r="BW14" s="3">
        <f t="shared" si="49"/>
        <v>0.11999999999999997</v>
      </c>
      <c r="BX14" s="14">
        <f t="shared" si="50"/>
        <v>0.11999999999999997</v>
      </c>
      <c r="BY14" s="3">
        <f t="shared" si="11"/>
        <v>1.0958005892528775</v>
      </c>
      <c r="CB14" s="3">
        <f t="shared" si="51"/>
        <v>0.11999999999999997</v>
      </c>
      <c r="CC14" s="14">
        <f t="shared" si="52"/>
        <v>0.11999999999999997</v>
      </c>
      <c r="CD14" s="3">
        <f t="shared" si="12"/>
        <v>1.0958005892528775</v>
      </c>
      <c r="CG14" s="3">
        <f t="shared" si="53"/>
        <v>0.11999999999999997</v>
      </c>
      <c r="CH14" s="3">
        <f t="shared" si="54"/>
        <v>0.11999999999999997</v>
      </c>
      <c r="CI14" s="3">
        <f t="shared" si="13"/>
        <v>1.0958005892528775</v>
      </c>
      <c r="CL14" s="3">
        <f t="shared" si="55"/>
        <v>0.11999999999999997</v>
      </c>
      <c r="CM14" s="14">
        <f t="shared" si="56"/>
        <v>0.11999999999999997</v>
      </c>
      <c r="CN14" s="3">
        <f t="shared" si="14"/>
        <v>1.0958005892528775</v>
      </c>
      <c r="CQ14" s="3">
        <f t="shared" si="57"/>
        <v>0.11999999999999997</v>
      </c>
      <c r="CR14" s="14">
        <f t="shared" si="58"/>
        <v>0.11999999999999997</v>
      </c>
      <c r="CS14" s="3">
        <f t="shared" si="15"/>
        <v>1.0958005892528775</v>
      </c>
      <c r="CV14" s="3">
        <f t="shared" si="59"/>
        <v>0.11999999999999997</v>
      </c>
      <c r="CW14" s="3">
        <f t="shared" si="60"/>
        <v>0.11999999999999997</v>
      </c>
      <c r="CX14" s="3">
        <f t="shared" si="16"/>
        <v>1.0958005892528775</v>
      </c>
      <c r="DA14" s="3">
        <f t="shared" si="61"/>
        <v>0.11999999999999997</v>
      </c>
      <c r="DB14" s="14">
        <f t="shared" si="62"/>
        <v>0.11999999999999997</v>
      </c>
      <c r="DC14" s="3">
        <f t="shared" si="17"/>
        <v>1.0958005892528775</v>
      </c>
      <c r="DF14" s="3">
        <f t="shared" si="63"/>
        <v>0.11999999999999997</v>
      </c>
      <c r="DG14" s="14">
        <f t="shared" si="64"/>
        <v>0.11999999999999997</v>
      </c>
      <c r="DH14" s="3">
        <f t="shared" si="18"/>
        <v>1.0958005892528775</v>
      </c>
      <c r="DK14" s="3">
        <f t="shared" si="65"/>
        <v>0.11999999999999997</v>
      </c>
      <c r="DL14" s="3">
        <f t="shared" si="66"/>
        <v>0.11999999999999997</v>
      </c>
      <c r="DM14" s="3">
        <f t="shared" si="19"/>
        <v>1.0958005892528775</v>
      </c>
      <c r="DP14" s="3">
        <f t="shared" si="67"/>
        <v>0.11999999999999997</v>
      </c>
      <c r="DQ14" s="14">
        <f t="shared" si="68"/>
        <v>0.11999999999999997</v>
      </c>
      <c r="DR14" s="3">
        <f t="shared" si="20"/>
        <v>1.0958005892528775</v>
      </c>
      <c r="DU14" s="3">
        <f t="shared" si="69"/>
        <v>0.11999999999999997</v>
      </c>
      <c r="DV14" s="14">
        <f t="shared" si="70"/>
        <v>0.11999999999999997</v>
      </c>
      <c r="DW14" s="3">
        <f t="shared" si="21"/>
        <v>1.0958005892528775</v>
      </c>
      <c r="DZ14" s="3">
        <f t="shared" si="71"/>
        <v>0.11999999999999997</v>
      </c>
      <c r="EA14" s="3">
        <f t="shared" si="72"/>
        <v>0.11999999999999997</v>
      </c>
      <c r="EB14" s="3">
        <f t="shared" si="22"/>
        <v>1.0958005892528775</v>
      </c>
      <c r="EE14" s="3">
        <f t="shared" si="73"/>
        <v>0.11999999999999997</v>
      </c>
      <c r="EF14" s="14">
        <f t="shared" si="74"/>
        <v>0.11999999999999997</v>
      </c>
      <c r="EG14" s="3">
        <f t="shared" si="23"/>
        <v>1.0958005892528775</v>
      </c>
      <c r="EJ14" s="3">
        <f t="shared" si="75"/>
        <v>0.11999999999999997</v>
      </c>
      <c r="EK14" s="14">
        <f t="shared" si="76"/>
        <v>0.11999999999999997</v>
      </c>
      <c r="EL14" s="3">
        <f t="shared" si="24"/>
        <v>1.0958005892528775</v>
      </c>
      <c r="EO14" s="3">
        <f t="shared" si="77"/>
        <v>0.11999999999999997</v>
      </c>
      <c r="EP14" s="3">
        <f t="shared" si="78"/>
        <v>0.11999999999999997</v>
      </c>
      <c r="EQ14" s="3">
        <f t="shared" si="25"/>
        <v>1.0958005892528775</v>
      </c>
      <c r="ET14" s="3">
        <f t="shared" si="79"/>
        <v>0.11999999999999997</v>
      </c>
      <c r="EU14" s="14">
        <f t="shared" si="80"/>
        <v>0.11999999999999997</v>
      </c>
      <c r="EV14" s="3">
        <f t="shared" si="26"/>
        <v>1.0958005892528775</v>
      </c>
    </row>
    <row r="15" spans="2:156" x14ac:dyDescent="0.25">
      <c r="N15" s="1">
        <f>MIN(T8:EV108)</f>
        <v>0</v>
      </c>
      <c r="T15" s="3">
        <f t="shared" si="27"/>
        <v>0.13999999999999996</v>
      </c>
      <c r="U15" s="14">
        <f t="shared" si="28"/>
        <v>0.13999999999999996</v>
      </c>
      <c r="V15" s="3">
        <f t="shared" si="0"/>
        <v>1.2356208929142256</v>
      </c>
      <c r="Y15" s="3">
        <f t="shared" si="29"/>
        <v>0.13999999999999996</v>
      </c>
      <c r="Z15" s="3">
        <f t="shared" si="30"/>
        <v>0.13999999999999996</v>
      </c>
      <c r="AA15" s="3">
        <f t="shared" si="1"/>
        <v>1.2356208929142256</v>
      </c>
      <c r="AD15" s="3">
        <f t="shared" si="31"/>
        <v>0.13999999999999996</v>
      </c>
      <c r="AE15" s="14">
        <f t="shared" si="32"/>
        <v>0.13999999999999996</v>
      </c>
      <c r="AF15" s="3">
        <f t="shared" si="2"/>
        <v>1.2356208929142256</v>
      </c>
      <c r="AI15" s="3">
        <f t="shared" si="33"/>
        <v>0.13999999999999996</v>
      </c>
      <c r="AJ15" s="14">
        <f t="shared" si="34"/>
        <v>0.13999999999999996</v>
      </c>
      <c r="AK15" s="3">
        <f t="shared" si="3"/>
        <v>1.2356208929142256</v>
      </c>
      <c r="AN15" s="3">
        <f t="shared" si="35"/>
        <v>0.13999999999999996</v>
      </c>
      <c r="AO15" s="3">
        <f t="shared" si="36"/>
        <v>0.13999999999999996</v>
      </c>
      <c r="AP15" s="3">
        <f t="shared" si="4"/>
        <v>1.2356208929142256</v>
      </c>
      <c r="AS15" s="3">
        <f t="shared" si="37"/>
        <v>0.13999999999999996</v>
      </c>
      <c r="AT15" s="14">
        <f t="shared" si="38"/>
        <v>0.13999999999999996</v>
      </c>
      <c r="AU15" s="3">
        <f t="shared" si="5"/>
        <v>1.2356208929142256</v>
      </c>
      <c r="AX15" s="3">
        <f t="shared" si="39"/>
        <v>0.13999999999999996</v>
      </c>
      <c r="AY15" s="14">
        <f t="shared" si="40"/>
        <v>0.13999999999999996</v>
      </c>
      <c r="AZ15" s="3">
        <f t="shared" si="6"/>
        <v>1.2356208929142256</v>
      </c>
      <c r="BC15" s="3">
        <f t="shared" si="41"/>
        <v>0.13999999999999996</v>
      </c>
      <c r="BD15" s="3">
        <f t="shared" si="42"/>
        <v>0.13999999999999996</v>
      </c>
      <c r="BE15" s="3">
        <f t="shared" si="7"/>
        <v>1.2356208929142256</v>
      </c>
      <c r="BH15" s="3">
        <f t="shared" si="43"/>
        <v>0.13999999999999996</v>
      </c>
      <c r="BI15" s="14">
        <f t="shared" si="44"/>
        <v>0.13999999999999996</v>
      </c>
      <c r="BJ15" s="3">
        <f t="shared" si="8"/>
        <v>1.2356208929142256</v>
      </c>
      <c r="BM15" s="3">
        <f t="shared" si="45"/>
        <v>0.13999999999999996</v>
      </c>
      <c r="BN15" s="14">
        <f t="shared" si="46"/>
        <v>0.13999999999999996</v>
      </c>
      <c r="BO15" s="3">
        <f t="shared" si="9"/>
        <v>1.2356208929142256</v>
      </c>
      <c r="BR15" s="3">
        <f t="shared" si="47"/>
        <v>0.13999999999999996</v>
      </c>
      <c r="BS15" s="3">
        <f t="shared" si="48"/>
        <v>0.13999999999999996</v>
      </c>
      <c r="BT15" s="3">
        <f t="shared" si="10"/>
        <v>1.2356208929142256</v>
      </c>
      <c r="BW15" s="3">
        <f t="shared" si="49"/>
        <v>0.13999999999999996</v>
      </c>
      <c r="BX15" s="14">
        <f t="shared" si="50"/>
        <v>0.13999999999999996</v>
      </c>
      <c r="BY15" s="3">
        <f t="shared" si="11"/>
        <v>1.2356208929142256</v>
      </c>
      <c r="CB15" s="3">
        <f t="shared" si="51"/>
        <v>0.13999999999999996</v>
      </c>
      <c r="CC15" s="14">
        <f t="shared" si="52"/>
        <v>0.13999999999999996</v>
      </c>
      <c r="CD15" s="3">
        <f t="shared" si="12"/>
        <v>1.2356208929142256</v>
      </c>
      <c r="CG15" s="3">
        <f t="shared" si="53"/>
        <v>0.13999999999999996</v>
      </c>
      <c r="CH15" s="3">
        <f t="shared" si="54"/>
        <v>0.13999999999999996</v>
      </c>
      <c r="CI15" s="3">
        <f t="shared" si="13"/>
        <v>1.2356208929142256</v>
      </c>
      <c r="CL15" s="3">
        <f t="shared" si="55"/>
        <v>0.13999999999999996</v>
      </c>
      <c r="CM15" s="14">
        <f t="shared" si="56"/>
        <v>0.13999999999999996</v>
      </c>
      <c r="CN15" s="3">
        <f t="shared" si="14"/>
        <v>1.2356208929142256</v>
      </c>
      <c r="CQ15" s="3">
        <f t="shared" si="57"/>
        <v>0.13999999999999996</v>
      </c>
      <c r="CR15" s="14">
        <f t="shared" si="58"/>
        <v>0.13999999999999996</v>
      </c>
      <c r="CS15" s="3">
        <f t="shared" si="15"/>
        <v>1.2356208929142256</v>
      </c>
      <c r="CV15" s="3">
        <f t="shared" si="59"/>
        <v>0.13999999999999996</v>
      </c>
      <c r="CW15" s="3">
        <f t="shared" si="60"/>
        <v>0.13999999999999996</v>
      </c>
      <c r="CX15" s="3">
        <f t="shared" si="16"/>
        <v>1.2356208929142256</v>
      </c>
      <c r="DA15" s="3">
        <f t="shared" si="61"/>
        <v>0.13999999999999996</v>
      </c>
      <c r="DB15" s="14">
        <f t="shared" si="62"/>
        <v>0.13999999999999996</v>
      </c>
      <c r="DC15" s="3">
        <f t="shared" si="17"/>
        <v>1.2356208929142256</v>
      </c>
      <c r="DF15" s="3">
        <f t="shared" si="63"/>
        <v>0.13999999999999996</v>
      </c>
      <c r="DG15" s="14">
        <f t="shared" si="64"/>
        <v>0.13999999999999996</v>
      </c>
      <c r="DH15" s="3">
        <f t="shared" si="18"/>
        <v>1.2356208929142256</v>
      </c>
      <c r="DK15" s="3">
        <f t="shared" si="65"/>
        <v>0.13999999999999996</v>
      </c>
      <c r="DL15" s="3">
        <f t="shared" si="66"/>
        <v>0.13999999999999996</v>
      </c>
      <c r="DM15" s="3">
        <f t="shared" si="19"/>
        <v>1.2356208929142256</v>
      </c>
      <c r="DP15" s="3">
        <f t="shared" si="67"/>
        <v>0.13999999999999996</v>
      </c>
      <c r="DQ15" s="14">
        <f t="shared" si="68"/>
        <v>0.13999999999999996</v>
      </c>
      <c r="DR15" s="3">
        <f t="shared" si="20"/>
        <v>1.2356208929142256</v>
      </c>
      <c r="DU15" s="3">
        <f t="shared" si="69"/>
        <v>0.13999999999999996</v>
      </c>
      <c r="DV15" s="14">
        <f t="shared" si="70"/>
        <v>0.13999999999999996</v>
      </c>
      <c r="DW15" s="3">
        <f t="shared" si="21"/>
        <v>1.2356208929142256</v>
      </c>
      <c r="DZ15" s="3">
        <f t="shared" si="71"/>
        <v>0.13999999999999996</v>
      </c>
      <c r="EA15" s="3">
        <f t="shared" si="72"/>
        <v>0.13999999999999996</v>
      </c>
      <c r="EB15" s="3">
        <f t="shared" si="22"/>
        <v>1.2356208929142256</v>
      </c>
      <c r="EE15" s="3">
        <f t="shared" si="73"/>
        <v>0.13999999999999996</v>
      </c>
      <c r="EF15" s="14">
        <f t="shared" si="74"/>
        <v>0.13999999999999996</v>
      </c>
      <c r="EG15" s="3">
        <f t="shared" si="23"/>
        <v>1.2356208929142256</v>
      </c>
      <c r="EJ15" s="3">
        <f t="shared" si="75"/>
        <v>0.13999999999999996</v>
      </c>
      <c r="EK15" s="14">
        <f t="shared" si="76"/>
        <v>0.13999999999999996</v>
      </c>
      <c r="EL15" s="3">
        <f t="shared" si="24"/>
        <v>1.2356208929142256</v>
      </c>
      <c r="EO15" s="3">
        <f t="shared" si="77"/>
        <v>0.13999999999999996</v>
      </c>
      <c r="EP15" s="3">
        <f t="shared" si="78"/>
        <v>0.13999999999999996</v>
      </c>
      <c r="EQ15" s="3">
        <f t="shared" si="25"/>
        <v>1.2356208929142256</v>
      </c>
      <c r="ET15" s="3">
        <f t="shared" si="79"/>
        <v>0.13999999999999996</v>
      </c>
      <c r="EU15" s="14">
        <f t="shared" si="80"/>
        <v>0.13999999999999996</v>
      </c>
      <c r="EV15" s="3">
        <f t="shared" si="26"/>
        <v>1.2356208929142256</v>
      </c>
    </row>
    <row r="16" spans="2:156" x14ac:dyDescent="0.25">
      <c r="C16" s="11" t="str">
        <f>"Final Height (" &amp; IF($B$4, "m", "ft") &amp; ")"</f>
        <v>Final Height (m)</v>
      </c>
      <c r="D16" s="21">
        <f>$D$8*TAN(RADIANS($D$12))-(IF($B$4, 9.807, 32.174)*$D$8^2)/(2*$D$10^2*COS(RADIANS($D$12))^2)+$D$7</f>
        <v>2.3853225280485435</v>
      </c>
      <c r="F16" s="11" t="str">
        <f>"Release Velocity (" &amp; IF($B$4, "m", "ft") &amp; "/s)"</f>
        <v>Release Velocity (m/s)</v>
      </c>
      <c r="G16" s="21">
        <f>SQRT((IF($B$4, 9.807, 32.174)*G8)/(ABS(TAN(RADIANS(G18))-TAN(RADIANS(G12)))))/COS(RADIANS(G18))</f>
        <v>9.5489346835634272</v>
      </c>
      <c r="T16" s="3">
        <f t="shared" si="27"/>
        <v>0.15999999999999995</v>
      </c>
      <c r="U16" s="14">
        <f t="shared" si="28"/>
        <v>0.15999999999999995</v>
      </c>
      <c r="V16" s="3">
        <f t="shared" si="0"/>
        <v>1.3727326838477265</v>
      </c>
      <c r="Y16" s="3">
        <f t="shared" si="29"/>
        <v>0.15999999999999995</v>
      </c>
      <c r="Z16" s="3">
        <f t="shared" si="30"/>
        <v>0.15999999999999995</v>
      </c>
      <c r="AA16" s="3">
        <f t="shared" si="1"/>
        <v>1.3727326838477265</v>
      </c>
      <c r="AD16" s="3">
        <f t="shared" si="31"/>
        <v>0.15999999999999995</v>
      </c>
      <c r="AE16" s="14">
        <f t="shared" si="32"/>
        <v>0.15999999999999995</v>
      </c>
      <c r="AF16" s="3">
        <f t="shared" si="2"/>
        <v>1.3727326838477265</v>
      </c>
      <c r="AI16" s="3">
        <f t="shared" si="33"/>
        <v>0.15999999999999995</v>
      </c>
      <c r="AJ16" s="14">
        <f t="shared" si="34"/>
        <v>0.15999999999999995</v>
      </c>
      <c r="AK16" s="3">
        <f t="shared" si="3"/>
        <v>1.3727326838477265</v>
      </c>
      <c r="AN16" s="3">
        <f t="shared" si="35"/>
        <v>0.15999999999999995</v>
      </c>
      <c r="AO16" s="3">
        <f t="shared" si="36"/>
        <v>0.15999999999999995</v>
      </c>
      <c r="AP16" s="3">
        <f t="shared" si="4"/>
        <v>1.3727326838477265</v>
      </c>
      <c r="AS16" s="3">
        <f t="shared" si="37"/>
        <v>0.15999999999999995</v>
      </c>
      <c r="AT16" s="14">
        <f t="shared" si="38"/>
        <v>0.15999999999999995</v>
      </c>
      <c r="AU16" s="3">
        <f t="shared" si="5"/>
        <v>1.3727326838477265</v>
      </c>
      <c r="AX16" s="3">
        <f t="shared" si="39"/>
        <v>0.15999999999999995</v>
      </c>
      <c r="AY16" s="14">
        <f t="shared" si="40"/>
        <v>0.15999999999999995</v>
      </c>
      <c r="AZ16" s="3">
        <f t="shared" si="6"/>
        <v>1.3727326838477265</v>
      </c>
      <c r="BC16" s="3">
        <f t="shared" si="41"/>
        <v>0.15999999999999995</v>
      </c>
      <c r="BD16" s="3">
        <f t="shared" si="42"/>
        <v>0.15999999999999995</v>
      </c>
      <c r="BE16" s="3">
        <f t="shared" si="7"/>
        <v>1.3727326838477265</v>
      </c>
      <c r="BH16" s="3">
        <f t="shared" si="43"/>
        <v>0.15999999999999995</v>
      </c>
      <c r="BI16" s="14">
        <f t="shared" si="44"/>
        <v>0.15999999999999995</v>
      </c>
      <c r="BJ16" s="3">
        <f t="shared" si="8"/>
        <v>1.3727326838477265</v>
      </c>
      <c r="BM16" s="3">
        <f t="shared" si="45"/>
        <v>0.15999999999999995</v>
      </c>
      <c r="BN16" s="14">
        <f t="shared" si="46"/>
        <v>0.15999999999999995</v>
      </c>
      <c r="BO16" s="3">
        <f t="shared" si="9"/>
        <v>1.3727326838477265</v>
      </c>
      <c r="BR16" s="3">
        <f t="shared" si="47"/>
        <v>0.15999999999999995</v>
      </c>
      <c r="BS16" s="3">
        <f t="shared" si="48"/>
        <v>0.15999999999999995</v>
      </c>
      <c r="BT16" s="3">
        <f t="shared" si="10"/>
        <v>1.3727326838477265</v>
      </c>
      <c r="BW16" s="3">
        <f t="shared" si="49"/>
        <v>0.15999999999999995</v>
      </c>
      <c r="BX16" s="14">
        <f t="shared" si="50"/>
        <v>0.15999999999999995</v>
      </c>
      <c r="BY16" s="3">
        <f t="shared" si="11"/>
        <v>1.3727326838477265</v>
      </c>
      <c r="CB16" s="3">
        <f t="shared" si="51"/>
        <v>0.15999999999999995</v>
      </c>
      <c r="CC16" s="14">
        <f t="shared" si="52"/>
        <v>0.15999999999999995</v>
      </c>
      <c r="CD16" s="3">
        <f t="shared" si="12"/>
        <v>1.3727326838477265</v>
      </c>
      <c r="CG16" s="3">
        <f t="shared" si="53"/>
        <v>0.15999999999999995</v>
      </c>
      <c r="CH16" s="3">
        <f t="shared" si="54"/>
        <v>0.15999999999999995</v>
      </c>
      <c r="CI16" s="3">
        <f t="shared" si="13"/>
        <v>1.3727326838477265</v>
      </c>
      <c r="CL16" s="3">
        <f t="shared" si="55"/>
        <v>0.15999999999999995</v>
      </c>
      <c r="CM16" s="14">
        <f t="shared" si="56"/>
        <v>0.15999999999999995</v>
      </c>
      <c r="CN16" s="3">
        <f t="shared" si="14"/>
        <v>1.3727326838477265</v>
      </c>
      <c r="CQ16" s="3">
        <f t="shared" si="57"/>
        <v>0.15999999999999995</v>
      </c>
      <c r="CR16" s="14">
        <f t="shared" si="58"/>
        <v>0.15999999999999995</v>
      </c>
      <c r="CS16" s="3">
        <f t="shared" si="15"/>
        <v>1.3727326838477265</v>
      </c>
      <c r="CV16" s="3">
        <f t="shared" si="59"/>
        <v>0.15999999999999995</v>
      </c>
      <c r="CW16" s="3">
        <f t="shared" si="60"/>
        <v>0.15999999999999995</v>
      </c>
      <c r="CX16" s="3">
        <f t="shared" si="16"/>
        <v>1.3727326838477265</v>
      </c>
      <c r="DA16" s="3">
        <f t="shared" si="61"/>
        <v>0.15999999999999995</v>
      </c>
      <c r="DB16" s="14">
        <f t="shared" si="62"/>
        <v>0.15999999999999995</v>
      </c>
      <c r="DC16" s="3">
        <f t="shared" si="17"/>
        <v>1.3727326838477265</v>
      </c>
      <c r="DF16" s="3">
        <f t="shared" si="63"/>
        <v>0.15999999999999995</v>
      </c>
      <c r="DG16" s="14">
        <f t="shared" si="64"/>
        <v>0.15999999999999995</v>
      </c>
      <c r="DH16" s="3">
        <f t="shared" si="18"/>
        <v>1.3727326838477265</v>
      </c>
      <c r="DK16" s="3">
        <f t="shared" si="65"/>
        <v>0.15999999999999995</v>
      </c>
      <c r="DL16" s="3">
        <f t="shared" si="66"/>
        <v>0.15999999999999995</v>
      </c>
      <c r="DM16" s="3">
        <f t="shared" si="19"/>
        <v>1.3727326838477265</v>
      </c>
      <c r="DP16" s="3">
        <f t="shared" si="67"/>
        <v>0.15999999999999995</v>
      </c>
      <c r="DQ16" s="14">
        <f t="shared" si="68"/>
        <v>0.15999999999999995</v>
      </c>
      <c r="DR16" s="3">
        <f t="shared" si="20"/>
        <v>1.3727326838477265</v>
      </c>
      <c r="DU16" s="3">
        <f t="shared" si="69"/>
        <v>0.15999999999999995</v>
      </c>
      <c r="DV16" s="14">
        <f t="shared" si="70"/>
        <v>0.15999999999999995</v>
      </c>
      <c r="DW16" s="3">
        <f t="shared" si="21"/>
        <v>1.3727326838477265</v>
      </c>
      <c r="DZ16" s="3">
        <f t="shared" si="71"/>
        <v>0.15999999999999995</v>
      </c>
      <c r="EA16" s="3">
        <f t="shared" si="72"/>
        <v>0.15999999999999995</v>
      </c>
      <c r="EB16" s="3">
        <f t="shared" si="22"/>
        <v>1.3727326838477265</v>
      </c>
      <c r="EE16" s="3">
        <f t="shared" si="73"/>
        <v>0.15999999999999995</v>
      </c>
      <c r="EF16" s="14">
        <f t="shared" si="74"/>
        <v>0.15999999999999995</v>
      </c>
      <c r="EG16" s="3">
        <f t="shared" si="23"/>
        <v>1.3727326838477265</v>
      </c>
      <c r="EJ16" s="3">
        <f t="shared" si="75"/>
        <v>0.15999999999999995</v>
      </c>
      <c r="EK16" s="14">
        <f t="shared" si="76"/>
        <v>0.15999999999999995</v>
      </c>
      <c r="EL16" s="3">
        <f t="shared" si="24"/>
        <v>1.3727326838477265</v>
      </c>
      <c r="EO16" s="3">
        <f t="shared" si="77"/>
        <v>0.15999999999999995</v>
      </c>
      <c r="EP16" s="3">
        <f t="shared" si="78"/>
        <v>0.15999999999999995</v>
      </c>
      <c r="EQ16" s="3">
        <f t="shared" si="25"/>
        <v>1.3727326838477265</v>
      </c>
      <c r="ET16" s="3">
        <f t="shared" si="79"/>
        <v>0.15999999999999995</v>
      </c>
      <c r="EU16" s="14">
        <f t="shared" si="80"/>
        <v>0.15999999999999995</v>
      </c>
      <c r="EV16" s="3">
        <f t="shared" si="26"/>
        <v>1.3727326838477265</v>
      </c>
    </row>
    <row r="17" spans="3:152" s="3" customFormat="1" x14ac:dyDescent="0.25">
      <c r="C17" s="11" t="str">
        <f>"     ^ Range (" &amp; IF($B$4, "m", "ft") &amp; ")"</f>
        <v xml:space="preserve">     ^ Range (m)</v>
      </c>
      <c r="D17" s="22" t="str">
        <f>IF(MAX(T114:AT114)=MIN(T114:AT114), "----", TEXT(MAX(T114:AT114), "0.0") &amp; " – " &amp; TEXT(MIN(T114:AT114), "0.0"))</f>
        <v>----</v>
      </c>
      <c r="E17" s="1"/>
      <c r="F17" s="11" t="str">
        <f>"     ^ Range (" &amp; IF($B$4, "m", "ft") &amp; "/s)"</f>
        <v xml:space="preserve">     ^ Range (m/s)</v>
      </c>
      <c r="G17" s="23" t="str">
        <f>IF(MAX(T120:AT120)=MIN(T120:AT120), "----", TEXT(MAX(T120:AT120), "0.0") &amp; " – " &amp; TEXT(MIN(T120:AT120), "0.0"))</f>
        <v>----</v>
      </c>
      <c r="H17" s="1"/>
      <c r="I17" s="1"/>
      <c r="J17" s="1"/>
      <c r="K17" s="1"/>
      <c r="L17" s="1"/>
      <c r="M17" s="1"/>
      <c r="N17" s="1"/>
      <c r="O17" s="1"/>
      <c r="P17" s="1"/>
      <c r="Q17" s="1"/>
      <c r="R17" s="1"/>
      <c r="S17" s="1"/>
      <c r="T17" s="3">
        <f t="shared" si="27"/>
        <v>0.17999999999999994</v>
      </c>
      <c r="U17" s="14">
        <f t="shared" si="28"/>
        <v>0.17999999999999994</v>
      </c>
      <c r="V17" s="3">
        <f t="shared" si="0"/>
        <v>1.5071359620533804</v>
      </c>
      <c r="Y17" s="3">
        <f t="shared" si="29"/>
        <v>0.17999999999999994</v>
      </c>
      <c r="Z17" s="3">
        <f t="shared" si="30"/>
        <v>0.17999999999999994</v>
      </c>
      <c r="AA17" s="3">
        <f t="shared" si="1"/>
        <v>1.5071359620533804</v>
      </c>
      <c r="AD17" s="3">
        <f t="shared" si="31"/>
        <v>0.17999999999999994</v>
      </c>
      <c r="AE17" s="14">
        <f t="shared" si="32"/>
        <v>0.17999999999999994</v>
      </c>
      <c r="AF17" s="3">
        <f t="shared" si="2"/>
        <v>1.5071359620533804</v>
      </c>
      <c r="AI17" s="3">
        <f t="shared" si="33"/>
        <v>0.17999999999999994</v>
      </c>
      <c r="AJ17" s="14">
        <f t="shared" si="34"/>
        <v>0.17999999999999994</v>
      </c>
      <c r="AK17" s="3">
        <f t="shared" si="3"/>
        <v>1.5071359620533804</v>
      </c>
      <c r="AN17" s="3">
        <f t="shared" si="35"/>
        <v>0.17999999999999994</v>
      </c>
      <c r="AO17" s="3">
        <f t="shared" si="36"/>
        <v>0.17999999999999994</v>
      </c>
      <c r="AP17" s="3">
        <f t="shared" si="4"/>
        <v>1.5071359620533804</v>
      </c>
      <c r="AS17" s="3">
        <f t="shared" si="37"/>
        <v>0.17999999999999994</v>
      </c>
      <c r="AT17" s="14">
        <f t="shared" si="38"/>
        <v>0.17999999999999994</v>
      </c>
      <c r="AU17" s="3">
        <f t="shared" si="5"/>
        <v>1.5071359620533804</v>
      </c>
      <c r="AX17" s="3">
        <f t="shared" si="39"/>
        <v>0.17999999999999994</v>
      </c>
      <c r="AY17" s="14">
        <f t="shared" si="40"/>
        <v>0.17999999999999994</v>
      </c>
      <c r="AZ17" s="3">
        <f t="shared" si="6"/>
        <v>1.5071359620533804</v>
      </c>
      <c r="BC17" s="3">
        <f t="shared" si="41"/>
        <v>0.17999999999999994</v>
      </c>
      <c r="BD17" s="3">
        <f t="shared" si="42"/>
        <v>0.17999999999999994</v>
      </c>
      <c r="BE17" s="3">
        <f t="shared" si="7"/>
        <v>1.5071359620533804</v>
      </c>
      <c r="BH17" s="3">
        <f t="shared" si="43"/>
        <v>0.17999999999999994</v>
      </c>
      <c r="BI17" s="14">
        <f t="shared" si="44"/>
        <v>0.17999999999999994</v>
      </c>
      <c r="BJ17" s="3">
        <f t="shared" si="8"/>
        <v>1.5071359620533804</v>
      </c>
      <c r="BM17" s="3">
        <f t="shared" si="45"/>
        <v>0.17999999999999994</v>
      </c>
      <c r="BN17" s="14">
        <f t="shared" si="46"/>
        <v>0.17999999999999994</v>
      </c>
      <c r="BO17" s="3">
        <f t="shared" si="9"/>
        <v>1.5071359620533804</v>
      </c>
      <c r="BR17" s="3">
        <f t="shared" si="47"/>
        <v>0.17999999999999994</v>
      </c>
      <c r="BS17" s="3">
        <f t="shared" si="48"/>
        <v>0.17999999999999994</v>
      </c>
      <c r="BT17" s="3">
        <f t="shared" si="10"/>
        <v>1.5071359620533804</v>
      </c>
      <c r="BW17" s="3">
        <f t="shared" si="49"/>
        <v>0.17999999999999994</v>
      </c>
      <c r="BX17" s="14">
        <f t="shared" si="50"/>
        <v>0.17999999999999994</v>
      </c>
      <c r="BY17" s="3">
        <f t="shared" si="11"/>
        <v>1.5071359620533804</v>
      </c>
      <c r="CB17" s="3">
        <f t="shared" si="51"/>
        <v>0.17999999999999994</v>
      </c>
      <c r="CC17" s="14">
        <f t="shared" si="52"/>
        <v>0.17999999999999994</v>
      </c>
      <c r="CD17" s="3">
        <f t="shared" si="12"/>
        <v>1.5071359620533804</v>
      </c>
      <c r="CG17" s="3">
        <f t="shared" si="53"/>
        <v>0.17999999999999994</v>
      </c>
      <c r="CH17" s="3">
        <f t="shared" si="54"/>
        <v>0.17999999999999994</v>
      </c>
      <c r="CI17" s="3">
        <f t="shared" si="13"/>
        <v>1.5071359620533804</v>
      </c>
      <c r="CL17" s="3">
        <f t="shared" si="55"/>
        <v>0.17999999999999994</v>
      </c>
      <c r="CM17" s="14">
        <f t="shared" si="56"/>
        <v>0.17999999999999994</v>
      </c>
      <c r="CN17" s="3">
        <f t="shared" si="14"/>
        <v>1.5071359620533804</v>
      </c>
      <c r="CQ17" s="3">
        <f t="shared" si="57"/>
        <v>0.17999999999999994</v>
      </c>
      <c r="CR17" s="14">
        <f t="shared" si="58"/>
        <v>0.17999999999999994</v>
      </c>
      <c r="CS17" s="3">
        <f t="shared" si="15"/>
        <v>1.5071359620533804</v>
      </c>
      <c r="CV17" s="3">
        <f t="shared" si="59"/>
        <v>0.17999999999999994</v>
      </c>
      <c r="CW17" s="3">
        <f t="shared" si="60"/>
        <v>0.17999999999999994</v>
      </c>
      <c r="CX17" s="3">
        <f t="shared" si="16"/>
        <v>1.5071359620533804</v>
      </c>
      <c r="DA17" s="3">
        <f t="shared" si="61"/>
        <v>0.17999999999999994</v>
      </c>
      <c r="DB17" s="14">
        <f t="shared" si="62"/>
        <v>0.17999999999999994</v>
      </c>
      <c r="DC17" s="3">
        <f t="shared" si="17"/>
        <v>1.5071359620533804</v>
      </c>
      <c r="DF17" s="3">
        <f t="shared" si="63"/>
        <v>0.17999999999999994</v>
      </c>
      <c r="DG17" s="14">
        <f t="shared" si="64"/>
        <v>0.17999999999999994</v>
      </c>
      <c r="DH17" s="3">
        <f t="shared" si="18"/>
        <v>1.5071359620533804</v>
      </c>
      <c r="DK17" s="3">
        <f t="shared" si="65"/>
        <v>0.17999999999999994</v>
      </c>
      <c r="DL17" s="3">
        <f t="shared" si="66"/>
        <v>0.17999999999999994</v>
      </c>
      <c r="DM17" s="3">
        <f t="shared" si="19"/>
        <v>1.5071359620533804</v>
      </c>
      <c r="DP17" s="3">
        <f t="shared" si="67"/>
        <v>0.17999999999999994</v>
      </c>
      <c r="DQ17" s="14">
        <f t="shared" si="68"/>
        <v>0.17999999999999994</v>
      </c>
      <c r="DR17" s="3">
        <f t="shared" si="20"/>
        <v>1.5071359620533804</v>
      </c>
      <c r="DU17" s="3">
        <f t="shared" si="69"/>
        <v>0.17999999999999994</v>
      </c>
      <c r="DV17" s="14">
        <f t="shared" si="70"/>
        <v>0.17999999999999994</v>
      </c>
      <c r="DW17" s="3">
        <f t="shared" si="21"/>
        <v>1.5071359620533804</v>
      </c>
      <c r="DZ17" s="3">
        <f t="shared" si="71"/>
        <v>0.17999999999999994</v>
      </c>
      <c r="EA17" s="3">
        <f t="shared" si="72"/>
        <v>0.17999999999999994</v>
      </c>
      <c r="EB17" s="3">
        <f t="shared" si="22"/>
        <v>1.5071359620533804</v>
      </c>
      <c r="EE17" s="3">
        <f t="shared" si="73"/>
        <v>0.17999999999999994</v>
      </c>
      <c r="EF17" s="14">
        <f t="shared" si="74"/>
        <v>0.17999999999999994</v>
      </c>
      <c r="EG17" s="3">
        <f t="shared" si="23"/>
        <v>1.5071359620533804</v>
      </c>
      <c r="EJ17" s="3">
        <f t="shared" si="75"/>
        <v>0.17999999999999994</v>
      </c>
      <c r="EK17" s="14">
        <f t="shared" si="76"/>
        <v>0.17999999999999994</v>
      </c>
      <c r="EL17" s="3">
        <f t="shared" si="24"/>
        <v>1.5071359620533804</v>
      </c>
      <c r="EO17" s="3">
        <f t="shared" si="77"/>
        <v>0.17999999999999994</v>
      </c>
      <c r="EP17" s="3">
        <f t="shared" si="78"/>
        <v>0.17999999999999994</v>
      </c>
      <c r="EQ17" s="3">
        <f t="shared" si="25"/>
        <v>1.5071359620533804</v>
      </c>
      <c r="ET17" s="3">
        <f t="shared" si="79"/>
        <v>0.17999999999999994</v>
      </c>
      <c r="EU17" s="14">
        <f t="shared" si="80"/>
        <v>0.17999999999999994</v>
      </c>
      <c r="EV17" s="3">
        <f t="shared" si="26"/>
        <v>1.5071359620533804</v>
      </c>
    </row>
    <row r="18" spans="3:152" s="3" customFormat="1" x14ac:dyDescent="0.25">
      <c r="C18" s="11" t="s">
        <v>8</v>
      </c>
      <c r="D18" s="24">
        <f>DEGREES(ATAN(2*($D$16-$D$7)/$D$8-TAN(RADIANS($D$12))))</f>
        <v>0.42447270571160217</v>
      </c>
      <c r="E18" s="1"/>
      <c r="F18" s="11" t="s">
        <v>5</v>
      </c>
      <c r="G18" s="24">
        <f>DEGREES(ATAN(2*(G10-G7)/G8-TAN(RADIANS(G12))))</f>
        <v>82.759695716411017</v>
      </c>
      <c r="H18" s="1"/>
      <c r="I18" s="1"/>
      <c r="J18" s="1"/>
      <c r="K18" s="1"/>
      <c r="L18" s="1"/>
      <c r="M18" s="1"/>
      <c r="N18" s="1"/>
      <c r="O18" s="1"/>
      <c r="P18" s="1"/>
      <c r="Q18" s="1"/>
      <c r="R18" s="1"/>
      <c r="S18" s="1"/>
      <c r="T18" s="3">
        <f t="shared" si="27"/>
        <v>0.19999999999999993</v>
      </c>
      <c r="U18" s="14">
        <f t="shared" si="28"/>
        <v>0.19999999999999993</v>
      </c>
      <c r="V18" s="3">
        <f t="shared" si="0"/>
        <v>1.6388307275311873</v>
      </c>
      <c r="Y18" s="3">
        <f t="shared" si="29"/>
        <v>0.19999999999999993</v>
      </c>
      <c r="Z18" s="3">
        <f t="shared" si="30"/>
        <v>0.19999999999999993</v>
      </c>
      <c r="AA18" s="3">
        <f t="shared" si="1"/>
        <v>1.6388307275311873</v>
      </c>
      <c r="AD18" s="3">
        <f t="shared" si="31"/>
        <v>0.19999999999999993</v>
      </c>
      <c r="AE18" s="14">
        <f t="shared" si="32"/>
        <v>0.19999999999999993</v>
      </c>
      <c r="AF18" s="3">
        <f t="shared" si="2"/>
        <v>1.6388307275311873</v>
      </c>
      <c r="AI18" s="3">
        <f t="shared" si="33"/>
        <v>0.19999999999999993</v>
      </c>
      <c r="AJ18" s="14">
        <f t="shared" si="34"/>
        <v>0.19999999999999993</v>
      </c>
      <c r="AK18" s="3">
        <f t="shared" si="3"/>
        <v>1.6388307275311873</v>
      </c>
      <c r="AN18" s="3">
        <f t="shared" si="35"/>
        <v>0.19999999999999993</v>
      </c>
      <c r="AO18" s="3">
        <f t="shared" si="36"/>
        <v>0.19999999999999993</v>
      </c>
      <c r="AP18" s="3">
        <f t="shared" si="4"/>
        <v>1.6388307275311873</v>
      </c>
      <c r="AS18" s="3">
        <f t="shared" si="37"/>
        <v>0.19999999999999993</v>
      </c>
      <c r="AT18" s="14">
        <f t="shared" si="38"/>
        <v>0.19999999999999993</v>
      </c>
      <c r="AU18" s="3">
        <f t="shared" si="5"/>
        <v>1.6388307275311873</v>
      </c>
      <c r="AX18" s="3">
        <f t="shared" si="39"/>
        <v>0.19999999999999993</v>
      </c>
      <c r="AY18" s="14">
        <f t="shared" si="40"/>
        <v>0.19999999999999993</v>
      </c>
      <c r="AZ18" s="3">
        <f t="shared" si="6"/>
        <v>1.6388307275311873</v>
      </c>
      <c r="BC18" s="3">
        <f t="shared" si="41"/>
        <v>0.19999999999999993</v>
      </c>
      <c r="BD18" s="3">
        <f t="shared" si="42"/>
        <v>0.19999999999999993</v>
      </c>
      <c r="BE18" s="3">
        <f t="shared" si="7"/>
        <v>1.6388307275311873</v>
      </c>
      <c r="BH18" s="3">
        <f t="shared" si="43"/>
        <v>0.19999999999999993</v>
      </c>
      <c r="BI18" s="14">
        <f t="shared" si="44"/>
        <v>0.19999999999999993</v>
      </c>
      <c r="BJ18" s="3">
        <f t="shared" si="8"/>
        <v>1.6388307275311873</v>
      </c>
      <c r="BM18" s="3">
        <f t="shared" si="45"/>
        <v>0.19999999999999993</v>
      </c>
      <c r="BN18" s="14">
        <f t="shared" si="46"/>
        <v>0.19999999999999993</v>
      </c>
      <c r="BO18" s="3">
        <f t="shared" si="9"/>
        <v>1.6388307275311873</v>
      </c>
      <c r="BR18" s="3">
        <f t="shared" si="47"/>
        <v>0.19999999999999993</v>
      </c>
      <c r="BS18" s="3">
        <f t="shared" si="48"/>
        <v>0.19999999999999993</v>
      </c>
      <c r="BT18" s="3">
        <f t="shared" si="10"/>
        <v>1.6388307275311873</v>
      </c>
      <c r="BW18" s="3">
        <f t="shared" si="49"/>
        <v>0.19999999999999993</v>
      </c>
      <c r="BX18" s="14">
        <f t="shared" si="50"/>
        <v>0.19999999999999993</v>
      </c>
      <c r="BY18" s="3">
        <f t="shared" si="11"/>
        <v>1.6388307275311873</v>
      </c>
      <c r="CB18" s="3">
        <f t="shared" si="51"/>
        <v>0.19999999999999993</v>
      </c>
      <c r="CC18" s="14">
        <f t="shared" si="52"/>
        <v>0.19999999999999993</v>
      </c>
      <c r="CD18" s="3">
        <f t="shared" si="12"/>
        <v>1.6388307275311873</v>
      </c>
      <c r="CG18" s="3">
        <f t="shared" si="53"/>
        <v>0.19999999999999993</v>
      </c>
      <c r="CH18" s="3">
        <f t="shared" si="54"/>
        <v>0.19999999999999993</v>
      </c>
      <c r="CI18" s="3">
        <f t="shared" si="13"/>
        <v>1.6388307275311873</v>
      </c>
      <c r="CL18" s="3">
        <f t="shared" si="55"/>
        <v>0.19999999999999993</v>
      </c>
      <c r="CM18" s="14">
        <f t="shared" si="56"/>
        <v>0.19999999999999993</v>
      </c>
      <c r="CN18" s="3">
        <f t="shared" si="14"/>
        <v>1.6388307275311873</v>
      </c>
      <c r="CQ18" s="3">
        <f t="shared" si="57"/>
        <v>0.19999999999999993</v>
      </c>
      <c r="CR18" s="14">
        <f t="shared" si="58"/>
        <v>0.19999999999999993</v>
      </c>
      <c r="CS18" s="3">
        <f t="shared" si="15"/>
        <v>1.6388307275311873</v>
      </c>
      <c r="CV18" s="3">
        <f t="shared" si="59"/>
        <v>0.19999999999999993</v>
      </c>
      <c r="CW18" s="3">
        <f t="shared" si="60"/>
        <v>0.19999999999999993</v>
      </c>
      <c r="CX18" s="3">
        <f t="shared" si="16"/>
        <v>1.6388307275311873</v>
      </c>
      <c r="DA18" s="3">
        <f t="shared" si="61"/>
        <v>0.19999999999999993</v>
      </c>
      <c r="DB18" s="14">
        <f t="shared" si="62"/>
        <v>0.19999999999999993</v>
      </c>
      <c r="DC18" s="3">
        <f t="shared" si="17"/>
        <v>1.6388307275311873</v>
      </c>
      <c r="DF18" s="3">
        <f t="shared" si="63"/>
        <v>0.19999999999999993</v>
      </c>
      <c r="DG18" s="14">
        <f t="shared" si="64"/>
        <v>0.19999999999999993</v>
      </c>
      <c r="DH18" s="3">
        <f t="shared" si="18"/>
        <v>1.6388307275311873</v>
      </c>
      <c r="DK18" s="3">
        <f t="shared" si="65"/>
        <v>0.19999999999999993</v>
      </c>
      <c r="DL18" s="3">
        <f t="shared" si="66"/>
        <v>0.19999999999999993</v>
      </c>
      <c r="DM18" s="3">
        <f t="shared" si="19"/>
        <v>1.6388307275311873</v>
      </c>
      <c r="DP18" s="3">
        <f t="shared" si="67"/>
        <v>0.19999999999999993</v>
      </c>
      <c r="DQ18" s="14">
        <f t="shared" si="68"/>
        <v>0.19999999999999993</v>
      </c>
      <c r="DR18" s="3">
        <f t="shared" si="20"/>
        <v>1.6388307275311873</v>
      </c>
      <c r="DU18" s="3">
        <f t="shared" si="69"/>
        <v>0.19999999999999993</v>
      </c>
      <c r="DV18" s="14">
        <f t="shared" si="70"/>
        <v>0.19999999999999993</v>
      </c>
      <c r="DW18" s="3">
        <f t="shared" si="21"/>
        <v>1.6388307275311873</v>
      </c>
      <c r="DZ18" s="3">
        <f t="shared" si="71"/>
        <v>0.19999999999999993</v>
      </c>
      <c r="EA18" s="3">
        <f t="shared" si="72"/>
        <v>0.19999999999999993</v>
      </c>
      <c r="EB18" s="3">
        <f t="shared" si="22"/>
        <v>1.6388307275311873</v>
      </c>
      <c r="EE18" s="3">
        <f t="shared" si="73"/>
        <v>0.19999999999999993</v>
      </c>
      <c r="EF18" s="14">
        <f t="shared" si="74"/>
        <v>0.19999999999999993</v>
      </c>
      <c r="EG18" s="3">
        <f t="shared" si="23"/>
        <v>1.6388307275311873</v>
      </c>
      <c r="EJ18" s="3">
        <f t="shared" si="75"/>
        <v>0.19999999999999993</v>
      </c>
      <c r="EK18" s="14">
        <f t="shared" si="76"/>
        <v>0.19999999999999993</v>
      </c>
      <c r="EL18" s="3">
        <f t="shared" si="24"/>
        <v>1.6388307275311873</v>
      </c>
      <c r="EO18" s="3">
        <f t="shared" si="77"/>
        <v>0.19999999999999993</v>
      </c>
      <c r="EP18" s="3">
        <f t="shared" si="78"/>
        <v>0.19999999999999993</v>
      </c>
      <c r="EQ18" s="3">
        <f t="shared" si="25"/>
        <v>1.6388307275311873</v>
      </c>
      <c r="ET18" s="3">
        <f t="shared" si="79"/>
        <v>0.19999999999999993</v>
      </c>
      <c r="EU18" s="14">
        <f t="shared" si="80"/>
        <v>0.19999999999999993</v>
      </c>
      <c r="EV18" s="3">
        <f t="shared" si="26"/>
        <v>1.6388307275311873</v>
      </c>
    </row>
    <row r="19" spans="3:152" s="3" customFormat="1" x14ac:dyDescent="0.25">
      <c r="C19" s="11" t="s">
        <v>9</v>
      </c>
      <c r="D19" s="22" t="str">
        <f>IF(MAX(T115:AT115)=MIN(T115:AT115), "----", TEXT(MAX(T115:AT115), "0°") &amp; " – " &amp; TEXT(MIN(T115:AT115), "0°"))</f>
        <v>----</v>
      </c>
      <c r="E19" s="1"/>
      <c r="F19" s="11" t="s">
        <v>9</v>
      </c>
      <c r="G19" s="25" t="str">
        <f>IF(MAX(T121:AT121)=MIN(T121:AT121), "----", TEXT(MAX(T121:AT121), "0°") &amp; " – " &amp; TEXT(MIN(T121:AT121), "0°"))</f>
        <v>----</v>
      </c>
      <c r="H19" s="1"/>
      <c r="I19" s="1"/>
      <c r="J19" s="1"/>
      <c r="K19" s="1"/>
      <c r="L19" s="1"/>
      <c r="M19" s="1"/>
      <c r="N19" s="1"/>
      <c r="O19" s="1"/>
      <c r="P19" s="1"/>
      <c r="Q19" s="1"/>
      <c r="R19" s="1"/>
      <c r="S19" s="1"/>
      <c r="T19" s="3">
        <f t="shared" si="27"/>
        <v>0.21999999999999992</v>
      </c>
      <c r="U19" s="14">
        <f t="shared" si="28"/>
        <v>0.21999999999999992</v>
      </c>
      <c r="V19" s="3">
        <f t="shared" si="0"/>
        <v>1.7678169802811472</v>
      </c>
      <c r="Y19" s="3">
        <f t="shared" si="29"/>
        <v>0.21999999999999992</v>
      </c>
      <c r="Z19" s="3">
        <f t="shared" si="30"/>
        <v>0.21999999999999992</v>
      </c>
      <c r="AA19" s="3">
        <f t="shared" si="1"/>
        <v>1.7678169802811472</v>
      </c>
      <c r="AD19" s="3">
        <f t="shared" si="31"/>
        <v>0.21999999999999992</v>
      </c>
      <c r="AE19" s="14">
        <f t="shared" si="32"/>
        <v>0.21999999999999992</v>
      </c>
      <c r="AF19" s="3">
        <f t="shared" si="2"/>
        <v>1.7678169802811472</v>
      </c>
      <c r="AI19" s="3">
        <f t="shared" si="33"/>
        <v>0.21999999999999992</v>
      </c>
      <c r="AJ19" s="14">
        <f t="shared" si="34"/>
        <v>0.21999999999999992</v>
      </c>
      <c r="AK19" s="3">
        <f t="shared" si="3"/>
        <v>1.7678169802811472</v>
      </c>
      <c r="AN19" s="3">
        <f t="shared" si="35"/>
        <v>0.21999999999999992</v>
      </c>
      <c r="AO19" s="3">
        <f t="shared" si="36"/>
        <v>0.21999999999999992</v>
      </c>
      <c r="AP19" s="3">
        <f t="shared" si="4"/>
        <v>1.7678169802811472</v>
      </c>
      <c r="AS19" s="3">
        <f t="shared" si="37"/>
        <v>0.21999999999999992</v>
      </c>
      <c r="AT19" s="14">
        <f t="shared" si="38"/>
        <v>0.21999999999999992</v>
      </c>
      <c r="AU19" s="3">
        <f t="shared" si="5"/>
        <v>1.7678169802811472</v>
      </c>
      <c r="AX19" s="3">
        <f t="shared" si="39"/>
        <v>0.21999999999999992</v>
      </c>
      <c r="AY19" s="14">
        <f t="shared" si="40"/>
        <v>0.21999999999999992</v>
      </c>
      <c r="AZ19" s="3">
        <f t="shared" si="6"/>
        <v>1.7678169802811472</v>
      </c>
      <c r="BC19" s="3">
        <f t="shared" si="41"/>
        <v>0.21999999999999992</v>
      </c>
      <c r="BD19" s="3">
        <f t="shared" si="42"/>
        <v>0.21999999999999992</v>
      </c>
      <c r="BE19" s="3">
        <f t="shared" si="7"/>
        <v>1.7678169802811472</v>
      </c>
      <c r="BH19" s="3">
        <f t="shared" si="43"/>
        <v>0.21999999999999992</v>
      </c>
      <c r="BI19" s="14">
        <f t="shared" si="44"/>
        <v>0.21999999999999992</v>
      </c>
      <c r="BJ19" s="3">
        <f t="shared" si="8"/>
        <v>1.7678169802811472</v>
      </c>
      <c r="BM19" s="3">
        <f t="shared" si="45"/>
        <v>0.21999999999999992</v>
      </c>
      <c r="BN19" s="14">
        <f t="shared" si="46"/>
        <v>0.21999999999999992</v>
      </c>
      <c r="BO19" s="3">
        <f t="shared" si="9"/>
        <v>1.7678169802811472</v>
      </c>
      <c r="BR19" s="3">
        <f t="shared" si="47"/>
        <v>0.21999999999999992</v>
      </c>
      <c r="BS19" s="3">
        <f t="shared" si="48"/>
        <v>0.21999999999999992</v>
      </c>
      <c r="BT19" s="3">
        <f t="shared" si="10"/>
        <v>1.7678169802811472</v>
      </c>
      <c r="BW19" s="3">
        <f t="shared" si="49"/>
        <v>0.21999999999999992</v>
      </c>
      <c r="BX19" s="14">
        <f t="shared" si="50"/>
        <v>0.21999999999999992</v>
      </c>
      <c r="BY19" s="3">
        <f t="shared" si="11"/>
        <v>1.7678169802811472</v>
      </c>
      <c r="CB19" s="3">
        <f t="shared" si="51"/>
        <v>0.21999999999999992</v>
      </c>
      <c r="CC19" s="14">
        <f t="shared" si="52"/>
        <v>0.21999999999999992</v>
      </c>
      <c r="CD19" s="3">
        <f t="shared" si="12"/>
        <v>1.7678169802811472</v>
      </c>
      <c r="CG19" s="3">
        <f t="shared" si="53"/>
        <v>0.21999999999999992</v>
      </c>
      <c r="CH19" s="3">
        <f t="shared" si="54"/>
        <v>0.21999999999999992</v>
      </c>
      <c r="CI19" s="3">
        <f t="shared" si="13"/>
        <v>1.7678169802811472</v>
      </c>
      <c r="CL19" s="3">
        <f t="shared" si="55"/>
        <v>0.21999999999999992</v>
      </c>
      <c r="CM19" s="14">
        <f t="shared" si="56"/>
        <v>0.21999999999999992</v>
      </c>
      <c r="CN19" s="3">
        <f t="shared" si="14"/>
        <v>1.7678169802811472</v>
      </c>
      <c r="CQ19" s="3">
        <f t="shared" si="57"/>
        <v>0.21999999999999992</v>
      </c>
      <c r="CR19" s="14">
        <f t="shared" si="58"/>
        <v>0.21999999999999992</v>
      </c>
      <c r="CS19" s="3">
        <f t="shared" si="15"/>
        <v>1.7678169802811472</v>
      </c>
      <c r="CV19" s="3">
        <f t="shared" si="59"/>
        <v>0.21999999999999992</v>
      </c>
      <c r="CW19" s="3">
        <f t="shared" si="60"/>
        <v>0.21999999999999992</v>
      </c>
      <c r="CX19" s="3">
        <f t="shared" si="16"/>
        <v>1.7678169802811472</v>
      </c>
      <c r="DA19" s="3">
        <f t="shared" si="61"/>
        <v>0.21999999999999992</v>
      </c>
      <c r="DB19" s="14">
        <f t="shared" si="62"/>
        <v>0.21999999999999992</v>
      </c>
      <c r="DC19" s="3">
        <f t="shared" si="17"/>
        <v>1.7678169802811472</v>
      </c>
      <c r="DF19" s="3">
        <f t="shared" si="63"/>
        <v>0.21999999999999992</v>
      </c>
      <c r="DG19" s="14">
        <f t="shared" si="64"/>
        <v>0.21999999999999992</v>
      </c>
      <c r="DH19" s="3">
        <f t="shared" si="18"/>
        <v>1.7678169802811472</v>
      </c>
      <c r="DK19" s="3">
        <f t="shared" si="65"/>
        <v>0.21999999999999992</v>
      </c>
      <c r="DL19" s="3">
        <f t="shared" si="66"/>
        <v>0.21999999999999992</v>
      </c>
      <c r="DM19" s="3">
        <f t="shared" si="19"/>
        <v>1.7678169802811472</v>
      </c>
      <c r="DP19" s="3">
        <f t="shared" si="67"/>
        <v>0.21999999999999992</v>
      </c>
      <c r="DQ19" s="14">
        <f t="shared" si="68"/>
        <v>0.21999999999999992</v>
      </c>
      <c r="DR19" s="3">
        <f t="shared" si="20"/>
        <v>1.7678169802811472</v>
      </c>
      <c r="DU19" s="3">
        <f t="shared" si="69"/>
        <v>0.21999999999999992</v>
      </c>
      <c r="DV19" s="14">
        <f t="shared" si="70"/>
        <v>0.21999999999999992</v>
      </c>
      <c r="DW19" s="3">
        <f t="shared" si="21"/>
        <v>1.7678169802811472</v>
      </c>
      <c r="DZ19" s="3">
        <f t="shared" si="71"/>
        <v>0.21999999999999992</v>
      </c>
      <c r="EA19" s="3">
        <f t="shared" si="72"/>
        <v>0.21999999999999992</v>
      </c>
      <c r="EB19" s="3">
        <f t="shared" si="22"/>
        <v>1.7678169802811472</v>
      </c>
      <c r="EE19" s="3">
        <f t="shared" si="73"/>
        <v>0.21999999999999992</v>
      </c>
      <c r="EF19" s="14">
        <f t="shared" si="74"/>
        <v>0.21999999999999992</v>
      </c>
      <c r="EG19" s="3">
        <f t="shared" si="23"/>
        <v>1.7678169802811472</v>
      </c>
      <c r="EJ19" s="3">
        <f t="shared" si="75"/>
        <v>0.21999999999999992</v>
      </c>
      <c r="EK19" s="14">
        <f t="shared" si="76"/>
        <v>0.21999999999999992</v>
      </c>
      <c r="EL19" s="3">
        <f t="shared" si="24"/>
        <v>1.7678169802811472</v>
      </c>
      <c r="EO19" s="3">
        <f t="shared" si="77"/>
        <v>0.21999999999999992</v>
      </c>
      <c r="EP19" s="3">
        <f t="shared" si="78"/>
        <v>0.21999999999999992</v>
      </c>
      <c r="EQ19" s="3">
        <f t="shared" si="25"/>
        <v>1.7678169802811472</v>
      </c>
      <c r="ET19" s="3">
        <f t="shared" si="79"/>
        <v>0.21999999999999992</v>
      </c>
      <c r="EU19" s="14">
        <f t="shared" si="80"/>
        <v>0.21999999999999992</v>
      </c>
      <c r="EV19" s="3">
        <f t="shared" si="26"/>
        <v>1.7678169802811472</v>
      </c>
    </row>
    <row r="20" spans="3:152" s="3" customFormat="1" x14ac:dyDescent="0.25">
      <c r="C20" s="1"/>
      <c r="D20" s="1"/>
      <c r="E20" s="1"/>
      <c r="F20" s="1"/>
      <c r="G20" s="1"/>
      <c r="H20" s="1"/>
      <c r="I20" s="1"/>
      <c r="J20" s="1"/>
      <c r="K20" s="1"/>
      <c r="L20" s="1"/>
      <c r="M20" s="1"/>
      <c r="N20" s="1"/>
      <c r="O20" s="1"/>
      <c r="P20" s="1"/>
      <c r="Q20" s="1"/>
      <c r="R20" s="1"/>
      <c r="S20" s="1"/>
      <c r="T20" s="3">
        <f t="shared" si="27"/>
        <v>0.23999999999999991</v>
      </c>
      <c r="U20" s="14">
        <f t="shared" si="28"/>
        <v>0.23999999999999991</v>
      </c>
      <c r="V20" s="3">
        <f t="shared" si="0"/>
        <v>1.8940947203032599</v>
      </c>
      <c r="Y20" s="3">
        <f t="shared" si="29"/>
        <v>0.23999999999999991</v>
      </c>
      <c r="Z20" s="3">
        <f t="shared" si="30"/>
        <v>0.23999999999999991</v>
      </c>
      <c r="AA20" s="3">
        <f t="shared" si="1"/>
        <v>1.8940947203032599</v>
      </c>
      <c r="AD20" s="3">
        <f t="shared" si="31"/>
        <v>0.23999999999999991</v>
      </c>
      <c r="AE20" s="14">
        <f t="shared" si="32"/>
        <v>0.23999999999999991</v>
      </c>
      <c r="AF20" s="3">
        <f t="shared" si="2"/>
        <v>1.8940947203032599</v>
      </c>
      <c r="AI20" s="3">
        <f t="shared" si="33"/>
        <v>0.23999999999999991</v>
      </c>
      <c r="AJ20" s="14">
        <f t="shared" si="34"/>
        <v>0.23999999999999991</v>
      </c>
      <c r="AK20" s="3">
        <f t="shared" si="3"/>
        <v>1.8940947203032599</v>
      </c>
      <c r="AN20" s="3">
        <f t="shared" si="35"/>
        <v>0.23999999999999991</v>
      </c>
      <c r="AO20" s="3">
        <f t="shared" si="36"/>
        <v>0.23999999999999991</v>
      </c>
      <c r="AP20" s="3">
        <f t="shared" si="4"/>
        <v>1.8940947203032599</v>
      </c>
      <c r="AS20" s="3">
        <f t="shared" si="37"/>
        <v>0.23999999999999991</v>
      </c>
      <c r="AT20" s="14">
        <f t="shared" si="38"/>
        <v>0.23999999999999991</v>
      </c>
      <c r="AU20" s="3">
        <f t="shared" si="5"/>
        <v>1.8940947203032599</v>
      </c>
      <c r="AX20" s="3">
        <f t="shared" si="39"/>
        <v>0.23999999999999991</v>
      </c>
      <c r="AY20" s="14">
        <f t="shared" si="40"/>
        <v>0.23999999999999991</v>
      </c>
      <c r="AZ20" s="3">
        <f t="shared" si="6"/>
        <v>1.8940947203032599</v>
      </c>
      <c r="BC20" s="3">
        <f t="shared" si="41"/>
        <v>0.23999999999999991</v>
      </c>
      <c r="BD20" s="3">
        <f t="shared" si="42"/>
        <v>0.23999999999999991</v>
      </c>
      <c r="BE20" s="3">
        <f t="shared" si="7"/>
        <v>1.8940947203032599</v>
      </c>
      <c r="BH20" s="3">
        <f t="shared" si="43"/>
        <v>0.23999999999999991</v>
      </c>
      <c r="BI20" s="14">
        <f t="shared" si="44"/>
        <v>0.23999999999999991</v>
      </c>
      <c r="BJ20" s="3">
        <f t="shared" si="8"/>
        <v>1.8940947203032599</v>
      </c>
      <c r="BM20" s="3">
        <f t="shared" si="45"/>
        <v>0.23999999999999991</v>
      </c>
      <c r="BN20" s="14">
        <f t="shared" si="46"/>
        <v>0.23999999999999991</v>
      </c>
      <c r="BO20" s="3">
        <f t="shared" si="9"/>
        <v>1.8940947203032599</v>
      </c>
      <c r="BR20" s="3">
        <f t="shared" si="47"/>
        <v>0.23999999999999991</v>
      </c>
      <c r="BS20" s="3">
        <f t="shared" si="48"/>
        <v>0.23999999999999991</v>
      </c>
      <c r="BT20" s="3">
        <f t="shared" si="10"/>
        <v>1.8940947203032599</v>
      </c>
      <c r="BW20" s="3">
        <f t="shared" si="49"/>
        <v>0.23999999999999991</v>
      </c>
      <c r="BX20" s="14">
        <f t="shared" si="50"/>
        <v>0.23999999999999991</v>
      </c>
      <c r="BY20" s="3">
        <f t="shared" si="11"/>
        <v>1.8940947203032599</v>
      </c>
      <c r="CB20" s="3">
        <f t="shared" si="51"/>
        <v>0.23999999999999991</v>
      </c>
      <c r="CC20" s="14">
        <f t="shared" si="52"/>
        <v>0.23999999999999991</v>
      </c>
      <c r="CD20" s="3">
        <f t="shared" si="12"/>
        <v>1.8940947203032599</v>
      </c>
      <c r="CG20" s="3">
        <f t="shared" si="53"/>
        <v>0.23999999999999991</v>
      </c>
      <c r="CH20" s="3">
        <f t="shared" si="54"/>
        <v>0.23999999999999991</v>
      </c>
      <c r="CI20" s="3">
        <f t="shared" si="13"/>
        <v>1.8940947203032599</v>
      </c>
      <c r="CL20" s="3">
        <f t="shared" si="55"/>
        <v>0.23999999999999991</v>
      </c>
      <c r="CM20" s="14">
        <f t="shared" si="56"/>
        <v>0.23999999999999991</v>
      </c>
      <c r="CN20" s="3">
        <f t="shared" si="14"/>
        <v>1.8940947203032599</v>
      </c>
      <c r="CQ20" s="3">
        <f t="shared" si="57"/>
        <v>0.23999999999999991</v>
      </c>
      <c r="CR20" s="14">
        <f t="shared" si="58"/>
        <v>0.23999999999999991</v>
      </c>
      <c r="CS20" s="3">
        <f t="shared" si="15"/>
        <v>1.8940947203032599</v>
      </c>
      <c r="CV20" s="3">
        <f t="shared" si="59"/>
        <v>0.23999999999999991</v>
      </c>
      <c r="CW20" s="3">
        <f t="shared" si="60"/>
        <v>0.23999999999999991</v>
      </c>
      <c r="CX20" s="3">
        <f t="shared" si="16"/>
        <v>1.8940947203032599</v>
      </c>
      <c r="DA20" s="3">
        <f t="shared" si="61"/>
        <v>0.23999999999999991</v>
      </c>
      <c r="DB20" s="14">
        <f t="shared" si="62"/>
        <v>0.23999999999999991</v>
      </c>
      <c r="DC20" s="3">
        <f t="shared" si="17"/>
        <v>1.8940947203032599</v>
      </c>
      <c r="DF20" s="3">
        <f t="shared" si="63"/>
        <v>0.23999999999999991</v>
      </c>
      <c r="DG20" s="14">
        <f t="shared" si="64"/>
        <v>0.23999999999999991</v>
      </c>
      <c r="DH20" s="3">
        <f t="shared" si="18"/>
        <v>1.8940947203032599</v>
      </c>
      <c r="DK20" s="3">
        <f t="shared" si="65"/>
        <v>0.23999999999999991</v>
      </c>
      <c r="DL20" s="3">
        <f t="shared" si="66"/>
        <v>0.23999999999999991</v>
      </c>
      <c r="DM20" s="3">
        <f t="shared" si="19"/>
        <v>1.8940947203032599</v>
      </c>
      <c r="DP20" s="3">
        <f t="shared" si="67"/>
        <v>0.23999999999999991</v>
      </c>
      <c r="DQ20" s="14">
        <f t="shared" si="68"/>
        <v>0.23999999999999991</v>
      </c>
      <c r="DR20" s="3">
        <f t="shared" si="20"/>
        <v>1.8940947203032599</v>
      </c>
      <c r="DU20" s="3">
        <f t="shared" si="69"/>
        <v>0.23999999999999991</v>
      </c>
      <c r="DV20" s="14">
        <f t="shared" si="70"/>
        <v>0.23999999999999991</v>
      </c>
      <c r="DW20" s="3">
        <f t="shared" si="21"/>
        <v>1.8940947203032599</v>
      </c>
      <c r="DZ20" s="3">
        <f t="shared" si="71"/>
        <v>0.23999999999999991</v>
      </c>
      <c r="EA20" s="3">
        <f t="shared" si="72"/>
        <v>0.23999999999999991</v>
      </c>
      <c r="EB20" s="3">
        <f t="shared" si="22"/>
        <v>1.8940947203032599</v>
      </c>
      <c r="EE20" s="3">
        <f t="shared" si="73"/>
        <v>0.23999999999999991</v>
      </c>
      <c r="EF20" s="14">
        <f t="shared" si="74"/>
        <v>0.23999999999999991</v>
      </c>
      <c r="EG20" s="3">
        <f t="shared" si="23"/>
        <v>1.8940947203032599</v>
      </c>
      <c r="EJ20" s="3">
        <f t="shared" si="75"/>
        <v>0.23999999999999991</v>
      </c>
      <c r="EK20" s="14">
        <f t="shared" si="76"/>
        <v>0.23999999999999991</v>
      </c>
      <c r="EL20" s="3">
        <f t="shared" si="24"/>
        <v>1.8940947203032599</v>
      </c>
      <c r="EO20" s="3">
        <f t="shared" si="77"/>
        <v>0.23999999999999991</v>
      </c>
      <c r="EP20" s="3">
        <f t="shared" si="78"/>
        <v>0.23999999999999991</v>
      </c>
      <c r="EQ20" s="3">
        <f t="shared" si="25"/>
        <v>1.8940947203032599</v>
      </c>
      <c r="ET20" s="3">
        <f t="shared" si="79"/>
        <v>0.23999999999999991</v>
      </c>
      <c r="EU20" s="14">
        <f t="shared" si="80"/>
        <v>0.23999999999999991</v>
      </c>
      <c r="EV20" s="3">
        <f t="shared" si="26"/>
        <v>1.8940947203032599</v>
      </c>
    </row>
    <row r="21" spans="3:152" s="3" customFormat="1" x14ac:dyDescent="0.25">
      <c r="C21" s="1"/>
      <c r="D21" s="26"/>
      <c r="E21" s="1"/>
      <c r="F21" s="1"/>
      <c r="G21" s="1"/>
      <c r="H21" s="1"/>
      <c r="I21" s="1"/>
      <c r="J21" s="1"/>
      <c r="K21" s="1"/>
      <c r="L21" s="1"/>
      <c r="M21" s="1"/>
      <c r="N21" s="1"/>
      <c r="O21" s="1"/>
      <c r="P21" s="1"/>
      <c r="Q21" s="1"/>
      <c r="R21" s="1"/>
      <c r="S21" s="1"/>
      <c r="T21" s="3">
        <f t="shared" si="27"/>
        <v>0.2599999999999999</v>
      </c>
      <c r="U21" s="14">
        <f t="shared" si="28"/>
        <v>0.2599999999999999</v>
      </c>
      <c r="V21" s="3">
        <f t="shared" si="0"/>
        <v>2.0176639475975255</v>
      </c>
      <c r="Y21" s="3">
        <f t="shared" si="29"/>
        <v>0.2599999999999999</v>
      </c>
      <c r="Z21" s="3">
        <f t="shared" si="30"/>
        <v>0.2599999999999999</v>
      </c>
      <c r="AA21" s="3">
        <f t="shared" si="1"/>
        <v>2.0176639475975255</v>
      </c>
      <c r="AD21" s="3">
        <f t="shared" si="31"/>
        <v>0.2599999999999999</v>
      </c>
      <c r="AE21" s="14">
        <f t="shared" si="32"/>
        <v>0.2599999999999999</v>
      </c>
      <c r="AF21" s="3">
        <f t="shared" si="2"/>
        <v>2.0176639475975255</v>
      </c>
      <c r="AI21" s="3">
        <f t="shared" si="33"/>
        <v>0.2599999999999999</v>
      </c>
      <c r="AJ21" s="14">
        <f t="shared" si="34"/>
        <v>0.2599999999999999</v>
      </c>
      <c r="AK21" s="3">
        <f t="shared" si="3"/>
        <v>2.0176639475975255</v>
      </c>
      <c r="AN21" s="3">
        <f t="shared" si="35"/>
        <v>0.2599999999999999</v>
      </c>
      <c r="AO21" s="3">
        <f t="shared" si="36"/>
        <v>0.2599999999999999</v>
      </c>
      <c r="AP21" s="3">
        <f t="shared" si="4"/>
        <v>2.0176639475975255</v>
      </c>
      <c r="AS21" s="3">
        <f t="shared" si="37"/>
        <v>0.2599999999999999</v>
      </c>
      <c r="AT21" s="14">
        <f t="shared" si="38"/>
        <v>0.2599999999999999</v>
      </c>
      <c r="AU21" s="3">
        <f t="shared" si="5"/>
        <v>2.0176639475975255</v>
      </c>
      <c r="AX21" s="3">
        <f t="shared" si="39"/>
        <v>0.2599999999999999</v>
      </c>
      <c r="AY21" s="14">
        <f t="shared" si="40"/>
        <v>0.2599999999999999</v>
      </c>
      <c r="AZ21" s="3">
        <f t="shared" si="6"/>
        <v>2.0176639475975255</v>
      </c>
      <c r="BC21" s="3">
        <f t="shared" si="41"/>
        <v>0.2599999999999999</v>
      </c>
      <c r="BD21" s="3">
        <f t="shared" si="42"/>
        <v>0.2599999999999999</v>
      </c>
      <c r="BE21" s="3">
        <f t="shared" si="7"/>
        <v>2.0176639475975255</v>
      </c>
      <c r="BH21" s="3">
        <f t="shared" si="43"/>
        <v>0.2599999999999999</v>
      </c>
      <c r="BI21" s="14">
        <f t="shared" si="44"/>
        <v>0.2599999999999999</v>
      </c>
      <c r="BJ21" s="3">
        <f t="shared" si="8"/>
        <v>2.0176639475975255</v>
      </c>
      <c r="BM21" s="3">
        <f t="shared" si="45"/>
        <v>0.2599999999999999</v>
      </c>
      <c r="BN21" s="14">
        <f t="shared" si="46"/>
        <v>0.2599999999999999</v>
      </c>
      <c r="BO21" s="3">
        <f t="shared" si="9"/>
        <v>2.0176639475975255</v>
      </c>
      <c r="BR21" s="3">
        <f t="shared" si="47"/>
        <v>0.2599999999999999</v>
      </c>
      <c r="BS21" s="3">
        <f t="shared" si="48"/>
        <v>0.2599999999999999</v>
      </c>
      <c r="BT21" s="3">
        <f t="shared" si="10"/>
        <v>2.0176639475975255</v>
      </c>
      <c r="BW21" s="3">
        <f t="shared" si="49"/>
        <v>0.2599999999999999</v>
      </c>
      <c r="BX21" s="14">
        <f t="shared" si="50"/>
        <v>0.2599999999999999</v>
      </c>
      <c r="BY21" s="3">
        <f t="shared" si="11"/>
        <v>2.0176639475975255</v>
      </c>
      <c r="CB21" s="3">
        <f t="shared" si="51"/>
        <v>0.2599999999999999</v>
      </c>
      <c r="CC21" s="14">
        <f t="shared" si="52"/>
        <v>0.2599999999999999</v>
      </c>
      <c r="CD21" s="3">
        <f t="shared" si="12"/>
        <v>2.0176639475975255</v>
      </c>
      <c r="CG21" s="3">
        <f t="shared" si="53"/>
        <v>0.2599999999999999</v>
      </c>
      <c r="CH21" s="3">
        <f t="shared" si="54"/>
        <v>0.2599999999999999</v>
      </c>
      <c r="CI21" s="3">
        <f t="shared" si="13"/>
        <v>2.0176639475975255</v>
      </c>
      <c r="CL21" s="3">
        <f t="shared" si="55"/>
        <v>0.2599999999999999</v>
      </c>
      <c r="CM21" s="14">
        <f t="shared" si="56"/>
        <v>0.2599999999999999</v>
      </c>
      <c r="CN21" s="3">
        <f t="shared" si="14"/>
        <v>2.0176639475975255</v>
      </c>
      <c r="CQ21" s="3">
        <f t="shared" si="57"/>
        <v>0.2599999999999999</v>
      </c>
      <c r="CR21" s="14">
        <f t="shared" si="58"/>
        <v>0.2599999999999999</v>
      </c>
      <c r="CS21" s="3">
        <f t="shared" si="15"/>
        <v>2.0176639475975255</v>
      </c>
      <c r="CV21" s="3">
        <f t="shared" si="59"/>
        <v>0.2599999999999999</v>
      </c>
      <c r="CW21" s="3">
        <f t="shared" si="60"/>
        <v>0.2599999999999999</v>
      </c>
      <c r="CX21" s="3">
        <f t="shared" si="16"/>
        <v>2.0176639475975255</v>
      </c>
      <c r="DA21" s="3">
        <f t="shared" si="61"/>
        <v>0.2599999999999999</v>
      </c>
      <c r="DB21" s="14">
        <f t="shared" si="62"/>
        <v>0.2599999999999999</v>
      </c>
      <c r="DC21" s="3">
        <f t="shared" si="17"/>
        <v>2.0176639475975255</v>
      </c>
      <c r="DF21" s="3">
        <f t="shared" si="63"/>
        <v>0.2599999999999999</v>
      </c>
      <c r="DG21" s="14">
        <f t="shared" si="64"/>
        <v>0.2599999999999999</v>
      </c>
      <c r="DH21" s="3">
        <f t="shared" si="18"/>
        <v>2.0176639475975255</v>
      </c>
      <c r="DK21" s="3">
        <f t="shared" si="65"/>
        <v>0.2599999999999999</v>
      </c>
      <c r="DL21" s="3">
        <f t="shared" si="66"/>
        <v>0.2599999999999999</v>
      </c>
      <c r="DM21" s="3">
        <f t="shared" si="19"/>
        <v>2.0176639475975255</v>
      </c>
      <c r="DP21" s="3">
        <f t="shared" si="67"/>
        <v>0.2599999999999999</v>
      </c>
      <c r="DQ21" s="14">
        <f t="shared" si="68"/>
        <v>0.2599999999999999</v>
      </c>
      <c r="DR21" s="3">
        <f t="shared" si="20"/>
        <v>2.0176639475975255</v>
      </c>
      <c r="DU21" s="3">
        <f t="shared" si="69"/>
        <v>0.2599999999999999</v>
      </c>
      <c r="DV21" s="14">
        <f t="shared" si="70"/>
        <v>0.2599999999999999</v>
      </c>
      <c r="DW21" s="3">
        <f t="shared" si="21"/>
        <v>2.0176639475975255</v>
      </c>
      <c r="DZ21" s="3">
        <f t="shared" si="71"/>
        <v>0.2599999999999999</v>
      </c>
      <c r="EA21" s="3">
        <f t="shared" si="72"/>
        <v>0.2599999999999999</v>
      </c>
      <c r="EB21" s="3">
        <f t="shared" si="22"/>
        <v>2.0176639475975255</v>
      </c>
      <c r="EE21" s="3">
        <f t="shared" si="73"/>
        <v>0.2599999999999999</v>
      </c>
      <c r="EF21" s="14">
        <f t="shared" si="74"/>
        <v>0.2599999999999999</v>
      </c>
      <c r="EG21" s="3">
        <f t="shared" si="23"/>
        <v>2.0176639475975255</v>
      </c>
      <c r="EJ21" s="3">
        <f t="shared" si="75"/>
        <v>0.2599999999999999</v>
      </c>
      <c r="EK21" s="14">
        <f t="shared" si="76"/>
        <v>0.2599999999999999</v>
      </c>
      <c r="EL21" s="3">
        <f t="shared" si="24"/>
        <v>2.0176639475975255</v>
      </c>
      <c r="EO21" s="3">
        <f t="shared" si="77"/>
        <v>0.2599999999999999</v>
      </c>
      <c r="EP21" s="3">
        <f t="shared" si="78"/>
        <v>0.2599999999999999</v>
      </c>
      <c r="EQ21" s="3">
        <f t="shared" si="25"/>
        <v>2.0176639475975255</v>
      </c>
      <c r="ET21" s="3">
        <f t="shared" si="79"/>
        <v>0.2599999999999999</v>
      </c>
      <c r="EU21" s="14">
        <f t="shared" si="80"/>
        <v>0.2599999999999999</v>
      </c>
      <c r="EV21" s="3">
        <f t="shared" si="26"/>
        <v>2.0176639475975255</v>
      </c>
    </row>
    <row r="22" spans="3:152" s="3" customFormat="1" x14ac:dyDescent="0.25">
      <c r="C22" s="27" t="s">
        <v>10</v>
      </c>
      <c r="D22" s="28"/>
      <c r="E22" s="28"/>
      <c r="F22" s="28"/>
      <c r="G22" s="29"/>
      <c r="H22" s="1"/>
      <c r="I22" s="1"/>
      <c r="J22" s="1"/>
      <c r="K22" s="1"/>
      <c r="L22" s="1"/>
      <c r="M22" s="1"/>
      <c r="N22" s="1"/>
      <c r="O22" s="1"/>
      <c r="P22" s="1"/>
      <c r="Q22" s="1"/>
      <c r="R22" s="1"/>
      <c r="S22" s="1"/>
      <c r="T22" s="3">
        <f t="shared" si="27"/>
        <v>0.27999999999999992</v>
      </c>
      <c r="U22" s="14">
        <f t="shared" si="28"/>
        <v>0.27999999999999992</v>
      </c>
      <c r="V22" s="3">
        <f t="shared" si="0"/>
        <v>2.1385246621639444</v>
      </c>
      <c r="Y22" s="3">
        <f t="shared" si="29"/>
        <v>0.27999999999999992</v>
      </c>
      <c r="Z22" s="3">
        <f t="shared" si="30"/>
        <v>0.27999999999999992</v>
      </c>
      <c r="AA22" s="3">
        <f t="shared" si="1"/>
        <v>2.1385246621639444</v>
      </c>
      <c r="AD22" s="3">
        <f t="shared" si="31"/>
        <v>0.27999999999999992</v>
      </c>
      <c r="AE22" s="14">
        <f t="shared" si="32"/>
        <v>0.27999999999999992</v>
      </c>
      <c r="AF22" s="3">
        <f t="shared" si="2"/>
        <v>2.1385246621639444</v>
      </c>
      <c r="AI22" s="3">
        <f t="shared" si="33"/>
        <v>0.27999999999999992</v>
      </c>
      <c r="AJ22" s="14">
        <f t="shared" si="34"/>
        <v>0.27999999999999992</v>
      </c>
      <c r="AK22" s="3">
        <f t="shared" si="3"/>
        <v>2.1385246621639444</v>
      </c>
      <c r="AN22" s="3">
        <f t="shared" si="35"/>
        <v>0.27999999999999992</v>
      </c>
      <c r="AO22" s="3">
        <f t="shared" si="36"/>
        <v>0.27999999999999992</v>
      </c>
      <c r="AP22" s="3">
        <f t="shared" si="4"/>
        <v>2.1385246621639444</v>
      </c>
      <c r="AS22" s="3">
        <f t="shared" si="37"/>
        <v>0.27999999999999992</v>
      </c>
      <c r="AT22" s="14">
        <f t="shared" si="38"/>
        <v>0.27999999999999992</v>
      </c>
      <c r="AU22" s="3">
        <f t="shared" si="5"/>
        <v>2.1385246621639444</v>
      </c>
      <c r="AX22" s="3">
        <f t="shared" si="39"/>
        <v>0.27999999999999992</v>
      </c>
      <c r="AY22" s="14">
        <f t="shared" si="40"/>
        <v>0.27999999999999992</v>
      </c>
      <c r="AZ22" s="3">
        <f t="shared" si="6"/>
        <v>2.1385246621639444</v>
      </c>
      <c r="BC22" s="3">
        <f t="shared" si="41"/>
        <v>0.27999999999999992</v>
      </c>
      <c r="BD22" s="3">
        <f t="shared" si="42"/>
        <v>0.27999999999999992</v>
      </c>
      <c r="BE22" s="3">
        <f t="shared" si="7"/>
        <v>2.1385246621639444</v>
      </c>
      <c r="BH22" s="3">
        <f t="shared" si="43"/>
        <v>0.27999999999999992</v>
      </c>
      <c r="BI22" s="14">
        <f t="shared" si="44"/>
        <v>0.27999999999999992</v>
      </c>
      <c r="BJ22" s="3">
        <f t="shared" si="8"/>
        <v>2.1385246621639444</v>
      </c>
      <c r="BM22" s="3">
        <f t="shared" si="45"/>
        <v>0.27999999999999992</v>
      </c>
      <c r="BN22" s="14">
        <f t="shared" si="46"/>
        <v>0.27999999999999992</v>
      </c>
      <c r="BO22" s="3">
        <f t="shared" si="9"/>
        <v>2.1385246621639444</v>
      </c>
      <c r="BR22" s="3">
        <f t="shared" si="47"/>
        <v>0.27999999999999992</v>
      </c>
      <c r="BS22" s="3">
        <f t="shared" si="48"/>
        <v>0.27999999999999992</v>
      </c>
      <c r="BT22" s="3">
        <f t="shared" si="10"/>
        <v>2.1385246621639444</v>
      </c>
      <c r="BW22" s="3">
        <f t="shared" si="49"/>
        <v>0.27999999999999992</v>
      </c>
      <c r="BX22" s="14">
        <f t="shared" si="50"/>
        <v>0.27999999999999992</v>
      </c>
      <c r="BY22" s="3">
        <f t="shared" si="11"/>
        <v>2.1385246621639444</v>
      </c>
      <c r="CB22" s="3">
        <f t="shared" si="51"/>
        <v>0.27999999999999992</v>
      </c>
      <c r="CC22" s="14">
        <f t="shared" si="52"/>
        <v>0.27999999999999992</v>
      </c>
      <c r="CD22" s="3">
        <f t="shared" si="12"/>
        <v>2.1385246621639444</v>
      </c>
      <c r="CG22" s="3">
        <f t="shared" si="53"/>
        <v>0.27999999999999992</v>
      </c>
      <c r="CH22" s="3">
        <f t="shared" si="54"/>
        <v>0.27999999999999992</v>
      </c>
      <c r="CI22" s="3">
        <f t="shared" si="13"/>
        <v>2.1385246621639444</v>
      </c>
      <c r="CL22" s="3">
        <f t="shared" si="55"/>
        <v>0.27999999999999992</v>
      </c>
      <c r="CM22" s="14">
        <f t="shared" si="56"/>
        <v>0.27999999999999992</v>
      </c>
      <c r="CN22" s="3">
        <f t="shared" si="14"/>
        <v>2.1385246621639444</v>
      </c>
      <c r="CQ22" s="3">
        <f t="shared" si="57"/>
        <v>0.27999999999999992</v>
      </c>
      <c r="CR22" s="14">
        <f t="shared" si="58"/>
        <v>0.27999999999999992</v>
      </c>
      <c r="CS22" s="3">
        <f t="shared" si="15"/>
        <v>2.1385246621639444</v>
      </c>
      <c r="CV22" s="3">
        <f t="shared" si="59"/>
        <v>0.27999999999999992</v>
      </c>
      <c r="CW22" s="3">
        <f t="shared" si="60"/>
        <v>0.27999999999999992</v>
      </c>
      <c r="CX22" s="3">
        <f t="shared" si="16"/>
        <v>2.1385246621639444</v>
      </c>
      <c r="DA22" s="3">
        <f t="shared" si="61"/>
        <v>0.27999999999999992</v>
      </c>
      <c r="DB22" s="14">
        <f t="shared" si="62"/>
        <v>0.27999999999999992</v>
      </c>
      <c r="DC22" s="3">
        <f t="shared" si="17"/>
        <v>2.1385246621639444</v>
      </c>
      <c r="DF22" s="3">
        <f t="shared" si="63"/>
        <v>0.27999999999999992</v>
      </c>
      <c r="DG22" s="14">
        <f t="shared" si="64"/>
        <v>0.27999999999999992</v>
      </c>
      <c r="DH22" s="3">
        <f t="shared" si="18"/>
        <v>2.1385246621639444</v>
      </c>
      <c r="DK22" s="3">
        <f t="shared" si="65"/>
        <v>0.27999999999999992</v>
      </c>
      <c r="DL22" s="3">
        <f t="shared" si="66"/>
        <v>0.27999999999999992</v>
      </c>
      <c r="DM22" s="3">
        <f t="shared" si="19"/>
        <v>2.1385246621639444</v>
      </c>
      <c r="DP22" s="3">
        <f t="shared" si="67"/>
        <v>0.27999999999999992</v>
      </c>
      <c r="DQ22" s="14">
        <f t="shared" si="68"/>
        <v>0.27999999999999992</v>
      </c>
      <c r="DR22" s="3">
        <f t="shared" si="20"/>
        <v>2.1385246621639444</v>
      </c>
      <c r="DU22" s="3">
        <f t="shared" si="69"/>
        <v>0.27999999999999992</v>
      </c>
      <c r="DV22" s="14">
        <f t="shared" si="70"/>
        <v>0.27999999999999992</v>
      </c>
      <c r="DW22" s="3">
        <f t="shared" si="21"/>
        <v>2.1385246621639444</v>
      </c>
      <c r="DZ22" s="3">
        <f t="shared" si="71"/>
        <v>0.27999999999999992</v>
      </c>
      <c r="EA22" s="3">
        <f t="shared" si="72"/>
        <v>0.27999999999999992</v>
      </c>
      <c r="EB22" s="3">
        <f t="shared" si="22"/>
        <v>2.1385246621639444</v>
      </c>
      <c r="EE22" s="3">
        <f t="shared" si="73"/>
        <v>0.27999999999999992</v>
      </c>
      <c r="EF22" s="14">
        <f t="shared" si="74"/>
        <v>0.27999999999999992</v>
      </c>
      <c r="EG22" s="3">
        <f t="shared" si="23"/>
        <v>2.1385246621639444</v>
      </c>
      <c r="EJ22" s="3">
        <f t="shared" si="75"/>
        <v>0.27999999999999992</v>
      </c>
      <c r="EK22" s="14">
        <f t="shared" si="76"/>
        <v>0.27999999999999992</v>
      </c>
      <c r="EL22" s="3">
        <f t="shared" si="24"/>
        <v>2.1385246621639444</v>
      </c>
      <c r="EO22" s="3">
        <f t="shared" si="77"/>
        <v>0.27999999999999992</v>
      </c>
      <c r="EP22" s="3">
        <f t="shared" si="78"/>
        <v>0.27999999999999992</v>
      </c>
      <c r="EQ22" s="3">
        <f t="shared" si="25"/>
        <v>2.1385246621639444</v>
      </c>
      <c r="ET22" s="3">
        <f t="shared" si="79"/>
        <v>0.27999999999999992</v>
      </c>
      <c r="EU22" s="14">
        <f t="shared" si="80"/>
        <v>0.27999999999999992</v>
      </c>
      <c r="EV22" s="3">
        <f t="shared" si="26"/>
        <v>2.1385246621639444</v>
      </c>
    </row>
    <row r="23" spans="3:152" s="3" customFormat="1" x14ac:dyDescent="0.25">
      <c r="C23" s="30"/>
      <c r="D23" s="31"/>
      <c r="E23" s="31"/>
      <c r="F23" s="31"/>
      <c r="G23" s="32"/>
      <c r="H23" s="1"/>
      <c r="I23" s="1"/>
      <c r="J23" s="1"/>
      <c r="K23" s="1"/>
      <c r="L23" s="1"/>
      <c r="M23" s="1"/>
      <c r="N23" s="1"/>
      <c r="O23" s="1"/>
      <c r="P23" s="1"/>
      <c r="Q23" s="1"/>
      <c r="R23" s="1"/>
      <c r="S23" s="1"/>
      <c r="T23" s="3">
        <f t="shared" si="27"/>
        <v>0.29999999999999993</v>
      </c>
      <c r="U23" s="14">
        <f t="shared" si="28"/>
        <v>0.29999999999999993</v>
      </c>
      <c r="V23" s="3">
        <f t="shared" si="0"/>
        <v>2.2566768640025159</v>
      </c>
      <c r="Y23" s="3">
        <f t="shared" si="29"/>
        <v>0.29999999999999993</v>
      </c>
      <c r="Z23" s="3">
        <f t="shared" si="30"/>
        <v>0.29999999999999993</v>
      </c>
      <c r="AA23" s="3">
        <f t="shared" si="1"/>
        <v>2.2566768640025159</v>
      </c>
      <c r="AD23" s="3">
        <f t="shared" si="31"/>
        <v>0.29999999999999993</v>
      </c>
      <c r="AE23" s="14">
        <f t="shared" si="32"/>
        <v>0.29999999999999993</v>
      </c>
      <c r="AF23" s="3">
        <f t="shared" si="2"/>
        <v>2.2566768640025159</v>
      </c>
      <c r="AI23" s="3">
        <f t="shared" si="33"/>
        <v>0.29999999999999993</v>
      </c>
      <c r="AJ23" s="14">
        <f t="shared" si="34"/>
        <v>0.29999999999999993</v>
      </c>
      <c r="AK23" s="3">
        <f t="shared" si="3"/>
        <v>2.2566768640025159</v>
      </c>
      <c r="AN23" s="3">
        <f t="shared" si="35"/>
        <v>0.29999999999999993</v>
      </c>
      <c r="AO23" s="3">
        <f t="shared" si="36"/>
        <v>0.29999999999999993</v>
      </c>
      <c r="AP23" s="3">
        <f t="shared" si="4"/>
        <v>2.2566768640025159</v>
      </c>
      <c r="AS23" s="3">
        <f t="shared" si="37"/>
        <v>0.29999999999999993</v>
      </c>
      <c r="AT23" s="14">
        <f t="shared" si="38"/>
        <v>0.29999999999999993</v>
      </c>
      <c r="AU23" s="3">
        <f t="shared" si="5"/>
        <v>2.2566768640025159</v>
      </c>
      <c r="AX23" s="3">
        <f t="shared" si="39"/>
        <v>0.29999999999999993</v>
      </c>
      <c r="AY23" s="14">
        <f t="shared" si="40"/>
        <v>0.29999999999999993</v>
      </c>
      <c r="AZ23" s="3">
        <f t="shared" si="6"/>
        <v>2.2566768640025159</v>
      </c>
      <c r="BC23" s="3">
        <f t="shared" si="41"/>
        <v>0.29999999999999993</v>
      </c>
      <c r="BD23" s="3">
        <f t="shared" si="42"/>
        <v>0.29999999999999993</v>
      </c>
      <c r="BE23" s="3">
        <f t="shared" si="7"/>
        <v>2.2566768640025159</v>
      </c>
      <c r="BH23" s="3">
        <f t="shared" si="43"/>
        <v>0.29999999999999993</v>
      </c>
      <c r="BI23" s="14">
        <f t="shared" si="44"/>
        <v>0.29999999999999993</v>
      </c>
      <c r="BJ23" s="3">
        <f t="shared" si="8"/>
        <v>2.2566768640025159</v>
      </c>
      <c r="BM23" s="3">
        <f t="shared" si="45"/>
        <v>0.29999999999999993</v>
      </c>
      <c r="BN23" s="14">
        <f t="shared" si="46"/>
        <v>0.29999999999999993</v>
      </c>
      <c r="BO23" s="3">
        <f t="shared" si="9"/>
        <v>2.2566768640025159</v>
      </c>
      <c r="BR23" s="3">
        <f t="shared" si="47"/>
        <v>0.29999999999999993</v>
      </c>
      <c r="BS23" s="3">
        <f t="shared" si="48"/>
        <v>0.29999999999999993</v>
      </c>
      <c r="BT23" s="3">
        <f t="shared" si="10"/>
        <v>2.2566768640025159</v>
      </c>
      <c r="BW23" s="3">
        <f t="shared" si="49"/>
        <v>0.29999999999999993</v>
      </c>
      <c r="BX23" s="14">
        <f t="shared" si="50"/>
        <v>0.29999999999999993</v>
      </c>
      <c r="BY23" s="3">
        <f t="shared" si="11"/>
        <v>2.2566768640025159</v>
      </c>
      <c r="CB23" s="3">
        <f t="shared" si="51"/>
        <v>0.29999999999999993</v>
      </c>
      <c r="CC23" s="14">
        <f t="shared" si="52"/>
        <v>0.29999999999999993</v>
      </c>
      <c r="CD23" s="3">
        <f t="shared" si="12"/>
        <v>2.2566768640025159</v>
      </c>
      <c r="CG23" s="3">
        <f t="shared" si="53"/>
        <v>0.29999999999999993</v>
      </c>
      <c r="CH23" s="3">
        <f t="shared" si="54"/>
        <v>0.29999999999999993</v>
      </c>
      <c r="CI23" s="3">
        <f t="shared" si="13"/>
        <v>2.2566768640025159</v>
      </c>
      <c r="CL23" s="3">
        <f t="shared" si="55"/>
        <v>0.29999999999999993</v>
      </c>
      <c r="CM23" s="14">
        <f t="shared" si="56"/>
        <v>0.29999999999999993</v>
      </c>
      <c r="CN23" s="3">
        <f t="shared" si="14"/>
        <v>2.2566768640025159</v>
      </c>
      <c r="CQ23" s="3">
        <f t="shared" si="57"/>
        <v>0.29999999999999993</v>
      </c>
      <c r="CR23" s="14">
        <f t="shared" si="58"/>
        <v>0.29999999999999993</v>
      </c>
      <c r="CS23" s="3">
        <f t="shared" si="15"/>
        <v>2.2566768640025159</v>
      </c>
      <c r="CV23" s="3">
        <f t="shared" si="59"/>
        <v>0.29999999999999993</v>
      </c>
      <c r="CW23" s="3">
        <f t="shared" si="60"/>
        <v>0.29999999999999993</v>
      </c>
      <c r="CX23" s="3">
        <f t="shared" si="16"/>
        <v>2.2566768640025159</v>
      </c>
      <c r="DA23" s="3">
        <f t="shared" si="61"/>
        <v>0.29999999999999993</v>
      </c>
      <c r="DB23" s="14">
        <f t="shared" si="62"/>
        <v>0.29999999999999993</v>
      </c>
      <c r="DC23" s="3">
        <f t="shared" si="17"/>
        <v>2.2566768640025159</v>
      </c>
      <c r="DF23" s="3">
        <f t="shared" si="63"/>
        <v>0.29999999999999993</v>
      </c>
      <c r="DG23" s="14">
        <f t="shared" si="64"/>
        <v>0.29999999999999993</v>
      </c>
      <c r="DH23" s="3">
        <f t="shared" si="18"/>
        <v>2.2566768640025159</v>
      </c>
      <c r="DK23" s="3">
        <f t="shared" si="65"/>
        <v>0.29999999999999993</v>
      </c>
      <c r="DL23" s="3">
        <f t="shared" si="66"/>
        <v>0.29999999999999993</v>
      </c>
      <c r="DM23" s="3">
        <f t="shared" si="19"/>
        <v>2.2566768640025159</v>
      </c>
      <c r="DP23" s="3">
        <f t="shared" si="67"/>
        <v>0.29999999999999993</v>
      </c>
      <c r="DQ23" s="14">
        <f t="shared" si="68"/>
        <v>0.29999999999999993</v>
      </c>
      <c r="DR23" s="3">
        <f t="shared" si="20"/>
        <v>2.2566768640025159</v>
      </c>
      <c r="DU23" s="3">
        <f t="shared" si="69"/>
        <v>0.29999999999999993</v>
      </c>
      <c r="DV23" s="14">
        <f t="shared" si="70"/>
        <v>0.29999999999999993</v>
      </c>
      <c r="DW23" s="3">
        <f t="shared" si="21"/>
        <v>2.2566768640025159</v>
      </c>
      <c r="DZ23" s="3">
        <f t="shared" si="71"/>
        <v>0.29999999999999993</v>
      </c>
      <c r="EA23" s="3">
        <f t="shared" si="72"/>
        <v>0.29999999999999993</v>
      </c>
      <c r="EB23" s="3">
        <f t="shared" si="22"/>
        <v>2.2566768640025159</v>
      </c>
      <c r="EE23" s="3">
        <f t="shared" si="73"/>
        <v>0.29999999999999993</v>
      </c>
      <c r="EF23" s="14">
        <f t="shared" si="74"/>
        <v>0.29999999999999993</v>
      </c>
      <c r="EG23" s="3">
        <f t="shared" si="23"/>
        <v>2.2566768640025159</v>
      </c>
      <c r="EJ23" s="3">
        <f t="shared" si="75"/>
        <v>0.29999999999999993</v>
      </c>
      <c r="EK23" s="14">
        <f t="shared" si="76"/>
        <v>0.29999999999999993</v>
      </c>
      <c r="EL23" s="3">
        <f t="shared" si="24"/>
        <v>2.2566768640025159</v>
      </c>
      <c r="EO23" s="3">
        <f t="shared" si="77"/>
        <v>0.29999999999999993</v>
      </c>
      <c r="EP23" s="3">
        <f t="shared" si="78"/>
        <v>0.29999999999999993</v>
      </c>
      <c r="EQ23" s="3">
        <f t="shared" si="25"/>
        <v>2.2566768640025159</v>
      </c>
      <c r="ET23" s="3">
        <f t="shared" si="79"/>
        <v>0.29999999999999993</v>
      </c>
      <c r="EU23" s="14">
        <f t="shared" si="80"/>
        <v>0.29999999999999993</v>
      </c>
      <c r="EV23" s="3">
        <f t="shared" si="26"/>
        <v>2.2566768640025159</v>
      </c>
    </row>
    <row r="24" spans="3:152" s="3" customFormat="1" x14ac:dyDescent="0.25">
      <c r="C24" s="33"/>
      <c r="D24" s="34"/>
      <c r="E24" s="34"/>
      <c r="F24" s="34"/>
      <c r="G24" s="35"/>
      <c r="H24" s="1"/>
      <c r="I24" s="1"/>
      <c r="J24" s="1"/>
      <c r="K24" s="1"/>
      <c r="L24" s="1"/>
      <c r="M24" s="1"/>
      <c r="N24" s="1"/>
      <c r="O24" s="1"/>
      <c r="P24" s="1"/>
      <c r="Q24" s="1"/>
      <c r="R24" s="1"/>
      <c r="S24" s="1"/>
      <c r="T24" s="3">
        <f t="shared" si="27"/>
        <v>0.31999999999999995</v>
      </c>
      <c r="U24" s="14">
        <f t="shared" si="28"/>
        <v>0.31999999999999995</v>
      </c>
      <c r="V24" s="3">
        <f t="shared" si="0"/>
        <v>2.3721205531132403</v>
      </c>
      <c r="Y24" s="3">
        <f t="shared" si="29"/>
        <v>0.31999999999999995</v>
      </c>
      <c r="Z24" s="3">
        <f t="shared" si="30"/>
        <v>0.31999999999999995</v>
      </c>
      <c r="AA24" s="3">
        <f t="shared" si="1"/>
        <v>2.3721205531132403</v>
      </c>
      <c r="AD24" s="3">
        <f t="shared" si="31"/>
        <v>0.31999999999999995</v>
      </c>
      <c r="AE24" s="14">
        <f t="shared" si="32"/>
        <v>0.31999999999999995</v>
      </c>
      <c r="AF24" s="3">
        <f t="shared" si="2"/>
        <v>2.3721205531132403</v>
      </c>
      <c r="AI24" s="3">
        <f t="shared" si="33"/>
        <v>0.31999999999999995</v>
      </c>
      <c r="AJ24" s="14">
        <f t="shared" si="34"/>
        <v>0.31999999999999995</v>
      </c>
      <c r="AK24" s="3">
        <f t="shared" si="3"/>
        <v>2.3721205531132403</v>
      </c>
      <c r="AN24" s="3">
        <f t="shared" si="35"/>
        <v>0.31999999999999995</v>
      </c>
      <c r="AO24" s="3">
        <f t="shared" si="36"/>
        <v>0.31999999999999995</v>
      </c>
      <c r="AP24" s="3">
        <f t="shared" si="4"/>
        <v>2.3721205531132403</v>
      </c>
      <c r="AS24" s="3">
        <f t="shared" si="37"/>
        <v>0.31999999999999995</v>
      </c>
      <c r="AT24" s="14">
        <f t="shared" si="38"/>
        <v>0.31999999999999995</v>
      </c>
      <c r="AU24" s="3">
        <f t="shared" si="5"/>
        <v>2.3721205531132403</v>
      </c>
      <c r="AX24" s="3">
        <f t="shared" si="39"/>
        <v>0.31999999999999995</v>
      </c>
      <c r="AY24" s="14">
        <f t="shared" si="40"/>
        <v>0.31999999999999995</v>
      </c>
      <c r="AZ24" s="3">
        <f t="shared" si="6"/>
        <v>2.3721205531132403</v>
      </c>
      <c r="BC24" s="3">
        <f t="shared" si="41"/>
        <v>0.31999999999999995</v>
      </c>
      <c r="BD24" s="3">
        <f t="shared" si="42"/>
        <v>0.31999999999999995</v>
      </c>
      <c r="BE24" s="3">
        <f t="shared" si="7"/>
        <v>2.3721205531132403</v>
      </c>
      <c r="BH24" s="3">
        <f t="shared" si="43"/>
        <v>0.31999999999999995</v>
      </c>
      <c r="BI24" s="14">
        <f t="shared" si="44"/>
        <v>0.31999999999999995</v>
      </c>
      <c r="BJ24" s="3">
        <f t="shared" si="8"/>
        <v>2.3721205531132403</v>
      </c>
      <c r="BM24" s="3">
        <f t="shared" si="45"/>
        <v>0.31999999999999995</v>
      </c>
      <c r="BN24" s="14">
        <f t="shared" si="46"/>
        <v>0.31999999999999995</v>
      </c>
      <c r="BO24" s="3">
        <f t="shared" si="9"/>
        <v>2.3721205531132403</v>
      </c>
      <c r="BR24" s="3">
        <f t="shared" si="47"/>
        <v>0.31999999999999995</v>
      </c>
      <c r="BS24" s="3">
        <f t="shared" si="48"/>
        <v>0.31999999999999995</v>
      </c>
      <c r="BT24" s="3">
        <f t="shared" si="10"/>
        <v>2.3721205531132403</v>
      </c>
      <c r="BW24" s="3">
        <f t="shared" si="49"/>
        <v>0.31999999999999995</v>
      </c>
      <c r="BX24" s="14">
        <f t="shared" si="50"/>
        <v>0.31999999999999995</v>
      </c>
      <c r="BY24" s="3">
        <f t="shared" si="11"/>
        <v>2.3721205531132403</v>
      </c>
      <c r="CB24" s="3">
        <f t="shared" si="51"/>
        <v>0.31999999999999995</v>
      </c>
      <c r="CC24" s="14">
        <f t="shared" si="52"/>
        <v>0.31999999999999995</v>
      </c>
      <c r="CD24" s="3">
        <f t="shared" si="12"/>
        <v>2.3721205531132403</v>
      </c>
      <c r="CG24" s="3">
        <f t="shared" si="53"/>
        <v>0.31999999999999995</v>
      </c>
      <c r="CH24" s="3">
        <f t="shared" si="54"/>
        <v>0.31999999999999995</v>
      </c>
      <c r="CI24" s="3">
        <f t="shared" si="13"/>
        <v>2.3721205531132403</v>
      </c>
      <c r="CL24" s="3">
        <f t="shared" si="55"/>
        <v>0.31999999999999995</v>
      </c>
      <c r="CM24" s="14">
        <f t="shared" si="56"/>
        <v>0.31999999999999995</v>
      </c>
      <c r="CN24" s="3">
        <f t="shared" si="14"/>
        <v>2.3721205531132403</v>
      </c>
      <c r="CQ24" s="3">
        <f t="shared" si="57"/>
        <v>0.31999999999999995</v>
      </c>
      <c r="CR24" s="14">
        <f t="shared" si="58"/>
        <v>0.31999999999999995</v>
      </c>
      <c r="CS24" s="3">
        <f t="shared" si="15"/>
        <v>2.3721205531132403</v>
      </c>
      <c r="CV24" s="3">
        <f t="shared" si="59"/>
        <v>0.31999999999999995</v>
      </c>
      <c r="CW24" s="3">
        <f t="shared" si="60"/>
        <v>0.31999999999999995</v>
      </c>
      <c r="CX24" s="3">
        <f t="shared" si="16"/>
        <v>2.3721205531132403</v>
      </c>
      <c r="DA24" s="3">
        <f t="shared" si="61"/>
        <v>0.31999999999999995</v>
      </c>
      <c r="DB24" s="14">
        <f t="shared" si="62"/>
        <v>0.31999999999999995</v>
      </c>
      <c r="DC24" s="3">
        <f t="shared" si="17"/>
        <v>2.3721205531132403</v>
      </c>
      <c r="DF24" s="3">
        <f t="shared" si="63"/>
        <v>0.31999999999999995</v>
      </c>
      <c r="DG24" s="14">
        <f t="shared" si="64"/>
        <v>0.31999999999999995</v>
      </c>
      <c r="DH24" s="3">
        <f t="shared" si="18"/>
        <v>2.3721205531132403</v>
      </c>
      <c r="DK24" s="3">
        <f t="shared" si="65"/>
        <v>0.31999999999999995</v>
      </c>
      <c r="DL24" s="3">
        <f t="shared" si="66"/>
        <v>0.31999999999999995</v>
      </c>
      <c r="DM24" s="3">
        <f t="shared" si="19"/>
        <v>2.3721205531132403</v>
      </c>
      <c r="DP24" s="3">
        <f t="shared" si="67"/>
        <v>0.31999999999999995</v>
      </c>
      <c r="DQ24" s="14">
        <f t="shared" si="68"/>
        <v>0.31999999999999995</v>
      </c>
      <c r="DR24" s="3">
        <f t="shared" si="20"/>
        <v>2.3721205531132403</v>
      </c>
      <c r="DU24" s="3">
        <f t="shared" si="69"/>
        <v>0.31999999999999995</v>
      </c>
      <c r="DV24" s="14">
        <f t="shared" si="70"/>
        <v>0.31999999999999995</v>
      </c>
      <c r="DW24" s="3">
        <f t="shared" si="21"/>
        <v>2.3721205531132403</v>
      </c>
      <c r="DZ24" s="3">
        <f t="shared" si="71"/>
        <v>0.31999999999999995</v>
      </c>
      <c r="EA24" s="3">
        <f t="shared" si="72"/>
        <v>0.31999999999999995</v>
      </c>
      <c r="EB24" s="3">
        <f t="shared" si="22"/>
        <v>2.3721205531132403</v>
      </c>
      <c r="EE24" s="3">
        <f t="shared" si="73"/>
        <v>0.31999999999999995</v>
      </c>
      <c r="EF24" s="14">
        <f t="shared" si="74"/>
        <v>0.31999999999999995</v>
      </c>
      <c r="EG24" s="3">
        <f t="shared" si="23"/>
        <v>2.3721205531132403</v>
      </c>
      <c r="EJ24" s="3">
        <f t="shared" si="75"/>
        <v>0.31999999999999995</v>
      </c>
      <c r="EK24" s="14">
        <f t="shared" si="76"/>
        <v>0.31999999999999995</v>
      </c>
      <c r="EL24" s="3">
        <f t="shared" si="24"/>
        <v>2.3721205531132403</v>
      </c>
      <c r="EO24" s="3">
        <f t="shared" si="77"/>
        <v>0.31999999999999995</v>
      </c>
      <c r="EP24" s="3">
        <f t="shared" si="78"/>
        <v>0.31999999999999995</v>
      </c>
      <c r="EQ24" s="3">
        <f t="shared" si="25"/>
        <v>2.3721205531132403</v>
      </c>
      <c r="ET24" s="3">
        <f t="shared" si="79"/>
        <v>0.31999999999999995</v>
      </c>
      <c r="EU24" s="14">
        <f t="shared" si="80"/>
        <v>0.31999999999999995</v>
      </c>
      <c r="EV24" s="3">
        <f t="shared" si="26"/>
        <v>2.3721205531132403</v>
      </c>
    </row>
    <row r="25" spans="3:152" s="3" customFormat="1" x14ac:dyDescent="0.25">
      <c r="C25" s="1"/>
      <c r="D25" s="1"/>
      <c r="E25" s="1"/>
      <c r="F25" s="1"/>
      <c r="G25" s="1"/>
      <c r="H25" s="1"/>
      <c r="I25" s="1"/>
      <c r="J25" s="1"/>
      <c r="K25" s="1"/>
      <c r="L25" s="1"/>
      <c r="M25" s="1"/>
      <c r="N25" s="1"/>
      <c r="O25" s="1"/>
      <c r="P25" s="1"/>
      <c r="Q25" s="1"/>
      <c r="R25" s="1"/>
      <c r="S25" s="1"/>
      <c r="T25" s="3">
        <f t="shared" si="27"/>
        <v>0.33999999999999997</v>
      </c>
      <c r="U25" s="14">
        <f t="shared" si="28"/>
        <v>0.33999999999999997</v>
      </c>
      <c r="V25" s="3">
        <f t="shared" si="0"/>
        <v>2.4848557294961178</v>
      </c>
      <c r="Y25" s="3">
        <f t="shared" si="29"/>
        <v>0.33999999999999997</v>
      </c>
      <c r="Z25" s="3">
        <f t="shared" si="30"/>
        <v>0.33999999999999997</v>
      </c>
      <c r="AA25" s="3">
        <f t="shared" si="1"/>
        <v>2.4848557294961178</v>
      </c>
      <c r="AD25" s="3">
        <f t="shared" si="31"/>
        <v>0.33999999999999997</v>
      </c>
      <c r="AE25" s="14">
        <f t="shared" si="32"/>
        <v>0.33999999999999997</v>
      </c>
      <c r="AF25" s="3">
        <f t="shared" si="2"/>
        <v>2.4848557294961178</v>
      </c>
      <c r="AI25" s="3">
        <f t="shared" si="33"/>
        <v>0.33999999999999997</v>
      </c>
      <c r="AJ25" s="14">
        <f t="shared" si="34"/>
        <v>0.33999999999999997</v>
      </c>
      <c r="AK25" s="3">
        <f t="shared" si="3"/>
        <v>2.4848557294961178</v>
      </c>
      <c r="AN25" s="3">
        <f t="shared" si="35"/>
        <v>0.33999999999999997</v>
      </c>
      <c r="AO25" s="3">
        <f t="shared" si="36"/>
        <v>0.33999999999999997</v>
      </c>
      <c r="AP25" s="3">
        <f t="shared" si="4"/>
        <v>2.4848557294961178</v>
      </c>
      <c r="AS25" s="3">
        <f t="shared" si="37"/>
        <v>0.33999999999999997</v>
      </c>
      <c r="AT25" s="14">
        <f t="shared" si="38"/>
        <v>0.33999999999999997</v>
      </c>
      <c r="AU25" s="3">
        <f t="shared" si="5"/>
        <v>2.4848557294961178</v>
      </c>
      <c r="AX25" s="3">
        <f t="shared" si="39"/>
        <v>0.33999999999999997</v>
      </c>
      <c r="AY25" s="14">
        <f t="shared" si="40"/>
        <v>0.33999999999999997</v>
      </c>
      <c r="AZ25" s="3">
        <f t="shared" si="6"/>
        <v>2.4848557294961178</v>
      </c>
      <c r="BC25" s="3">
        <f t="shared" si="41"/>
        <v>0.33999999999999997</v>
      </c>
      <c r="BD25" s="3">
        <f t="shared" si="42"/>
        <v>0.33999999999999997</v>
      </c>
      <c r="BE25" s="3">
        <f t="shared" si="7"/>
        <v>2.4848557294961178</v>
      </c>
      <c r="BH25" s="3">
        <f t="shared" si="43"/>
        <v>0.33999999999999997</v>
      </c>
      <c r="BI25" s="14">
        <f t="shared" si="44"/>
        <v>0.33999999999999997</v>
      </c>
      <c r="BJ25" s="3">
        <f t="shared" si="8"/>
        <v>2.4848557294961178</v>
      </c>
      <c r="BM25" s="3">
        <f t="shared" si="45"/>
        <v>0.33999999999999997</v>
      </c>
      <c r="BN25" s="14">
        <f t="shared" si="46"/>
        <v>0.33999999999999997</v>
      </c>
      <c r="BO25" s="3">
        <f t="shared" si="9"/>
        <v>2.4848557294961178</v>
      </c>
      <c r="BR25" s="3">
        <f t="shared" si="47"/>
        <v>0.33999999999999997</v>
      </c>
      <c r="BS25" s="3">
        <f t="shared" si="48"/>
        <v>0.33999999999999997</v>
      </c>
      <c r="BT25" s="3">
        <f t="shared" si="10"/>
        <v>2.4848557294961178</v>
      </c>
      <c r="BW25" s="3">
        <f t="shared" si="49"/>
        <v>0.33999999999999997</v>
      </c>
      <c r="BX25" s="14">
        <f t="shared" si="50"/>
        <v>0.33999999999999997</v>
      </c>
      <c r="BY25" s="3">
        <f t="shared" si="11"/>
        <v>2.4848557294961178</v>
      </c>
      <c r="CB25" s="3">
        <f t="shared" si="51"/>
        <v>0.33999999999999997</v>
      </c>
      <c r="CC25" s="14">
        <f t="shared" si="52"/>
        <v>0.33999999999999997</v>
      </c>
      <c r="CD25" s="3">
        <f t="shared" si="12"/>
        <v>2.4848557294961178</v>
      </c>
      <c r="CG25" s="3">
        <f t="shared" si="53"/>
        <v>0.33999999999999997</v>
      </c>
      <c r="CH25" s="3">
        <f t="shared" si="54"/>
        <v>0.33999999999999997</v>
      </c>
      <c r="CI25" s="3">
        <f t="shared" si="13"/>
        <v>2.4848557294961178</v>
      </c>
      <c r="CL25" s="3">
        <f t="shared" si="55"/>
        <v>0.33999999999999997</v>
      </c>
      <c r="CM25" s="14">
        <f t="shared" si="56"/>
        <v>0.33999999999999997</v>
      </c>
      <c r="CN25" s="3">
        <f t="shared" si="14"/>
        <v>2.4848557294961178</v>
      </c>
      <c r="CQ25" s="3">
        <f t="shared" si="57"/>
        <v>0.33999999999999997</v>
      </c>
      <c r="CR25" s="14">
        <f t="shared" si="58"/>
        <v>0.33999999999999997</v>
      </c>
      <c r="CS25" s="3">
        <f t="shared" si="15"/>
        <v>2.4848557294961178</v>
      </c>
      <c r="CV25" s="3">
        <f t="shared" si="59"/>
        <v>0.33999999999999997</v>
      </c>
      <c r="CW25" s="3">
        <f t="shared" si="60"/>
        <v>0.33999999999999997</v>
      </c>
      <c r="CX25" s="3">
        <f t="shared" si="16"/>
        <v>2.4848557294961178</v>
      </c>
      <c r="DA25" s="3">
        <f t="shared" si="61"/>
        <v>0.33999999999999997</v>
      </c>
      <c r="DB25" s="14">
        <f t="shared" si="62"/>
        <v>0.33999999999999997</v>
      </c>
      <c r="DC25" s="3">
        <f t="shared" si="17"/>
        <v>2.4848557294961178</v>
      </c>
      <c r="DF25" s="3">
        <f t="shared" si="63"/>
        <v>0.33999999999999997</v>
      </c>
      <c r="DG25" s="14">
        <f t="shared" si="64"/>
        <v>0.33999999999999997</v>
      </c>
      <c r="DH25" s="3">
        <f t="shared" si="18"/>
        <v>2.4848557294961178</v>
      </c>
      <c r="DK25" s="3">
        <f t="shared" si="65"/>
        <v>0.33999999999999997</v>
      </c>
      <c r="DL25" s="3">
        <f t="shared" si="66"/>
        <v>0.33999999999999997</v>
      </c>
      <c r="DM25" s="3">
        <f t="shared" si="19"/>
        <v>2.4848557294961178</v>
      </c>
      <c r="DP25" s="3">
        <f t="shared" si="67"/>
        <v>0.33999999999999997</v>
      </c>
      <c r="DQ25" s="14">
        <f t="shared" si="68"/>
        <v>0.33999999999999997</v>
      </c>
      <c r="DR25" s="3">
        <f t="shared" si="20"/>
        <v>2.4848557294961178</v>
      </c>
      <c r="DU25" s="3">
        <f t="shared" si="69"/>
        <v>0.33999999999999997</v>
      </c>
      <c r="DV25" s="14">
        <f t="shared" si="70"/>
        <v>0.33999999999999997</v>
      </c>
      <c r="DW25" s="3">
        <f t="shared" si="21"/>
        <v>2.4848557294961178</v>
      </c>
      <c r="DZ25" s="3">
        <f t="shared" si="71"/>
        <v>0.33999999999999997</v>
      </c>
      <c r="EA25" s="3">
        <f t="shared" si="72"/>
        <v>0.33999999999999997</v>
      </c>
      <c r="EB25" s="3">
        <f t="shared" si="22"/>
        <v>2.4848557294961178</v>
      </c>
      <c r="EE25" s="3">
        <f t="shared" si="73"/>
        <v>0.33999999999999997</v>
      </c>
      <c r="EF25" s="14">
        <f t="shared" si="74"/>
        <v>0.33999999999999997</v>
      </c>
      <c r="EG25" s="3">
        <f t="shared" si="23"/>
        <v>2.4848557294961178</v>
      </c>
      <c r="EJ25" s="3">
        <f t="shared" si="75"/>
        <v>0.33999999999999997</v>
      </c>
      <c r="EK25" s="14">
        <f t="shared" si="76"/>
        <v>0.33999999999999997</v>
      </c>
      <c r="EL25" s="3">
        <f t="shared" si="24"/>
        <v>2.4848557294961178</v>
      </c>
      <c r="EO25" s="3">
        <f t="shared" si="77"/>
        <v>0.33999999999999997</v>
      </c>
      <c r="EP25" s="3">
        <f t="shared" si="78"/>
        <v>0.33999999999999997</v>
      </c>
      <c r="EQ25" s="3">
        <f t="shared" si="25"/>
        <v>2.4848557294961178</v>
      </c>
      <c r="ET25" s="3">
        <f t="shared" si="79"/>
        <v>0.33999999999999997</v>
      </c>
      <c r="EU25" s="14">
        <f t="shared" si="80"/>
        <v>0.33999999999999997</v>
      </c>
      <c r="EV25" s="3">
        <f t="shared" si="26"/>
        <v>2.4848557294961178</v>
      </c>
    </row>
    <row r="26" spans="3:152" s="3" customFormat="1" ht="14.45" customHeight="1" x14ac:dyDescent="0.25">
      <c r="C26" s="27" t="s">
        <v>11</v>
      </c>
      <c r="D26" s="28"/>
      <c r="E26" s="28"/>
      <c r="F26" s="28"/>
      <c r="G26" s="29"/>
      <c r="H26" s="1"/>
      <c r="I26" s="1"/>
      <c r="J26" s="1"/>
      <c r="K26" s="1"/>
      <c r="L26" s="1"/>
      <c r="M26" s="1"/>
      <c r="N26" s="1"/>
      <c r="O26" s="1"/>
      <c r="P26" s="1"/>
      <c r="Q26" s="1"/>
      <c r="R26" s="1"/>
      <c r="S26" s="1"/>
      <c r="T26" s="3">
        <f t="shared" si="27"/>
        <v>0.36</v>
      </c>
      <c r="U26" s="14">
        <f t="shared" si="28"/>
        <v>0.36</v>
      </c>
      <c r="V26" s="3">
        <f t="shared" si="0"/>
        <v>2.5948823931511482</v>
      </c>
      <c r="Y26" s="3">
        <f t="shared" si="29"/>
        <v>0.36</v>
      </c>
      <c r="Z26" s="3">
        <f t="shared" si="30"/>
        <v>0.36</v>
      </c>
      <c r="AA26" s="3">
        <f t="shared" si="1"/>
        <v>2.5948823931511482</v>
      </c>
      <c r="AD26" s="3">
        <f t="shared" si="31"/>
        <v>0.36</v>
      </c>
      <c r="AE26" s="14">
        <f t="shared" si="32"/>
        <v>0.36</v>
      </c>
      <c r="AF26" s="3">
        <f t="shared" si="2"/>
        <v>2.5948823931511482</v>
      </c>
      <c r="AI26" s="3">
        <f t="shared" si="33"/>
        <v>0.36</v>
      </c>
      <c r="AJ26" s="14">
        <f t="shared" si="34"/>
        <v>0.36</v>
      </c>
      <c r="AK26" s="3">
        <f t="shared" si="3"/>
        <v>2.5948823931511482</v>
      </c>
      <c r="AN26" s="3">
        <f t="shared" si="35"/>
        <v>0.36</v>
      </c>
      <c r="AO26" s="3">
        <f t="shared" si="36"/>
        <v>0.36</v>
      </c>
      <c r="AP26" s="3">
        <f t="shared" si="4"/>
        <v>2.5948823931511482</v>
      </c>
      <c r="AS26" s="3">
        <f t="shared" si="37"/>
        <v>0.36</v>
      </c>
      <c r="AT26" s="14">
        <f t="shared" si="38"/>
        <v>0.36</v>
      </c>
      <c r="AU26" s="3">
        <f t="shared" si="5"/>
        <v>2.5948823931511482</v>
      </c>
      <c r="AX26" s="3">
        <f t="shared" si="39"/>
        <v>0.36</v>
      </c>
      <c r="AY26" s="14">
        <f t="shared" si="40"/>
        <v>0.36</v>
      </c>
      <c r="AZ26" s="3">
        <f t="shared" si="6"/>
        <v>2.5948823931511482</v>
      </c>
      <c r="BC26" s="3">
        <f t="shared" si="41"/>
        <v>0.36</v>
      </c>
      <c r="BD26" s="3">
        <f t="shared" si="42"/>
        <v>0.36</v>
      </c>
      <c r="BE26" s="3">
        <f t="shared" si="7"/>
        <v>2.5948823931511482</v>
      </c>
      <c r="BH26" s="3">
        <f t="shared" si="43"/>
        <v>0.36</v>
      </c>
      <c r="BI26" s="14">
        <f t="shared" si="44"/>
        <v>0.36</v>
      </c>
      <c r="BJ26" s="3">
        <f t="shared" si="8"/>
        <v>2.5948823931511482</v>
      </c>
      <c r="BM26" s="3">
        <f t="shared" si="45"/>
        <v>0.36</v>
      </c>
      <c r="BN26" s="14">
        <f t="shared" si="46"/>
        <v>0.36</v>
      </c>
      <c r="BO26" s="3">
        <f t="shared" si="9"/>
        <v>2.5948823931511482</v>
      </c>
      <c r="BR26" s="3">
        <f t="shared" si="47"/>
        <v>0.36</v>
      </c>
      <c r="BS26" s="3">
        <f t="shared" si="48"/>
        <v>0.36</v>
      </c>
      <c r="BT26" s="3">
        <f t="shared" si="10"/>
        <v>2.5948823931511482</v>
      </c>
      <c r="BW26" s="3">
        <f t="shared" si="49"/>
        <v>0.36</v>
      </c>
      <c r="BX26" s="14">
        <f t="shared" si="50"/>
        <v>0.36</v>
      </c>
      <c r="BY26" s="3">
        <f t="shared" si="11"/>
        <v>2.5948823931511482</v>
      </c>
      <c r="CB26" s="3">
        <f t="shared" si="51"/>
        <v>0.36</v>
      </c>
      <c r="CC26" s="14">
        <f t="shared" si="52"/>
        <v>0.36</v>
      </c>
      <c r="CD26" s="3">
        <f t="shared" si="12"/>
        <v>2.5948823931511482</v>
      </c>
      <c r="CG26" s="3">
        <f t="shared" si="53"/>
        <v>0.36</v>
      </c>
      <c r="CH26" s="3">
        <f t="shared" si="54"/>
        <v>0.36</v>
      </c>
      <c r="CI26" s="3">
        <f t="shared" si="13"/>
        <v>2.5948823931511482</v>
      </c>
      <c r="CL26" s="3">
        <f t="shared" si="55"/>
        <v>0.36</v>
      </c>
      <c r="CM26" s="14">
        <f t="shared" si="56"/>
        <v>0.36</v>
      </c>
      <c r="CN26" s="3">
        <f t="shared" si="14"/>
        <v>2.5948823931511482</v>
      </c>
      <c r="CQ26" s="3">
        <f t="shared" si="57"/>
        <v>0.36</v>
      </c>
      <c r="CR26" s="14">
        <f t="shared" si="58"/>
        <v>0.36</v>
      </c>
      <c r="CS26" s="3">
        <f t="shared" si="15"/>
        <v>2.5948823931511482</v>
      </c>
      <c r="CV26" s="3">
        <f t="shared" si="59"/>
        <v>0.36</v>
      </c>
      <c r="CW26" s="3">
        <f t="shared" si="60"/>
        <v>0.36</v>
      </c>
      <c r="CX26" s="3">
        <f t="shared" si="16"/>
        <v>2.5948823931511482</v>
      </c>
      <c r="DA26" s="3">
        <f t="shared" si="61"/>
        <v>0.36</v>
      </c>
      <c r="DB26" s="14">
        <f t="shared" si="62"/>
        <v>0.36</v>
      </c>
      <c r="DC26" s="3">
        <f t="shared" si="17"/>
        <v>2.5948823931511482</v>
      </c>
      <c r="DF26" s="3">
        <f t="shared" si="63"/>
        <v>0.36</v>
      </c>
      <c r="DG26" s="14">
        <f t="shared" si="64"/>
        <v>0.36</v>
      </c>
      <c r="DH26" s="3">
        <f t="shared" si="18"/>
        <v>2.5948823931511482</v>
      </c>
      <c r="DK26" s="3">
        <f t="shared" si="65"/>
        <v>0.36</v>
      </c>
      <c r="DL26" s="3">
        <f t="shared" si="66"/>
        <v>0.36</v>
      </c>
      <c r="DM26" s="3">
        <f t="shared" si="19"/>
        <v>2.5948823931511482</v>
      </c>
      <c r="DP26" s="3">
        <f t="shared" si="67"/>
        <v>0.36</v>
      </c>
      <c r="DQ26" s="14">
        <f t="shared" si="68"/>
        <v>0.36</v>
      </c>
      <c r="DR26" s="3">
        <f t="shared" si="20"/>
        <v>2.5948823931511482</v>
      </c>
      <c r="DU26" s="3">
        <f t="shared" si="69"/>
        <v>0.36</v>
      </c>
      <c r="DV26" s="14">
        <f t="shared" si="70"/>
        <v>0.36</v>
      </c>
      <c r="DW26" s="3">
        <f t="shared" si="21"/>
        <v>2.5948823931511482</v>
      </c>
      <c r="DZ26" s="3">
        <f t="shared" si="71"/>
        <v>0.36</v>
      </c>
      <c r="EA26" s="3">
        <f t="shared" si="72"/>
        <v>0.36</v>
      </c>
      <c r="EB26" s="3">
        <f t="shared" si="22"/>
        <v>2.5948823931511482</v>
      </c>
      <c r="EE26" s="3">
        <f t="shared" si="73"/>
        <v>0.36</v>
      </c>
      <c r="EF26" s="14">
        <f t="shared" si="74"/>
        <v>0.36</v>
      </c>
      <c r="EG26" s="3">
        <f t="shared" si="23"/>
        <v>2.5948823931511482</v>
      </c>
      <c r="EJ26" s="3">
        <f t="shared" si="75"/>
        <v>0.36</v>
      </c>
      <c r="EK26" s="14">
        <f t="shared" si="76"/>
        <v>0.36</v>
      </c>
      <c r="EL26" s="3">
        <f t="shared" si="24"/>
        <v>2.5948823931511482</v>
      </c>
      <c r="EO26" s="3">
        <f t="shared" si="77"/>
        <v>0.36</v>
      </c>
      <c r="EP26" s="3">
        <f t="shared" si="78"/>
        <v>0.36</v>
      </c>
      <c r="EQ26" s="3">
        <f t="shared" si="25"/>
        <v>2.5948823931511482</v>
      </c>
      <c r="ET26" s="3">
        <f t="shared" si="79"/>
        <v>0.36</v>
      </c>
      <c r="EU26" s="14">
        <f t="shared" si="80"/>
        <v>0.36</v>
      </c>
      <c r="EV26" s="3">
        <f t="shared" si="26"/>
        <v>2.5948823931511482</v>
      </c>
    </row>
    <row r="27" spans="3:152" s="3" customFormat="1" x14ac:dyDescent="0.25">
      <c r="C27" s="30"/>
      <c r="D27" s="31"/>
      <c r="E27" s="31"/>
      <c r="F27" s="31"/>
      <c r="G27" s="32"/>
      <c r="H27" s="1"/>
      <c r="I27" s="1"/>
      <c r="J27" s="1"/>
      <c r="K27" s="1"/>
      <c r="L27" s="1"/>
      <c r="M27" s="1"/>
      <c r="N27" s="1"/>
      <c r="O27" s="1"/>
      <c r="P27" s="1"/>
      <c r="Q27" s="1"/>
      <c r="R27" s="1"/>
      <c r="S27" s="1"/>
      <c r="T27" s="3">
        <f t="shared" si="27"/>
        <v>0.38</v>
      </c>
      <c r="U27" s="14">
        <f t="shared" si="28"/>
        <v>0.38</v>
      </c>
      <c r="V27" s="3">
        <f t="shared" si="0"/>
        <v>2.7022005440783312</v>
      </c>
      <c r="Y27" s="3">
        <f t="shared" si="29"/>
        <v>0.38</v>
      </c>
      <c r="Z27" s="3">
        <f t="shared" si="30"/>
        <v>0.38</v>
      </c>
      <c r="AA27" s="3">
        <f t="shared" si="1"/>
        <v>2.7022005440783312</v>
      </c>
      <c r="AD27" s="3">
        <f t="shared" si="31"/>
        <v>0.38</v>
      </c>
      <c r="AE27" s="14">
        <f t="shared" si="32"/>
        <v>0.38</v>
      </c>
      <c r="AF27" s="3">
        <f t="shared" si="2"/>
        <v>2.7022005440783312</v>
      </c>
      <c r="AI27" s="3">
        <f t="shared" si="33"/>
        <v>0.38</v>
      </c>
      <c r="AJ27" s="14">
        <f t="shared" si="34"/>
        <v>0.38</v>
      </c>
      <c r="AK27" s="3">
        <f t="shared" si="3"/>
        <v>2.7022005440783312</v>
      </c>
      <c r="AN27" s="3">
        <f t="shared" si="35"/>
        <v>0.38</v>
      </c>
      <c r="AO27" s="3">
        <f t="shared" si="36"/>
        <v>0.38</v>
      </c>
      <c r="AP27" s="3">
        <f t="shared" si="4"/>
        <v>2.7022005440783312</v>
      </c>
      <c r="AS27" s="3">
        <f t="shared" si="37"/>
        <v>0.38</v>
      </c>
      <c r="AT27" s="14">
        <f t="shared" si="38"/>
        <v>0.38</v>
      </c>
      <c r="AU27" s="3">
        <f t="shared" si="5"/>
        <v>2.7022005440783312</v>
      </c>
      <c r="AX27" s="3">
        <f t="shared" si="39"/>
        <v>0.38</v>
      </c>
      <c r="AY27" s="14">
        <f t="shared" si="40"/>
        <v>0.38</v>
      </c>
      <c r="AZ27" s="3">
        <f t="shared" si="6"/>
        <v>2.7022005440783312</v>
      </c>
      <c r="BC27" s="3">
        <f t="shared" si="41"/>
        <v>0.38</v>
      </c>
      <c r="BD27" s="3">
        <f t="shared" si="42"/>
        <v>0.38</v>
      </c>
      <c r="BE27" s="3">
        <f t="shared" si="7"/>
        <v>2.7022005440783312</v>
      </c>
      <c r="BH27" s="3">
        <f t="shared" si="43"/>
        <v>0.38</v>
      </c>
      <c r="BI27" s="14">
        <f t="shared" si="44"/>
        <v>0.38</v>
      </c>
      <c r="BJ27" s="3">
        <f t="shared" si="8"/>
        <v>2.7022005440783312</v>
      </c>
      <c r="BM27" s="3">
        <f t="shared" si="45"/>
        <v>0.38</v>
      </c>
      <c r="BN27" s="14">
        <f t="shared" si="46"/>
        <v>0.38</v>
      </c>
      <c r="BO27" s="3">
        <f t="shared" si="9"/>
        <v>2.7022005440783312</v>
      </c>
      <c r="BR27" s="3">
        <f t="shared" si="47"/>
        <v>0.38</v>
      </c>
      <c r="BS27" s="3">
        <f t="shared" si="48"/>
        <v>0.38</v>
      </c>
      <c r="BT27" s="3">
        <f t="shared" si="10"/>
        <v>2.7022005440783312</v>
      </c>
      <c r="BW27" s="3">
        <f t="shared" si="49"/>
        <v>0.38</v>
      </c>
      <c r="BX27" s="14">
        <f t="shared" si="50"/>
        <v>0.38</v>
      </c>
      <c r="BY27" s="3">
        <f t="shared" si="11"/>
        <v>2.7022005440783312</v>
      </c>
      <c r="CB27" s="3">
        <f t="shared" si="51"/>
        <v>0.38</v>
      </c>
      <c r="CC27" s="14">
        <f t="shared" si="52"/>
        <v>0.38</v>
      </c>
      <c r="CD27" s="3">
        <f t="shared" si="12"/>
        <v>2.7022005440783312</v>
      </c>
      <c r="CG27" s="3">
        <f t="shared" si="53"/>
        <v>0.38</v>
      </c>
      <c r="CH27" s="3">
        <f t="shared" si="54"/>
        <v>0.38</v>
      </c>
      <c r="CI27" s="3">
        <f t="shared" si="13"/>
        <v>2.7022005440783312</v>
      </c>
      <c r="CL27" s="3">
        <f t="shared" si="55"/>
        <v>0.38</v>
      </c>
      <c r="CM27" s="14">
        <f t="shared" si="56"/>
        <v>0.38</v>
      </c>
      <c r="CN27" s="3">
        <f t="shared" si="14"/>
        <v>2.7022005440783312</v>
      </c>
      <c r="CQ27" s="3">
        <f t="shared" si="57"/>
        <v>0.38</v>
      </c>
      <c r="CR27" s="14">
        <f t="shared" si="58"/>
        <v>0.38</v>
      </c>
      <c r="CS27" s="3">
        <f t="shared" si="15"/>
        <v>2.7022005440783312</v>
      </c>
      <c r="CV27" s="3">
        <f t="shared" si="59"/>
        <v>0.38</v>
      </c>
      <c r="CW27" s="3">
        <f t="shared" si="60"/>
        <v>0.38</v>
      </c>
      <c r="CX27" s="3">
        <f t="shared" si="16"/>
        <v>2.7022005440783312</v>
      </c>
      <c r="DA27" s="3">
        <f t="shared" si="61"/>
        <v>0.38</v>
      </c>
      <c r="DB27" s="14">
        <f t="shared" si="62"/>
        <v>0.38</v>
      </c>
      <c r="DC27" s="3">
        <f t="shared" si="17"/>
        <v>2.7022005440783312</v>
      </c>
      <c r="DF27" s="3">
        <f t="shared" si="63"/>
        <v>0.38</v>
      </c>
      <c r="DG27" s="14">
        <f t="shared" si="64"/>
        <v>0.38</v>
      </c>
      <c r="DH27" s="3">
        <f t="shared" si="18"/>
        <v>2.7022005440783312</v>
      </c>
      <c r="DK27" s="3">
        <f t="shared" si="65"/>
        <v>0.38</v>
      </c>
      <c r="DL27" s="3">
        <f t="shared" si="66"/>
        <v>0.38</v>
      </c>
      <c r="DM27" s="3">
        <f t="shared" si="19"/>
        <v>2.7022005440783312</v>
      </c>
      <c r="DP27" s="3">
        <f t="shared" si="67"/>
        <v>0.38</v>
      </c>
      <c r="DQ27" s="14">
        <f t="shared" si="68"/>
        <v>0.38</v>
      </c>
      <c r="DR27" s="3">
        <f t="shared" si="20"/>
        <v>2.7022005440783312</v>
      </c>
      <c r="DU27" s="3">
        <f t="shared" si="69"/>
        <v>0.38</v>
      </c>
      <c r="DV27" s="14">
        <f t="shared" si="70"/>
        <v>0.38</v>
      </c>
      <c r="DW27" s="3">
        <f t="shared" si="21"/>
        <v>2.7022005440783312</v>
      </c>
      <c r="DZ27" s="3">
        <f t="shared" si="71"/>
        <v>0.38</v>
      </c>
      <c r="EA27" s="3">
        <f t="shared" si="72"/>
        <v>0.38</v>
      </c>
      <c r="EB27" s="3">
        <f t="shared" si="22"/>
        <v>2.7022005440783312</v>
      </c>
      <c r="EE27" s="3">
        <f t="shared" si="73"/>
        <v>0.38</v>
      </c>
      <c r="EF27" s="14">
        <f t="shared" si="74"/>
        <v>0.38</v>
      </c>
      <c r="EG27" s="3">
        <f t="shared" si="23"/>
        <v>2.7022005440783312</v>
      </c>
      <c r="EJ27" s="3">
        <f t="shared" si="75"/>
        <v>0.38</v>
      </c>
      <c r="EK27" s="14">
        <f t="shared" si="76"/>
        <v>0.38</v>
      </c>
      <c r="EL27" s="3">
        <f t="shared" si="24"/>
        <v>2.7022005440783312</v>
      </c>
      <c r="EO27" s="3">
        <f t="shared" si="77"/>
        <v>0.38</v>
      </c>
      <c r="EP27" s="3">
        <f t="shared" si="78"/>
        <v>0.38</v>
      </c>
      <c r="EQ27" s="3">
        <f t="shared" si="25"/>
        <v>2.7022005440783312</v>
      </c>
      <c r="ET27" s="3">
        <f t="shared" si="79"/>
        <v>0.38</v>
      </c>
      <c r="EU27" s="14">
        <f t="shared" si="80"/>
        <v>0.38</v>
      </c>
      <c r="EV27" s="3">
        <f t="shared" si="26"/>
        <v>2.7022005440783312</v>
      </c>
    </row>
    <row r="28" spans="3:152" s="3" customFormat="1" x14ac:dyDescent="0.25">
      <c r="C28" s="30"/>
      <c r="D28" s="31"/>
      <c r="E28" s="31"/>
      <c r="F28" s="31"/>
      <c r="G28" s="32"/>
      <c r="H28" s="1"/>
      <c r="I28" s="1"/>
      <c r="J28" s="1"/>
      <c r="K28" s="1"/>
      <c r="L28" s="1"/>
      <c r="M28" s="1"/>
      <c r="N28" s="1"/>
      <c r="O28" s="1"/>
      <c r="P28" s="1"/>
      <c r="Q28" s="1"/>
      <c r="R28" s="1"/>
      <c r="S28" s="1"/>
      <c r="T28" s="3">
        <f t="shared" si="27"/>
        <v>0.4</v>
      </c>
      <c r="U28" s="14">
        <f t="shared" si="28"/>
        <v>0.4</v>
      </c>
      <c r="V28" s="3">
        <f t="shared" si="0"/>
        <v>2.8068101822776672</v>
      </c>
      <c r="Y28" s="3">
        <f t="shared" si="29"/>
        <v>0.4</v>
      </c>
      <c r="Z28" s="3">
        <f t="shared" si="30"/>
        <v>0.4</v>
      </c>
      <c r="AA28" s="3">
        <f t="shared" si="1"/>
        <v>2.8068101822776672</v>
      </c>
      <c r="AD28" s="3">
        <f t="shared" si="31"/>
        <v>0.4</v>
      </c>
      <c r="AE28" s="14">
        <f t="shared" si="32"/>
        <v>0.4</v>
      </c>
      <c r="AF28" s="3">
        <f t="shared" si="2"/>
        <v>2.8068101822776672</v>
      </c>
      <c r="AI28" s="3">
        <f t="shared" si="33"/>
        <v>0.4</v>
      </c>
      <c r="AJ28" s="14">
        <f t="shared" si="34"/>
        <v>0.4</v>
      </c>
      <c r="AK28" s="3">
        <f t="shared" si="3"/>
        <v>2.8068101822776672</v>
      </c>
      <c r="AN28" s="3">
        <f t="shared" si="35"/>
        <v>0.4</v>
      </c>
      <c r="AO28" s="3">
        <f t="shared" si="36"/>
        <v>0.4</v>
      </c>
      <c r="AP28" s="3">
        <f t="shared" si="4"/>
        <v>2.8068101822776672</v>
      </c>
      <c r="AS28" s="3">
        <f t="shared" si="37"/>
        <v>0.4</v>
      </c>
      <c r="AT28" s="14">
        <f t="shared" si="38"/>
        <v>0.4</v>
      </c>
      <c r="AU28" s="3">
        <f t="shared" si="5"/>
        <v>2.8068101822776672</v>
      </c>
      <c r="AX28" s="3">
        <f t="shared" si="39"/>
        <v>0.4</v>
      </c>
      <c r="AY28" s="14">
        <f t="shared" si="40"/>
        <v>0.4</v>
      </c>
      <c r="AZ28" s="3">
        <f t="shared" si="6"/>
        <v>2.8068101822776672</v>
      </c>
      <c r="BC28" s="3">
        <f t="shared" si="41"/>
        <v>0.4</v>
      </c>
      <c r="BD28" s="3">
        <f t="shared" si="42"/>
        <v>0.4</v>
      </c>
      <c r="BE28" s="3">
        <f t="shared" si="7"/>
        <v>2.8068101822776672</v>
      </c>
      <c r="BH28" s="3">
        <f t="shared" si="43"/>
        <v>0.4</v>
      </c>
      <c r="BI28" s="14">
        <f t="shared" si="44"/>
        <v>0.4</v>
      </c>
      <c r="BJ28" s="3">
        <f t="shared" si="8"/>
        <v>2.8068101822776672</v>
      </c>
      <c r="BM28" s="3">
        <f t="shared" si="45"/>
        <v>0.4</v>
      </c>
      <c r="BN28" s="14">
        <f t="shared" si="46"/>
        <v>0.4</v>
      </c>
      <c r="BO28" s="3">
        <f t="shared" si="9"/>
        <v>2.8068101822776672</v>
      </c>
      <c r="BR28" s="3">
        <f t="shared" si="47"/>
        <v>0.4</v>
      </c>
      <c r="BS28" s="3">
        <f t="shared" si="48"/>
        <v>0.4</v>
      </c>
      <c r="BT28" s="3">
        <f t="shared" si="10"/>
        <v>2.8068101822776672</v>
      </c>
      <c r="BW28" s="3">
        <f t="shared" si="49"/>
        <v>0.4</v>
      </c>
      <c r="BX28" s="14">
        <f t="shared" si="50"/>
        <v>0.4</v>
      </c>
      <c r="BY28" s="3">
        <f t="shared" si="11"/>
        <v>2.8068101822776672</v>
      </c>
      <c r="CB28" s="3">
        <f t="shared" si="51"/>
        <v>0.4</v>
      </c>
      <c r="CC28" s="14">
        <f t="shared" si="52"/>
        <v>0.4</v>
      </c>
      <c r="CD28" s="3">
        <f t="shared" si="12"/>
        <v>2.8068101822776672</v>
      </c>
      <c r="CG28" s="3">
        <f t="shared" si="53"/>
        <v>0.4</v>
      </c>
      <c r="CH28" s="3">
        <f t="shared" si="54"/>
        <v>0.4</v>
      </c>
      <c r="CI28" s="3">
        <f t="shared" si="13"/>
        <v>2.8068101822776672</v>
      </c>
      <c r="CL28" s="3">
        <f t="shared" si="55"/>
        <v>0.4</v>
      </c>
      <c r="CM28" s="14">
        <f t="shared" si="56"/>
        <v>0.4</v>
      </c>
      <c r="CN28" s="3">
        <f t="shared" si="14"/>
        <v>2.8068101822776672</v>
      </c>
      <c r="CQ28" s="3">
        <f t="shared" si="57"/>
        <v>0.4</v>
      </c>
      <c r="CR28" s="14">
        <f t="shared" si="58"/>
        <v>0.4</v>
      </c>
      <c r="CS28" s="3">
        <f t="shared" si="15"/>
        <v>2.8068101822776672</v>
      </c>
      <c r="CV28" s="3">
        <f t="shared" si="59"/>
        <v>0.4</v>
      </c>
      <c r="CW28" s="3">
        <f t="shared" si="60"/>
        <v>0.4</v>
      </c>
      <c r="CX28" s="3">
        <f t="shared" si="16"/>
        <v>2.8068101822776672</v>
      </c>
      <c r="DA28" s="3">
        <f t="shared" si="61"/>
        <v>0.4</v>
      </c>
      <c r="DB28" s="14">
        <f t="shared" si="62"/>
        <v>0.4</v>
      </c>
      <c r="DC28" s="3">
        <f t="shared" si="17"/>
        <v>2.8068101822776672</v>
      </c>
      <c r="DF28" s="3">
        <f t="shared" si="63"/>
        <v>0.4</v>
      </c>
      <c r="DG28" s="14">
        <f t="shared" si="64"/>
        <v>0.4</v>
      </c>
      <c r="DH28" s="3">
        <f t="shared" si="18"/>
        <v>2.8068101822776672</v>
      </c>
      <c r="DK28" s="3">
        <f t="shared" si="65"/>
        <v>0.4</v>
      </c>
      <c r="DL28" s="3">
        <f t="shared" si="66"/>
        <v>0.4</v>
      </c>
      <c r="DM28" s="3">
        <f t="shared" si="19"/>
        <v>2.8068101822776672</v>
      </c>
      <c r="DP28" s="3">
        <f t="shared" si="67"/>
        <v>0.4</v>
      </c>
      <c r="DQ28" s="14">
        <f t="shared" si="68"/>
        <v>0.4</v>
      </c>
      <c r="DR28" s="3">
        <f t="shared" si="20"/>
        <v>2.8068101822776672</v>
      </c>
      <c r="DU28" s="3">
        <f t="shared" si="69"/>
        <v>0.4</v>
      </c>
      <c r="DV28" s="14">
        <f t="shared" si="70"/>
        <v>0.4</v>
      </c>
      <c r="DW28" s="3">
        <f t="shared" si="21"/>
        <v>2.8068101822776672</v>
      </c>
      <c r="DZ28" s="3">
        <f t="shared" si="71"/>
        <v>0.4</v>
      </c>
      <c r="EA28" s="3">
        <f t="shared" si="72"/>
        <v>0.4</v>
      </c>
      <c r="EB28" s="3">
        <f t="shared" si="22"/>
        <v>2.8068101822776672</v>
      </c>
      <c r="EE28" s="3">
        <f t="shared" si="73"/>
        <v>0.4</v>
      </c>
      <c r="EF28" s="14">
        <f t="shared" si="74"/>
        <v>0.4</v>
      </c>
      <c r="EG28" s="3">
        <f t="shared" si="23"/>
        <v>2.8068101822776672</v>
      </c>
      <c r="EJ28" s="3">
        <f t="shared" si="75"/>
        <v>0.4</v>
      </c>
      <c r="EK28" s="14">
        <f t="shared" si="76"/>
        <v>0.4</v>
      </c>
      <c r="EL28" s="3">
        <f t="shared" si="24"/>
        <v>2.8068101822776672</v>
      </c>
      <c r="EO28" s="3">
        <f t="shared" si="77"/>
        <v>0.4</v>
      </c>
      <c r="EP28" s="3">
        <f t="shared" si="78"/>
        <v>0.4</v>
      </c>
      <c r="EQ28" s="3">
        <f t="shared" si="25"/>
        <v>2.8068101822776672</v>
      </c>
      <c r="ET28" s="3">
        <f t="shared" si="79"/>
        <v>0.4</v>
      </c>
      <c r="EU28" s="14">
        <f t="shared" si="80"/>
        <v>0.4</v>
      </c>
      <c r="EV28" s="3">
        <f t="shared" si="26"/>
        <v>2.8068101822776672</v>
      </c>
    </row>
    <row r="29" spans="3:152" s="3" customFormat="1" x14ac:dyDescent="0.25">
      <c r="C29" s="33"/>
      <c r="D29" s="34"/>
      <c r="E29" s="34"/>
      <c r="F29" s="34"/>
      <c r="G29" s="35"/>
      <c r="H29" s="1"/>
      <c r="I29" s="1"/>
      <c r="J29" s="1"/>
      <c r="K29" s="1"/>
      <c r="L29" s="1"/>
      <c r="M29" s="1"/>
      <c r="N29" s="1"/>
      <c r="O29" s="1"/>
      <c r="P29" s="1"/>
      <c r="Q29" s="1"/>
      <c r="R29" s="1"/>
      <c r="S29" s="1"/>
      <c r="T29" s="3">
        <f t="shared" si="27"/>
        <v>0.42000000000000004</v>
      </c>
      <c r="U29" s="14">
        <f t="shared" si="28"/>
        <v>0.42000000000000004</v>
      </c>
      <c r="V29" s="3">
        <f t="shared" si="0"/>
        <v>2.9087113077491571</v>
      </c>
      <c r="Y29" s="3">
        <f t="shared" si="29"/>
        <v>0.42000000000000004</v>
      </c>
      <c r="Z29" s="3">
        <f t="shared" si="30"/>
        <v>0.42000000000000004</v>
      </c>
      <c r="AA29" s="3">
        <f t="shared" si="1"/>
        <v>2.9087113077491571</v>
      </c>
      <c r="AD29" s="3">
        <f t="shared" si="31"/>
        <v>0.42000000000000004</v>
      </c>
      <c r="AE29" s="14">
        <f t="shared" si="32"/>
        <v>0.42000000000000004</v>
      </c>
      <c r="AF29" s="3">
        <f t="shared" si="2"/>
        <v>2.9087113077491571</v>
      </c>
      <c r="AI29" s="3">
        <f t="shared" si="33"/>
        <v>0.42000000000000004</v>
      </c>
      <c r="AJ29" s="14">
        <f t="shared" si="34"/>
        <v>0.42000000000000004</v>
      </c>
      <c r="AK29" s="3">
        <f t="shared" si="3"/>
        <v>2.9087113077491571</v>
      </c>
      <c r="AN29" s="3">
        <f t="shared" si="35"/>
        <v>0.42000000000000004</v>
      </c>
      <c r="AO29" s="3">
        <f t="shared" si="36"/>
        <v>0.42000000000000004</v>
      </c>
      <c r="AP29" s="3">
        <f t="shared" si="4"/>
        <v>2.9087113077491571</v>
      </c>
      <c r="AS29" s="3">
        <f t="shared" si="37"/>
        <v>0.42000000000000004</v>
      </c>
      <c r="AT29" s="14">
        <f t="shared" si="38"/>
        <v>0.42000000000000004</v>
      </c>
      <c r="AU29" s="3">
        <f t="shared" si="5"/>
        <v>2.9087113077491571</v>
      </c>
      <c r="AX29" s="3">
        <f t="shared" si="39"/>
        <v>0.42000000000000004</v>
      </c>
      <c r="AY29" s="14">
        <f t="shared" si="40"/>
        <v>0.42000000000000004</v>
      </c>
      <c r="AZ29" s="3">
        <f t="shared" si="6"/>
        <v>2.9087113077491571</v>
      </c>
      <c r="BC29" s="3">
        <f t="shared" si="41"/>
        <v>0.42000000000000004</v>
      </c>
      <c r="BD29" s="3">
        <f t="shared" si="42"/>
        <v>0.42000000000000004</v>
      </c>
      <c r="BE29" s="3">
        <f t="shared" si="7"/>
        <v>2.9087113077491571</v>
      </c>
      <c r="BH29" s="3">
        <f t="shared" si="43"/>
        <v>0.42000000000000004</v>
      </c>
      <c r="BI29" s="14">
        <f t="shared" si="44"/>
        <v>0.42000000000000004</v>
      </c>
      <c r="BJ29" s="3">
        <f t="shared" si="8"/>
        <v>2.9087113077491571</v>
      </c>
      <c r="BM29" s="3">
        <f t="shared" si="45"/>
        <v>0.42000000000000004</v>
      </c>
      <c r="BN29" s="14">
        <f t="shared" si="46"/>
        <v>0.42000000000000004</v>
      </c>
      <c r="BO29" s="3">
        <f t="shared" si="9"/>
        <v>2.9087113077491571</v>
      </c>
      <c r="BR29" s="3">
        <f t="shared" si="47"/>
        <v>0.42000000000000004</v>
      </c>
      <c r="BS29" s="3">
        <f t="shared" si="48"/>
        <v>0.42000000000000004</v>
      </c>
      <c r="BT29" s="3">
        <f t="shared" si="10"/>
        <v>2.9087113077491571</v>
      </c>
      <c r="BW29" s="3">
        <f t="shared" si="49"/>
        <v>0.42000000000000004</v>
      </c>
      <c r="BX29" s="14">
        <f t="shared" si="50"/>
        <v>0.42000000000000004</v>
      </c>
      <c r="BY29" s="3">
        <f t="shared" si="11"/>
        <v>2.9087113077491571</v>
      </c>
      <c r="CB29" s="3">
        <f t="shared" si="51"/>
        <v>0.42000000000000004</v>
      </c>
      <c r="CC29" s="14">
        <f t="shared" si="52"/>
        <v>0.42000000000000004</v>
      </c>
      <c r="CD29" s="3">
        <f t="shared" si="12"/>
        <v>2.9087113077491571</v>
      </c>
      <c r="CG29" s="3">
        <f t="shared" si="53"/>
        <v>0.42000000000000004</v>
      </c>
      <c r="CH29" s="3">
        <f t="shared" si="54"/>
        <v>0.42000000000000004</v>
      </c>
      <c r="CI29" s="3">
        <f t="shared" si="13"/>
        <v>2.9087113077491571</v>
      </c>
      <c r="CL29" s="3">
        <f t="shared" si="55"/>
        <v>0.42000000000000004</v>
      </c>
      <c r="CM29" s="14">
        <f t="shared" si="56"/>
        <v>0.42000000000000004</v>
      </c>
      <c r="CN29" s="3">
        <f t="shared" si="14"/>
        <v>2.9087113077491571</v>
      </c>
      <c r="CQ29" s="3">
        <f t="shared" si="57"/>
        <v>0.42000000000000004</v>
      </c>
      <c r="CR29" s="14">
        <f t="shared" si="58"/>
        <v>0.42000000000000004</v>
      </c>
      <c r="CS29" s="3">
        <f t="shared" si="15"/>
        <v>2.9087113077491571</v>
      </c>
      <c r="CV29" s="3">
        <f t="shared" si="59"/>
        <v>0.42000000000000004</v>
      </c>
      <c r="CW29" s="3">
        <f t="shared" si="60"/>
        <v>0.42000000000000004</v>
      </c>
      <c r="CX29" s="3">
        <f t="shared" si="16"/>
        <v>2.9087113077491571</v>
      </c>
      <c r="DA29" s="3">
        <f t="shared" si="61"/>
        <v>0.42000000000000004</v>
      </c>
      <c r="DB29" s="14">
        <f t="shared" si="62"/>
        <v>0.42000000000000004</v>
      </c>
      <c r="DC29" s="3">
        <f t="shared" si="17"/>
        <v>2.9087113077491571</v>
      </c>
      <c r="DF29" s="3">
        <f t="shared" si="63"/>
        <v>0.42000000000000004</v>
      </c>
      <c r="DG29" s="14">
        <f t="shared" si="64"/>
        <v>0.42000000000000004</v>
      </c>
      <c r="DH29" s="3">
        <f t="shared" si="18"/>
        <v>2.9087113077491571</v>
      </c>
      <c r="DK29" s="3">
        <f t="shared" si="65"/>
        <v>0.42000000000000004</v>
      </c>
      <c r="DL29" s="3">
        <f t="shared" si="66"/>
        <v>0.42000000000000004</v>
      </c>
      <c r="DM29" s="3">
        <f t="shared" si="19"/>
        <v>2.9087113077491571</v>
      </c>
      <c r="DP29" s="3">
        <f t="shared" si="67"/>
        <v>0.42000000000000004</v>
      </c>
      <c r="DQ29" s="14">
        <f t="shared" si="68"/>
        <v>0.42000000000000004</v>
      </c>
      <c r="DR29" s="3">
        <f t="shared" si="20"/>
        <v>2.9087113077491571</v>
      </c>
      <c r="DU29" s="3">
        <f t="shared" si="69"/>
        <v>0.42000000000000004</v>
      </c>
      <c r="DV29" s="14">
        <f t="shared" si="70"/>
        <v>0.42000000000000004</v>
      </c>
      <c r="DW29" s="3">
        <f t="shared" si="21"/>
        <v>2.9087113077491571</v>
      </c>
      <c r="DZ29" s="3">
        <f t="shared" si="71"/>
        <v>0.42000000000000004</v>
      </c>
      <c r="EA29" s="3">
        <f t="shared" si="72"/>
        <v>0.42000000000000004</v>
      </c>
      <c r="EB29" s="3">
        <f t="shared" si="22"/>
        <v>2.9087113077491571</v>
      </c>
      <c r="EE29" s="3">
        <f t="shared" si="73"/>
        <v>0.42000000000000004</v>
      </c>
      <c r="EF29" s="14">
        <f t="shared" si="74"/>
        <v>0.42000000000000004</v>
      </c>
      <c r="EG29" s="3">
        <f t="shared" si="23"/>
        <v>2.9087113077491571</v>
      </c>
      <c r="EJ29" s="3">
        <f t="shared" si="75"/>
        <v>0.42000000000000004</v>
      </c>
      <c r="EK29" s="14">
        <f t="shared" si="76"/>
        <v>0.42000000000000004</v>
      </c>
      <c r="EL29" s="3">
        <f t="shared" si="24"/>
        <v>2.9087113077491571</v>
      </c>
      <c r="EO29" s="3">
        <f t="shared" si="77"/>
        <v>0.42000000000000004</v>
      </c>
      <c r="EP29" s="3">
        <f t="shared" si="78"/>
        <v>0.42000000000000004</v>
      </c>
      <c r="EQ29" s="3">
        <f t="shared" si="25"/>
        <v>2.9087113077491571</v>
      </c>
      <c r="ET29" s="3">
        <f t="shared" si="79"/>
        <v>0.42000000000000004</v>
      </c>
      <c r="EU29" s="14">
        <f t="shared" si="80"/>
        <v>0.42000000000000004</v>
      </c>
      <c r="EV29" s="3">
        <f t="shared" si="26"/>
        <v>2.9087113077491571</v>
      </c>
    </row>
    <row r="30" spans="3:152" s="3" customFormat="1" x14ac:dyDescent="0.25">
      <c r="C30" s="1"/>
      <c r="D30" s="1"/>
      <c r="E30" s="1"/>
      <c r="F30" s="1"/>
      <c r="G30" s="1"/>
      <c r="H30" s="1"/>
      <c r="I30" s="1"/>
      <c r="J30" s="1"/>
      <c r="K30" s="1"/>
      <c r="L30" s="1"/>
      <c r="M30" s="1"/>
      <c r="N30" s="1"/>
      <c r="O30" s="1"/>
      <c r="P30" s="1"/>
      <c r="Q30" s="1"/>
      <c r="R30" s="1"/>
      <c r="S30" s="1"/>
      <c r="T30" s="3">
        <f t="shared" si="27"/>
        <v>0.44000000000000006</v>
      </c>
      <c r="U30" s="14">
        <f t="shared" si="28"/>
        <v>0.44000000000000006</v>
      </c>
      <c r="V30" s="3">
        <f t="shared" si="0"/>
        <v>3.0079039204927986</v>
      </c>
      <c r="Y30" s="3">
        <f t="shared" si="29"/>
        <v>0.44000000000000006</v>
      </c>
      <c r="Z30" s="3">
        <f t="shared" si="30"/>
        <v>0.44000000000000006</v>
      </c>
      <c r="AA30" s="3">
        <f t="shared" si="1"/>
        <v>3.0079039204927986</v>
      </c>
      <c r="AD30" s="3">
        <f t="shared" si="31"/>
        <v>0.44000000000000006</v>
      </c>
      <c r="AE30" s="14">
        <f t="shared" si="32"/>
        <v>0.44000000000000006</v>
      </c>
      <c r="AF30" s="3">
        <f t="shared" si="2"/>
        <v>3.0079039204927986</v>
      </c>
      <c r="AI30" s="3">
        <f t="shared" si="33"/>
        <v>0.44000000000000006</v>
      </c>
      <c r="AJ30" s="14">
        <f t="shared" si="34"/>
        <v>0.44000000000000006</v>
      </c>
      <c r="AK30" s="3">
        <f t="shared" si="3"/>
        <v>3.0079039204927986</v>
      </c>
      <c r="AN30" s="3">
        <f t="shared" si="35"/>
        <v>0.44000000000000006</v>
      </c>
      <c r="AO30" s="3">
        <f t="shared" si="36"/>
        <v>0.44000000000000006</v>
      </c>
      <c r="AP30" s="3">
        <f t="shared" si="4"/>
        <v>3.0079039204927986</v>
      </c>
      <c r="AS30" s="3">
        <f t="shared" si="37"/>
        <v>0.44000000000000006</v>
      </c>
      <c r="AT30" s="14">
        <f t="shared" si="38"/>
        <v>0.44000000000000006</v>
      </c>
      <c r="AU30" s="3">
        <f t="shared" si="5"/>
        <v>3.0079039204927986</v>
      </c>
      <c r="AX30" s="3">
        <f t="shared" si="39"/>
        <v>0.44000000000000006</v>
      </c>
      <c r="AY30" s="14">
        <f t="shared" si="40"/>
        <v>0.44000000000000006</v>
      </c>
      <c r="AZ30" s="3">
        <f t="shared" si="6"/>
        <v>3.0079039204927986</v>
      </c>
      <c r="BC30" s="3">
        <f t="shared" si="41"/>
        <v>0.44000000000000006</v>
      </c>
      <c r="BD30" s="3">
        <f t="shared" si="42"/>
        <v>0.44000000000000006</v>
      </c>
      <c r="BE30" s="3">
        <f t="shared" si="7"/>
        <v>3.0079039204927986</v>
      </c>
      <c r="BH30" s="3">
        <f t="shared" si="43"/>
        <v>0.44000000000000006</v>
      </c>
      <c r="BI30" s="14">
        <f t="shared" si="44"/>
        <v>0.44000000000000006</v>
      </c>
      <c r="BJ30" s="3">
        <f t="shared" si="8"/>
        <v>3.0079039204927986</v>
      </c>
      <c r="BM30" s="3">
        <f t="shared" si="45"/>
        <v>0.44000000000000006</v>
      </c>
      <c r="BN30" s="14">
        <f t="shared" si="46"/>
        <v>0.44000000000000006</v>
      </c>
      <c r="BO30" s="3">
        <f t="shared" si="9"/>
        <v>3.0079039204927986</v>
      </c>
      <c r="BR30" s="3">
        <f t="shared" si="47"/>
        <v>0.44000000000000006</v>
      </c>
      <c r="BS30" s="3">
        <f t="shared" si="48"/>
        <v>0.44000000000000006</v>
      </c>
      <c r="BT30" s="3">
        <f t="shared" si="10"/>
        <v>3.0079039204927986</v>
      </c>
      <c r="BW30" s="3">
        <f t="shared" si="49"/>
        <v>0.44000000000000006</v>
      </c>
      <c r="BX30" s="14">
        <f t="shared" si="50"/>
        <v>0.44000000000000006</v>
      </c>
      <c r="BY30" s="3">
        <f t="shared" si="11"/>
        <v>3.0079039204927986</v>
      </c>
      <c r="CB30" s="3">
        <f t="shared" si="51"/>
        <v>0.44000000000000006</v>
      </c>
      <c r="CC30" s="14">
        <f t="shared" si="52"/>
        <v>0.44000000000000006</v>
      </c>
      <c r="CD30" s="3">
        <f t="shared" si="12"/>
        <v>3.0079039204927986</v>
      </c>
      <c r="CG30" s="3">
        <f t="shared" si="53"/>
        <v>0.44000000000000006</v>
      </c>
      <c r="CH30" s="3">
        <f t="shared" si="54"/>
        <v>0.44000000000000006</v>
      </c>
      <c r="CI30" s="3">
        <f t="shared" si="13"/>
        <v>3.0079039204927986</v>
      </c>
      <c r="CL30" s="3">
        <f t="shared" si="55"/>
        <v>0.44000000000000006</v>
      </c>
      <c r="CM30" s="14">
        <f t="shared" si="56"/>
        <v>0.44000000000000006</v>
      </c>
      <c r="CN30" s="3">
        <f t="shared" si="14"/>
        <v>3.0079039204927986</v>
      </c>
      <c r="CQ30" s="3">
        <f t="shared" si="57"/>
        <v>0.44000000000000006</v>
      </c>
      <c r="CR30" s="14">
        <f t="shared" si="58"/>
        <v>0.44000000000000006</v>
      </c>
      <c r="CS30" s="3">
        <f t="shared" si="15"/>
        <v>3.0079039204927986</v>
      </c>
      <c r="CV30" s="3">
        <f t="shared" si="59"/>
        <v>0.44000000000000006</v>
      </c>
      <c r="CW30" s="3">
        <f t="shared" si="60"/>
        <v>0.44000000000000006</v>
      </c>
      <c r="CX30" s="3">
        <f t="shared" si="16"/>
        <v>3.0079039204927986</v>
      </c>
      <c r="DA30" s="3">
        <f t="shared" si="61"/>
        <v>0.44000000000000006</v>
      </c>
      <c r="DB30" s="14">
        <f t="shared" si="62"/>
        <v>0.44000000000000006</v>
      </c>
      <c r="DC30" s="3">
        <f t="shared" si="17"/>
        <v>3.0079039204927986</v>
      </c>
      <c r="DF30" s="3">
        <f t="shared" si="63"/>
        <v>0.44000000000000006</v>
      </c>
      <c r="DG30" s="14">
        <f t="shared" si="64"/>
        <v>0.44000000000000006</v>
      </c>
      <c r="DH30" s="3">
        <f t="shared" si="18"/>
        <v>3.0079039204927986</v>
      </c>
      <c r="DK30" s="3">
        <f t="shared" si="65"/>
        <v>0.44000000000000006</v>
      </c>
      <c r="DL30" s="3">
        <f t="shared" si="66"/>
        <v>0.44000000000000006</v>
      </c>
      <c r="DM30" s="3">
        <f t="shared" si="19"/>
        <v>3.0079039204927986</v>
      </c>
      <c r="DP30" s="3">
        <f t="shared" si="67"/>
        <v>0.44000000000000006</v>
      </c>
      <c r="DQ30" s="14">
        <f t="shared" si="68"/>
        <v>0.44000000000000006</v>
      </c>
      <c r="DR30" s="3">
        <f t="shared" si="20"/>
        <v>3.0079039204927986</v>
      </c>
      <c r="DU30" s="3">
        <f t="shared" si="69"/>
        <v>0.44000000000000006</v>
      </c>
      <c r="DV30" s="14">
        <f t="shared" si="70"/>
        <v>0.44000000000000006</v>
      </c>
      <c r="DW30" s="3">
        <f t="shared" si="21"/>
        <v>3.0079039204927986</v>
      </c>
      <c r="DZ30" s="3">
        <f t="shared" si="71"/>
        <v>0.44000000000000006</v>
      </c>
      <c r="EA30" s="3">
        <f t="shared" si="72"/>
        <v>0.44000000000000006</v>
      </c>
      <c r="EB30" s="3">
        <f t="shared" si="22"/>
        <v>3.0079039204927986</v>
      </c>
      <c r="EE30" s="3">
        <f t="shared" si="73"/>
        <v>0.44000000000000006</v>
      </c>
      <c r="EF30" s="14">
        <f t="shared" si="74"/>
        <v>0.44000000000000006</v>
      </c>
      <c r="EG30" s="3">
        <f t="shared" si="23"/>
        <v>3.0079039204927986</v>
      </c>
      <c r="EJ30" s="3">
        <f t="shared" si="75"/>
        <v>0.44000000000000006</v>
      </c>
      <c r="EK30" s="14">
        <f t="shared" si="76"/>
        <v>0.44000000000000006</v>
      </c>
      <c r="EL30" s="3">
        <f t="shared" si="24"/>
        <v>3.0079039204927986</v>
      </c>
      <c r="EO30" s="3">
        <f t="shared" si="77"/>
        <v>0.44000000000000006</v>
      </c>
      <c r="EP30" s="3">
        <f t="shared" si="78"/>
        <v>0.44000000000000006</v>
      </c>
      <c r="EQ30" s="3">
        <f t="shared" si="25"/>
        <v>3.0079039204927986</v>
      </c>
      <c r="ET30" s="3">
        <f t="shared" si="79"/>
        <v>0.44000000000000006</v>
      </c>
      <c r="EU30" s="14">
        <f t="shared" si="80"/>
        <v>0.44000000000000006</v>
      </c>
      <c r="EV30" s="3">
        <f t="shared" si="26"/>
        <v>3.0079039204927986</v>
      </c>
    </row>
    <row r="31" spans="3:152" s="3" customFormat="1" x14ac:dyDescent="0.25">
      <c r="C31" s="1"/>
      <c r="D31" s="1"/>
      <c r="E31" s="1"/>
      <c r="F31" s="1"/>
      <c r="G31" s="1"/>
      <c r="H31" s="1"/>
      <c r="I31" s="1"/>
      <c r="J31" s="1"/>
      <c r="K31" s="1"/>
      <c r="L31" s="1"/>
      <c r="M31" s="1"/>
      <c r="N31" s="1"/>
      <c r="O31" s="1"/>
      <c r="P31" s="1"/>
      <c r="Q31" s="1"/>
      <c r="R31" s="1"/>
      <c r="S31" s="1"/>
      <c r="T31" s="3">
        <f t="shared" si="27"/>
        <v>0.46000000000000008</v>
      </c>
      <c r="U31" s="14">
        <f t="shared" si="28"/>
        <v>0.46000000000000008</v>
      </c>
      <c r="V31" s="3">
        <f t="shared" si="0"/>
        <v>3.1043880205085936</v>
      </c>
      <c r="Y31" s="3">
        <f t="shared" si="29"/>
        <v>0.46000000000000008</v>
      </c>
      <c r="Z31" s="3">
        <f t="shared" si="30"/>
        <v>0.46000000000000008</v>
      </c>
      <c r="AA31" s="3">
        <f t="shared" si="1"/>
        <v>3.1043880205085936</v>
      </c>
      <c r="AD31" s="3">
        <f t="shared" si="31"/>
        <v>0.46000000000000008</v>
      </c>
      <c r="AE31" s="14">
        <f t="shared" si="32"/>
        <v>0.46000000000000008</v>
      </c>
      <c r="AF31" s="3">
        <f t="shared" si="2"/>
        <v>3.1043880205085936</v>
      </c>
      <c r="AI31" s="3">
        <f t="shared" si="33"/>
        <v>0.46000000000000008</v>
      </c>
      <c r="AJ31" s="14">
        <f t="shared" si="34"/>
        <v>0.46000000000000008</v>
      </c>
      <c r="AK31" s="3">
        <f t="shared" si="3"/>
        <v>3.1043880205085936</v>
      </c>
      <c r="AN31" s="3">
        <f t="shared" si="35"/>
        <v>0.46000000000000008</v>
      </c>
      <c r="AO31" s="3">
        <f t="shared" si="36"/>
        <v>0.46000000000000008</v>
      </c>
      <c r="AP31" s="3">
        <f t="shared" si="4"/>
        <v>3.1043880205085936</v>
      </c>
      <c r="AS31" s="3">
        <f t="shared" si="37"/>
        <v>0.46000000000000008</v>
      </c>
      <c r="AT31" s="14">
        <f t="shared" si="38"/>
        <v>0.46000000000000008</v>
      </c>
      <c r="AU31" s="3">
        <f t="shared" si="5"/>
        <v>3.1043880205085936</v>
      </c>
      <c r="AX31" s="3">
        <f t="shared" si="39"/>
        <v>0.46000000000000008</v>
      </c>
      <c r="AY31" s="14">
        <f t="shared" si="40"/>
        <v>0.46000000000000008</v>
      </c>
      <c r="AZ31" s="3">
        <f t="shared" si="6"/>
        <v>3.1043880205085936</v>
      </c>
      <c r="BC31" s="3">
        <f t="shared" si="41"/>
        <v>0.46000000000000008</v>
      </c>
      <c r="BD31" s="3">
        <f t="shared" si="42"/>
        <v>0.46000000000000008</v>
      </c>
      <c r="BE31" s="3">
        <f t="shared" si="7"/>
        <v>3.1043880205085936</v>
      </c>
      <c r="BH31" s="3">
        <f t="shared" si="43"/>
        <v>0.46000000000000008</v>
      </c>
      <c r="BI31" s="14">
        <f t="shared" si="44"/>
        <v>0.46000000000000008</v>
      </c>
      <c r="BJ31" s="3">
        <f t="shared" si="8"/>
        <v>3.1043880205085936</v>
      </c>
      <c r="BM31" s="3">
        <f t="shared" si="45"/>
        <v>0.46000000000000008</v>
      </c>
      <c r="BN31" s="14">
        <f t="shared" si="46"/>
        <v>0.46000000000000008</v>
      </c>
      <c r="BO31" s="3">
        <f t="shared" si="9"/>
        <v>3.1043880205085936</v>
      </c>
      <c r="BR31" s="3">
        <f t="shared" si="47"/>
        <v>0.46000000000000008</v>
      </c>
      <c r="BS31" s="3">
        <f t="shared" si="48"/>
        <v>0.46000000000000008</v>
      </c>
      <c r="BT31" s="3">
        <f t="shared" si="10"/>
        <v>3.1043880205085936</v>
      </c>
      <c r="BW31" s="3">
        <f t="shared" si="49"/>
        <v>0.46000000000000008</v>
      </c>
      <c r="BX31" s="14">
        <f t="shared" si="50"/>
        <v>0.46000000000000008</v>
      </c>
      <c r="BY31" s="3">
        <f t="shared" si="11"/>
        <v>3.1043880205085936</v>
      </c>
      <c r="CB31" s="3">
        <f t="shared" si="51"/>
        <v>0.46000000000000008</v>
      </c>
      <c r="CC31" s="14">
        <f t="shared" si="52"/>
        <v>0.46000000000000008</v>
      </c>
      <c r="CD31" s="3">
        <f t="shared" si="12"/>
        <v>3.1043880205085936</v>
      </c>
      <c r="CG31" s="3">
        <f t="shared" si="53"/>
        <v>0.46000000000000008</v>
      </c>
      <c r="CH31" s="3">
        <f t="shared" si="54"/>
        <v>0.46000000000000008</v>
      </c>
      <c r="CI31" s="3">
        <f t="shared" si="13"/>
        <v>3.1043880205085936</v>
      </c>
      <c r="CL31" s="3">
        <f t="shared" si="55"/>
        <v>0.46000000000000008</v>
      </c>
      <c r="CM31" s="14">
        <f t="shared" si="56"/>
        <v>0.46000000000000008</v>
      </c>
      <c r="CN31" s="3">
        <f t="shared" si="14"/>
        <v>3.1043880205085936</v>
      </c>
      <c r="CQ31" s="3">
        <f t="shared" si="57"/>
        <v>0.46000000000000008</v>
      </c>
      <c r="CR31" s="14">
        <f t="shared" si="58"/>
        <v>0.46000000000000008</v>
      </c>
      <c r="CS31" s="3">
        <f t="shared" si="15"/>
        <v>3.1043880205085936</v>
      </c>
      <c r="CV31" s="3">
        <f t="shared" si="59"/>
        <v>0.46000000000000008</v>
      </c>
      <c r="CW31" s="3">
        <f t="shared" si="60"/>
        <v>0.46000000000000008</v>
      </c>
      <c r="CX31" s="3">
        <f t="shared" si="16"/>
        <v>3.1043880205085936</v>
      </c>
      <c r="DA31" s="3">
        <f t="shared" si="61"/>
        <v>0.46000000000000008</v>
      </c>
      <c r="DB31" s="14">
        <f t="shared" si="62"/>
        <v>0.46000000000000008</v>
      </c>
      <c r="DC31" s="3">
        <f t="shared" si="17"/>
        <v>3.1043880205085936</v>
      </c>
      <c r="DF31" s="3">
        <f t="shared" si="63"/>
        <v>0.46000000000000008</v>
      </c>
      <c r="DG31" s="14">
        <f t="shared" si="64"/>
        <v>0.46000000000000008</v>
      </c>
      <c r="DH31" s="3">
        <f t="shared" si="18"/>
        <v>3.1043880205085936</v>
      </c>
      <c r="DK31" s="3">
        <f t="shared" si="65"/>
        <v>0.46000000000000008</v>
      </c>
      <c r="DL31" s="3">
        <f t="shared" si="66"/>
        <v>0.46000000000000008</v>
      </c>
      <c r="DM31" s="3">
        <f t="shared" si="19"/>
        <v>3.1043880205085936</v>
      </c>
      <c r="DP31" s="3">
        <f t="shared" si="67"/>
        <v>0.46000000000000008</v>
      </c>
      <c r="DQ31" s="14">
        <f t="shared" si="68"/>
        <v>0.46000000000000008</v>
      </c>
      <c r="DR31" s="3">
        <f t="shared" si="20"/>
        <v>3.1043880205085936</v>
      </c>
      <c r="DU31" s="3">
        <f t="shared" si="69"/>
        <v>0.46000000000000008</v>
      </c>
      <c r="DV31" s="14">
        <f t="shared" si="70"/>
        <v>0.46000000000000008</v>
      </c>
      <c r="DW31" s="3">
        <f t="shared" si="21"/>
        <v>3.1043880205085936</v>
      </c>
      <c r="DZ31" s="3">
        <f t="shared" si="71"/>
        <v>0.46000000000000008</v>
      </c>
      <c r="EA31" s="3">
        <f t="shared" si="72"/>
        <v>0.46000000000000008</v>
      </c>
      <c r="EB31" s="3">
        <f t="shared" si="22"/>
        <v>3.1043880205085936</v>
      </c>
      <c r="EE31" s="3">
        <f t="shared" si="73"/>
        <v>0.46000000000000008</v>
      </c>
      <c r="EF31" s="14">
        <f t="shared" si="74"/>
        <v>0.46000000000000008</v>
      </c>
      <c r="EG31" s="3">
        <f t="shared" si="23"/>
        <v>3.1043880205085936</v>
      </c>
      <c r="EJ31" s="3">
        <f t="shared" si="75"/>
        <v>0.46000000000000008</v>
      </c>
      <c r="EK31" s="14">
        <f t="shared" si="76"/>
        <v>0.46000000000000008</v>
      </c>
      <c r="EL31" s="3">
        <f t="shared" si="24"/>
        <v>3.1043880205085936</v>
      </c>
      <c r="EO31" s="3">
        <f t="shared" si="77"/>
        <v>0.46000000000000008</v>
      </c>
      <c r="EP31" s="3">
        <f t="shared" si="78"/>
        <v>0.46000000000000008</v>
      </c>
      <c r="EQ31" s="3">
        <f t="shared" si="25"/>
        <v>3.1043880205085936</v>
      </c>
      <c r="ET31" s="3">
        <f t="shared" si="79"/>
        <v>0.46000000000000008</v>
      </c>
      <c r="EU31" s="14">
        <f t="shared" si="80"/>
        <v>0.46000000000000008</v>
      </c>
      <c r="EV31" s="3">
        <f t="shared" si="26"/>
        <v>3.1043880205085936</v>
      </c>
    </row>
    <row r="32" spans="3:152" s="3" customFormat="1" x14ac:dyDescent="0.25">
      <c r="C32" s="1"/>
      <c r="D32" s="1"/>
      <c r="E32" s="1"/>
      <c r="F32" s="1"/>
      <c r="G32" s="1"/>
      <c r="H32" s="1"/>
      <c r="I32" s="1"/>
      <c r="J32" s="1"/>
      <c r="K32" s="1"/>
      <c r="L32" s="1"/>
      <c r="M32" s="1"/>
      <c r="N32" s="1"/>
      <c r="O32" s="1"/>
      <c r="P32" s="1"/>
      <c r="Q32" s="1"/>
      <c r="R32" s="1"/>
      <c r="S32" s="1"/>
      <c r="T32" s="3">
        <f t="shared" si="27"/>
        <v>0.48000000000000009</v>
      </c>
      <c r="U32" s="14">
        <f t="shared" si="28"/>
        <v>0.48000000000000009</v>
      </c>
      <c r="V32" s="3">
        <f t="shared" si="0"/>
        <v>3.1981636077965412</v>
      </c>
      <c r="Y32" s="3">
        <f t="shared" si="29"/>
        <v>0.48000000000000009</v>
      </c>
      <c r="Z32" s="3">
        <f t="shared" si="30"/>
        <v>0.48000000000000009</v>
      </c>
      <c r="AA32" s="3">
        <f t="shared" si="1"/>
        <v>3.1981636077965412</v>
      </c>
      <c r="AD32" s="3">
        <f t="shared" si="31"/>
        <v>0.48000000000000009</v>
      </c>
      <c r="AE32" s="14">
        <f t="shared" si="32"/>
        <v>0.48000000000000009</v>
      </c>
      <c r="AF32" s="3">
        <f t="shared" si="2"/>
        <v>3.1981636077965412</v>
      </c>
      <c r="AI32" s="3">
        <f t="shared" si="33"/>
        <v>0.48000000000000009</v>
      </c>
      <c r="AJ32" s="14">
        <f t="shared" si="34"/>
        <v>0.48000000000000009</v>
      </c>
      <c r="AK32" s="3">
        <f t="shared" si="3"/>
        <v>3.1981636077965412</v>
      </c>
      <c r="AN32" s="3">
        <f t="shared" si="35"/>
        <v>0.48000000000000009</v>
      </c>
      <c r="AO32" s="3">
        <f t="shared" si="36"/>
        <v>0.48000000000000009</v>
      </c>
      <c r="AP32" s="3">
        <f t="shared" si="4"/>
        <v>3.1981636077965412</v>
      </c>
      <c r="AS32" s="3">
        <f t="shared" si="37"/>
        <v>0.48000000000000009</v>
      </c>
      <c r="AT32" s="14">
        <f t="shared" si="38"/>
        <v>0.48000000000000009</v>
      </c>
      <c r="AU32" s="3">
        <f t="shared" si="5"/>
        <v>3.1981636077965412</v>
      </c>
      <c r="AX32" s="3">
        <f t="shared" si="39"/>
        <v>0.48000000000000009</v>
      </c>
      <c r="AY32" s="14">
        <f t="shared" si="40"/>
        <v>0.48000000000000009</v>
      </c>
      <c r="AZ32" s="3">
        <f t="shared" si="6"/>
        <v>3.1981636077965412</v>
      </c>
      <c r="BC32" s="3">
        <f t="shared" si="41"/>
        <v>0.48000000000000009</v>
      </c>
      <c r="BD32" s="3">
        <f t="shared" si="42"/>
        <v>0.48000000000000009</v>
      </c>
      <c r="BE32" s="3">
        <f t="shared" si="7"/>
        <v>3.1981636077965412</v>
      </c>
      <c r="BH32" s="3">
        <f t="shared" si="43"/>
        <v>0.48000000000000009</v>
      </c>
      <c r="BI32" s="14">
        <f t="shared" si="44"/>
        <v>0.48000000000000009</v>
      </c>
      <c r="BJ32" s="3">
        <f t="shared" si="8"/>
        <v>3.1981636077965412</v>
      </c>
      <c r="BM32" s="3">
        <f t="shared" si="45"/>
        <v>0.48000000000000009</v>
      </c>
      <c r="BN32" s="14">
        <f t="shared" si="46"/>
        <v>0.48000000000000009</v>
      </c>
      <c r="BO32" s="3">
        <f t="shared" si="9"/>
        <v>3.1981636077965412</v>
      </c>
      <c r="BR32" s="3">
        <f t="shared" si="47"/>
        <v>0.48000000000000009</v>
      </c>
      <c r="BS32" s="3">
        <f t="shared" si="48"/>
        <v>0.48000000000000009</v>
      </c>
      <c r="BT32" s="3">
        <f t="shared" si="10"/>
        <v>3.1981636077965412</v>
      </c>
      <c r="BW32" s="3">
        <f t="shared" si="49"/>
        <v>0.48000000000000009</v>
      </c>
      <c r="BX32" s="14">
        <f t="shared" si="50"/>
        <v>0.48000000000000009</v>
      </c>
      <c r="BY32" s="3">
        <f t="shared" si="11"/>
        <v>3.1981636077965412</v>
      </c>
      <c r="CB32" s="3">
        <f t="shared" si="51"/>
        <v>0.48000000000000009</v>
      </c>
      <c r="CC32" s="14">
        <f t="shared" si="52"/>
        <v>0.48000000000000009</v>
      </c>
      <c r="CD32" s="3">
        <f t="shared" si="12"/>
        <v>3.1981636077965412</v>
      </c>
      <c r="CG32" s="3">
        <f t="shared" si="53"/>
        <v>0.48000000000000009</v>
      </c>
      <c r="CH32" s="3">
        <f t="shared" si="54"/>
        <v>0.48000000000000009</v>
      </c>
      <c r="CI32" s="3">
        <f t="shared" si="13"/>
        <v>3.1981636077965412</v>
      </c>
      <c r="CL32" s="3">
        <f t="shared" si="55"/>
        <v>0.48000000000000009</v>
      </c>
      <c r="CM32" s="14">
        <f t="shared" si="56"/>
        <v>0.48000000000000009</v>
      </c>
      <c r="CN32" s="3">
        <f t="shared" si="14"/>
        <v>3.1981636077965412</v>
      </c>
      <c r="CQ32" s="3">
        <f t="shared" si="57"/>
        <v>0.48000000000000009</v>
      </c>
      <c r="CR32" s="14">
        <f t="shared" si="58"/>
        <v>0.48000000000000009</v>
      </c>
      <c r="CS32" s="3">
        <f t="shared" si="15"/>
        <v>3.1981636077965412</v>
      </c>
      <c r="CV32" s="3">
        <f t="shared" si="59"/>
        <v>0.48000000000000009</v>
      </c>
      <c r="CW32" s="3">
        <f t="shared" si="60"/>
        <v>0.48000000000000009</v>
      </c>
      <c r="CX32" s="3">
        <f t="shared" si="16"/>
        <v>3.1981636077965412</v>
      </c>
      <c r="DA32" s="3">
        <f t="shared" si="61"/>
        <v>0.48000000000000009</v>
      </c>
      <c r="DB32" s="14">
        <f t="shared" si="62"/>
        <v>0.48000000000000009</v>
      </c>
      <c r="DC32" s="3">
        <f t="shared" si="17"/>
        <v>3.1981636077965412</v>
      </c>
      <c r="DF32" s="3">
        <f t="shared" si="63"/>
        <v>0.48000000000000009</v>
      </c>
      <c r="DG32" s="14">
        <f t="shared" si="64"/>
        <v>0.48000000000000009</v>
      </c>
      <c r="DH32" s="3">
        <f t="shared" si="18"/>
        <v>3.1981636077965412</v>
      </c>
      <c r="DK32" s="3">
        <f t="shared" si="65"/>
        <v>0.48000000000000009</v>
      </c>
      <c r="DL32" s="3">
        <f t="shared" si="66"/>
        <v>0.48000000000000009</v>
      </c>
      <c r="DM32" s="3">
        <f t="shared" si="19"/>
        <v>3.1981636077965412</v>
      </c>
      <c r="DP32" s="3">
        <f t="shared" si="67"/>
        <v>0.48000000000000009</v>
      </c>
      <c r="DQ32" s="14">
        <f t="shared" si="68"/>
        <v>0.48000000000000009</v>
      </c>
      <c r="DR32" s="3">
        <f t="shared" si="20"/>
        <v>3.1981636077965412</v>
      </c>
      <c r="DU32" s="3">
        <f t="shared" si="69"/>
        <v>0.48000000000000009</v>
      </c>
      <c r="DV32" s="14">
        <f t="shared" si="70"/>
        <v>0.48000000000000009</v>
      </c>
      <c r="DW32" s="3">
        <f t="shared" si="21"/>
        <v>3.1981636077965412</v>
      </c>
      <c r="DZ32" s="3">
        <f t="shared" si="71"/>
        <v>0.48000000000000009</v>
      </c>
      <c r="EA32" s="3">
        <f t="shared" si="72"/>
        <v>0.48000000000000009</v>
      </c>
      <c r="EB32" s="3">
        <f t="shared" si="22"/>
        <v>3.1981636077965412</v>
      </c>
      <c r="EE32" s="3">
        <f t="shared" si="73"/>
        <v>0.48000000000000009</v>
      </c>
      <c r="EF32" s="14">
        <f t="shared" si="74"/>
        <v>0.48000000000000009</v>
      </c>
      <c r="EG32" s="3">
        <f t="shared" si="23"/>
        <v>3.1981636077965412</v>
      </c>
      <c r="EJ32" s="3">
        <f t="shared" si="75"/>
        <v>0.48000000000000009</v>
      </c>
      <c r="EK32" s="14">
        <f t="shared" si="76"/>
        <v>0.48000000000000009</v>
      </c>
      <c r="EL32" s="3">
        <f t="shared" si="24"/>
        <v>3.1981636077965412</v>
      </c>
      <c r="EO32" s="3">
        <f t="shared" si="77"/>
        <v>0.48000000000000009</v>
      </c>
      <c r="EP32" s="3">
        <f t="shared" si="78"/>
        <v>0.48000000000000009</v>
      </c>
      <c r="EQ32" s="3">
        <f t="shared" si="25"/>
        <v>3.1981636077965412</v>
      </c>
      <c r="ET32" s="3">
        <f t="shared" si="79"/>
        <v>0.48000000000000009</v>
      </c>
      <c r="EU32" s="14">
        <f t="shared" si="80"/>
        <v>0.48000000000000009</v>
      </c>
      <c r="EV32" s="3">
        <f t="shared" si="26"/>
        <v>3.1981636077965412</v>
      </c>
    </row>
    <row r="33" spans="20:152" s="3" customFormat="1" x14ac:dyDescent="0.25">
      <c r="T33" s="3">
        <f t="shared" si="27"/>
        <v>0.50000000000000011</v>
      </c>
      <c r="U33" s="14">
        <f t="shared" si="28"/>
        <v>0.50000000000000011</v>
      </c>
      <c r="V33" s="3">
        <f t="shared" si="0"/>
        <v>3.2892306823566422</v>
      </c>
      <c r="Y33" s="3">
        <f t="shared" si="29"/>
        <v>0.50000000000000011</v>
      </c>
      <c r="Z33" s="3">
        <f t="shared" si="30"/>
        <v>0.50000000000000011</v>
      </c>
      <c r="AA33" s="3">
        <f t="shared" si="1"/>
        <v>3.2892306823566422</v>
      </c>
      <c r="AD33" s="3">
        <f t="shared" si="31"/>
        <v>0.50000000000000011</v>
      </c>
      <c r="AE33" s="14">
        <f t="shared" si="32"/>
        <v>0.50000000000000011</v>
      </c>
      <c r="AF33" s="3">
        <f t="shared" si="2"/>
        <v>3.2892306823566422</v>
      </c>
      <c r="AI33" s="3">
        <f t="shared" si="33"/>
        <v>0.50000000000000011</v>
      </c>
      <c r="AJ33" s="14">
        <f t="shared" si="34"/>
        <v>0.50000000000000011</v>
      </c>
      <c r="AK33" s="3">
        <f t="shared" si="3"/>
        <v>3.2892306823566422</v>
      </c>
      <c r="AN33" s="3">
        <f t="shared" si="35"/>
        <v>0.50000000000000011</v>
      </c>
      <c r="AO33" s="3">
        <f t="shared" si="36"/>
        <v>0.50000000000000011</v>
      </c>
      <c r="AP33" s="3">
        <f t="shared" si="4"/>
        <v>3.2892306823566422</v>
      </c>
      <c r="AS33" s="3">
        <f t="shared" si="37"/>
        <v>0.50000000000000011</v>
      </c>
      <c r="AT33" s="14">
        <f t="shared" si="38"/>
        <v>0.50000000000000011</v>
      </c>
      <c r="AU33" s="3">
        <f t="shared" si="5"/>
        <v>3.2892306823566422</v>
      </c>
      <c r="AX33" s="3">
        <f t="shared" si="39"/>
        <v>0.50000000000000011</v>
      </c>
      <c r="AY33" s="14">
        <f t="shared" si="40"/>
        <v>0.50000000000000011</v>
      </c>
      <c r="AZ33" s="3">
        <f t="shared" si="6"/>
        <v>3.2892306823566422</v>
      </c>
      <c r="BC33" s="3">
        <f t="shared" si="41"/>
        <v>0.50000000000000011</v>
      </c>
      <c r="BD33" s="3">
        <f t="shared" si="42"/>
        <v>0.50000000000000011</v>
      </c>
      <c r="BE33" s="3">
        <f t="shared" si="7"/>
        <v>3.2892306823566422</v>
      </c>
      <c r="BH33" s="3">
        <f t="shared" si="43"/>
        <v>0.50000000000000011</v>
      </c>
      <c r="BI33" s="14">
        <f t="shared" si="44"/>
        <v>0.50000000000000011</v>
      </c>
      <c r="BJ33" s="3">
        <f t="shared" si="8"/>
        <v>3.2892306823566422</v>
      </c>
      <c r="BM33" s="3">
        <f t="shared" si="45"/>
        <v>0.50000000000000011</v>
      </c>
      <c r="BN33" s="14">
        <f t="shared" si="46"/>
        <v>0.50000000000000011</v>
      </c>
      <c r="BO33" s="3">
        <f t="shared" si="9"/>
        <v>3.2892306823566422</v>
      </c>
      <c r="BR33" s="3">
        <f t="shared" si="47"/>
        <v>0.50000000000000011</v>
      </c>
      <c r="BS33" s="3">
        <f t="shared" si="48"/>
        <v>0.50000000000000011</v>
      </c>
      <c r="BT33" s="3">
        <f t="shared" si="10"/>
        <v>3.2892306823566422</v>
      </c>
      <c r="BW33" s="3">
        <f t="shared" si="49"/>
        <v>0.50000000000000011</v>
      </c>
      <c r="BX33" s="14">
        <f t="shared" si="50"/>
        <v>0.50000000000000011</v>
      </c>
      <c r="BY33" s="3">
        <f t="shared" si="11"/>
        <v>3.2892306823566422</v>
      </c>
      <c r="CB33" s="3">
        <f t="shared" si="51"/>
        <v>0.50000000000000011</v>
      </c>
      <c r="CC33" s="14">
        <f t="shared" si="52"/>
        <v>0.50000000000000011</v>
      </c>
      <c r="CD33" s="3">
        <f t="shared" si="12"/>
        <v>3.2892306823566422</v>
      </c>
      <c r="CG33" s="3">
        <f t="shared" si="53"/>
        <v>0.50000000000000011</v>
      </c>
      <c r="CH33" s="3">
        <f t="shared" si="54"/>
        <v>0.50000000000000011</v>
      </c>
      <c r="CI33" s="3">
        <f t="shared" si="13"/>
        <v>3.2892306823566422</v>
      </c>
      <c r="CL33" s="3">
        <f t="shared" si="55"/>
        <v>0.50000000000000011</v>
      </c>
      <c r="CM33" s="14">
        <f t="shared" si="56"/>
        <v>0.50000000000000011</v>
      </c>
      <c r="CN33" s="3">
        <f t="shared" si="14"/>
        <v>3.2892306823566422</v>
      </c>
      <c r="CQ33" s="3">
        <f t="shared" si="57"/>
        <v>0.50000000000000011</v>
      </c>
      <c r="CR33" s="14">
        <f t="shared" si="58"/>
        <v>0.50000000000000011</v>
      </c>
      <c r="CS33" s="3">
        <f t="shared" si="15"/>
        <v>3.2892306823566422</v>
      </c>
      <c r="CV33" s="3">
        <f t="shared" si="59"/>
        <v>0.50000000000000011</v>
      </c>
      <c r="CW33" s="3">
        <f t="shared" si="60"/>
        <v>0.50000000000000011</v>
      </c>
      <c r="CX33" s="3">
        <f t="shared" si="16"/>
        <v>3.2892306823566422</v>
      </c>
      <c r="DA33" s="3">
        <f t="shared" si="61"/>
        <v>0.50000000000000011</v>
      </c>
      <c r="DB33" s="14">
        <f t="shared" si="62"/>
        <v>0.50000000000000011</v>
      </c>
      <c r="DC33" s="3">
        <f t="shared" si="17"/>
        <v>3.2892306823566422</v>
      </c>
      <c r="DF33" s="3">
        <f t="shared" si="63"/>
        <v>0.50000000000000011</v>
      </c>
      <c r="DG33" s="14">
        <f t="shared" si="64"/>
        <v>0.50000000000000011</v>
      </c>
      <c r="DH33" s="3">
        <f t="shared" si="18"/>
        <v>3.2892306823566422</v>
      </c>
      <c r="DK33" s="3">
        <f t="shared" si="65"/>
        <v>0.50000000000000011</v>
      </c>
      <c r="DL33" s="3">
        <f t="shared" si="66"/>
        <v>0.50000000000000011</v>
      </c>
      <c r="DM33" s="3">
        <f t="shared" si="19"/>
        <v>3.2892306823566422</v>
      </c>
      <c r="DP33" s="3">
        <f t="shared" si="67"/>
        <v>0.50000000000000011</v>
      </c>
      <c r="DQ33" s="14">
        <f t="shared" si="68"/>
        <v>0.50000000000000011</v>
      </c>
      <c r="DR33" s="3">
        <f t="shared" si="20"/>
        <v>3.2892306823566422</v>
      </c>
      <c r="DU33" s="3">
        <f t="shared" si="69"/>
        <v>0.50000000000000011</v>
      </c>
      <c r="DV33" s="14">
        <f t="shared" si="70"/>
        <v>0.50000000000000011</v>
      </c>
      <c r="DW33" s="3">
        <f t="shared" si="21"/>
        <v>3.2892306823566422</v>
      </c>
      <c r="DZ33" s="3">
        <f t="shared" si="71"/>
        <v>0.50000000000000011</v>
      </c>
      <c r="EA33" s="3">
        <f t="shared" si="72"/>
        <v>0.50000000000000011</v>
      </c>
      <c r="EB33" s="3">
        <f t="shared" si="22"/>
        <v>3.2892306823566422</v>
      </c>
      <c r="EE33" s="3">
        <f t="shared" si="73"/>
        <v>0.50000000000000011</v>
      </c>
      <c r="EF33" s="14">
        <f t="shared" si="74"/>
        <v>0.50000000000000011</v>
      </c>
      <c r="EG33" s="3">
        <f t="shared" si="23"/>
        <v>3.2892306823566422</v>
      </c>
      <c r="EJ33" s="3">
        <f t="shared" si="75"/>
        <v>0.50000000000000011</v>
      </c>
      <c r="EK33" s="14">
        <f t="shared" si="76"/>
        <v>0.50000000000000011</v>
      </c>
      <c r="EL33" s="3">
        <f t="shared" si="24"/>
        <v>3.2892306823566422</v>
      </c>
      <c r="EO33" s="3">
        <f t="shared" si="77"/>
        <v>0.50000000000000011</v>
      </c>
      <c r="EP33" s="3">
        <f t="shared" si="78"/>
        <v>0.50000000000000011</v>
      </c>
      <c r="EQ33" s="3">
        <f t="shared" si="25"/>
        <v>3.2892306823566422</v>
      </c>
      <c r="ET33" s="3">
        <f t="shared" si="79"/>
        <v>0.50000000000000011</v>
      </c>
      <c r="EU33" s="14">
        <f t="shared" si="80"/>
        <v>0.50000000000000011</v>
      </c>
      <c r="EV33" s="3">
        <f t="shared" si="26"/>
        <v>3.2892306823566422</v>
      </c>
    </row>
    <row r="34" spans="20:152" s="3" customFormat="1" x14ac:dyDescent="0.25">
      <c r="T34" s="3">
        <f t="shared" si="27"/>
        <v>0.52000000000000013</v>
      </c>
      <c r="U34" s="14">
        <f t="shared" si="28"/>
        <v>0.52000000000000013</v>
      </c>
      <c r="V34" s="3">
        <f t="shared" si="0"/>
        <v>3.3775892441888962</v>
      </c>
      <c r="Y34" s="3">
        <f t="shared" si="29"/>
        <v>0.52000000000000013</v>
      </c>
      <c r="Z34" s="3">
        <f t="shared" si="30"/>
        <v>0.52000000000000013</v>
      </c>
      <c r="AA34" s="3">
        <f t="shared" si="1"/>
        <v>3.3775892441888962</v>
      </c>
      <c r="AD34" s="3">
        <f t="shared" si="31"/>
        <v>0.52000000000000013</v>
      </c>
      <c r="AE34" s="14">
        <f t="shared" si="32"/>
        <v>0.52000000000000013</v>
      </c>
      <c r="AF34" s="3">
        <f t="shared" si="2"/>
        <v>3.3775892441888962</v>
      </c>
      <c r="AI34" s="3">
        <f t="shared" si="33"/>
        <v>0.52000000000000013</v>
      </c>
      <c r="AJ34" s="14">
        <f t="shared" si="34"/>
        <v>0.52000000000000013</v>
      </c>
      <c r="AK34" s="3">
        <f t="shared" si="3"/>
        <v>3.3775892441888962</v>
      </c>
      <c r="AN34" s="3">
        <f t="shared" si="35"/>
        <v>0.52000000000000013</v>
      </c>
      <c r="AO34" s="3">
        <f t="shared" si="36"/>
        <v>0.52000000000000013</v>
      </c>
      <c r="AP34" s="3">
        <f t="shared" si="4"/>
        <v>3.3775892441888962</v>
      </c>
      <c r="AS34" s="3">
        <f t="shared" si="37"/>
        <v>0.52000000000000013</v>
      </c>
      <c r="AT34" s="14">
        <f t="shared" si="38"/>
        <v>0.52000000000000013</v>
      </c>
      <c r="AU34" s="3">
        <f t="shared" si="5"/>
        <v>3.3775892441888962</v>
      </c>
      <c r="AX34" s="3">
        <f t="shared" si="39"/>
        <v>0.52000000000000013</v>
      </c>
      <c r="AY34" s="14">
        <f t="shared" si="40"/>
        <v>0.52000000000000013</v>
      </c>
      <c r="AZ34" s="3">
        <f t="shared" si="6"/>
        <v>3.3775892441888962</v>
      </c>
      <c r="BC34" s="3">
        <f t="shared" si="41"/>
        <v>0.52000000000000013</v>
      </c>
      <c r="BD34" s="3">
        <f t="shared" si="42"/>
        <v>0.52000000000000013</v>
      </c>
      <c r="BE34" s="3">
        <f t="shared" si="7"/>
        <v>3.3775892441888962</v>
      </c>
      <c r="BH34" s="3">
        <f t="shared" si="43"/>
        <v>0.52000000000000013</v>
      </c>
      <c r="BI34" s="14">
        <f t="shared" si="44"/>
        <v>0.52000000000000013</v>
      </c>
      <c r="BJ34" s="3">
        <f t="shared" si="8"/>
        <v>3.3775892441888962</v>
      </c>
      <c r="BM34" s="3">
        <f t="shared" si="45"/>
        <v>0.52000000000000013</v>
      </c>
      <c r="BN34" s="14">
        <f t="shared" si="46"/>
        <v>0.52000000000000013</v>
      </c>
      <c r="BO34" s="3">
        <f t="shared" si="9"/>
        <v>3.3775892441888962</v>
      </c>
      <c r="BR34" s="3">
        <f t="shared" si="47"/>
        <v>0.52000000000000013</v>
      </c>
      <c r="BS34" s="3">
        <f t="shared" si="48"/>
        <v>0.52000000000000013</v>
      </c>
      <c r="BT34" s="3">
        <f t="shared" si="10"/>
        <v>3.3775892441888962</v>
      </c>
      <c r="BW34" s="3">
        <f t="shared" si="49"/>
        <v>0.52000000000000013</v>
      </c>
      <c r="BX34" s="14">
        <f t="shared" si="50"/>
        <v>0.52000000000000013</v>
      </c>
      <c r="BY34" s="3">
        <f t="shared" si="11"/>
        <v>3.3775892441888962</v>
      </c>
      <c r="CB34" s="3">
        <f t="shared" si="51"/>
        <v>0.52000000000000013</v>
      </c>
      <c r="CC34" s="14">
        <f t="shared" si="52"/>
        <v>0.52000000000000013</v>
      </c>
      <c r="CD34" s="3">
        <f t="shared" si="12"/>
        <v>3.3775892441888962</v>
      </c>
      <c r="CG34" s="3">
        <f t="shared" si="53"/>
        <v>0.52000000000000013</v>
      </c>
      <c r="CH34" s="3">
        <f t="shared" si="54"/>
        <v>0.52000000000000013</v>
      </c>
      <c r="CI34" s="3">
        <f t="shared" si="13"/>
        <v>3.3775892441888962</v>
      </c>
      <c r="CL34" s="3">
        <f t="shared" si="55"/>
        <v>0.52000000000000013</v>
      </c>
      <c r="CM34" s="14">
        <f t="shared" si="56"/>
        <v>0.52000000000000013</v>
      </c>
      <c r="CN34" s="3">
        <f t="shared" si="14"/>
        <v>3.3775892441888962</v>
      </c>
      <c r="CQ34" s="3">
        <f t="shared" si="57"/>
        <v>0.52000000000000013</v>
      </c>
      <c r="CR34" s="14">
        <f t="shared" si="58"/>
        <v>0.52000000000000013</v>
      </c>
      <c r="CS34" s="3">
        <f t="shared" si="15"/>
        <v>3.3775892441888962</v>
      </c>
      <c r="CV34" s="3">
        <f t="shared" si="59"/>
        <v>0.52000000000000013</v>
      </c>
      <c r="CW34" s="3">
        <f t="shared" si="60"/>
        <v>0.52000000000000013</v>
      </c>
      <c r="CX34" s="3">
        <f t="shared" si="16"/>
        <v>3.3775892441888962</v>
      </c>
      <c r="DA34" s="3">
        <f t="shared" si="61"/>
        <v>0.52000000000000013</v>
      </c>
      <c r="DB34" s="14">
        <f t="shared" si="62"/>
        <v>0.52000000000000013</v>
      </c>
      <c r="DC34" s="3">
        <f t="shared" si="17"/>
        <v>3.3775892441888962</v>
      </c>
      <c r="DF34" s="3">
        <f t="shared" si="63"/>
        <v>0.52000000000000013</v>
      </c>
      <c r="DG34" s="14">
        <f t="shared" si="64"/>
        <v>0.52000000000000013</v>
      </c>
      <c r="DH34" s="3">
        <f t="shared" si="18"/>
        <v>3.3775892441888962</v>
      </c>
      <c r="DK34" s="3">
        <f t="shared" si="65"/>
        <v>0.52000000000000013</v>
      </c>
      <c r="DL34" s="3">
        <f t="shared" si="66"/>
        <v>0.52000000000000013</v>
      </c>
      <c r="DM34" s="3">
        <f t="shared" si="19"/>
        <v>3.3775892441888962</v>
      </c>
      <c r="DP34" s="3">
        <f t="shared" si="67"/>
        <v>0.52000000000000013</v>
      </c>
      <c r="DQ34" s="14">
        <f t="shared" si="68"/>
        <v>0.52000000000000013</v>
      </c>
      <c r="DR34" s="3">
        <f t="shared" si="20"/>
        <v>3.3775892441888962</v>
      </c>
      <c r="DU34" s="3">
        <f t="shared" si="69"/>
        <v>0.52000000000000013</v>
      </c>
      <c r="DV34" s="14">
        <f t="shared" si="70"/>
        <v>0.52000000000000013</v>
      </c>
      <c r="DW34" s="3">
        <f t="shared" si="21"/>
        <v>3.3775892441888962</v>
      </c>
      <c r="DZ34" s="3">
        <f t="shared" si="71"/>
        <v>0.52000000000000013</v>
      </c>
      <c r="EA34" s="3">
        <f t="shared" si="72"/>
        <v>0.52000000000000013</v>
      </c>
      <c r="EB34" s="3">
        <f t="shared" si="22"/>
        <v>3.3775892441888962</v>
      </c>
      <c r="EE34" s="3">
        <f t="shared" si="73"/>
        <v>0.52000000000000013</v>
      </c>
      <c r="EF34" s="14">
        <f t="shared" si="74"/>
        <v>0.52000000000000013</v>
      </c>
      <c r="EG34" s="3">
        <f t="shared" si="23"/>
        <v>3.3775892441888962</v>
      </c>
      <c r="EJ34" s="3">
        <f t="shared" si="75"/>
        <v>0.52000000000000013</v>
      </c>
      <c r="EK34" s="14">
        <f t="shared" si="76"/>
        <v>0.52000000000000013</v>
      </c>
      <c r="EL34" s="3">
        <f t="shared" si="24"/>
        <v>3.3775892441888962</v>
      </c>
      <c r="EO34" s="3">
        <f t="shared" si="77"/>
        <v>0.52000000000000013</v>
      </c>
      <c r="EP34" s="3">
        <f t="shared" si="78"/>
        <v>0.52000000000000013</v>
      </c>
      <c r="EQ34" s="3">
        <f t="shared" si="25"/>
        <v>3.3775892441888962</v>
      </c>
      <c r="ET34" s="3">
        <f t="shared" si="79"/>
        <v>0.52000000000000013</v>
      </c>
      <c r="EU34" s="14">
        <f t="shared" si="80"/>
        <v>0.52000000000000013</v>
      </c>
      <c r="EV34" s="3">
        <f t="shared" si="26"/>
        <v>3.3775892441888962</v>
      </c>
    </row>
    <row r="35" spans="20:152" s="3" customFormat="1" x14ac:dyDescent="0.25">
      <c r="T35" s="3">
        <f t="shared" si="27"/>
        <v>0.54000000000000015</v>
      </c>
      <c r="U35" s="14">
        <f t="shared" si="28"/>
        <v>0.54000000000000015</v>
      </c>
      <c r="V35" s="3">
        <f t="shared" si="0"/>
        <v>3.4632392932933023</v>
      </c>
      <c r="Y35" s="3">
        <f t="shared" si="29"/>
        <v>0.54000000000000015</v>
      </c>
      <c r="Z35" s="3">
        <f t="shared" si="30"/>
        <v>0.54000000000000015</v>
      </c>
      <c r="AA35" s="3">
        <f t="shared" si="1"/>
        <v>3.4632392932933023</v>
      </c>
      <c r="AD35" s="3">
        <f t="shared" si="31"/>
        <v>0.54000000000000015</v>
      </c>
      <c r="AE35" s="14">
        <f t="shared" si="32"/>
        <v>0.54000000000000015</v>
      </c>
      <c r="AF35" s="3">
        <f t="shared" si="2"/>
        <v>3.4632392932933023</v>
      </c>
      <c r="AI35" s="3">
        <f t="shared" si="33"/>
        <v>0.54000000000000015</v>
      </c>
      <c r="AJ35" s="14">
        <f t="shared" si="34"/>
        <v>0.54000000000000015</v>
      </c>
      <c r="AK35" s="3">
        <f t="shared" si="3"/>
        <v>3.4632392932933023</v>
      </c>
      <c r="AN35" s="3">
        <f t="shared" si="35"/>
        <v>0.54000000000000015</v>
      </c>
      <c r="AO35" s="3">
        <f t="shared" si="36"/>
        <v>0.54000000000000015</v>
      </c>
      <c r="AP35" s="3">
        <f t="shared" si="4"/>
        <v>3.4632392932933023</v>
      </c>
      <c r="AS35" s="3">
        <f t="shared" si="37"/>
        <v>0.54000000000000015</v>
      </c>
      <c r="AT35" s="14">
        <f t="shared" si="38"/>
        <v>0.54000000000000015</v>
      </c>
      <c r="AU35" s="3">
        <f t="shared" si="5"/>
        <v>3.4632392932933023</v>
      </c>
      <c r="AX35" s="3">
        <f t="shared" si="39"/>
        <v>0.54000000000000015</v>
      </c>
      <c r="AY35" s="14">
        <f t="shared" si="40"/>
        <v>0.54000000000000015</v>
      </c>
      <c r="AZ35" s="3">
        <f t="shared" si="6"/>
        <v>3.4632392932933023</v>
      </c>
      <c r="BC35" s="3">
        <f t="shared" si="41"/>
        <v>0.54000000000000015</v>
      </c>
      <c r="BD35" s="3">
        <f t="shared" si="42"/>
        <v>0.54000000000000015</v>
      </c>
      <c r="BE35" s="3">
        <f t="shared" si="7"/>
        <v>3.4632392932933023</v>
      </c>
      <c r="BH35" s="3">
        <f t="shared" si="43"/>
        <v>0.54000000000000015</v>
      </c>
      <c r="BI35" s="14">
        <f t="shared" si="44"/>
        <v>0.54000000000000015</v>
      </c>
      <c r="BJ35" s="3">
        <f t="shared" si="8"/>
        <v>3.4632392932933023</v>
      </c>
      <c r="BM35" s="3">
        <f t="shared" si="45"/>
        <v>0.54000000000000015</v>
      </c>
      <c r="BN35" s="14">
        <f t="shared" si="46"/>
        <v>0.54000000000000015</v>
      </c>
      <c r="BO35" s="3">
        <f t="shared" si="9"/>
        <v>3.4632392932933023</v>
      </c>
      <c r="BR35" s="3">
        <f t="shared" si="47"/>
        <v>0.54000000000000015</v>
      </c>
      <c r="BS35" s="3">
        <f t="shared" si="48"/>
        <v>0.54000000000000015</v>
      </c>
      <c r="BT35" s="3">
        <f t="shared" si="10"/>
        <v>3.4632392932933023</v>
      </c>
      <c r="BW35" s="3">
        <f t="shared" si="49"/>
        <v>0.54000000000000015</v>
      </c>
      <c r="BX35" s="14">
        <f t="shared" si="50"/>
        <v>0.54000000000000015</v>
      </c>
      <c r="BY35" s="3">
        <f t="shared" si="11"/>
        <v>3.4632392932933023</v>
      </c>
      <c r="CB35" s="3">
        <f t="shared" si="51"/>
        <v>0.54000000000000015</v>
      </c>
      <c r="CC35" s="14">
        <f t="shared" si="52"/>
        <v>0.54000000000000015</v>
      </c>
      <c r="CD35" s="3">
        <f t="shared" si="12"/>
        <v>3.4632392932933023</v>
      </c>
      <c r="CG35" s="3">
        <f t="shared" si="53"/>
        <v>0.54000000000000015</v>
      </c>
      <c r="CH35" s="3">
        <f t="shared" si="54"/>
        <v>0.54000000000000015</v>
      </c>
      <c r="CI35" s="3">
        <f t="shared" si="13"/>
        <v>3.4632392932933023</v>
      </c>
      <c r="CL35" s="3">
        <f t="shared" si="55"/>
        <v>0.54000000000000015</v>
      </c>
      <c r="CM35" s="14">
        <f t="shared" si="56"/>
        <v>0.54000000000000015</v>
      </c>
      <c r="CN35" s="3">
        <f t="shared" si="14"/>
        <v>3.4632392932933023</v>
      </c>
      <c r="CQ35" s="3">
        <f t="shared" si="57"/>
        <v>0.54000000000000015</v>
      </c>
      <c r="CR35" s="14">
        <f t="shared" si="58"/>
        <v>0.54000000000000015</v>
      </c>
      <c r="CS35" s="3">
        <f t="shared" si="15"/>
        <v>3.4632392932933023</v>
      </c>
      <c r="CV35" s="3">
        <f t="shared" si="59"/>
        <v>0.54000000000000015</v>
      </c>
      <c r="CW35" s="3">
        <f t="shared" si="60"/>
        <v>0.54000000000000015</v>
      </c>
      <c r="CX35" s="3">
        <f t="shared" si="16"/>
        <v>3.4632392932933023</v>
      </c>
      <c r="DA35" s="3">
        <f t="shared" si="61"/>
        <v>0.54000000000000015</v>
      </c>
      <c r="DB35" s="14">
        <f t="shared" si="62"/>
        <v>0.54000000000000015</v>
      </c>
      <c r="DC35" s="3">
        <f t="shared" si="17"/>
        <v>3.4632392932933023</v>
      </c>
      <c r="DF35" s="3">
        <f t="shared" si="63"/>
        <v>0.54000000000000015</v>
      </c>
      <c r="DG35" s="14">
        <f t="shared" si="64"/>
        <v>0.54000000000000015</v>
      </c>
      <c r="DH35" s="3">
        <f t="shared" si="18"/>
        <v>3.4632392932933023</v>
      </c>
      <c r="DK35" s="3">
        <f t="shared" si="65"/>
        <v>0.54000000000000015</v>
      </c>
      <c r="DL35" s="3">
        <f t="shared" si="66"/>
        <v>0.54000000000000015</v>
      </c>
      <c r="DM35" s="3">
        <f t="shared" si="19"/>
        <v>3.4632392932933023</v>
      </c>
      <c r="DP35" s="3">
        <f t="shared" si="67"/>
        <v>0.54000000000000015</v>
      </c>
      <c r="DQ35" s="14">
        <f t="shared" si="68"/>
        <v>0.54000000000000015</v>
      </c>
      <c r="DR35" s="3">
        <f t="shared" si="20"/>
        <v>3.4632392932933023</v>
      </c>
      <c r="DU35" s="3">
        <f t="shared" si="69"/>
        <v>0.54000000000000015</v>
      </c>
      <c r="DV35" s="14">
        <f t="shared" si="70"/>
        <v>0.54000000000000015</v>
      </c>
      <c r="DW35" s="3">
        <f t="shared" si="21"/>
        <v>3.4632392932933023</v>
      </c>
      <c r="DZ35" s="3">
        <f t="shared" si="71"/>
        <v>0.54000000000000015</v>
      </c>
      <c r="EA35" s="3">
        <f t="shared" si="72"/>
        <v>0.54000000000000015</v>
      </c>
      <c r="EB35" s="3">
        <f t="shared" si="22"/>
        <v>3.4632392932933023</v>
      </c>
      <c r="EE35" s="3">
        <f t="shared" si="73"/>
        <v>0.54000000000000015</v>
      </c>
      <c r="EF35" s="14">
        <f t="shared" si="74"/>
        <v>0.54000000000000015</v>
      </c>
      <c r="EG35" s="3">
        <f t="shared" si="23"/>
        <v>3.4632392932933023</v>
      </c>
      <c r="EJ35" s="3">
        <f t="shared" si="75"/>
        <v>0.54000000000000015</v>
      </c>
      <c r="EK35" s="14">
        <f t="shared" si="76"/>
        <v>0.54000000000000015</v>
      </c>
      <c r="EL35" s="3">
        <f t="shared" si="24"/>
        <v>3.4632392932933023</v>
      </c>
      <c r="EO35" s="3">
        <f t="shared" si="77"/>
        <v>0.54000000000000015</v>
      </c>
      <c r="EP35" s="3">
        <f t="shared" si="78"/>
        <v>0.54000000000000015</v>
      </c>
      <c r="EQ35" s="3">
        <f t="shared" si="25"/>
        <v>3.4632392932933023</v>
      </c>
      <c r="ET35" s="3">
        <f t="shared" si="79"/>
        <v>0.54000000000000015</v>
      </c>
      <c r="EU35" s="14">
        <f t="shared" si="80"/>
        <v>0.54000000000000015</v>
      </c>
      <c r="EV35" s="3">
        <f t="shared" si="26"/>
        <v>3.4632392932933023</v>
      </c>
    </row>
    <row r="36" spans="20:152" s="3" customFormat="1" x14ac:dyDescent="0.25">
      <c r="T36" s="3">
        <f t="shared" si="27"/>
        <v>0.56000000000000016</v>
      </c>
      <c r="U36" s="14">
        <f t="shared" si="28"/>
        <v>0.56000000000000016</v>
      </c>
      <c r="V36" s="3">
        <f t="shared" si="0"/>
        <v>3.5461808296698623</v>
      </c>
      <c r="Y36" s="3">
        <f t="shared" si="29"/>
        <v>0.56000000000000016</v>
      </c>
      <c r="Z36" s="3">
        <f t="shared" si="30"/>
        <v>0.56000000000000016</v>
      </c>
      <c r="AA36" s="3">
        <f t="shared" si="1"/>
        <v>3.5461808296698623</v>
      </c>
      <c r="AD36" s="3">
        <f t="shared" si="31"/>
        <v>0.56000000000000016</v>
      </c>
      <c r="AE36" s="14">
        <f t="shared" si="32"/>
        <v>0.56000000000000016</v>
      </c>
      <c r="AF36" s="3">
        <f t="shared" si="2"/>
        <v>3.5461808296698623</v>
      </c>
      <c r="AI36" s="3">
        <f t="shared" si="33"/>
        <v>0.56000000000000016</v>
      </c>
      <c r="AJ36" s="14">
        <f t="shared" si="34"/>
        <v>0.56000000000000016</v>
      </c>
      <c r="AK36" s="3">
        <f t="shared" si="3"/>
        <v>3.5461808296698623</v>
      </c>
      <c r="AN36" s="3">
        <f t="shared" si="35"/>
        <v>0.56000000000000016</v>
      </c>
      <c r="AO36" s="3">
        <f t="shared" si="36"/>
        <v>0.56000000000000016</v>
      </c>
      <c r="AP36" s="3">
        <f t="shared" si="4"/>
        <v>3.5461808296698623</v>
      </c>
      <c r="AS36" s="3">
        <f t="shared" si="37"/>
        <v>0.56000000000000016</v>
      </c>
      <c r="AT36" s="14">
        <f t="shared" si="38"/>
        <v>0.56000000000000016</v>
      </c>
      <c r="AU36" s="3">
        <f t="shared" si="5"/>
        <v>3.5461808296698623</v>
      </c>
      <c r="AX36" s="3">
        <f t="shared" si="39"/>
        <v>0.56000000000000016</v>
      </c>
      <c r="AY36" s="14">
        <f t="shared" si="40"/>
        <v>0.56000000000000016</v>
      </c>
      <c r="AZ36" s="3">
        <f t="shared" si="6"/>
        <v>3.5461808296698623</v>
      </c>
      <c r="BC36" s="3">
        <f t="shared" si="41"/>
        <v>0.56000000000000016</v>
      </c>
      <c r="BD36" s="3">
        <f t="shared" si="42"/>
        <v>0.56000000000000016</v>
      </c>
      <c r="BE36" s="3">
        <f t="shared" si="7"/>
        <v>3.5461808296698623</v>
      </c>
      <c r="BH36" s="3">
        <f t="shared" si="43"/>
        <v>0.56000000000000016</v>
      </c>
      <c r="BI36" s="14">
        <f t="shared" si="44"/>
        <v>0.56000000000000016</v>
      </c>
      <c r="BJ36" s="3">
        <f t="shared" si="8"/>
        <v>3.5461808296698623</v>
      </c>
      <c r="BM36" s="3">
        <f t="shared" si="45"/>
        <v>0.56000000000000016</v>
      </c>
      <c r="BN36" s="14">
        <f t="shared" si="46"/>
        <v>0.56000000000000016</v>
      </c>
      <c r="BO36" s="3">
        <f t="shared" si="9"/>
        <v>3.5461808296698623</v>
      </c>
      <c r="BR36" s="3">
        <f t="shared" si="47"/>
        <v>0.56000000000000016</v>
      </c>
      <c r="BS36" s="3">
        <f t="shared" si="48"/>
        <v>0.56000000000000016</v>
      </c>
      <c r="BT36" s="3">
        <f t="shared" si="10"/>
        <v>3.5461808296698623</v>
      </c>
      <c r="BW36" s="3">
        <f t="shared" si="49"/>
        <v>0.56000000000000016</v>
      </c>
      <c r="BX36" s="14">
        <f t="shared" si="50"/>
        <v>0.56000000000000016</v>
      </c>
      <c r="BY36" s="3">
        <f t="shared" si="11"/>
        <v>3.5461808296698623</v>
      </c>
      <c r="CB36" s="3">
        <f t="shared" si="51"/>
        <v>0.56000000000000016</v>
      </c>
      <c r="CC36" s="14">
        <f t="shared" si="52"/>
        <v>0.56000000000000016</v>
      </c>
      <c r="CD36" s="3">
        <f t="shared" si="12"/>
        <v>3.5461808296698623</v>
      </c>
      <c r="CG36" s="3">
        <f t="shared" si="53"/>
        <v>0.56000000000000016</v>
      </c>
      <c r="CH36" s="3">
        <f t="shared" si="54"/>
        <v>0.56000000000000016</v>
      </c>
      <c r="CI36" s="3">
        <f t="shared" si="13"/>
        <v>3.5461808296698623</v>
      </c>
      <c r="CL36" s="3">
        <f t="shared" si="55"/>
        <v>0.56000000000000016</v>
      </c>
      <c r="CM36" s="14">
        <f t="shared" si="56"/>
        <v>0.56000000000000016</v>
      </c>
      <c r="CN36" s="3">
        <f t="shared" si="14"/>
        <v>3.5461808296698623</v>
      </c>
      <c r="CQ36" s="3">
        <f t="shared" si="57"/>
        <v>0.56000000000000016</v>
      </c>
      <c r="CR36" s="14">
        <f t="shared" si="58"/>
        <v>0.56000000000000016</v>
      </c>
      <c r="CS36" s="3">
        <f t="shared" si="15"/>
        <v>3.5461808296698623</v>
      </c>
      <c r="CV36" s="3">
        <f t="shared" si="59"/>
        <v>0.56000000000000016</v>
      </c>
      <c r="CW36" s="3">
        <f t="shared" si="60"/>
        <v>0.56000000000000016</v>
      </c>
      <c r="CX36" s="3">
        <f t="shared" si="16"/>
        <v>3.5461808296698623</v>
      </c>
      <c r="DA36" s="3">
        <f t="shared" si="61"/>
        <v>0.56000000000000016</v>
      </c>
      <c r="DB36" s="14">
        <f t="shared" si="62"/>
        <v>0.56000000000000016</v>
      </c>
      <c r="DC36" s="3">
        <f t="shared" si="17"/>
        <v>3.5461808296698623</v>
      </c>
      <c r="DF36" s="3">
        <f t="shared" si="63"/>
        <v>0.56000000000000016</v>
      </c>
      <c r="DG36" s="14">
        <f t="shared" si="64"/>
        <v>0.56000000000000016</v>
      </c>
      <c r="DH36" s="3">
        <f t="shared" si="18"/>
        <v>3.5461808296698623</v>
      </c>
      <c r="DK36" s="3">
        <f t="shared" si="65"/>
        <v>0.56000000000000016</v>
      </c>
      <c r="DL36" s="3">
        <f t="shared" si="66"/>
        <v>0.56000000000000016</v>
      </c>
      <c r="DM36" s="3">
        <f t="shared" si="19"/>
        <v>3.5461808296698623</v>
      </c>
      <c r="DP36" s="3">
        <f t="shared" si="67"/>
        <v>0.56000000000000016</v>
      </c>
      <c r="DQ36" s="14">
        <f t="shared" si="68"/>
        <v>0.56000000000000016</v>
      </c>
      <c r="DR36" s="3">
        <f t="shared" si="20"/>
        <v>3.5461808296698623</v>
      </c>
      <c r="DU36" s="3">
        <f t="shared" si="69"/>
        <v>0.56000000000000016</v>
      </c>
      <c r="DV36" s="14">
        <f t="shared" si="70"/>
        <v>0.56000000000000016</v>
      </c>
      <c r="DW36" s="3">
        <f t="shared" si="21"/>
        <v>3.5461808296698623</v>
      </c>
      <c r="DZ36" s="3">
        <f t="shared" si="71"/>
        <v>0.56000000000000016</v>
      </c>
      <c r="EA36" s="3">
        <f t="shared" si="72"/>
        <v>0.56000000000000016</v>
      </c>
      <c r="EB36" s="3">
        <f t="shared" si="22"/>
        <v>3.5461808296698623</v>
      </c>
      <c r="EE36" s="3">
        <f t="shared" si="73"/>
        <v>0.56000000000000016</v>
      </c>
      <c r="EF36" s="14">
        <f t="shared" si="74"/>
        <v>0.56000000000000016</v>
      </c>
      <c r="EG36" s="3">
        <f t="shared" si="23"/>
        <v>3.5461808296698623</v>
      </c>
      <c r="EJ36" s="3">
        <f t="shared" si="75"/>
        <v>0.56000000000000016</v>
      </c>
      <c r="EK36" s="14">
        <f t="shared" si="76"/>
        <v>0.56000000000000016</v>
      </c>
      <c r="EL36" s="3">
        <f t="shared" si="24"/>
        <v>3.5461808296698623</v>
      </c>
      <c r="EO36" s="3">
        <f t="shared" si="77"/>
        <v>0.56000000000000016</v>
      </c>
      <c r="EP36" s="3">
        <f t="shared" si="78"/>
        <v>0.56000000000000016</v>
      </c>
      <c r="EQ36" s="3">
        <f t="shared" si="25"/>
        <v>3.5461808296698623</v>
      </c>
      <c r="ET36" s="3">
        <f t="shared" si="79"/>
        <v>0.56000000000000016</v>
      </c>
      <c r="EU36" s="14">
        <f t="shared" si="80"/>
        <v>0.56000000000000016</v>
      </c>
      <c r="EV36" s="3">
        <f t="shared" si="26"/>
        <v>3.5461808296698623</v>
      </c>
    </row>
    <row r="37" spans="20:152" s="3" customFormat="1" x14ac:dyDescent="0.25">
      <c r="T37" s="3">
        <f t="shared" si="27"/>
        <v>0.58000000000000018</v>
      </c>
      <c r="U37" s="14">
        <f t="shared" si="28"/>
        <v>0.58000000000000018</v>
      </c>
      <c r="V37" s="3">
        <f t="shared" si="0"/>
        <v>3.6264138533185739</v>
      </c>
      <c r="Y37" s="3">
        <f t="shared" si="29"/>
        <v>0.58000000000000018</v>
      </c>
      <c r="Z37" s="3">
        <f t="shared" si="30"/>
        <v>0.58000000000000018</v>
      </c>
      <c r="AA37" s="3">
        <f t="shared" si="1"/>
        <v>3.6264138533185739</v>
      </c>
      <c r="AD37" s="3">
        <f t="shared" si="31"/>
        <v>0.58000000000000018</v>
      </c>
      <c r="AE37" s="14">
        <f t="shared" si="32"/>
        <v>0.58000000000000018</v>
      </c>
      <c r="AF37" s="3">
        <f t="shared" si="2"/>
        <v>3.6264138533185739</v>
      </c>
      <c r="AI37" s="3">
        <f t="shared" si="33"/>
        <v>0.58000000000000018</v>
      </c>
      <c r="AJ37" s="14">
        <f t="shared" si="34"/>
        <v>0.58000000000000018</v>
      </c>
      <c r="AK37" s="3">
        <f t="shared" si="3"/>
        <v>3.6264138533185739</v>
      </c>
      <c r="AN37" s="3">
        <f t="shared" si="35"/>
        <v>0.58000000000000018</v>
      </c>
      <c r="AO37" s="3">
        <f t="shared" si="36"/>
        <v>0.58000000000000018</v>
      </c>
      <c r="AP37" s="3">
        <f t="shared" si="4"/>
        <v>3.6264138533185739</v>
      </c>
      <c r="AS37" s="3">
        <f t="shared" si="37"/>
        <v>0.58000000000000018</v>
      </c>
      <c r="AT37" s="14">
        <f t="shared" si="38"/>
        <v>0.58000000000000018</v>
      </c>
      <c r="AU37" s="3">
        <f t="shared" si="5"/>
        <v>3.6264138533185739</v>
      </c>
      <c r="AX37" s="3">
        <f t="shared" si="39"/>
        <v>0.58000000000000018</v>
      </c>
      <c r="AY37" s="14">
        <f t="shared" si="40"/>
        <v>0.58000000000000018</v>
      </c>
      <c r="AZ37" s="3">
        <f t="shared" si="6"/>
        <v>3.6264138533185739</v>
      </c>
      <c r="BC37" s="3">
        <f t="shared" si="41"/>
        <v>0.58000000000000018</v>
      </c>
      <c r="BD37" s="3">
        <f t="shared" si="42"/>
        <v>0.58000000000000018</v>
      </c>
      <c r="BE37" s="3">
        <f t="shared" si="7"/>
        <v>3.6264138533185739</v>
      </c>
      <c r="BH37" s="3">
        <f t="shared" si="43"/>
        <v>0.58000000000000018</v>
      </c>
      <c r="BI37" s="14">
        <f t="shared" si="44"/>
        <v>0.58000000000000018</v>
      </c>
      <c r="BJ37" s="3">
        <f t="shared" si="8"/>
        <v>3.6264138533185739</v>
      </c>
      <c r="BM37" s="3">
        <f t="shared" si="45"/>
        <v>0.58000000000000018</v>
      </c>
      <c r="BN37" s="14">
        <f t="shared" si="46"/>
        <v>0.58000000000000018</v>
      </c>
      <c r="BO37" s="3">
        <f t="shared" si="9"/>
        <v>3.6264138533185739</v>
      </c>
      <c r="BR37" s="3">
        <f t="shared" si="47"/>
        <v>0.58000000000000018</v>
      </c>
      <c r="BS37" s="3">
        <f t="shared" si="48"/>
        <v>0.58000000000000018</v>
      </c>
      <c r="BT37" s="3">
        <f t="shared" si="10"/>
        <v>3.6264138533185739</v>
      </c>
      <c r="BW37" s="3">
        <f t="shared" si="49"/>
        <v>0.58000000000000018</v>
      </c>
      <c r="BX37" s="14">
        <f t="shared" si="50"/>
        <v>0.58000000000000018</v>
      </c>
      <c r="BY37" s="3">
        <f t="shared" si="11"/>
        <v>3.6264138533185739</v>
      </c>
      <c r="CB37" s="3">
        <f t="shared" si="51"/>
        <v>0.58000000000000018</v>
      </c>
      <c r="CC37" s="14">
        <f t="shared" si="52"/>
        <v>0.58000000000000018</v>
      </c>
      <c r="CD37" s="3">
        <f t="shared" si="12"/>
        <v>3.6264138533185739</v>
      </c>
      <c r="CG37" s="3">
        <f t="shared" si="53"/>
        <v>0.58000000000000018</v>
      </c>
      <c r="CH37" s="3">
        <f t="shared" si="54"/>
        <v>0.58000000000000018</v>
      </c>
      <c r="CI37" s="3">
        <f t="shared" si="13"/>
        <v>3.6264138533185739</v>
      </c>
      <c r="CL37" s="3">
        <f t="shared" si="55"/>
        <v>0.58000000000000018</v>
      </c>
      <c r="CM37" s="14">
        <f t="shared" si="56"/>
        <v>0.58000000000000018</v>
      </c>
      <c r="CN37" s="3">
        <f t="shared" si="14"/>
        <v>3.6264138533185739</v>
      </c>
      <c r="CQ37" s="3">
        <f t="shared" si="57"/>
        <v>0.58000000000000018</v>
      </c>
      <c r="CR37" s="14">
        <f t="shared" si="58"/>
        <v>0.58000000000000018</v>
      </c>
      <c r="CS37" s="3">
        <f t="shared" si="15"/>
        <v>3.6264138533185739</v>
      </c>
      <c r="CV37" s="3">
        <f t="shared" si="59"/>
        <v>0.58000000000000018</v>
      </c>
      <c r="CW37" s="3">
        <f t="shared" si="60"/>
        <v>0.58000000000000018</v>
      </c>
      <c r="CX37" s="3">
        <f t="shared" si="16"/>
        <v>3.6264138533185739</v>
      </c>
      <c r="DA37" s="3">
        <f t="shared" si="61"/>
        <v>0.58000000000000018</v>
      </c>
      <c r="DB37" s="14">
        <f t="shared" si="62"/>
        <v>0.58000000000000018</v>
      </c>
      <c r="DC37" s="3">
        <f t="shared" si="17"/>
        <v>3.6264138533185739</v>
      </c>
      <c r="DF37" s="3">
        <f t="shared" si="63"/>
        <v>0.58000000000000018</v>
      </c>
      <c r="DG37" s="14">
        <f t="shared" si="64"/>
        <v>0.58000000000000018</v>
      </c>
      <c r="DH37" s="3">
        <f t="shared" si="18"/>
        <v>3.6264138533185739</v>
      </c>
      <c r="DK37" s="3">
        <f t="shared" si="65"/>
        <v>0.58000000000000018</v>
      </c>
      <c r="DL37" s="3">
        <f t="shared" si="66"/>
        <v>0.58000000000000018</v>
      </c>
      <c r="DM37" s="3">
        <f t="shared" si="19"/>
        <v>3.6264138533185739</v>
      </c>
      <c r="DP37" s="3">
        <f t="shared" si="67"/>
        <v>0.58000000000000018</v>
      </c>
      <c r="DQ37" s="14">
        <f t="shared" si="68"/>
        <v>0.58000000000000018</v>
      </c>
      <c r="DR37" s="3">
        <f t="shared" si="20"/>
        <v>3.6264138533185739</v>
      </c>
      <c r="DU37" s="3">
        <f t="shared" si="69"/>
        <v>0.58000000000000018</v>
      </c>
      <c r="DV37" s="14">
        <f t="shared" si="70"/>
        <v>0.58000000000000018</v>
      </c>
      <c r="DW37" s="3">
        <f t="shared" si="21"/>
        <v>3.6264138533185739</v>
      </c>
      <c r="DZ37" s="3">
        <f t="shared" si="71"/>
        <v>0.58000000000000018</v>
      </c>
      <c r="EA37" s="3">
        <f t="shared" si="72"/>
        <v>0.58000000000000018</v>
      </c>
      <c r="EB37" s="3">
        <f t="shared" si="22"/>
        <v>3.6264138533185739</v>
      </c>
      <c r="EE37" s="3">
        <f t="shared" si="73"/>
        <v>0.58000000000000018</v>
      </c>
      <c r="EF37" s="14">
        <f t="shared" si="74"/>
        <v>0.58000000000000018</v>
      </c>
      <c r="EG37" s="3">
        <f t="shared" si="23"/>
        <v>3.6264138533185739</v>
      </c>
      <c r="EJ37" s="3">
        <f t="shared" si="75"/>
        <v>0.58000000000000018</v>
      </c>
      <c r="EK37" s="14">
        <f t="shared" si="76"/>
        <v>0.58000000000000018</v>
      </c>
      <c r="EL37" s="3">
        <f t="shared" si="24"/>
        <v>3.6264138533185739</v>
      </c>
      <c r="EO37" s="3">
        <f t="shared" si="77"/>
        <v>0.58000000000000018</v>
      </c>
      <c r="EP37" s="3">
        <f t="shared" si="78"/>
        <v>0.58000000000000018</v>
      </c>
      <c r="EQ37" s="3">
        <f t="shared" si="25"/>
        <v>3.6264138533185739</v>
      </c>
      <c r="ET37" s="3">
        <f t="shared" si="79"/>
        <v>0.58000000000000018</v>
      </c>
      <c r="EU37" s="14">
        <f t="shared" si="80"/>
        <v>0.58000000000000018</v>
      </c>
      <c r="EV37" s="3">
        <f t="shared" si="26"/>
        <v>3.6264138533185739</v>
      </c>
    </row>
    <row r="38" spans="20:152" s="3" customFormat="1" x14ac:dyDescent="0.25">
      <c r="T38" s="3">
        <f t="shared" si="27"/>
        <v>0.6000000000000002</v>
      </c>
      <c r="U38" s="14">
        <f t="shared" si="28"/>
        <v>0.6000000000000002</v>
      </c>
      <c r="V38" s="3">
        <f t="shared" si="0"/>
        <v>3.7039383642394395</v>
      </c>
      <c r="Y38" s="3">
        <f t="shared" si="29"/>
        <v>0.6000000000000002</v>
      </c>
      <c r="Z38" s="3">
        <f t="shared" si="30"/>
        <v>0.6000000000000002</v>
      </c>
      <c r="AA38" s="3">
        <f t="shared" si="1"/>
        <v>3.7039383642394395</v>
      </c>
      <c r="AD38" s="3">
        <f t="shared" si="31"/>
        <v>0.6000000000000002</v>
      </c>
      <c r="AE38" s="14">
        <f t="shared" si="32"/>
        <v>0.6000000000000002</v>
      </c>
      <c r="AF38" s="3">
        <f t="shared" si="2"/>
        <v>3.7039383642394395</v>
      </c>
      <c r="AI38" s="3">
        <f t="shared" si="33"/>
        <v>0.6000000000000002</v>
      </c>
      <c r="AJ38" s="14">
        <f t="shared" si="34"/>
        <v>0.6000000000000002</v>
      </c>
      <c r="AK38" s="3">
        <f t="shared" si="3"/>
        <v>3.7039383642394395</v>
      </c>
      <c r="AN38" s="3">
        <f t="shared" si="35"/>
        <v>0.6000000000000002</v>
      </c>
      <c r="AO38" s="3">
        <f t="shared" si="36"/>
        <v>0.6000000000000002</v>
      </c>
      <c r="AP38" s="3">
        <f t="shared" si="4"/>
        <v>3.7039383642394395</v>
      </c>
      <c r="AS38" s="3">
        <f t="shared" si="37"/>
        <v>0.6000000000000002</v>
      </c>
      <c r="AT38" s="14">
        <f t="shared" si="38"/>
        <v>0.6000000000000002</v>
      </c>
      <c r="AU38" s="3">
        <f t="shared" si="5"/>
        <v>3.7039383642394395</v>
      </c>
      <c r="AX38" s="3">
        <f t="shared" si="39"/>
        <v>0.6000000000000002</v>
      </c>
      <c r="AY38" s="14">
        <f t="shared" si="40"/>
        <v>0.6000000000000002</v>
      </c>
      <c r="AZ38" s="3">
        <f t="shared" si="6"/>
        <v>3.7039383642394395</v>
      </c>
      <c r="BC38" s="3">
        <f t="shared" si="41"/>
        <v>0.6000000000000002</v>
      </c>
      <c r="BD38" s="3">
        <f t="shared" si="42"/>
        <v>0.6000000000000002</v>
      </c>
      <c r="BE38" s="3">
        <f t="shared" si="7"/>
        <v>3.7039383642394395</v>
      </c>
      <c r="BH38" s="3">
        <f t="shared" si="43"/>
        <v>0.6000000000000002</v>
      </c>
      <c r="BI38" s="14">
        <f t="shared" si="44"/>
        <v>0.6000000000000002</v>
      </c>
      <c r="BJ38" s="3">
        <f t="shared" si="8"/>
        <v>3.7039383642394395</v>
      </c>
      <c r="BM38" s="3">
        <f t="shared" si="45"/>
        <v>0.6000000000000002</v>
      </c>
      <c r="BN38" s="14">
        <f t="shared" si="46"/>
        <v>0.6000000000000002</v>
      </c>
      <c r="BO38" s="3">
        <f t="shared" si="9"/>
        <v>3.7039383642394395</v>
      </c>
      <c r="BR38" s="3">
        <f t="shared" si="47"/>
        <v>0.6000000000000002</v>
      </c>
      <c r="BS38" s="3">
        <f t="shared" si="48"/>
        <v>0.6000000000000002</v>
      </c>
      <c r="BT38" s="3">
        <f t="shared" si="10"/>
        <v>3.7039383642394395</v>
      </c>
      <c r="BW38" s="3">
        <f t="shared" si="49"/>
        <v>0.6000000000000002</v>
      </c>
      <c r="BX38" s="14">
        <f t="shared" si="50"/>
        <v>0.6000000000000002</v>
      </c>
      <c r="BY38" s="3">
        <f t="shared" si="11"/>
        <v>3.7039383642394395</v>
      </c>
      <c r="CB38" s="3">
        <f t="shared" si="51"/>
        <v>0.6000000000000002</v>
      </c>
      <c r="CC38" s="14">
        <f t="shared" si="52"/>
        <v>0.6000000000000002</v>
      </c>
      <c r="CD38" s="3">
        <f t="shared" si="12"/>
        <v>3.7039383642394395</v>
      </c>
      <c r="CG38" s="3">
        <f t="shared" si="53"/>
        <v>0.6000000000000002</v>
      </c>
      <c r="CH38" s="3">
        <f t="shared" si="54"/>
        <v>0.6000000000000002</v>
      </c>
      <c r="CI38" s="3">
        <f t="shared" si="13"/>
        <v>3.7039383642394395</v>
      </c>
      <c r="CL38" s="3">
        <f t="shared" si="55"/>
        <v>0.6000000000000002</v>
      </c>
      <c r="CM38" s="14">
        <f t="shared" si="56"/>
        <v>0.6000000000000002</v>
      </c>
      <c r="CN38" s="3">
        <f t="shared" si="14"/>
        <v>3.7039383642394395</v>
      </c>
      <c r="CQ38" s="3">
        <f t="shared" si="57"/>
        <v>0.6000000000000002</v>
      </c>
      <c r="CR38" s="14">
        <f t="shared" si="58"/>
        <v>0.6000000000000002</v>
      </c>
      <c r="CS38" s="3">
        <f t="shared" si="15"/>
        <v>3.7039383642394395</v>
      </c>
      <c r="CV38" s="3">
        <f t="shared" si="59"/>
        <v>0.6000000000000002</v>
      </c>
      <c r="CW38" s="3">
        <f t="shared" si="60"/>
        <v>0.6000000000000002</v>
      </c>
      <c r="CX38" s="3">
        <f t="shared" si="16"/>
        <v>3.7039383642394395</v>
      </c>
      <c r="DA38" s="3">
        <f t="shared" si="61"/>
        <v>0.6000000000000002</v>
      </c>
      <c r="DB38" s="14">
        <f t="shared" si="62"/>
        <v>0.6000000000000002</v>
      </c>
      <c r="DC38" s="3">
        <f t="shared" si="17"/>
        <v>3.7039383642394395</v>
      </c>
      <c r="DF38" s="3">
        <f t="shared" si="63"/>
        <v>0.6000000000000002</v>
      </c>
      <c r="DG38" s="14">
        <f t="shared" si="64"/>
        <v>0.6000000000000002</v>
      </c>
      <c r="DH38" s="3">
        <f t="shared" si="18"/>
        <v>3.7039383642394395</v>
      </c>
      <c r="DK38" s="3">
        <f t="shared" si="65"/>
        <v>0.6000000000000002</v>
      </c>
      <c r="DL38" s="3">
        <f t="shared" si="66"/>
        <v>0.6000000000000002</v>
      </c>
      <c r="DM38" s="3">
        <f t="shared" si="19"/>
        <v>3.7039383642394395</v>
      </c>
      <c r="DP38" s="3">
        <f t="shared" si="67"/>
        <v>0.6000000000000002</v>
      </c>
      <c r="DQ38" s="14">
        <f t="shared" si="68"/>
        <v>0.6000000000000002</v>
      </c>
      <c r="DR38" s="3">
        <f t="shared" si="20"/>
        <v>3.7039383642394395</v>
      </c>
      <c r="DU38" s="3">
        <f t="shared" si="69"/>
        <v>0.6000000000000002</v>
      </c>
      <c r="DV38" s="14">
        <f t="shared" si="70"/>
        <v>0.6000000000000002</v>
      </c>
      <c r="DW38" s="3">
        <f t="shared" si="21"/>
        <v>3.7039383642394395</v>
      </c>
      <c r="DZ38" s="3">
        <f t="shared" si="71"/>
        <v>0.6000000000000002</v>
      </c>
      <c r="EA38" s="3">
        <f t="shared" si="72"/>
        <v>0.6000000000000002</v>
      </c>
      <c r="EB38" s="3">
        <f t="shared" si="22"/>
        <v>3.7039383642394395</v>
      </c>
      <c r="EE38" s="3">
        <f t="shared" si="73"/>
        <v>0.6000000000000002</v>
      </c>
      <c r="EF38" s="14">
        <f t="shared" si="74"/>
        <v>0.6000000000000002</v>
      </c>
      <c r="EG38" s="3">
        <f t="shared" si="23"/>
        <v>3.7039383642394395</v>
      </c>
      <c r="EJ38" s="3">
        <f t="shared" si="75"/>
        <v>0.6000000000000002</v>
      </c>
      <c r="EK38" s="14">
        <f t="shared" si="76"/>
        <v>0.6000000000000002</v>
      </c>
      <c r="EL38" s="3">
        <f t="shared" si="24"/>
        <v>3.7039383642394395</v>
      </c>
      <c r="EO38" s="3">
        <f t="shared" si="77"/>
        <v>0.6000000000000002</v>
      </c>
      <c r="EP38" s="3">
        <f t="shared" si="78"/>
        <v>0.6000000000000002</v>
      </c>
      <c r="EQ38" s="3">
        <f t="shared" si="25"/>
        <v>3.7039383642394395</v>
      </c>
      <c r="ET38" s="3">
        <f t="shared" si="79"/>
        <v>0.6000000000000002</v>
      </c>
      <c r="EU38" s="14">
        <f t="shared" si="80"/>
        <v>0.6000000000000002</v>
      </c>
      <c r="EV38" s="3">
        <f t="shared" si="26"/>
        <v>3.7039383642394395</v>
      </c>
    </row>
    <row r="39" spans="20:152" s="3" customFormat="1" x14ac:dyDescent="0.25">
      <c r="T39" s="3">
        <f t="shared" si="27"/>
        <v>0.62000000000000022</v>
      </c>
      <c r="U39" s="14">
        <f t="shared" si="28"/>
        <v>0.62000000000000022</v>
      </c>
      <c r="V39" s="3">
        <f t="shared" si="0"/>
        <v>3.7787543624324571</v>
      </c>
      <c r="Y39" s="3">
        <f t="shared" si="29"/>
        <v>0.62000000000000022</v>
      </c>
      <c r="Z39" s="3">
        <f t="shared" si="30"/>
        <v>0.62000000000000022</v>
      </c>
      <c r="AA39" s="3">
        <f t="shared" si="1"/>
        <v>3.7787543624324571</v>
      </c>
      <c r="AD39" s="3">
        <f t="shared" si="31"/>
        <v>0.62000000000000022</v>
      </c>
      <c r="AE39" s="14">
        <f t="shared" si="32"/>
        <v>0.62000000000000022</v>
      </c>
      <c r="AF39" s="3">
        <f t="shared" si="2"/>
        <v>3.7787543624324571</v>
      </c>
      <c r="AI39" s="3">
        <f t="shared" si="33"/>
        <v>0.62000000000000022</v>
      </c>
      <c r="AJ39" s="14">
        <f t="shared" si="34"/>
        <v>0.62000000000000022</v>
      </c>
      <c r="AK39" s="3">
        <f t="shared" si="3"/>
        <v>3.7787543624324571</v>
      </c>
      <c r="AN39" s="3">
        <f t="shared" si="35"/>
        <v>0.62000000000000022</v>
      </c>
      <c r="AO39" s="3">
        <f t="shared" si="36"/>
        <v>0.62000000000000022</v>
      </c>
      <c r="AP39" s="3">
        <f t="shared" si="4"/>
        <v>3.7787543624324571</v>
      </c>
      <c r="AS39" s="3">
        <f t="shared" si="37"/>
        <v>0.62000000000000022</v>
      </c>
      <c r="AT39" s="14">
        <f t="shared" si="38"/>
        <v>0.62000000000000022</v>
      </c>
      <c r="AU39" s="3">
        <f t="shared" si="5"/>
        <v>3.7787543624324571</v>
      </c>
      <c r="AX39" s="3">
        <f t="shared" si="39"/>
        <v>0.62000000000000022</v>
      </c>
      <c r="AY39" s="14">
        <f t="shared" si="40"/>
        <v>0.62000000000000022</v>
      </c>
      <c r="AZ39" s="3">
        <f t="shared" si="6"/>
        <v>3.7787543624324571</v>
      </c>
      <c r="BC39" s="3">
        <f t="shared" si="41"/>
        <v>0.62000000000000022</v>
      </c>
      <c r="BD39" s="3">
        <f t="shared" si="42"/>
        <v>0.62000000000000022</v>
      </c>
      <c r="BE39" s="3">
        <f t="shared" si="7"/>
        <v>3.7787543624324571</v>
      </c>
      <c r="BH39" s="3">
        <f t="shared" si="43"/>
        <v>0.62000000000000022</v>
      </c>
      <c r="BI39" s="14">
        <f t="shared" si="44"/>
        <v>0.62000000000000022</v>
      </c>
      <c r="BJ39" s="3">
        <f t="shared" si="8"/>
        <v>3.7787543624324571</v>
      </c>
      <c r="BM39" s="3">
        <f t="shared" si="45"/>
        <v>0.62000000000000022</v>
      </c>
      <c r="BN39" s="14">
        <f t="shared" si="46"/>
        <v>0.62000000000000022</v>
      </c>
      <c r="BO39" s="3">
        <f t="shared" si="9"/>
        <v>3.7787543624324571</v>
      </c>
      <c r="BR39" s="3">
        <f t="shared" si="47"/>
        <v>0.62000000000000022</v>
      </c>
      <c r="BS39" s="3">
        <f t="shared" si="48"/>
        <v>0.62000000000000022</v>
      </c>
      <c r="BT39" s="3">
        <f t="shared" si="10"/>
        <v>3.7787543624324571</v>
      </c>
      <c r="BW39" s="3">
        <f t="shared" si="49"/>
        <v>0.62000000000000022</v>
      </c>
      <c r="BX39" s="14">
        <f t="shared" si="50"/>
        <v>0.62000000000000022</v>
      </c>
      <c r="BY39" s="3">
        <f t="shared" si="11"/>
        <v>3.7787543624324571</v>
      </c>
      <c r="CB39" s="3">
        <f t="shared" si="51"/>
        <v>0.62000000000000022</v>
      </c>
      <c r="CC39" s="14">
        <f t="shared" si="52"/>
        <v>0.62000000000000022</v>
      </c>
      <c r="CD39" s="3">
        <f t="shared" si="12"/>
        <v>3.7787543624324571</v>
      </c>
      <c r="CG39" s="3">
        <f t="shared" si="53"/>
        <v>0.62000000000000022</v>
      </c>
      <c r="CH39" s="3">
        <f t="shared" si="54"/>
        <v>0.62000000000000022</v>
      </c>
      <c r="CI39" s="3">
        <f t="shared" si="13"/>
        <v>3.7787543624324571</v>
      </c>
      <c r="CL39" s="3">
        <f t="shared" si="55"/>
        <v>0.62000000000000022</v>
      </c>
      <c r="CM39" s="14">
        <f t="shared" si="56"/>
        <v>0.62000000000000022</v>
      </c>
      <c r="CN39" s="3">
        <f t="shared" si="14"/>
        <v>3.7787543624324571</v>
      </c>
      <c r="CQ39" s="3">
        <f t="shared" si="57"/>
        <v>0.62000000000000022</v>
      </c>
      <c r="CR39" s="14">
        <f t="shared" si="58"/>
        <v>0.62000000000000022</v>
      </c>
      <c r="CS39" s="3">
        <f t="shared" si="15"/>
        <v>3.7787543624324571</v>
      </c>
      <c r="CV39" s="3">
        <f t="shared" si="59"/>
        <v>0.62000000000000022</v>
      </c>
      <c r="CW39" s="3">
        <f t="shared" si="60"/>
        <v>0.62000000000000022</v>
      </c>
      <c r="CX39" s="3">
        <f t="shared" si="16"/>
        <v>3.7787543624324571</v>
      </c>
      <c r="DA39" s="3">
        <f t="shared" si="61"/>
        <v>0.62000000000000022</v>
      </c>
      <c r="DB39" s="14">
        <f t="shared" si="62"/>
        <v>0.62000000000000022</v>
      </c>
      <c r="DC39" s="3">
        <f t="shared" si="17"/>
        <v>3.7787543624324571</v>
      </c>
      <c r="DF39" s="3">
        <f t="shared" si="63"/>
        <v>0.62000000000000022</v>
      </c>
      <c r="DG39" s="14">
        <f t="shared" si="64"/>
        <v>0.62000000000000022</v>
      </c>
      <c r="DH39" s="3">
        <f t="shared" si="18"/>
        <v>3.7787543624324571</v>
      </c>
      <c r="DK39" s="3">
        <f t="shared" si="65"/>
        <v>0.62000000000000022</v>
      </c>
      <c r="DL39" s="3">
        <f t="shared" si="66"/>
        <v>0.62000000000000022</v>
      </c>
      <c r="DM39" s="3">
        <f t="shared" si="19"/>
        <v>3.7787543624324571</v>
      </c>
      <c r="DP39" s="3">
        <f t="shared" si="67"/>
        <v>0.62000000000000022</v>
      </c>
      <c r="DQ39" s="14">
        <f t="shared" si="68"/>
        <v>0.62000000000000022</v>
      </c>
      <c r="DR39" s="3">
        <f t="shared" si="20"/>
        <v>3.7787543624324571</v>
      </c>
      <c r="DU39" s="3">
        <f t="shared" si="69"/>
        <v>0.62000000000000022</v>
      </c>
      <c r="DV39" s="14">
        <f t="shared" si="70"/>
        <v>0.62000000000000022</v>
      </c>
      <c r="DW39" s="3">
        <f t="shared" si="21"/>
        <v>3.7787543624324571</v>
      </c>
      <c r="DZ39" s="3">
        <f t="shared" si="71"/>
        <v>0.62000000000000022</v>
      </c>
      <c r="EA39" s="3">
        <f t="shared" si="72"/>
        <v>0.62000000000000022</v>
      </c>
      <c r="EB39" s="3">
        <f t="shared" si="22"/>
        <v>3.7787543624324571</v>
      </c>
      <c r="EE39" s="3">
        <f t="shared" si="73"/>
        <v>0.62000000000000022</v>
      </c>
      <c r="EF39" s="14">
        <f t="shared" si="74"/>
        <v>0.62000000000000022</v>
      </c>
      <c r="EG39" s="3">
        <f t="shared" si="23"/>
        <v>3.7787543624324571</v>
      </c>
      <c r="EJ39" s="3">
        <f t="shared" si="75"/>
        <v>0.62000000000000022</v>
      </c>
      <c r="EK39" s="14">
        <f t="shared" si="76"/>
        <v>0.62000000000000022</v>
      </c>
      <c r="EL39" s="3">
        <f t="shared" si="24"/>
        <v>3.7787543624324571</v>
      </c>
      <c r="EO39" s="3">
        <f t="shared" si="77"/>
        <v>0.62000000000000022</v>
      </c>
      <c r="EP39" s="3">
        <f t="shared" si="78"/>
        <v>0.62000000000000022</v>
      </c>
      <c r="EQ39" s="3">
        <f t="shared" si="25"/>
        <v>3.7787543624324571</v>
      </c>
      <c r="ET39" s="3">
        <f t="shared" si="79"/>
        <v>0.62000000000000022</v>
      </c>
      <c r="EU39" s="14">
        <f t="shared" si="80"/>
        <v>0.62000000000000022</v>
      </c>
      <c r="EV39" s="3">
        <f t="shared" si="26"/>
        <v>3.7787543624324571</v>
      </c>
    </row>
    <row r="40" spans="20:152" s="3" customFormat="1" x14ac:dyDescent="0.25">
      <c r="T40" s="3">
        <f t="shared" si="27"/>
        <v>0.64000000000000024</v>
      </c>
      <c r="U40" s="14">
        <f t="shared" si="28"/>
        <v>0.64000000000000024</v>
      </c>
      <c r="V40" s="3">
        <f t="shared" si="0"/>
        <v>3.8508618478976286</v>
      </c>
      <c r="Y40" s="3">
        <f t="shared" si="29"/>
        <v>0.64000000000000024</v>
      </c>
      <c r="Z40" s="3">
        <f t="shared" si="30"/>
        <v>0.64000000000000024</v>
      </c>
      <c r="AA40" s="3">
        <f t="shared" si="1"/>
        <v>3.8508618478976286</v>
      </c>
      <c r="AD40" s="3">
        <f t="shared" si="31"/>
        <v>0.64000000000000024</v>
      </c>
      <c r="AE40" s="14">
        <f t="shared" si="32"/>
        <v>0.64000000000000024</v>
      </c>
      <c r="AF40" s="3">
        <f t="shared" si="2"/>
        <v>3.8508618478976286</v>
      </c>
      <c r="AI40" s="3">
        <f t="shared" si="33"/>
        <v>0.64000000000000024</v>
      </c>
      <c r="AJ40" s="14">
        <f t="shared" si="34"/>
        <v>0.64000000000000024</v>
      </c>
      <c r="AK40" s="3">
        <f t="shared" si="3"/>
        <v>3.8508618478976286</v>
      </c>
      <c r="AN40" s="3">
        <f t="shared" si="35"/>
        <v>0.64000000000000024</v>
      </c>
      <c r="AO40" s="3">
        <f t="shared" si="36"/>
        <v>0.64000000000000024</v>
      </c>
      <c r="AP40" s="3">
        <f t="shared" si="4"/>
        <v>3.8508618478976286</v>
      </c>
      <c r="AS40" s="3">
        <f t="shared" si="37"/>
        <v>0.64000000000000024</v>
      </c>
      <c r="AT40" s="14">
        <f t="shared" si="38"/>
        <v>0.64000000000000024</v>
      </c>
      <c r="AU40" s="3">
        <f t="shared" si="5"/>
        <v>3.8508618478976286</v>
      </c>
      <c r="AX40" s="3">
        <f t="shared" si="39"/>
        <v>0.64000000000000024</v>
      </c>
      <c r="AY40" s="14">
        <f t="shared" si="40"/>
        <v>0.64000000000000024</v>
      </c>
      <c r="AZ40" s="3">
        <f t="shared" si="6"/>
        <v>3.8508618478976286</v>
      </c>
      <c r="BC40" s="3">
        <f t="shared" si="41"/>
        <v>0.64000000000000024</v>
      </c>
      <c r="BD40" s="3">
        <f t="shared" si="42"/>
        <v>0.64000000000000024</v>
      </c>
      <c r="BE40" s="3">
        <f t="shared" si="7"/>
        <v>3.8508618478976286</v>
      </c>
      <c r="BH40" s="3">
        <f t="shared" si="43"/>
        <v>0.64000000000000024</v>
      </c>
      <c r="BI40" s="14">
        <f t="shared" si="44"/>
        <v>0.64000000000000024</v>
      </c>
      <c r="BJ40" s="3">
        <f t="shared" si="8"/>
        <v>3.8508618478976286</v>
      </c>
      <c r="BM40" s="3">
        <f t="shared" si="45"/>
        <v>0.64000000000000024</v>
      </c>
      <c r="BN40" s="14">
        <f t="shared" si="46"/>
        <v>0.64000000000000024</v>
      </c>
      <c r="BO40" s="3">
        <f t="shared" si="9"/>
        <v>3.8508618478976286</v>
      </c>
      <c r="BR40" s="3">
        <f t="shared" si="47"/>
        <v>0.64000000000000024</v>
      </c>
      <c r="BS40" s="3">
        <f t="shared" si="48"/>
        <v>0.64000000000000024</v>
      </c>
      <c r="BT40" s="3">
        <f t="shared" si="10"/>
        <v>3.8508618478976286</v>
      </c>
      <c r="BW40" s="3">
        <f t="shared" si="49"/>
        <v>0.64000000000000024</v>
      </c>
      <c r="BX40" s="14">
        <f t="shared" si="50"/>
        <v>0.64000000000000024</v>
      </c>
      <c r="BY40" s="3">
        <f t="shared" si="11"/>
        <v>3.8508618478976286</v>
      </c>
      <c r="CB40" s="3">
        <f t="shared" si="51"/>
        <v>0.64000000000000024</v>
      </c>
      <c r="CC40" s="14">
        <f t="shared" si="52"/>
        <v>0.64000000000000024</v>
      </c>
      <c r="CD40" s="3">
        <f t="shared" si="12"/>
        <v>3.8508618478976286</v>
      </c>
      <c r="CG40" s="3">
        <f t="shared" si="53"/>
        <v>0.64000000000000024</v>
      </c>
      <c r="CH40" s="3">
        <f t="shared" si="54"/>
        <v>0.64000000000000024</v>
      </c>
      <c r="CI40" s="3">
        <f t="shared" si="13"/>
        <v>3.8508618478976286</v>
      </c>
      <c r="CL40" s="3">
        <f t="shared" si="55"/>
        <v>0.64000000000000024</v>
      </c>
      <c r="CM40" s="14">
        <f t="shared" si="56"/>
        <v>0.64000000000000024</v>
      </c>
      <c r="CN40" s="3">
        <f t="shared" si="14"/>
        <v>3.8508618478976286</v>
      </c>
      <c r="CQ40" s="3">
        <f t="shared" si="57"/>
        <v>0.64000000000000024</v>
      </c>
      <c r="CR40" s="14">
        <f t="shared" si="58"/>
        <v>0.64000000000000024</v>
      </c>
      <c r="CS40" s="3">
        <f t="shared" si="15"/>
        <v>3.8508618478976286</v>
      </c>
      <c r="CV40" s="3">
        <f t="shared" si="59"/>
        <v>0.64000000000000024</v>
      </c>
      <c r="CW40" s="3">
        <f t="shared" si="60"/>
        <v>0.64000000000000024</v>
      </c>
      <c r="CX40" s="3">
        <f t="shared" si="16"/>
        <v>3.8508618478976286</v>
      </c>
      <c r="DA40" s="3">
        <f t="shared" si="61"/>
        <v>0.64000000000000024</v>
      </c>
      <c r="DB40" s="14">
        <f t="shared" si="62"/>
        <v>0.64000000000000024</v>
      </c>
      <c r="DC40" s="3">
        <f t="shared" si="17"/>
        <v>3.8508618478976286</v>
      </c>
      <c r="DF40" s="3">
        <f t="shared" si="63"/>
        <v>0.64000000000000024</v>
      </c>
      <c r="DG40" s="14">
        <f t="shared" si="64"/>
        <v>0.64000000000000024</v>
      </c>
      <c r="DH40" s="3">
        <f t="shared" si="18"/>
        <v>3.8508618478976286</v>
      </c>
      <c r="DK40" s="3">
        <f t="shared" si="65"/>
        <v>0.64000000000000024</v>
      </c>
      <c r="DL40" s="3">
        <f t="shared" si="66"/>
        <v>0.64000000000000024</v>
      </c>
      <c r="DM40" s="3">
        <f t="shared" si="19"/>
        <v>3.8508618478976286</v>
      </c>
      <c r="DP40" s="3">
        <f t="shared" si="67"/>
        <v>0.64000000000000024</v>
      </c>
      <c r="DQ40" s="14">
        <f t="shared" si="68"/>
        <v>0.64000000000000024</v>
      </c>
      <c r="DR40" s="3">
        <f t="shared" si="20"/>
        <v>3.8508618478976286</v>
      </c>
      <c r="DU40" s="3">
        <f t="shared" si="69"/>
        <v>0.64000000000000024</v>
      </c>
      <c r="DV40" s="14">
        <f t="shared" si="70"/>
        <v>0.64000000000000024</v>
      </c>
      <c r="DW40" s="3">
        <f t="shared" si="21"/>
        <v>3.8508618478976286</v>
      </c>
      <c r="DZ40" s="3">
        <f t="shared" si="71"/>
        <v>0.64000000000000024</v>
      </c>
      <c r="EA40" s="3">
        <f t="shared" si="72"/>
        <v>0.64000000000000024</v>
      </c>
      <c r="EB40" s="3">
        <f t="shared" si="22"/>
        <v>3.8508618478976286</v>
      </c>
      <c r="EE40" s="3">
        <f t="shared" si="73"/>
        <v>0.64000000000000024</v>
      </c>
      <c r="EF40" s="14">
        <f t="shared" si="74"/>
        <v>0.64000000000000024</v>
      </c>
      <c r="EG40" s="3">
        <f t="shared" si="23"/>
        <v>3.8508618478976286</v>
      </c>
      <c r="EJ40" s="3">
        <f t="shared" si="75"/>
        <v>0.64000000000000024</v>
      </c>
      <c r="EK40" s="14">
        <f t="shared" si="76"/>
        <v>0.64000000000000024</v>
      </c>
      <c r="EL40" s="3">
        <f t="shared" si="24"/>
        <v>3.8508618478976286</v>
      </c>
      <c r="EO40" s="3">
        <f t="shared" si="77"/>
        <v>0.64000000000000024</v>
      </c>
      <c r="EP40" s="3">
        <f t="shared" si="78"/>
        <v>0.64000000000000024</v>
      </c>
      <c r="EQ40" s="3">
        <f t="shared" si="25"/>
        <v>3.8508618478976286</v>
      </c>
      <c r="ET40" s="3">
        <f t="shared" si="79"/>
        <v>0.64000000000000024</v>
      </c>
      <c r="EU40" s="14">
        <f t="shared" si="80"/>
        <v>0.64000000000000024</v>
      </c>
      <c r="EV40" s="3">
        <f t="shared" si="26"/>
        <v>3.8508618478976286</v>
      </c>
    </row>
    <row r="41" spans="20:152" s="3" customFormat="1" x14ac:dyDescent="0.25">
      <c r="T41" s="3">
        <f t="shared" si="27"/>
        <v>0.66000000000000025</v>
      </c>
      <c r="U41" s="14">
        <f t="shared" si="28"/>
        <v>0.66000000000000025</v>
      </c>
      <c r="V41" s="3">
        <f t="shared" si="0"/>
        <v>3.9202608206349523</v>
      </c>
      <c r="Y41" s="3">
        <f t="shared" si="29"/>
        <v>0.66000000000000025</v>
      </c>
      <c r="Z41" s="3">
        <f t="shared" si="30"/>
        <v>0.66000000000000025</v>
      </c>
      <c r="AA41" s="3">
        <f t="shared" si="1"/>
        <v>3.9202608206349523</v>
      </c>
      <c r="AD41" s="3">
        <f t="shared" si="31"/>
        <v>0.66000000000000025</v>
      </c>
      <c r="AE41" s="14">
        <f t="shared" si="32"/>
        <v>0.66000000000000025</v>
      </c>
      <c r="AF41" s="3">
        <f t="shared" si="2"/>
        <v>3.9202608206349523</v>
      </c>
      <c r="AI41" s="3">
        <f t="shared" si="33"/>
        <v>0.66000000000000025</v>
      </c>
      <c r="AJ41" s="14">
        <f t="shared" si="34"/>
        <v>0.66000000000000025</v>
      </c>
      <c r="AK41" s="3">
        <f t="shared" si="3"/>
        <v>3.9202608206349523</v>
      </c>
      <c r="AN41" s="3">
        <f t="shared" si="35"/>
        <v>0.66000000000000025</v>
      </c>
      <c r="AO41" s="3">
        <f t="shared" si="36"/>
        <v>0.66000000000000025</v>
      </c>
      <c r="AP41" s="3">
        <f t="shared" si="4"/>
        <v>3.9202608206349523</v>
      </c>
      <c r="AS41" s="3">
        <f t="shared" si="37"/>
        <v>0.66000000000000025</v>
      </c>
      <c r="AT41" s="14">
        <f t="shared" si="38"/>
        <v>0.66000000000000025</v>
      </c>
      <c r="AU41" s="3">
        <f t="shared" si="5"/>
        <v>3.9202608206349523</v>
      </c>
      <c r="AX41" s="3">
        <f t="shared" si="39"/>
        <v>0.66000000000000025</v>
      </c>
      <c r="AY41" s="14">
        <f t="shared" si="40"/>
        <v>0.66000000000000025</v>
      </c>
      <c r="AZ41" s="3">
        <f t="shared" si="6"/>
        <v>3.9202608206349523</v>
      </c>
      <c r="BC41" s="3">
        <f t="shared" si="41"/>
        <v>0.66000000000000025</v>
      </c>
      <c r="BD41" s="3">
        <f t="shared" si="42"/>
        <v>0.66000000000000025</v>
      </c>
      <c r="BE41" s="3">
        <f t="shared" si="7"/>
        <v>3.9202608206349523</v>
      </c>
      <c r="BH41" s="3">
        <f t="shared" si="43"/>
        <v>0.66000000000000025</v>
      </c>
      <c r="BI41" s="14">
        <f t="shared" si="44"/>
        <v>0.66000000000000025</v>
      </c>
      <c r="BJ41" s="3">
        <f t="shared" si="8"/>
        <v>3.9202608206349523</v>
      </c>
      <c r="BM41" s="3">
        <f t="shared" si="45"/>
        <v>0.66000000000000025</v>
      </c>
      <c r="BN41" s="14">
        <f t="shared" si="46"/>
        <v>0.66000000000000025</v>
      </c>
      <c r="BO41" s="3">
        <f t="shared" si="9"/>
        <v>3.9202608206349523</v>
      </c>
      <c r="BR41" s="3">
        <f t="shared" si="47"/>
        <v>0.66000000000000025</v>
      </c>
      <c r="BS41" s="3">
        <f t="shared" si="48"/>
        <v>0.66000000000000025</v>
      </c>
      <c r="BT41" s="3">
        <f t="shared" si="10"/>
        <v>3.9202608206349523</v>
      </c>
      <c r="BW41" s="3">
        <f t="shared" si="49"/>
        <v>0.66000000000000025</v>
      </c>
      <c r="BX41" s="14">
        <f t="shared" si="50"/>
        <v>0.66000000000000025</v>
      </c>
      <c r="BY41" s="3">
        <f t="shared" si="11"/>
        <v>3.9202608206349523</v>
      </c>
      <c r="CB41" s="3">
        <f t="shared" si="51"/>
        <v>0.66000000000000025</v>
      </c>
      <c r="CC41" s="14">
        <f t="shared" si="52"/>
        <v>0.66000000000000025</v>
      </c>
      <c r="CD41" s="3">
        <f t="shared" si="12"/>
        <v>3.9202608206349523</v>
      </c>
      <c r="CG41" s="3">
        <f t="shared" si="53"/>
        <v>0.66000000000000025</v>
      </c>
      <c r="CH41" s="3">
        <f t="shared" si="54"/>
        <v>0.66000000000000025</v>
      </c>
      <c r="CI41" s="3">
        <f t="shared" si="13"/>
        <v>3.9202608206349523</v>
      </c>
      <c r="CL41" s="3">
        <f t="shared" si="55"/>
        <v>0.66000000000000025</v>
      </c>
      <c r="CM41" s="14">
        <f t="shared" si="56"/>
        <v>0.66000000000000025</v>
      </c>
      <c r="CN41" s="3">
        <f t="shared" si="14"/>
        <v>3.9202608206349523</v>
      </c>
      <c r="CQ41" s="3">
        <f t="shared" si="57"/>
        <v>0.66000000000000025</v>
      </c>
      <c r="CR41" s="14">
        <f t="shared" si="58"/>
        <v>0.66000000000000025</v>
      </c>
      <c r="CS41" s="3">
        <f t="shared" si="15"/>
        <v>3.9202608206349523</v>
      </c>
      <c r="CV41" s="3">
        <f t="shared" si="59"/>
        <v>0.66000000000000025</v>
      </c>
      <c r="CW41" s="3">
        <f t="shared" si="60"/>
        <v>0.66000000000000025</v>
      </c>
      <c r="CX41" s="3">
        <f t="shared" si="16"/>
        <v>3.9202608206349523</v>
      </c>
      <c r="DA41" s="3">
        <f t="shared" si="61"/>
        <v>0.66000000000000025</v>
      </c>
      <c r="DB41" s="14">
        <f t="shared" si="62"/>
        <v>0.66000000000000025</v>
      </c>
      <c r="DC41" s="3">
        <f t="shared" si="17"/>
        <v>3.9202608206349523</v>
      </c>
      <c r="DF41" s="3">
        <f t="shared" si="63"/>
        <v>0.66000000000000025</v>
      </c>
      <c r="DG41" s="14">
        <f t="shared" si="64"/>
        <v>0.66000000000000025</v>
      </c>
      <c r="DH41" s="3">
        <f t="shared" si="18"/>
        <v>3.9202608206349523</v>
      </c>
      <c r="DK41" s="3">
        <f t="shared" si="65"/>
        <v>0.66000000000000025</v>
      </c>
      <c r="DL41" s="3">
        <f t="shared" si="66"/>
        <v>0.66000000000000025</v>
      </c>
      <c r="DM41" s="3">
        <f t="shared" si="19"/>
        <v>3.9202608206349523</v>
      </c>
      <c r="DP41" s="3">
        <f t="shared" si="67"/>
        <v>0.66000000000000025</v>
      </c>
      <c r="DQ41" s="14">
        <f t="shared" si="68"/>
        <v>0.66000000000000025</v>
      </c>
      <c r="DR41" s="3">
        <f t="shared" si="20"/>
        <v>3.9202608206349523</v>
      </c>
      <c r="DU41" s="3">
        <f t="shared" si="69"/>
        <v>0.66000000000000025</v>
      </c>
      <c r="DV41" s="14">
        <f t="shared" si="70"/>
        <v>0.66000000000000025</v>
      </c>
      <c r="DW41" s="3">
        <f t="shared" si="21"/>
        <v>3.9202608206349523</v>
      </c>
      <c r="DZ41" s="3">
        <f t="shared" si="71"/>
        <v>0.66000000000000025</v>
      </c>
      <c r="EA41" s="3">
        <f t="shared" si="72"/>
        <v>0.66000000000000025</v>
      </c>
      <c r="EB41" s="3">
        <f t="shared" si="22"/>
        <v>3.9202608206349523</v>
      </c>
      <c r="EE41" s="3">
        <f t="shared" si="73"/>
        <v>0.66000000000000025</v>
      </c>
      <c r="EF41" s="14">
        <f t="shared" si="74"/>
        <v>0.66000000000000025</v>
      </c>
      <c r="EG41" s="3">
        <f t="shared" si="23"/>
        <v>3.9202608206349523</v>
      </c>
      <c r="EJ41" s="3">
        <f t="shared" si="75"/>
        <v>0.66000000000000025</v>
      </c>
      <c r="EK41" s="14">
        <f t="shared" si="76"/>
        <v>0.66000000000000025</v>
      </c>
      <c r="EL41" s="3">
        <f t="shared" si="24"/>
        <v>3.9202608206349523</v>
      </c>
      <c r="EO41" s="3">
        <f t="shared" si="77"/>
        <v>0.66000000000000025</v>
      </c>
      <c r="EP41" s="3">
        <f t="shared" si="78"/>
        <v>0.66000000000000025</v>
      </c>
      <c r="EQ41" s="3">
        <f t="shared" si="25"/>
        <v>3.9202608206349523</v>
      </c>
      <c r="ET41" s="3">
        <f t="shared" si="79"/>
        <v>0.66000000000000025</v>
      </c>
      <c r="EU41" s="14">
        <f t="shared" si="80"/>
        <v>0.66000000000000025</v>
      </c>
      <c r="EV41" s="3">
        <f t="shared" si="26"/>
        <v>3.9202608206349523</v>
      </c>
    </row>
    <row r="42" spans="20:152" s="3" customFormat="1" x14ac:dyDescent="0.25">
      <c r="T42" s="3">
        <f t="shared" si="27"/>
        <v>0.68000000000000027</v>
      </c>
      <c r="U42" s="14">
        <f t="shared" si="28"/>
        <v>0.68000000000000027</v>
      </c>
      <c r="V42" s="3">
        <f t="shared" si="0"/>
        <v>3.9869512806444294</v>
      </c>
      <c r="Y42" s="3">
        <f t="shared" si="29"/>
        <v>0.68000000000000027</v>
      </c>
      <c r="Z42" s="3">
        <f t="shared" si="30"/>
        <v>0.68000000000000027</v>
      </c>
      <c r="AA42" s="3">
        <f t="shared" si="1"/>
        <v>3.9869512806444294</v>
      </c>
      <c r="AD42" s="3">
        <f t="shared" si="31"/>
        <v>0.68000000000000027</v>
      </c>
      <c r="AE42" s="14">
        <f t="shared" si="32"/>
        <v>0.68000000000000027</v>
      </c>
      <c r="AF42" s="3">
        <f t="shared" si="2"/>
        <v>3.9869512806444294</v>
      </c>
      <c r="AI42" s="3">
        <f t="shared" si="33"/>
        <v>0.68000000000000027</v>
      </c>
      <c r="AJ42" s="14">
        <f t="shared" si="34"/>
        <v>0.68000000000000027</v>
      </c>
      <c r="AK42" s="3">
        <f t="shared" si="3"/>
        <v>3.9869512806444294</v>
      </c>
      <c r="AN42" s="3">
        <f t="shared" si="35"/>
        <v>0.68000000000000027</v>
      </c>
      <c r="AO42" s="3">
        <f t="shared" si="36"/>
        <v>0.68000000000000027</v>
      </c>
      <c r="AP42" s="3">
        <f t="shared" si="4"/>
        <v>3.9869512806444294</v>
      </c>
      <c r="AS42" s="3">
        <f t="shared" si="37"/>
        <v>0.68000000000000027</v>
      </c>
      <c r="AT42" s="14">
        <f t="shared" si="38"/>
        <v>0.68000000000000027</v>
      </c>
      <c r="AU42" s="3">
        <f t="shared" si="5"/>
        <v>3.9869512806444294</v>
      </c>
      <c r="AX42" s="3">
        <f t="shared" si="39"/>
        <v>0.68000000000000027</v>
      </c>
      <c r="AY42" s="14">
        <f t="shared" si="40"/>
        <v>0.68000000000000027</v>
      </c>
      <c r="AZ42" s="3">
        <f t="shared" si="6"/>
        <v>3.9869512806444294</v>
      </c>
      <c r="BC42" s="3">
        <f t="shared" si="41"/>
        <v>0.68000000000000027</v>
      </c>
      <c r="BD42" s="3">
        <f t="shared" si="42"/>
        <v>0.68000000000000027</v>
      </c>
      <c r="BE42" s="3">
        <f t="shared" si="7"/>
        <v>3.9869512806444294</v>
      </c>
      <c r="BH42" s="3">
        <f t="shared" si="43"/>
        <v>0.68000000000000027</v>
      </c>
      <c r="BI42" s="14">
        <f t="shared" si="44"/>
        <v>0.68000000000000027</v>
      </c>
      <c r="BJ42" s="3">
        <f t="shared" si="8"/>
        <v>3.9869512806444294</v>
      </c>
      <c r="BM42" s="3">
        <f t="shared" si="45"/>
        <v>0.68000000000000027</v>
      </c>
      <c r="BN42" s="14">
        <f t="shared" si="46"/>
        <v>0.68000000000000027</v>
      </c>
      <c r="BO42" s="3">
        <f t="shared" si="9"/>
        <v>3.9869512806444294</v>
      </c>
      <c r="BR42" s="3">
        <f t="shared" si="47"/>
        <v>0.68000000000000027</v>
      </c>
      <c r="BS42" s="3">
        <f t="shared" si="48"/>
        <v>0.68000000000000027</v>
      </c>
      <c r="BT42" s="3">
        <f t="shared" si="10"/>
        <v>3.9869512806444294</v>
      </c>
      <c r="BW42" s="3">
        <f t="shared" si="49"/>
        <v>0.68000000000000027</v>
      </c>
      <c r="BX42" s="14">
        <f t="shared" si="50"/>
        <v>0.68000000000000027</v>
      </c>
      <c r="BY42" s="3">
        <f t="shared" si="11"/>
        <v>3.9869512806444294</v>
      </c>
      <c r="CB42" s="3">
        <f t="shared" si="51"/>
        <v>0.68000000000000027</v>
      </c>
      <c r="CC42" s="14">
        <f t="shared" si="52"/>
        <v>0.68000000000000027</v>
      </c>
      <c r="CD42" s="3">
        <f t="shared" si="12"/>
        <v>3.9869512806444294</v>
      </c>
      <c r="CG42" s="3">
        <f t="shared" si="53"/>
        <v>0.68000000000000027</v>
      </c>
      <c r="CH42" s="3">
        <f t="shared" si="54"/>
        <v>0.68000000000000027</v>
      </c>
      <c r="CI42" s="3">
        <f t="shared" si="13"/>
        <v>3.9869512806444294</v>
      </c>
      <c r="CL42" s="3">
        <f t="shared" si="55"/>
        <v>0.68000000000000027</v>
      </c>
      <c r="CM42" s="14">
        <f t="shared" si="56"/>
        <v>0.68000000000000027</v>
      </c>
      <c r="CN42" s="3">
        <f t="shared" si="14"/>
        <v>3.9869512806444294</v>
      </c>
      <c r="CQ42" s="3">
        <f t="shared" si="57"/>
        <v>0.68000000000000027</v>
      </c>
      <c r="CR42" s="14">
        <f t="shared" si="58"/>
        <v>0.68000000000000027</v>
      </c>
      <c r="CS42" s="3">
        <f t="shared" si="15"/>
        <v>3.9869512806444294</v>
      </c>
      <c r="CV42" s="3">
        <f t="shared" si="59"/>
        <v>0.68000000000000027</v>
      </c>
      <c r="CW42" s="3">
        <f t="shared" si="60"/>
        <v>0.68000000000000027</v>
      </c>
      <c r="CX42" s="3">
        <f t="shared" si="16"/>
        <v>3.9869512806444294</v>
      </c>
      <c r="DA42" s="3">
        <f t="shared" si="61"/>
        <v>0.68000000000000027</v>
      </c>
      <c r="DB42" s="14">
        <f t="shared" si="62"/>
        <v>0.68000000000000027</v>
      </c>
      <c r="DC42" s="3">
        <f t="shared" si="17"/>
        <v>3.9869512806444294</v>
      </c>
      <c r="DF42" s="3">
        <f t="shared" si="63"/>
        <v>0.68000000000000027</v>
      </c>
      <c r="DG42" s="14">
        <f t="shared" si="64"/>
        <v>0.68000000000000027</v>
      </c>
      <c r="DH42" s="3">
        <f t="shared" si="18"/>
        <v>3.9869512806444294</v>
      </c>
      <c r="DK42" s="3">
        <f t="shared" si="65"/>
        <v>0.68000000000000027</v>
      </c>
      <c r="DL42" s="3">
        <f t="shared" si="66"/>
        <v>0.68000000000000027</v>
      </c>
      <c r="DM42" s="3">
        <f t="shared" si="19"/>
        <v>3.9869512806444294</v>
      </c>
      <c r="DP42" s="3">
        <f t="shared" si="67"/>
        <v>0.68000000000000027</v>
      </c>
      <c r="DQ42" s="14">
        <f t="shared" si="68"/>
        <v>0.68000000000000027</v>
      </c>
      <c r="DR42" s="3">
        <f t="shared" si="20"/>
        <v>3.9869512806444294</v>
      </c>
      <c r="DU42" s="3">
        <f t="shared" si="69"/>
        <v>0.68000000000000027</v>
      </c>
      <c r="DV42" s="14">
        <f t="shared" si="70"/>
        <v>0.68000000000000027</v>
      </c>
      <c r="DW42" s="3">
        <f t="shared" si="21"/>
        <v>3.9869512806444294</v>
      </c>
      <c r="DZ42" s="3">
        <f t="shared" si="71"/>
        <v>0.68000000000000027</v>
      </c>
      <c r="EA42" s="3">
        <f t="shared" si="72"/>
        <v>0.68000000000000027</v>
      </c>
      <c r="EB42" s="3">
        <f t="shared" si="22"/>
        <v>3.9869512806444294</v>
      </c>
      <c r="EE42" s="3">
        <f t="shared" si="73"/>
        <v>0.68000000000000027</v>
      </c>
      <c r="EF42" s="14">
        <f t="shared" si="74"/>
        <v>0.68000000000000027</v>
      </c>
      <c r="EG42" s="3">
        <f t="shared" si="23"/>
        <v>3.9869512806444294</v>
      </c>
      <c r="EJ42" s="3">
        <f t="shared" si="75"/>
        <v>0.68000000000000027</v>
      </c>
      <c r="EK42" s="14">
        <f t="shared" si="76"/>
        <v>0.68000000000000027</v>
      </c>
      <c r="EL42" s="3">
        <f t="shared" si="24"/>
        <v>3.9869512806444294</v>
      </c>
      <c r="EO42" s="3">
        <f t="shared" si="77"/>
        <v>0.68000000000000027</v>
      </c>
      <c r="EP42" s="3">
        <f t="shared" si="78"/>
        <v>0.68000000000000027</v>
      </c>
      <c r="EQ42" s="3">
        <f t="shared" si="25"/>
        <v>3.9869512806444294</v>
      </c>
      <c r="ET42" s="3">
        <f t="shared" si="79"/>
        <v>0.68000000000000027</v>
      </c>
      <c r="EU42" s="14">
        <f t="shared" si="80"/>
        <v>0.68000000000000027</v>
      </c>
      <c r="EV42" s="3">
        <f t="shared" si="26"/>
        <v>3.9869512806444294</v>
      </c>
    </row>
    <row r="43" spans="20:152" s="3" customFormat="1" x14ac:dyDescent="0.25">
      <c r="T43" s="3">
        <f t="shared" si="27"/>
        <v>0.70000000000000029</v>
      </c>
      <c r="U43" s="14">
        <f t="shared" si="28"/>
        <v>0.70000000000000029</v>
      </c>
      <c r="V43" s="3">
        <f t="shared" si="0"/>
        <v>4.0509332279260599</v>
      </c>
      <c r="Y43" s="3">
        <f t="shared" si="29"/>
        <v>0.70000000000000029</v>
      </c>
      <c r="Z43" s="3">
        <f t="shared" si="30"/>
        <v>0.70000000000000029</v>
      </c>
      <c r="AA43" s="3">
        <f t="shared" si="1"/>
        <v>4.0509332279260599</v>
      </c>
      <c r="AD43" s="3">
        <f t="shared" si="31"/>
        <v>0.70000000000000029</v>
      </c>
      <c r="AE43" s="14">
        <f t="shared" si="32"/>
        <v>0.70000000000000029</v>
      </c>
      <c r="AF43" s="3">
        <f t="shared" si="2"/>
        <v>4.0509332279260599</v>
      </c>
      <c r="AI43" s="3">
        <f t="shared" si="33"/>
        <v>0.70000000000000029</v>
      </c>
      <c r="AJ43" s="14">
        <f t="shared" si="34"/>
        <v>0.70000000000000029</v>
      </c>
      <c r="AK43" s="3">
        <f t="shared" si="3"/>
        <v>4.0509332279260599</v>
      </c>
      <c r="AN43" s="3">
        <f t="shared" si="35"/>
        <v>0.70000000000000029</v>
      </c>
      <c r="AO43" s="3">
        <f t="shared" si="36"/>
        <v>0.70000000000000029</v>
      </c>
      <c r="AP43" s="3">
        <f t="shared" si="4"/>
        <v>4.0509332279260599</v>
      </c>
      <c r="AS43" s="3">
        <f t="shared" si="37"/>
        <v>0.70000000000000029</v>
      </c>
      <c r="AT43" s="14">
        <f t="shared" si="38"/>
        <v>0.70000000000000029</v>
      </c>
      <c r="AU43" s="3">
        <f t="shared" si="5"/>
        <v>4.0509332279260599</v>
      </c>
      <c r="AX43" s="3">
        <f t="shared" si="39"/>
        <v>0.70000000000000029</v>
      </c>
      <c r="AY43" s="14">
        <f t="shared" si="40"/>
        <v>0.70000000000000029</v>
      </c>
      <c r="AZ43" s="3">
        <f t="shared" si="6"/>
        <v>4.0509332279260599</v>
      </c>
      <c r="BC43" s="3">
        <f t="shared" si="41"/>
        <v>0.70000000000000029</v>
      </c>
      <c r="BD43" s="3">
        <f t="shared" si="42"/>
        <v>0.70000000000000029</v>
      </c>
      <c r="BE43" s="3">
        <f t="shared" si="7"/>
        <v>4.0509332279260599</v>
      </c>
      <c r="BH43" s="3">
        <f t="shared" si="43"/>
        <v>0.70000000000000029</v>
      </c>
      <c r="BI43" s="14">
        <f t="shared" si="44"/>
        <v>0.70000000000000029</v>
      </c>
      <c r="BJ43" s="3">
        <f t="shared" si="8"/>
        <v>4.0509332279260599</v>
      </c>
      <c r="BM43" s="3">
        <f t="shared" si="45"/>
        <v>0.70000000000000029</v>
      </c>
      <c r="BN43" s="14">
        <f t="shared" si="46"/>
        <v>0.70000000000000029</v>
      </c>
      <c r="BO43" s="3">
        <f t="shared" si="9"/>
        <v>4.0509332279260599</v>
      </c>
      <c r="BR43" s="3">
        <f t="shared" si="47"/>
        <v>0.70000000000000029</v>
      </c>
      <c r="BS43" s="3">
        <f t="shared" si="48"/>
        <v>0.70000000000000029</v>
      </c>
      <c r="BT43" s="3">
        <f t="shared" si="10"/>
        <v>4.0509332279260599</v>
      </c>
      <c r="BW43" s="3">
        <f t="shared" si="49"/>
        <v>0.70000000000000029</v>
      </c>
      <c r="BX43" s="14">
        <f t="shared" si="50"/>
        <v>0.70000000000000029</v>
      </c>
      <c r="BY43" s="3">
        <f t="shared" si="11"/>
        <v>4.0509332279260599</v>
      </c>
      <c r="CB43" s="3">
        <f t="shared" si="51"/>
        <v>0.70000000000000029</v>
      </c>
      <c r="CC43" s="14">
        <f t="shared" si="52"/>
        <v>0.70000000000000029</v>
      </c>
      <c r="CD43" s="3">
        <f t="shared" si="12"/>
        <v>4.0509332279260599</v>
      </c>
      <c r="CG43" s="3">
        <f t="shared" si="53"/>
        <v>0.70000000000000029</v>
      </c>
      <c r="CH43" s="3">
        <f t="shared" si="54"/>
        <v>0.70000000000000029</v>
      </c>
      <c r="CI43" s="3">
        <f t="shared" si="13"/>
        <v>4.0509332279260599</v>
      </c>
      <c r="CL43" s="3">
        <f t="shared" si="55"/>
        <v>0.70000000000000029</v>
      </c>
      <c r="CM43" s="14">
        <f t="shared" si="56"/>
        <v>0.70000000000000029</v>
      </c>
      <c r="CN43" s="3">
        <f t="shared" si="14"/>
        <v>4.0509332279260599</v>
      </c>
      <c r="CQ43" s="3">
        <f t="shared" si="57"/>
        <v>0.70000000000000029</v>
      </c>
      <c r="CR43" s="14">
        <f t="shared" si="58"/>
        <v>0.70000000000000029</v>
      </c>
      <c r="CS43" s="3">
        <f t="shared" si="15"/>
        <v>4.0509332279260599</v>
      </c>
      <c r="CV43" s="3">
        <f t="shared" si="59"/>
        <v>0.70000000000000029</v>
      </c>
      <c r="CW43" s="3">
        <f t="shared" si="60"/>
        <v>0.70000000000000029</v>
      </c>
      <c r="CX43" s="3">
        <f t="shared" si="16"/>
        <v>4.0509332279260599</v>
      </c>
      <c r="DA43" s="3">
        <f t="shared" si="61"/>
        <v>0.70000000000000029</v>
      </c>
      <c r="DB43" s="14">
        <f t="shared" si="62"/>
        <v>0.70000000000000029</v>
      </c>
      <c r="DC43" s="3">
        <f t="shared" si="17"/>
        <v>4.0509332279260599</v>
      </c>
      <c r="DF43" s="3">
        <f t="shared" si="63"/>
        <v>0.70000000000000029</v>
      </c>
      <c r="DG43" s="14">
        <f t="shared" si="64"/>
        <v>0.70000000000000029</v>
      </c>
      <c r="DH43" s="3">
        <f t="shared" si="18"/>
        <v>4.0509332279260599</v>
      </c>
      <c r="DK43" s="3">
        <f t="shared" si="65"/>
        <v>0.70000000000000029</v>
      </c>
      <c r="DL43" s="3">
        <f t="shared" si="66"/>
        <v>0.70000000000000029</v>
      </c>
      <c r="DM43" s="3">
        <f t="shared" si="19"/>
        <v>4.0509332279260599</v>
      </c>
      <c r="DP43" s="3">
        <f t="shared" si="67"/>
        <v>0.70000000000000029</v>
      </c>
      <c r="DQ43" s="14">
        <f t="shared" si="68"/>
        <v>0.70000000000000029</v>
      </c>
      <c r="DR43" s="3">
        <f t="shared" si="20"/>
        <v>4.0509332279260599</v>
      </c>
      <c r="DU43" s="3">
        <f t="shared" si="69"/>
        <v>0.70000000000000029</v>
      </c>
      <c r="DV43" s="14">
        <f t="shared" si="70"/>
        <v>0.70000000000000029</v>
      </c>
      <c r="DW43" s="3">
        <f t="shared" si="21"/>
        <v>4.0509332279260599</v>
      </c>
      <c r="DZ43" s="3">
        <f t="shared" si="71"/>
        <v>0.70000000000000029</v>
      </c>
      <c r="EA43" s="3">
        <f t="shared" si="72"/>
        <v>0.70000000000000029</v>
      </c>
      <c r="EB43" s="3">
        <f t="shared" si="22"/>
        <v>4.0509332279260599</v>
      </c>
      <c r="EE43" s="3">
        <f t="shared" si="73"/>
        <v>0.70000000000000029</v>
      </c>
      <c r="EF43" s="14">
        <f t="shared" si="74"/>
        <v>0.70000000000000029</v>
      </c>
      <c r="EG43" s="3">
        <f t="shared" si="23"/>
        <v>4.0509332279260599</v>
      </c>
      <c r="EJ43" s="3">
        <f t="shared" si="75"/>
        <v>0.70000000000000029</v>
      </c>
      <c r="EK43" s="14">
        <f t="shared" si="76"/>
        <v>0.70000000000000029</v>
      </c>
      <c r="EL43" s="3">
        <f t="shared" si="24"/>
        <v>4.0509332279260599</v>
      </c>
      <c r="EO43" s="3">
        <f t="shared" si="77"/>
        <v>0.70000000000000029</v>
      </c>
      <c r="EP43" s="3">
        <f t="shared" si="78"/>
        <v>0.70000000000000029</v>
      </c>
      <c r="EQ43" s="3">
        <f t="shared" si="25"/>
        <v>4.0509332279260599</v>
      </c>
      <c r="ET43" s="3">
        <f t="shared" si="79"/>
        <v>0.70000000000000029</v>
      </c>
      <c r="EU43" s="14">
        <f t="shared" si="80"/>
        <v>0.70000000000000029</v>
      </c>
      <c r="EV43" s="3">
        <f t="shared" si="26"/>
        <v>4.0509332279260599</v>
      </c>
    </row>
    <row r="44" spans="20:152" s="3" customFormat="1" x14ac:dyDescent="0.25">
      <c r="T44" s="3">
        <f t="shared" si="27"/>
        <v>0.72000000000000031</v>
      </c>
      <c r="U44" s="14">
        <f t="shared" si="28"/>
        <v>0.72000000000000031</v>
      </c>
      <c r="V44" s="3">
        <f t="shared" si="0"/>
        <v>4.1122066624798421</v>
      </c>
      <c r="Y44" s="3">
        <f t="shared" si="29"/>
        <v>0.72000000000000031</v>
      </c>
      <c r="Z44" s="3">
        <f t="shared" si="30"/>
        <v>0.72000000000000031</v>
      </c>
      <c r="AA44" s="3">
        <f t="shared" si="1"/>
        <v>4.1122066624798421</v>
      </c>
      <c r="AD44" s="3">
        <f t="shared" si="31"/>
        <v>0.72000000000000031</v>
      </c>
      <c r="AE44" s="14">
        <f t="shared" si="32"/>
        <v>0.72000000000000031</v>
      </c>
      <c r="AF44" s="3">
        <f t="shared" si="2"/>
        <v>4.1122066624798421</v>
      </c>
      <c r="AI44" s="3">
        <f t="shared" si="33"/>
        <v>0.72000000000000031</v>
      </c>
      <c r="AJ44" s="14">
        <f t="shared" si="34"/>
        <v>0.72000000000000031</v>
      </c>
      <c r="AK44" s="3">
        <f t="shared" si="3"/>
        <v>4.1122066624798421</v>
      </c>
      <c r="AN44" s="3">
        <f t="shared" si="35"/>
        <v>0.72000000000000031</v>
      </c>
      <c r="AO44" s="3">
        <f t="shared" si="36"/>
        <v>0.72000000000000031</v>
      </c>
      <c r="AP44" s="3">
        <f t="shared" si="4"/>
        <v>4.1122066624798421</v>
      </c>
      <c r="AS44" s="3">
        <f t="shared" si="37"/>
        <v>0.72000000000000031</v>
      </c>
      <c r="AT44" s="14">
        <f t="shared" si="38"/>
        <v>0.72000000000000031</v>
      </c>
      <c r="AU44" s="3">
        <f t="shared" si="5"/>
        <v>4.1122066624798421</v>
      </c>
      <c r="AX44" s="3">
        <f t="shared" si="39"/>
        <v>0.72000000000000031</v>
      </c>
      <c r="AY44" s="14">
        <f t="shared" si="40"/>
        <v>0.72000000000000031</v>
      </c>
      <c r="AZ44" s="3">
        <f t="shared" si="6"/>
        <v>4.1122066624798421</v>
      </c>
      <c r="BC44" s="3">
        <f t="shared" si="41"/>
        <v>0.72000000000000031</v>
      </c>
      <c r="BD44" s="3">
        <f t="shared" si="42"/>
        <v>0.72000000000000031</v>
      </c>
      <c r="BE44" s="3">
        <f t="shared" si="7"/>
        <v>4.1122066624798421</v>
      </c>
      <c r="BH44" s="3">
        <f t="shared" si="43"/>
        <v>0.72000000000000031</v>
      </c>
      <c r="BI44" s="14">
        <f t="shared" si="44"/>
        <v>0.72000000000000031</v>
      </c>
      <c r="BJ44" s="3">
        <f t="shared" si="8"/>
        <v>4.1122066624798421</v>
      </c>
      <c r="BM44" s="3">
        <f t="shared" si="45"/>
        <v>0.72000000000000031</v>
      </c>
      <c r="BN44" s="14">
        <f t="shared" si="46"/>
        <v>0.72000000000000031</v>
      </c>
      <c r="BO44" s="3">
        <f t="shared" si="9"/>
        <v>4.1122066624798421</v>
      </c>
      <c r="BR44" s="3">
        <f t="shared" si="47"/>
        <v>0.72000000000000031</v>
      </c>
      <c r="BS44" s="3">
        <f t="shared" si="48"/>
        <v>0.72000000000000031</v>
      </c>
      <c r="BT44" s="3">
        <f t="shared" si="10"/>
        <v>4.1122066624798421</v>
      </c>
      <c r="BW44" s="3">
        <f t="shared" si="49"/>
        <v>0.72000000000000031</v>
      </c>
      <c r="BX44" s="14">
        <f t="shared" si="50"/>
        <v>0.72000000000000031</v>
      </c>
      <c r="BY44" s="3">
        <f t="shared" si="11"/>
        <v>4.1122066624798421</v>
      </c>
      <c r="CB44" s="3">
        <f t="shared" si="51"/>
        <v>0.72000000000000031</v>
      </c>
      <c r="CC44" s="14">
        <f t="shared" si="52"/>
        <v>0.72000000000000031</v>
      </c>
      <c r="CD44" s="3">
        <f t="shared" si="12"/>
        <v>4.1122066624798421</v>
      </c>
      <c r="CG44" s="3">
        <f t="shared" si="53"/>
        <v>0.72000000000000031</v>
      </c>
      <c r="CH44" s="3">
        <f t="shared" si="54"/>
        <v>0.72000000000000031</v>
      </c>
      <c r="CI44" s="3">
        <f t="shared" si="13"/>
        <v>4.1122066624798421</v>
      </c>
      <c r="CL44" s="3">
        <f t="shared" si="55"/>
        <v>0.72000000000000031</v>
      </c>
      <c r="CM44" s="14">
        <f t="shared" si="56"/>
        <v>0.72000000000000031</v>
      </c>
      <c r="CN44" s="3">
        <f t="shared" si="14"/>
        <v>4.1122066624798421</v>
      </c>
      <c r="CQ44" s="3">
        <f t="shared" si="57"/>
        <v>0.72000000000000031</v>
      </c>
      <c r="CR44" s="14">
        <f t="shared" si="58"/>
        <v>0.72000000000000031</v>
      </c>
      <c r="CS44" s="3">
        <f t="shared" si="15"/>
        <v>4.1122066624798421</v>
      </c>
      <c r="CV44" s="3">
        <f t="shared" si="59"/>
        <v>0.72000000000000031</v>
      </c>
      <c r="CW44" s="3">
        <f t="shared" si="60"/>
        <v>0.72000000000000031</v>
      </c>
      <c r="CX44" s="3">
        <f t="shared" si="16"/>
        <v>4.1122066624798421</v>
      </c>
      <c r="DA44" s="3">
        <f t="shared" si="61"/>
        <v>0.72000000000000031</v>
      </c>
      <c r="DB44" s="14">
        <f t="shared" si="62"/>
        <v>0.72000000000000031</v>
      </c>
      <c r="DC44" s="3">
        <f t="shared" si="17"/>
        <v>4.1122066624798421</v>
      </c>
      <c r="DF44" s="3">
        <f t="shared" si="63"/>
        <v>0.72000000000000031</v>
      </c>
      <c r="DG44" s="14">
        <f t="shared" si="64"/>
        <v>0.72000000000000031</v>
      </c>
      <c r="DH44" s="3">
        <f t="shared" si="18"/>
        <v>4.1122066624798421</v>
      </c>
      <c r="DK44" s="3">
        <f t="shared" si="65"/>
        <v>0.72000000000000031</v>
      </c>
      <c r="DL44" s="3">
        <f t="shared" si="66"/>
        <v>0.72000000000000031</v>
      </c>
      <c r="DM44" s="3">
        <f t="shared" si="19"/>
        <v>4.1122066624798421</v>
      </c>
      <c r="DP44" s="3">
        <f t="shared" si="67"/>
        <v>0.72000000000000031</v>
      </c>
      <c r="DQ44" s="14">
        <f t="shared" si="68"/>
        <v>0.72000000000000031</v>
      </c>
      <c r="DR44" s="3">
        <f t="shared" si="20"/>
        <v>4.1122066624798421</v>
      </c>
      <c r="DU44" s="3">
        <f t="shared" si="69"/>
        <v>0.72000000000000031</v>
      </c>
      <c r="DV44" s="14">
        <f t="shared" si="70"/>
        <v>0.72000000000000031</v>
      </c>
      <c r="DW44" s="3">
        <f t="shared" si="21"/>
        <v>4.1122066624798421</v>
      </c>
      <c r="DZ44" s="3">
        <f t="shared" si="71"/>
        <v>0.72000000000000031</v>
      </c>
      <c r="EA44" s="3">
        <f t="shared" si="72"/>
        <v>0.72000000000000031</v>
      </c>
      <c r="EB44" s="3">
        <f t="shared" si="22"/>
        <v>4.1122066624798421</v>
      </c>
      <c r="EE44" s="3">
        <f t="shared" si="73"/>
        <v>0.72000000000000031</v>
      </c>
      <c r="EF44" s="14">
        <f t="shared" si="74"/>
        <v>0.72000000000000031</v>
      </c>
      <c r="EG44" s="3">
        <f t="shared" si="23"/>
        <v>4.1122066624798421</v>
      </c>
      <c r="EJ44" s="3">
        <f t="shared" si="75"/>
        <v>0.72000000000000031</v>
      </c>
      <c r="EK44" s="14">
        <f t="shared" si="76"/>
        <v>0.72000000000000031</v>
      </c>
      <c r="EL44" s="3">
        <f t="shared" si="24"/>
        <v>4.1122066624798421</v>
      </c>
      <c r="EO44" s="3">
        <f t="shared" si="77"/>
        <v>0.72000000000000031</v>
      </c>
      <c r="EP44" s="3">
        <f t="shared" si="78"/>
        <v>0.72000000000000031</v>
      </c>
      <c r="EQ44" s="3">
        <f t="shared" si="25"/>
        <v>4.1122066624798421</v>
      </c>
      <c r="ET44" s="3">
        <f t="shared" si="79"/>
        <v>0.72000000000000031</v>
      </c>
      <c r="EU44" s="14">
        <f t="shared" si="80"/>
        <v>0.72000000000000031</v>
      </c>
      <c r="EV44" s="3">
        <f t="shared" si="26"/>
        <v>4.1122066624798421</v>
      </c>
    </row>
    <row r="45" spans="20:152" s="3" customFormat="1" x14ac:dyDescent="0.25">
      <c r="T45" s="3">
        <f t="shared" si="27"/>
        <v>0.74000000000000032</v>
      </c>
      <c r="U45" s="14">
        <f t="shared" si="28"/>
        <v>0.74000000000000032</v>
      </c>
      <c r="V45" s="3">
        <f t="shared" si="0"/>
        <v>4.1707715843057773</v>
      </c>
      <c r="Y45" s="3">
        <f t="shared" si="29"/>
        <v>0.74000000000000032</v>
      </c>
      <c r="Z45" s="3">
        <f t="shared" si="30"/>
        <v>0.74000000000000032</v>
      </c>
      <c r="AA45" s="3">
        <f t="shared" si="1"/>
        <v>4.1707715843057773</v>
      </c>
      <c r="AD45" s="3">
        <f t="shared" si="31"/>
        <v>0.74000000000000032</v>
      </c>
      <c r="AE45" s="14">
        <f t="shared" si="32"/>
        <v>0.74000000000000032</v>
      </c>
      <c r="AF45" s="3">
        <f t="shared" si="2"/>
        <v>4.1707715843057773</v>
      </c>
      <c r="AI45" s="3">
        <f t="shared" si="33"/>
        <v>0.74000000000000032</v>
      </c>
      <c r="AJ45" s="14">
        <f t="shared" si="34"/>
        <v>0.74000000000000032</v>
      </c>
      <c r="AK45" s="3">
        <f t="shared" si="3"/>
        <v>4.1707715843057773</v>
      </c>
      <c r="AN45" s="3">
        <f t="shared" si="35"/>
        <v>0.74000000000000032</v>
      </c>
      <c r="AO45" s="3">
        <f t="shared" si="36"/>
        <v>0.74000000000000032</v>
      </c>
      <c r="AP45" s="3">
        <f t="shared" si="4"/>
        <v>4.1707715843057773</v>
      </c>
      <c r="AS45" s="3">
        <f t="shared" si="37"/>
        <v>0.74000000000000032</v>
      </c>
      <c r="AT45" s="14">
        <f t="shared" si="38"/>
        <v>0.74000000000000032</v>
      </c>
      <c r="AU45" s="3">
        <f t="shared" si="5"/>
        <v>4.1707715843057773</v>
      </c>
      <c r="AX45" s="3">
        <f t="shared" si="39"/>
        <v>0.74000000000000032</v>
      </c>
      <c r="AY45" s="14">
        <f t="shared" si="40"/>
        <v>0.74000000000000032</v>
      </c>
      <c r="AZ45" s="3">
        <f t="shared" si="6"/>
        <v>4.1707715843057773</v>
      </c>
      <c r="BC45" s="3">
        <f t="shared" si="41"/>
        <v>0.74000000000000032</v>
      </c>
      <c r="BD45" s="3">
        <f t="shared" si="42"/>
        <v>0.74000000000000032</v>
      </c>
      <c r="BE45" s="3">
        <f t="shared" si="7"/>
        <v>4.1707715843057773</v>
      </c>
      <c r="BH45" s="3">
        <f t="shared" si="43"/>
        <v>0.74000000000000032</v>
      </c>
      <c r="BI45" s="14">
        <f t="shared" si="44"/>
        <v>0.74000000000000032</v>
      </c>
      <c r="BJ45" s="3">
        <f t="shared" si="8"/>
        <v>4.1707715843057773</v>
      </c>
      <c r="BM45" s="3">
        <f t="shared" si="45"/>
        <v>0.74000000000000032</v>
      </c>
      <c r="BN45" s="14">
        <f t="shared" si="46"/>
        <v>0.74000000000000032</v>
      </c>
      <c r="BO45" s="3">
        <f t="shared" si="9"/>
        <v>4.1707715843057773</v>
      </c>
      <c r="BR45" s="3">
        <f t="shared" si="47"/>
        <v>0.74000000000000032</v>
      </c>
      <c r="BS45" s="3">
        <f t="shared" si="48"/>
        <v>0.74000000000000032</v>
      </c>
      <c r="BT45" s="3">
        <f t="shared" si="10"/>
        <v>4.1707715843057773</v>
      </c>
      <c r="BW45" s="3">
        <f t="shared" si="49"/>
        <v>0.74000000000000032</v>
      </c>
      <c r="BX45" s="14">
        <f t="shared" si="50"/>
        <v>0.74000000000000032</v>
      </c>
      <c r="BY45" s="3">
        <f t="shared" si="11"/>
        <v>4.1707715843057773</v>
      </c>
      <c r="CB45" s="3">
        <f t="shared" si="51"/>
        <v>0.74000000000000032</v>
      </c>
      <c r="CC45" s="14">
        <f t="shared" si="52"/>
        <v>0.74000000000000032</v>
      </c>
      <c r="CD45" s="3">
        <f t="shared" si="12"/>
        <v>4.1707715843057773</v>
      </c>
      <c r="CG45" s="3">
        <f t="shared" si="53"/>
        <v>0.74000000000000032</v>
      </c>
      <c r="CH45" s="3">
        <f t="shared" si="54"/>
        <v>0.74000000000000032</v>
      </c>
      <c r="CI45" s="3">
        <f t="shared" si="13"/>
        <v>4.1707715843057773</v>
      </c>
      <c r="CL45" s="3">
        <f t="shared" si="55"/>
        <v>0.74000000000000032</v>
      </c>
      <c r="CM45" s="14">
        <f t="shared" si="56"/>
        <v>0.74000000000000032</v>
      </c>
      <c r="CN45" s="3">
        <f t="shared" si="14"/>
        <v>4.1707715843057773</v>
      </c>
      <c r="CQ45" s="3">
        <f t="shared" si="57"/>
        <v>0.74000000000000032</v>
      </c>
      <c r="CR45" s="14">
        <f t="shared" si="58"/>
        <v>0.74000000000000032</v>
      </c>
      <c r="CS45" s="3">
        <f t="shared" si="15"/>
        <v>4.1707715843057773</v>
      </c>
      <c r="CV45" s="3">
        <f t="shared" si="59"/>
        <v>0.74000000000000032</v>
      </c>
      <c r="CW45" s="3">
        <f t="shared" si="60"/>
        <v>0.74000000000000032</v>
      </c>
      <c r="CX45" s="3">
        <f t="shared" si="16"/>
        <v>4.1707715843057773</v>
      </c>
      <c r="DA45" s="3">
        <f t="shared" si="61"/>
        <v>0.74000000000000032</v>
      </c>
      <c r="DB45" s="14">
        <f t="shared" si="62"/>
        <v>0.74000000000000032</v>
      </c>
      <c r="DC45" s="3">
        <f t="shared" si="17"/>
        <v>4.1707715843057773</v>
      </c>
      <c r="DF45" s="3">
        <f t="shared" si="63"/>
        <v>0.74000000000000032</v>
      </c>
      <c r="DG45" s="14">
        <f t="shared" si="64"/>
        <v>0.74000000000000032</v>
      </c>
      <c r="DH45" s="3">
        <f t="shared" si="18"/>
        <v>4.1707715843057773</v>
      </c>
      <c r="DK45" s="3">
        <f t="shared" si="65"/>
        <v>0.74000000000000032</v>
      </c>
      <c r="DL45" s="3">
        <f t="shared" si="66"/>
        <v>0.74000000000000032</v>
      </c>
      <c r="DM45" s="3">
        <f t="shared" si="19"/>
        <v>4.1707715843057773</v>
      </c>
      <c r="DP45" s="3">
        <f t="shared" si="67"/>
        <v>0.74000000000000032</v>
      </c>
      <c r="DQ45" s="14">
        <f t="shared" si="68"/>
        <v>0.74000000000000032</v>
      </c>
      <c r="DR45" s="3">
        <f t="shared" si="20"/>
        <v>4.1707715843057773</v>
      </c>
      <c r="DU45" s="3">
        <f t="shared" si="69"/>
        <v>0.74000000000000032</v>
      </c>
      <c r="DV45" s="14">
        <f t="shared" si="70"/>
        <v>0.74000000000000032</v>
      </c>
      <c r="DW45" s="3">
        <f t="shared" si="21"/>
        <v>4.1707715843057773</v>
      </c>
      <c r="DZ45" s="3">
        <f t="shared" si="71"/>
        <v>0.74000000000000032</v>
      </c>
      <c r="EA45" s="3">
        <f t="shared" si="72"/>
        <v>0.74000000000000032</v>
      </c>
      <c r="EB45" s="3">
        <f t="shared" si="22"/>
        <v>4.1707715843057773</v>
      </c>
      <c r="EE45" s="3">
        <f t="shared" si="73"/>
        <v>0.74000000000000032</v>
      </c>
      <c r="EF45" s="14">
        <f t="shared" si="74"/>
        <v>0.74000000000000032</v>
      </c>
      <c r="EG45" s="3">
        <f t="shared" si="23"/>
        <v>4.1707715843057773</v>
      </c>
      <c r="EJ45" s="3">
        <f t="shared" si="75"/>
        <v>0.74000000000000032</v>
      </c>
      <c r="EK45" s="14">
        <f t="shared" si="76"/>
        <v>0.74000000000000032</v>
      </c>
      <c r="EL45" s="3">
        <f t="shared" si="24"/>
        <v>4.1707715843057773</v>
      </c>
      <c r="EO45" s="3">
        <f t="shared" si="77"/>
        <v>0.74000000000000032</v>
      </c>
      <c r="EP45" s="3">
        <f t="shared" si="78"/>
        <v>0.74000000000000032</v>
      </c>
      <c r="EQ45" s="3">
        <f t="shared" si="25"/>
        <v>4.1707715843057773</v>
      </c>
      <c r="ET45" s="3">
        <f t="shared" si="79"/>
        <v>0.74000000000000032</v>
      </c>
      <c r="EU45" s="14">
        <f t="shared" si="80"/>
        <v>0.74000000000000032</v>
      </c>
      <c r="EV45" s="3">
        <f t="shared" si="26"/>
        <v>4.1707715843057773</v>
      </c>
    </row>
    <row r="46" spans="20:152" s="3" customFormat="1" x14ac:dyDescent="0.25">
      <c r="T46" s="3">
        <f t="shared" si="27"/>
        <v>0.76000000000000034</v>
      </c>
      <c r="U46" s="14">
        <f t="shared" si="28"/>
        <v>0.76000000000000034</v>
      </c>
      <c r="V46" s="3">
        <f t="shared" si="0"/>
        <v>4.2266279934038655</v>
      </c>
      <c r="Y46" s="3">
        <f t="shared" si="29"/>
        <v>0.76000000000000034</v>
      </c>
      <c r="Z46" s="3">
        <f t="shared" si="30"/>
        <v>0.76000000000000034</v>
      </c>
      <c r="AA46" s="3">
        <f t="shared" si="1"/>
        <v>4.2266279934038655</v>
      </c>
      <c r="AD46" s="3">
        <f t="shared" si="31"/>
        <v>0.76000000000000034</v>
      </c>
      <c r="AE46" s="14">
        <f t="shared" si="32"/>
        <v>0.76000000000000034</v>
      </c>
      <c r="AF46" s="3">
        <f t="shared" si="2"/>
        <v>4.2266279934038655</v>
      </c>
      <c r="AI46" s="3">
        <f t="shared" si="33"/>
        <v>0.76000000000000034</v>
      </c>
      <c r="AJ46" s="14">
        <f t="shared" si="34"/>
        <v>0.76000000000000034</v>
      </c>
      <c r="AK46" s="3">
        <f t="shared" si="3"/>
        <v>4.2266279934038655</v>
      </c>
      <c r="AN46" s="3">
        <f t="shared" si="35"/>
        <v>0.76000000000000034</v>
      </c>
      <c r="AO46" s="3">
        <f t="shared" si="36"/>
        <v>0.76000000000000034</v>
      </c>
      <c r="AP46" s="3">
        <f t="shared" si="4"/>
        <v>4.2266279934038655</v>
      </c>
      <c r="AS46" s="3">
        <f t="shared" si="37"/>
        <v>0.76000000000000034</v>
      </c>
      <c r="AT46" s="14">
        <f t="shared" si="38"/>
        <v>0.76000000000000034</v>
      </c>
      <c r="AU46" s="3">
        <f t="shared" si="5"/>
        <v>4.2266279934038655</v>
      </c>
      <c r="AX46" s="3">
        <f t="shared" si="39"/>
        <v>0.76000000000000034</v>
      </c>
      <c r="AY46" s="14">
        <f t="shared" si="40"/>
        <v>0.76000000000000034</v>
      </c>
      <c r="AZ46" s="3">
        <f t="shared" si="6"/>
        <v>4.2266279934038655</v>
      </c>
      <c r="BC46" s="3">
        <f t="shared" si="41"/>
        <v>0.76000000000000034</v>
      </c>
      <c r="BD46" s="3">
        <f t="shared" si="42"/>
        <v>0.76000000000000034</v>
      </c>
      <c r="BE46" s="3">
        <f t="shared" si="7"/>
        <v>4.2266279934038655</v>
      </c>
      <c r="BH46" s="3">
        <f t="shared" si="43"/>
        <v>0.76000000000000034</v>
      </c>
      <c r="BI46" s="14">
        <f t="shared" si="44"/>
        <v>0.76000000000000034</v>
      </c>
      <c r="BJ46" s="3">
        <f t="shared" si="8"/>
        <v>4.2266279934038655</v>
      </c>
      <c r="BM46" s="3">
        <f t="shared" si="45"/>
        <v>0.76000000000000034</v>
      </c>
      <c r="BN46" s="14">
        <f t="shared" si="46"/>
        <v>0.76000000000000034</v>
      </c>
      <c r="BO46" s="3">
        <f t="shared" si="9"/>
        <v>4.2266279934038655</v>
      </c>
      <c r="BR46" s="3">
        <f t="shared" si="47"/>
        <v>0.76000000000000034</v>
      </c>
      <c r="BS46" s="3">
        <f t="shared" si="48"/>
        <v>0.76000000000000034</v>
      </c>
      <c r="BT46" s="3">
        <f t="shared" si="10"/>
        <v>4.2266279934038655</v>
      </c>
      <c r="BW46" s="3">
        <f t="shared" si="49"/>
        <v>0.76000000000000034</v>
      </c>
      <c r="BX46" s="14">
        <f t="shared" si="50"/>
        <v>0.76000000000000034</v>
      </c>
      <c r="BY46" s="3">
        <f t="shared" si="11"/>
        <v>4.2266279934038655</v>
      </c>
      <c r="CB46" s="3">
        <f t="shared" si="51"/>
        <v>0.76000000000000034</v>
      </c>
      <c r="CC46" s="14">
        <f t="shared" si="52"/>
        <v>0.76000000000000034</v>
      </c>
      <c r="CD46" s="3">
        <f t="shared" si="12"/>
        <v>4.2266279934038655</v>
      </c>
      <c r="CG46" s="3">
        <f t="shared" si="53"/>
        <v>0.76000000000000034</v>
      </c>
      <c r="CH46" s="3">
        <f t="shared" si="54"/>
        <v>0.76000000000000034</v>
      </c>
      <c r="CI46" s="3">
        <f t="shared" si="13"/>
        <v>4.2266279934038655</v>
      </c>
      <c r="CL46" s="3">
        <f t="shared" si="55"/>
        <v>0.76000000000000034</v>
      </c>
      <c r="CM46" s="14">
        <f t="shared" si="56"/>
        <v>0.76000000000000034</v>
      </c>
      <c r="CN46" s="3">
        <f t="shared" si="14"/>
        <v>4.2266279934038655</v>
      </c>
      <c r="CQ46" s="3">
        <f t="shared" si="57"/>
        <v>0.76000000000000034</v>
      </c>
      <c r="CR46" s="14">
        <f t="shared" si="58"/>
        <v>0.76000000000000034</v>
      </c>
      <c r="CS46" s="3">
        <f t="shared" si="15"/>
        <v>4.2266279934038655</v>
      </c>
      <c r="CV46" s="3">
        <f t="shared" si="59"/>
        <v>0.76000000000000034</v>
      </c>
      <c r="CW46" s="3">
        <f t="shared" si="60"/>
        <v>0.76000000000000034</v>
      </c>
      <c r="CX46" s="3">
        <f t="shared" si="16"/>
        <v>4.2266279934038655</v>
      </c>
      <c r="DA46" s="3">
        <f t="shared" si="61"/>
        <v>0.76000000000000034</v>
      </c>
      <c r="DB46" s="14">
        <f t="shared" si="62"/>
        <v>0.76000000000000034</v>
      </c>
      <c r="DC46" s="3">
        <f t="shared" si="17"/>
        <v>4.2266279934038655</v>
      </c>
      <c r="DF46" s="3">
        <f t="shared" si="63"/>
        <v>0.76000000000000034</v>
      </c>
      <c r="DG46" s="14">
        <f t="shared" si="64"/>
        <v>0.76000000000000034</v>
      </c>
      <c r="DH46" s="3">
        <f t="shared" si="18"/>
        <v>4.2266279934038655</v>
      </c>
      <c r="DK46" s="3">
        <f t="shared" si="65"/>
        <v>0.76000000000000034</v>
      </c>
      <c r="DL46" s="3">
        <f t="shared" si="66"/>
        <v>0.76000000000000034</v>
      </c>
      <c r="DM46" s="3">
        <f t="shared" si="19"/>
        <v>4.2266279934038655</v>
      </c>
      <c r="DP46" s="3">
        <f t="shared" si="67"/>
        <v>0.76000000000000034</v>
      </c>
      <c r="DQ46" s="14">
        <f t="shared" si="68"/>
        <v>0.76000000000000034</v>
      </c>
      <c r="DR46" s="3">
        <f t="shared" si="20"/>
        <v>4.2266279934038655</v>
      </c>
      <c r="DU46" s="3">
        <f t="shared" si="69"/>
        <v>0.76000000000000034</v>
      </c>
      <c r="DV46" s="14">
        <f t="shared" si="70"/>
        <v>0.76000000000000034</v>
      </c>
      <c r="DW46" s="3">
        <f t="shared" si="21"/>
        <v>4.2266279934038655</v>
      </c>
      <c r="DZ46" s="3">
        <f t="shared" si="71"/>
        <v>0.76000000000000034</v>
      </c>
      <c r="EA46" s="3">
        <f t="shared" si="72"/>
        <v>0.76000000000000034</v>
      </c>
      <c r="EB46" s="3">
        <f t="shared" si="22"/>
        <v>4.2266279934038655</v>
      </c>
      <c r="EE46" s="3">
        <f t="shared" si="73"/>
        <v>0.76000000000000034</v>
      </c>
      <c r="EF46" s="14">
        <f t="shared" si="74"/>
        <v>0.76000000000000034</v>
      </c>
      <c r="EG46" s="3">
        <f t="shared" si="23"/>
        <v>4.2266279934038655</v>
      </c>
      <c r="EJ46" s="3">
        <f t="shared" si="75"/>
        <v>0.76000000000000034</v>
      </c>
      <c r="EK46" s="14">
        <f t="shared" si="76"/>
        <v>0.76000000000000034</v>
      </c>
      <c r="EL46" s="3">
        <f t="shared" si="24"/>
        <v>4.2266279934038655</v>
      </c>
      <c r="EO46" s="3">
        <f t="shared" si="77"/>
        <v>0.76000000000000034</v>
      </c>
      <c r="EP46" s="3">
        <f t="shared" si="78"/>
        <v>0.76000000000000034</v>
      </c>
      <c r="EQ46" s="3">
        <f t="shared" si="25"/>
        <v>4.2266279934038655</v>
      </c>
      <c r="ET46" s="3">
        <f t="shared" si="79"/>
        <v>0.76000000000000034</v>
      </c>
      <c r="EU46" s="14">
        <f t="shared" si="80"/>
        <v>0.76000000000000034</v>
      </c>
      <c r="EV46" s="3">
        <f t="shared" si="26"/>
        <v>4.2266279934038655</v>
      </c>
    </row>
    <row r="47" spans="20:152" s="3" customFormat="1" x14ac:dyDescent="0.25">
      <c r="T47" s="3">
        <f t="shared" si="27"/>
        <v>0.78000000000000036</v>
      </c>
      <c r="U47" s="14">
        <f t="shared" si="28"/>
        <v>0.78000000000000036</v>
      </c>
      <c r="V47" s="3">
        <f t="shared" si="0"/>
        <v>4.2797758897741076</v>
      </c>
      <c r="Y47" s="3">
        <f t="shared" si="29"/>
        <v>0.78000000000000036</v>
      </c>
      <c r="Z47" s="3">
        <f t="shared" si="30"/>
        <v>0.78000000000000036</v>
      </c>
      <c r="AA47" s="3">
        <f t="shared" si="1"/>
        <v>4.2797758897741076</v>
      </c>
      <c r="AD47" s="3">
        <f t="shared" si="31"/>
        <v>0.78000000000000036</v>
      </c>
      <c r="AE47" s="14">
        <f t="shared" si="32"/>
        <v>0.78000000000000036</v>
      </c>
      <c r="AF47" s="3">
        <f t="shared" si="2"/>
        <v>4.2797758897741076</v>
      </c>
      <c r="AI47" s="3">
        <f t="shared" si="33"/>
        <v>0.78000000000000036</v>
      </c>
      <c r="AJ47" s="14">
        <f t="shared" si="34"/>
        <v>0.78000000000000036</v>
      </c>
      <c r="AK47" s="3">
        <f t="shared" si="3"/>
        <v>4.2797758897741076</v>
      </c>
      <c r="AN47" s="3">
        <f t="shared" si="35"/>
        <v>0.78000000000000036</v>
      </c>
      <c r="AO47" s="3">
        <f t="shared" si="36"/>
        <v>0.78000000000000036</v>
      </c>
      <c r="AP47" s="3">
        <f t="shared" si="4"/>
        <v>4.2797758897741076</v>
      </c>
      <c r="AS47" s="3">
        <f t="shared" si="37"/>
        <v>0.78000000000000036</v>
      </c>
      <c r="AT47" s="14">
        <f t="shared" si="38"/>
        <v>0.78000000000000036</v>
      </c>
      <c r="AU47" s="3">
        <f t="shared" si="5"/>
        <v>4.2797758897741076</v>
      </c>
      <c r="AX47" s="3">
        <f t="shared" si="39"/>
        <v>0.78000000000000036</v>
      </c>
      <c r="AY47" s="14">
        <f t="shared" si="40"/>
        <v>0.78000000000000036</v>
      </c>
      <c r="AZ47" s="3">
        <f t="shared" si="6"/>
        <v>4.2797758897741076</v>
      </c>
      <c r="BC47" s="3">
        <f t="shared" si="41"/>
        <v>0.78000000000000036</v>
      </c>
      <c r="BD47" s="3">
        <f t="shared" si="42"/>
        <v>0.78000000000000036</v>
      </c>
      <c r="BE47" s="3">
        <f t="shared" si="7"/>
        <v>4.2797758897741076</v>
      </c>
      <c r="BH47" s="3">
        <f t="shared" si="43"/>
        <v>0.78000000000000036</v>
      </c>
      <c r="BI47" s="14">
        <f t="shared" si="44"/>
        <v>0.78000000000000036</v>
      </c>
      <c r="BJ47" s="3">
        <f t="shared" si="8"/>
        <v>4.2797758897741076</v>
      </c>
      <c r="BM47" s="3">
        <f t="shared" si="45"/>
        <v>0.78000000000000036</v>
      </c>
      <c r="BN47" s="14">
        <f t="shared" si="46"/>
        <v>0.78000000000000036</v>
      </c>
      <c r="BO47" s="3">
        <f t="shared" si="9"/>
        <v>4.2797758897741076</v>
      </c>
      <c r="BR47" s="3">
        <f t="shared" si="47"/>
        <v>0.78000000000000036</v>
      </c>
      <c r="BS47" s="3">
        <f t="shared" si="48"/>
        <v>0.78000000000000036</v>
      </c>
      <c r="BT47" s="3">
        <f t="shared" si="10"/>
        <v>4.2797758897741076</v>
      </c>
      <c r="BW47" s="3">
        <f t="shared" si="49"/>
        <v>0.78000000000000036</v>
      </c>
      <c r="BX47" s="14">
        <f t="shared" si="50"/>
        <v>0.78000000000000036</v>
      </c>
      <c r="BY47" s="3">
        <f t="shared" si="11"/>
        <v>4.2797758897741076</v>
      </c>
      <c r="CB47" s="3">
        <f t="shared" si="51"/>
        <v>0.78000000000000036</v>
      </c>
      <c r="CC47" s="14">
        <f t="shared" si="52"/>
        <v>0.78000000000000036</v>
      </c>
      <c r="CD47" s="3">
        <f t="shared" si="12"/>
        <v>4.2797758897741076</v>
      </c>
      <c r="CG47" s="3">
        <f t="shared" si="53"/>
        <v>0.78000000000000036</v>
      </c>
      <c r="CH47" s="3">
        <f t="shared" si="54"/>
        <v>0.78000000000000036</v>
      </c>
      <c r="CI47" s="3">
        <f t="shared" si="13"/>
        <v>4.2797758897741076</v>
      </c>
      <c r="CL47" s="3">
        <f t="shared" si="55"/>
        <v>0.78000000000000036</v>
      </c>
      <c r="CM47" s="14">
        <f t="shared" si="56"/>
        <v>0.78000000000000036</v>
      </c>
      <c r="CN47" s="3">
        <f t="shared" si="14"/>
        <v>4.2797758897741076</v>
      </c>
      <c r="CQ47" s="3">
        <f t="shared" si="57"/>
        <v>0.78000000000000036</v>
      </c>
      <c r="CR47" s="14">
        <f t="shared" si="58"/>
        <v>0.78000000000000036</v>
      </c>
      <c r="CS47" s="3">
        <f t="shared" si="15"/>
        <v>4.2797758897741076</v>
      </c>
      <c r="CV47" s="3">
        <f t="shared" si="59"/>
        <v>0.78000000000000036</v>
      </c>
      <c r="CW47" s="3">
        <f t="shared" si="60"/>
        <v>0.78000000000000036</v>
      </c>
      <c r="CX47" s="3">
        <f t="shared" si="16"/>
        <v>4.2797758897741076</v>
      </c>
      <c r="DA47" s="3">
        <f t="shared" si="61"/>
        <v>0.78000000000000036</v>
      </c>
      <c r="DB47" s="14">
        <f t="shared" si="62"/>
        <v>0.78000000000000036</v>
      </c>
      <c r="DC47" s="3">
        <f t="shared" si="17"/>
        <v>4.2797758897741076</v>
      </c>
      <c r="DF47" s="3">
        <f t="shared" si="63"/>
        <v>0.78000000000000036</v>
      </c>
      <c r="DG47" s="14">
        <f t="shared" si="64"/>
        <v>0.78000000000000036</v>
      </c>
      <c r="DH47" s="3">
        <f t="shared" si="18"/>
        <v>4.2797758897741076</v>
      </c>
      <c r="DK47" s="3">
        <f t="shared" si="65"/>
        <v>0.78000000000000036</v>
      </c>
      <c r="DL47" s="3">
        <f t="shared" si="66"/>
        <v>0.78000000000000036</v>
      </c>
      <c r="DM47" s="3">
        <f t="shared" si="19"/>
        <v>4.2797758897741076</v>
      </c>
      <c r="DP47" s="3">
        <f t="shared" si="67"/>
        <v>0.78000000000000036</v>
      </c>
      <c r="DQ47" s="14">
        <f t="shared" si="68"/>
        <v>0.78000000000000036</v>
      </c>
      <c r="DR47" s="3">
        <f t="shared" si="20"/>
        <v>4.2797758897741076</v>
      </c>
      <c r="DU47" s="3">
        <f t="shared" si="69"/>
        <v>0.78000000000000036</v>
      </c>
      <c r="DV47" s="14">
        <f t="shared" si="70"/>
        <v>0.78000000000000036</v>
      </c>
      <c r="DW47" s="3">
        <f t="shared" si="21"/>
        <v>4.2797758897741076</v>
      </c>
      <c r="DZ47" s="3">
        <f t="shared" si="71"/>
        <v>0.78000000000000036</v>
      </c>
      <c r="EA47" s="3">
        <f t="shared" si="72"/>
        <v>0.78000000000000036</v>
      </c>
      <c r="EB47" s="3">
        <f t="shared" si="22"/>
        <v>4.2797758897741076</v>
      </c>
      <c r="EE47" s="3">
        <f t="shared" si="73"/>
        <v>0.78000000000000036</v>
      </c>
      <c r="EF47" s="14">
        <f t="shared" si="74"/>
        <v>0.78000000000000036</v>
      </c>
      <c r="EG47" s="3">
        <f t="shared" si="23"/>
        <v>4.2797758897741076</v>
      </c>
      <c r="EJ47" s="3">
        <f t="shared" si="75"/>
        <v>0.78000000000000036</v>
      </c>
      <c r="EK47" s="14">
        <f t="shared" si="76"/>
        <v>0.78000000000000036</v>
      </c>
      <c r="EL47" s="3">
        <f t="shared" si="24"/>
        <v>4.2797758897741076</v>
      </c>
      <c r="EO47" s="3">
        <f t="shared" si="77"/>
        <v>0.78000000000000036</v>
      </c>
      <c r="EP47" s="3">
        <f t="shared" si="78"/>
        <v>0.78000000000000036</v>
      </c>
      <c r="EQ47" s="3">
        <f t="shared" si="25"/>
        <v>4.2797758897741076</v>
      </c>
      <c r="ET47" s="3">
        <f t="shared" si="79"/>
        <v>0.78000000000000036</v>
      </c>
      <c r="EU47" s="14">
        <f t="shared" si="80"/>
        <v>0.78000000000000036</v>
      </c>
      <c r="EV47" s="3">
        <f t="shared" si="26"/>
        <v>4.2797758897741076</v>
      </c>
    </row>
    <row r="48" spans="20:152" s="3" customFormat="1" x14ac:dyDescent="0.25">
      <c r="T48" s="3">
        <f t="shared" si="27"/>
        <v>0.80000000000000038</v>
      </c>
      <c r="U48" s="14">
        <f t="shared" si="28"/>
        <v>0.80000000000000038</v>
      </c>
      <c r="V48" s="3">
        <f t="shared" si="0"/>
        <v>4.3302152734165018</v>
      </c>
      <c r="Y48" s="3">
        <f t="shared" si="29"/>
        <v>0.80000000000000038</v>
      </c>
      <c r="Z48" s="3">
        <f t="shared" si="30"/>
        <v>0.80000000000000038</v>
      </c>
      <c r="AA48" s="3">
        <f t="shared" si="1"/>
        <v>4.3302152734165018</v>
      </c>
      <c r="AD48" s="3">
        <f t="shared" si="31"/>
        <v>0.80000000000000038</v>
      </c>
      <c r="AE48" s="14">
        <f t="shared" si="32"/>
        <v>0.80000000000000038</v>
      </c>
      <c r="AF48" s="3">
        <f t="shared" si="2"/>
        <v>4.3302152734165018</v>
      </c>
      <c r="AI48" s="3">
        <f t="shared" si="33"/>
        <v>0.80000000000000038</v>
      </c>
      <c r="AJ48" s="14">
        <f t="shared" si="34"/>
        <v>0.80000000000000038</v>
      </c>
      <c r="AK48" s="3">
        <f t="shared" si="3"/>
        <v>4.3302152734165018</v>
      </c>
      <c r="AN48" s="3">
        <f t="shared" si="35"/>
        <v>0.80000000000000038</v>
      </c>
      <c r="AO48" s="3">
        <f t="shared" si="36"/>
        <v>0.80000000000000038</v>
      </c>
      <c r="AP48" s="3">
        <f t="shared" si="4"/>
        <v>4.3302152734165018</v>
      </c>
      <c r="AS48" s="3">
        <f t="shared" si="37"/>
        <v>0.80000000000000038</v>
      </c>
      <c r="AT48" s="14">
        <f t="shared" si="38"/>
        <v>0.80000000000000038</v>
      </c>
      <c r="AU48" s="3">
        <f t="shared" si="5"/>
        <v>4.3302152734165018</v>
      </c>
      <c r="AX48" s="3">
        <f t="shared" si="39"/>
        <v>0.80000000000000038</v>
      </c>
      <c r="AY48" s="14">
        <f t="shared" si="40"/>
        <v>0.80000000000000038</v>
      </c>
      <c r="AZ48" s="3">
        <f t="shared" si="6"/>
        <v>4.3302152734165018</v>
      </c>
      <c r="BC48" s="3">
        <f t="shared" si="41"/>
        <v>0.80000000000000038</v>
      </c>
      <c r="BD48" s="3">
        <f t="shared" si="42"/>
        <v>0.80000000000000038</v>
      </c>
      <c r="BE48" s="3">
        <f t="shared" si="7"/>
        <v>4.3302152734165018</v>
      </c>
      <c r="BH48" s="3">
        <f t="shared" si="43"/>
        <v>0.80000000000000038</v>
      </c>
      <c r="BI48" s="14">
        <f t="shared" si="44"/>
        <v>0.80000000000000038</v>
      </c>
      <c r="BJ48" s="3">
        <f t="shared" si="8"/>
        <v>4.3302152734165018</v>
      </c>
      <c r="BM48" s="3">
        <f t="shared" si="45"/>
        <v>0.80000000000000038</v>
      </c>
      <c r="BN48" s="14">
        <f t="shared" si="46"/>
        <v>0.80000000000000038</v>
      </c>
      <c r="BO48" s="3">
        <f t="shared" si="9"/>
        <v>4.3302152734165018</v>
      </c>
      <c r="BR48" s="3">
        <f t="shared" si="47"/>
        <v>0.80000000000000038</v>
      </c>
      <c r="BS48" s="3">
        <f t="shared" si="48"/>
        <v>0.80000000000000038</v>
      </c>
      <c r="BT48" s="3">
        <f t="shared" si="10"/>
        <v>4.3302152734165018</v>
      </c>
      <c r="BW48" s="3">
        <f t="shared" si="49"/>
        <v>0.80000000000000038</v>
      </c>
      <c r="BX48" s="14">
        <f t="shared" si="50"/>
        <v>0.80000000000000038</v>
      </c>
      <c r="BY48" s="3">
        <f t="shared" si="11"/>
        <v>4.3302152734165018</v>
      </c>
      <c r="CB48" s="3">
        <f t="shared" si="51"/>
        <v>0.80000000000000038</v>
      </c>
      <c r="CC48" s="14">
        <f t="shared" si="52"/>
        <v>0.80000000000000038</v>
      </c>
      <c r="CD48" s="3">
        <f t="shared" si="12"/>
        <v>4.3302152734165018</v>
      </c>
      <c r="CG48" s="3">
        <f t="shared" si="53"/>
        <v>0.80000000000000038</v>
      </c>
      <c r="CH48" s="3">
        <f t="shared" si="54"/>
        <v>0.80000000000000038</v>
      </c>
      <c r="CI48" s="3">
        <f t="shared" si="13"/>
        <v>4.3302152734165018</v>
      </c>
      <c r="CL48" s="3">
        <f t="shared" si="55"/>
        <v>0.80000000000000038</v>
      </c>
      <c r="CM48" s="14">
        <f t="shared" si="56"/>
        <v>0.80000000000000038</v>
      </c>
      <c r="CN48" s="3">
        <f t="shared" si="14"/>
        <v>4.3302152734165018</v>
      </c>
      <c r="CQ48" s="3">
        <f t="shared" si="57"/>
        <v>0.80000000000000038</v>
      </c>
      <c r="CR48" s="14">
        <f t="shared" si="58"/>
        <v>0.80000000000000038</v>
      </c>
      <c r="CS48" s="3">
        <f t="shared" si="15"/>
        <v>4.3302152734165018</v>
      </c>
      <c r="CV48" s="3">
        <f t="shared" si="59"/>
        <v>0.80000000000000038</v>
      </c>
      <c r="CW48" s="3">
        <f t="shared" si="60"/>
        <v>0.80000000000000038</v>
      </c>
      <c r="CX48" s="3">
        <f t="shared" si="16"/>
        <v>4.3302152734165018</v>
      </c>
      <c r="DA48" s="3">
        <f t="shared" si="61"/>
        <v>0.80000000000000038</v>
      </c>
      <c r="DB48" s="14">
        <f t="shared" si="62"/>
        <v>0.80000000000000038</v>
      </c>
      <c r="DC48" s="3">
        <f t="shared" si="17"/>
        <v>4.3302152734165018</v>
      </c>
      <c r="DF48" s="3">
        <f t="shared" si="63"/>
        <v>0.80000000000000038</v>
      </c>
      <c r="DG48" s="14">
        <f t="shared" si="64"/>
        <v>0.80000000000000038</v>
      </c>
      <c r="DH48" s="3">
        <f t="shared" si="18"/>
        <v>4.3302152734165018</v>
      </c>
      <c r="DK48" s="3">
        <f t="shared" si="65"/>
        <v>0.80000000000000038</v>
      </c>
      <c r="DL48" s="3">
        <f t="shared" si="66"/>
        <v>0.80000000000000038</v>
      </c>
      <c r="DM48" s="3">
        <f t="shared" si="19"/>
        <v>4.3302152734165018</v>
      </c>
      <c r="DP48" s="3">
        <f t="shared" si="67"/>
        <v>0.80000000000000038</v>
      </c>
      <c r="DQ48" s="14">
        <f t="shared" si="68"/>
        <v>0.80000000000000038</v>
      </c>
      <c r="DR48" s="3">
        <f t="shared" si="20"/>
        <v>4.3302152734165018</v>
      </c>
      <c r="DU48" s="3">
        <f t="shared" si="69"/>
        <v>0.80000000000000038</v>
      </c>
      <c r="DV48" s="14">
        <f t="shared" si="70"/>
        <v>0.80000000000000038</v>
      </c>
      <c r="DW48" s="3">
        <f t="shared" si="21"/>
        <v>4.3302152734165018</v>
      </c>
      <c r="DZ48" s="3">
        <f t="shared" si="71"/>
        <v>0.80000000000000038</v>
      </c>
      <c r="EA48" s="3">
        <f t="shared" si="72"/>
        <v>0.80000000000000038</v>
      </c>
      <c r="EB48" s="3">
        <f t="shared" si="22"/>
        <v>4.3302152734165018</v>
      </c>
      <c r="EE48" s="3">
        <f t="shared" si="73"/>
        <v>0.80000000000000038</v>
      </c>
      <c r="EF48" s="14">
        <f t="shared" si="74"/>
        <v>0.80000000000000038</v>
      </c>
      <c r="EG48" s="3">
        <f t="shared" si="23"/>
        <v>4.3302152734165018</v>
      </c>
      <c r="EJ48" s="3">
        <f t="shared" si="75"/>
        <v>0.80000000000000038</v>
      </c>
      <c r="EK48" s="14">
        <f t="shared" si="76"/>
        <v>0.80000000000000038</v>
      </c>
      <c r="EL48" s="3">
        <f t="shared" si="24"/>
        <v>4.3302152734165018</v>
      </c>
      <c r="EO48" s="3">
        <f t="shared" si="77"/>
        <v>0.80000000000000038</v>
      </c>
      <c r="EP48" s="3">
        <f t="shared" si="78"/>
        <v>0.80000000000000038</v>
      </c>
      <c r="EQ48" s="3">
        <f t="shared" si="25"/>
        <v>4.3302152734165018</v>
      </c>
      <c r="ET48" s="3">
        <f t="shared" si="79"/>
        <v>0.80000000000000038</v>
      </c>
      <c r="EU48" s="14">
        <f t="shared" si="80"/>
        <v>0.80000000000000038</v>
      </c>
      <c r="EV48" s="3">
        <f t="shared" si="26"/>
        <v>4.3302152734165018</v>
      </c>
    </row>
    <row r="49" spans="20:152" s="3" customFormat="1" x14ac:dyDescent="0.25">
      <c r="T49" s="3">
        <f t="shared" si="27"/>
        <v>0.8200000000000004</v>
      </c>
      <c r="U49" s="14">
        <f t="shared" si="28"/>
        <v>0.8200000000000004</v>
      </c>
      <c r="V49" s="3">
        <f t="shared" si="0"/>
        <v>4.377946144331049</v>
      </c>
      <c r="Y49" s="3">
        <f t="shared" si="29"/>
        <v>0.8200000000000004</v>
      </c>
      <c r="Z49" s="3">
        <f t="shared" si="30"/>
        <v>0.8200000000000004</v>
      </c>
      <c r="AA49" s="3">
        <f t="shared" si="1"/>
        <v>4.377946144331049</v>
      </c>
      <c r="AD49" s="3">
        <f t="shared" si="31"/>
        <v>0.8200000000000004</v>
      </c>
      <c r="AE49" s="14">
        <f t="shared" si="32"/>
        <v>0.8200000000000004</v>
      </c>
      <c r="AF49" s="3">
        <f t="shared" si="2"/>
        <v>4.377946144331049</v>
      </c>
      <c r="AI49" s="3">
        <f t="shared" si="33"/>
        <v>0.8200000000000004</v>
      </c>
      <c r="AJ49" s="14">
        <f t="shared" si="34"/>
        <v>0.8200000000000004</v>
      </c>
      <c r="AK49" s="3">
        <f t="shared" si="3"/>
        <v>4.377946144331049</v>
      </c>
      <c r="AN49" s="3">
        <f t="shared" si="35"/>
        <v>0.8200000000000004</v>
      </c>
      <c r="AO49" s="3">
        <f t="shared" si="36"/>
        <v>0.8200000000000004</v>
      </c>
      <c r="AP49" s="3">
        <f t="shared" si="4"/>
        <v>4.377946144331049</v>
      </c>
      <c r="AS49" s="3">
        <f t="shared" si="37"/>
        <v>0.8200000000000004</v>
      </c>
      <c r="AT49" s="14">
        <f t="shared" si="38"/>
        <v>0.8200000000000004</v>
      </c>
      <c r="AU49" s="3">
        <f t="shared" si="5"/>
        <v>4.377946144331049</v>
      </c>
      <c r="AX49" s="3">
        <f t="shared" si="39"/>
        <v>0.8200000000000004</v>
      </c>
      <c r="AY49" s="14">
        <f t="shared" si="40"/>
        <v>0.8200000000000004</v>
      </c>
      <c r="AZ49" s="3">
        <f t="shared" si="6"/>
        <v>4.377946144331049</v>
      </c>
      <c r="BC49" s="3">
        <f t="shared" si="41"/>
        <v>0.8200000000000004</v>
      </c>
      <c r="BD49" s="3">
        <f t="shared" si="42"/>
        <v>0.8200000000000004</v>
      </c>
      <c r="BE49" s="3">
        <f t="shared" si="7"/>
        <v>4.377946144331049</v>
      </c>
      <c r="BH49" s="3">
        <f t="shared" si="43"/>
        <v>0.8200000000000004</v>
      </c>
      <c r="BI49" s="14">
        <f t="shared" si="44"/>
        <v>0.8200000000000004</v>
      </c>
      <c r="BJ49" s="3">
        <f t="shared" si="8"/>
        <v>4.377946144331049</v>
      </c>
      <c r="BM49" s="3">
        <f t="shared" si="45"/>
        <v>0.8200000000000004</v>
      </c>
      <c r="BN49" s="14">
        <f t="shared" si="46"/>
        <v>0.8200000000000004</v>
      </c>
      <c r="BO49" s="3">
        <f t="shared" si="9"/>
        <v>4.377946144331049</v>
      </c>
      <c r="BR49" s="3">
        <f t="shared" si="47"/>
        <v>0.8200000000000004</v>
      </c>
      <c r="BS49" s="3">
        <f t="shared" si="48"/>
        <v>0.8200000000000004</v>
      </c>
      <c r="BT49" s="3">
        <f t="shared" si="10"/>
        <v>4.377946144331049</v>
      </c>
      <c r="BW49" s="3">
        <f t="shared" si="49"/>
        <v>0.8200000000000004</v>
      </c>
      <c r="BX49" s="14">
        <f t="shared" si="50"/>
        <v>0.8200000000000004</v>
      </c>
      <c r="BY49" s="3">
        <f t="shared" si="11"/>
        <v>4.377946144331049</v>
      </c>
      <c r="CB49" s="3">
        <f t="shared" si="51"/>
        <v>0.8200000000000004</v>
      </c>
      <c r="CC49" s="14">
        <f t="shared" si="52"/>
        <v>0.8200000000000004</v>
      </c>
      <c r="CD49" s="3">
        <f t="shared" si="12"/>
        <v>4.377946144331049</v>
      </c>
      <c r="CG49" s="3">
        <f t="shared" si="53"/>
        <v>0.8200000000000004</v>
      </c>
      <c r="CH49" s="3">
        <f t="shared" si="54"/>
        <v>0.8200000000000004</v>
      </c>
      <c r="CI49" s="3">
        <f t="shared" si="13"/>
        <v>4.377946144331049</v>
      </c>
      <c r="CL49" s="3">
        <f t="shared" si="55"/>
        <v>0.8200000000000004</v>
      </c>
      <c r="CM49" s="14">
        <f t="shared" si="56"/>
        <v>0.8200000000000004</v>
      </c>
      <c r="CN49" s="3">
        <f t="shared" si="14"/>
        <v>4.377946144331049</v>
      </c>
      <c r="CQ49" s="3">
        <f t="shared" si="57"/>
        <v>0.8200000000000004</v>
      </c>
      <c r="CR49" s="14">
        <f t="shared" si="58"/>
        <v>0.8200000000000004</v>
      </c>
      <c r="CS49" s="3">
        <f t="shared" si="15"/>
        <v>4.377946144331049</v>
      </c>
      <c r="CV49" s="3">
        <f t="shared" si="59"/>
        <v>0.8200000000000004</v>
      </c>
      <c r="CW49" s="3">
        <f t="shared" si="60"/>
        <v>0.8200000000000004</v>
      </c>
      <c r="CX49" s="3">
        <f t="shared" si="16"/>
        <v>4.377946144331049</v>
      </c>
      <c r="DA49" s="3">
        <f t="shared" si="61"/>
        <v>0.8200000000000004</v>
      </c>
      <c r="DB49" s="14">
        <f t="shared" si="62"/>
        <v>0.8200000000000004</v>
      </c>
      <c r="DC49" s="3">
        <f t="shared" si="17"/>
        <v>4.377946144331049</v>
      </c>
      <c r="DF49" s="3">
        <f t="shared" si="63"/>
        <v>0.8200000000000004</v>
      </c>
      <c r="DG49" s="14">
        <f t="shared" si="64"/>
        <v>0.8200000000000004</v>
      </c>
      <c r="DH49" s="3">
        <f t="shared" si="18"/>
        <v>4.377946144331049</v>
      </c>
      <c r="DK49" s="3">
        <f t="shared" si="65"/>
        <v>0.8200000000000004</v>
      </c>
      <c r="DL49" s="3">
        <f t="shared" si="66"/>
        <v>0.8200000000000004</v>
      </c>
      <c r="DM49" s="3">
        <f t="shared" si="19"/>
        <v>4.377946144331049</v>
      </c>
      <c r="DP49" s="3">
        <f t="shared" si="67"/>
        <v>0.8200000000000004</v>
      </c>
      <c r="DQ49" s="14">
        <f t="shared" si="68"/>
        <v>0.8200000000000004</v>
      </c>
      <c r="DR49" s="3">
        <f t="shared" si="20"/>
        <v>4.377946144331049</v>
      </c>
      <c r="DU49" s="3">
        <f t="shared" si="69"/>
        <v>0.8200000000000004</v>
      </c>
      <c r="DV49" s="14">
        <f t="shared" si="70"/>
        <v>0.8200000000000004</v>
      </c>
      <c r="DW49" s="3">
        <f t="shared" si="21"/>
        <v>4.377946144331049</v>
      </c>
      <c r="DZ49" s="3">
        <f t="shared" si="71"/>
        <v>0.8200000000000004</v>
      </c>
      <c r="EA49" s="3">
        <f t="shared" si="72"/>
        <v>0.8200000000000004</v>
      </c>
      <c r="EB49" s="3">
        <f t="shared" si="22"/>
        <v>4.377946144331049</v>
      </c>
      <c r="EE49" s="3">
        <f t="shared" si="73"/>
        <v>0.8200000000000004</v>
      </c>
      <c r="EF49" s="14">
        <f t="shared" si="74"/>
        <v>0.8200000000000004</v>
      </c>
      <c r="EG49" s="3">
        <f t="shared" si="23"/>
        <v>4.377946144331049</v>
      </c>
      <c r="EJ49" s="3">
        <f t="shared" si="75"/>
        <v>0.8200000000000004</v>
      </c>
      <c r="EK49" s="14">
        <f t="shared" si="76"/>
        <v>0.8200000000000004</v>
      </c>
      <c r="EL49" s="3">
        <f t="shared" si="24"/>
        <v>4.377946144331049</v>
      </c>
      <c r="EO49" s="3">
        <f t="shared" si="77"/>
        <v>0.8200000000000004</v>
      </c>
      <c r="EP49" s="3">
        <f t="shared" si="78"/>
        <v>0.8200000000000004</v>
      </c>
      <c r="EQ49" s="3">
        <f t="shared" si="25"/>
        <v>4.377946144331049</v>
      </c>
      <c r="ET49" s="3">
        <f t="shared" si="79"/>
        <v>0.8200000000000004</v>
      </c>
      <c r="EU49" s="14">
        <f t="shared" si="80"/>
        <v>0.8200000000000004</v>
      </c>
      <c r="EV49" s="3">
        <f t="shared" si="26"/>
        <v>4.377946144331049</v>
      </c>
    </row>
    <row r="50" spans="20:152" s="3" customFormat="1" x14ac:dyDescent="0.25">
      <c r="T50" s="3">
        <f t="shared" si="27"/>
        <v>0.84000000000000041</v>
      </c>
      <c r="U50" s="14">
        <f t="shared" si="28"/>
        <v>0.84000000000000041</v>
      </c>
      <c r="V50" s="3">
        <f t="shared" si="0"/>
        <v>4.4229685025177492</v>
      </c>
      <c r="Y50" s="3">
        <f t="shared" si="29"/>
        <v>0.84000000000000041</v>
      </c>
      <c r="Z50" s="3">
        <f t="shared" si="30"/>
        <v>0.84000000000000041</v>
      </c>
      <c r="AA50" s="3">
        <f t="shared" si="1"/>
        <v>4.4229685025177492</v>
      </c>
      <c r="AD50" s="3">
        <f t="shared" si="31"/>
        <v>0.84000000000000041</v>
      </c>
      <c r="AE50" s="14">
        <f t="shared" si="32"/>
        <v>0.84000000000000041</v>
      </c>
      <c r="AF50" s="3">
        <f t="shared" si="2"/>
        <v>4.4229685025177492</v>
      </c>
      <c r="AI50" s="3">
        <f t="shared" si="33"/>
        <v>0.84000000000000041</v>
      </c>
      <c r="AJ50" s="14">
        <f t="shared" si="34"/>
        <v>0.84000000000000041</v>
      </c>
      <c r="AK50" s="3">
        <f t="shared" si="3"/>
        <v>4.4229685025177492</v>
      </c>
      <c r="AN50" s="3">
        <f t="shared" si="35"/>
        <v>0.84000000000000041</v>
      </c>
      <c r="AO50" s="3">
        <f t="shared" si="36"/>
        <v>0.84000000000000041</v>
      </c>
      <c r="AP50" s="3">
        <f t="shared" si="4"/>
        <v>4.4229685025177492</v>
      </c>
      <c r="AS50" s="3">
        <f t="shared" si="37"/>
        <v>0.84000000000000041</v>
      </c>
      <c r="AT50" s="14">
        <f t="shared" si="38"/>
        <v>0.84000000000000041</v>
      </c>
      <c r="AU50" s="3">
        <f t="shared" si="5"/>
        <v>4.4229685025177492</v>
      </c>
      <c r="AX50" s="3">
        <f t="shared" si="39"/>
        <v>0.84000000000000041</v>
      </c>
      <c r="AY50" s="14">
        <f t="shared" si="40"/>
        <v>0.84000000000000041</v>
      </c>
      <c r="AZ50" s="3">
        <f t="shared" si="6"/>
        <v>4.4229685025177492</v>
      </c>
      <c r="BC50" s="3">
        <f t="shared" si="41"/>
        <v>0.84000000000000041</v>
      </c>
      <c r="BD50" s="3">
        <f t="shared" si="42"/>
        <v>0.84000000000000041</v>
      </c>
      <c r="BE50" s="3">
        <f t="shared" si="7"/>
        <v>4.4229685025177492</v>
      </c>
      <c r="BH50" s="3">
        <f t="shared" si="43"/>
        <v>0.84000000000000041</v>
      </c>
      <c r="BI50" s="14">
        <f t="shared" si="44"/>
        <v>0.84000000000000041</v>
      </c>
      <c r="BJ50" s="3">
        <f t="shared" si="8"/>
        <v>4.4229685025177492</v>
      </c>
      <c r="BM50" s="3">
        <f t="shared" si="45"/>
        <v>0.84000000000000041</v>
      </c>
      <c r="BN50" s="14">
        <f t="shared" si="46"/>
        <v>0.84000000000000041</v>
      </c>
      <c r="BO50" s="3">
        <f t="shared" si="9"/>
        <v>4.4229685025177492</v>
      </c>
      <c r="BR50" s="3">
        <f t="shared" si="47"/>
        <v>0.84000000000000041</v>
      </c>
      <c r="BS50" s="3">
        <f t="shared" si="48"/>
        <v>0.84000000000000041</v>
      </c>
      <c r="BT50" s="3">
        <f t="shared" si="10"/>
        <v>4.4229685025177492</v>
      </c>
      <c r="BW50" s="3">
        <f t="shared" si="49"/>
        <v>0.84000000000000041</v>
      </c>
      <c r="BX50" s="14">
        <f t="shared" si="50"/>
        <v>0.84000000000000041</v>
      </c>
      <c r="BY50" s="3">
        <f t="shared" si="11"/>
        <v>4.4229685025177492</v>
      </c>
      <c r="CB50" s="3">
        <f t="shared" si="51"/>
        <v>0.84000000000000041</v>
      </c>
      <c r="CC50" s="14">
        <f t="shared" si="52"/>
        <v>0.84000000000000041</v>
      </c>
      <c r="CD50" s="3">
        <f t="shared" si="12"/>
        <v>4.4229685025177492</v>
      </c>
      <c r="CG50" s="3">
        <f t="shared" si="53"/>
        <v>0.84000000000000041</v>
      </c>
      <c r="CH50" s="3">
        <f t="shared" si="54"/>
        <v>0.84000000000000041</v>
      </c>
      <c r="CI50" s="3">
        <f t="shared" si="13"/>
        <v>4.4229685025177492</v>
      </c>
      <c r="CL50" s="3">
        <f t="shared" si="55"/>
        <v>0.84000000000000041</v>
      </c>
      <c r="CM50" s="14">
        <f t="shared" si="56"/>
        <v>0.84000000000000041</v>
      </c>
      <c r="CN50" s="3">
        <f t="shared" si="14"/>
        <v>4.4229685025177492</v>
      </c>
      <c r="CQ50" s="3">
        <f t="shared" si="57"/>
        <v>0.84000000000000041</v>
      </c>
      <c r="CR50" s="14">
        <f t="shared" si="58"/>
        <v>0.84000000000000041</v>
      </c>
      <c r="CS50" s="3">
        <f t="shared" si="15"/>
        <v>4.4229685025177492</v>
      </c>
      <c r="CV50" s="3">
        <f t="shared" si="59"/>
        <v>0.84000000000000041</v>
      </c>
      <c r="CW50" s="3">
        <f t="shared" si="60"/>
        <v>0.84000000000000041</v>
      </c>
      <c r="CX50" s="3">
        <f t="shared" si="16"/>
        <v>4.4229685025177492</v>
      </c>
      <c r="DA50" s="3">
        <f t="shared" si="61"/>
        <v>0.84000000000000041</v>
      </c>
      <c r="DB50" s="14">
        <f t="shared" si="62"/>
        <v>0.84000000000000041</v>
      </c>
      <c r="DC50" s="3">
        <f t="shared" si="17"/>
        <v>4.4229685025177492</v>
      </c>
      <c r="DF50" s="3">
        <f t="shared" si="63"/>
        <v>0.84000000000000041</v>
      </c>
      <c r="DG50" s="14">
        <f t="shared" si="64"/>
        <v>0.84000000000000041</v>
      </c>
      <c r="DH50" s="3">
        <f t="shared" si="18"/>
        <v>4.4229685025177492</v>
      </c>
      <c r="DK50" s="3">
        <f t="shared" si="65"/>
        <v>0.84000000000000041</v>
      </c>
      <c r="DL50" s="3">
        <f t="shared" si="66"/>
        <v>0.84000000000000041</v>
      </c>
      <c r="DM50" s="3">
        <f t="shared" si="19"/>
        <v>4.4229685025177492</v>
      </c>
      <c r="DP50" s="3">
        <f t="shared" si="67"/>
        <v>0.84000000000000041</v>
      </c>
      <c r="DQ50" s="14">
        <f t="shared" si="68"/>
        <v>0.84000000000000041</v>
      </c>
      <c r="DR50" s="3">
        <f t="shared" si="20"/>
        <v>4.4229685025177492</v>
      </c>
      <c r="DU50" s="3">
        <f t="shared" si="69"/>
        <v>0.84000000000000041</v>
      </c>
      <c r="DV50" s="14">
        <f t="shared" si="70"/>
        <v>0.84000000000000041</v>
      </c>
      <c r="DW50" s="3">
        <f t="shared" si="21"/>
        <v>4.4229685025177492</v>
      </c>
      <c r="DZ50" s="3">
        <f t="shared" si="71"/>
        <v>0.84000000000000041</v>
      </c>
      <c r="EA50" s="3">
        <f t="shared" si="72"/>
        <v>0.84000000000000041</v>
      </c>
      <c r="EB50" s="3">
        <f t="shared" si="22"/>
        <v>4.4229685025177492</v>
      </c>
      <c r="EE50" s="3">
        <f t="shared" si="73"/>
        <v>0.84000000000000041</v>
      </c>
      <c r="EF50" s="14">
        <f t="shared" si="74"/>
        <v>0.84000000000000041</v>
      </c>
      <c r="EG50" s="3">
        <f t="shared" si="23"/>
        <v>4.4229685025177492</v>
      </c>
      <c r="EJ50" s="3">
        <f t="shared" si="75"/>
        <v>0.84000000000000041</v>
      </c>
      <c r="EK50" s="14">
        <f t="shared" si="76"/>
        <v>0.84000000000000041</v>
      </c>
      <c r="EL50" s="3">
        <f t="shared" si="24"/>
        <v>4.4229685025177492</v>
      </c>
      <c r="EO50" s="3">
        <f t="shared" si="77"/>
        <v>0.84000000000000041</v>
      </c>
      <c r="EP50" s="3">
        <f t="shared" si="78"/>
        <v>0.84000000000000041</v>
      </c>
      <c r="EQ50" s="3">
        <f t="shared" si="25"/>
        <v>4.4229685025177492</v>
      </c>
      <c r="ET50" s="3">
        <f t="shared" si="79"/>
        <v>0.84000000000000041</v>
      </c>
      <c r="EU50" s="14">
        <f t="shared" si="80"/>
        <v>0.84000000000000041</v>
      </c>
      <c r="EV50" s="3">
        <f t="shared" si="26"/>
        <v>4.4229685025177492</v>
      </c>
    </row>
    <row r="51" spans="20:152" s="3" customFormat="1" x14ac:dyDescent="0.25">
      <c r="T51" s="3">
        <f t="shared" si="27"/>
        <v>0.86000000000000043</v>
      </c>
      <c r="U51" s="14">
        <f t="shared" si="28"/>
        <v>0.86000000000000043</v>
      </c>
      <c r="V51" s="3">
        <f t="shared" si="0"/>
        <v>4.4652823479766033</v>
      </c>
      <c r="Y51" s="3">
        <f t="shared" si="29"/>
        <v>0.86000000000000043</v>
      </c>
      <c r="Z51" s="3">
        <f t="shared" si="30"/>
        <v>0.86000000000000043</v>
      </c>
      <c r="AA51" s="3">
        <f t="shared" si="1"/>
        <v>4.4652823479766033</v>
      </c>
      <c r="AD51" s="3">
        <f t="shared" si="31"/>
        <v>0.86000000000000043</v>
      </c>
      <c r="AE51" s="14">
        <f t="shared" si="32"/>
        <v>0.86000000000000043</v>
      </c>
      <c r="AF51" s="3">
        <f t="shared" si="2"/>
        <v>4.4652823479766033</v>
      </c>
      <c r="AI51" s="3">
        <f t="shared" si="33"/>
        <v>0.86000000000000043</v>
      </c>
      <c r="AJ51" s="14">
        <f t="shared" si="34"/>
        <v>0.86000000000000043</v>
      </c>
      <c r="AK51" s="3">
        <f t="shared" si="3"/>
        <v>4.4652823479766033</v>
      </c>
      <c r="AN51" s="3">
        <f t="shared" si="35"/>
        <v>0.86000000000000043</v>
      </c>
      <c r="AO51" s="3">
        <f t="shared" si="36"/>
        <v>0.86000000000000043</v>
      </c>
      <c r="AP51" s="3">
        <f t="shared" si="4"/>
        <v>4.4652823479766033</v>
      </c>
      <c r="AS51" s="3">
        <f t="shared" si="37"/>
        <v>0.86000000000000043</v>
      </c>
      <c r="AT51" s="14">
        <f t="shared" si="38"/>
        <v>0.86000000000000043</v>
      </c>
      <c r="AU51" s="3">
        <f t="shared" si="5"/>
        <v>4.4652823479766033</v>
      </c>
      <c r="AX51" s="3">
        <f t="shared" si="39"/>
        <v>0.86000000000000043</v>
      </c>
      <c r="AY51" s="14">
        <f t="shared" si="40"/>
        <v>0.86000000000000043</v>
      </c>
      <c r="AZ51" s="3">
        <f t="shared" si="6"/>
        <v>4.4652823479766033</v>
      </c>
      <c r="BC51" s="3">
        <f t="shared" si="41"/>
        <v>0.86000000000000043</v>
      </c>
      <c r="BD51" s="3">
        <f t="shared" si="42"/>
        <v>0.86000000000000043</v>
      </c>
      <c r="BE51" s="3">
        <f t="shared" si="7"/>
        <v>4.4652823479766033</v>
      </c>
      <c r="BH51" s="3">
        <f t="shared" si="43"/>
        <v>0.86000000000000043</v>
      </c>
      <c r="BI51" s="14">
        <f t="shared" si="44"/>
        <v>0.86000000000000043</v>
      </c>
      <c r="BJ51" s="3">
        <f t="shared" si="8"/>
        <v>4.4652823479766033</v>
      </c>
      <c r="BM51" s="3">
        <f t="shared" si="45"/>
        <v>0.86000000000000043</v>
      </c>
      <c r="BN51" s="14">
        <f t="shared" si="46"/>
        <v>0.86000000000000043</v>
      </c>
      <c r="BO51" s="3">
        <f t="shared" si="9"/>
        <v>4.4652823479766033</v>
      </c>
      <c r="BR51" s="3">
        <f t="shared" si="47"/>
        <v>0.86000000000000043</v>
      </c>
      <c r="BS51" s="3">
        <f t="shared" si="48"/>
        <v>0.86000000000000043</v>
      </c>
      <c r="BT51" s="3">
        <f t="shared" si="10"/>
        <v>4.4652823479766033</v>
      </c>
      <c r="BW51" s="3">
        <f t="shared" si="49"/>
        <v>0.86000000000000043</v>
      </c>
      <c r="BX51" s="14">
        <f t="shared" si="50"/>
        <v>0.86000000000000043</v>
      </c>
      <c r="BY51" s="3">
        <f t="shared" si="11"/>
        <v>4.4652823479766033</v>
      </c>
      <c r="CB51" s="3">
        <f t="shared" si="51"/>
        <v>0.86000000000000043</v>
      </c>
      <c r="CC51" s="14">
        <f t="shared" si="52"/>
        <v>0.86000000000000043</v>
      </c>
      <c r="CD51" s="3">
        <f t="shared" si="12"/>
        <v>4.4652823479766033</v>
      </c>
      <c r="CG51" s="3">
        <f t="shared" si="53"/>
        <v>0.86000000000000043</v>
      </c>
      <c r="CH51" s="3">
        <f t="shared" si="54"/>
        <v>0.86000000000000043</v>
      </c>
      <c r="CI51" s="3">
        <f t="shared" si="13"/>
        <v>4.4652823479766033</v>
      </c>
      <c r="CL51" s="3">
        <f t="shared" si="55"/>
        <v>0.86000000000000043</v>
      </c>
      <c r="CM51" s="14">
        <f t="shared" si="56"/>
        <v>0.86000000000000043</v>
      </c>
      <c r="CN51" s="3">
        <f t="shared" si="14"/>
        <v>4.4652823479766033</v>
      </c>
      <c r="CQ51" s="3">
        <f t="shared" si="57"/>
        <v>0.86000000000000043</v>
      </c>
      <c r="CR51" s="14">
        <f t="shared" si="58"/>
        <v>0.86000000000000043</v>
      </c>
      <c r="CS51" s="3">
        <f t="shared" si="15"/>
        <v>4.4652823479766033</v>
      </c>
      <c r="CV51" s="3">
        <f t="shared" si="59"/>
        <v>0.86000000000000043</v>
      </c>
      <c r="CW51" s="3">
        <f t="shared" si="60"/>
        <v>0.86000000000000043</v>
      </c>
      <c r="CX51" s="3">
        <f t="shared" si="16"/>
        <v>4.4652823479766033</v>
      </c>
      <c r="DA51" s="3">
        <f t="shared" si="61"/>
        <v>0.86000000000000043</v>
      </c>
      <c r="DB51" s="14">
        <f t="shared" si="62"/>
        <v>0.86000000000000043</v>
      </c>
      <c r="DC51" s="3">
        <f t="shared" si="17"/>
        <v>4.4652823479766033</v>
      </c>
      <c r="DF51" s="3">
        <f t="shared" si="63"/>
        <v>0.86000000000000043</v>
      </c>
      <c r="DG51" s="14">
        <f t="shared" si="64"/>
        <v>0.86000000000000043</v>
      </c>
      <c r="DH51" s="3">
        <f t="shared" si="18"/>
        <v>4.4652823479766033</v>
      </c>
      <c r="DK51" s="3">
        <f t="shared" si="65"/>
        <v>0.86000000000000043</v>
      </c>
      <c r="DL51" s="3">
        <f t="shared" si="66"/>
        <v>0.86000000000000043</v>
      </c>
      <c r="DM51" s="3">
        <f t="shared" si="19"/>
        <v>4.4652823479766033</v>
      </c>
      <c r="DP51" s="3">
        <f t="shared" si="67"/>
        <v>0.86000000000000043</v>
      </c>
      <c r="DQ51" s="14">
        <f t="shared" si="68"/>
        <v>0.86000000000000043</v>
      </c>
      <c r="DR51" s="3">
        <f t="shared" si="20"/>
        <v>4.4652823479766033</v>
      </c>
      <c r="DU51" s="3">
        <f t="shared" si="69"/>
        <v>0.86000000000000043</v>
      </c>
      <c r="DV51" s="14">
        <f t="shared" si="70"/>
        <v>0.86000000000000043</v>
      </c>
      <c r="DW51" s="3">
        <f t="shared" si="21"/>
        <v>4.4652823479766033</v>
      </c>
      <c r="DZ51" s="3">
        <f t="shared" si="71"/>
        <v>0.86000000000000043</v>
      </c>
      <c r="EA51" s="3">
        <f t="shared" si="72"/>
        <v>0.86000000000000043</v>
      </c>
      <c r="EB51" s="3">
        <f t="shared" si="22"/>
        <v>4.4652823479766033</v>
      </c>
      <c r="EE51" s="3">
        <f t="shared" si="73"/>
        <v>0.86000000000000043</v>
      </c>
      <c r="EF51" s="14">
        <f t="shared" si="74"/>
        <v>0.86000000000000043</v>
      </c>
      <c r="EG51" s="3">
        <f t="shared" si="23"/>
        <v>4.4652823479766033</v>
      </c>
      <c r="EJ51" s="3">
        <f t="shared" si="75"/>
        <v>0.86000000000000043</v>
      </c>
      <c r="EK51" s="14">
        <f t="shared" si="76"/>
        <v>0.86000000000000043</v>
      </c>
      <c r="EL51" s="3">
        <f t="shared" si="24"/>
        <v>4.4652823479766033</v>
      </c>
      <c r="EO51" s="3">
        <f t="shared" si="77"/>
        <v>0.86000000000000043</v>
      </c>
      <c r="EP51" s="3">
        <f t="shared" si="78"/>
        <v>0.86000000000000043</v>
      </c>
      <c r="EQ51" s="3">
        <f t="shared" si="25"/>
        <v>4.4652823479766033</v>
      </c>
      <c r="ET51" s="3">
        <f t="shared" si="79"/>
        <v>0.86000000000000043</v>
      </c>
      <c r="EU51" s="14">
        <f t="shared" si="80"/>
        <v>0.86000000000000043</v>
      </c>
      <c r="EV51" s="3">
        <f t="shared" si="26"/>
        <v>4.4652823479766033</v>
      </c>
    </row>
    <row r="52" spans="20:152" s="3" customFormat="1" x14ac:dyDescent="0.25">
      <c r="T52" s="3">
        <f t="shared" si="27"/>
        <v>0.88000000000000045</v>
      </c>
      <c r="U52" s="14">
        <f t="shared" si="28"/>
        <v>0.88000000000000045</v>
      </c>
      <c r="V52" s="3">
        <f t="shared" si="0"/>
        <v>4.5048876807076086</v>
      </c>
      <c r="Y52" s="3">
        <f t="shared" si="29"/>
        <v>0.88000000000000045</v>
      </c>
      <c r="Z52" s="3">
        <f t="shared" si="30"/>
        <v>0.88000000000000045</v>
      </c>
      <c r="AA52" s="3">
        <f t="shared" si="1"/>
        <v>4.5048876807076086</v>
      </c>
      <c r="AD52" s="3">
        <f t="shared" si="31"/>
        <v>0.88000000000000045</v>
      </c>
      <c r="AE52" s="14">
        <f t="shared" si="32"/>
        <v>0.88000000000000045</v>
      </c>
      <c r="AF52" s="3">
        <f t="shared" si="2"/>
        <v>4.5048876807076086</v>
      </c>
      <c r="AI52" s="3">
        <f t="shared" si="33"/>
        <v>0.88000000000000045</v>
      </c>
      <c r="AJ52" s="14">
        <f t="shared" si="34"/>
        <v>0.88000000000000045</v>
      </c>
      <c r="AK52" s="3">
        <f t="shared" si="3"/>
        <v>4.5048876807076086</v>
      </c>
      <c r="AN52" s="3">
        <f t="shared" si="35"/>
        <v>0.88000000000000045</v>
      </c>
      <c r="AO52" s="3">
        <f t="shared" si="36"/>
        <v>0.88000000000000045</v>
      </c>
      <c r="AP52" s="3">
        <f t="shared" si="4"/>
        <v>4.5048876807076086</v>
      </c>
      <c r="AS52" s="3">
        <f t="shared" si="37"/>
        <v>0.88000000000000045</v>
      </c>
      <c r="AT52" s="14">
        <f t="shared" si="38"/>
        <v>0.88000000000000045</v>
      </c>
      <c r="AU52" s="3">
        <f t="shared" si="5"/>
        <v>4.5048876807076086</v>
      </c>
      <c r="AX52" s="3">
        <f t="shared" si="39"/>
        <v>0.88000000000000045</v>
      </c>
      <c r="AY52" s="14">
        <f t="shared" si="40"/>
        <v>0.88000000000000045</v>
      </c>
      <c r="AZ52" s="3">
        <f t="shared" si="6"/>
        <v>4.5048876807076086</v>
      </c>
      <c r="BC52" s="3">
        <f t="shared" si="41"/>
        <v>0.88000000000000045</v>
      </c>
      <c r="BD52" s="3">
        <f t="shared" si="42"/>
        <v>0.88000000000000045</v>
      </c>
      <c r="BE52" s="3">
        <f t="shared" si="7"/>
        <v>4.5048876807076086</v>
      </c>
      <c r="BH52" s="3">
        <f t="shared" si="43"/>
        <v>0.88000000000000045</v>
      </c>
      <c r="BI52" s="14">
        <f t="shared" si="44"/>
        <v>0.88000000000000045</v>
      </c>
      <c r="BJ52" s="3">
        <f t="shared" si="8"/>
        <v>4.5048876807076086</v>
      </c>
      <c r="BM52" s="3">
        <f t="shared" si="45"/>
        <v>0.88000000000000045</v>
      </c>
      <c r="BN52" s="14">
        <f t="shared" si="46"/>
        <v>0.88000000000000045</v>
      </c>
      <c r="BO52" s="3">
        <f t="shared" si="9"/>
        <v>4.5048876807076086</v>
      </c>
      <c r="BR52" s="3">
        <f t="shared" si="47"/>
        <v>0.88000000000000045</v>
      </c>
      <c r="BS52" s="3">
        <f t="shared" si="48"/>
        <v>0.88000000000000045</v>
      </c>
      <c r="BT52" s="3">
        <f t="shared" si="10"/>
        <v>4.5048876807076086</v>
      </c>
      <c r="BW52" s="3">
        <f t="shared" si="49"/>
        <v>0.88000000000000045</v>
      </c>
      <c r="BX52" s="14">
        <f t="shared" si="50"/>
        <v>0.88000000000000045</v>
      </c>
      <c r="BY52" s="3">
        <f t="shared" si="11"/>
        <v>4.5048876807076086</v>
      </c>
      <c r="CB52" s="3">
        <f t="shared" si="51"/>
        <v>0.88000000000000045</v>
      </c>
      <c r="CC52" s="14">
        <f t="shared" si="52"/>
        <v>0.88000000000000045</v>
      </c>
      <c r="CD52" s="3">
        <f t="shared" si="12"/>
        <v>4.5048876807076086</v>
      </c>
      <c r="CG52" s="3">
        <f t="shared" si="53"/>
        <v>0.88000000000000045</v>
      </c>
      <c r="CH52" s="3">
        <f t="shared" si="54"/>
        <v>0.88000000000000045</v>
      </c>
      <c r="CI52" s="3">
        <f t="shared" si="13"/>
        <v>4.5048876807076086</v>
      </c>
      <c r="CL52" s="3">
        <f t="shared" si="55"/>
        <v>0.88000000000000045</v>
      </c>
      <c r="CM52" s="14">
        <f t="shared" si="56"/>
        <v>0.88000000000000045</v>
      </c>
      <c r="CN52" s="3">
        <f t="shared" si="14"/>
        <v>4.5048876807076086</v>
      </c>
      <c r="CQ52" s="3">
        <f t="shared" si="57"/>
        <v>0.88000000000000045</v>
      </c>
      <c r="CR52" s="14">
        <f t="shared" si="58"/>
        <v>0.88000000000000045</v>
      </c>
      <c r="CS52" s="3">
        <f t="shared" si="15"/>
        <v>4.5048876807076086</v>
      </c>
      <c r="CV52" s="3">
        <f t="shared" si="59"/>
        <v>0.88000000000000045</v>
      </c>
      <c r="CW52" s="3">
        <f t="shared" si="60"/>
        <v>0.88000000000000045</v>
      </c>
      <c r="CX52" s="3">
        <f t="shared" si="16"/>
        <v>4.5048876807076086</v>
      </c>
      <c r="DA52" s="3">
        <f t="shared" si="61"/>
        <v>0.88000000000000045</v>
      </c>
      <c r="DB52" s="14">
        <f t="shared" si="62"/>
        <v>0.88000000000000045</v>
      </c>
      <c r="DC52" s="3">
        <f t="shared" si="17"/>
        <v>4.5048876807076086</v>
      </c>
      <c r="DF52" s="3">
        <f t="shared" si="63"/>
        <v>0.88000000000000045</v>
      </c>
      <c r="DG52" s="14">
        <f t="shared" si="64"/>
        <v>0.88000000000000045</v>
      </c>
      <c r="DH52" s="3">
        <f t="shared" si="18"/>
        <v>4.5048876807076086</v>
      </c>
      <c r="DK52" s="3">
        <f t="shared" si="65"/>
        <v>0.88000000000000045</v>
      </c>
      <c r="DL52" s="3">
        <f t="shared" si="66"/>
        <v>0.88000000000000045</v>
      </c>
      <c r="DM52" s="3">
        <f t="shared" si="19"/>
        <v>4.5048876807076086</v>
      </c>
      <c r="DP52" s="3">
        <f t="shared" si="67"/>
        <v>0.88000000000000045</v>
      </c>
      <c r="DQ52" s="14">
        <f t="shared" si="68"/>
        <v>0.88000000000000045</v>
      </c>
      <c r="DR52" s="3">
        <f t="shared" si="20"/>
        <v>4.5048876807076086</v>
      </c>
      <c r="DU52" s="3">
        <f t="shared" si="69"/>
        <v>0.88000000000000045</v>
      </c>
      <c r="DV52" s="14">
        <f t="shared" si="70"/>
        <v>0.88000000000000045</v>
      </c>
      <c r="DW52" s="3">
        <f t="shared" si="21"/>
        <v>4.5048876807076086</v>
      </c>
      <c r="DZ52" s="3">
        <f t="shared" si="71"/>
        <v>0.88000000000000045</v>
      </c>
      <c r="EA52" s="3">
        <f t="shared" si="72"/>
        <v>0.88000000000000045</v>
      </c>
      <c r="EB52" s="3">
        <f t="shared" si="22"/>
        <v>4.5048876807076086</v>
      </c>
      <c r="EE52" s="3">
        <f t="shared" si="73"/>
        <v>0.88000000000000045</v>
      </c>
      <c r="EF52" s="14">
        <f t="shared" si="74"/>
        <v>0.88000000000000045</v>
      </c>
      <c r="EG52" s="3">
        <f t="shared" si="23"/>
        <v>4.5048876807076086</v>
      </c>
      <c r="EJ52" s="3">
        <f t="shared" si="75"/>
        <v>0.88000000000000045</v>
      </c>
      <c r="EK52" s="14">
        <f t="shared" si="76"/>
        <v>0.88000000000000045</v>
      </c>
      <c r="EL52" s="3">
        <f t="shared" si="24"/>
        <v>4.5048876807076086</v>
      </c>
      <c r="EO52" s="3">
        <f t="shared" si="77"/>
        <v>0.88000000000000045</v>
      </c>
      <c r="EP52" s="3">
        <f t="shared" si="78"/>
        <v>0.88000000000000045</v>
      </c>
      <c r="EQ52" s="3">
        <f t="shared" si="25"/>
        <v>4.5048876807076086</v>
      </c>
      <c r="ET52" s="3">
        <f t="shared" si="79"/>
        <v>0.88000000000000045</v>
      </c>
      <c r="EU52" s="14">
        <f t="shared" si="80"/>
        <v>0.88000000000000045</v>
      </c>
      <c r="EV52" s="3">
        <f t="shared" si="26"/>
        <v>4.5048876807076086</v>
      </c>
    </row>
    <row r="53" spans="20:152" s="3" customFormat="1" x14ac:dyDescent="0.25">
      <c r="T53" s="3">
        <f t="shared" si="27"/>
        <v>0.90000000000000047</v>
      </c>
      <c r="U53" s="14">
        <f t="shared" si="28"/>
        <v>0.90000000000000047</v>
      </c>
      <c r="V53" s="3">
        <f t="shared" si="0"/>
        <v>4.5417845007107678</v>
      </c>
      <c r="Y53" s="3">
        <f t="shared" si="29"/>
        <v>0.90000000000000047</v>
      </c>
      <c r="Z53" s="3">
        <f t="shared" si="30"/>
        <v>0.90000000000000047</v>
      </c>
      <c r="AA53" s="3">
        <f t="shared" si="1"/>
        <v>4.5417845007107678</v>
      </c>
      <c r="AD53" s="3">
        <f t="shared" si="31"/>
        <v>0.90000000000000047</v>
      </c>
      <c r="AE53" s="14">
        <f t="shared" si="32"/>
        <v>0.90000000000000047</v>
      </c>
      <c r="AF53" s="3">
        <f t="shared" si="2"/>
        <v>4.5417845007107678</v>
      </c>
      <c r="AI53" s="3">
        <f t="shared" si="33"/>
        <v>0.90000000000000047</v>
      </c>
      <c r="AJ53" s="14">
        <f t="shared" si="34"/>
        <v>0.90000000000000047</v>
      </c>
      <c r="AK53" s="3">
        <f t="shared" si="3"/>
        <v>4.5417845007107678</v>
      </c>
      <c r="AN53" s="3">
        <f t="shared" si="35"/>
        <v>0.90000000000000047</v>
      </c>
      <c r="AO53" s="3">
        <f t="shared" si="36"/>
        <v>0.90000000000000047</v>
      </c>
      <c r="AP53" s="3">
        <f t="shared" si="4"/>
        <v>4.5417845007107678</v>
      </c>
      <c r="AS53" s="3">
        <f t="shared" si="37"/>
        <v>0.90000000000000047</v>
      </c>
      <c r="AT53" s="14">
        <f t="shared" si="38"/>
        <v>0.90000000000000047</v>
      </c>
      <c r="AU53" s="3">
        <f t="shared" si="5"/>
        <v>4.5417845007107678</v>
      </c>
      <c r="AX53" s="3">
        <f t="shared" si="39"/>
        <v>0.90000000000000047</v>
      </c>
      <c r="AY53" s="14">
        <f t="shared" si="40"/>
        <v>0.90000000000000047</v>
      </c>
      <c r="AZ53" s="3">
        <f t="shared" si="6"/>
        <v>4.5417845007107678</v>
      </c>
      <c r="BC53" s="3">
        <f t="shared" si="41"/>
        <v>0.90000000000000047</v>
      </c>
      <c r="BD53" s="3">
        <f t="shared" si="42"/>
        <v>0.90000000000000047</v>
      </c>
      <c r="BE53" s="3">
        <f t="shared" si="7"/>
        <v>4.5417845007107678</v>
      </c>
      <c r="BH53" s="3">
        <f t="shared" si="43"/>
        <v>0.90000000000000047</v>
      </c>
      <c r="BI53" s="14">
        <f t="shared" si="44"/>
        <v>0.90000000000000047</v>
      </c>
      <c r="BJ53" s="3">
        <f t="shared" si="8"/>
        <v>4.5417845007107678</v>
      </c>
      <c r="BM53" s="3">
        <f t="shared" si="45"/>
        <v>0.90000000000000047</v>
      </c>
      <c r="BN53" s="14">
        <f t="shared" si="46"/>
        <v>0.90000000000000047</v>
      </c>
      <c r="BO53" s="3">
        <f t="shared" si="9"/>
        <v>4.5417845007107678</v>
      </c>
      <c r="BR53" s="3">
        <f t="shared" si="47"/>
        <v>0.90000000000000047</v>
      </c>
      <c r="BS53" s="3">
        <f t="shared" si="48"/>
        <v>0.90000000000000047</v>
      </c>
      <c r="BT53" s="3">
        <f t="shared" si="10"/>
        <v>4.5417845007107678</v>
      </c>
      <c r="BW53" s="3">
        <f t="shared" si="49"/>
        <v>0.90000000000000047</v>
      </c>
      <c r="BX53" s="14">
        <f t="shared" si="50"/>
        <v>0.90000000000000047</v>
      </c>
      <c r="BY53" s="3">
        <f t="shared" si="11"/>
        <v>4.5417845007107678</v>
      </c>
      <c r="CB53" s="3">
        <f t="shared" si="51"/>
        <v>0.90000000000000047</v>
      </c>
      <c r="CC53" s="14">
        <f t="shared" si="52"/>
        <v>0.90000000000000047</v>
      </c>
      <c r="CD53" s="3">
        <f t="shared" si="12"/>
        <v>4.5417845007107678</v>
      </c>
      <c r="CG53" s="3">
        <f t="shared" si="53"/>
        <v>0.90000000000000047</v>
      </c>
      <c r="CH53" s="3">
        <f t="shared" si="54"/>
        <v>0.90000000000000047</v>
      </c>
      <c r="CI53" s="3">
        <f t="shared" si="13"/>
        <v>4.5417845007107678</v>
      </c>
      <c r="CL53" s="3">
        <f t="shared" si="55"/>
        <v>0.90000000000000047</v>
      </c>
      <c r="CM53" s="14">
        <f t="shared" si="56"/>
        <v>0.90000000000000047</v>
      </c>
      <c r="CN53" s="3">
        <f t="shared" si="14"/>
        <v>4.5417845007107678</v>
      </c>
      <c r="CQ53" s="3">
        <f t="shared" si="57"/>
        <v>0.90000000000000047</v>
      </c>
      <c r="CR53" s="14">
        <f t="shared" si="58"/>
        <v>0.90000000000000047</v>
      </c>
      <c r="CS53" s="3">
        <f t="shared" si="15"/>
        <v>4.5417845007107678</v>
      </c>
      <c r="CV53" s="3">
        <f t="shared" si="59"/>
        <v>0.90000000000000047</v>
      </c>
      <c r="CW53" s="3">
        <f t="shared" si="60"/>
        <v>0.90000000000000047</v>
      </c>
      <c r="CX53" s="3">
        <f t="shared" si="16"/>
        <v>4.5417845007107678</v>
      </c>
      <c r="DA53" s="3">
        <f t="shared" si="61"/>
        <v>0.90000000000000047</v>
      </c>
      <c r="DB53" s="14">
        <f t="shared" si="62"/>
        <v>0.90000000000000047</v>
      </c>
      <c r="DC53" s="3">
        <f t="shared" si="17"/>
        <v>4.5417845007107678</v>
      </c>
      <c r="DF53" s="3">
        <f t="shared" si="63"/>
        <v>0.90000000000000047</v>
      </c>
      <c r="DG53" s="14">
        <f t="shared" si="64"/>
        <v>0.90000000000000047</v>
      </c>
      <c r="DH53" s="3">
        <f t="shared" si="18"/>
        <v>4.5417845007107678</v>
      </c>
      <c r="DK53" s="3">
        <f t="shared" si="65"/>
        <v>0.90000000000000047</v>
      </c>
      <c r="DL53" s="3">
        <f t="shared" si="66"/>
        <v>0.90000000000000047</v>
      </c>
      <c r="DM53" s="3">
        <f t="shared" si="19"/>
        <v>4.5417845007107678</v>
      </c>
      <c r="DP53" s="3">
        <f t="shared" si="67"/>
        <v>0.90000000000000047</v>
      </c>
      <c r="DQ53" s="14">
        <f t="shared" si="68"/>
        <v>0.90000000000000047</v>
      </c>
      <c r="DR53" s="3">
        <f t="shared" si="20"/>
        <v>4.5417845007107678</v>
      </c>
      <c r="DU53" s="3">
        <f t="shared" si="69"/>
        <v>0.90000000000000047</v>
      </c>
      <c r="DV53" s="14">
        <f t="shared" si="70"/>
        <v>0.90000000000000047</v>
      </c>
      <c r="DW53" s="3">
        <f t="shared" si="21"/>
        <v>4.5417845007107678</v>
      </c>
      <c r="DZ53" s="3">
        <f t="shared" si="71"/>
        <v>0.90000000000000047</v>
      </c>
      <c r="EA53" s="3">
        <f t="shared" si="72"/>
        <v>0.90000000000000047</v>
      </c>
      <c r="EB53" s="3">
        <f t="shared" si="22"/>
        <v>4.5417845007107678</v>
      </c>
      <c r="EE53" s="3">
        <f t="shared" si="73"/>
        <v>0.90000000000000047</v>
      </c>
      <c r="EF53" s="14">
        <f t="shared" si="74"/>
        <v>0.90000000000000047</v>
      </c>
      <c r="EG53" s="3">
        <f t="shared" si="23"/>
        <v>4.5417845007107678</v>
      </c>
      <c r="EJ53" s="3">
        <f t="shared" si="75"/>
        <v>0.90000000000000047</v>
      </c>
      <c r="EK53" s="14">
        <f t="shared" si="76"/>
        <v>0.90000000000000047</v>
      </c>
      <c r="EL53" s="3">
        <f t="shared" si="24"/>
        <v>4.5417845007107678</v>
      </c>
      <c r="EO53" s="3">
        <f t="shared" si="77"/>
        <v>0.90000000000000047</v>
      </c>
      <c r="EP53" s="3">
        <f t="shared" si="78"/>
        <v>0.90000000000000047</v>
      </c>
      <c r="EQ53" s="3">
        <f t="shared" si="25"/>
        <v>4.5417845007107678</v>
      </c>
      <c r="ET53" s="3">
        <f t="shared" si="79"/>
        <v>0.90000000000000047</v>
      </c>
      <c r="EU53" s="14">
        <f t="shared" si="80"/>
        <v>0.90000000000000047</v>
      </c>
      <c r="EV53" s="3">
        <f t="shared" si="26"/>
        <v>4.5417845007107678</v>
      </c>
    </row>
    <row r="54" spans="20:152" s="3" customFormat="1" x14ac:dyDescent="0.25">
      <c r="T54" s="3">
        <f t="shared" si="27"/>
        <v>0.92000000000000048</v>
      </c>
      <c r="U54" s="14">
        <f t="shared" si="28"/>
        <v>0.92000000000000048</v>
      </c>
      <c r="V54" s="3">
        <f t="shared" si="0"/>
        <v>4.5759728079860791</v>
      </c>
      <c r="Y54" s="3">
        <f t="shared" si="29"/>
        <v>0.92000000000000048</v>
      </c>
      <c r="Z54" s="3">
        <f t="shared" si="30"/>
        <v>0.92000000000000048</v>
      </c>
      <c r="AA54" s="3">
        <f t="shared" si="1"/>
        <v>4.5759728079860791</v>
      </c>
      <c r="AD54" s="3">
        <f t="shared" si="31"/>
        <v>0.92000000000000048</v>
      </c>
      <c r="AE54" s="14">
        <f t="shared" si="32"/>
        <v>0.92000000000000048</v>
      </c>
      <c r="AF54" s="3">
        <f t="shared" si="2"/>
        <v>4.5759728079860791</v>
      </c>
      <c r="AI54" s="3">
        <f t="shared" si="33"/>
        <v>0.92000000000000048</v>
      </c>
      <c r="AJ54" s="14">
        <f t="shared" si="34"/>
        <v>0.92000000000000048</v>
      </c>
      <c r="AK54" s="3">
        <f t="shared" si="3"/>
        <v>4.5759728079860791</v>
      </c>
      <c r="AN54" s="3">
        <f t="shared" si="35"/>
        <v>0.92000000000000048</v>
      </c>
      <c r="AO54" s="3">
        <f t="shared" si="36"/>
        <v>0.92000000000000048</v>
      </c>
      <c r="AP54" s="3">
        <f t="shared" si="4"/>
        <v>4.5759728079860791</v>
      </c>
      <c r="AS54" s="3">
        <f t="shared" si="37"/>
        <v>0.92000000000000048</v>
      </c>
      <c r="AT54" s="14">
        <f t="shared" si="38"/>
        <v>0.92000000000000048</v>
      </c>
      <c r="AU54" s="3">
        <f t="shared" si="5"/>
        <v>4.5759728079860791</v>
      </c>
      <c r="AX54" s="3">
        <f t="shared" si="39"/>
        <v>0.92000000000000048</v>
      </c>
      <c r="AY54" s="14">
        <f t="shared" si="40"/>
        <v>0.92000000000000048</v>
      </c>
      <c r="AZ54" s="3">
        <f t="shared" si="6"/>
        <v>4.5759728079860791</v>
      </c>
      <c r="BC54" s="3">
        <f t="shared" si="41"/>
        <v>0.92000000000000048</v>
      </c>
      <c r="BD54" s="3">
        <f t="shared" si="42"/>
        <v>0.92000000000000048</v>
      </c>
      <c r="BE54" s="3">
        <f t="shared" si="7"/>
        <v>4.5759728079860791</v>
      </c>
      <c r="BH54" s="3">
        <f t="shared" si="43"/>
        <v>0.92000000000000048</v>
      </c>
      <c r="BI54" s="14">
        <f t="shared" si="44"/>
        <v>0.92000000000000048</v>
      </c>
      <c r="BJ54" s="3">
        <f t="shared" si="8"/>
        <v>4.5759728079860791</v>
      </c>
      <c r="BM54" s="3">
        <f t="shared" si="45"/>
        <v>0.92000000000000048</v>
      </c>
      <c r="BN54" s="14">
        <f t="shared" si="46"/>
        <v>0.92000000000000048</v>
      </c>
      <c r="BO54" s="3">
        <f t="shared" si="9"/>
        <v>4.5759728079860791</v>
      </c>
      <c r="BR54" s="3">
        <f t="shared" si="47"/>
        <v>0.92000000000000048</v>
      </c>
      <c r="BS54" s="3">
        <f t="shared" si="48"/>
        <v>0.92000000000000048</v>
      </c>
      <c r="BT54" s="3">
        <f t="shared" si="10"/>
        <v>4.5759728079860791</v>
      </c>
      <c r="BW54" s="3">
        <f t="shared" si="49"/>
        <v>0.92000000000000048</v>
      </c>
      <c r="BX54" s="14">
        <f t="shared" si="50"/>
        <v>0.92000000000000048</v>
      </c>
      <c r="BY54" s="3">
        <f t="shared" si="11"/>
        <v>4.5759728079860791</v>
      </c>
      <c r="CB54" s="3">
        <f t="shared" si="51"/>
        <v>0.92000000000000048</v>
      </c>
      <c r="CC54" s="14">
        <f t="shared" si="52"/>
        <v>0.92000000000000048</v>
      </c>
      <c r="CD54" s="3">
        <f t="shared" si="12"/>
        <v>4.5759728079860791</v>
      </c>
      <c r="CG54" s="3">
        <f t="shared" si="53"/>
        <v>0.92000000000000048</v>
      </c>
      <c r="CH54" s="3">
        <f t="shared" si="54"/>
        <v>0.92000000000000048</v>
      </c>
      <c r="CI54" s="3">
        <f t="shared" si="13"/>
        <v>4.5759728079860791</v>
      </c>
      <c r="CL54" s="3">
        <f t="shared" si="55"/>
        <v>0.92000000000000048</v>
      </c>
      <c r="CM54" s="14">
        <f t="shared" si="56"/>
        <v>0.92000000000000048</v>
      </c>
      <c r="CN54" s="3">
        <f t="shared" si="14"/>
        <v>4.5759728079860791</v>
      </c>
      <c r="CQ54" s="3">
        <f t="shared" si="57"/>
        <v>0.92000000000000048</v>
      </c>
      <c r="CR54" s="14">
        <f t="shared" si="58"/>
        <v>0.92000000000000048</v>
      </c>
      <c r="CS54" s="3">
        <f t="shared" si="15"/>
        <v>4.5759728079860791</v>
      </c>
      <c r="CV54" s="3">
        <f t="shared" si="59"/>
        <v>0.92000000000000048</v>
      </c>
      <c r="CW54" s="3">
        <f t="shared" si="60"/>
        <v>0.92000000000000048</v>
      </c>
      <c r="CX54" s="3">
        <f t="shared" si="16"/>
        <v>4.5759728079860791</v>
      </c>
      <c r="DA54" s="3">
        <f t="shared" si="61"/>
        <v>0.92000000000000048</v>
      </c>
      <c r="DB54" s="14">
        <f t="shared" si="62"/>
        <v>0.92000000000000048</v>
      </c>
      <c r="DC54" s="3">
        <f t="shared" si="17"/>
        <v>4.5759728079860791</v>
      </c>
      <c r="DF54" s="3">
        <f t="shared" si="63"/>
        <v>0.92000000000000048</v>
      </c>
      <c r="DG54" s="14">
        <f t="shared" si="64"/>
        <v>0.92000000000000048</v>
      </c>
      <c r="DH54" s="3">
        <f t="shared" si="18"/>
        <v>4.5759728079860791</v>
      </c>
      <c r="DK54" s="3">
        <f t="shared" si="65"/>
        <v>0.92000000000000048</v>
      </c>
      <c r="DL54" s="3">
        <f t="shared" si="66"/>
        <v>0.92000000000000048</v>
      </c>
      <c r="DM54" s="3">
        <f t="shared" si="19"/>
        <v>4.5759728079860791</v>
      </c>
      <c r="DP54" s="3">
        <f t="shared" si="67"/>
        <v>0.92000000000000048</v>
      </c>
      <c r="DQ54" s="14">
        <f t="shared" si="68"/>
        <v>0.92000000000000048</v>
      </c>
      <c r="DR54" s="3">
        <f t="shared" si="20"/>
        <v>4.5759728079860791</v>
      </c>
      <c r="DU54" s="3">
        <f t="shared" si="69"/>
        <v>0.92000000000000048</v>
      </c>
      <c r="DV54" s="14">
        <f t="shared" si="70"/>
        <v>0.92000000000000048</v>
      </c>
      <c r="DW54" s="3">
        <f t="shared" si="21"/>
        <v>4.5759728079860791</v>
      </c>
      <c r="DZ54" s="3">
        <f t="shared" si="71"/>
        <v>0.92000000000000048</v>
      </c>
      <c r="EA54" s="3">
        <f t="shared" si="72"/>
        <v>0.92000000000000048</v>
      </c>
      <c r="EB54" s="3">
        <f t="shared" si="22"/>
        <v>4.5759728079860791</v>
      </c>
      <c r="EE54" s="3">
        <f t="shared" si="73"/>
        <v>0.92000000000000048</v>
      </c>
      <c r="EF54" s="14">
        <f t="shared" si="74"/>
        <v>0.92000000000000048</v>
      </c>
      <c r="EG54" s="3">
        <f t="shared" si="23"/>
        <v>4.5759728079860791</v>
      </c>
      <c r="EJ54" s="3">
        <f t="shared" si="75"/>
        <v>0.92000000000000048</v>
      </c>
      <c r="EK54" s="14">
        <f t="shared" si="76"/>
        <v>0.92000000000000048</v>
      </c>
      <c r="EL54" s="3">
        <f t="shared" si="24"/>
        <v>4.5759728079860791</v>
      </c>
      <c r="EO54" s="3">
        <f t="shared" si="77"/>
        <v>0.92000000000000048</v>
      </c>
      <c r="EP54" s="3">
        <f t="shared" si="78"/>
        <v>0.92000000000000048</v>
      </c>
      <c r="EQ54" s="3">
        <f t="shared" si="25"/>
        <v>4.5759728079860791</v>
      </c>
      <c r="ET54" s="3">
        <f t="shared" si="79"/>
        <v>0.92000000000000048</v>
      </c>
      <c r="EU54" s="14">
        <f t="shared" si="80"/>
        <v>0.92000000000000048</v>
      </c>
      <c r="EV54" s="3">
        <f t="shared" si="26"/>
        <v>4.5759728079860791</v>
      </c>
    </row>
    <row r="55" spans="20:152" s="3" customFormat="1" x14ac:dyDescent="0.25">
      <c r="T55" s="3">
        <f t="shared" si="27"/>
        <v>0.9400000000000005</v>
      </c>
      <c r="U55" s="14">
        <f t="shared" si="28"/>
        <v>0.9400000000000005</v>
      </c>
      <c r="V55" s="3">
        <f t="shared" si="0"/>
        <v>4.6074526025335443</v>
      </c>
      <c r="Y55" s="3">
        <f t="shared" si="29"/>
        <v>0.9400000000000005</v>
      </c>
      <c r="Z55" s="3">
        <f t="shared" si="30"/>
        <v>0.9400000000000005</v>
      </c>
      <c r="AA55" s="3">
        <f t="shared" si="1"/>
        <v>4.6074526025335443</v>
      </c>
      <c r="AD55" s="3">
        <f t="shared" si="31"/>
        <v>0.9400000000000005</v>
      </c>
      <c r="AE55" s="14">
        <f t="shared" si="32"/>
        <v>0.9400000000000005</v>
      </c>
      <c r="AF55" s="3">
        <f t="shared" si="2"/>
        <v>4.6074526025335443</v>
      </c>
      <c r="AI55" s="3">
        <f t="shared" si="33"/>
        <v>0.9400000000000005</v>
      </c>
      <c r="AJ55" s="14">
        <f t="shared" si="34"/>
        <v>0.9400000000000005</v>
      </c>
      <c r="AK55" s="3">
        <f t="shared" si="3"/>
        <v>4.6074526025335443</v>
      </c>
      <c r="AN55" s="3">
        <f t="shared" si="35"/>
        <v>0.9400000000000005</v>
      </c>
      <c r="AO55" s="3">
        <f t="shared" si="36"/>
        <v>0.9400000000000005</v>
      </c>
      <c r="AP55" s="3">
        <f t="shared" si="4"/>
        <v>4.6074526025335443</v>
      </c>
      <c r="AS55" s="3">
        <f t="shared" si="37"/>
        <v>0.9400000000000005</v>
      </c>
      <c r="AT55" s="14">
        <f t="shared" si="38"/>
        <v>0.9400000000000005</v>
      </c>
      <c r="AU55" s="3">
        <f t="shared" si="5"/>
        <v>4.6074526025335443</v>
      </c>
      <c r="AX55" s="3">
        <f t="shared" si="39"/>
        <v>0.9400000000000005</v>
      </c>
      <c r="AY55" s="14">
        <f t="shared" si="40"/>
        <v>0.9400000000000005</v>
      </c>
      <c r="AZ55" s="3">
        <f t="shared" si="6"/>
        <v>4.6074526025335443</v>
      </c>
      <c r="BC55" s="3">
        <f t="shared" si="41"/>
        <v>0.9400000000000005</v>
      </c>
      <c r="BD55" s="3">
        <f t="shared" si="42"/>
        <v>0.9400000000000005</v>
      </c>
      <c r="BE55" s="3">
        <f t="shared" si="7"/>
        <v>4.6074526025335443</v>
      </c>
      <c r="BH55" s="3">
        <f t="shared" si="43"/>
        <v>0.9400000000000005</v>
      </c>
      <c r="BI55" s="14">
        <f t="shared" si="44"/>
        <v>0.9400000000000005</v>
      </c>
      <c r="BJ55" s="3">
        <f t="shared" si="8"/>
        <v>4.6074526025335443</v>
      </c>
      <c r="BM55" s="3">
        <f t="shared" si="45"/>
        <v>0.9400000000000005</v>
      </c>
      <c r="BN55" s="14">
        <f t="shared" si="46"/>
        <v>0.9400000000000005</v>
      </c>
      <c r="BO55" s="3">
        <f t="shared" si="9"/>
        <v>4.6074526025335443</v>
      </c>
      <c r="BR55" s="3">
        <f t="shared" si="47"/>
        <v>0.9400000000000005</v>
      </c>
      <c r="BS55" s="3">
        <f t="shared" si="48"/>
        <v>0.9400000000000005</v>
      </c>
      <c r="BT55" s="3">
        <f t="shared" si="10"/>
        <v>4.6074526025335443</v>
      </c>
      <c r="BW55" s="3">
        <f t="shared" si="49"/>
        <v>0.9400000000000005</v>
      </c>
      <c r="BX55" s="14">
        <f t="shared" si="50"/>
        <v>0.9400000000000005</v>
      </c>
      <c r="BY55" s="3">
        <f t="shared" si="11"/>
        <v>4.6074526025335443</v>
      </c>
      <c r="CB55" s="3">
        <f t="shared" si="51"/>
        <v>0.9400000000000005</v>
      </c>
      <c r="CC55" s="14">
        <f t="shared" si="52"/>
        <v>0.9400000000000005</v>
      </c>
      <c r="CD55" s="3">
        <f t="shared" si="12"/>
        <v>4.6074526025335443</v>
      </c>
      <c r="CG55" s="3">
        <f t="shared" si="53"/>
        <v>0.9400000000000005</v>
      </c>
      <c r="CH55" s="3">
        <f t="shared" si="54"/>
        <v>0.9400000000000005</v>
      </c>
      <c r="CI55" s="3">
        <f t="shared" si="13"/>
        <v>4.6074526025335443</v>
      </c>
      <c r="CL55" s="3">
        <f t="shared" si="55"/>
        <v>0.9400000000000005</v>
      </c>
      <c r="CM55" s="14">
        <f t="shared" si="56"/>
        <v>0.9400000000000005</v>
      </c>
      <c r="CN55" s="3">
        <f t="shared" si="14"/>
        <v>4.6074526025335443</v>
      </c>
      <c r="CQ55" s="3">
        <f t="shared" si="57"/>
        <v>0.9400000000000005</v>
      </c>
      <c r="CR55" s="14">
        <f t="shared" si="58"/>
        <v>0.9400000000000005</v>
      </c>
      <c r="CS55" s="3">
        <f t="shared" si="15"/>
        <v>4.6074526025335443</v>
      </c>
      <c r="CV55" s="3">
        <f t="shared" si="59"/>
        <v>0.9400000000000005</v>
      </c>
      <c r="CW55" s="3">
        <f t="shared" si="60"/>
        <v>0.9400000000000005</v>
      </c>
      <c r="CX55" s="3">
        <f t="shared" si="16"/>
        <v>4.6074526025335443</v>
      </c>
      <c r="DA55" s="3">
        <f t="shared" si="61"/>
        <v>0.9400000000000005</v>
      </c>
      <c r="DB55" s="14">
        <f t="shared" si="62"/>
        <v>0.9400000000000005</v>
      </c>
      <c r="DC55" s="3">
        <f t="shared" si="17"/>
        <v>4.6074526025335443</v>
      </c>
      <c r="DF55" s="3">
        <f t="shared" si="63"/>
        <v>0.9400000000000005</v>
      </c>
      <c r="DG55" s="14">
        <f t="shared" si="64"/>
        <v>0.9400000000000005</v>
      </c>
      <c r="DH55" s="3">
        <f t="shared" si="18"/>
        <v>4.6074526025335443</v>
      </c>
      <c r="DK55" s="3">
        <f t="shared" si="65"/>
        <v>0.9400000000000005</v>
      </c>
      <c r="DL55" s="3">
        <f t="shared" si="66"/>
        <v>0.9400000000000005</v>
      </c>
      <c r="DM55" s="3">
        <f t="shared" si="19"/>
        <v>4.6074526025335443</v>
      </c>
      <c r="DP55" s="3">
        <f t="shared" si="67"/>
        <v>0.9400000000000005</v>
      </c>
      <c r="DQ55" s="14">
        <f t="shared" si="68"/>
        <v>0.9400000000000005</v>
      </c>
      <c r="DR55" s="3">
        <f t="shared" si="20"/>
        <v>4.6074526025335443</v>
      </c>
      <c r="DU55" s="3">
        <f t="shared" si="69"/>
        <v>0.9400000000000005</v>
      </c>
      <c r="DV55" s="14">
        <f t="shared" si="70"/>
        <v>0.9400000000000005</v>
      </c>
      <c r="DW55" s="3">
        <f t="shared" si="21"/>
        <v>4.6074526025335443</v>
      </c>
      <c r="DZ55" s="3">
        <f t="shared" si="71"/>
        <v>0.9400000000000005</v>
      </c>
      <c r="EA55" s="3">
        <f t="shared" si="72"/>
        <v>0.9400000000000005</v>
      </c>
      <c r="EB55" s="3">
        <f t="shared" si="22"/>
        <v>4.6074526025335443</v>
      </c>
      <c r="EE55" s="3">
        <f t="shared" si="73"/>
        <v>0.9400000000000005</v>
      </c>
      <c r="EF55" s="14">
        <f t="shared" si="74"/>
        <v>0.9400000000000005</v>
      </c>
      <c r="EG55" s="3">
        <f t="shared" si="23"/>
        <v>4.6074526025335443</v>
      </c>
      <c r="EJ55" s="3">
        <f t="shared" si="75"/>
        <v>0.9400000000000005</v>
      </c>
      <c r="EK55" s="14">
        <f t="shared" si="76"/>
        <v>0.9400000000000005</v>
      </c>
      <c r="EL55" s="3">
        <f t="shared" si="24"/>
        <v>4.6074526025335443</v>
      </c>
      <c r="EO55" s="3">
        <f t="shared" si="77"/>
        <v>0.9400000000000005</v>
      </c>
      <c r="EP55" s="3">
        <f t="shared" si="78"/>
        <v>0.9400000000000005</v>
      </c>
      <c r="EQ55" s="3">
        <f t="shared" si="25"/>
        <v>4.6074526025335443</v>
      </c>
      <c r="ET55" s="3">
        <f t="shared" si="79"/>
        <v>0.9400000000000005</v>
      </c>
      <c r="EU55" s="14">
        <f t="shared" si="80"/>
        <v>0.9400000000000005</v>
      </c>
      <c r="EV55" s="3">
        <f t="shared" si="26"/>
        <v>4.6074526025335443</v>
      </c>
    </row>
    <row r="56" spans="20:152" s="3" customFormat="1" x14ac:dyDescent="0.25">
      <c r="T56" s="3">
        <f t="shared" si="27"/>
        <v>0.96000000000000052</v>
      </c>
      <c r="U56" s="14">
        <f t="shared" si="28"/>
        <v>0.96000000000000052</v>
      </c>
      <c r="V56" s="3">
        <f t="shared" si="0"/>
        <v>4.6362238843531625</v>
      </c>
      <c r="Y56" s="3">
        <f t="shared" si="29"/>
        <v>0.96000000000000052</v>
      </c>
      <c r="Z56" s="3">
        <f t="shared" si="30"/>
        <v>0.96000000000000052</v>
      </c>
      <c r="AA56" s="3">
        <f t="shared" si="1"/>
        <v>4.6362238843531625</v>
      </c>
      <c r="AD56" s="3">
        <f t="shared" si="31"/>
        <v>0.96000000000000052</v>
      </c>
      <c r="AE56" s="14">
        <f t="shared" si="32"/>
        <v>0.96000000000000052</v>
      </c>
      <c r="AF56" s="3">
        <f t="shared" si="2"/>
        <v>4.6362238843531625</v>
      </c>
      <c r="AI56" s="3">
        <f t="shared" si="33"/>
        <v>0.96000000000000052</v>
      </c>
      <c r="AJ56" s="14">
        <f t="shared" si="34"/>
        <v>0.96000000000000052</v>
      </c>
      <c r="AK56" s="3">
        <f t="shared" si="3"/>
        <v>4.6362238843531625</v>
      </c>
      <c r="AN56" s="3">
        <f t="shared" si="35"/>
        <v>0.96000000000000052</v>
      </c>
      <c r="AO56" s="3">
        <f t="shared" si="36"/>
        <v>0.96000000000000052</v>
      </c>
      <c r="AP56" s="3">
        <f t="shared" si="4"/>
        <v>4.6362238843531625</v>
      </c>
      <c r="AS56" s="3">
        <f t="shared" si="37"/>
        <v>0.96000000000000052</v>
      </c>
      <c r="AT56" s="14">
        <f t="shared" si="38"/>
        <v>0.96000000000000052</v>
      </c>
      <c r="AU56" s="3">
        <f t="shared" si="5"/>
        <v>4.6362238843531625</v>
      </c>
      <c r="AX56" s="3">
        <f t="shared" si="39"/>
        <v>0.96000000000000052</v>
      </c>
      <c r="AY56" s="14">
        <f t="shared" si="40"/>
        <v>0.96000000000000052</v>
      </c>
      <c r="AZ56" s="3">
        <f t="shared" si="6"/>
        <v>4.6362238843531625</v>
      </c>
      <c r="BC56" s="3">
        <f t="shared" si="41"/>
        <v>0.96000000000000052</v>
      </c>
      <c r="BD56" s="3">
        <f t="shared" si="42"/>
        <v>0.96000000000000052</v>
      </c>
      <c r="BE56" s="3">
        <f t="shared" si="7"/>
        <v>4.6362238843531625</v>
      </c>
      <c r="BH56" s="3">
        <f t="shared" si="43"/>
        <v>0.96000000000000052</v>
      </c>
      <c r="BI56" s="14">
        <f t="shared" si="44"/>
        <v>0.96000000000000052</v>
      </c>
      <c r="BJ56" s="3">
        <f t="shared" si="8"/>
        <v>4.6362238843531625</v>
      </c>
      <c r="BM56" s="3">
        <f t="shared" si="45"/>
        <v>0.96000000000000052</v>
      </c>
      <c r="BN56" s="14">
        <f t="shared" si="46"/>
        <v>0.96000000000000052</v>
      </c>
      <c r="BO56" s="3">
        <f t="shared" si="9"/>
        <v>4.6362238843531625</v>
      </c>
      <c r="BR56" s="3">
        <f t="shared" si="47"/>
        <v>0.96000000000000052</v>
      </c>
      <c r="BS56" s="3">
        <f t="shared" si="48"/>
        <v>0.96000000000000052</v>
      </c>
      <c r="BT56" s="3">
        <f t="shared" si="10"/>
        <v>4.6362238843531625</v>
      </c>
      <c r="BW56" s="3">
        <f t="shared" si="49"/>
        <v>0.96000000000000052</v>
      </c>
      <c r="BX56" s="14">
        <f t="shared" si="50"/>
        <v>0.96000000000000052</v>
      </c>
      <c r="BY56" s="3">
        <f t="shared" si="11"/>
        <v>4.6362238843531625</v>
      </c>
      <c r="CB56" s="3">
        <f t="shared" si="51"/>
        <v>0.96000000000000052</v>
      </c>
      <c r="CC56" s="14">
        <f t="shared" si="52"/>
        <v>0.96000000000000052</v>
      </c>
      <c r="CD56" s="3">
        <f t="shared" si="12"/>
        <v>4.6362238843531625</v>
      </c>
      <c r="CG56" s="3">
        <f t="shared" si="53"/>
        <v>0.96000000000000052</v>
      </c>
      <c r="CH56" s="3">
        <f t="shared" si="54"/>
        <v>0.96000000000000052</v>
      </c>
      <c r="CI56" s="3">
        <f t="shared" si="13"/>
        <v>4.6362238843531625</v>
      </c>
      <c r="CL56" s="3">
        <f t="shared" si="55"/>
        <v>0.96000000000000052</v>
      </c>
      <c r="CM56" s="14">
        <f t="shared" si="56"/>
        <v>0.96000000000000052</v>
      </c>
      <c r="CN56" s="3">
        <f t="shared" si="14"/>
        <v>4.6362238843531625</v>
      </c>
      <c r="CQ56" s="3">
        <f t="shared" si="57"/>
        <v>0.96000000000000052</v>
      </c>
      <c r="CR56" s="14">
        <f t="shared" si="58"/>
        <v>0.96000000000000052</v>
      </c>
      <c r="CS56" s="3">
        <f t="shared" si="15"/>
        <v>4.6362238843531625</v>
      </c>
      <c r="CV56" s="3">
        <f t="shared" si="59"/>
        <v>0.96000000000000052</v>
      </c>
      <c r="CW56" s="3">
        <f t="shared" si="60"/>
        <v>0.96000000000000052</v>
      </c>
      <c r="CX56" s="3">
        <f t="shared" si="16"/>
        <v>4.6362238843531625</v>
      </c>
      <c r="DA56" s="3">
        <f t="shared" si="61"/>
        <v>0.96000000000000052</v>
      </c>
      <c r="DB56" s="14">
        <f t="shared" si="62"/>
        <v>0.96000000000000052</v>
      </c>
      <c r="DC56" s="3">
        <f t="shared" si="17"/>
        <v>4.6362238843531625</v>
      </c>
      <c r="DF56" s="3">
        <f t="shared" si="63"/>
        <v>0.96000000000000052</v>
      </c>
      <c r="DG56" s="14">
        <f t="shared" si="64"/>
        <v>0.96000000000000052</v>
      </c>
      <c r="DH56" s="3">
        <f t="shared" si="18"/>
        <v>4.6362238843531625</v>
      </c>
      <c r="DK56" s="3">
        <f t="shared" si="65"/>
        <v>0.96000000000000052</v>
      </c>
      <c r="DL56" s="3">
        <f t="shared" si="66"/>
        <v>0.96000000000000052</v>
      </c>
      <c r="DM56" s="3">
        <f t="shared" si="19"/>
        <v>4.6362238843531625</v>
      </c>
      <c r="DP56" s="3">
        <f t="shared" si="67"/>
        <v>0.96000000000000052</v>
      </c>
      <c r="DQ56" s="14">
        <f t="shared" si="68"/>
        <v>0.96000000000000052</v>
      </c>
      <c r="DR56" s="3">
        <f t="shared" si="20"/>
        <v>4.6362238843531625</v>
      </c>
      <c r="DU56" s="3">
        <f t="shared" si="69"/>
        <v>0.96000000000000052</v>
      </c>
      <c r="DV56" s="14">
        <f t="shared" si="70"/>
        <v>0.96000000000000052</v>
      </c>
      <c r="DW56" s="3">
        <f t="shared" si="21"/>
        <v>4.6362238843531625</v>
      </c>
      <c r="DZ56" s="3">
        <f t="shared" si="71"/>
        <v>0.96000000000000052</v>
      </c>
      <c r="EA56" s="3">
        <f t="shared" si="72"/>
        <v>0.96000000000000052</v>
      </c>
      <c r="EB56" s="3">
        <f t="shared" si="22"/>
        <v>4.6362238843531625</v>
      </c>
      <c r="EE56" s="3">
        <f t="shared" si="73"/>
        <v>0.96000000000000052</v>
      </c>
      <c r="EF56" s="14">
        <f t="shared" si="74"/>
        <v>0.96000000000000052</v>
      </c>
      <c r="EG56" s="3">
        <f t="shared" si="23"/>
        <v>4.6362238843531625</v>
      </c>
      <c r="EJ56" s="3">
        <f t="shared" si="75"/>
        <v>0.96000000000000052</v>
      </c>
      <c r="EK56" s="14">
        <f t="shared" si="76"/>
        <v>0.96000000000000052</v>
      </c>
      <c r="EL56" s="3">
        <f t="shared" si="24"/>
        <v>4.6362238843531625</v>
      </c>
      <c r="EO56" s="3">
        <f t="shared" si="77"/>
        <v>0.96000000000000052</v>
      </c>
      <c r="EP56" s="3">
        <f t="shared" si="78"/>
        <v>0.96000000000000052</v>
      </c>
      <c r="EQ56" s="3">
        <f t="shared" si="25"/>
        <v>4.6362238843531625</v>
      </c>
      <c r="ET56" s="3">
        <f t="shared" si="79"/>
        <v>0.96000000000000052</v>
      </c>
      <c r="EU56" s="14">
        <f t="shared" si="80"/>
        <v>0.96000000000000052</v>
      </c>
      <c r="EV56" s="3">
        <f t="shared" si="26"/>
        <v>4.6362238843531625</v>
      </c>
    </row>
    <row r="57" spans="20:152" s="3" customFormat="1" x14ac:dyDescent="0.25">
      <c r="T57" s="3">
        <f t="shared" si="27"/>
        <v>0.98000000000000054</v>
      </c>
      <c r="U57" s="14">
        <f t="shared" si="28"/>
        <v>0.98000000000000054</v>
      </c>
      <c r="V57" s="3">
        <f t="shared" si="0"/>
        <v>4.6622866534449319</v>
      </c>
      <c r="Y57" s="3">
        <f t="shared" si="29"/>
        <v>0.98000000000000054</v>
      </c>
      <c r="Z57" s="3">
        <f t="shared" si="30"/>
        <v>0.98000000000000054</v>
      </c>
      <c r="AA57" s="3">
        <f t="shared" si="1"/>
        <v>4.6622866534449319</v>
      </c>
      <c r="AD57" s="3">
        <f t="shared" si="31"/>
        <v>0.98000000000000054</v>
      </c>
      <c r="AE57" s="14">
        <f t="shared" si="32"/>
        <v>0.98000000000000054</v>
      </c>
      <c r="AF57" s="3">
        <f t="shared" si="2"/>
        <v>4.6622866534449319</v>
      </c>
      <c r="AI57" s="3">
        <f t="shared" si="33"/>
        <v>0.98000000000000054</v>
      </c>
      <c r="AJ57" s="14">
        <f t="shared" si="34"/>
        <v>0.98000000000000054</v>
      </c>
      <c r="AK57" s="3">
        <f t="shared" si="3"/>
        <v>4.6622866534449319</v>
      </c>
      <c r="AN57" s="3">
        <f t="shared" si="35"/>
        <v>0.98000000000000054</v>
      </c>
      <c r="AO57" s="3">
        <f t="shared" si="36"/>
        <v>0.98000000000000054</v>
      </c>
      <c r="AP57" s="3">
        <f t="shared" si="4"/>
        <v>4.6622866534449319</v>
      </c>
      <c r="AS57" s="3">
        <f t="shared" si="37"/>
        <v>0.98000000000000054</v>
      </c>
      <c r="AT57" s="14">
        <f t="shared" si="38"/>
        <v>0.98000000000000054</v>
      </c>
      <c r="AU57" s="3">
        <f t="shared" si="5"/>
        <v>4.6622866534449319</v>
      </c>
      <c r="AX57" s="3">
        <f t="shared" si="39"/>
        <v>0.98000000000000054</v>
      </c>
      <c r="AY57" s="14">
        <f t="shared" si="40"/>
        <v>0.98000000000000054</v>
      </c>
      <c r="AZ57" s="3">
        <f t="shared" si="6"/>
        <v>4.6622866534449319</v>
      </c>
      <c r="BC57" s="3">
        <f t="shared" si="41"/>
        <v>0.98000000000000054</v>
      </c>
      <c r="BD57" s="3">
        <f t="shared" si="42"/>
        <v>0.98000000000000054</v>
      </c>
      <c r="BE57" s="3">
        <f t="shared" si="7"/>
        <v>4.6622866534449319</v>
      </c>
      <c r="BH57" s="3">
        <f t="shared" si="43"/>
        <v>0.98000000000000054</v>
      </c>
      <c r="BI57" s="14">
        <f t="shared" si="44"/>
        <v>0.98000000000000054</v>
      </c>
      <c r="BJ57" s="3">
        <f t="shared" si="8"/>
        <v>4.6622866534449319</v>
      </c>
      <c r="BM57" s="3">
        <f t="shared" si="45"/>
        <v>0.98000000000000054</v>
      </c>
      <c r="BN57" s="14">
        <f t="shared" si="46"/>
        <v>0.98000000000000054</v>
      </c>
      <c r="BO57" s="3">
        <f t="shared" si="9"/>
        <v>4.6622866534449319</v>
      </c>
      <c r="BR57" s="3">
        <f t="shared" si="47"/>
        <v>0.98000000000000054</v>
      </c>
      <c r="BS57" s="3">
        <f t="shared" si="48"/>
        <v>0.98000000000000054</v>
      </c>
      <c r="BT57" s="3">
        <f t="shared" si="10"/>
        <v>4.6622866534449319</v>
      </c>
      <c r="BW57" s="3">
        <f t="shared" si="49"/>
        <v>0.98000000000000054</v>
      </c>
      <c r="BX57" s="14">
        <f t="shared" si="50"/>
        <v>0.98000000000000054</v>
      </c>
      <c r="BY57" s="3">
        <f t="shared" si="11"/>
        <v>4.6622866534449319</v>
      </c>
      <c r="CB57" s="3">
        <f t="shared" si="51"/>
        <v>0.98000000000000054</v>
      </c>
      <c r="CC57" s="14">
        <f t="shared" si="52"/>
        <v>0.98000000000000054</v>
      </c>
      <c r="CD57" s="3">
        <f t="shared" si="12"/>
        <v>4.6622866534449319</v>
      </c>
      <c r="CG57" s="3">
        <f t="shared" si="53"/>
        <v>0.98000000000000054</v>
      </c>
      <c r="CH57" s="3">
        <f t="shared" si="54"/>
        <v>0.98000000000000054</v>
      </c>
      <c r="CI57" s="3">
        <f t="shared" si="13"/>
        <v>4.6622866534449319</v>
      </c>
      <c r="CL57" s="3">
        <f t="shared" si="55"/>
        <v>0.98000000000000054</v>
      </c>
      <c r="CM57" s="14">
        <f t="shared" si="56"/>
        <v>0.98000000000000054</v>
      </c>
      <c r="CN57" s="3">
        <f t="shared" si="14"/>
        <v>4.6622866534449319</v>
      </c>
      <c r="CQ57" s="3">
        <f t="shared" si="57"/>
        <v>0.98000000000000054</v>
      </c>
      <c r="CR57" s="14">
        <f t="shared" si="58"/>
        <v>0.98000000000000054</v>
      </c>
      <c r="CS57" s="3">
        <f t="shared" si="15"/>
        <v>4.6622866534449319</v>
      </c>
      <c r="CV57" s="3">
        <f t="shared" si="59"/>
        <v>0.98000000000000054</v>
      </c>
      <c r="CW57" s="3">
        <f t="shared" si="60"/>
        <v>0.98000000000000054</v>
      </c>
      <c r="CX57" s="3">
        <f t="shared" si="16"/>
        <v>4.6622866534449319</v>
      </c>
      <c r="DA57" s="3">
        <f t="shared" si="61"/>
        <v>0.98000000000000054</v>
      </c>
      <c r="DB57" s="14">
        <f t="shared" si="62"/>
        <v>0.98000000000000054</v>
      </c>
      <c r="DC57" s="3">
        <f t="shared" si="17"/>
        <v>4.6622866534449319</v>
      </c>
      <c r="DF57" s="3">
        <f t="shared" si="63"/>
        <v>0.98000000000000054</v>
      </c>
      <c r="DG57" s="14">
        <f t="shared" si="64"/>
        <v>0.98000000000000054</v>
      </c>
      <c r="DH57" s="3">
        <f t="shared" si="18"/>
        <v>4.6622866534449319</v>
      </c>
      <c r="DK57" s="3">
        <f t="shared" si="65"/>
        <v>0.98000000000000054</v>
      </c>
      <c r="DL57" s="3">
        <f t="shared" si="66"/>
        <v>0.98000000000000054</v>
      </c>
      <c r="DM57" s="3">
        <f t="shared" si="19"/>
        <v>4.6622866534449319</v>
      </c>
      <c r="DP57" s="3">
        <f t="shared" si="67"/>
        <v>0.98000000000000054</v>
      </c>
      <c r="DQ57" s="14">
        <f t="shared" si="68"/>
        <v>0.98000000000000054</v>
      </c>
      <c r="DR57" s="3">
        <f t="shared" si="20"/>
        <v>4.6622866534449319</v>
      </c>
      <c r="DU57" s="3">
        <f t="shared" si="69"/>
        <v>0.98000000000000054</v>
      </c>
      <c r="DV57" s="14">
        <f t="shared" si="70"/>
        <v>0.98000000000000054</v>
      </c>
      <c r="DW57" s="3">
        <f t="shared" si="21"/>
        <v>4.6622866534449319</v>
      </c>
      <c r="DZ57" s="3">
        <f t="shared" si="71"/>
        <v>0.98000000000000054</v>
      </c>
      <c r="EA57" s="3">
        <f t="shared" si="72"/>
        <v>0.98000000000000054</v>
      </c>
      <c r="EB57" s="3">
        <f t="shared" si="22"/>
        <v>4.6622866534449319</v>
      </c>
      <c r="EE57" s="3">
        <f t="shared" si="73"/>
        <v>0.98000000000000054</v>
      </c>
      <c r="EF57" s="14">
        <f t="shared" si="74"/>
        <v>0.98000000000000054</v>
      </c>
      <c r="EG57" s="3">
        <f t="shared" si="23"/>
        <v>4.6622866534449319</v>
      </c>
      <c r="EJ57" s="3">
        <f t="shared" si="75"/>
        <v>0.98000000000000054</v>
      </c>
      <c r="EK57" s="14">
        <f t="shared" si="76"/>
        <v>0.98000000000000054</v>
      </c>
      <c r="EL57" s="3">
        <f t="shared" si="24"/>
        <v>4.6622866534449319</v>
      </c>
      <c r="EO57" s="3">
        <f t="shared" si="77"/>
        <v>0.98000000000000054</v>
      </c>
      <c r="EP57" s="3">
        <f t="shared" si="78"/>
        <v>0.98000000000000054</v>
      </c>
      <c r="EQ57" s="3">
        <f t="shared" si="25"/>
        <v>4.6622866534449319</v>
      </c>
      <c r="ET57" s="3">
        <f t="shared" si="79"/>
        <v>0.98000000000000054</v>
      </c>
      <c r="EU57" s="14">
        <f t="shared" si="80"/>
        <v>0.98000000000000054</v>
      </c>
      <c r="EV57" s="3">
        <f t="shared" si="26"/>
        <v>4.6622866534449319</v>
      </c>
    </row>
    <row r="58" spans="20:152" s="3" customFormat="1" x14ac:dyDescent="0.25">
      <c r="T58" s="3">
        <f t="shared" si="27"/>
        <v>1.0000000000000004</v>
      </c>
      <c r="U58" s="14">
        <f t="shared" si="28"/>
        <v>1.0000000000000004</v>
      </c>
      <c r="V58" s="3">
        <f t="shared" si="0"/>
        <v>4.6856409098088561</v>
      </c>
      <c r="Y58" s="3">
        <f t="shared" si="29"/>
        <v>1.0000000000000004</v>
      </c>
      <c r="Z58" s="3">
        <f t="shared" si="30"/>
        <v>1.0000000000000004</v>
      </c>
      <c r="AA58" s="3">
        <f t="shared" si="1"/>
        <v>4.6856409098088561</v>
      </c>
      <c r="AD58" s="3">
        <f t="shared" si="31"/>
        <v>1.0000000000000004</v>
      </c>
      <c r="AE58" s="14">
        <f t="shared" si="32"/>
        <v>1.0000000000000004</v>
      </c>
      <c r="AF58" s="3">
        <f t="shared" si="2"/>
        <v>4.6856409098088561</v>
      </c>
      <c r="AI58" s="3">
        <f t="shared" si="33"/>
        <v>1.0000000000000004</v>
      </c>
      <c r="AJ58" s="14">
        <f t="shared" si="34"/>
        <v>1.0000000000000004</v>
      </c>
      <c r="AK58" s="3">
        <f t="shared" si="3"/>
        <v>4.6856409098088561</v>
      </c>
      <c r="AN58" s="3">
        <f t="shared" si="35"/>
        <v>1.0000000000000004</v>
      </c>
      <c r="AO58" s="3">
        <f t="shared" si="36"/>
        <v>1.0000000000000004</v>
      </c>
      <c r="AP58" s="3">
        <f t="shared" si="4"/>
        <v>4.6856409098088561</v>
      </c>
      <c r="AS58" s="3">
        <f t="shared" si="37"/>
        <v>1.0000000000000004</v>
      </c>
      <c r="AT58" s="14">
        <f t="shared" si="38"/>
        <v>1.0000000000000004</v>
      </c>
      <c r="AU58" s="3">
        <f t="shared" si="5"/>
        <v>4.6856409098088561</v>
      </c>
      <c r="AX58" s="3">
        <f t="shared" si="39"/>
        <v>1.0000000000000004</v>
      </c>
      <c r="AY58" s="14">
        <f t="shared" si="40"/>
        <v>1.0000000000000004</v>
      </c>
      <c r="AZ58" s="3">
        <f t="shared" si="6"/>
        <v>4.6856409098088561</v>
      </c>
      <c r="BC58" s="3">
        <f t="shared" si="41"/>
        <v>1.0000000000000004</v>
      </c>
      <c r="BD58" s="3">
        <f t="shared" si="42"/>
        <v>1.0000000000000004</v>
      </c>
      <c r="BE58" s="3">
        <f t="shared" si="7"/>
        <v>4.6856409098088561</v>
      </c>
      <c r="BH58" s="3">
        <f t="shared" si="43"/>
        <v>1.0000000000000004</v>
      </c>
      <c r="BI58" s="14">
        <f t="shared" si="44"/>
        <v>1.0000000000000004</v>
      </c>
      <c r="BJ58" s="3">
        <f t="shared" si="8"/>
        <v>4.6856409098088561</v>
      </c>
      <c r="BM58" s="3">
        <f t="shared" si="45"/>
        <v>1.0000000000000004</v>
      </c>
      <c r="BN58" s="14">
        <f t="shared" si="46"/>
        <v>1.0000000000000004</v>
      </c>
      <c r="BO58" s="3">
        <f t="shared" si="9"/>
        <v>4.6856409098088561</v>
      </c>
      <c r="BR58" s="3">
        <f t="shared" si="47"/>
        <v>1.0000000000000004</v>
      </c>
      <c r="BS58" s="3">
        <f t="shared" si="48"/>
        <v>1.0000000000000004</v>
      </c>
      <c r="BT58" s="3">
        <f t="shared" si="10"/>
        <v>4.6856409098088561</v>
      </c>
      <c r="BW58" s="3">
        <f t="shared" si="49"/>
        <v>1.0000000000000004</v>
      </c>
      <c r="BX58" s="14">
        <f t="shared" si="50"/>
        <v>1.0000000000000004</v>
      </c>
      <c r="BY58" s="3">
        <f t="shared" si="11"/>
        <v>4.6856409098088561</v>
      </c>
      <c r="CB58" s="3">
        <f t="shared" si="51"/>
        <v>1.0000000000000004</v>
      </c>
      <c r="CC58" s="14">
        <f t="shared" si="52"/>
        <v>1.0000000000000004</v>
      </c>
      <c r="CD58" s="3">
        <f t="shared" si="12"/>
        <v>4.6856409098088561</v>
      </c>
      <c r="CG58" s="3">
        <f t="shared" si="53"/>
        <v>1.0000000000000004</v>
      </c>
      <c r="CH58" s="3">
        <f t="shared" si="54"/>
        <v>1.0000000000000004</v>
      </c>
      <c r="CI58" s="3">
        <f t="shared" si="13"/>
        <v>4.6856409098088561</v>
      </c>
      <c r="CL58" s="3">
        <f t="shared" si="55"/>
        <v>1.0000000000000004</v>
      </c>
      <c r="CM58" s="14">
        <f t="shared" si="56"/>
        <v>1.0000000000000004</v>
      </c>
      <c r="CN58" s="3">
        <f t="shared" si="14"/>
        <v>4.6856409098088561</v>
      </c>
      <c r="CQ58" s="3">
        <f t="shared" si="57"/>
        <v>1.0000000000000004</v>
      </c>
      <c r="CR58" s="14">
        <f t="shared" si="58"/>
        <v>1.0000000000000004</v>
      </c>
      <c r="CS58" s="3">
        <f t="shared" si="15"/>
        <v>4.6856409098088561</v>
      </c>
      <c r="CV58" s="3">
        <f t="shared" si="59"/>
        <v>1.0000000000000004</v>
      </c>
      <c r="CW58" s="3">
        <f t="shared" si="60"/>
        <v>1.0000000000000004</v>
      </c>
      <c r="CX58" s="3">
        <f t="shared" si="16"/>
        <v>4.6856409098088561</v>
      </c>
      <c r="DA58" s="3">
        <f t="shared" si="61"/>
        <v>1.0000000000000004</v>
      </c>
      <c r="DB58" s="14">
        <f t="shared" si="62"/>
        <v>1.0000000000000004</v>
      </c>
      <c r="DC58" s="3">
        <f t="shared" si="17"/>
        <v>4.6856409098088561</v>
      </c>
      <c r="DF58" s="3">
        <f t="shared" si="63"/>
        <v>1.0000000000000004</v>
      </c>
      <c r="DG58" s="14">
        <f t="shared" si="64"/>
        <v>1.0000000000000004</v>
      </c>
      <c r="DH58" s="3">
        <f t="shared" si="18"/>
        <v>4.6856409098088561</v>
      </c>
      <c r="DK58" s="3">
        <f t="shared" si="65"/>
        <v>1.0000000000000004</v>
      </c>
      <c r="DL58" s="3">
        <f t="shared" si="66"/>
        <v>1.0000000000000004</v>
      </c>
      <c r="DM58" s="3">
        <f t="shared" si="19"/>
        <v>4.6856409098088561</v>
      </c>
      <c r="DP58" s="3">
        <f t="shared" si="67"/>
        <v>1.0000000000000004</v>
      </c>
      <c r="DQ58" s="14">
        <f t="shared" si="68"/>
        <v>1.0000000000000004</v>
      </c>
      <c r="DR58" s="3">
        <f t="shared" si="20"/>
        <v>4.6856409098088561</v>
      </c>
      <c r="DU58" s="3">
        <f t="shared" si="69"/>
        <v>1.0000000000000004</v>
      </c>
      <c r="DV58" s="14">
        <f t="shared" si="70"/>
        <v>1.0000000000000004</v>
      </c>
      <c r="DW58" s="3">
        <f t="shared" si="21"/>
        <v>4.6856409098088561</v>
      </c>
      <c r="DZ58" s="3">
        <f t="shared" si="71"/>
        <v>1.0000000000000004</v>
      </c>
      <c r="EA58" s="3">
        <f t="shared" si="72"/>
        <v>1.0000000000000004</v>
      </c>
      <c r="EB58" s="3">
        <f t="shared" si="22"/>
        <v>4.6856409098088561</v>
      </c>
      <c r="EE58" s="3">
        <f t="shared" si="73"/>
        <v>1.0000000000000004</v>
      </c>
      <c r="EF58" s="14">
        <f t="shared" si="74"/>
        <v>1.0000000000000004</v>
      </c>
      <c r="EG58" s="3">
        <f t="shared" si="23"/>
        <v>4.6856409098088561</v>
      </c>
      <c r="EJ58" s="3">
        <f t="shared" si="75"/>
        <v>1.0000000000000004</v>
      </c>
      <c r="EK58" s="14">
        <f t="shared" si="76"/>
        <v>1.0000000000000004</v>
      </c>
      <c r="EL58" s="3">
        <f t="shared" si="24"/>
        <v>4.6856409098088561</v>
      </c>
      <c r="EO58" s="3">
        <f t="shared" si="77"/>
        <v>1.0000000000000004</v>
      </c>
      <c r="EP58" s="3">
        <f t="shared" si="78"/>
        <v>1.0000000000000004</v>
      </c>
      <c r="EQ58" s="3">
        <f t="shared" si="25"/>
        <v>4.6856409098088561</v>
      </c>
      <c r="ET58" s="3">
        <f t="shared" si="79"/>
        <v>1.0000000000000004</v>
      </c>
      <c r="EU58" s="14">
        <f t="shared" si="80"/>
        <v>1.0000000000000004</v>
      </c>
      <c r="EV58" s="3">
        <f t="shared" si="26"/>
        <v>4.6856409098088561</v>
      </c>
    </row>
    <row r="59" spans="20:152" s="3" customFormat="1" x14ac:dyDescent="0.25">
      <c r="T59" s="3">
        <f t="shared" si="27"/>
        <v>1.0200000000000005</v>
      </c>
      <c r="U59" s="14">
        <f t="shared" si="28"/>
        <v>1.0200000000000005</v>
      </c>
      <c r="V59" s="3">
        <f t="shared" si="0"/>
        <v>4.7062866534449324</v>
      </c>
      <c r="Y59" s="3">
        <f t="shared" si="29"/>
        <v>1.0200000000000005</v>
      </c>
      <c r="Z59" s="3">
        <f t="shared" si="30"/>
        <v>1.0200000000000005</v>
      </c>
      <c r="AA59" s="3">
        <f t="shared" si="1"/>
        <v>4.7062866534449324</v>
      </c>
      <c r="AD59" s="3">
        <f t="shared" si="31"/>
        <v>1.0200000000000005</v>
      </c>
      <c r="AE59" s="14">
        <f t="shared" si="32"/>
        <v>1.0200000000000005</v>
      </c>
      <c r="AF59" s="3">
        <f t="shared" si="2"/>
        <v>4.7062866534449324</v>
      </c>
      <c r="AI59" s="3">
        <f t="shared" si="33"/>
        <v>1.0200000000000005</v>
      </c>
      <c r="AJ59" s="14">
        <f t="shared" si="34"/>
        <v>1.0200000000000005</v>
      </c>
      <c r="AK59" s="3">
        <f t="shared" si="3"/>
        <v>4.7062866534449324</v>
      </c>
      <c r="AN59" s="3">
        <f t="shared" si="35"/>
        <v>1.0200000000000005</v>
      </c>
      <c r="AO59" s="3">
        <f t="shared" si="36"/>
        <v>1.0200000000000005</v>
      </c>
      <c r="AP59" s="3">
        <f t="shared" si="4"/>
        <v>4.7062866534449324</v>
      </c>
      <c r="AS59" s="3">
        <f t="shared" si="37"/>
        <v>1.0200000000000005</v>
      </c>
      <c r="AT59" s="14">
        <f t="shared" si="38"/>
        <v>1.0200000000000005</v>
      </c>
      <c r="AU59" s="3">
        <f t="shared" si="5"/>
        <v>4.7062866534449324</v>
      </c>
      <c r="AX59" s="3">
        <f t="shared" si="39"/>
        <v>1.0200000000000005</v>
      </c>
      <c r="AY59" s="14">
        <f t="shared" si="40"/>
        <v>1.0200000000000005</v>
      </c>
      <c r="AZ59" s="3">
        <f t="shared" si="6"/>
        <v>4.7062866534449324</v>
      </c>
      <c r="BC59" s="3">
        <f t="shared" si="41"/>
        <v>1.0200000000000005</v>
      </c>
      <c r="BD59" s="3">
        <f t="shared" si="42"/>
        <v>1.0200000000000005</v>
      </c>
      <c r="BE59" s="3">
        <f t="shared" si="7"/>
        <v>4.7062866534449324</v>
      </c>
      <c r="BH59" s="3">
        <f t="shared" si="43"/>
        <v>1.0200000000000005</v>
      </c>
      <c r="BI59" s="14">
        <f t="shared" si="44"/>
        <v>1.0200000000000005</v>
      </c>
      <c r="BJ59" s="3">
        <f t="shared" si="8"/>
        <v>4.7062866534449324</v>
      </c>
      <c r="BM59" s="3">
        <f t="shared" si="45"/>
        <v>1.0200000000000005</v>
      </c>
      <c r="BN59" s="14">
        <f t="shared" si="46"/>
        <v>1.0200000000000005</v>
      </c>
      <c r="BO59" s="3">
        <f t="shared" si="9"/>
        <v>4.7062866534449324</v>
      </c>
      <c r="BR59" s="3">
        <f t="shared" si="47"/>
        <v>1.0200000000000005</v>
      </c>
      <c r="BS59" s="3">
        <f t="shared" si="48"/>
        <v>1.0200000000000005</v>
      </c>
      <c r="BT59" s="3">
        <f t="shared" si="10"/>
        <v>4.7062866534449324</v>
      </c>
      <c r="BW59" s="3">
        <f t="shared" si="49"/>
        <v>1.0200000000000005</v>
      </c>
      <c r="BX59" s="14">
        <f t="shared" si="50"/>
        <v>1.0200000000000005</v>
      </c>
      <c r="BY59" s="3">
        <f t="shared" si="11"/>
        <v>4.7062866534449324</v>
      </c>
      <c r="CB59" s="3">
        <f t="shared" si="51"/>
        <v>1.0200000000000005</v>
      </c>
      <c r="CC59" s="14">
        <f t="shared" si="52"/>
        <v>1.0200000000000005</v>
      </c>
      <c r="CD59" s="3">
        <f t="shared" si="12"/>
        <v>4.7062866534449324</v>
      </c>
      <c r="CG59" s="3">
        <f t="shared" si="53"/>
        <v>1.0200000000000005</v>
      </c>
      <c r="CH59" s="3">
        <f t="shared" si="54"/>
        <v>1.0200000000000005</v>
      </c>
      <c r="CI59" s="3">
        <f t="shared" si="13"/>
        <v>4.7062866534449324</v>
      </c>
      <c r="CL59" s="3">
        <f t="shared" si="55"/>
        <v>1.0200000000000005</v>
      </c>
      <c r="CM59" s="14">
        <f t="shared" si="56"/>
        <v>1.0200000000000005</v>
      </c>
      <c r="CN59" s="3">
        <f t="shared" si="14"/>
        <v>4.7062866534449324</v>
      </c>
      <c r="CQ59" s="3">
        <f t="shared" si="57"/>
        <v>1.0200000000000005</v>
      </c>
      <c r="CR59" s="14">
        <f t="shared" si="58"/>
        <v>1.0200000000000005</v>
      </c>
      <c r="CS59" s="3">
        <f t="shared" si="15"/>
        <v>4.7062866534449324</v>
      </c>
      <c r="CV59" s="3">
        <f t="shared" si="59"/>
        <v>1.0200000000000005</v>
      </c>
      <c r="CW59" s="3">
        <f t="shared" si="60"/>
        <v>1.0200000000000005</v>
      </c>
      <c r="CX59" s="3">
        <f t="shared" si="16"/>
        <v>4.7062866534449324</v>
      </c>
      <c r="DA59" s="3">
        <f t="shared" si="61"/>
        <v>1.0200000000000005</v>
      </c>
      <c r="DB59" s="14">
        <f t="shared" si="62"/>
        <v>1.0200000000000005</v>
      </c>
      <c r="DC59" s="3">
        <f t="shared" si="17"/>
        <v>4.7062866534449324</v>
      </c>
      <c r="DF59" s="3">
        <f t="shared" si="63"/>
        <v>1.0200000000000005</v>
      </c>
      <c r="DG59" s="14">
        <f t="shared" si="64"/>
        <v>1.0200000000000005</v>
      </c>
      <c r="DH59" s="3">
        <f t="shared" si="18"/>
        <v>4.7062866534449324</v>
      </c>
      <c r="DK59" s="3">
        <f t="shared" si="65"/>
        <v>1.0200000000000005</v>
      </c>
      <c r="DL59" s="3">
        <f t="shared" si="66"/>
        <v>1.0200000000000005</v>
      </c>
      <c r="DM59" s="3">
        <f t="shared" si="19"/>
        <v>4.7062866534449324</v>
      </c>
      <c r="DP59" s="3">
        <f t="shared" si="67"/>
        <v>1.0200000000000005</v>
      </c>
      <c r="DQ59" s="14">
        <f t="shared" si="68"/>
        <v>1.0200000000000005</v>
      </c>
      <c r="DR59" s="3">
        <f t="shared" si="20"/>
        <v>4.7062866534449324</v>
      </c>
      <c r="DU59" s="3">
        <f t="shared" si="69"/>
        <v>1.0200000000000005</v>
      </c>
      <c r="DV59" s="14">
        <f t="shared" si="70"/>
        <v>1.0200000000000005</v>
      </c>
      <c r="DW59" s="3">
        <f t="shared" si="21"/>
        <v>4.7062866534449324</v>
      </c>
      <c r="DZ59" s="3">
        <f t="shared" si="71"/>
        <v>1.0200000000000005</v>
      </c>
      <c r="EA59" s="3">
        <f t="shared" si="72"/>
        <v>1.0200000000000005</v>
      </c>
      <c r="EB59" s="3">
        <f t="shared" si="22"/>
        <v>4.7062866534449324</v>
      </c>
      <c r="EE59" s="3">
        <f t="shared" si="73"/>
        <v>1.0200000000000005</v>
      </c>
      <c r="EF59" s="14">
        <f t="shared" si="74"/>
        <v>1.0200000000000005</v>
      </c>
      <c r="EG59" s="3">
        <f t="shared" si="23"/>
        <v>4.7062866534449324</v>
      </c>
      <c r="EJ59" s="3">
        <f t="shared" si="75"/>
        <v>1.0200000000000005</v>
      </c>
      <c r="EK59" s="14">
        <f t="shared" si="76"/>
        <v>1.0200000000000005</v>
      </c>
      <c r="EL59" s="3">
        <f t="shared" si="24"/>
        <v>4.7062866534449324</v>
      </c>
      <c r="EO59" s="3">
        <f t="shared" si="77"/>
        <v>1.0200000000000005</v>
      </c>
      <c r="EP59" s="3">
        <f t="shared" si="78"/>
        <v>1.0200000000000005</v>
      </c>
      <c r="EQ59" s="3">
        <f t="shared" si="25"/>
        <v>4.7062866534449324</v>
      </c>
      <c r="ET59" s="3">
        <f t="shared" si="79"/>
        <v>1.0200000000000005</v>
      </c>
      <c r="EU59" s="14">
        <f t="shared" si="80"/>
        <v>1.0200000000000005</v>
      </c>
      <c r="EV59" s="3">
        <f t="shared" si="26"/>
        <v>4.7062866534449324</v>
      </c>
    </row>
    <row r="60" spans="20:152" s="3" customFormat="1" x14ac:dyDescent="0.25">
      <c r="T60" s="3">
        <f t="shared" si="27"/>
        <v>1.0400000000000005</v>
      </c>
      <c r="U60" s="14">
        <f t="shared" si="28"/>
        <v>1.0400000000000005</v>
      </c>
      <c r="V60" s="3">
        <f t="shared" si="0"/>
        <v>4.7242238843531625</v>
      </c>
      <c r="Y60" s="3">
        <f t="shared" si="29"/>
        <v>1.0400000000000005</v>
      </c>
      <c r="Z60" s="3">
        <f t="shared" si="30"/>
        <v>1.0400000000000005</v>
      </c>
      <c r="AA60" s="3">
        <f t="shared" si="1"/>
        <v>4.7242238843531625</v>
      </c>
      <c r="AD60" s="3">
        <f t="shared" si="31"/>
        <v>1.0400000000000005</v>
      </c>
      <c r="AE60" s="14">
        <f t="shared" si="32"/>
        <v>1.0400000000000005</v>
      </c>
      <c r="AF60" s="3">
        <f t="shared" si="2"/>
        <v>4.7242238843531625</v>
      </c>
      <c r="AI60" s="3">
        <f t="shared" si="33"/>
        <v>1.0400000000000005</v>
      </c>
      <c r="AJ60" s="14">
        <f t="shared" si="34"/>
        <v>1.0400000000000005</v>
      </c>
      <c r="AK60" s="3">
        <f t="shared" si="3"/>
        <v>4.7242238843531625</v>
      </c>
      <c r="AN60" s="3">
        <f t="shared" si="35"/>
        <v>1.0400000000000005</v>
      </c>
      <c r="AO60" s="3">
        <f t="shared" si="36"/>
        <v>1.0400000000000005</v>
      </c>
      <c r="AP60" s="3">
        <f t="shared" si="4"/>
        <v>4.7242238843531625</v>
      </c>
      <c r="AS60" s="3">
        <f t="shared" si="37"/>
        <v>1.0400000000000005</v>
      </c>
      <c r="AT60" s="14">
        <f t="shared" si="38"/>
        <v>1.0400000000000005</v>
      </c>
      <c r="AU60" s="3">
        <f t="shared" si="5"/>
        <v>4.7242238843531625</v>
      </c>
      <c r="AX60" s="3">
        <f t="shared" si="39"/>
        <v>1.0400000000000005</v>
      </c>
      <c r="AY60" s="14">
        <f t="shared" si="40"/>
        <v>1.0400000000000005</v>
      </c>
      <c r="AZ60" s="3">
        <f t="shared" si="6"/>
        <v>4.7242238843531625</v>
      </c>
      <c r="BC60" s="3">
        <f t="shared" si="41"/>
        <v>1.0400000000000005</v>
      </c>
      <c r="BD60" s="3">
        <f t="shared" si="42"/>
        <v>1.0400000000000005</v>
      </c>
      <c r="BE60" s="3">
        <f t="shared" si="7"/>
        <v>4.7242238843531625</v>
      </c>
      <c r="BH60" s="3">
        <f t="shared" si="43"/>
        <v>1.0400000000000005</v>
      </c>
      <c r="BI60" s="14">
        <f t="shared" si="44"/>
        <v>1.0400000000000005</v>
      </c>
      <c r="BJ60" s="3">
        <f t="shared" si="8"/>
        <v>4.7242238843531625</v>
      </c>
      <c r="BM60" s="3">
        <f t="shared" si="45"/>
        <v>1.0400000000000005</v>
      </c>
      <c r="BN60" s="14">
        <f t="shared" si="46"/>
        <v>1.0400000000000005</v>
      </c>
      <c r="BO60" s="3">
        <f t="shared" si="9"/>
        <v>4.7242238843531625</v>
      </c>
      <c r="BR60" s="3">
        <f t="shared" si="47"/>
        <v>1.0400000000000005</v>
      </c>
      <c r="BS60" s="3">
        <f t="shared" si="48"/>
        <v>1.0400000000000005</v>
      </c>
      <c r="BT60" s="3">
        <f t="shared" si="10"/>
        <v>4.7242238843531625</v>
      </c>
      <c r="BW60" s="3">
        <f t="shared" si="49"/>
        <v>1.0400000000000005</v>
      </c>
      <c r="BX60" s="14">
        <f t="shared" si="50"/>
        <v>1.0400000000000005</v>
      </c>
      <c r="BY60" s="3">
        <f t="shared" si="11"/>
        <v>4.7242238843531625</v>
      </c>
      <c r="CB60" s="3">
        <f t="shared" si="51"/>
        <v>1.0400000000000005</v>
      </c>
      <c r="CC60" s="14">
        <f t="shared" si="52"/>
        <v>1.0400000000000005</v>
      </c>
      <c r="CD60" s="3">
        <f t="shared" si="12"/>
        <v>4.7242238843531625</v>
      </c>
      <c r="CG60" s="3">
        <f t="shared" si="53"/>
        <v>1.0400000000000005</v>
      </c>
      <c r="CH60" s="3">
        <f t="shared" si="54"/>
        <v>1.0400000000000005</v>
      </c>
      <c r="CI60" s="3">
        <f t="shared" si="13"/>
        <v>4.7242238843531625</v>
      </c>
      <c r="CL60" s="3">
        <f t="shared" si="55"/>
        <v>1.0400000000000005</v>
      </c>
      <c r="CM60" s="14">
        <f t="shared" si="56"/>
        <v>1.0400000000000005</v>
      </c>
      <c r="CN60" s="3">
        <f t="shared" si="14"/>
        <v>4.7242238843531625</v>
      </c>
      <c r="CQ60" s="3">
        <f t="shared" si="57"/>
        <v>1.0400000000000005</v>
      </c>
      <c r="CR60" s="14">
        <f t="shared" si="58"/>
        <v>1.0400000000000005</v>
      </c>
      <c r="CS60" s="3">
        <f t="shared" si="15"/>
        <v>4.7242238843531625</v>
      </c>
      <c r="CV60" s="3">
        <f t="shared" si="59"/>
        <v>1.0400000000000005</v>
      </c>
      <c r="CW60" s="3">
        <f t="shared" si="60"/>
        <v>1.0400000000000005</v>
      </c>
      <c r="CX60" s="3">
        <f t="shared" si="16"/>
        <v>4.7242238843531625</v>
      </c>
      <c r="DA60" s="3">
        <f t="shared" si="61"/>
        <v>1.0400000000000005</v>
      </c>
      <c r="DB60" s="14">
        <f t="shared" si="62"/>
        <v>1.0400000000000005</v>
      </c>
      <c r="DC60" s="3">
        <f t="shared" si="17"/>
        <v>4.7242238843531625</v>
      </c>
      <c r="DF60" s="3">
        <f t="shared" si="63"/>
        <v>1.0400000000000005</v>
      </c>
      <c r="DG60" s="14">
        <f t="shared" si="64"/>
        <v>1.0400000000000005</v>
      </c>
      <c r="DH60" s="3">
        <f t="shared" si="18"/>
        <v>4.7242238843531625</v>
      </c>
      <c r="DK60" s="3">
        <f t="shared" si="65"/>
        <v>1.0400000000000005</v>
      </c>
      <c r="DL60" s="3">
        <f t="shared" si="66"/>
        <v>1.0400000000000005</v>
      </c>
      <c r="DM60" s="3">
        <f t="shared" si="19"/>
        <v>4.7242238843531625</v>
      </c>
      <c r="DP60" s="3">
        <f t="shared" si="67"/>
        <v>1.0400000000000005</v>
      </c>
      <c r="DQ60" s="14">
        <f t="shared" si="68"/>
        <v>1.0400000000000005</v>
      </c>
      <c r="DR60" s="3">
        <f t="shared" si="20"/>
        <v>4.7242238843531625</v>
      </c>
      <c r="DU60" s="3">
        <f t="shared" si="69"/>
        <v>1.0400000000000005</v>
      </c>
      <c r="DV60" s="14">
        <f t="shared" si="70"/>
        <v>1.0400000000000005</v>
      </c>
      <c r="DW60" s="3">
        <f t="shared" si="21"/>
        <v>4.7242238843531625</v>
      </c>
      <c r="DZ60" s="3">
        <f t="shared" si="71"/>
        <v>1.0400000000000005</v>
      </c>
      <c r="EA60" s="3">
        <f t="shared" si="72"/>
        <v>1.0400000000000005</v>
      </c>
      <c r="EB60" s="3">
        <f t="shared" si="22"/>
        <v>4.7242238843531625</v>
      </c>
      <c r="EE60" s="3">
        <f t="shared" si="73"/>
        <v>1.0400000000000005</v>
      </c>
      <c r="EF60" s="14">
        <f t="shared" si="74"/>
        <v>1.0400000000000005</v>
      </c>
      <c r="EG60" s="3">
        <f t="shared" si="23"/>
        <v>4.7242238843531625</v>
      </c>
      <c r="EJ60" s="3">
        <f t="shared" si="75"/>
        <v>1.0400000000000005</v>
      </c>
      <c r="EK60" s="14">
        <f t="shared" si="76"/>
        <v>1.0400000000000005</v>
      </c>
      <c r="EL60" s="3">
        <f t="shared" si="24"/>
        <v>4.7242238843531625</v>
      </c>
      <c r="EO60" s="3">
        <f t="shared" si="77"/>
        <v>1.0400000000000005</v>
      </c>
      <c r="EP60" s="3">
        <f t="shared" si="78"/>
        <v>1.0400000000000005</v>
      </c>
      <c r="EQ60" s="3">
        <f t="shared" si="25"/>
        <v>4.7242238843531625</v>
      </c>
      <c r="ET60" s="3">
        <f t="shared" si="79"/>
        <v>1.0400000000000005</v>
      </c>
      <c r="EU60" s="14">
        <f t="shared" si="80"/>
        <v>1.0400000000000005</v>
      </c>
      <c r="EV60" s="3">
        <f t="shared" si="26"/>
        <v>4.7242238843531625</v>
      </c>
    </row>
    <row r="61" spans="20:152" s="3" customFormat="1" x14ac:dyDescent="0.25">
      <c r="T61" s="3">
        <f t="shared" si="27"/>
        <v>1.0600000000000005</v>
      </c>
      <c r="U61" s="14">
        <f t="shared" si="28"/>
        <v>1.0600000000000005</v>
      </c>
      <c r="V61" s="3">
        <f t="shared" si="0"/>
        <v>4.7394526025335439</v>
      </c>
      <c r="Y61" s="3">
        <f t="shared" si="29"/>
        <v>1.0600000000000005</v>
      </c>
      <c r="Z61" s="3">
        <f t="shared" si="30"/>
        <v>1.0600000000000005</v>
      </c>
      <c r="AA61" s="3">
        <f t="shared" si="1"/>
        <v>4.7394526025335439</v>
      </c>
      <c r="AD61" s="3">
        <f t="shared" si="31"/>
        <v>1.0600000000000005</v>
      </c>
      <c r="AE61" s="14">
        <f t="shared" si="32"/>
        <v>1.0600000000000005</v>
      </c>
      <c r="AF61" s="3">
        <f t="shared" si="2"/>
        <v>4.7394526025335439</v>
      </c>
      <c r="AI61" s="3">
        <f t="shared" si="33"/>
        <v>1.0600000000000005</v>
      </c>
      <c r="AJ61" s="14">
        <f t="shared" si="34"/>
        <v>1.0600000000000005</v>
      </c>
      <c r="AK61" s="3">
        <f t="shared" si="3"/>
        <v>4.7394526025335439</v>
      </c>
      <c r="AN61" s="3">
        <f t="shared" si="35"/>
        <v>1.0600000000000005</v>
      </c>
      <c r="AO61" s="3">
        <f t="shared" si="36"/>
        <v>1.0600000000000005</v>
      </c>
      <c r="AP61" s="3">
        <f t="shared" si="4"/>
        <v>4.7394526025335439</v>
      </c>
      <c r="AS61" s="3">
        <f t="shared" si="37"/>
        <v>1.0600000000000005</v>
      </c>
      <c r="AT61" s="14">
        <f t="shared" si="38"/>
        <v>1.0600000000000005</v>
      </c>
      <c r="AU61" s="3">
        <f t="shared" si="5"/>
        <v>4.7394526025335439</v>
      </c>
      <c r="AX61" s="3">
        <f t="shared" si="39"/>
        <v>1.0600000000000005</v>
      </c>
      <c r="AY61" s="14">
        <f t="shared" si="40"/>
        <v>1.0600000000000005</v>
      </c>
      <c r="AZ61" s="3">
        <f t="shared" si="6"/>
        <v>4.7394526025335439</v>
      </c>
      <c r="BC61" s="3">
        <f t="shared" si="41"/>
        <v>1.0600000000000005</v>
      </c>
      <c r="BD61" s="3">
        <f t="shared" si="42"/>
        <v>1.0600000000000005</v>
      </c>
      <c r="BE61" s="3">
        <f t="shared" si="7"/>
        <v>4.7394526025335439</v>
      </c>
      <c r="BH61" s="3">
        <f t="shared" si="43"/>
        <v>1.0600000000000005</v>
      </c>
      <c r="BI61" s="14">
        <f t="shared" si="44"/>
        <v>1.0600000000000005</v>
      </c>
      <c r="BJ61" s="3">
        <f t="shared" si="8"/>
        <v>4.7394526025335439</v>
      </c>
      <c r="BM61" s="3">
        <f t="shared" si="45"/>
        <v>1.0600000000000005</v>
      </c>
      <c r="BN61" s="14">
        <f t="shared" si="46"/>
        <v>1.0600000000000005</v>
      </c>
      <c r="BO61" s="3">
        <f t="shared" si="9"/>
        <v>4.7394526025335439</v>
      </c>
      <c r="BR61" s="3">
        <f t="shared" si="47"/>
        <v>1.0600000000000005</v>
      </c>
      <c r="BS61" s="3">
        <f t="shared" si="48"/>
        <v>1.0600000000000005</v>
      </c>
      <c r="BT61" s="3">
        <f t="shared" si="10"/>
        <v>4.7394526025335439</v>
      </c>
      <c r="BW61" s="3">
        <f t="shared" si="49"/>
        <v>1.0600000000000005</v>
      </c>
      <c r="BX61" s="14">
        <f t="shared" si="50"/>
        <v>1.0600000000000005</v>
      </c>
      <c r="BY61" s="3">
        <f t="shared" si="11"/>
        <v>4.7394526025335439</v>
      </c>
      <c r="CB61" s="3">
        <f t="shared" si="51"/>
        <v>1.0600000000000005</v>
      </c>
      <c r="CC61" s="14">
        <f t="shared" si="52"/>
        <v>1.0600000000000005</v>
      </c>
      <c r="CD61" s="3">
        <f t="shared" si="12"/>
        <v>4.7394526025335439</v>
      </c>
      <c r="CG61" s="3">
        <f t="shared" si="53"/>
        <v>1.0600000000000005</v>
      </c>
      <c r="CH61" s="3">
        <f t="shared" si="54"/>
        <v>1.0600000000000005</v>
      </c>
      <c r="CI61" s="3">
        <f t="shared" si="13"/>
        <v>4.7394526025335439</v>
      </c>
      <c r="CL61" s="3">
        <f t="shared" si="55"/>
        <v>1.0600000000000005</v>
      </c>
      <c r="CM61" s="14">
        <f t="shared" si="56"/>
        <v>1.0600000000000005</v>
      </c>
      <c r="CN61" s="3">
        <f t="shared" si="14"/>
        <v>4.7394526025335439</v>
      </c>
      <c r="CQ61" s="3">
        <f t="shared" si="57"/>
        <v>1.0600000000000005</v>
      </c>
      <c r="CR61" s="14">
        <f t="shared" si="58"/>
        <v>1.0600000000000005</v>
      </c>
      <c r="CS61" s="3">
        <f t="shared" si="15"/>
        <v>4.7394526025335439</v>
      </c>
      <c r="CV61" s="3">
        <f t="shared" si="59"/>
        <v>1.0600000000000005</v>
      </c>
      <c r="CW61" s="3">
        <f t="shared" si="60"/>
        <v>1.0600000000000005</v>
      </c>
      <c r="CX61" s="3">
        <f t="shared" si="16"/>
        <v>4.7394526025335439</v>
      </c>
      <c r="DA61" s="3">
        <f t="shared" si="61"/>
        <v>1.0600000000000005</v>
      </c>
      <c r="DB61" s="14">
        <f t="shared" si="62"/>
        <v>1.0600000000000005</v>
      </c>
      <c r="DC61" s="3">
        <f t="shared" si="17"/>
        <v>4.7394526025335439</v>
      </c>
      <c r="DF61" s="3">
        <f t="shared" si="63"/>
        <v>1.0600000000000005</v>
      </c>
      <c r="DG61" s="14">
        <f t="shared" si="64"/>
        <v>1.0600000000000005</v>
      </c>
      <c r="DH61" s="3">
        <f t="shared" si="18"/>
        <v>4.7394526025335439</v>
      </c>
      <c r="DK61" s="3">
        <f t="shared" si="65"/>
        <v>1.0600000000000005</v>
      </c>
      <c r="DL61" s="3">
        <f t="shared" si="66"/>
        <v>1.0600000000000005</v>
      </c>
      <c r="DM61" s="3">
        <f t="shared" si="19"/>
        <v>4.7394526025335439</v>
      </c>
      <c r="DP61" s="3">
        <f t="shared" si="67"/>
        <v>1.0600000000000005</v>
      </c>
      <c r="DQ61" s="14">
        <f t="shared" si="68"/>
        <v>1.0600000000000005</v>
      </c>
      <c r="DR61" s="3">
        <f t="shared" si="20"/>
        <v>4.7394526025335439</v>
      </c>
      <c r="DU61" s="3">
        <f t="shared" si="69"/>
        <v>1.0600000000000005</v>
      </c>
      <c r="DV61" s="14">
        <f t="shared" si="70"/>
        <v>1.0600000000000005</v>
      </c>
      <c r="DW61" s="3">
        <f t="shared" si="21"/>
        <v>4.7394526025335439</v>
      </c>
      <c r="DZ61" s="3">
        <f t="shared" si="71"/>
        <v>1.0600000000000005</v>
      </c>
      <c r="EA61" s="3">
        <f t="shared" si="72"/>
        <v>1.0600000000000005</v>
      </c>
      <c r="EB61" s="3">
        <f t="shared" si="22"/>
        <v>4.7394526025335439</v>
      </c>
      <c r="EE61" s="3">
        <f t="shared" si="73"/>
        <v>1.0600000000000005</v>
      </c>
      <c r="EF61" s="14">
        <f t="shared" si="74"/>
        <v>1.0600000000000005</v>
      </c>
      <c r="EG61" s="3">
        <f t="shared" si="23"/>
        <v>4.7394526025335439</v>
      </c>
      <c r="EJ61" s="3">
        <f t="shared" si="75"/>
        <v>1.0600000000000005</v>
      </c>
      <c r="EK61" s="14">
        <f t="shared" si="76"/>
        <v>1.0600000000000005</v>
      </c>
      <c r="EL61" s="3">
        <f t="shared" si="24"/>
        <v>4.7394526025335439</v>
      </c>
      <c r="EO61" s="3">
        <f t="shared" si="77"/>
        <v>1.0600000000000005</v>
      </c>
      <c r="EP61" s="3">
        <f t="shared" si="78"/>
        <v>1.0600000000000005</v>
      </c>
      <c r="EQ61" s="3">
        <f t="shared" si="25"/>
        <v>4.7394526025335439</v>
      </c>
      <c r="ET61" s="3">
        <f t="shared" si="79"/>
        <v>1.0600000000000005</v>
      </c>
      <c r="EU61" s="14">
        <f t="shared" si="80"/>
        <v>1.0600000000000005</v>
      </c>
      <c r="EV61" s="3">
        <f t="shared" si="26"/>
        <v>4.7394526025335439</v>
      </c>
    </row>
    <row r="62" spans="20:152" s="3" customFormat="1" x14ac:dyDescent="0.25">
      <c r="T62" s="3">
        <f t="shared" si="27"/>
        <v>1.0800000000000005</v>
      </c>
      <c r="U62" s="14">
        <f t="shared" si="28"/>
        <v>1.0800000000000005</v>
      </c>
      <c r="V62" s="3">
        <f t="shared" si="0"/>
        <v>4.7519728079860784</v>
      </c>
      <c r="Y62" s="3">
        <f t="shared" si="29"/>
        <v>1.0800000000000005</v>
      </c>
      <c r="Z62" s="3">
        <f t="shared" si="30"/>
        <v>1.0800000000000005</v>
      </c>
      <c r="AA62" s="3">
        <f t="shared" si="1"/>
        <v>4.7519728079860784</v>
      </c>
      <c r="AD62" s="3">
        <f t="shared" si="31"/>
        <v>1.0800000000000005</v>
      </c>
      <c r="AE62" s="14">
        <f t="shared" si="32"/>
        <v>1.0800000000000005</v>
      </c>
      <c r="AF62" s="3">
        <f t="shared" si="2"/>
        <v>4.7519728079860784</v>
      </c>
      <c r="AI62" s="3">
        <f t="shared" si="33"/>
        <v>1.0800000000000005</v>
      </c>
      <c r="AJ62" s="14">
        <f t="shared" si="34"/>
        <v>1.0800000000000005</v>
      </c>
      <c r="AK62" s="3">
        <f t="shared" si="3"/>
        <v>4.7519728079860784</v>
      </c>
      <c r="AN62" s="3">
        <f t="shared" si="35"/>
        <v>1.0800000000000005</v>
      </c>
      <c r="AO62" s="3">
        <f t="shared" si="36"/>
        <v>1.0800000000000005</v>
      </c>
      <c r="AP62" s="3">
        <f t="shared" si="4"/>
        <v>4.7519728079860784</v>
      </c>
      <c r="AS62" s="3">
        <f t="shared" si="37"/>
        <v>1.0800000000000005</v>
      </c>
      <c r="AT62" s="14">
        <f t="shared" si="38"/>
        <v>1.0800000000000005</v>
      </c>
      <c r="AU62" s="3">
        <f t="shared" si="5"/>
        <v>4.7519728079860784</v>
      </c>
      <c r="AX62" s="3">
        <f t="shared" si="39"/>
        <v>1.0800000000000005</v>
      </c>
      <c r="AY62" s="14">
        <f t="shared" si="40"/>
        <v>1.0800000000000005</v>
      </c>
      <c r="AZ62" s="3">
        <f t="shared" si="6"/>
        <v>4.7519728079860784</v>
      </c>
      <c r="BC62" s="3">
        <f t="shared" si="41"/>
        <v>1.0800000000000005</v>
      </c>
      <c r="BD62" s="3">
        <f t="shared" si="42"/>
        <v>1.0800000000000005</v>
      </c>
      <c r="BE62" s="3">
        <f t="shared" si="7"/>
        <v>4.7519728079860784</v>
      </c>
      <c r="BH62" s="3">
        <f t="shared" si="43"/>
        <v>1.0800000000000005</v>
      </c>
      <c r="BI62" s="14">
        <f t="shared" si="44"/>
        <v>1.0800000000000005</v>
      </c>
      <c r="BJ62" s="3">
        <f t="shared" si="8"/>
        <v>4.7519728079860784</v>
      </c>
      <c r="BM62" s="3">
        <f t="shared" si="45"/>
        <v>1.0800000000000005</v>
      </c>
      <c r="BN62" s="14">
        <f t="shared" si="46"/>
        <v>1.0800000000000005</v>
      </c>
      <c r="BO62" s="3">
        <f t="shared" si="9"/>
        <v>4.7519728079860784</v>
      </c>
      <c r="BR62" s="3">
        <f t="shared" si="47"/>
        <v>1.0800000000000005</v>
      </c>
      <c r="BS62" s="3">
        <f t="shared" si="48"/>
        <v>1.0800000000000005</v>
      </c>
      <c r="BT62" s="3">
        <f t="shared" si="10"/>
        <v>4.7519728079860784</v>
      </c>
      <c r="BW62" s="3">
        <f t="shared" si="49"/>
        <v>1.0800000000000005</v>
      </c>
      <c r="BX62" s="14">
        <f t="shared" si="50"/>
        <v>1.0800000000000005</v>
      </c>
      <c r="BY62" s="3">
        <f t="shared" si="11"/>
        <v>4.7519728079860784</v>
      </c>
      <c r="CB62" s="3">
        <f t="shared" si="51"/>
        <v>1.0800000000000005</v>
      </c>
      <c r="CC62" s="14">
        <f t="shared" si="52"/>
        <v>1.0800000000000005</v>
      </c>
      <c r="CD62" s="3">
        <f t="shared" si="12"/>
        <v>4.7519728079860784</v>
      </c>
      <c r="CG62" s="3">
        <f t="shared" si="53"/>
        <v>1.0800000000000005</v>
      </c>
      <c r="CH62" s="3">
        <f t="shared" si="54"/>
        <v>1.0800000000000005</v>
      </c>
      <c r="CI62" s="3">
        <f t="shared" si="13"/>
        <v>4.7519728079860784</v>
      </c>
      <c r="CL62" s="3">
        <f t="shared" si="55"/>
        <v>1.0800000000000005</v>
      </c>
      <c r="CM62" s="14">
        <f t="shared" si="56"/>
        <v>1.0800000000000005</v>
      </c>
      <c r="CN62" s="3">
        <f t="shared" si="14"/>
        <v>4.7519728079860784</v>
      </c>
      <c r="CQ62" s="3">
        <f t="shared" si="57"/>
        <v>1.0800000000000005</v>
      </c>
      <c r="CR62" s="14">
        <f t="shared" si="58"/>
        <v>1.0800000000000005</v>
      </c>
      <c r="CS62" s="3">
        <f t="shared" si="15"/>
        <v>4.7519728079860784</v>
      </c>
      <c r="CV62" s="3">
        <f t="shared" si="59"/>
        <v>1.0800000000000005</v>
      </c>
      <c r="CW62" s="3">
        <f t="shared" si="60"/>
        <v>1.0800000000000005</v>
      </c>
      <c r="CX62" s="3">
        <f t="shared" si="16"/>
        <v>4.7519728079860784</v>
      </c>
      <c r="DA62" s="3">
        <f t="shared" si="61"/>
        <v>1.0800000000000005</v>
      </c>
      <c r="DB62" s="14">
        <f t="shared" si="62"/>
        <v>1.0800000000000005</v>
      </c>
      <c r="DC62" s="3">
        <f t="shared" si="17"/>
        <v>4.7519728079860784</v>
      </c>
      <c r="DF62" s="3">
        <f t="shared" si="63"/>
        <v>1.0800000000000005</v>
      </c>
      <c r="DG62" s="14">
        <f t="shared" si="64"/>
        <v>1.0800000000000005</v>
      </c>
      <c r="DH62" s="3">
        <f t="shared" si="18"/>
        <v>4.7519728079860784</v>
      </c>
      <c r="DK62" s="3">
        <f t="shared" si="65"/>
        <v>1.0800000000000005</v>
      </c>
      <c r="DL62" s="3">
        <f t="shared" si="66"/>
        <v>1.0800000000000005</v>
      </c>
      <c r="DM62" s="3">
        <f t="shared" si="19"/>
        <v>4.7519728079860784</v>
      </c>
      <c r="DP62" s="3">
        <f t="shared" si="67"/>
        <v>1.0800000000000005</v>
      </c>
      <c r="DQ62" s="14">
        <f t="shared" si="68"/>
        <v>1.0800000000000005</v>
      </c>
      <c r="DR62" s="3">
        <f t="shared" si="20"/>
        <v>4.7519728079860784</v>
      </c>
      <c r="DU62" s="3">
        <f t="shared" si="69"/>
        <v>1.0800000000000005</v>
      </c>
      <c r="DV62" s="14">
        <f t="shared" si="70"/>
        <v>1.0800000000000005</v>
      </c>
      <c r="DW62" s="3">
        <f t="shared" si="21"/>
        <v>4.7519728079860784</v>
      </c>
      <c r="DZ62" s="3">
        <f t="shared" si="71"/>
        <v>1.0800000000000005</v>
      </c>
      <c r="EA62" s="3">
        <f t="shared" si="72"/>
        <v>1.0800000000000005</v>
      </c>
      <c r="EB62" s="3">
        <f t="shared" si="22"/>
        <v>4.7519728079860784</v>
      </c>
      <c r="EE62" s="3">
        <f t="shared" si="73"/>
        <v>1.0800000000000005</v>
      </c>
      <c r="EF62" s="14">
        <f t="shared" si="74"/>
        <v>1.0800000000000005</v>
      </c>
      <c r="EG62" s="3">
        <f t="shared" si="23"/>
        <v>4.7519728079860784</v>
      </c>
      <c r="EJ62" s="3">
        <f t="shared" si="75"/>
        <v>1.0800000000000005</v>
      </c>
      <c r="EK62" s="14">
        <f t="shared" si="76"/>
        <v>1.0800000000000005</v>
      </c>
      <c r="EL62" s="3">
        <f t="shared" si="24"/>
        <v>4.7519728079860784</v>
      </c>
      <c r="EO62" s="3">
        <f t="shared" si="77"/>
        <v>1.0800000000000005</v>
      </c>
      <c r="EP62" s="3">
        <f t="shared" si="78"/>
        <v>1.0800000000000005</v>
      </c>
      <c r="EQ62" s="3">
        <f t="shared" si="25"/>
        <v>4.7519728079860784</v>
      </c>
      <c r="ET62" s="3">
        <f t="shared" si="79"/>
        <v>1.0800000000000005</v>
      </c>
      <c r="EU62" s="14">
        <f t="shared" si="80"/>
        <v>1.0800000000000005</v>
      </c>
      <c r="EV62" s="3">
        <f t="shared" si="26"/>
        <v>4.7519728079860784</v>
      </c>
    </row>
    <row r="63" spans="20:152" s="3" customFormat="1" x14ac:dyDescent="0.25">
      <c r="T63" s="3">
        <f t="shared" si="27"/>
        <v>1.1000000000000005</v>
      </c>
      <c r="U63" s="14">
        <f t="shared" si="28"/>
        <v>1.1000000000000005</v>
      </c>
      <c r="V63" s="3">
        <f t="shared" si="0"/>
        <v>4.7617845007107666</v>
      </c>
      <c r="Y63" s="3">
        <f t="shared" si="29"/>
        <v>1.1000000000000005</v>
      </c>
      <c r="Z63" s="3">
        <f t="shared" si="30"/>
        <v>1.1000000000000005</v>
      </c>
      <c r="AA63" s="3">
        <f t="shared" si="1"/>
        <v>4.7617845007107666</v>
      </c>
      <c r="AD63" s="3">
        <f t="shared" si="31"/>
        <v>1.1000000000000005</v>
      </c>
      <c r="AE63" s="14">
        <f t="shared" si="32"/>
        <v>1.1000000000000005</v>
      </c>
      <c r="AF63" s="3">
        <f t="shared" si="2"/>
        <v>4.7617845007107666</v>
      </c>
      <c r="AI63" s="3">
        <f t="shared" si="33"/>
        <v>1.1000000000000005</v>
      </c>
      <c r="AJ63" s="14">
        <f t="shared" si="34"/>
        <v>1.1000000000000005</v>
      </c>
      <c r="AK63" s="3">
        <f t="shared" si="3"/>
        <v>4.7617845007107666</v>
      </c>
      <c r="AN63" s="3">
        <f t="shared" si="35"/>
        <v>1.1000000000000005</v>
      </c>
      <c r="AO63" s="3">
        <f t="shared" si="36"/>
        <v>1.1000000000000005</v>
      </c>
      <c r="AP63" s="3">
        <f t="shared" si="4"/>
        <v>4.7617845007107666</v>
      </c>
      <c r="AS63" s="3">
        <f t="shared" si="37"/>
        <v>1.1000000000000005</v>
      </c>
      <c r="AT63" s="14">
        <f t="shared" si="38"/>
        <v>1.1000000000000005</v>
      </c>
      <c r="AU63" s="3">
        <f t="shared" si="5"/>
        <v>4.7617845007107666</v>
      </c>
      <c r="AX63" s="3">
        <f t="shared" si="39"/>
        <v>1.1000000000000005</v>
      </c>
      <c r="AY63" s="14">
        <f t="shared" si="40"/>
        <v>1.1000000000000005</v>
      </c>
      <c r="AZ63" s="3">
        <f t="shared" si="6"/>
        <v>4.7617845007107666</v>
      </c>
      <c r="BC63" s="3">
        <f t="shared" si="41"/>
        <v>1.1000000000000005</v>
      </c>
      <c r="BD63" s="3">
        <f t="shared" si="42"/>
        <v>1.1000000000000005</v>
      </c>
      <c r="BE63" s="3">
        <f t="shared" si="7"/>
        <v>4.7617845007107666</v>
      </c>
      <c r="BH63" s="3">
        <f t="shared" si="43"/>
        <v>1.1000000000000005</v>
      </c>
      <c r="BI63" s="14">
        <f t="shared" si="44"/>
        <v>1.1000000000000005</v>
      </c>
      <c r="BJ63" s="3">
        <f t="shared" si="8"/>
        <v>4.7617845007107666</v>
      </c>
      <c r="BM63" s="3">
        <f t="shared" si="45"/>
        <v>1.1000000000000005</v>
      </c>
      <c r="BN63" s="14">
        <f t="shared" si="46"/>
        <v>1.1000000000000005</v>
      </c>
      <c r="BO63" s="3">
        <f t="shared" si="9"/>
        <v>4.7617845007107666</v>
      </c>
      <c r="BR63" s="3">
        <f t="shared" si="47"/>
        <v>1.1000000000000005</v>
      </c>
      <c r="BS63" s="3">
        <f t="shared" si="48"/>
        <v>1.1000000000000005</v>
      </c>
      <c r="BT63" s="3">
        <f t="shared" si="10"/>
        <v>4.7617845007107666</v>
      </c>
      <c r="BW63" s="3">
        <f t="shared" si="49"/>
        <v>1.1000000000000005</v>
      </c>
      <c r="BX63" s="14">
        <f t="shared" si="50"/>
        <v>1.1000000000000005</v>
      </c>
      <c r="BY63" s="3">
        <f t="shared" si="11"/>
        <v>4.7617845007107666</v>
      </c>
      <c r="CB63" s="3">
        <f t="shared" si="51"/>
        <v>1.1000000000000005</v>
      </c>
      <c r="CC63" s="14">
        <f t="shared" si="52"/>
        <v>1.1000000000000005</v>
      </c>
      <c r="CD63" s="3">
        <f t="shared" si="12"/>
        <v>4.7617845007107666</v>
      </c>
      <c r="CG63" s="3">
        <f t="shared" si="53"/>
        <v>1.1000000000000005</v>
      </c>
      <c r="CH63" s="3">
        <f t="shared" si="54"/>
        <v>1.1000000000000005</v>
      </c>
      <c r="CI63" s="3">
        <f t="shared" si="13"/>
        <v>4.7617845007107666</v>
      </c>
      <c r="CL63" s="3">
        <f t="shared" si="55"/>
        <v>1.1000000000000005</v>
      </c>
      <c r="CM63" s="14">
        <f t="shared" si="56"/>
        <v>1.1000000000000005</v>
      </c>
      <c r="CN63" s="3">
        <f t="shared" si="14"/>
        <v>4.7617845007107666</v>
      </c>
      <c r="CQ63" s="3">
        <f t="shared" si="57"/>
        <v>1.1000000000000005</v>
      </c>
      <c r="CR63" s="14">
        <f t="shared" si="58"/>
        <v>1.1000000000000005</v>
      </c>
      <c r="CS63" s="3">
        <f t="shared" si="15"/>
        <v>4.7617845007107666</v>
      </c>
      <c r="CV63" s="3">
        <f t="shared" si="59"/>
        <v>1.1000000000000005</v>
      </c>
      <c r="CW63" s="3">
        <f t="shared" si="60"/>
        <v>1.1000000000000005</v>
      </c>
      <c r="CX63" s="3">
        <f t="shared" si="16"/>
        <v>4.7617845007107666</v>
      </c>
      <c r="DA63" s="3">
        <f t="shared" si="61"/>
        <v>1.1000000000000005</v>
      </c>
      <c r="DB63" s="14">
        <f t="shared" si="62"/>
        <v>1.1000000000000005</v>
      </c>
      <c r="DC63" s="3">
        <f t="shared" si="17"/>
        <v>4.7617845007107666</v>
      </c>
      <c r="DF63" s="3">
        <f t="shared" si="63"/>
        <v>1.1000000000000005</v>
      </c>
      <c r="DG63" s="14">
        <f t="shared" si="64"/>
        <v>1.1000000000000005</v>
      </c>
      <c r="DH63" s="3">
        <f t="shared" si="18"/>
        <v>4.7617845007107666</v>
      </c>
      <c r="DK63" s="3">
        <f t="shared" si="65"/>
        <v>1.1000000000000005</v>
      </c>
      <c r="DL63" s="3">
        <f t="shared" si="66"/>
        <v>1.1000000000000005</v>
      </c>
      <c r="DM63" s="3">
        <f t="shared" si="19"/>
        <v>4.7617845007107666</v>
      </c>
      <c r="DP63" s="3">
        <f t="shared" si="67"/>
        <v>1.1000000000000005</v>
      </c>
      <c r="DQ63" s="14">
        <f t="shared" si="68"/>
        <v>1.1000000000000005</v>
      </c>
      <c r="DR63" s="3">
        <f t="shared" si="20"/>
        <v>4.7617845007107666</v>
      </c>
      <c r="DU63" s="3">
        <f t="shared" si="69"/>
        <v>1.1000000000000005</v>
      </c>
      <c r="DV63" s="14">
        <f t="shared" si="70"/>
        <v>1.1000000000000005</v>
      </c>
      <c r="DW63" s="3">
        <f t="shared" si="21"/>
        <v>4.7617845007107666</v>
      </c>
      <c r="DZ63" s="3">
        <f t="shared" si="71"/>
        <v>1.1000000000000005</v>
      </c>
      <c r="EA63" s="3">
        <f t="shared" si="72"/>
        <v>1.1000000000000005</v>
      </c>
      <c r="EB63" s="3">
        <f t="shared" si="22"/>
        <v>4.7617845007107666</v>
      </c>
      <c r="EE63" s="3">
        <f t="shared" si="73"/>
        <v>1.1000000000000005</v>
      </c>
      <c r="EF63" s="14">
        <f t="shared" si="74"/>
        <v>1.1000000000000005</v>
      </c>
      <c r="EG63" s="3">
        <f t="shared" si="23"/>
        <v>4.7617845007107666</v>
      </c>
      <c r="EJ63" s="3">
        <f t="shared" si="75"/>
        <v>1.1000000000000005</v>
      </c>
      <c r="EK63" s="14">
        <f t="shared" si="76"/>
        <v>1.1000000000000005</v>
      </c>
      <c r="EL63" s="3">
        <f t="shared" si="24"/>
        <v>4.7617845007107666</v>
      </c>
      <c r="EO63" s="3">
        <f t="shared" si="77"/>
        <v>1.1000000000000005</v>
      </c>
      <c r="EP63" s="3">
        <f t="shared" si="78"/>
        <v>1.1000000000000005</v>
      </c>
      <c r="EQ63" s="3">
        <f t="shared" si="25"/>
        <v>4.7617845007107666</v>
      </c>
      <c r="ET63" s="3">
        <f t="shared" si="79"/>
        <v>1.1000000000000005</v>
      </c>
      <c r="EU63" s="14">
        <f t="shared" si="80"/>
        <v>1.1000000000000005</v>
      </c>
      <c r="EV63" s="3">
        <f t="shared" si="26"/>
        <v>4.7617845007107666</v>
      </c>
    </row>
    <row r="64" spans="20:152" s="3" customFormat="1" x14ac:dyDescent="0.25">
      <c r="T64" s="3">
        <f t="shared" si="27"/>
        <v>1.1200000000000006</v>
      </c>
      <c r="U64" s="14">
        <f t="shared" si="28"/>
        <v>1.1200000000000006</v>
      </c>
      <c r="V64" s="3">
        <f t="shared" si="0"/>
        <v>4.7688876807076088</v>
      </c>
      <c r="Y64" s="3">
        <f t="shared" si="29"/>
        <v>1.1200000000000006</v>
      </c>
      <c r="Z64" s="3">
        <f t="shared" si="30"/>
        <v>1.1200000000000006</v>
      </c>
      <c r="AA64" s="3">
        <f t="shared" si="1"/>
        <v>4.7688876807076088</v>
      </c>
      <c r="AD64" s="3">
        <f t="shared" si="31"/>
        <v>1.1200000000000006</v>
      </c>
      <c r="AE64" s="14">
        <f t="shared" si="32"/>
        <v>1.1200000000000006</v>
      </c>
      <c r="AF64" s="3">
        <f t="shared" si="2"/>
        <v>4.7688876807076088</v>
      </c>
      <c r="AI64" s="3">
        <f t="shared" si="33"/>
        <v>1.1200000000000006</v>
      </c>
      <c r="AJ64" s="14">
        <f t="shared" si="34"/>
        <v>1.1200000000000006</v>
      </c>
      <c r="AK64" s="3">
        <f t="shared" si="3"/>
        <v>4.7688876807076088</v>
      </c>
      <c r="AN64" s="3">
        <f t="shared" si="35"/>
        <v>1.1200000000000006</v>
      </c>
      <c r="AO64" s="3">
        <f t="shared" si="36"/>
        <v>1.1200000000000006</v>
      </c>
      <c r="AP64" s="3">
        <f t="shared" si="4"/>
        <v>4.7688876807076088</v>
      </c>
      <c r="AS64" s="3">
        <f t="shared" si="37"/>
        <v>1.1200000000000006</v>
      </c>
      <c r="AT64" s="14">
        <f t="shared" si="38"/>
        <v>1.1200000000000006</v>
      </c>
      <c r="AU64" s="3">
        <f t="shared" si="5"/>
        <v>4.7688876807076088</v>
      </c>
      <c r="AX64" s="3">
        <f t="shared" si="39"/>
        <v>1.1200000000000006</v>
      </c>
      <c r="AY64" s="14">
        <f t="shared" si="40"/>
        <v>1.1200000000000006</v>
      </c>
      <c r="AZ64" s="3">
        <f t="shared" si="6"/>
        <v>4.7688876807076088</v>
      </c>
      <c r="BC64" s="3">
        <f t="shared" si="41"/>
        <v>1.1200000000000006</v>
      </c>
      <c r="BD64" s="3">
        <f t="shared" si="42"/>
        <v>1.1200000000000006</v>
      </c>
      <c r="BE64" s="3">
        <f t="shared" si="7"/>
        <v>4.7688876807076088</v>
      </c>
      <c r="BH64" s="3">
        <f t="shared" si="43"/>
        <v>1.1200000000000006</v>
      </c>
      <c r="BI64" s="14">
        <f t="shared" si="44"/>
        <v>1.1200000000000006</v>
      </c>
      <c r="BJ64" s="3">
        <f t="shared" si="8"/>
        <v>4.7688876807076088</v>
      </c>
      <c r="BM64" s="3">
        <f t="shared" si="45"/>
        <v>1.1200000000000006</v>
      </c>
      <c r="BN64" s="14">
        <f t="shared" si="46"/>
        <v>1.1200000000000006</v>
      </c>
      <c r="BO64" s="3">
        <f t="shared" si="9"/>
        <v>4.7688876807076088</v>
      </c>
      <c r="BR64" s="3">
        <f t="shared" si="47"/>
        <v>1.1200000000000006</v>
      </c>
      <c r="BS64" s="3">
        <f t="shared" si="48"/>
        <v>1.1200000000000006</v>
      </c>
      <c r="BT64" s="3">
        <f t="shared" si="10"/>
        <v>4.7688876807076088</v>
      </c>
      <c r="BW64" s="3">
        <f t="shared" si="49"/>
        <v>1.1200000000000006</v>
      </c>
      <c r="BX64" s="14">
        <f t="shared" si="50"/>
        <v>1.1200000000000006</v>
      </c>
      <c r="BY64" s="3">
        <f t="shared" si="11"/>
        <v>4.7688876807076088</v>
      </c>
      <c r="CB64" s="3">
        <f t="shared" si="51"/>
        <v>1.1200000000000006</v>
      </c>
      <c r="CC64" s="14">
        <f t="shared" si="52"/>
        <v>1.1200000000000006</v>
      </c>
      <c r="CD64" s="3">
        <f t="shared" si="12"/>
        <v>4.7688876807076088</v>
      </c>
      <c r="CG64" s="3">
        <f t="shared" si="53"/>
        <v>1.1200000000000006</v>
      </c>
      <c r="CH64" s="3">
        <f t="shared" si="54"/>
        <v>1.1200000000000006</v>
      </c>
      <c r="CI64" s="3">
        <f t="shared" si="13"/>
        <v>4.7688876807076088</v>
      </c>
      <c r="CL64" s="3">
        <f t="shared" si="55"/>
        <v>1.1200000000000006</v>
      </c>
      <c r="CM64" s="14">
        <f t="shared" si="56"/>
        <v>1.1200000000000006</v>
      </c>
      <c r="CN64" s="3">
        <f t="shared" si="14"/>
        <v>4.7688876807076088</v>
      </c>
      <c r="CQ64" s="3">
        <f t="shared" si="57"/>
        <v>1.1200000000000006</v>
      </c>
      <c r="CR64" s="14">
        <f t="shared" si="58"/>
        <v>1.1200000000000006</v>
      </c>
      <c r="CS64" s="3">
        <f t="shared" si="15"/>
        <v>4.7688876807076088</v>
      </c>
      <c r="CV64" s="3">
        <f t="shared" si="59"/>
        <v>1.1200000000000006</v>
      </c>
      <c r="CW64" s="3">
        <f t="shared" si="60"/>
        <v>1.1200000000000006</v>
      </c>
      <c r="CX64" s="3">
        <f t="shared" si="16"/>
        <v>4.7688876807076088</v>
      </c>
      <c r="DA64" s="3">
        <f t="shared" si="61"/>
        <v>1.1200000000000006</v>
      </c>
      <c r="DB64" s="14">
        <f t="shared" si="62"/>
        <v>1.1200000000000006</v>
      </c>
      <c r="DC64" s="3">
        <f t="shared" si="17"/>
        <v>4.7688876807076088</v>
      </c>
      <c r="DF64" s="3">
        <f t="shared" si="63"/>
        <v>1.1200000000000006</v>
      </c>
      <c r="DG64" s="14">
        <f t="shared" si="64"/>
        <v>1.1200000000000006</v>
      </c>
      <c r="DH64" s="3">
        <f t="shared" si="18"/>
        <v>4.7688876807076088</v>
      </c>
      <c r="DK64" s="3">
        <f t="shared" si="65"/>
        <v>1.1200000000000006</v>
      </c>
      <c r="DL64" s="3">
        <f t="shared" si="66"/>
        <v>1.1200000000000006</v>
      </c>
      <c r="DM64" s="3">
        <f t="shared" si="19"/>
        <v>4.7688876807076088</v>
      </c>
      <c r="DP64" s="3">
        <f t="shared" si="67"/>
        <v>1.1200000000000006</v>
      </c>
      <c r="DQ64" s="14">
        <f t="shared" si="68"/>
        <v>1.1200000000000006</v>
      </c>
      <c r="DR64" s="3">
        <f t="shared" si="20"/>
        <v>4.7688876807076088</v>
      </c>
      <c r="DU64" s="3">
        <f t="shared" si="69"/>
        <v>1.1200000000000006</v>
      </c>
      <c r="DV64" s="14">
        <f t="shared" si="70"/>
        <v>1.1200000000000006</v>
      </c>
      <c r="DW64" s="3">
        <f t="shared" si="21"/>
        <v>4.7688876807076088</v>
      </c>
      <c r="DZ64" s="3">
        <f t="shared" si="71"/>
        <v>1.1200000000000006</v>
      </c>
      <c r="EA64" s="3">
        <f t="shared" si="72"/>
        <v>1.1200000000000006</v>
      </c>
      <c r="EB64" s="3">
        <f t="shared" si="22"/>
        <v>4.7688876807076088</v>
      </c>
      <c r="EE64" s="3">
        <f t="shared" si="73"/>
        <v>1.1200000000000006</v>
      </c>
      <c r="EF64" s="14">
        <f t="shared" si="74"/>
        <v>1.1200000000000006</v>
      </c>
      <c r="EG64" s="3">
        <f t="shared" si="23"/>
        <v>4.7688876807076088</v>
      </c>
      <c r="EJ64" s="3">
        <f t="shared" si="75"/>
        <v>1.1200000000000006</v>
      </c>
      <c r="EK64" s="14">
        <f t="shared" si="76"/>
        <v>1.1200000000000006</v>
      </c>
      <c r="EL64" s="3">
        <f t="shared" si="24"/>
        <v>4.7688876807076088</v>
      </c>
      <c r="EO64" s="3">
        <f t="shared" si="77"/>
        <v>1.1200000000000006</v>
      </c>
      <c r="EP64" s="3">
        <f t="shared" si="78"/>
        <v>1.1200000000000006</v>
      </c>
      <c r="EQ64" s="3">
        <f t="shared" si="25"/>
        <v>4.7688876807076088</v>
      </c>
      <c r="ET64" s="3">
        <f t="shared" si="79"/>
        <v>1.1200000000000006</v>
      </c>
      <c r="EU64" s="14">
        <f t="shared" si="80"/>
        <v>1.1200000000000006</v>
      </c>
      <c r="EV64" s="3">
        <f t="shared" si="26"/>
        <v>4.7688876807076088</v>
      </c>
    </row>
    <row r="65" spans="20:152" s="3" customFormat="1" x14ac:dyDescent="0.25">
      <c r="T65" s="3">
        <f t="shared" si="27"/>
        <v>1.1400000000000006</v>
      </c>
      <c r="U65" s="14">
        <f t="shared" si="28"/>
        <v>1.1400000000000006</v>
      </c>
      <c r="V65" s="3">
        <f t="shared" si="0"/>
        <v>4.7732823479766022</v>
      </c>
      <c r="Y65" s="3">
        <f t="shared" si="29"/>
        <v>1.1400000000000006</v>
      </c>
      <c r="Z65" s="3">
        <f t="shared" si="30"/>
        <v>1.1400000000000006</v>
      </c>
      <c r="AA65" s="3">
        <f t="shared" si="1"/>
        <v>4.7732823479766022</v>
      </c>
      <c r="AD65" s="3">
        <f t="shared" si="31"/>
        <v>1.1400000000000006</v>
      </c>
      <c r="AE65" s="14">
        <f t="shared" si="32"/>
        <v>1.1400000000000006</v>
      </c>
      <c r="AF65" s="3">
        <f t="shared" si="2"/>
        <v>4.7732823479766022</v>
      </c>
      <c r="AI65" s="3">
        <f t="shared" si="33"/>
        <v>1.1400000000000006</v>
      </c>
      <c r="AJ65" s="14">
        <f t="shared" si="34"/>
        <v>1.1400000000000006</v>
      </c>
      <c r="AK65" s="3">
        <f t="shared" si="3"/>
        <v>4.7732823479766022</v>
      </c>
      <c r="AN65" s="3">
        <f t="shared" si="35"/>
        <v>1.1400000000000006</v>
      </c>
      <c r="AO65" s="3">
        <f t="shared" si="36"/>
        <v>1.1400000000000006</v>
      </c>
      <c r="AP65" s="3">
        <f t="shared" si="4"/>
        <v>4.7732823479766022</v>
      </c>
      <c r="AS65" s="3">
        <f t="shared" si="37"/>
        <v>1.1400000000000006</v>
      </c>
      <c r="AT65" s="14">
        <f t="shared" si="38"/>
        <v>1.1400000000000006</v>
      </c>
      <c r="AU65" s="3">
        <f t="shared" si="5"/>
        <v>4.7732823479766022</v>
      </c>
      <c r="AX65" s="3">
        <f t="shared" si="39"/>
        <v>1.1400000000000006</v>
      </c>
      <c r="AY65" s="14">
        <f t="shared" si="40"/>
        <v>1.1400000000000006</v>
      </c>
      <c r="AZ65" s="3">
        <f t="shared" si="6"/>
        <v>4.7732823479766022</v>
      </c>
      <c r="BC65" s="3">
        <f t="shared" si="41"/>
        <v>1.1400000000000006</v>
      </c>
      <c r="BD65" s="3">
        <f t="shared" si="42"/>
        <v>1.1400000000000006</v>
      </c>
      <c r="BE65" s="3">
        <f t="shared" si="7"/>
        <v>4.7732823479766022</v>
      </c>
      <c r="BH65" s="3">
        <f t="shared" si="43"/>
        <v>1.1400000000000006</v>
      </c>
      <c r="BI65" s="14">
        <f t="shared" si="44"/>
        <v>1.1400000000000006</v>
      </c>
      <c r="BJ65" s="3">
        <f t="shared" si="8"/>
        <v>4.7732823479766022</v>
      </c>
      <c r="BM65" s="3">
        <f t="shared" si="45"/>
        <v>1.1400000000000006</v>
      </c>
      <c r="BN65" s="14">
        <f t="shared" si="46"/>
        <v>1.1400000000000006</v>
      </c>
      <c r="BO65" s="3">
        <f t="shared" si="9"/>
        <v>4.7732823479766022</v>
      </c>
      <c r="BR65" s="3">
        <f t="shared" si="47"/>
        <v>1.1400000000000006</v>
      </c>
      <c r="BS65" s="3">
        <f t="shared" si="48"/>
        <v>1.1400000000000006</v>
      </c>
      <c r="BT65" s="3">
        <f t="shared" si="10"/>
        <v>4.7732823479766022</v>
      </c>
      <c r="BW65" s="3">
        <f t="shared" si="49"/>
        <v>1.1400000000000006</v>
      </c>
      <c r="BX65" s="14">
        <f t="shared" si="50"/>
        <v>1.1400000000000006</v>
      </c>
      <c r="BY65" s="3">
        <f t="shared" si="11"/>
        <v>4.7732823479766022</v>
      </c>
      <c r="CB65" s="3">
        <f t="shared" si="51"/>
        <v>1.1400000000000006</v>
      </c>
      <c r="CC65" s="14">
        <f t="shared" si="52"/>
        <v>1.1400000000000006</v>
      </c>
      <c r="CD65" s="3">
        <f t="shared" si="12"/>
        <v>4.7732823479766022</v>
      </c>
      <c r="CG65" s="3">
        <f t="shared" si="53"/>
        <v>1.1400000000000006</v>
      </c>
      <c r="CH65" s="3">
        <f t="shared" si="54"/>
        <v>1.1400000000000006</v>
      </c>
      <c r="CI65" s="3">
        <f t="shared" si="13"/>
        <v>4.7732823479766022</v>
      </c>
      <c r="CL65" s="3">
        <f t="shared" si="55"/>
        <v>1.1400000000000006</v>
      </c>
      <c r="CM65" s="14">
        <f t="shared" si="56"/>
        <v>1.1400000000000006</v>
      </c>
      <c r="CN65" s="3">
        <f t="shared" si="14"/>
        <v>4.7732823479766022</v>
      </c>
      <c r="CQ65" s="3">
        <f t="shared" si="57"/>
        <v>1.1400000000000006</v>
      </c>
      <c r="CR65" s="14">
        <f t="shared" si="58"/>
        <v>1.1400000000000006</v>
      </c>
      <c r="CS65" s="3">
        <f t="shared" si="15"/>
        <v>4.7732823479766022</v>
      </c>
      <c r="CV65" s="3">
        <f t="shared" si="59"/>
        <v>1.1400000000000006</v>
      </c>
      <c r="CW65" s="3">
        <f t="shared" si="60"/>
        <v>1.1400000000000006</v>
      </c>
      <c r="CX65" s="3">
        <f t="shared" si="16"/>
        <v>4.7732823479766022</v>
      </c>
      <c r="DA65" s="3">
        <f t="shared" si="61"/>
        <v>1.1400000000000006</v>
      </c>
      <c r="DB65" s="14">
        <f t="shared" si="62"/>
        <v>1.1400000000000006</v>
      </c>
      <c r="DC65" s="3">
        <f t="shared" si="17"/>
        <v>4.7732823479766022</v>
      </c>
      <c r="DF65" s="3">
        <f t="shared" si="63"/>
        <v>1.1400000000000006</v>
      </c>
      <c r="DG65" s="14">
        <f t="shared" si="64"/>
        <v>1.1400000000000006</v>
      </c>
      <c r="DH65" s="3">
        <f t="shared" si="18"/>
        <v>4.7732823479766022</v>
      </c>
      <c r="DK65" s="3">
        <f t="shared" si="65"/>
        <v>1.1400000000000006</v>
      </c>
      <c r="DL65" s="3">
        <f t="shared" si="66"/>
        <v>1.1400000000000006</v>
      </c>
      <c r="DM65" s="3">
        <f t="shared" si="19"/>
        <v>4.7732823479766022</v>
      </c>
      <c r="DP65" s="3">
        <f t="shared" si="67"/>
        <v>1.1400000000000006</v>
      </c>
      <c r="DQ65" s="14">
        <f t="shared" si="68"/>
        <v>1.1400000000000006</v>
      </c>
      <c r="DR65" s="3">
        <f t="shared" si="20"/>
        <v>4.7732823479766022</v>
      </c>
      <c r="DU65" s="3">
        <f t="shared" si="69"/>
        <v>1.1400000000000006</v>
      </c>
      <c r="DV65" s="14">
        <f t="shared" si="70"/>
        <v>1.1400000000000006</v>
      </c>
      <c r="DW65" s="3">
        <f t="shared" si="21"/>
        <v>4.7732823479766022</v>
      </c>
      <c r="DZ65" s="3">
        <f t="shared" si="71"/>
        <v>1.1400000000000006</v>
      </c>
      <c r="EA65" s="3">
        <f t="shared" si="72"/>
        <v>1.1400000000000006</v>
      </c>
      <c r="EB65" s="3">
        <f t="shared" si="22"/>
        <v>4.7732823479766022</v>
      </c>
      <c r="EE65" s="3">
        <f t="shared" si="73"/>
        <v>1.1400000000000006</v>
      </c>
      <c r="EF65" s="14">
        <f t="shared" si="74"/>
        <v>1.1400000000000006</v>
      </c>
      <c r="EG65" s="3">
        <f t="shared" si="23"/>
        <v>4.7732823479766022</v>
      </c>
      <c r="EJ65" s="3">
        <f t="shared" si="75"/>
        <v>1.1400000000000006</v>
      </c>
      <c r="EK65" s="14">
        <f t="shared" si="76"/>
        <v>1.1400000000000006</v>
      </c>
      <c r="EL65" s="3">
        <f t="shared" si="24"/>
        <v>4.7732823479766022</v>
      </c>
      <c r="EO65" s="3">
        <f t="shared" si="77"/>
        <v>1.1400000000000006</v>
      </c>
      <c r="EP65" s="3">
        <f t="shared" si="78"/>
        <v>1.1400000000000006</v>
      </c>
      <c r="EQ65" s="3">
        <f t="shared" si="25"/>
        <v>4.7732823479766022</v>
      </c>
      <c r="ET65" s="3">
        <f t="shared" si="79"/>
        <v>1.1400000000000006</v>
      </c>
      <c r="EU65" s="14">
        <f t="shared" si="80"/>
        <v>1.1400000000000006</v>
      </c>
      <c r="EV65" s="3">
        <f t="shared" si="26"/>
        <v>4.7732823479766022</v>
      </c>
    </row>
    <row r="66" spans="20:152" s="3" customFormat="1" x14ac:dyDescent="0.25">
      <c r="T66" s="3">
        <f t="shared" si="27"/>
        <v>1.1600000000000006</v>
      </c>
      <c r="U66" s="14">
        <f t="shared" si="28"/>
        <v>1.1600000000000006</v>
      </c>
      <c r="V66" s="3">
        <f t="shared" si="0"/>
        <v>4.7749685025177477</v>
      </c>
      <c r="Y66" s="3">
        <f t="shared" si="29"/>
        <v>1.1600000000000006</v>
      </c>
      <c r="Z66" s="3">
        <f t="shared" si="30"/>
        <v>1.1600000000000006</v>
      </c>
      <c r="AA66" s="3">
        <f t="shared" si="1"/>
        <v>4.7749685025177477</v>
      </c>
      <c r="AD66" s="3">
        <f t="shared" si="31"/>
        <v>1.1600000000000006</v>
      </c>
      <c r="AE66" s="14">
        <f t="shared" si="32"/>
        <v>1.1600000000000006</v>
      </c>
      <c r="AF66" s="3">
        <f t="shared" si="2"/>
        <v>4.7749685025177477</v>
      </c>
      <c r="AI66" s="3">
        <f t="shared" si="33"/>
        <v>1.1600000000000006</v>
      </c>
      <c r="AJ66" s="14">
        <f t="shared" si="34"/>
        <v>1.1600000000000006</v>
      </c>
      <c r="AK66" s="3">
        <f t="shared" si="3"/>
        <v>4.7749685025177477</v>
      </c>
      <c r="AN66" s="3">
        <f t="shared" si="35"/>
        <v>1.1600000000000006</v>
      </c>
      <c r="AO66" s="3">
        <f t="shared" si="36"/>
        <v>1.1600000000000006</v>
      </c>
      <c r="AP66" s="3">
        <f t="shared" si="4"/>
        <v>4.7749685025177477</v>
      </c>
      <c r="AS66" s="3">
        <f t="shared" si="37"/>
        <v>1.1600000000000006</v>
      </c>
      <c r="AT66" s="14">
        <f t="shared" si="38"/>
        <v>1.1600000000000006</v>
      </c>
      <c r="AU66" s="3">
        <f t="shared" si="5"/>
        <v>4.7749685025177477</v>
      </c>
      <c r="AX66" s="3">
        <f t="shared" si="39"/>
        <v>1.1600000000000006</v>
      </c>
      <c r="AY66" s="14">
        <f t="shared" si="40"/>
        <v>1.1600000000000006</v>
      </c>
      <c r="AZ66" s="3">
        <f t="shared" si="6"/>
        <v>4.7749685025177477</v>
      </c>
      <c r="BC66" s="3">
        <f t="shared" si="41"/>
        <v>1.1600000000000006</v>
      </c>
      <c r="BD66" s="3">
        <f t="shared" si="42"/>
        <v>1.1600000000000006</v>
      </c>
      <c r="BE66" s="3">
        <f t="shared" si="7"/>
        <v>4.7749685025177477</v>
      </c>
      <c r="BH66" s="3">
        <f t="shared" si="43"/>
        <v>1.1600000000000006</v>
      </c>
      <c r="BI66" s="14">
        <f t="shared" si="44"/>
        <v>1.1600000000000006</v>
      </c>
      <c r="BJ66" s="3">
        <f t="shared" si="8"/>
        <v>4.7749685025177477</v>
      </c>
      <c r="BM66" s="3">
        <f t="shared" si="45"/>
        <v>1.1600000000000006</v>
      </c>
      <c r="BN66" s="14">
        <f t="shared" si="46"/>
        <v>1.1600000000000006</v>
      </c>
      <c r="BO66" s="3">
        <f t="shared" si="9"/>
        <v>4.7749685025177477</v>
      </c>
      <c r="BR66" s="3">
        <f t="shared" si="47"/>
        <v>1.1600000000000006</v>
      </c>
      <c r="BS66" s="3">
        <f t="shared" si="48"/>
        <v>1.1600000000000006</v>
      </c>
      <c r="BT66" s="3">
        <f t="shared" si="10"/>
        <v>4.7749685025177477</v>
      </c>
      <c r="BW66" s="3">
        <f t="shared" si="49"/>
        <v>1.1600000000000006</v>
      </c>
      <c r="BX66" s="14">
        <f t="shared" si="50"/>
        <v>1.1600000000000006</v>
      </c>
      <c r="BY66" s="3">
        <f t="shared" si="11"/>
        <v>4.7749685025177477</v>
      </c>
      <c r="CB66" s="3">
        <f t="shared" si="51"/>
        <v>1.1600000000000006</v>
      </c>
      <c r="CC66" s="14">
        <f t="shared" si="52"/>
        <v>1.1600000000000006</v>
      </c>
      <c r="CD66" s="3">
        <f t="shared" si="12"/>
        <v>4.7749685025177477</v>
      </c>
      <c r="CG66" s="3">
        <f t="shared" si="53"/>
        <v>1.1600000000000006</v>
      </c>
      <c r="CH66" s="3">
        <f t="shared" si="54"/>
        <v>1.1600000000000006</v>
      </c>
      <c r="CI66" s="3">
        <f t="shared" si="13"/>
        <v>4.7749685025177477</v>
      </c>
      <c r="CL66" s="3">
        <f t="shared" si="55"/>
        <v>1.1600000000000006</v>
      </c>
      <c r="CM66" s="14">
        <f t="shared" si="56"/>
        <v>1.1600000000000006</v>
      </c>
      <c r="CN66" s="3">
        <f t="shared" si="14"/>
        <v>4.7749685025177477</v>
      </c>
      <c r="CQ66" s="3">
        <f t="shared" si="57"/>
        <v>1.1600000000000006</v>
      </c>
      <c r="CR66" s="14">
        <f t="shared" si="58"/>
        <v>1.1600000000000006</v>
      </c>
      <c r="CS66" s="3">
        <f t="shared" si="15"/>
        <v>4.7749685025177477</v>
      </c>
      <c r="CV66" s="3">
        <f t="shared" si="59"/>
        <v>1.1600000000000006</v>
      </c>
      <c r="CW66" s="3">
        <f t="shared" si="60"/>
        <v>1.1600000000000006</v>
      </c>
      <c r="CX66" s="3">
        <f t="shared" si="16"/>
        <v>4.7749685025177477</v>
      </c>
      <c r="DA66" s="3">
        <f t="shared" si="61"/>
        <v>1.1600000000000006</v>
      </c>
      <c r="DB66" s="14">
        <f t="shared" si="62"/>
        <v>1.1600000000000006</v>
      </c>
      <c r="DC66" s="3">
        <f t="shared" si="17"/>
        <v>4.7749685025177477</v>
      </c>
      <c r="DF66" s="3">
        <f t="shared" si="63"/>
        <v>1.1600000000000006</v>
      </c>
      <c r="DG66" s="14">
        <f t="shared" si="64"/>
        <v>1.1600000000000006</v>
      </c>
      <c r="DH66" s="3">
        <f t="shared" si="18"/>
        <v>4.7749685025177477</v>
      </c>
      <c r="DK66" s="3">
        <f t="shared" si="65"/>
        <v>1.1600000000000006</v>
      </c>
      <c r="DL66" s="3">
        <f t="shared" si="66"/>
        <v>1.1600000000000006</v>
      </c>
      <c r="DM66" s="3">
        <f t="shared" si="19"/>
        <v>4.7749685025177477</v>
      </c>
      <c r="DP66" s="3">
        <f t="shared" si="67"/>
        <v>1.1600000000000006</v>
      </c>
      <c r="DQ66" s="14">
        <f t="shared" si="68"/>
        <v>1.1600000000000006</v>
      </c>
      <c r="DR66" s="3">
        <f t="shared" si="20"/>
        <v>4.7749685025177477</v>
      </c>
      <c r="DU66" s="3">
        <f t="shared" si="69"/>
        <v>1.1600000000000006</v>
      </c>
      <c r="DV66" s="14">
        <f t="shared" si="70"/>
        <v>1.1600000000000006</v>
      </c>
      <c r="DW66" s="3">
        <f t="shared" si="21"/>
        <v>4.7749685025177477</v>
      </c>
      <c r="DZ66" s="3">
        <f t="shared" si="71"/>
        <v>1.1600000000000006</v>
      </c>
      <c r="EA66" s="3">
        <f t="shared" si="72"/>
        <v>1.1600000000000006</v>
      </c>
      <c r="EB66" s="3">
        <f t="shared" si="22"/>
        <v>4.7749685025177477</v>
      </c>
      <c r="EE66" s="3">
        <f t="shared" si="73"/>
        <v>1.1600000000000006</v>
      </c>
      <c r="EF66" s="14">
        <f t="shared" si="74"/>
        <v>1.1600000000000006</v>
      </c>
      <c r="EG66" s="3">
        <f t="shared" si="23"/>
        <v>4.7749685025177477</v>
      </c>
      <c r="EJ66" s="3">
        <f t="shared" si="75"/>
        <v>1.1600000000000006</v>
      </c>
      <c r="EK66" s="14">
        <f t="shared" si="76"/>
        <v>1.1600000000000006</v>
      </c>
      <c r="EL66" s="3">
        <f t="shared" si="24"/>
        <v>4.7749685025177477</v>
      </c>
      <c r="EO66" s="3">
        <f t="shared" si="77"/>
        <v>1.1600000000000006</v>
      </c>
      <c r="EP66" s="3">
        <f t="shared" si="78"/>
        <v>1.1600000000000006</v>
      </c>
      <c r="EQ66" s="3">
        <f t="shared" si="25"/>
        <v>4.7749685025177477</v>
      </c>
      <c r="ET66" s="3">
        <f t="shared" si="79"/>
        <v>1.1600000000000006</v>
      </c>
      <c r="EU66" s="14">
        <f t="shared" si="80"/>
        <v>1.1600000000000006</v>
      </c>
      <c r="EV66" s="3">
        <f t="shared" si="26"/>
        <v>4.7749685025177477</v>
      </c>
    </row>
    <row r="67" spans="20:152" s="3" customFormat="1" x14ac:dyDescent="0.25">
      <c r="T67" s="3">
        <f t="shared" si="27"/>
        <v>1.1800000000000006</v>
      </c>
      <c r="U67" s="14">
        <f t="shared" si="28"/>
        <v>1.1800000000000006</v>
      </c>
      <c r="V67" s="3">
        <f t="shared" si="0"/>
        <v>4.773946144331048</v>
      </c>
      <c r="Y67" s="3">
        <f t="shared" si="29"/>
        <v>1.1800000000000006</v>
      </c>
      <c r="Z67" s="3">
        <f t="shared" si="30"/>
        <v>1.1800000000000006</v>
      </c>
      <c r="AA67" s="3">
        <f t="shared" si="1"/>
        <v>4.773946144331048</v>
      </c>
      <c r="AD67" s="3">
        <f t="shared" si="31"/>
        <v>1.1800000000000006</v>
      </c>
      <c r="AE67" s="14">
        <f t="shared" si="32"/>
        <v>1.1800000000000006</v>
      </c>
      <c r="AF67" s="3">
        <f t="shared" si="2"/>
        <v>4.773946144331048</v>
      </c>
      <c r="AI67" s="3">
        <f t="shared" si="33"/>
        <v>1.1800000000000006</v>
      </c>
      <c r="AJ67" s="14">
        <f t="shared" si="34"/>
        <v>1.1800000000000006</v>
      </c>
      <c r="AK67" s="3">
        <f t="shared" si="3"/>
        <v>4.773946144331048</v>
      </c>
      <c r="AN67" s="3">
        <f t="shared" si="35"/>
        <v>1.1800000000000006</v>
      </c>
      <c r="AO67" s="3">
        <f t="shared" si="36"/>
        <v>1.1800000000000006</v>
      </c>
      <c r="AP67" s="3">
        <f t="shared" si="4"/>
        <v>4.773946144331048</v>
      </c>
      <c r="AS67" s="3">
        <f t="shared" si="37"/>
        <v>1.1800000000000006</v>
      </c>
      <c r="AT67" s="14">
        <f t="shared" si="38"/>
        <v>1.1800000000000006</v>
      </c>
      <c r="AU67" s="3">
        <f t="shared" si="5"/>
        <v>4.773946144331048</v>
      </c>
      <c r="AX67" s="3">
        <f t="shared" si="39"/>
        <v>1.1800000000000006</v>
      </c>
      <c r="AY67" s="14">
        <f t="shared" si="40"/>
        <v>1.1800000000000006</v>
      </c>
      <c r="AZ67" s="3">
        <f t="shared" si="6"/>
        <v>4.773946144331048</v>
      </c>
      <c r="BC67" s="3">
        <f t="shared" si="41"/>
        <v>1.1800000000000006</v>
      </c>
      <c r="BD67" s="3">
        <f t="shared" si="42"/>
        <v>1.1800000000000006</v>
      </c>
      <c r="BE67" s="3">
        <f t="shared" si="7"/>
        <v>4.773946144331048</v>
      </c>
      <c r="BH67" s="3">
        <f t="shared" si="43"/>
        <v>1.1800000000000006</v>
      </c>
      <c r="BI67" s="14">
        <f t="shared" si="44"/>
        <v>1.1800000000000006</v>
      </c>
      <c r="BJ67" s="3">
        <f t="shared" si="8"/>
        <v>4.773946144331048</v>
      </c>
      <c r="BM67" s="3">
        <f t="shared" si="45"/>
        <v>1.1800000000000006</v>
      </c>
      <c r="BN67" s="14">
        <f t="shared" si="46"/>
        <v>1.1800000000000006</v>
      </c>
      <c r="BO67" s="3">
        <f t="shared" si="9"/>
        <v>4.773946144331048</v>
      </c>
      <c r="BR67" s="3">
        <f t="shared" si="47"/>
        <v>1.1800000000000006</v>
      </c>
      <c r="BS67" s="3">
        <f t="shared" si="48"/>
        <v>1.1800000000000006</v>
      </c>
      <c r="BT67" s="3">
        <f t="shared" si="10"/>
        <v>4.773946144331048</v>
      </c>
      <c r="BW67" s="3">
        <f t="shared" si="49"/>
        <v>1.1800000000000006</v>
      </c>
      <c r="BX67" s="14">
        <f t="shared" si="50"/>
        <v>1.1800000000000006</v>
      </c>
      <c r="BY67" s="3">
        <f t="shared" si="11"/>
        <v>4.773946144331048</v>
      </c>
      <c r="CB67" s="3">
        <f t="shared" si="51"/>
        <v>1.1800000000000006</v>
      </c>
      <c r="CC67" s="14">
        <f t="shared" si="52"/>
        <v>1.1800000000000006</v>
      </c>
      <c r="CD67" s="3">
        <f t="shared" si="12"/>
        <v>4.773946144331048</v>
      </c>
      <c r="CG67" s="3">
        <f t="shared" si="53"/>
        <v>1.1800000000000006</v>
      </c>
      <c r="CH67" s="3">
        <f t="shared" si="54"/>
        <v>1.1800000000000006</v>
      </c>
      <c r="CI67" s="3">
        <f t="shared" si="13"/>
        <v>4.773946144331048</v>
      </c>
      <c r="CL67" s="3">
        <f t="shared" si="55"/>
        <v>1.1800000000000006</v>
      </c>
      <c r="CM67" s="14">
        <f t="shared" si="56"/>
        <v>1.1800000000000006</v>
      </c>
      <c r="CN67" s="3">
        <f t="shared" si="14"/>
        <v>4.773946144331048</v>
      </c>
      <c r="CQ67" s="3">
        <f t="shared" si="57"/>
        <v>1.1800000000000006</v>
      </c>
      <c r="CR67" s="14">
        <f t="shared" si="58"/>
        <v>1.1800000000000006</v>
      </c>
      <c r="CS67" s="3">
        <f t="shared" si="15"/>
        <v>4.773946144331048</v>
      </c>
      <c r="CV67" s="3">
        <f t="shared" si="59"/>
        <v>1.1800000000000006</v>
      </c>
      <c r="CW67" s="3">
        <f t="shared" si="60"/>
        <v>1.1800000000000006</v>
      </c>
      <c r="CX67" s="3">
        <f t="shared" si="16"/>
        <v>4.773946144331048</v>
      </c>
      <c r="DA67" s="3">
        <f t="shared" si="61"/>
        <v>1.1800000000000006</v>
      </c>
      <c r="DB67" s="14">
        <f t="shared" si="62"/>
        <v>1.1800000000000006</v>
      </c>
      <c r="DC67" s="3">
        <f t="shared" si="17"/>
        <v>4.773946144331048</v>
      </c>
      <c r="DF67" s="3">
        <f t="shared" si="63"/>
        <v>1.1800000000000006</v>
      </c>
      <c r="DG67" s="14">
        <f t="shared" si="64"/>
        <v>1.1800000000000006</v>
      </c>
      <c r="DH67" s="3">
        <f t="shared" si="18"/>
        <v>4.773946144331048</v>
      </c>
      <c r="DK67" s="3">
        <f t="shared" si="65"/>
        <v>1.1800000000000006</v>
      </c>
      <c r="DL67" s="3">
        <f t="shared" si="66"/>
        <v>1.1800000000000006</v>
      </c>
      <c r="DM67" s="3">
        <f t="shared" si="19"/>
        <v>4.773946144331048</v>
      </c>
      <c r="DP67" s="3">
        <f t="shared" si="67"/>
        <v>1.1800000000000006</v>
      </c>
      <c r="DQ67" s="14">
        <f t="shared" si="68"/>
        <v>1.1800000000000006</v>
      </c>
      <c r="DR67" s="3">
        <f t="shared" si="20"/>
        <v>4.773946144331048</v>
      </c>
      <c r="DU67" s="3">
        <f t="shared" si="69"/>
        <v>1.1800000000000006</v>
      </c>
      <c r="DV67" s="14">
        <f t="shared" si="70"/>
        <v>1.1800000000000006</v>
      </c>
      <c r="DW67" s="3">
        <f t="shared" si="21"/>
        <v>4.773946144331048</v>
      </c>
      <c r="DZ67" s="3">
        <f t="shared" si="71"/>
        <v>1.1800000000000006</v>
      </c>
      <c r="EA67" s="3">
        <f t="shared" si="72"/>
        <v>1.1800000000000006</v>
      </c>
      <c r="EB67" s="3">
        <f t="shared" si="22"/>
        <v>4.773946144331048</v>
      </c>
      <c r="EE67" s="3">
        <f t="shared" si="73"/>
        <v>1.1800000000000006</v>
      </c>
      <c r="EF67" s="14">
        <f t="shared" si="74"/>
        <v>1.1800000000000006</v>
      </c>
      <c r="EG67" s="3">
        <f t="shared" si="23"/>
        <v>4.773946144331048</v>
      </c>
      <c r="EJ67" s="3">
        <f t="shared" si="75"/>
        <v>1.1800000000000006</v>
      </c>
      <c r="EK67" s="14">
        <f t="shared" si="76"/>
        <v>1.1800000000000006</v>
      </c>
      <c r="EL67" s="3">
        <f t="shared" si="24"/>
        <v>4.773946144331048</v>
      </c>
      <c r="EO67" s="3">
        <f t="shared" si="77"/>
        <v>1.1800000000000006</v>
      </c>
      <c r="EP67" s="3">
        <f t="shared" si="78"/>
        <v>1.1800000000000006</v>
      </c>
      <c r="EQ67" s="3">
        <f t="shared" si="25"/>
        <v>4.773946144331048</v>
      </c>
      <c r="ET67" s="3">
        <f t="shared" si="79"/>
        <v>1.1800000000000006</v>
      </c>
      <c r="EU67" s="14">
        <f t="shared" si="80"/>
        <v>1.1800000000000006</v>
      </c>
      <c r="EV67" s="3">
        <f t="shared" si="26"/>
        <v>4.773946144331048</v>
      </c>
    </row>
    <row r="68" spans="20:152" s="3" customFormat="1" x14ac:dyDescent="0.25">
      <c r="T68" s="3">
        <f t="shared" si="27"/>
        <v>1.2000000000000006</v>
      </c>
      <c r="U68" s="14">
        <f t="shared" si="28"/>
        <v>1.2000000000000006</v>
      </c>
      <c r="V68" s="3">
        <f t="shared" si="0"/>
        <v>4.7702152734165013</v>
      </c>
      <c r="Y68" s="3">
        <f t="shared" si="29"/>
        <v>1.2000000000000006</v>
      </c>
      <c r="Z68" s="3">
        <f t="shared" si="30"/>
        <v>1.2000000000000006</v>
      </c>
      <c r="AA68" s="3">
        <f t="shared" si="1"/>
        <v>4.7702152734165013</v>
      </c>
      <c r="AD68" s="3">
        <f t="shared" si="31"/>
        <v>1.2000000000000006</v>
      </c>
      <c r="AE68" s="14">
        <f t="shared" si="32"/>
        <v>1.2000000000000006</v>
      </c>
      <c r="AF68" s="3">
        <f t="shared" si="2"/>
        <v>4.7702152734165013</v>
      </c>
      <c r="AI68" s="3">
        <f t="shared" si="33"/>
        <v>1.2000000000000006</v>
      </c>
      <c r="AJ68" s="14">
        <f t="shared" si="34"/>
        <v>1.2000000000000006</v>
      </c>
      <c r="AK68" s="3">
        <f t="shared" si="3"/>
        <v>4.7702152734165013</v>
      </c>
      <c r="AN68" s="3">
        <f t="shared" si="35"/>
        <v>1.2000000000000006</v>
      </c>
      <c r="AO68" s="3">
        <f t="shared" si="36"/>
        <v>1.2000000000000006</v>
      </c>
      <c r="AP68" s="3">
        <f t="shared" si="4"/>
        <v>4.7702152734165013</v>
      </c>
      <c r="AS68" s="3">
        <f t="shared" si="37"/>
        <v>1.2000000000000006</v>
      </c>
      <c r="AT68" s="14">
        <f t="shared" si="38"/>
        <v>1.2000000000000006</v>
      </c>
      <c r="AU68" s="3">
        <f t="shared" si="5"/>
        <v>4.7702152734165013</v>
      </c>
      <c r="AX68" s="3">
        <f t="shared" si="39"/>
        <v>1.2000000000000006</v>
      </c>
      <c r="AY68" s="14">
        <f t="shared" si="40"/>
        <v>1.2000000000000006</v>
      </c>
      <c r="AZ68" s="3">
        <f t="shared" si="6"/>
        <v>4.7702152734165013</v>
      </c>
      <c r="BC68" s="3">
        <f t="shared" si="41"/>
        <v>1.2000000000000006</v>
      </c>
      <c r="BD68" s="3">
        <f t="shared" si="42"/>
        <v>1.2000000000000006</v>
      </c>
      <c r="BE68" s="3">
        <f t="shared" si="7"/>
        <v>4.7702152734165013</v>
      </c>
      <c r="BH68" s="3">
        <f t="shared" si="43"/>
        <v>1.2000000000000006</v>
      </c>
      <c r="BI68" s="14">
        <f t="shared" si="44"/>
        <v>1.2000000000000006</v>
      </c>
      <c r="BJ68" s="3">
        <f t="shared" si="8"/>
        <v>4.7702152734165013</v>
      </c>
      <c r="BM68" s="3">
        <f t="shared" si="45"/>
        <v>1.2000000000000006</v>
      </c>
      <c r="BN68" s="14">
        <f t="shared" si="46"/>
        <v>1.2000000000000006</v>
      </c>
      <c r="BO68" s="3">
        <f t="shared" si="9"/>
        <v>4.7702152734165013</v>
      </c>
      <c r="BR68" s="3">
        <f t="shared" si="47"/>
        <v>1.2000000000000006</v>
      </c>
      <c r="BS68" s="3">
        <f t="shared" si="48"/>
        <v>1.2000000000000006</v>
      </c>
      <c r="BT68" s="3">
        <f t="shared" si="10"/>
        <v>4.7702152734165013</v>
      </c>
      <c r="BW68" s="3">
        <f t="shared" si="49"/>
        <v>1.2000000000000006</v>
      </c>
      <c r="BX68" s="14">
        <f t="shared" si="50"/>
        <v>1.2000000000000006</v>
      </c>
      <c r="BY68" s="3">
        <f t="shared" si="11"/>
        <v>4.7702152734165013</v>
      </c>
      <c r="CB68" s="3">
        <f t="shared" si="51"/>
        <v>1.2000000000000006</v>
      </c>
      <c r="CC68" s="14">
        <f t="shared" si="52"/>
        <v>1.2000000000000006</v>
      </c>
      <c r="CD68" s="3">
        <f t="shared" si="12"/>
        <v>4.7702152734165013</v>
      </c>
      <c r="CG68" s="3">
        <f t="shared" si="53"/>
        <v>1.2000000000000006</v>
      </c>
      <c r="CH68" s="3">
        <f t="shared" si="54"/>
        <v>1.2000000000000006</v>
      </c>
      <c r="CI68" s="3">
        <f t="shared" si="13"/>
        <v>4.7702152734165013</v>
      </c>
      <c r="CL68" s="3">
        <f t="shared" si="55"/>
        <v>1.2000000000000006</v>
      </c>
      <c r="CM68" s="14">
        <f t="shared" si="56"/>
        <v>1.2000000000000006</v>
      </c>
      <c r="CN68" s="3">
        <f t="shared" si="14"/>
        <v>4.7702152734165013</v>
      </c>
      <c r="CQ68" s="3">
        <f t="shared" si="57"/>
        <v>1.2000000000000006</v>
      </c>
      <c r="CR68" s="14">
        <f t="shared" si="58"/>
        <v>1.2000000000000006</v>
      </c>
      <c r="CS68" s="3">
        <f t="shared" si="15"/>
        <v>4.7702152734165013</v>
      </c>
      <c r="CV68" s="3">
        <f t="shared" si="59"/>
        <v>1.2000000000000006</v>
      </c>
      <c r="CW68" s="3">
        <f t="shared" si="60"/>
        <v>1.2000000000000006</v>
      </c>
      <c r="CX68" s="3">
        <f t="shared" si="16"/>
        <v>4.7702152734165013</v>
      </c>
      <c r="DA68" s="3">
        <f t="shared" si="61"/>
        <v>1.2000000000000006</v>
      </c>
      <c r="DB68" s="14">
        <f t="shared" si="62"/>
        <v>1.2000000000000006</v>
      </c>
      <c r="DC68" s="3">
        <f t="shared" si="17"/>
        <v>4.7702152734165013</v>
      </c>
      <c r="DF68" s="3">
        <f t="shared" si="63"/>
        <v>1.2000000000000006</v>
      </c>
      <c r="DG68" s="14">
        <f t="shared" si="64"/>
        <v>1.2000000000000006</v>
      </c>
      <c r="DH68" s="3">
        <f t="shared" si="18"/>
        <v>4.7702152734165013</v>
      </c>
      <c r="DK68" s="3">
        <f t="shared" si="65"/>
        <v>1.2000000000000006</v>
      </c>
      <c r="DL68" s="3">
        <f t="shared" si="66"/>
        <v>1.2000000000000006</v>
      </c>
      <c r="DM68" s="3">
        <f t="shared" si="19"/>
        <v>4.7702152734165013</v>
      </c>
      <c r="DP68" s="3">
        <f t="shared" si="67"/>
        <v>1.2000000000000006</v>
      </c>
      <c r="DQ68" s="14">
        <f t="shared" si="68"/>
        <v>1.2000000000000006</v>
      </c>
      <c r="DR68" s="3">
        <f t="shared" si="20"/>
        <v>4.7702152734165013</v>
      </c>
      <c r="DU68" s="3">
        <f t="shared" si="69"/>
        <v>1.2000000000000006</v>
      </c>
      <c r="DV68" s="14">
        <f t="shared" si="70"/>
        <v>1.2000000000000006</v>
      </c>
      <c r="DW68" s="3">
        <f t="shared" si="21"/>
        <v>4.7702152734165013</v>
      </c>
      <c r="DZ68" s="3">
        <f t="shared" si="71"/>
        <v>1.2000000000000006</v>
      </c>
      <c r="EA68" s="3">
        <f t="shared" si="72"/>
        <v>1.2000000000000006</v>
      </c>
      <c r="EB68" s="3">
        <f t="shared" si="22"/>
        <v>4.7702152734165013</v>
      </c>
      <c r="EE68" s="3">
        <f t="shared" si="73"/>
        <v>1.2000000000000006</v>
      </c>
      <c r="EF68" s="14">
        <f t="shared" si="74"/>
        <v>1.2000000000000006</v>
      </c>
      <c r="EG68" s="3">
        <f t="shared" si="23"/>
        <v>4.7702152734165013</v>
      </c>
      <c r="EJ68" s="3">
        <f t="shared" si="75"/>
        <v>1.2000000000000006</v>
      </c>
      <c r="EK68" s="14">
        <f t="shared" si="76"/>
        <v>1.2000000000000006</v>
      </c>
      <c r="EL68" s="3">
        <f t="shared" si="24"/>
        <v>4.7702152734165013</v>
      </c>
      <c r="EO68" s="3">
        <f t="shared" si="77"/>
        <v>1.2000000000000006</v>
      </c>
      <c r="EP68" s="3">
        <f t="shared" si="78"/>
        <v>1.2000000000000006</v>
      </c>
      <c r="EQ68" s="3">
        <f t="shared" si="25"/>
        <v>4.7702152734165013</v>
      </c>
      <c r="ET68" s="3">
        <f t="shared" si="79"/>
        <v>1.2000000000000006</v>
      </c>
      <c r="EU68" s="14">
        <f t="shared" si="80"/>
        <v>1.2000000000000006</v>
      </c>
      <c r="EV68" s="3">
        <f t="shared" si="26"/>
        <v>4.7702152734165013</v>
      </c>
    </row>
    <row r="69" spans="20:152" s="3" customFormat="1" x14ac:dyDescent="0.25">
      <c r="T69" s="3">
        <f t="shared" si="27"/>
        <v>1.2200000000000006</v>
      </c>
      <c r="U69" s="14">
        <f t="shared" si="28"/>
        <v>1.2200000000000006</v>
      </c>
      <c r="V69" s="3">
        <f t="shared" si="0"/>
        <v>4.7637758897741067</v>
      </c>
      <c r="Y69" s="3">
        <f t="shared" si="29"/>
        <v>1.2200000000000006</v>
      </c>
      <c r="Z69" s="3">
        <f t="shared" si="30"/>
        <v>1.2200000000000006</v>
      </c>
      <c r="AA69" s="3">
        <f t="shared" si="1"/>
        <v>4.7637758897741067</v>
      </c>
      <c r="AD69" s="3">
        <f t="shared" si="31"/>
        <v>1.2200000000000006</v>
      </c>
      <c r="AE69" s="14">
        <f t="shared" si="32"/>
        <v>1.2200000000000006</v>
      </c>
      <c r="AF69" s="3">
        <f t="shared" si="2"/>
        <v>4.7637758897741067</v>
      </c>
      <c r="AI69" s="3">
        <f t="shared" si="33"/>
        <v>1.2200000000000006</v>
      </c>
      <c r="AJ69" s="14">
        <f t="shared" si="34"/>
        <v>1.2200000000000006</v>
      </c>
      <c r="AK69" s="3">
        <f t="shared" si="3"/>
        <v>4.7637758897741067</v>
      </c>
      <c r="AN69" s="3">
        <f t="shared" si="35"/>
        <v>1.2200000000000006</v>
      </c>
      <c r="AO69" s="3">
        <f t="shared" si="36"/>
        <v>1.2200000000000006</v>
      </c>
      <c r="AP69" s="3">
        <f t="shared" si="4"/>
        <v>4.7637758897741067</v>
      </c>
      <c r="AS69" s="3">
        <f t="shared" si="37"/>
        <v>1.2200000000000006</v>
      </c>
      <c r="AT69" s="14">
        <f t="shared" si="38"/>
        <v>1.2200000000000006</v>
      </c>
      <c r="AU69" s="3">
        <f t="shared" si="5"/>
        <v>4.7637758897741067</v>
      </c>
      <c r="AX69" s="3">
        <f t="shared" si="39"/>
        <v>1.2200000000000006</v>
      </c>
      <c r="AY69" s="14">
        <f t="shared" si="40"/>
        <v>1.2200000000000006</v>
      </c>
      <c r="AZ69" s="3">
        <f t="shared" si="6"/>
        <v>4.7637758897741067</v>
      </c>
      <c r="BC69" s="3">
        <f t="shared" si="41"/>
        <v>1.2200000000000006</v>
      </c>
      <c r="BD69" s="3">
        <f t="shared" si="42"/>
        <v>1.2200000000000006</v>
      </c>
      <c r="BE69" s="3">
        <f t="shared" si="7"/>
        <v>4.7637758897741067</v>
      </c>
      <c r="BH69" s="3">
        <f t="shared" si="43"/>
        <v>1.2200000000000006</v>
      </c>
      <c r="BI69" s="14">
        <f t="shared" si="44"/>
        <v>1.2200000000000006</v>
      </c>
      <c r="BJ69" s="3">
        <f t="shared" si="8"/>
        <v>4.7637758897741067</v>
      </c>
      <c r="BM69" s="3">
        <f t="shared" si="45"/>
        <v>1.2200000000000006</v>
      </c>
      <c r="BN69" s="14">
        <f t="shared" si="46"/>
        <v>1.2200000000000006</v>
      </c>
      <c r="BO69" s="3">
        <f t="shared" si="9"/>
        <v>4.7637758897741067</v>
      </c>
      <c r="BR69" s="3">
        <f t="shared" si="47"/>
        <v>1.2200000000000006</v>
      </c>
      <c r="BS69" s="3">
        <f t="shared" si="48"/>
        <v>1.2200000000000006</v>
      </c>
      <c r="BT69" s="3">
        <f t="shared" si="10"/>
        <v>4.7637758897741067</v>
      </c>
      <c r="BW69" s="3">
        <f t="shared" si="49"/>
        <v>1.2200000000000006</v>
      </c>
      <c r="BX69" s="14">
        <f t="shared" si="50"/>
        <v>1.2200000000000006</v>
      </c>
      <c r="BY69" s="3">
        <f t="shared" si="11"/>
        <v>4.7637758897741067</v>
      </c>
      <c r="CB69" s="3">
        <f t="shared" si="51"/>
        <v>1.2200000000000006</v>
      </c>
      <c r="CC69" s="14">
        <f t="shared" si="52"/>
        <v>1.2200000000000006</v>
      </c>
      <c r="CD69" s="3">
        <f t="shared" si="12"/>
        <v>4.7637758897741067</v>
      </c>
      <c r="CG69" s="3">
        <f t="shared" si="53"/>
        <v>1.2200000000000006</v>
      </c>
      <c r="CH69" s="3">
        <f t="shared" si="54"/>
        <v>1.2200000000000006</v>
      </c>
      <c r="CI69" s="3">
        <f t="shared" si="13"/>
        <v>4.7637758897741067</v>
      </c>
      <c r="CL69" s="3">
        <f t="shared" si="55"/>
        <v>1.2200000000000006</v>
      </c>
      <c r="CM69" s="14">
        <f t="shared" si="56"/>
        <v>1.2200000000000006</v>
      </c>
      <c r="CN69" s="3">
        <f t="shared" si="14"/>
        <v>4.7637758897741067</v>
      </c>
      <c r="CQ69" s="3">
        <f t="shared" si="57"/>
        <v>1.2200000000000006</v>
      </c>
      <c r="CR69" s="14">
        <f t="shared" si="58"/>
        <v>1.2200000000000006</v>
      </c>
      <c r="CS69" s="3">
        <f t="shared" si="15"/>
        <v>4.7637758897741067</v>
      </c>
      <c r="CV69" s="3">
        <f t="shared" si="59"/>
        <v>1.2200000000000006</v>
      </c>
      <c r="CW69" s="3">
        <f t="shared" si="60"/>
        <v>1.2200000000000006</v>
      </c>
      <c r="CX69" s="3">
        <f t="shared" si="16"/>
        <v>4.7637758897741067</v>
      </c>
      <c r="DA69" s="3">
        <f t="shared" si="61"/>
        <v>1.2200000000000006</v>
      </c>
      <c r="DB69" s="14">
        <f t="shared" si="62"/>
        <v>1.2200000000000006</v>
      </c>
      <c r="DC69" s="3">
        <f t="shared" si="17"/>
        <v>4.7637758897741067</v>
      </c>
      <c r="DF69" s="3">
        <f t="shared" si="63"/>
        <v>1.2200000000000006</v>
      </c>
      <c r="DG69" s="14">
        <f t="shared" si="64"/>
        <v>1.2200000000000006</v>
      </c>
      <c r="DH69" s="3">
        <f t="shared" si="18"/>
        <v>4.7637758897741067</v>
      </c>
      <c r="DK69" s="3">
        <f t="shared" si="65"/>
        <v>1.2200000000000006</v>
      </c>
      <c r="DL69" s="3">
        <f t="shared" si="66"/>
        <v>1.2200000000000006</v>
      </c>
      <c r="DM69" s="3">
        <f t="shared" si="19"/>
        <v>4.7637758897741067</v>
      </c>
      <c r="DP69" s="3">
        <f t="shared" si="67"/>
        <v>1.2200000000000006</v>
      </c>
      <c r="DQ69" s="14">
        <f t="shared" si="68"/>
        <v>1.2200000000000006</v>
      </c>
      <c r="DR69" s="3">
        <f t="shared" si="20"/>
        <v>4.7637758897741067</v>
      </c>
      <c r="DU69" s="3">
        <f t="shared" si="69"/>
        <v>1.2200000000000006</v>
      </c>
      <c r="DV69" s="14">
        <f t="shared" si="70"/>
        <v>1.2200000000000006</v>
      </c>
      <c r="DW69" s="3">
        <f t="shared" si="21"/>
        <v>4.7637758897741067</v>
      </c>
      <c r="DZ69" s="3">
        <f t="shared" si="71"/>
        <v>1.2200000000000006</v>
      </c>
      <c r="EA69" s="3">
        <f t="shared" si="72"/>
        <v>1.2200000000000006</v>
      </c>
      <c r="EB69" s="3">
        <f t="shared" si="22"/>
        <v>4.7637758897741067</v>
      </c>
      <c r="EE69" s="3">
        <f t="shared" si="73"/>
        <v>1.2200000000000006</v>
      </c>
      <c r="EF69" s="14">
        <f t="shared" si="74"/>
        <v>1.2200000000000006</v>
      </c>
      <c r="EG69" s="3">
        <f t="shared" si="23"/>
        <v>4.7637758897741067</v>
      </c>
      <c r="EJ69" s="3">
        <f t="shared" si="75"/>
        <v>1.2200000000000006</v>
      </c>
      <c r="EK69" s="14">
        <f t="shared" si="76"/>
        <v>1.2200000000000006</v>
      </c>
      <c r="EL69" s="3">
        <f t="shared" si="24"/>
        <v>4.7637758897741067</v>
      </c>
      <c r="EO69" s="3">
        <f t="shared" si="77"/>
        <v>1.2200000000000006</v>
      </c>
      <c r="EP69" s="3">
        <f t="shared" si="78"/>
        <v>1.2200000000000006</v>
      </c>
      <c r="EQ69" s="3">
        <f t="shared" si="25"/>
        <v>4.7637758897741067</v>
      </c>
      <c r="ET69" s="3">
        <f t="shared" si="79"/>
        <v>1.2200000000000006</v>
      </c>
      <c r="EU69" s="14">
        <f t="shared" si="80"/>
        <v>1.2200000000000006</v>
      </c>
      <c r="EV69" s="3">
        <f t="shared" si="26"/>
        <v>4.7637758897741067</v>
      </c>
    </row>
    <row r="70" spans="20:152" s="3" customFormat="1" x14ac:dyDescent="0.25">
      <c r="T70" s="3">
        <f t="shared" si="27"/>
        <v>1.2400000000000007</v>
      </c>
      <c r="U70" s="14">
        <f t="shared" si="28"/>
        <v>1.2400000000000007</v>
      </c>
      <c r="V70" s="3">
        <f t="shared" si="0"/>
        <v>4.7546279934038642</v>
      </c>
      <c r="Y70" s="3">
        <f t="shared" si="29"/>
        <v>1.2400000000000007</v>
      </c>
      <c r="Z70" s="3">
        <f t="shared" si="30"/>
        <v>1.2400000000000007</v>
      </c>
      <c r="AA70" s="3">
        <f t="shared" si="1"/>
        <v>4.7546279934038642</v>
      </c>
      <c r="AD70" s="3">
        <f t="shared" si="31"/>
        <v>1.2400000000000007</v>
      </c>
      <c r="AE70" s="14">
        <f t="shared" si="32"/>
        <v>1.2400000000000007</v>
      </c>
      <c r="AF70" s="3">
        <f t="shared" si="2"/>
        <v>4.7546279934038642</v>
      </c>
      <c r="AI70" s="3">
        <f t="shared" si="33"/>
        <v>1.2400000000000007</v>
      </c>
      <c r="AJ70" s="14">
        <f t="shared" si="34"/>
        <v>1.2400000000000007</v>
      </c>
      <c r="AK70" s="3">
        <f t="shared" si="3"/>
        <v>4.7546279934038642</v>
      </c>
      <c r="AN70" s="3">
        <f t="shared" si="35"/>
        <v>1.2400000000000007</v>
      </c>
      <c r="AO70" s="3">
        <f t="shared" si="36"/>
        <v>1.2400000000000007</v>
      </c>
      <c r="AP70" s="3">
        <f t="shared" si="4"/>
        <v>4.7546279934038642</v>
      </c>
      <c r="AS70" s="3">
        <f t="shared" si="37"/>
        <v>1.2400000000000007</v>
      </c>
      <c r="AT70" s="14">
        <f t="shared" si="38"/>
        <v>1.2400000000000007</v>
      </c>
      <c r="AU70" s="3">
        <f t="shared" si="5"/>
        <v>4.7546279934038642</v>
      </c>
      <c r="AX70" s="3">
        <f t="shared" si="39"/>
        <v>1.2400000000000007</v>
      </c>
      <c r="AY70" s="14">
        <f t="shared" si="40"/>
        <v>1.2400000000000007</v>
      </c>
      <c r="AZ70" s="3">
        <f t="shared" si="6"/>
        <v>4.7546279934038642</v>
      </c>
      <c r="BC70" s="3">
        <f t="shared" si="41"/>
        <v>1.2400000000000007</v>
      </c>
      <c r="BD70" s="3">
        <f t="shared" si="42"/>
        <v>1.2400000000000007</v>
      </c>
      <c r="BE70" s="3">
        <f t="shared" si="7"/>
        <v>4.7546279934038642</v>
      </c>
      <c r="BH70" s="3">
        <f t="shared" si="43"/>
        <v>1.2400000000000007</v>
      </c>
      <c r="BI70" s="14">
        <f t="shared" si="44"/>
        <v>1.2400000000000007</v>
      </c>
      <c r="BJ70" s="3">
        <f t="shared" si="8"/>
        <v>4.7546279934038642</v>
      </c>
      <c r="BM70" s="3">
        <f t="shared" si="45"/>
        <v>1.2400000000000007</v>
      </c>
      <c r="BN70" s="14">
        <f t="shared" si="46"/>
        <v>1.2400000000000007</v>
      </c>
      <c r="BO70" s="3">
        <f t="shared" si="9"/>
        <v>4.7546279934038642</v>
      </c>
      <c r="BR70" s="3">
        <f t="shared" si="47"/>
        <v>1.2400000000000007</v>
      </c>
      <c r="BS70" s="3">
        <f t="shared" si="48"/>
        <v>1.2400000000000007</v>
      </c>
      <c r="BT70" s="3">
        <f t="shared" si="10"/>
        <v>4.7546279934038642</v>
      </c>
      <c r="BW70" s="3">
        <f t="shared" si="49"/>
        <v>1.2400000000000007</v>
      </c>
      <c r="BX70" s="14">
        <f t="shared" si="50"/>
        <v>1.2400000000000007</v>
      </c>
      <c r="BY70" s="3">
        <f t="shared" si="11"/>
        <v>4.7546279934038642</v>
      </c>
      <c r="CB70" s="3">
        <f t="shared" si="51"/>
        <v>1.2400000000000007</v>
      </c>
      <c r="CC70" s="14">
        <f t="shared" si="52"/>
        <v>1.2400000000000007</v>
      </c>
      <c r="CD70" s="3">
        <f t="shared" si="12"/>
        <v>4.7546279934038642</v>
      </c>
      <c r="CG70" s="3">
        <f t="shared" si="53"/>
        <v>1.2400000000000007</v>
      </c>
      <c r="CH70" s="3">
        <f t="shared" si="54"/>
        <v>1.2400000000000007</v>
      </c>
      <c r="CI70" s="3">
        <f t="shared" si="13"/>
        <v>4.7546279934038642</v>
      </c>
      <c r="CL70" s="3">
        <f t="shared" si="55"/>
        <v>1.2400000000000007</v>
      </c>
      <c r="CM70" s="14">
        <f t="shared" si="56"/>
        <v>1.2400000000000007</v>
      </c>
      <c r="CN70" s="3">
        <f t="shared" si="14"/>
        <v>4.7546279934038642</v>
      </c>
      <c r="CQ70" s="3">
        <f t="shared" si="57"/>
        <v>1.2400000000000007</v>
      </c>
      <c r="CR70" s="14">
        <f t="shared" si="58"/>
        <v>1.2400000000000007</v>
      </c>
      <c r="CS70" s="3">
        <f t="shared" si="15"/>
        <v>4.7546279934038642</v>
      </c>
      <c r="CV70" s="3">
        <f t="shared" si="59"/>
        <v>1.2400000000000007</v>
      </c>
      <c r="CW70" s="3">
        <f t="shared" si="60"/>
        <v>1.2400000000000007</v>
      </c>
      <c r="CX70" s="3">
        <f t="shared" si="16"/>
        <v>4.7546279934038642</v>
      </c>
      <c r="DA70" s="3">
        <f t="shared" si="61"/>
        <v>1.2400000000000007</v>
      </c>
      <c r="DB70" s="14">
        <f t="shared" si="62"/>
        <v>1.2400000000000007</v>
      </c>
      <c r="DC70" s="3">
        <f t="shared" si="17"/>
        <v>4.7546279934038642</v>
      </c>
      <c r="DF70" s="3">
        <f t="shared" si="63"/>
        <v>1.2400000000000007</v>
      </c>
      <c r="DG70" s="14">
        <f t="shared" si="64"/>
        <v>1.2400000000000007</v>
      </c>
      <c r="DH70" s="3">
        <f t="shared" si="18"/>
        <v>4.7546279934038642</v>
      </c>
      <c r="DK70" s="3">
        <f t="shared" si="65"/>
        <v>1.2400000000000007</v>
      </c>
      <c r="DL70" s="3">
        <f t="shared" si="66"/>
        <v>1.2400000000000007</v>
      </c>
      <c r="DM70" s="3">
        <f t="shared" si="19"/>
        <v>4.7546279934038642</v>
      </c>
      <c r="DP70" s="3">
        <f t="shared" si="67"/>
        <v>1.2400000000000007</v>
      </c>
      <c r="DQ70" s="14">
        <f t="shared" si="68"/>
        <v>1.2400000000000007</v>
      </c>
      <c r="DR70" s="3">
        <f t="shared" si="20"/>
        <v>4.7546279934038642</v>
      </c>
      <c r="DU70" s="3">
        <f t="shared" si="69"/>
        <v>1.2400000000000007</v>
      </c>
      <c r="DV70" s="14">
        <f t="shared" si="70"/>
        <v>1.2400000000000007</v>
      </c>
      <c r="DW70" s="3">
        <f t="shared" si="21"/>
        <v>4.7546279934038642</v>
      </c>
      <c r="DZ70" s="3">
        <f t="shared" si="71"/>
        <v>1.2400000000000007</v>
      </c>
      <c r="EA70" s="3">
        <f t="shared" si="72"/>
        <v>1.2400000000000007</v>
      </c>
      <c r="EB70" s="3">
        <f t="shared" si="22"/>
        <v>4.7546279934038642</v>
      </c>
      <c r="EE70" s="3">
        <f t="shared" si="73"/>
        <v>1.2400000000000007</v>
      </c>
      <c r="EF70" s="14">
        <f t="shared" si="74"/>
        <v>1.2400000000000007</v>
      </c>
      <c r="EG70" s="3">
        <f t="shared" si="23"/>
        <v>4.7546279934038642</v>
      </c>
      <c r="EJ70" s="3">
        <f t="shared" si="75"/>
        <v>1.2400000000000007</v>
      </c>
      <c r="EK70" s="14">
        <f t="shared" si="76"/>
        <v>1.2400000000000007</v>
      </c>
      <c r="EL70" s="3">
        <f t="shared" si="24"/>
        <v>4.7546279934038642</v>
      </c>
      <c r="EO70" s="3">
        <f t="shared" si="77"/>
        <v>1.2400000000000007</v>
      </c>
      <c r="EP70" s="3">
        <f t="shared" si="78"/>
        <v>1.2400000000000007</v>
      </c>
      <c r="EQ70" s="3">
        <f t="shared" si="25"/>
        <v>4.7546279934038642</v>
      </c>
      <c r="ET70" s="3">
        <f t="shared" si="79"/>
        <v>1.2400000000000007</v>
      </c>
      <c r="EU70" s="14">
        <f t="shared" si="80"/>
        <v>1.2400000000000007</v>
      </c>
      <c r="EV70" s="3">
        <f t="shared" si="26"/>
        <v>4.7546279934038642</v>
      </c>
    </row>
    <row r="71" spans="20:152" s="3" customFormat="1" x14ac:dyDescent="0.25">
      <c r="T71" s="3">
        <f t="shared" si="27"/>
        <v>1.2600000000000007</v>
      </c>
      <c r="U71" s="14">
        <f t="shared" si="28"/>
        <v>1.2600000000000007</v>
      </c>
      <c r="V71" s="3">
        <f t="shared" si="0"/>
        <v>4.7427715843057765</v>
      </c>
      <c r="Y71" s="3">
        <f t="shared" si="29"/>
        <v>1.2600000000000007</v>
      </c>
      <c r="Z71" s="3">
        <f t="shared" si="30"/>
        <v>1.2600000000000007</v>
      </c>
      <c r="AA71" s="3">
        <f t="shared" si="1"/>
        <v>4.7427715843057765</v>
      </c>
      <c r="AD71" s="3">
        <f t="shared" si="31"/>
        <v>1.2600000000000007</v>
      </c>
      <c r="AE71" s="14">
        <f t="shared" si="32"/>
        <v>1.2600000000000007</v>
      </c>
      <c r="AF71" s="3">
        <f t="shared" si="2"/>
        <v>4.7427715843057765</v>
      </c>
      <c r="AI71" s="3">
        <f t="shared" si="33"/>
        <v>1.2600000000000007</v>
      </c>
      <c r="AJ71" s="14">
        <f t="shared" si="34"/>
        <v>1.2600000000000007</v>
      </c>
      <c r="AK71" s="3">
        <f t="shared" si="3"/>
        <v>4.7427715843057765</v>
      </c>
      <c r="AN71" s="3">
        <f t="shared" si="35"/>
        <v>1.2600000000000007</v>
      </c>
      <c r="AO71" s="3">
        <f t="shared" si="36"/>
        <v>1.2600000000000007</v>
      </c>
      <c r="AP71" s="3">
        <f t="shared" si="4"/>
        <v>4.7427715843057765</v>
      </c>
      <c r="AS71" s="3">
        <f t="shared" si="37"/>
        <v>1.2600000000000007</v>
      </c>
      <c r="AT71" s="14">
        <f t="shared" si="38"/>
        <v>1.2600000000000007</v>
      </c>
      <c r="AU71" s="3">
        <f t="shared" si="5"/>
        <v>4.7427715843057765</v>
      </c>
      <c r="AX71" s="3">
        <f t="shared" si="39"/>
        <v>1.2600000000000007</v>
      </c>
      <c r="AY71" s="14">
        <f t="shared" si="40"/>
        <v>1.2600000000000007</v>
      </c>
      <c r="AZ71" s="3">
        <f t="shared" si="6"/>
        <v>4.7427715843057765</v>
      </c>
      <c r="BC71" s="3">
        <f t="shared" si="41"/>
        <v>1.2600000000000007</v>
      </c>
      <c r="BD71" s="3">
        <f t="shared" si="42"/>
        <v>1.2600000000000007</v>
      </c>
      <c r="BE71" s="3">
        <f t="shared" si="7"/>
        <v>4.7427715843057765</v>
      </c>
      <c r="BH71" s="3">
        <f t="shared" si="43"/>
        <v>1.2600000000000007</v>
      </c>
      <c r="BI71" s="14">
        <f t="shared" si="44"/>
        <v>1.2600000000000007</v>
      </c>
      <c r="BJ71" s="3">
        <f t="shared" si="8"/>
        <v>4.7427715843057765</v>
      </c>
      <c r="BM71" s="3">
        <f t="shared" si="45"/>
        <v>1.2600000000000007</v>
      </c>
      <c r="BN71" s="14">
        <f t="shared" si="46"/>
        <v>1.2600000000000007</v>
      </c>
      <c r="BO71" s="3">
        <f t="shared" si="9"/>
        <v>4.7427715843057765</v>
      </c>
      <c r="BR71" s="3">
        <f t="shared" si="47"/>
        <v>1.2600000000000007</v>
      </c>
      <c r="BS71" s="3">
        <f t="shared" si="48"/>
        <v>1.2600000000000007</v>
      </c>
      <c r="BT71" s="3">
        <f t="shared" si="10"/>
        <v>4.7427715843057765</v>
      </c>
      <c r="BW71" s="3">
        <f t="shared" si="49"/>
        <v>1.2600000000000007</v>
      </c>
      <c r="BX71" s="14">
        <f t="shared" si="50"/>
        <v>1.2600000000000007</v>
      </c>
      <c r="BY71" s="3">
        <f t="shared" si="11"/>
        <v>4.7427715843057765</v>
      </c>
      <c r="CB71" s="3">
        <f t="shared" si="51"/>
        <v>1.2600000000000007</v>
      </c>
      <c r="CC71" s="14">
        <f t="shared" si="52"/>
        <v>1.2600000000000007</v>
      </c>
      <c r="CD71" s="3">
        <f t="shared" si="12"/>
        <v>4.7427715843057765</v>
      </c>
      <c r="CG71" s="3">
        <f t="shared" si="53"/>
        <v>1.2600000000000007</v>
      </c>
      <c r="CH71" s="3">
        <f t="shared" si="54"/>
        <v>1.2600000000000007</v>
      </c>
      <c r="CI71" s="3">
        <f t="shared" si="13"/>
        <v>4.7427715843057765</v>
      </c>
      <c r="CL71" s="3">
        <f t="shared" si="55"/>
        <v>1.2600000000000007</v>
      </c>
      <c r="CM71" s="14">
        <f t="shared" si="56"/>
        <v>1.2600000000000007</v>
      </c>
      <c r="CN71" s="3">
        <f t="shared" si="14"/>
        <v>4.7427715843057765</v>
      </c>
      <c r="CQ71" s="3">
        <f t="shared" si="57"/>
        <v>1.2600000000000007</v>
      </c>
      <c r="CR71" s="14">
        <f t="shared" si="58"/>
        <v>1.2600000000000007</v>
      </c>
      <c r="CS71" s="3">
        <f t="shared" si="15"/>
        <v>4.7427715843057765</v>
      </c>
      <c r="CV71" s="3">
        <f t="shared" si="59"/>
        <v>1.2600000000000007</v>
      </c>
      <c r="CW71" s="3">
        <f t="shared" si="60"/>
        <v>1.2600000000000007</v>
      </c>
      <c r="CX71" s="3">
        <f t="shared" si="16"/>
        <v>4.7427715843057765</v>
      </c>
      <c r="DA71" s="3">
        <f t="shared" si="61"/>
        <v>1.2600000000000007</v>
      </c>
      <c r="DB71" s="14">
        <f t="shared" si="62"/>
        <v>1.2600000000000007</v>
      </c>
      <c r="DC71" s="3">
        <f t="shared" si="17"/>
        <v>4.7427715843057765</v>
      </c>
      <c r="DF71" s="3">
        <f t="shared" si="63"/>
        <v>1.2600000000000007</v>
      </c>
      <c r="DG71" s="14">
        <f t="shared" si="64"/>
        <v>1.2600000000000007</v>
      </c>
      <c r="DH71" s="3">
        <f t="shared" si="18"/>
        <v>4.7427715843057765</v>
      </c>
      <c r="DK71" s="3">
        <f t="shared" si="65"/>
        <v>1.2600000000000007</v>
      </c>
      <c r="DL71" s="3">
        <f t="shared" si="66"/>
        <v>1.2600000000000007</v>
      </c>
      <c r="DM71" s="3">
        <f t="shared" si="19"/>
        <v>4.7427715843057765</v>
      </c>
      <c r="DP71" s="3">
        <f t="shared" si="67"/>
        <v>1.2600000000000007</v>
      </c>
      <c r="DQ71" s="14">
        <f t="shared" si="68"/>
        <v>1.2600000000000007</v>
      </c>
      <c r="DR71" s="3">
        <f t="shared" si="20"/>
        <v>4.7427715843057765</v>
      </c>
      <c r="DU71" s="3">
        <f t="shared" si="69"/>
        <v>1.2600000000000007</v>
      </c>
      <c r="DV71" s="14">
        <f t="shared" si="70"/>
        <v>1.2600000000000007</v>
      </c>
      <c r="DW71" s="3">
        <f t="shared" si="21"/>
        <v>4.7427715843057765</v>
      </c>
      <c r="DZ71" s="3">
        <f t="shared" si="71"/>
        <v>1.2600000000000007</v>
      </c>
      <c r="EA71" s="3">
        <f t="shared" si="72"/>
        <v>1.2600000000000007</v>
      </c>
      <c r="EB71" s="3">
        <f t="shared" si="22"/>
        <v>4.7427715843057765</v>
      </c>
      <c r="EE71" s="3">
        <f t="shared" si="73"/>
        <v>1.2600000000000007</v>
      </c>
      <c r="EF71" s="14">
        <f t="shared" si="74"/>
        <v>1.2600000000000007</v>
      </c>
      <c r="EG71" s="3">
        <f t="shared" si="23"/>
        <v>4.7427715843057765</v>
      </c>
      <c r="EJ71" s="3">
        <f t="shared" si="75"/>
        <v>1.2600000000000007</v>
      </c>
      <c r="EK71" s="14">
        <f t="shared" si="76"/>
        <v>1.2600000000000007</v>
      </c>
      <c r="EL71" s="3">
        <f t="shared" si="24"/>
        <v>4.7427715843057765</v>
      </c>
      <c r="EO71" s="3">
        <f t="shared" si="77"/>
        <v>1.2600000000000007</v>
      </c>
      <c r="EP71" s="3">
        <f t="shared" si="78"/>
        <v>1.2600000000000007</v>
      </c>
      <c r="EQ71" s="3">
        <f t="shared" si="25"/>
        <v>4.7427715843057765</v>
      </c>
      <c r="ET71" s="3">
        <f t="shared" si="79"/>
        <v>1.2600000000000007</v>
      </c>
      <c r="EU71" s="14">
        <f t="shared" si="80"/>
        <v>1.2600000000000007</v>
      </c>
      <c r="EV71" s="3">
        <f t="shared" si="26"/>
        <v>4.7427715843057765</v>
      </c>
    </row>
    <row r="72" spans="20:152" s="3" customFormat="1" x14ac:dyDescent="0.25">
      <c r="T72" s="3">
        <f t="shared" si="27"/>
        <v>1.2800000000000007</v>
      </c>
      <c r="U72" s="14">
        <f t="shared" si="28"/>
        <v>1.2800000000000007</v>
      </c>
      <c r="V72" s="3">
        <f t="shared" ref="V72:V108" si="81">T72*TAN(RADIANS(X$7))-(IF($B$4, 9.807, 32.174)*T72^2)/(2*W$7^2*COS(RADIANS(X$7))^2)+$D$7</f>
        <v>4.72820666247984</v>
      </c>
      <c r="Y72" s="3">
        <f t="shared" si="29"/>
        <v>1.2800000000000007</v>
      </c>
      <c r="Z72" s="3">
        <f t="shared" si="30"/>
        <v>1.2800000000000007</v>
      </c>
      <c r="AA72" s="3">
        <f t="shared" ref="AA72:AA108" si="82">Y72*TAN(RADIANS(AC$7))-(IF($B$4, 9.807, 32.174)*Y72^2)/(2*AB$7^2*COS(RADIANS(AC$7))^2)+$D$7</f>
        <v>4.72820666247984</v>
      </c>
      <c r="AD72" s="3">
        <f t="shared" si="31"/>
        <v>1.2800000000000007</v>
      </c>
      <c r="AE72" s="14">
        <f t="shared" si="32"/>
        <v>1.2800000000000007</v>
      </c>
      <c r="AF72" s="3">
        <f t="shared" ref="AF72:AF108" si="83">AD72*TAN(RADIANS(AH$7))-(IF($B$4, 9.807, 32.174)*AD72^2)/(2*AG$7^2*COS(RADIANS(AH$7))^2)+$D$7</f>
        <v>4.72820666247984</v>
      </c>
      <c r="AI72" s="3">
        <f t="shared" si="33"/>
        <v>1.2800000000000007</v>
      </c>
      <c r="AJ72" s="14">
        <f t="shared" si="34"/>
        <v>1.2800000000000007</v>
      </c>
      <c r="AK72" s="3">
        <f t="shared" ref="AK72:AK108" si="84">AI72*TAN(RADIANS(AM$7))-(IF($B$4, 9.807, 32.174)*AI72^2)/(2*AL$7^2*COS(RADIANS(AM$7))^2)+$D$7</f>
        <v>4.72820666247984</v>
      </c>
      <c r="AN72" s="3">
        <f t="shared" si="35"/>
        <v>1.2800000000000007</v>
      </c>
      <c r="AO72" s="3">
        <f t="shared" si="36"/>
        <v>1.2800000000000007</v>
      </c>
      <c r="AP72" s="3">
        <f t="shared" ref="AP72:AP108" si="85">AN72*TAN(RADIANS(AR$7))-(IF($B$4, 9.807, 32.174)*AN72^2)/(2*AQ$7^2*COS(RADIANS(AR$7))^2)+$D$7</f>
        <v>4.72820666247984</v>
      </c>
      <c r="AS72" s="3">
        <f t="shared" si="37"/>
        <v>1.2800000000000007</v>
      </c>
      <c r="AT72" s="14">
        <f t="shared" si="38"/>
        <v>1.2800000000000007</v>
      </c>
      <c r="AU72" s="3">
        <f t="shared" ref="AU72:AU108" si="86">AS72*TAN(RADIANS(AW$7))-(IF($B$4, 9.807, 32.174)*AS72^2)/(2*AV$7^2*COS(RADIANS(AW$7))^2)+$D$7</f>
        <v>4.72820666247984</v>
      </c>
      <c r="AX72" s="3">
        <f t="shared" si="39"/>
        <v>1.2800000000000007</v>
      </c>
      <c r="AY72" s="14">
        <f t="shared" si="40"/>
        <v>1.2800000000000007</v>
      </c>
      <c r="AZ72" s="3">
        <f t="shared" ref="AZ72:AZ108" si="87">AX72*TAN(RADIANS(BB$7))-(IF($B$4, 9.807, 32.174)*AX72^2)/(2*BA$7^2*COS(RADIANS(BB$7))^2)+$D$7</f>
        <v>4.72820666247984</v>
      </c>
      <c r="BC72" s="3">
        <f t="shared" si="41"/>
        <v>1.2800000000000007</v>
      </c>
      <c r="BD72" s="3">
        <f t="shared" si="42"/>
        <v>1.2800000000000007</v>
      </c>
      <c r="BE72" s="3">
        <f t="shared" ref="BE72:BE108" si="88">BC72*TAN(RADIANS(BG$7))-(IF($B$4, 9.807, 32.174)*BC72^2)/(2*BF$7^2*COS(RADIANS(BG$7))^2)+$D$7</f>
        <v>4.72820666247984</v>
      </c>
      <c r="BH72" s="3">
        <f t="shared" si="43"/>
        <v>1.2800000000000007</v>
      </c>
      <c r="BI72" s="14">
        <f t="shared" si="44"/>
        <v>1.2800000000000007</v>
      </c>
      <c r="BJ72" s="3">
        <f t="shared" ref="BJ72:BJ108" si="89">BH72*TAN(RADIANS(BL$7))-(IF($B$4, 9.807, 32.174)*BH72^2)/(2*BK$7^2*COS(RADIANS(BL$7))^2)+$D$7</f>
        <v>4.72820666247984</v>
      </c>
      <c r="BM72" s="3">
        <f t="shared" si="45"/>
        <v>1.2800000000000007</v>
      </c>
      <c r="BN72" s="14">
        <f t="shared" si="46"/>
        <v>1.2800000000000007</v>
      </c>
      <c r="BO72" s="3">
        <f t="shared" ref="BO72:BO108" si="90">BM72*TAN(RADIANS(BQ$7))-(IF($B$4, 9.807, 32.174)*BM72^2)/(2*BP$7^2*COS(RADIANS(BQ$7))^2)+$D$7</f>
        <v>4.72820666247984</v>
      </c>
      <c r="BR72" s="3">
        <f t="shared" si="47"/>
        <v>1.2800000000000007</v>
      </c>
      <c r="BS72" s="3">
        <f t="shared" si="48"/>
        <v>1.2800000000000007</v>
      </c>
      <c r="BT72" s="3">
        <f t="shared" ref="BT72:BT108" si="91">BR72*TAN(RADIANS(BV$7))-(IF($B$4, 9.807, 32.174)*BR72^2)/(2*BU$7^2*COS(RADIANS(BV$7))^2)+$D$7</f>
        <v>4.72820666247984</v>
      </c>
      <c r="BW72" s="3">
        <f t="shared" si="49"/>
        <v>1.2800000000000007</v>
      </c>
      <c r="BX72" s="14">
        <f t="shared" si="50"/>
        <v>1.2800000000000007</v>
      </c>
      <c r="BY72" s="3">
        <f t="shared" ref="BY72:BY108" si="92">BW72*TAN(RADIANS(CA$7))-(IF($B$4, 9.807, 32.174)*BW72^2)/(2*BZ$7^2*COS(RADIANS(CA$7))^2)+$D$7</f>
        <v>4.72820666247984</v>
      </c>
      <c r="CB72" s="3">
        <f t="shared" si="51"/>
        <v>1.2800000000000007</v>
      </c>
      <c r="CC72" s="14">
        <f t="shared" si="52"/>
        <v>1.2800000000000007</v>
      </c>
      <c r="CD72" s="3">
        <f t="shared" ref="CD72:CD108" si="93">CB72*TAN(RADIANS(CF$7))-(IF($B$4, 9.807, 32.174)*CB72^2)/(2*CE$7^2*COS(RADIANS(CF$7))^2)+$D$7</f>
        <v>4.72820666247984</v>
      </c>
      <c r="CG72" s="3">
        <f t="shared" si="53"/>
        <v>1.2800000000000007</v>
      </c>
      <c r="CH72" s="3">
        <f t="shared" si="54"/>
        <v>1.2800000000000007</v>
      </c>
      <c r="CI72" s="3">
        <f t="shared" ref="CI72:CI108" si="94">CG72*TAN(RADIANS(CK$7))-(IF($B$4, 9.807, 32.174)*CG72^2)/(2*CJ$7^2*COS(RADIANS(CK$7))^2)+$D$7</f>
        <v>4.72820666247984</v>
      </c>
      <c r="CL72" s="3">
        <f t="shared" si="55"/>
        <v>1.2800000000000007</v>
      </c>
      <c r="CM72" s="14">
        <f t="shared" si="56"/>
        <v>1.2800000000000007</v>
      </c>
      <c r="CN72" s="3">
        <f t="shared" ref="CN72:CN108" si="95">CL72*TAN(RADIANS(CP$7))-(IF($B$4, 9.807, 32.174)*CL72^2)/(2*CO$7^2*COS(RADIANS(CP$7))^2)+$D$7</f>
        <v>4.72820666247984</v>
      </c>
      <c r="CQ72" s="3">
        <f t="shared" si="57"/>
        <v>1.2800000000000007</v>
      </c>
      <c r="CR72" s="14">
        <f t="shared" si="58"/>
        <v>1.2800000000000007</v>
      </c>
      <c r="CS72" s="3">
        <f t="shared" ref="CS72:CS108" si="96">CQ72*TAN(RADIANS(CU$7))-(IF($B$4, 9.807, 32.174)*CQ72^2)/(2*CT$7^2*COS(RADIANS(CU$7))^2)+$D$7</f>
        <v>4.72820666247984</v>
      </c>
      <c r="CV72" s="3">
        <f t="shared" si="59"/>
        <v>1.2800000000000007</v>
      </c>
      <c r="CW72" s="3">
        <f t="shared" si="60"/>
        <v>1.2800000000000007</v>
      </c>
      <c r="CX72" s="3">
        <f t="shared" ref="CX72:CX108" si="97">CV72*TAN(RADIANS(CZ$7))-(IF($B$4, 9.807, 32.174)*CV72^2)/(2*CY$7^2*COS(RADIANS(CZ$7))^2)+$D$7</f>
        <v>4.72820666247984</v>
      </c>
      <c r="DA72" s="3">
        <f t="shared" si="61"/>
        <v>1.2800000000000007</v>
      </c>
      <c r="DB72" s="14">
        <f t="shared" si="62"/>
        <v>1.2800000000000007</v>
      </c>
      <c r="DC72" s="3">
        <f t="shared" ref="DC72:DC108" si="98">DA72*TAN(RADIANS(DE$7))-(IF($B$4, 9.807, 32.174)*DA72^2)/(2*DD$7^2*COS(RADIANS(DE$7))^2)+$D$7</f>
        <v>4.72820666247984</v>
      </c>
      <c r="DF72" s="3">
        <f t="shared" si="63"/>
        <v>1.2800000000000007</v>
      </c>
      <c r="DG72" s="14">
        <f t="shared" si="64"/>
        <v>1.2800000000000007</v>
      </c>
      <c r="DH72" s="3">
        <f t="shared" ref="DH72:DH108" si="99">DF72*TAN(RADIANS(DJ$7))-(IF($B$4, 9.807, 32.174)*DF72^2)/(2*DI$7^2*COS(RADIANS(DJ$7))^2)+$D$7</f>
        <v>4.72820666247984</v>
      </c>
      <c r="DK72" s="3">
        <f t="shared" si="65"/>
        <v>1.2800000000000007</v>
      </c>
      <c r="DL72" s="3">
        <f t="shared" si="66"/>
        <v>1.2800000000000007</v>
      </c>
      <c r="DM72" s="3">
        <f t="shared" ref="DM72:DM108" si="100">DK72*TAN(RADIANS(DO$7))-(IF($B$4, 9.807, 32.174)*DK72^2)/(2*DN$7^2*COS(RADIANS(DO$7))^2)+$D$7</f>
        <v>4.72820666247984</v>
      </c>
      <c r="DP72" s="3">
        <f t="shared" si="67"/>
        <v>1.2800000000000007</v>
      </c>
      <c r="DQ72" s="14">
        <f t="shared" si="68"/>
        <v>1.2800000000000007</v>
      </c>
      <c r="DR72" s="3">
        <f t="shared" ref="DR72:DR108" si="101">DP72*TAN(RADIANS(DT$7))-(IF($B$4, 9.807, 32.174)*DP72^2)/(2*DS$7^2*COS(RADIANS(DT$7))^2)+$D$7</f>
        <v>4.72820666247984</v>
      </c>
      <c r="DU72" s="3">
        <f t="shared" si="69"/>
        <v>1.2800000000000007</v>
      </c>
      <c r="DV72" s="14">
        <f t="shared" si="70"/>
        <v>1.2800000000000007</v>
      </c>
      <c r="DW72" s="3">
        <f t="shared" ref="DW72:DW108" si="102">DU72*TAN(RADIANS(DY$7))-(IF($B$4, 9.807, 32.174)*DU72^2)/(2*DX$7^2*COS(RADIANS(DY$7))^2)+$D$7</f>
        <v>4.72820666247984</v>
      </c>
      <c r="DZ72" s="3">
        <f t="shared" si="71"/>
        <v>1.2800000000000007</v>
      </c>
      <c r="EA72" s="3">
        <f t="shared" si="72"/>
        <v>1.2800000000000007</v>
      </c>
      <c r="EB72" s="3">
        <f t="shared" ref="EB72:EB108" si="103">DZ72*TAN(RADIANS(ED$7))-(IF($B$4, 9.807, 32.174)*DZ72^2)/(2*EC$7^2*COS(RADIANS(ED$7))^2)+$D$7</f>
        <v>4.72820666247984</v>
      </c>
      <c r="EE72" s="3">
        <f t="shared" si="73"/>
        <v>1.2800000000000007</v>
      </c>
      <c r="EF72" s="14">
        <f t="shared" si="74"/>
        <v>1.2800000000000007</v>
      </c>
      <c r="EG72" s="3">
        <f t="shared" ref="EG72:EG108" si="104">EE72*TAN(RADIANS(EI$7))-(IF($B$4, 9.807, 32.174)*EE72^2)/(2*EH$7^2*COS(RADIANS(EI$7))^2)+$D$7</f>
        <v>4.72820666247984</v>
      </c>
      <c r="EJ72" s="3">
        <f t="shared" si="75"/>
        <v>1.2800000000000007</v>
      </c>
      <c r="EK72" s="14">
        <f t="shared" si="76"/>
        <v>1.2800000000000007</v>
      </c>
      <c r="EL72" s="3">
        <f t="shared" ref="EL72:EL108" si="105">EJ72*TAN(RADIANS(EN$7))-(IF($B$4, 9.807, 32.174)*EJ72^2)/(2*EM$7^2*COS(RADIANS(EN$7))^2)+$D$7</f>
        <v>4.72820666247984</v>
      </c>
      <c r="EO72" s="3">
        <f t="shared" si="77"/>
        <v>1.2800000000000007</v>
      </c>
      <c r="EP72" s="3">
        <f t="shared" si="78"/>
        <v>1.2800000000000007</v>
      </c>
      <c r="EQ72" s="3">
        <f t="shared" ref="EQ72:EQ108" si="106">EO72*TAN(RADIANS(ES$7))-(IF($B$4, 9.807, 32.174)*EO72^2)/(2*ER$7^2*COS(RADIANS(ES$7))^2)+$D$7</f>
        <v>4.72820666247984</v>
      </c>
      <c r="ET72" s="3">
        <f t="shared" si="79"/>
        <v>1.2800000000000007</v>
      </c>
      <c r="EU72" s="14">
        <f t="shared" si="80"/>
        <v>1.2800000000000007</v>
      </c>
      <c r="EV72" s="3">
        <f t="shared" ref="EV72:EV108" si="107">ET72*TAN(RADIANS(EX$7))-(IF($B$4, 9.807, 32.174)*ET72^2)/(2*EW$7^2*COS(RADIANS(EX$7))^2)+$D$7</f>
        <v>4.72820666247984</v>
      </c>
    </row>
    <row r="73" spans="20:152" s="3" customFormat="1" x14ac:dyDescent="0.25">
      <c r="T73" s="3">
        <f t="shared" ref="T73:T108" si="108">T72+T$7/100</f>
        <v>1.3000000000000007</v>
      </c>
      <c r="U73" s="14">
        <f t="shared" ref="U73:U108" si="109">T73+IF($I$3="Forward", $D$9, $G$9)</f>
        <v>1.3000000000000007</v>
      </c>
      <c r="V73" s="3">
        <f t="shared" si="81"/>
        <v>4.7109332279260574</v>
      </c>
      <c r="Y73" s="3">
        <f t="shared" ref="Y73:Y108" si="110">Y72+Y$7/100</f>
        <v>1.3000000000000007</v>
      </c>
      <c r="Z73" s="3">
        <f t="shared" ref="Z73:Z108" si="111">Y73</f>
        <v>1.3000000000000007</v>
      </c>
      <c r="AA73" s="3">
        <f t="shared" si="82"/>
        <v>4.7109332279260574</v>
      </c>
      <c r="AD73" s="3">
        <f t="shared" ref="AD73:AD108" si="112">AD72+AD$7/100</f>
        <v>1.3000000000000007</v>
      </c>
      <c r="AE73" s="14">
        <f t="shared" ref="AE73:AE108" si="113">AD73-IF($I$3="Forward", $D$9, $G$9)</f>
        <v>1.3000000000000007</v>
      </c>
      <c r="AF73" s="3">
        <f t="shared" si="83"/>
        <v>4.7109332279260574</v>
      </c>
      <c r="AI73" s="3">
        <f t="shared" ref="AI73:AI108" si="114">AI72+AI$7/100</f>
        <v>1.3000000000000007</v>
      </c>
      <c r="AJ73" s="14">
        <f t="shared" ref="AJ73:AJ108" si="115">AI73+IF($I$3="Forward", $D$9, $G$9)</f>
        <v>1.3000000000000007</v>
      </c>
      <c r="AK73" s="3">
        <f t="shared" si="84"/>
        <v>4.7109332279260574</v>
      </c>
      <c r="AN73" s="3">
        <f t="shared" ref="AN73:AN108" si="116">AN72+AN$7/100</f>
        <v>1.3000000000000007</v>
      </c>
      <c r="AO73" s="3">
        <f t="shared" ref="AO73:AO108" si="117">AN73</f>
        <v>1.3000000000000007</v>
      </c>
      <c r="AP73" s="3">
        <f t="shared" si="85"/>
        <v>4.7109332279260574</v>
      </c>
      <c r="AS73" s="3">
        <f t="shared" ref="AS73:AS108" si="118">AS72+AS$7/100</f>
        <v>1.3000000000000007</v>
      </c>
      <c r="AT73" s="14">
        <f t="shared" ref="AT73:AT108" si="119">AS73-IF($I$3="Forward", $D$9, $G$9)</f>
        <v>1.3000000000000007</v>
      </c>
      <c r="AU73" s="3">
        <f t="shared" si="86"/>
        <v>4.7109332279260574</v>
      </c>
      <c r="AX73" s="3">
        <f t="shared" ref="AX73:AX108" si="120">AX72+AX$7/100</f>
        <v>1.3000000000000007</v>
      </c>
      <c r="AY73" s="14">
        <f t="shared" ref="AY73:AY108" si="121">AX73+IF($I$3="Forward", $D$9, $G$9)</f>
        <v>1.3000000000000007</v>
      </c>
      <c r="AZ73" s="3">
        <f t="shared" si="87"/>
        <v>4.7109332279260574</v>
      </c>
      <c r="BC73" s="3">
        <f t="shared" ref="BC73:BC108" si="122">BC72+BC$7/100</f>
        <v>1.3000000000000007</v>
      </c>
      <c r="BD73" s="3">
        <f t="shared" ref="BD73:BD108" si="123">BC73</f>
        <v>1.3000000000000007</v>
      </c>
      <c r="BE73" s="3">
        <f t="shared" si="88"/>
        <v>4.7109332279260574</v>
      </c>
      <c r="BH73" s="3">
        <f t="shared" ref="BH73:BH108" si="124">BH72+BH$7/100</f>
        <v>1.3000000000000007</v>
      </c>
      <c r="BI73" s="14">
        <f t="shared" ref="BI73:BI108" si="125">BH73-IF($I$3="Forward", $D$9, $G$9)</f>
        <v>1.3000000000000007</v>
      </c>
      <c r="BJ73" s="3">
        <f t="shared" si="89"/>
        <v>4.7109332279260574</v>
      </c>
      <c r="BM73" s="3">
        <f t="shared" ref="BM73:BM108" si="126">BM72+BM$7/100</f>
        <v>1.3000000000000007</v>
      </c>
      <c r="BN73" s="14">
        <f t="shared" ref="BN73:BN108" si="127">BM73+IF($I$3="Forward", $D$9, $G$9)</f>
        <v>1.3000000000000007</v>
      </c>
      <c r="BO73" s="3">
        <f t="shared" si="90"/>
        <v>4.7109332279260574</v>
      </c>
      <c r="BR73" s="3">
        <f t="shared" ref="BR73:BR108" si="128">BR72+BR$7/100</f>
        <v>1.3000000000000007</v>
      </c>
      <c r="BS73" s="3">
        <f t="shared" ref="BS73:BS108" si="129">BR73</f>
        <v>1.3000000000000007</v>
      </c>
      <c r="BT73" s="3">
        <f t="shared" si="91"/>
        <v>4.7109332279260574</v>
      </c>
      <c r="BW73" s="3">
        <f t="shared" ref="BW73:BW108" si="130">BW72+BW$7/100</f>
        <v>1.3000000000000007</v>
      </c>
      <c r="BX73" s="14">
        <f t="shared" ref="BX73:BX108" si="131">BW73-IF($I$3="Forward", $D$9, $G$9)</f>
        <v>1.3000000000000007</v>
      </c>
      <c r="BY73" s="3">
        <f t="shared" si="92"/>
        <v>4.7109332279260574</v>
      </c>
      <c r="CB73" s="3">
        <f t="shared" ref="CB73:CB108" si="132">CB72+CB$7/100</f>
        <v>1.3000000000000007</v>
      </c>
      <c r="CC73" s="14">
        <f t="shared" ref="CC73:CC108" si="133">CB73+IF($I$3="Forward", $D$9, $G$9)</f>
        <v>1.3000000000000007</v>
      </c>
      <c r="CD73" s="3">
        <f t="shared" si="93"/>
        <v>4.7109332279260574</v>
      </c>
      <c r="CG73" s="3">
        <f t="shared" ref="CG73:CG108" si="134">CG72+CG$7/100</f>
        <v>1.3000000000000007</v>
      </c>
      <c r="CH73" s="3">
        <f t="shared" ref="CH73:CH108" si="135">CG73</f>
        <v>1.3000000000000007</v>
      </c>
      <c r="CI73" s="3">
        <f t="shared" si="94"/>
        <v>4.7109332279260574</v>
      </c>
      <c r="CL73" s="3">
        <f t="shared" ref="CL73:CL108" si="136">CL72+CL$7/100</f>
        <v>1.3000000000000007</v>
      </c>
      <c r="CM73" s="14">
        <f t="shared" ref="CM73:CM108" si="137">CL73-IF($I$3="Forward", $D$9, $G$9)</f>
        <v>1.3000000000000007</v>
      </c>
      <c r="CN73" s="3">
        <f t="shared" si="95"/>
        <v>4.7109332279260574</v>
      </c>
      <c r="CQ73" s="3">
        <f t="shared" ref="CQ73:CQ108" si="138">CQ72+CQ$7/100</f>
        <v>1.3000000000000007</v>
      </c>
      <c r="CR73" s="14">
        <f t="shared" ref="CR73:CR108" si="139">CQ73+IF($I$3="Forward", $D$9, $G$9)</f>
        <v>1.3000000000000007</v>
      </c>
      <c r="CS73" s="3">
        <f t="shared" si="96"/>
        <v>4.7109332279260574</v>
      </c>
      <c r="CV73" s="3">
        <f t="shared" ref="CV73:CV108" si="140">CV72+CV$7/100</f>
        <v>1.3000000000000007</v>
      </c>
      <c r="CW73" s="3">
        <f t="shared" ref="CW73:CW108" si="141">CV73</f>
        <v>1.3000000000000007</v>
      </c>
      <c r="CX73" s="3">
        <f t="shared" si="97"/>
        <v>4.7109332279260574</v>
      </c>
      <c r="DA73" s="3">
        <f t="shared" ref="DA73:DA108" si="142">DA72+DA$7/100</f>
        <v>1.3000000000000007</v>
      </c>
      <c r="DB73" s="14">
        <f t="shared" ref="DB73:DB108" si="143">DA73-IF($I$3="Forward", $D$9, $G$9)</f>
        <v>1.3000000000000007</v>
      </c>
      <c r="DC73" s="3">
        <f t="shared" si="98"/>
        <v>4.7109332279260574</v>
      </c>
      <c r="DF73" s="3">
        <f t="shared" ref="DF73:DF108" si="144">DF72+DF$7/100</f>
        <v>1.3000000000000007</v>
      </c>
      <c r="DG73" s="14">
        <f t="shared" ref="DG73:DG108" si="145">DF73+IF($I$3="Forward", $D$9, $G$9)</f>
        <v>1.3000000000000007</v>
      </c>
      <c r="DH73" s="3">
        <f t="shared" si="99"/>
        <v>4.7109332279260574</v>
      </c>
      <c r="DK73" s="3">
        <f t="shared" ref="DK73:DK108" si="146">DK72+DK$7/100</f>
        <v>1.3000000000000007</v>
      </c>
      <c r="DL73" s="3">
        <f t="shared" ref="DL73:DL108" si="147">DK73</f>
        <v>1.3000000000000007</v>
      </c>
      <c r="DM73" s="3">
        <f t="shared" si="100"/>
        <v>4.7109332279260574</v>
      </c>
      <c r="DP73" s="3">
        <f t="shared" ref="DP73:DP108" si="148">DP72+DP$7/100</f>
        <v>1.3000000000000007</v>
      </c>
      <c r="DQ73" s="14">
        <f t="shared" ref="DQ73:DQ108" si="149">DP73-IF($I$3="Forward", $D$9, $G$9)</f>
        <v>1.3000000000000007</v>
      </c>
      <c r="DR73" s="3">
        <f t="shared" si="101"/>
        <v>4.7109332279260574</v>
      </c>
      <c r="DU73" s="3">
        <f t="shared" ref="DU73:DU108" si="150">DU72+DU$7/100</f>
        <v>1.3000000000000007</v>
      </c>
      <c r="DV73" s="14">
        <f t="shared" ref="DV73:DV108" si="151">DU73+IF($I$3="Forward", $D$9, $G$9)</f>
        <v>1.3000000000000007</v>
      </c>
      <c r="DW73" s="3">
        <f t="shared" si="102"/>
        <v>4.7109332279260574</v>
      </c>
      <c r="DZ73" s="3">
        <f t="shared" ref="DZ73:DZ108" si="152">DZ72+DZ$7/100</f>
        <v>1.3000000000000007</v>
      </c>
      <c r="EA73" s="3">
        <f t="shared" ref="EA73:EA108" si="153">DZ73</f>
        <v>1.3000000000000007</v>
      </c>
      <c r="EB73" s="3">
        <f t="shared" si="103"/>
        <v>4.7109332279260574</v>
      </c>
      <c r="EE73" s="3">
        <f t="shared" ref="EE73:EE108" si="154">EE72+EE$7/100</f>
        <v>1.3000000000000007</v>
      </c>
      <c r="EF73" s="14">
        <f t="shared" ref="EF73:EF108" si="155">EE73-IF($I$3="Forward", $D$9, $G$9)</f>
        <v>1.3000000000000007</v>
      </c>
      <c r="EG73" s="3">
        <f t="shared" si="104"/>
        <v>4.7109332279260574</v>
      </c>
      <c r="EJ73" s="3">
        <f t="shared" ref="EJ73:EJ108" si="156">EJ72+EJ$7/100</f>
        <v>1.3000000000000007</v>
      </c>
      <c r="EK73" s="14">
        <f t="shared" ref="EK73:EK108" si="157">EJ73+IF($I$3="Forward", $D$9, $G$9)</f>
        <v>1.3000000000000007</v>
      </c>
      <c r="EL73" s="3">
        <f t="shared" si="105"/>
        <v>4.7109332279260574</v>
      </c>
      <c r="EO73" s="3">
        <f t="shared" ref="EO73:EO108" si="158">EO72+EO$7/100</f>
        <v>1.3000000000000007</v>
      </c>
      <c r="EP73" s="3">
        <f t="shared" ref="EP73:EP108" si="159">EO73</f>
        <v>1.3000000000000007</v>
      </c>
      <c r="EQ73" s="3">
        <f t="shared" si="106"/>
        <v>4.7109332279260574</v>
      </c>
      <c r="ET73" s="3">
        <f t="shared" ref="ET73:ET108" si="160">ET72+ET$7/100</f>
        <v>1.3000000000000007</v>
      </c>
      <c r="EU73" s="14">
        <f t="shared" ref="EU73:EU108" si="161">ET73-IF($I$3="Forward", $D$9, $G$9)</f>
        <v>1.3000000000000007</v>
      </c>
      <c r="EV73" s="3">
        <f t="shared" si="107"/>
        <v>4.7109332279260574</v>
      </c>
    </row>
    <row r="74" spans="20:152" s="3" customFormat="1" x14ac:dyDescent="0.25">
      <c r="T74" s="3">
        <f t="shared" si="108"/>
        <v>1.3200000000000007</v>
      </c>
      <c r="U74" s="14">
        <f t="shared" si="109"/>
        <v>1.3200000000000007</v>
      </c>
      <c r="V74" s="3">
        <f t="shared" si="81"/>
        <v>4.6909512806444269</v>
      </c>
      <c r="Y74" s="3">
        <f t="shared" si="110"/>
        <v>1.3200000000000007</v>
      </c>
      <c r="Z74" s="3">
        <f t="shared" si="111"/>
        <v>1.3200000000000007</v>
      </c>
      <c r="AA74" s="3">
        <f t="shared" si="82"/>
        <v>4.6909512806444269</v>
      </c>
      <c r="AD74" s="3">
        <f t="shared" si="112"/>
        <v>1.3200000000000007</v>
      </c>
      <c r="AE74" s="14">
        <f t="shared" si="113"/>
        <v>1.3200000000000007</v>
      </c>
      <c r="AF74" s="3">
        <f t="shared" si="83"/>
        <v>4.6909512806444269</v>
      </c>
      <c r="AI74" s="3">
        <f t="shared" si="114"/>
        <v>1.3200000000000007</v>
      </c>
      <c r="AJ74" s="14">
        <f t="shared" si="115"/>
        <v>1.3200000000000007</v>
      </c>
      <c r="AK74" s="3">
        <f t="shared" si="84"/>
        <v>4.6909512806444269</v>
      </c>
      <c r="AN74" s="3">
        <f t="shared" si="116"/>
        <v>1.3200000000000007</v>
      </c>
      <c r="AO74" s="3">
        <f t="shared" si="117"/>
        <v>1.3200000000000007</v>
      </c>
      <c r="AP74" s="3">
        <f t="shared" si="85"/>
        <v>4.6909512806444269</v>
      </c>
      <c r="AS74" s="3">
        <f t="shared" si="118"/>
        <v>1.3200000000000007</v>
      </c>
      <c r="AT74" s="14">
        <f t="shared" si="119"/>
        <v>1.3200000000000007</v>
      </c>
      <c r="AU74" s="3">
        <f t="shared" si="86"/>
        <v>4.6909512806444269</v>
      </c>
      <c r="AX74" s="3">
        <f t="shared" si="120"/>
        <v>1.3200000000000007</v>
      </c>
      <c r="AY74" s="14">
        <f t="shared" si="121"/>
        <v>1.3200000000000007</v>
      </c>
      <c r="AZ74" s="3">
        <f t="shared" si="87"/>
        <v>4.6909512806444269</v>
      </c>
      <c r="BC74" s="3">
        <f t="shared" si="122"/>
        <v>1.3200000000000007</v>
      </c>
      <c r="BD74" s="3">
        <f t="shared" si="123"/>
        <v>1.3200000000000007</v>
      </c>
      <c r="BE74" s="3">
        <f t="shared" si="88"/>
        <v>4.6909512806444269</v>
      </c>
      <c r="BH74" s="3">
        <f t="shared" si="124"/>
        <v>1.3200000000000007</v>
      </c>
      <c r="BI74" s="14">
        <f t="shared" si="125"/>
        <v>1.3200000000000007</v>
      </c>
      <c r="BJ74" s="3">
        <f t="shared" si="89"/>
        <v>4.6909512806444269</v>
      </c>
      <c r="BM74" s="3">
        <f t="shared" si="126"/>
        <v>1.3200000000000007</v>
      </c>
      <c r="BN74" s="14">
        <f t="shared" si="127"/>
        <v>1.3200000000000007</v>
      </c>
      <c r="BO74" s="3">
        <f t="shared" si="90"/>
        <v>4.6909512806444269</v>
      </c>
      <c r="BR74" s="3">
        <f t="shared" si="128"/>
        <v>1.3200000000000007</v>
      </c>
      <c r="BS74" s="3">
        <f t="shared" si="129"/>
        <v>1.3200000000000007</v>
      </c>
      <c r="BT74" s="3">
        <f t="shared" si="91"/>
        <v>4.6909512806444269</v>
      </c>
      <c r="BW74" s="3">
        <f t="shared" si="130"/>
        <v>1.3200000000000007</v>
      </c>
      <c r="BX74" s="14">
        <f t="shared" si="131"/>
        <v>1.3200000000000007</v>
      </c>
      <c r="BY74" s="3">
        <f t="shared" si="92"/>
        <v>4.6909512806444269</v>
      </c>
      <c r="CB74" s="3">
        <f t="shared" si="132"/>
        <v>1.3200000000000007</v>
      </c>
      <c r="CC74" s="14">
        <f t="shared" si="133"/>
        <v>1.3200000000000007</v>
      </c>
      <c r="CD74" s="3">
        <f t="shared" si="93"/>
        <v>4.6909512806444269</v>
      </c>
      <c r="CG74" s="3">
        <f t="shared" si="134"/>
        <v>1.3200000000000007</v>
      </c>
      <c r="CH74" s="3">
        <f t="shared" si="135"/>
        <v>1.3200000000000007</v>
      </c>
      <c r="CI74" s="3">
        <f t="shared" si="94"/>
        <v>4.6909512806444269</v>
      </c>
      <c r="CL74" s="3">
        <f t="shared" si="136"/>
        <v>1.3200000000000007</v>
      </c>
      <c r="CM74" s="14">
        <f t="shared" si="137"/>
        <v>1.3200000000000007</v>
      </c>
      <c r="CN74" s="3">
        <f t="shared" si="95"/>
        <v>4.6909512806444269</v>
      </c>
      <c r="CQ74" s="3">
        <f t="shared" si="138"/>
        <v>1.3200000000000007</v>
      </c>
      <c r="CR74" s="14">
        <f t="shared" si="139"/>
        <v>1.3200000000000007</v>
      </c>
      <c r="CS74" s="3">
        <f t="shared" si="96"/>
        <v>4.6909512806444269</v>
      </c>
      <c r="CV74" s="3">
        <f t="shared" si="140"/>
        <v>1.3200000000000007</v>
      </c>
      <c r="CW74" s="3">
        <f t="shared" si="141"/>
        <v>1.3200000000000007</v>
      </c>
      <c r="CX74" s="3">
        <f t="shared" si="97"/>
        <v>4.6909512806444269</v>
      </c>
      <c r="DA74" s="3">
        <f t="shared" si="142"/>
        <v>1.3200000000000007</v>
      </c>
      <c r="DB74" s="14">
        <f t="shared" si="143"/>
        <v>1.3200000000000007</v>
      </c>
      <c r="DC74" s="3">
        <f t="shared" si="98"/>
        <v>4.6909512806444269</v>
      </c>
      <c r="DF74" s="3">
        <f t="shared" si="144"/>
        <v>1.3200000000000007</v>
      </c>
      <c r="DG74" s="14">
        <f t="shared" si="145"/>
        <v>1.3200000000000007</v>
      </c>
      <c r="DH74" s="3">
        <f t="shared" si="99"/>
        <v>4.6909512806444269</v>
      </c>
      <c r="DK74" s="3">
        <f t="shared" si="146"/>
        <v>1.3200000000000007</v>
      </c>
      <c r="DL74" s="3">
        <f t="shared" si="147"/>
        <v>1.3200000000000007</v>
      </c>
      <c r="DM74" s="3">
        <f t="shared" si="100"/>
        <v>4.6909512806444269</v>
      </c>
      <c r="DP74" s="3">
        <f t="shared" si="148"/>
        <v>1.3200000000000007</v>
      </c>
      <c r="DQ74" s="14">
        <f t="shared" si="149"/>
        <v>1.3200000000000007</v>
      </c>
      <c r="DR74" s="3">
        <f t="shared" si="101"/>
        <v>4.6909512806444269</v>
      </c>
      <c r="DU74" s="3">
        <f t="shared" si="150"/>
        <v>1.3200000000000007</v>
      </c>
      <c r="DV74" s="14">
        <f t="shared" si="151"/>
        <v>1.3200000000000007</v>
      </c>
      <c r="DW74" s="3">
        <f t="shared" si="102"/>
        <v>4.6909512806444269</v>
      </c>
      <c r="DZ74" s="3">
        <f t="shared" si="152"/>
        <v>1.3200000000000007</v>
      </c>
      <c r="EA74" s="3">
        <f t="shared" si="153"/>
        <v>1.3200000000000007</v>
      </c>
      <c r="EB74" s="3">
        <f t="shared" si="103"/>
        <v>4.6909512806444269</v>
      </c>
      <c r="EE74" s="3">
        <f t="shared" si="154"/>
        <v>1.3200000000000007</v>
      </c>
      <c r="EF74" s="14">
        <f t="shared" si="155"/>
        <v>1.3200000000000007</v>
      </c>
      <c r="EG74" s="3">
        <f t="shared" si="104"/>
        <v>4.6909512806444269</v>
      </c>
      <c r="EJ74" s="3">
        <f t="shared" si="156"/>
        <v>1.3200000000000007</v>
      </c>
      <c r="EK74" s="14">
        <f t="shared" si="157"/>
        <v>1.3200000000000007</v>
      </c>
      <c r="EL74" s="3">
        <f t="shared" si="105"/>
        <v>4.6909512806444269</v>
      </c>
      <c r="EO74" s="3">
        <f t="shared" si="158"/>
        <v>1.3200000000000007</v>
      </c>
      <c r="EP74" s="3">
        <f t="shared" si="159"/>
        <v>1.3200000000000007</v>
      </c>
      <c r="EQ74" s="3">
        <f t="shared" si="106"/>
        <v>4.6909512806444269</v>
      </c>
      <c r="ET74" s="3">
        <f t="shared" si="160"/>
        <v>1.3200000000000007</v>
      </c>
      <c r="EU74" s="14">
        <f t="shared" si="161"/>
        <v>1.3200000000000007</v>
      </c>
      <c r="EV74" s="3">
        <f t="shared" si="107"/>
        <v>4.6909512806444269</v>
      </c>
    </row>
    <row r="75" spans="20:152" s="3" customFormat="1" x14ac:dyDescent="0.25">
      <c r="T75" s="3">
        <f t="shared" si="108"/>
        <v>1.3400000000000007</v>
      </c>
      <c r="U75" s="14">
        <f t="shared" si="109"/>
        <v>1.3400000000000007</v>
      </c>
      <c r="V75" s="3">
        <f t="shared" si="81"/>
        <v>4.6682608206349512</v>
      </c>
      <c r="Y75" s="3">
        <f t="shared" si="110"/>
        <v>1.3400000000000007</v>
      </c>
      <c r="Z75" s="3">
        <f t="shared" si="111"/>
        <v>1.3400000000000007</v>
      </c>
      <c r="AA75" s="3">
        <f t="shared" si="82"/>
        <v>4.6682608206349512</v>
      </c>
      <c r="AD75" s="3">
        <f t="shared" si="112"/>
        <v>1.3400000000000007</v>
      </c>
      <c r="AE75" s="14">
        <f t="shared" si="113"/>
        <v>1.3400000000000007</v>
      </c>
      <c r="AF75" s="3">
        <f t="shared" si="83"/>
        <v>4.6682608206349512</v>
      </c>
      <c r="AI75" s="3">
        <f t="shared" si="114"/>
        <v>1.3400000000000007</v>
      </c>
      <c r="AJ75" s="14">
        <f t="shared" si="115"/>
        <v>1.3400000000000007</v>
      </c>
      <c r="AK75" s="3">
        <f t="shared" si="84"/>
        <v>4.6682608206349512</v>
      </c>
      <c r="AN75" s="3">
        <f t="shared" si="116"/>
        <v>1.3400000000000007</v>
      </c>
      <c r="AO75" s="3">
        <f t="shared" si="117"/>
        <v>1.3400000000000007</v>
      </c>
      <c r="AP75" s="3">
        <f t="shared" si="85"/>
        <v>4.6682608206349512</v>
      </c>
      <c r="AS75" s="3">
        <f t="shared" si="118"/>
        <v>1.3400000000000007</v>
      </c>
      <c r="AT75" s="14">
        <f t="shared" si="119"/>
        <v>1.3400000000000007</v>
      </c>
      <c r="AU75" s="3">
        <f t="shared" si="86"/>
        <v>4.6682608206349512</v>
      </c>
      <c r="AX75" s="3">
        <f t="shared" si="120"/>
        <v>1.3400000000000007</v>
      </c>
      <c r="AY75" s="14">
        <f t="shared" si="121"/>
        <v>1.3400000000000007</v>
      </c>
      <c r="AZ75" s="3">
        <f t="shared" si="87"/>
        <v>4.6682608206349512</v>
      </c>
      <c r="BC75" s="3">
        <f t="shared" si="122"/>
        <v>1.3400000000000007</v>
      </c>
      <c r="BD75" s="3">
        <f t="shared" si="123"/>
        <v>1.3400000000000007</v>
      </c>
      <c r="BE75" s="3">
        <f t="shared" si="88"/>
        <v>4.6682608206349512</v>
      </c>
      <c r="BH75" s="3">
        <f t="shared" si="124"/>
        <v>1.3400000000000007</v>
      </c>
      <c r="BI75" s="14">
        <f t="shared" si="125"/>
        <v>1.3400000000000007</v>
      </c>
      <c r="BJ75" s="3">
        <f t="shared" si="89"/>
        <v>4.6682608206349512</v>
      </c>
      <c r="BM75" s="3">
        <f t="shared" si="126"/>
        <v>1.3400000000000007</v>
      </c>
      <c r="BN75" s="14">
        <f t="shared" si="127"/>
        <v>1.3400000000000007</v>
      </c>
      <c r="BO75" s="3">
        <f t="shared" si="90"/>
        <v>4.6682608206349512</v>
      </c>
      <c r="BR75" s="3">
        <f t="shared" si="128"/>
        <v>1.3400000000000007</v>
      </c>
      <c r="BS75" s="3">
        <f t="shared" si="129"/>
        <v>1.3400000000000007</v>
      </c>
      <c r="BT75" s="3">
        <f t="shared" si="91"/>
        <v>4.6682608206349512</v>
      </c>
      <c r="BW75" s="3">
        <f t="shared" si="130"/>
        <v>1.3400000000000007</v>
      </c>
      <c r="BX75" s="14">
        <f t="shared" si="131"/>
        <v>1.3400000000000007</v>
      </c>
      <c r="BY75" s="3">
        <f t="shared" si="92"/>
        <v>4.6682608206349512</v>
      </c>
      <c r="CB75" s="3">
        <f t="shared" si="132"/>
        <v>1.3400000000000007</v>
      </c>
      <c r="CC75" s="14">
        <f t="shared" si="133"/>
        <v>1.3400000000000007</v>
      </c>
      <c r="CD75" s="3">
        <f t="shared" si="93"/>
        <v>4.6682608206349512</v>
      </c>
      <c r="CG75" s="3">
        <f t="shared" si="134"/>
        <v>1.3400000000000007</v>
      </c>
      <c r="CH75" s="3">
        <f t="shared" si="135"/>
        <v>1.3400000000000007</v>
      </c>
      <c r="CI75" s="3">
        <f t="shared" si="94"/>
        <v>4.6682608206349512</v>
      </c>
      <c r="CL75" s="3">
        <f t="shared" si="136"/>
        <v>1.3400000000000007</v>
      </c>
      <c r="CM75" s="14">
        <f t="shared" si="137"/>
        <v>1.3400000000000007</v>
      </c>
      <c r="CN75" s="3">
        <f t="shared" si="95"/>
        <v>4.6682608206349512</v>
      </c>
      <c r="CQ75" s="3">
        <f t="shared" si="138"/>
        <v>1.3400000000000007</v>
      </c>
      <c r="CR75" s="14">
        <f t="shared" si="139"/>
        <v>1.3400000000000007</v>
      </c>
      <c r="CS75" s="3">
        <f t="shared" si="96"/>
        <v>4.6682608206349512</v>
      </c>
      <c r="CV75" s="3">
        <f t="shared" si="140"/>
        <v>1.3400000000000007</v>
      </c>
      <c r="CW75" s="3">
        <f t="shared" si="141"/>
        <v>1.3400000000000007</v>
      </c>
      <c r="CX75" s="3">
        <f t="shared" si="97"/>
        <v>4.6682608206349512</v>
      </c>
      <c r="DA75" s="3">
        <f t="shared" si="142"/>
        <v>1.3400000000000007</v>
      </c>
      <c r="DB75" s="14">
        <f t="shared" si="143"/>
        <v>1.3400000000000007</v>
      </c>
      <c r="DC75" s="3">
        <f t="shared" si="98"/>
        <v>4.6682608206349512</v>
      </c>
      <c r="DF75" s="3">
        <f t="shared" si="144"/>
        <v>1.3400000000000007</v>
      </c>
      <c r="DG75" s="14">
        <f t="shared" si="145"/>
        <v>1.3400000000000007</v>
      </c>
      <c r="DH75" s="3">
        <f t="shared" si="99"/>
        <v>4.6682608206349512</v>
      </c>
      <c r="DK75" s="3">
        <f t="shared" si="146"/>
        <v>1.3400000000000007</v>
      </c>
      <c r="DL75" s="3">
        <f t="shared" si="147"/>
        <v>1.3400000000000007</v>
      </c>
      <c r="DM75" s="3">
        <f t="shared" si="100"/>
        <v>4.6682608206349512</v>
      </c>
      <c r="DP75" s="3">
        <f t="shared" si="148"/>
        <v>1.3400000000000007</v>
      </c>
      <c r="DQ75" s="14">
        <f t="shared" si="149"/>
        <v>1.3400000000000007</v>
      </c>
      <c r="DR75" s="3">
        <f t="shared" si="101"/>
        <v>4.6682608206349512</v>
      </c>
      <c r="DU75" s="3">
        <f t="shared" si="150"/>
        <v>1.3400000000000007</v>
      </c>
      <c r="DV75" s="14">
        <f t="shared" si="151"/>
        <v>1.3400000000000007</v>
      </c>
      <c r="DW75" s="3">
        <f t="shared" si="102"/>
        <v>4.6682608206349512</v>
      </c>
      <c r="DZ75" s="3">
        <f t="shared" si="152"/>
        <v>1.3400000000000007</v>
      </c>
      <c r="EA75" s="3">
        <f t="shared" si="153"/>
        <v>1.3400000000000007</v>
      </c>
      <c r="EB75" s="3">
        <f t="shared" si="103"/>
        <v>4.6682608206349512</v>
      </c>
      <c r="EE75" s="3">
        <f t="shared" si="154"/>
        <v>1.3400000000000007</v>
      </c>
      <c r="EF75" s="14">
        <f t="shared" si="155"/>
        <v>1.3400000000000007</v>
      </c>
      <c r="EG75" s="3">
        <f t="shared" si="104"/>
        <v>4.6682608206349512</v>
      </c>
      <c r="EJ75" s="3">
        <f t="shared" si="156"/>
        <v>1.3400000000000007</v>
      </c>
      <c r="EK75" s="14">
        <f t="shared" si="157"/>
        <v>1.3400000000000007</v>
      </c>
      <c r="EL75" s="3">
        <f t="shared" si="105"/>
        <v>4.6682608206349512</v>
      </c>
      <c r="EO75" s="3">
        <f t="shared" si="158"/>
        <v>1.3400000000000007</v>
      </c>
      <c r="EP75" s="3">
        <f t="shared" si="159"/>
        <v>1.3400000000000007</v>
      </c>
      <c r="EQ75" s="3">
        <f t="shared" si="106"/>
        <v>4.6682608206349512</v>
      </c>
      <c r="ET75" s="3">
        <f t="shared" si="160"/>
        <v>1.3400000000000007</v>
      </c>
      <c r="EU75" s="14">
        <f t="shared" si="161"/>
        <v>1.3400000000000007</v>
      </c>
      <c r="EV75" s="3">
        <f t="shared" si="107"/>
        <v>4.6682608206349512</v>
      </c>
    </row>
    <row r="76" spans="20:152" s="3" customFormat="1" x14ac:dyDescent="0.25">
      <c r="T76" s="3">
        <f t="shared" si="108"/>
        <v>1.3600000000000008</v>
      </c>
      <c r="U76" s="14">
        <f t="shared" si="109"/>
        <v>1.3600000000000008</v>
      </c>
      <c r="V76" s="3">
        <f t="shared" si="81"/>
        <v>4.6428618478976267</v>
      </c>
      <c r="Y76" s="3">
        <f t="shared" si="110"/>
        <v>1.3600000000000008</v>
      </c>
      <c r="Z76" s="3">
        <f t="shared" si="111"/>
        <v>1.3600000000000008</v>
      </c>
      <c r="AA76" s="3">
        <f t="shared" si="82"/>
        <v>4.6428618478976267</v>
      </c>
      <c r="AD76" s="3">
        <f t="shared" si="112"/>
        <v>1.3600000000000008</v>
      </c>
      <c r="AE76" s="14">
        <f t="shared" si="113"/>
        <v>1.3600000000000008</v>
      </c>
      <c r="AF76" s="3">
        <f t="shared" si="83"/>
        <v>4.6428618478976267</v>
      </c>
      <c r="AI76" s="3">
        <f t="shared" si="114"/>
        <v>1.3600000000000008</v>
      </c>
      <c r="AJ76" s="14">
        <f t="shared" si="115"/>
        <v>1.3600000000000008</v>
      </c>
      <c r="AK76" s="3">
        <f t="shared" si="84"/>
        <v>4.6428618478976267</v>
      </c>
      <c r="AN76" s="3">
        <f t="shared" si="116"/>
        <v>1.3600000000000008</v>
      </c>
      <c r="AO76" s="3">
        <f t="shared" si="117"/>
        <v>1.3600000000000008</v>
      </c>
      <c r="AP76" s="3">
        <f t="shared" si="85"/>
        <v>4.6428618478976267</v>
      </c>
      <c r="AS76" s="3">
        <f t="shared" si="118"/>
        <v>1.3600000000000008</v>
      </c>
      <c r="AT76" s="14">
        <f t="shared" si="119"/>
        <v>1.3600000000000008</v>
      </c>
      <c r="AU76" s="3">
        <f t="shared" si="86"/>
        <v>4.6428618478976267</v>
      </c>
      <c r="AX76" s="3">
        <f t="shared" si="120"/>
        <v>1.3600000000000008</v>
      </c>
      <c r="AY76" s="14">
        <f t="shared" si="121"/>
        <v>1.3600000000000008</v>
      </c>
      <c r="AZ76" s="3">
        <f t="shared" si="87"/>
        <v>4.6428618478976267</v>
      </c>
      <c r="BC76" s="3">
        <f t="shared" si="122"/>
        <v>1.3600000000000008</v>
      </c>
      <c r="BD76" s="3">
        <f t="shared" si="123"/>
        <v>1.3600000000000008</v>
      </c>
      <c r="BE76" s="3">
        <f t="shared" si="88"/>
        <v>4.6428618478976267</v>
      </c>
      <c r="BH76" s="3">
        <f t="shared" si="124"/>
        <v>1.3600000000000008</v>
      </c>
      <c r="BI76" s="14">
        <f t="shared" si="125"/>
        <v>1.3600000000000008</v>
      </c>
      <c r="BJ76" s="3">
        <f t="shared" si="89"/>
        <v>4.6428618478976267</v>
      </c>
      <c r="BM76" s="3">
        <f t="shared" si="126"/>
        <v>1.3600000000000008</v>
      </c>
      <c r="BN76" s="14">
        <f t="shared" si="127"/>
        <v>1.3600000000000008</v>
      </c>
      <c r="BO76" s="3">
        <f t="shared" si="90"/>
        <v>4.6428618478976267</v>
      </c>
      <c r="BR76" s="3">
        <f t="shared" si="128"/>
        <v>1.3600000000000008</v>
      </c>
      <c r="BS76" s="3">
        <f t="shared" si="129"/>
        <v>1.3600000000000008</v>
      </c>
      <c r="BT76" s="3">
        <f t="shared" si="91"/>
        <v>4.6428618478976267</v>
      </c>
      <c r="BW76" s="3">
        <f t="shared" si="130"/>
        <v>1.3600000000000008</v>
      </c>
      <c r="BX76" s="14">
        <f t="shared" si="131"/>
        <v>1.3600000000000008</v>
      </c>
      <c r="BY76" s="3">
        <f t="shared" si="92"/>
        <v>4.6428618478976267</v>
      </c>
      <c r="CB76" s="3">
        <f t="shared" si="132"/>
        <v>1.3600000000000008</v>
      </c>
      <c r="CC76" s="14">
        <f t="shared" si="133"/>
        <v>1.3600000000000008</v>
      </c>
      <c r="CD76" s="3">
        <f t="shared" si="93"/>
        <v>4.6428618478976267</v>
      </c>
      <c r="CG76" s="3">
        <f t="shared" si="134"/>
        <v>1.3600000000000008</v>
      </c>
      <c r="CH76" s="3">
        <f t="shared" si="135"/>
        <v>1.3600000000000008</v>
      </c>
      <c r="CI76" s="3">
        <f t="shared" si="94"/>
        <v>4.6428618478976267</v>
      </c>
      <c r="CL76" s="3">
        <f t="shared" si="136"/>
        <v>1.3600000000000008</v>
      </c>
      <c r="CM76" s="14">
        <f t="shared" si="137"/>
        <v>1.3600000000000008</v>
      </c>
      <c r="CN76" s="3">
        <f t="shared" si="95"/>
        <v>4.6428618478976267</v>
      </c>
      <c r="CQ76" s="3">
        <f t="shared" si="138"/>
        <v>1.3600000000000008</v>
      </c>
      <c r="CR76" s="14">
        <f t="shared" si="139"/>
        <v>1.3600000000000008</v>
      </c>
      <c r="CS76" s="3">
        <f t="shared" si="96"/>
        <v>4.6428618478976267</v>
      </c>
      <c r="CV76" s="3">
        <f t="shared" si="140"/>
        <v>1.3600000000000008</v>
      </c>
      <c r="CW76" s="3">
        <f t="shared" si="141"/>
        <v>1.3600000000000008</v>
      </c>
      <c r="CX76" s="3">
        <f t="shared" si="97"/>
        <v>4.6428618478976267</v>
      </c>
      <c r="DA76" s="3">
        <f t="shared" si="142"/>
        <v>1.3600000000000008</v>
      </c>
      <c r="DB76" s="14">
        <f t="shared" si="143"/>
        <v>1.3600000000000008</v>
      </c>
      <c r="DC76" s="3">
        <f t="shared" si="98"/>
        <v>4.6428618478976267</v>
      </c>
      <c r="DF76" s="3">
        <f t="shared" si="144"/>
        <v>1.3600000000000008</v>
      </c>
      <c r="DG76" s="14">
        <f t="shared" si="145"/>
        <v>1.3600000000000008</v>
      </c>
      <c r="DH76" s="3">
        <f t="shared" si="99"/>
        <v>4.6428618478976267</v>
      </c>
      <c r="DK76" s="3">
        <f t="shared" si="146"/>
        <v>1.3600000000000008</v>
      </c>
      <c r="DL76" s="3">
        <f t="shared" si="147"/>
        <v>1.3600000000000008</v>
      </c>
      <c r="DM76" s="3">
        <f t="shared" si="100"/>
        <v>4.6428618478976267</v>
      </c>
      <c r="DP76" s="3">
        <f t="shared" si="148"/>
        <v>1.3600000000000008</v>
      </c>
      <c r="DQ76" s="14">
        <f t="shared" si="149"/>
        <v>1.3600000000000008</v>
      </c>
      <c r="DR76" s="3">
        <f t="shared" si="101"/>
        <v>4.6428618478976267</v>
      </c>
      <c r="DU76" s="3">
        <f t="shared" si="150"/>
        <v>1.3600000000000008</v>
      </c>
      <c r="DV76" s="14">
        <f t="shared" si="151"/>
        <v>1.3600000000000008</v>
      </c>
      <c r="DW76" s="3">
        <f t="shared" si="102"/>
        <v>4.6428618478976267</v>
      </c>
      <c r="DZ76" s="3">
        <f t="shared" si="152"/>
        <v>1.3600000000000008</v>
      </c>
      <c r="EA76" s="3">
        <f t="shared" si="153"/>
        <v>1.3600000000000008</v>
      </c>
      <c r="EB76" s="3">
        <f t="shared" si="103"/>
        <v>4.6428618478976267</v>
      </c>
      <c r="EE76" s="3">
        <f t="shared" si="154"/>
        <v>1.3600000000000008</v>
      </c>
      <c r="EF76" s="14">
        <f t="shared" si="155"/>
        <v>1.3600000000000008</v>
      </c>
      <c r="EG76" s="3">
        <f t="shared" si="104"/>
        <v>4.6428618478976267</v>
      </c>
      <c r="EJ76" s="3">
        <f t="shared" si="156"/>
        <v>1.3600000000000008</v>
      </c>
      <c r="EK76" s="14">
        <f t="shared" si="157"/>
        <v>1.3600000000000008</v>
      </c>
      <c r="EL76" s="3">
        <f t="shared" si="105"/>
        <v>4.6428618478976267</v>
      </c>
      <c r="EO76" s="3">
        <f t="shared" si="158"/>
        <v>1.3600000000000008</v>
      </c>
      <c r="EP76" s="3">
        <f t="shared" si="159"/>
        <v>1.3600000000000008</v>
      </c>
      <c r="EQ76" s="3">
        <f t="shared" si="106"/>
        <v>4.6428618478976267</v>
      </c>
      <c r="ET76" s="3">
        <f t="shared" si="160"/>
        <v>1.3600000000000008</v>
      </c>
      <c r="EU76" s="14">
        <f t="shared" si="161"/>
        <v>1.3600000000000008</v>
      </c>
      <c r="EV76" s="3">
        <f t="shared" si="107"/>
        <v>4.6428618478976267</v>
      </c>
    </row>
    <row r="77" spans="20:152" s="3" customFormat="1" x14ac:dyDescent="0.25">
      <c r="T77" s="3">
        <f t="shared" si="108"/>
        <v>1.3800000000000008</v>
      </c>
      <c r="U77" s="14">
        <f t="shared" si="109"/>
        <v>1.3800000000000008</v>
      </c>
      <c r="V77" s="3">
        <f t="shared" si="81"/>
        <v>4.6147543624324552</v>
      </c>
      <c r="Y77" s="3">
        <f t="shared" si="110"/>
        <v>1.3800000000000008</v>
      </c>
      <c r="Z77" s="3">
        <f t="shared" si="111"/>
        <v>1.3800000000000008</v>
      </c>
      <c r="AA77" s="3">
        <f t="shared" si="82"/>
        <v>4.6147543624324552</v>
      </c>
      <c r="AD77" s="3">
        <f t="shared" si="112"/>
        <v>1.3800000000000008</v>
      </c>
      <c r="AE77" s="14">
        <f t="shared" si="113"/>
        <v>1.3800000000000008</v>
      </c>
      <c r="AF77" s="3">
        <f t="shared" si="83"/>
        <v>4.6147543624324552</v>
      </c>
      <c r="AI77" s="3">
        <f t="shared" si="114"/>
        <v>1.3800000000000008</v>
      </c>
      <c r="AJ77" s="14">
        <f t="shared" si="115"/>
        <v>1.3800000000000008</v>
      </c>
      <c r="AK77" s="3">
        <f t="shared" si="84"/>
        <v>4.6147543624324552</v>
      </c>
      <c r="AN77" s="3">
        <f t="shared" si="116"/>
        <v>1.3800000000000008</v>
      </c>
      <c r="AO77" s="3">
        <f t="shared" si="117"/>
        <v>1.3800000000000008</v>
      </c>
      <c r="AP77" s="3">
        <f t="shared" si="85"/>
        <v>4.6147543624324552</v>
      </c>
      <c r="AS77" s="3">
        <f t="shared" si="118"/>
        <v>1.3800000000000008</v>
      </c>
      <c r="AT77" s="14">
        <f t="shared" si="119"/>
        <v>1.3800000000000008</v>
      </c>
      <c r="AU77" s="3">
        <f t="shared" si="86"/>
        <v>4.6147543624324552</v>
      </c>
      <c r="AX77" s="3">
        <f t="shared" si="120"/>
        <v>1.3800000000000008</v>
      </c>
      <c r="AY77" s="14">
        <f t="shared" si="121"/>
        <v>1.3800000000000008</v>
      </c>
      <c r="AZ77" s="3">
        <f t="shared" si="87"/>
        <v>4.6147543624324552</v>
      </c>
      <c r="BC77" s="3">
        <f t="shared" si="122"/>
        <v>1.3800000000000008</v>
      </c>
      <c r="BD77" s="3">
        <f t="shared" si="123"/>
        <v>1.3800000000000008</v>
      </c>
      <c r="BE77" s="3">
        <f t="shared" si="88"/>
        <v>4.6147543624324552</v>
      </c>
      <c r="BH77" s="3">
        <f t="shared" si="124"/>
        <v>1.3800000000000008</v>
      </c>
      <c r="BI77" s="14">
        <f t="shared" si="125"/>
        <v>1.3800000000000008</v>
      </c>
      <c r="BJ77" s="3">
        <f t="shared" si="89"/>
        <v>4.6147543624324552</v>
      </c>
      <c r="BM77" s="3">
        <f t="shared" si="126"/>
        <v>1.3800000000000008</v>
      </c>
      <c r="BN77" s="14">
        <f t="shared" si="127"/>
        <v>1.3800000000000008</v>
      </c>
      <c r="BO77" s="3">
        <f t="shared" si="90"/>
        <v>4.6147543624324552</v>
      </c>
      <c r="BR77" s="3">
        <f t="shared" si="128"/>
        <v>1.3800000000000008</v>
      </c>
      <c r="BS77" s="3">
        <f t="shared" si="129"/>
        <v>1.3800000000000008</v>
      </c>
      <c r="BT77" s="3">
        <f t="shared" si="91"/>
        <v>4.6147543624324552</v>
      </c>
      <c r="BW77" s="3">
        <f t="shared" si="130"/>
        <v>1.3800000000000008</v>
      </c>
      <c r="BX77" s="14">
        <f t="shared" si="131"/>
        <v>1.3800000000000008</v>
      </c>
      <c r="BY77" s="3">
        <f t="shared" si="92"/>
        <v>4.6147543624324552</v>
      </c>
      <c r="CB77" s="3">
        <f t="shared" si="132"/>
        <v>1.3800000000000008</v>
      </c>
      <c r="CC77" s="14">
        <f t="shared" si="133"/>
        <v>1.3800000000000008</v>
      </c>
      <c r="CD77" s="3">
        <f t="shared" si="93"/>
        <v>4.6147543624324552</v>
      </c>
      <c r="CG77" s="3">
        <f t="shared" si="134"/>
        <v>1.3800000000000008</v>
      </c>
      <c r="CH77" s="3">
        <f t="shared" si="135"/>
        <v>1.3800000000000008</v>
      </c>
      <c r="CI77" s="3">
        <f t="shared" si="94"/>
        <v>4.6147543624324552</v>
      </c>
      <c r="CL77" s="3">
        <f t="shared" si="136"/>
        <v>1.3800000000000008</v>
      </c>
      <c r="CM77" s="14">
        <f t="shared" si="137"/>
        <v>1.3800000000000008</v>
      </c>
      <c r="CN77" s="3">
        <f t="shared" si="95"/>
        <v>4.6147543624324552</v>
      </c>
      <c r="CQ77" s="3">
        <f t="shared" si="138"/>
        <v>1.3800000000000008</v>
      </c>
      <c r="CR77" s="14">
        <f t="shared" si="139"/>
        <v>1.3800000000000008</v>
      </c>
      <c r="CS77" s="3">
        <f t="shared" si="96"/>
        <v>4.6147543624324552</v>
      </c>
      <c r="CV77" s="3">
        <f t="shared" si="140"/>
        <v>1.3800000000000008</v>
      </c>
      <c r="CW77" s="3">
        <f t="shared" si="141"/>
        <v>1.3800000000000008</v>
      </c>
      <c r="CX77" s="3">
        <f t="shared" si="97"/>
        <v>4.6147543624324552</v>
      </c>
      <c r="DA77" s="3">
        <f t="shared" si="142"/>
        <v>1.3800000000000008</v>
      </c>
      <c r="DB77" s="14">
        <f t="shared" si="143"/>
        <v>1.3800000000000008</v>
      </c>
      <c r="DC77" s="3">
        <f t="shared" si="98"/>
        <v>4.6147543624324552</v>
      </c>
      <c r="DF77" s="3">
        <f t="shared" si="144"/>
        <v>1.3800000000000008</v>
      </c>
      <c r="DG77" s="14">
        <f t="shared" si="145"/>
        <v>1.3800000000000008</v>
      </c>
      <c r="DH77" s="3">
        <f t="shared" si="99"/>
        <v>4.6147543624324552</v>
      </c>
      <c r="DK77" s="3">
        <f t="shared" si="146"/>
        <v>1.3800000000000008</v>
      </c>
      <c r="DL77" s="3">
        <f t="shared" si="147"/>
        <v>1.3800000000000008</v>
      </c>
      <c r="DM77" s="3">
        <f t="shared" si="100"/>
        <v>4.6147543624324552</v>
      </c>
      <c r="DP77" s="3">
        <f t="shared" si="148"/>
        <v>1.3800000000000008</v>
      </c>
      <c r="DQ77" s="14">
        <f t="shared" si="149"/>
        <v>1.3800000000000008</v>
      </c>
      <c r="DR77" s="3">
        <f t="shared" si="101"/>
        <v>4.6147543624324552</v>
      </c>
      <c r="DU77" s="3">
        <f t="shared" si="150"/>
        <v>1.3800000000000008</v>
      </c>
      <c r="DV77" s="14">
        <f t="shared" si="151"/>
        <v>1.3800000000000008</v>
      </c>
      <c r="DW77" s="3">
        <f t="shared" si="102"/>
        <v>4.6147543624324552</v>
      </c>
      <c r="DZ77" s="3">
        <f t="shared" si="152"/>
        <v>1.3800000000000008</v>
      </c>
      <c r="EA77" s="3">
        <f t="shared" si="153"/>
        <v>1.3800000000000008</v>
      </c>
      <c r="EB77" s="3">
        <f t="shared" si="103"/>
        <v>4.6147543624324552</v>
      </c>
      <c r="EE77" s="3">
        <f t="shared" si="154"/>
        <v>1.3800000000000008</v>
      </c>
      <c r="EF77" s="14">
        <f t="shared" si="155"/>
        <v>1.3800000000000008</v>
      </c>
      <c r="EG77" s="3">
        <f t="shared" si="104"/>
        <v>4.6147543624324552</v>
      </c>
      <c r="EJ77" s="3">
        <f t="shared" si="156"/>
        <v>1.3800000000000008</v>
      </c>
      <c r="EK77" s="14">
        <f t="shared" si="157"/>
        <v>1.3800000000000008</v>
      </c>
      <c r="EL77" s="3">
        <f t="shared" si="105"/>
        <v>4.6147543624324552</v>
      </c>
      <c r="EO77" s="3">
        <f t="shared" si="158"/>
        <v>1.3800000000000008</v>
      </c>
      <c r="EP77" s="3">
        <f t="shared" si="159"/>
        <v>1.3800000000000008</v>
      </c>
      <c r="EQ77" s="3">
        <f t="shared" si="106"/>
        <v>4.6147543624324552</v>
      </c>
      <c r="ET77" s="3">
        <f t="shared" si="160"/>
        <v>1.3800000000000008</v>
      </c>
      <c r="EU77" s="14">
        <f t="shared" si="161"/>
        <v>1.3800000000000008</v>
      </c>
      <c r="EV77" s="3">
        <f t="shared" si="107"/>
        <v>4.6147543624324552</v>
      </c>
    </row>
    <row r="78" spans="20:152" s="3" customFormat="1" x14ac:dyDescent="0.25">
      <c r="T78" s="3">
        <f t="shared" si="108"/>
        <v>1.4000000000000008</v>
      </c>
      <c r="U78" s="14">
        <f t="shared" si="109"/>
        <v>1.4000000000000008</v>
      </c>
      <c r="V78" s="3">
        <f t="shared" si="81"/>
        <v>4.5839383642394385</v>
      </c>
      <c r="Y78" s="3">
        <f t="shared" si="110"/>
        <v>1.4000000000000008</v>
      </c>
      <c r="Z78" s="3">
        <f t="shared" si="111"/>
        <v>1.4000000000000008</v>
      </c>
      <c r="AA78" s="3">
        <f t="shared" si="82"/>
        <v>4.5839383642394385</v>
      </c>
      <c r="AD78" s="3">
        <f t="shared" si="112"/>
        <v>1.4000000000000008</v>
      </c>
      <c r="AE78" s="14">
        <f t="shared" si="113"/>
        <v>1.4000000000000008</v>
      </c>
      <c r="AF78" s="3">
        <f t="shared" si="83"/>
        <v>4.5839383642394385</v>
      </c>
      <c r="AI78" s="3">
        <f t="shared" si="114"/>
        <v>1.4000000000000008</v>
      </c>
      <c r="AJ78" s="14">
        <f t="shared" si="115"/>
        <v>1.4000000000000008</v>
      </c>
      <c r="AK78" s="3">
        <f t="shared" si="84"/>
        <v>4.5839383642394385</v>
      </c>
      <c r="AN78" s="3">
        <f t="shared" si="116"/>
        <v>1.4000000000000008</v>
      </c>
      <c r="AO78" s="3">
        <f t="shared" si="117"/>
        <v>1.4000000000000008</v>
      </c>
      <c r="AP78" s="3">
        <f t="shared" si="85"/>
        <v>4.5839383642394385</v>
      </c>
      <c r="AS78" s="3">
        <f t="shared" si="118"/>
        <v>1.4000000000000008</v>
      </c>
      <c r="AT78" s="14">
        <f t="shared" si="119"/>
        <v>1.4000000000000008</v>
      </c>
      <c r="AU78" s="3">
        <f t="shared" si="86"/>
        <v>4.5839383642394385</v>
      </c>
      <c r="AX78" s="3">
        <f t="shared" si="120"/>
        <v>1.4000000000000008</v>
      </c>
      <c r="AY78" s="14">
        <f t="shared" si="121"/>
        <v>1.4000000000000008</v>
      </c>
      <c r="AZ78" s="3">
        <f t="shared" si="87"/>
        <v>4.5839383642394385</v>
      </c>
      <c r="BC78" s="3">
        <f t="shared" si="122"/>
        <v>1.4000000000000008</v>
      </c>
      <c r="BD78" s="3">
        <f t="shared" si="123"/>
        <v>1.4000000000000008</v>
      </c>
      <c r="BE78" s="3">
        <f t="shared" si="88"/>
        <v>4.5839383642394385</v>
      </c>
      <c r="BH78" s="3">
        <f t="shared" si="124"/>
        <v>1.4000000000000008</v>
      </c>
      <c r="BI78" s="14">
        <f t="shared" si="125"/>
        <v>1.4000000000000008</v>
      </c>
      <c r="BJ78" s="3">
        <f t="shared" si="89"/>
        <v>4.5839383642394385</v>
      </c>
      <c r="BM78" s="3">
        <f t="shared" si="126"/>
        <v>1.4000000000000008</v>
      </c>
      <c r="BN78" s="14">
        <f t="shared" si="127"/>
        <v>1.4000000000000008</v>
      </c>
      <c r="BO78" s="3">
        <f t="shared" si="90"/>
        <v>4.5839383642394385</v>
      </c>
      <c r="BR78" s="3">
        <f t="shared" si="128"/>
        <v>1.4000000000000008</v>
      </c>
      <c r="BS78" s="3">
        <f t="shared" si="129"/>
        <v>1.4000000000000008</v>
      </c>
      <c r="BT78" s="3">
        <f t="shared" si="91"/>
        <v>4.5839383642394385</v>
      </c>
      <c r="BW78" s="3">
        <f t="shared" si="130"/>
        <v>1.4000000000000008</v>
      </c>
      <c r="BX78" s="14">
        <f t="shared" si="131"/>
        <v>1.4000000000000008</v>
      </c>
      <c r="BY78" s="3">
        <f t="shared" si="92"/>
        <v>4.5839383642394385</v>
      </c>
      <c r="CB78" s="3">
        <f t="shared" si="132"/>
        <v>1.4000000000000008</v>
      </c>
      <c r="CC78" s="14">
        <f t="shared" si="133"/>
        <v>1.4000000000000008</v>
      </c>
      <c r="CD78" s="3">
        <f t="shared" si="93"/>
        <v>4.5839383642394385</v>
      </c>
      <c r="CG78" s="3">
        <f t="shared" si="134"/>
        <v>1.4000000000000008</v>
      </c>
      <c r="CH78" s="3">
        <f t="shared" si="135"/>
        <v>1.4000000000000008</v>
      </c>
      <c r="CI78" s="3">
        <f t="shared" si="94"/>
        <v>4.5839383642394385</v>
      </c>
      <c r="CL78" s="3">
        <f t="shared" si="136"/>
        <v>1.4000000000000008</v>
      </c>
      <c r="CM78" s="14">
        <f t="shared" si="137"/>
        <v>1.4000000000000008</v>
      </c>
      <c r="CN78" s="3">
        <f t="shared" si="95"/>
        <v>4.5839383642394385</v>
      </c>
      <c r="CQ78" s="3">
        <f t="shared" si="138"/>
        <v>1.4000000000000008</v>
      </c>
      <c r="CR78" s="14">
        <f t="shared" si="139"/>
        <v>1.4000000000000008</v>
      </c>
      <c r="CS78" s="3">
        <f t="shared" si="96"/>
        <v>4.5839383642394385</v>
      </c>
      <c r="CV78" s="3">
        <f t="shared" si="140"/>
        <v>1.4000000000000008</v>
      </c>
      <c r="CW78" s="3">
        <f t="shared" si="141"/>
        <v>1.4000000000000008</v>
      </c>
      <c r="CX78" s="3">
        <f t="shared" si="97"/>
        <v>4.5839383642394385</v>
      </c>
      <c r="DA78" s="3">
        <f t="shared" si="142"/>
        <v>1.4000000000000008</v>
      </c>
      <c r="DB78" s="14">
        <f t="shared" si="143"/>
        <v>1.4000000000000008</v>
      </c>
      <c r="DC78" s="3">
        <f t="shared" si="98"/>
        <v>4.5839383642394385</v>
      </c>
      <c r="DF78" s="3">
        <f t="shared" si="144"/>
        <v>1.4000000000000008</v>
      </c>
      <c r="DG78" s="14">
        <f t="shared" si="145"/>
        <v>1.4000000000000008</v>
      </c>
      <c r="DH78" s="3">
        <f t="shared" si="99"/>
        <v>4.5839383642394385</v>
      </c>
      <c r="DK78" s="3">
        <f t="shared" si="146"/>
        <v>1.4000000000000008</v>
      </c>
      <c r="DL78" s="3">
        <f t="shared" si="147"/>
        <v>1.4000000000000008</v>
      </c>
      <c r="DM78" s="3">
        <f t="shared" si="100"/>
        <v>4.5839383642394385</v>
      </c>
      <c r="DP78" s="3">
        <f t="shared" si="148"/>
        <v>1.4000000000000008</v>
      </c>
      <c r="DQ78" s="14">
        <f t="shared" si="149"/>
        <v>1.4000000000000008</v>
      </c>
      <c r="DR78" s="3">
        <f t="shared" si="101"/>
        <v>4.5839383642394385</v>
      </c>
      <c r="DU78" s="3">
        <f t="shared" si="150"/>
        <v>1.4000000000000008</v>
      </c>
      <c r="DV78" s="14">
        <f t="shared" si="151"/>
        <v>1.4000000000000008</v>
      </c>
      <c r="DW78" s="3">
        <f t="shared" si="102"/>
        <v>4.5839383642394385</v>
      </c>
      <c r="DZ78" s="3">
        <f t="shared" si="152"/>
        <v>1.4000000000000008</v>
      </c>
      <c r="EA78" s="3">
        <f t="shared" si="153"/>
        <v>1.4000000000000008</v>
      </c>
      <c r="EB78" s="3">
        <f t="shared" si="103"/>
        <v>4.5839383642394385</v>
      </c>
      <c r="EE78" s="3">
        <f t="shared" si="154"/>
        <v>1.4000000000000008</v>
      </c>
      <c r="EF78" s="14">
        <f t="shared" si="155"/>
        <v>1.4000000000000008</v>
      </c>
      <c r="EG78" s="3">
        <f t="shared" si="104"/>
        <v>4.5839383642394385</v>
      </c>
      <c r="EJ78" s="3">
        <f t="shared" si="156"/>
        <v>1.4000000000000008</v>
      </c>
      <c r="EK78" s="14">
        <f t="shared" si="157"/>
        <v>1.4000000000000008</v>
      </c>
      <c r="EL78" s="3">
        <f t="shared" si="105"/>
        <v>4.5839383642394385</v>
      </c>
      <c r="EO78" s="3">
        <f t="shared" si="158"/>
        <v>1.4000000000000008</v>
      </c>
      <c r="EP78" s="3">
        <f t="shared" si="159"/>
        <v>1.4000000000000008</v>
      </c>
      <c r="EQ78" s="3">
        <f t="shared" si="106"/>
        <v>4.5839383642394385</v>
      </c>
      <c r="ET78" s="3">
        <f t="shared" si="160"/>
        <v>1.4000000000000008</v>
      </c>
      <c r="EU78" s="14">
        <f t="shared" si="161"/>
        <v>1.4000000000000008</v>
      </c>
      <c r="EV78" s="3">
        <f t="shared" si="107"/>
        <v>4.5839383642394385</v>
      </c>
    </row>
    <row r="79" spans="20:152" s="3" customFormat="1" x14ac:dyDescent="0.25">
      <c r="T79" s="3">
        <f t="shared" si="108"/>
        <v>1.4200000000000008</v>
      </c>
      <c r="U79" s="14">
        <f t="shared" si="109"/>
        <v>1.4200000000000008</v>
      </c>
      <c r="V79" s="3">
        <f t="shared" si="81"/>
        <v>4.550413853318573</v>
      </c>
      <c r="Y79" s="3">
        <f t="shared" si="110"/>
        <v>1.4200000000000008</v>
      </c>
      <c r="Z79" s="3">
        <f t="shared" si="111"/>
        <v>1.4200000000000008</v>
      </c>
      <c r="AA79" s="3">
        <f t="shared" si="82"/>
        <v>4.550413853318573</v>
      </c>
      <c r="AD79" s="3">
        <f t="shared" si="112"/>
        <v>1.4200000000000008</v>
      </c>
      <c r="AE79" s="14">
        <f t="shared" si="113"/>
        <v>1.4200000000000008</v>
      </c>
      <c r="AF79" s="3">
        <f t="shared" si="83"/>
        <v>4.550413853318573</v>
      </c>
      <c r="AI79" s="3">
        <f t="shared" si="114"/>
        <v>1.4200000000000008</v>
      </c>
      <c r="AJ79" s="14">
        <f t="shared" si="115"/>
        <v>1.4200000000000008</v>
      </c>
      <c r="AK79" s="3">
        <f t="shared" si="84"/>
        <v>4.550413853318573</v>
      </c>
      <c r="AN79" s="3">
        <f t="shared" si="116"/>
        <v>1.4200000000000008</v>
      </c>
      <c r="AO79" s="3">
        <f t="shared" si="117"/>
        <v>1.4200000000000008</v>
      </c>
      <c r="AP79" s="3">
        <f t="shared" si="85"/>
        <v>4.550413853318573</v>
      </c>
      <c r="AS79" s="3">
        <f t="shared" si="118"/>
        <v>1.4200000000000008</v>
      </c>
      <c r="AT79" s="14">
        <f t="shared" si="119"/>
        <v>1.4200000000000008</v>
      </c>
      <c r="AU79" s="3">
        <f t="shared" si="86"/>
        <v>4.550413853318573</v>
      </c>
      <c r="AX79" s="3">
        <f t="shared" si="120"/>
        <v>1.4200000000000008</v>
      </c>
      <c r="AY79" s="14">
        <f t="shared" si="121"/>
        <v>1.4200000000000008</v>
      </c>
      <c r="AZ79" s="3">
        <f t="shared" si="87"/>
        <v>4.550413853318573</v>
      </c>
      <c r="BC79" s="3">
        <f t="shared" si="122"/>
        <v>1.4200000000000008</v>
      </c>
      <c r="BD79" s="3">
        <f t="shared" si="123"/>
        <v>1.4200000000000008</v>
      </c>
      <c r="BE79" s="3">
        <f t="shared" si="88"/>
        <v>4.550413853318573</v>
      </c>
      <c r="BH79" s="3">
        <f t="shared" si="124"/>
        <v>1.4200000000000008</v>
      </c>
      <c r="BI79" s="14">
        <f t="shared" si="125"/>
        <v>1.4200000000000008</v>
      </c>
      <c r="BJ79" s="3">
        <f t="shared" si="89"/>
        <v>4.550413853318573</v>
      </c>
      <c r="BM79" s="3">
        <f t="shared" si="126"/>
        <v>1.4200000000000008</v>
      </c>
      <c r="BN79" s="14">
        <f t="shared" si="127"/>
        <v>1.4200000000000008</v>
      </c>
      <c r="BO79" s="3">
        <f t="shared" si="90"/>
        <v>4.550413853318573</v>
      </c>
      <c r="BR79" s="3">
        <f t="shared" si="128"/>
        <v>1.4200000000000008</v>
      </c>
      <c r="BS79" s="3">
        <f t="shared" si="129"/>
        <v>1.4200000000000008</v>
      </c>
      <c r="BT79" s="3">
        <f t="shared" si="91"/>
        <v>4.550413853318573</v>
      </c>
      <c r="BW79" s="3">
        <f t="shared" si="130"/>
        <v>1.4200000000000008</v>
      </c>
      <c r="BX79" s="14">
        <f t="shared" si="131"/>
        <v>1.4200000000000008</v>
      </c>
      <c r="BY79" s="3">
        <f t="shared" si="92"/>
        <v>4.550413853318573</v>
      </c>
      <c r="CB79" s="3">
        <f t="shared" si="132"/>
        <v>1.4200000000000008</v>
      </c>
      <c r="CC79" s="14">
        <f t="shared" si="133"/>
        <v>1.4200000000000008</v>
      </c>
      <c r="CD79" s="3">
        <f t="shared" si="93"/>
        <v>4.550413853318573</v>
      </c>
      <c r="CG79" s="3">
        <f t="shared" si="134"/>
        <v>1.4200000000000008</v>
      </c>
      <c r="CH79" s="3">
        <f t="shared" si="135"/>
        <v>1.4200000000000008</v>
      </c>
      <c r="CI79" s="3">
        <f t="shared" si="94"/>
        <v>4.550413853318573</v>
      </c>
      <c r="CL79" s="3">
        <f t="shared" si="136"/>
        <v>1.4200000000000008</v>
      </c>
      <c r="CM79" s="14">
        <f t="shared" si="137"/>
        <v>1.4200000000000008</v>
      </c>
      <c r="CN79" s="3">
        <f t="shared" si="95"/>
        <v>4.550413853318573</v>
      </c>
      <c r="CQ79" s="3">
        <f t="shared" si="138"/>
        <v>1.4200000000000008</v>
      </c>
      <c r="CR79" s="14">
        <f t="shared" si="139"/>
        <v>1.4200000000000008</v>
      </c>
      <c r="CS79" s="3">
        <f t="shared" si="96"/>
        <v>4.550413853318573</v>
      </c>
      <c r="CV79" s="3">
        <f t="shared" si="140"/>
        <v>1.4200000000000008</v>
      </c>
      <c r="CW79" s="3">
        <f t="shared" si="141"/>
        <v>1.4200000000000008</v>
      </c>
      <c r="CX79" s="3">
        <f t="shared" si="97"/>
        <v>4.550413853318573</v>
      </c>
      <c r="DA79" s="3">
        <f t="shared" si="142"/>
        <v>1.4200000000000008</v>
      </c>
      <c r="DB79" s="14">
        <f t="shared" si="143"/>
        <v>1.4200000000000008</v>
      </c>
      <c r="DC79" s="3">
        <f t="shared" si="98"/>
        <v>4.550413853318573</v>
      </c>
      <c r="DF79" s="3">
        <f t="shared" si="144"/>
        <v>1.4200000000000008</v>
      </c>
      <c r="DG79" s="14">
        <f t="shared" si="145"/>
        <v>1.4200000000000008</v>
      </c>
      <c r="DH79" s="3">
        <f t="shared" si="99"/>
        <v>4.550413853318573</v>
      </c>
      <c r="DK79" s="3">
        <f t="shared" si="146"/>
        <v>1.4200000000000008</v>
      </c>
      <c r="DL79" s="3">
        <f t="shared" si="147"/>
        <v>1.4200000000000008</v>
      </c>
      <c r="DM79" s="3">
        <f t="shared" si="100"/>
        <v>4.550413853318573</v>
      </c>
      <c r="DP79" s="3">
        <f t="shared" si="148"/>
        <v>1.4200000000000008</v>
      </c>
      <c r="DQ79" s="14">
        <f t="shared" si="149"/>
        <v>1.4200000000000008</v>
      </c>
      <c r="DR79" s="3">
        <f t="shared" si="101"/>
        <v>4.550413853318573</v>
      </c>
      <c r="DU79" s="3">
        <f t="shared" si="150"/>
        <v>1.4200000000000008</v>
      </c>
      <c r="DV79" s="14">
        <f t="shared" si="151"/>
        <v>1.4200000000000008</v>
      </c>
      <c r="DW79" s="3">
        <f t="shared" si="102"/>
        <v>4.550413853318573</v>
      </c>
      <c r="DZ79" s="3">
        <f t="shared" si="152"/>
        <v>1.4200000000000008</v>
      </c>
      <c r="EA79" s="3">
        <f t="shared" si="153"/>
        <v>1.4200000000000008</v>
      </c>
      <c r="EB79" s="3">
        <f t="shared" si="103"/>
        <v>4.550413853318573</v>
      </c>
      <c r="EE79" s="3">
        <f t="shared" si="154"/>
        <v>1.4200000000000008</v>
      </c>
      <c r="EF79" s="14">
        <f t="shared" si="155"/>
        <v>1.4200000000000008</v>
      </c>
      <c r="EG79" s="3">
        <f t="shared" si="104"/>
        <v>4.550413853318573</v>
      </c>
      <c r="EJ79" s="3">
        <f t="shared" si="156"/>
        <v>1.4200000000000008</v>
      </c>
      <c r="EK79" s="14">
        <f t="shared" si="157"/>
        <v>1.4200000000000008</v>
      </c>
      <c r="EL79" s="3">
        <f t="shared" si="105"/>
        <v>4.550413853318573</v>
      </c>
      <c r="EO79" s="3">
        <f t="shared" si="158"/>
        <v>1.4200000000000008</v>
      </c>
      <c r="EP79" s="3">
        <f t="shared" si="159"/>
        <v>1.4200000000000008</v>
      </c>
      <c r="EQ79" s="3">
        <f t="shared" si="106"/>
        <v>4.550413853318573</v>
      </c>
      <c r="ET79" s="3">
        <f t="shared" si="160"/>
        <v>1.4200000000000008</v>
      </c>
      <c r="EU79" s="14">
        <f t="shared" si="161"/>
        <v>1.4200000000000008</v>
      </c>
      <c r="EV79" s="3">
        <f t="shared" si="107"/>
        <v>4.550413853318573</v>
      </c>
    </row>
    <row r="80" spans="20:152" s="3" customFormat="1" x14ac:dyDescent="0.25">
      <c r="T80" s="3">
        <f t="shared" si="108"/>
        <v>1.4400000000000008</v>
      </c>
      <c r="U80" s="14">
        <f t="shared" si="109"/>
        <v>1.4400000000000008</v>
      </c>
      <c r="V80" s="3">
        <f t="shared" si="81"/>
        <v>4.5141808296698596</v>
      </c>
      <c r="Y80" s="3">
        <f t="shared" si="110"/>
        <v>1.4400000000000008</v>
      </c>
      <c r="Z80" s="3">
        <f t="shared" si="111"/>
        <v>1.4400000000000008</v>
      </c>
      <c r="AA80" s="3">
        <f t="shared" si="82"/>
        <v>4.5141808296698596</v>
      </c>
      <c r="AD80" s="3">
        <f t="shared" si="112"/>
        <v>1.4400000000000008</v>
      </c>
      <c r="AE80" s="14">
        <f t="shared" si="113"/>
        <v>1.4400000000000008</v>
      </c>
      <c r="AF80" s="3">
        <f t="shared" si="83"/>
        <v>4.5141808296698596</v>
      </c>
      <c r="AI80" s="3">
        <f t="shared" si="114"/>
        <v>1.4400000000000008</v>
      </c>
      <c r="AJ80" s="14">
        <f t="shared" si="115"/>
        <v>1.4400000000000008</v>
      </c>
      <c r="AK80" s="3">
        <f t="shared" si="84"/>
        <v>4.5141808296698596</v>
      </c>
      <c r="AN80" s="3">
        <f t="shared" si="116"/>
        <v>1.4400000000000008</v>
      </c>
      <c r="AO80" s="3">
        <f t="shared" si="117"/>
        <v>1.4400000000000008</v>
      </c>
      <c r="AP80" s="3">
        <f t="shared" si="85"/>
        <v>4.5141808296698596</v>
      </c>
      <c r="AS80" s="3">
        <f t="shared" si="118"/>
        <v>1.4400000000000008</v>
      </c>
      <c r="AT80" s="14">
        <f t="shared" si="119"/>
        <v>1.4400000000000008</v>
      </c>
      <c r="AU80" s="3">
        <f t="shared" si="86"/>
        <v>4.5141808296698596</v>
      </c>
      <c r="AX80" s="3">
        <f t="shared" si="120"/>
        <v>1.4400000000000008</v>
      </c>
      <c r="AY80" s="14">
        <f t="shared" si="121"/>
        <v>1.4400000000000008</v>
      </c>
      <c r="AZ80" s="3">
        <f t="shared" si="87"/>
        <v>4.5141808296698596</v>
      </c>
      <c r="BC80" s="3">
        <f t="shared" si="122"/>
        <v>1.4400000000000008</v>
      </c>
      <c r="BD80" s="3">
        <f t="shared" si="123"/>
        <v>1.4400000000000008</v>
      </c>
      <c r="BE80" s="3">
        <f t="shared" si="88"/>
        <v>4.5141808296698596</v>
      </c>
      <c r="BH80" s="3">
        <f t="shared" si="124"/>
        <v>1.4400000000000008</v>
      </c>
      <c r="BI80" s="14">
        <f t="shared" si="125"/>
        <v>1.4400000000000008</v>
      </c>
      <c r="BJ80" s="3">
        <f t="shared" si="89"/>
        <v>4.5141808296698596</v>
      </c>
      <c r="BM80" s="3">
        <f t="shared" si="126"/>
        <v>1.4400000000000008</v>
      </c>
      <c r="BN80" s="14">
        <f t="shared" si="127"/>
        <v>1.4400000000000008</v>
      </c>
      <c r="BO80" s="3">
        <f t="shared" si="90"/>
        <v>4.5141808296698596</v>
      </c>
      <c r="BR80" s="3">
        <f t="shared" si="128"/>
        <v>1.4400000000000008</v>
      </c>
      <c r="BS80" s="3">
        <f t="shared" si="129"/>
        <v>1.4400000000000008</v>
      </c>
      <c r="BT80" s="3">
        <f t="shared" si="91"/>
        <v>4.5141808296698596</v>
      </c>
      <c r="BW80" s="3">
        <f t="shared" si="130"/>
        <v>1.4400000000000008</v>
      </c>
      <c r="BX80" s="14">
        <f t="shared" si="131"/>
        <v>1.4400000000000008</v>
      </c>
      <c r="BY80" s="3">
        <f t="shared" si="92"/>
        <v>4.5141808296698596</v>
      </c>
      <c r="CB80" s="3">
        <f t="shared" si="132"/>
        <v>1.4400000000000008</v>
      </c>
      <c r="CC80" s="14">
        <f t="shared" si="133"/>
        <v>1.4400000000000008</v>
      </c>
      <c r="CD80" s="3">
        <f t="shared" si="93"/>
        <v>4.5141808296698596</v>
      </c>
      <c r="CG80" s="3">
        <f t="shared" si="134"/>
        <v>1.4400000000000008</v>
      </c>
      <c r="CH80" s="3">
        <f t="shared" si="135"/>
        <v>1.4400000000000008</v>
      </c>
      <c r="CI80" s="3">
        <f t="shared" si="94"/>
        <v>4.5141808296698596</v>
      </c>
      <c r="CL80" s="3">
        <f t="shared" si="136"/>
        <v>1.4400000000000008</v>
      </c>
      <c r="CM80" s="14">
        <f t="shared" si="137"/>
        <v>1.4400000000000008</v>
      </c>
      <c r="CN80" s="3">
        <f t="shared" si="95"/>
        <v>4.5141808296698596</v>
      </c>
      <c r="CQ80" s="3">
        <f t="shared" si="138"/>
        <v>1.4400000000000008</v>
      </c>
      <c r="CR80" s="14">
        <f t="shared" si="139"/>
        <v>1.4400000000000008</v>
      </c>
      <c r="CS80" s="3">
        <f t="shared" si="96"/>
        <v>4.5141808296698596</v>
      </c>
      <c r="CV80" s="3">
        <f t="shared" si="140"/>
        <v>1.4400000000000008</v>
      </c>
      <c r="CW80" s="3">
        <f t="shared" si="141"/>
        <v>1.4400000000000008</v>
      </c>
      <c r="CX80" s="3">
        <f t="shared" si="97"/>
        <v>4.5141808296698596</v>
      </c>
      <c r="DA80" s="3">
        <f t="shared" si="142"/>
        <v>1.4400000000000008</v>
      </c>
      <c r="DB80" s="14">
        <f t="shared" si="143"/>
        <v>1.4400000000000008</v>
      </c>
      <c r="DC80" s="3">
        <f t="shared" si="98"/>
        <v>4.5141808296698596</v>
      </c>
      <c r="DF80" s="3">
        <f t="shared" si="144"/>
        <v>1.4400000000000008</v>
      </c>
      <c r="DG80" s="14">
        <f t="shared" si="145"/>
        <v>1.4400000000000008</v>
      </c>
      <c r="DH80" s="3">
        <f t="shared" si="99"/>
        <v>4.5141808296698596</v>
      </c>
      <c r="DK80" s="3">
        <f t="shared" si="146"/>
        <v>1.4400000000000008</v>
      </c>
      <c r="DL80" s="3">
        <f t="shared" si="147"/>
        <v>1.4400000000000008</v>
      </c>
      <c r="DM80" s="3">
        <f t="shared" si="100"/>
        <v>4.5141808296698596</v>
      </c>
      <c r="DP80" s="3">
        <f t="shared" si="148"/>
        <v>1.4400000000000008</v>
      </c>
      <c r="DQ80" s="14">
        <f t="shared" si="149"/>
        <v>1.4400000000000008</v>
      </c>
      <c r="DR80" s="3">
        <f t="shared" si="101"/>
        <v>4.5141808296698596</v>
      </c>
      <c r="DU80" s="3">
        <f t="shared" si="150"/>
        <v>1.4400000000000008</v>
      </c>
      <c r="DV80" s="14">
        <f t="shared" si="151"/>
        <v>1.4400000000000008</v>
      </c>
      <c r="DW80" s="3">
        <f t="shared" si="102"/>
        <v>4.5141808296698596</v>
      </c>
      <c r="DZ80" s="3">
        <f t="shared" si="152"/>
        <v>1.4400000000000008</v>
      </c>
      <c r="EA80" s="3">
        <f t="shared" si="153"/>
        <v>1.4400000000000008</v>
      </c>
      <c r="EB80" s="3">
        <f t="shared" si="103"/>
        <v>4.5141808296698596</v>
      </c>
      <c r="EE80" s="3">
        <f t="shared" si="154"/>
        <v>1.4400000000000008</v>
      </c>
      <c r="EF80" s="14">
        <f t="shared" si="155"/>
        <v>1.4400000000000008</v>
      </c>
      <c r="EG80" s="3">
        <f t="shared" si="104"/>
        <v>4.5141808296698596</v>
      </c>
      <c r="EJ80" s="3">
        <f t="shared" si="156"/>
        <v>1.4400000000000008</v>
      </c>
      <c r="EK80" s="14">
        <f t="shared" si="157"/>
        <v>1.4400000000000008</v>
      </c>
      <c r="EL80" s="3">
        <f t="shared" si="105"/>
        <v>4.5141808296698596</v>
      </c>
      <c r="EO80" s="3">
        <f t="shared" si="158"/>
        <v>1.4400000000000008</v>
      </c>
      <c r="EP80" s="3">
        <f t="shared" si="159"/>
        <v>1.4400000000000008</v>
      </c>
      <c r="EQ80" s="3">
        <f t="shared" si="106"/>
        <v>4.5141808296698596</v>
      </c>
      <c r="ET80" s="3">
        <f t="shared" si="160"/>
        <v>1.4400000000000008</v>
      </c>
      <c r="EU80" s="14">
        <f t="shared" si="161"/>
        <v>1.4400000000000008</v>
      </c>
      <c r="EV80" s="3">
        <f t="shared" si="107"/>
        <v>4.5141808296698596</v>
      </c>
    </row>
    <row r="81" spans="20:152" s="3" customFormat="1" x14ac:dyDescent="0.25">
      <c r="T81" s="3">
        <f t="shared" si="108"/>
        <v>1.4600000000000009</v>
      </c>
      <c r="U81" s="14">
        <f t="shared" si="109"/>
        <v>1.4600000000000009</v>
      </c>
      <c r="V81" s="3">
        <f t="shared" si="81"/>
        <v>4.4752392932933001</v>
      </c>
      <c r="Y81" s="3">
        <f t="shared" si="110"/>
        <v>1.4600000000000009</v>
      </c>
      <c r="Z81" s="3">
        <f t="shared" si="111"/>
        <v>1.4600000000000009</v>
      </c>
      <c r="AA81" s="3">
        <f t="shared" si="82"/>
        <v>4.4752392932933001</v>
      </c>
      <c r="AD81" s="3">
        <f t="shared" si="112"/>
        <v>1.4600000000000009</v>
      </c>
      <c r="AE81" s="14">
        <f t="shared" si="113"/>
        <v>1.4600000000000009</v>
      </c>
      <c r="AF81" s="3">
        <f t="shared" si="83"/>
        <v>4.4752392932933001</v>
      </c>
      <c r="AI81" s="3">
        <f t="shared" si="114"/>
        <v>1.4600000000000009</v>
      </c>
      <c r="AJ81" s="14">
        <f t="shared" si="115"/>
        <v>1.4600000000000009</v>
      </c>
      <c r="AK81" s="3">
        <f t="shared" si="84"/>
        <v>4.4752392932933001</v>
      </c>
      <c r="AN81" s="3">
        <f t="shared" si="116"/>
        <v>1.4600000000000009</v>
      </c>
      <c r="AO81" s="3">
        <f t="shared" si="117"/>
        <v>1.4600000000000009</v>
      </c>
      <c r="AP81" s="3">
        <f t="shared" si="85"/>
        <v>4.4752392932933001</v>
      </c>
      <c r="AS81" s="3">
        <f t="shared" si="118"/>
        <v>1.4600000000000009</v>
      </c>
      <c r="AT81" s="14">
        <f t="shared" si="119"/>
        <v>1.4600000000000009</v>
      </c>
      <c r="AU81" s="3">
        <f t="shared" si="86"/>
        <v>4.4752392932933001</v>
      </c>
      <c r="AX81" s="3">
        <f t="shared" si="120"/>
        <v>1.4600000000000009</v>
      </c>
      <c r="AY81" s="14">
        <f t="shared" si="121"/>
        <v>1.4600000000000009</v>
      </c>
      <c r="AZ81" s="3">
        <f t="shared" si="87"/>
        <v>4.4752392932933001</v>
      </c>
      <c r="BC81" s="3">
        <f t="shared" si="122"/>
        <v>1.4600000000000009</v>
      </c>
      <c r="BD81" s="3">
        <f t="shared" si="123"/>
        <v>1.4600000000000009</v>
      </c>
      <c r="BE81" s="3">
        <f t="shared" si="88"/>
        <v>4.4752392932933001</v>
      </c>
      <c r="BH81" s="3">
        <f t="shared" si="124"/>
        <v>1.4600000000000009</v>
      </c>
      <c r="BI81" s="14">
        <f t="shared" si="125"/>
        <v>1.4600000000000009</v>
      </c>
      <c r="BJ81" s="3">
        <f t="shared" si="89"/>
        <v>4.4752392932933001</v>
      </c>
      <c r="BM81" s="3">
        <f t="shared" si="126"/>
        <v>1.4600000000000009</v>
      </c>
      <c r="BN81" s="14">
        <f t="shared" si="127"/>
        <v>1.4600000000000009</v>
      </c>
      <c r="BO81" s="3">
        <f t="shared" si="90"/>
        <v>4.4752392932933001</v>
      </c>
      <c r="BR81" s="3">
        <f t="shared" si="128"/>
        <v>1.4600000000000009</v>
      </c>
      <c r="BS81" s="3">
        <f t="shared" si="129"/>
        <v>1.4600000000000009</v>
      </c>
      <c r="BT81" s="3">
        <f t="shared" si="91"/>
        <v>4.4752392932933001</v>
      </c>
      <c r="BW81" s="3">
        <f t="shared" si="130"/>
        <v>1.4600000000000009</v>
      </c>
      <c r="BX81" s="14">
        <f t="shared" si="131"/>
        <v>1.4600000000000009</v>
      </c>
      <c r="BY81" s="3">
        <f t="shared" si="92"/>
        <v>4.4752392932933001</v>
      </c>
      <c r="CB81" s="3">
        <f t="shared" si="132"/>
        <v>1.4600000000000009</v>
      </c>
      <c r="CC81" s="14">
        <f t="shared" si="133"/>
        <v>1.4600000000000009</v>
      </c>
      <c r="CD81" s="3">
        <f t="shared" si="93"/>
        <v>4.4752392932933001</v>
      </c>
      <c r="CG81" s="3">
        <f t="shared" si="134"/>
        <v>1.4600000000000009</v>
      </c>
      <c r="CH81" s="3">
        <f t="shared" si="135"/>
        <v>1.4600000000000009</v>
      </c>
      <c r="CI81" s="3">
        <f t="shared" si="94"/>
        <v>4.4752392932933001</v>
      </c>
      <c r="CL81" s="3">
        <f t="shared" si="136"/>
        <v>1.4600000000000009</v>
      </c>
      <c r="CM81" s="14">
        <f t="shared" si="137"/>
        <v>1.4600000000000009</v>
      </c>
      <c r="CN81" s="3">
        <f t="shared" si="95"/>
        <v>4.4752392932933001</v>
      </c>
      <c r="CQ81" s="3">
        <f t="shared" si="138"/>
        <v>1.4600000000000009</v>
      </c>
      <c r="CR81" s="14">
        <f t="shared" si="139"/>
        <v>1.4600000000000009</v>
      </c>
      <c r="CS81" s="3">
        <f t="shared" si="96"/>
        <v>4.4752392932933001</v>
      </c>
      <c r="CV81" s="3">
        <f t="shared" si="140"/>
        <v>1.4600000000000009</v>
      </c>
      <c r="CW81" s="3">
        <f t="shared" si="141"/>
        <v>1.4600000000000009</v>
      </c>
      <c r="CX81" s="3">
        <f t="shared" si="97"/>
        <v>4.4752392932933001</v>
      </c>
      <c r="DA81" s="3">
        <f t="shared" si="142"/>
        <v>1.4600000000000009</v>
      </c>
      <c r="DB81" s="14">
        <f t="shared" si="143"/>
        <v>1.4600000000000009</v>
      </c>
      <c r="DC81" s="3">
        <f t="shared" si="98"/>
        <v>4.4752392932933001</v>
      </c>
      <c r="DF81" s="3">
        <f t="shared" si="144"/>
        <v>1.4600000000000009</v>
      </c>
      <c r="DG81" s="14">
        <f t="shared" si="145"/>
        <v>1.4600000000000009</v>
      </c>
      <c r="DH81" s="3">
        <f t="shared" si="99"/>
        <v>4.4752392932933001</v>
      </c>
      <c r="DK81" s="3">
        <f t="shared" si="146"/>
        <v>1.4600000000000009</v>
      </c>
      <c r="DL81" s="3">
        <f t="shared" si="147"/>
        <v>1.4600000000000009</v>
      </c>
      <c r="DM81" s="3">
        <f t="shared" si="100"/>
        <v>4.4752392932933001</v>
      </c>
      <c r="DP81" s="3">
        <f t="shared" si="148"/>
        <v>1.4600000000000009</v>
      </c>
      <c r="DQ81" s="14">
        <f t="shared" si="149"/>
        <v>1.4600000000000009</v>
      </c>
      <c r="DR81" s="3">
        <f t="shared" si="101"/>
        <v>4.4752392932933001</v>
      </c>
      <c r="DU81" s="3">
        <f t="shared" si="150"/>
        <v>1.4600000000000009</v>
      </c>
      <c r="DV81" s="14">
        <f t="shared" si="151"/>
        <v>1.4600000000000009</v>
      </c>
      <c r="DW81" s="3">
        <f t="shared" si="102"/>
        <v>4.4752392932933001</v>
      </c>
      <c r="DZ81" s="3">
        <f t="shared" si="152"/>
        <v>1.4600000000000009</v>
      </c>
      <c r="EA81" s="3">
        <f t="shared" si="153"/>
        <v>1.4600000000000009</v>
      </c>
      <c r="EB81" s="3">
        <f t="shared" si="103"/>
        <v>4.4752392932933001</v>
      </c>
      <c r="EE81" s="3">
        <f t="shared" si="154"/>
        <v>1.4600000000000009</v>
      </c>
      <c r="EF81" s="14">
        <f t="shared" si="155"/>
        <v>1.4600000000000009</v>
      </c>
      <c r="EG81" s="3">
        <f t="shared" si="104"/>
        <v>4.4752392932933001</v>
      </c>
      <c r="EJ81" s="3">
        <f t="shared" si="156"/>
        <v>1.4600000000000009</v>
      </c>
      <c r="EK81" s="14">
        <f t="shared" si="157"/>
        <v>1.4600000000000009</v>
      </c>
      <c r="EL81" s="3">
        <f t="shared" si="105"/>
        <v>4.4752392932933001</v>
      </c>
      <c r="EO81" s="3">
        <f t="shared" si="158"/>
        <v>1.4600000000000009</v>
      </c>
      <c r="EP81" s="3">
        <f t="shared" si="159"/>
        <v>1.4600000000000009</v>
      </c>
      <c r="EQ81" s="3">
        <f t="shared" si="106"/>
        <v>4.4752392932933001</v>
      </c>
      <c r="ET81" s="3">
        <f t="shared" si="160"/>
        <v>1.4600000000000009</v>
      </c>
      <c r="EU81" s="14">
        <f t="shared" si="161"/>
        <v>1.4600000000000009</v>
      </c>
      <c r="EV81" s="3">
        <f t="shared" si="107"/>
        <v>4.4752392932933001</v>
      </c>
    </row>
    <row r="82" spans="20:152" s="3" customFormat="1" x14ac:dyDescent="0.25">
      <c r="T82" s="3">
        <f t="shared" si="108"/>
        <v>1.4800000000000009</v>
      </c>
      <c r="U82" s="14">
        <f t="shared" si="109"/>
        <v>1.4800000000000009</v>
      </c>
      <c r="V82" s="3">
        <f t="shared" si="81"/>
        <v>4.4335892441888944</v>
      </c>
      <c r="Y82" s="3">
        <f t="shared" si="110"/>
        <v>1.4800000000000009</v>
      </c>
      <c r="Z82" s="3">
        <f t="shared" si="111"/>
        <v>1.4800000000000009</v>
      </c>
      <c r="AA82" s="3">
        <f t="shared" si="82"/>
        <v>4.4335892441888944</v>
      </c>
      <c r="AD82" s="3">
        <f t="shared" si="112"/>
        <v>1.4800000000000009</v>
      </c>
      <c r="AE82" s="14">
        <f t="shared" si="113"/>
        <v>1.4800000000000009</v>
      </c>
      <c r="AF82" s="3">
        <f t="shared" si="83"/>
        <v>4.4335892441888944</v>
      </c>
      <c r="AI82" s="3">
        <f t="shared" si="114"/>
        <v>1.4800000000000009</v>
      </c>
      <c r="AJ82" s="14">
        <f t="shared" si="115"/>
        <v>1.4800000000000009</v>
      </c>
      <c r="AK82" s="3">
        <f t="shared" si="84"/>
        <v>4.4335892441888944</v>
      </c>
      <c r="AN82" s="3">
        <f t="shared" si="116"/>
        <v>1.4800000000000009</v>
      </c>
      <c r="AO82" s="3">
        <f t="shared" si="117"/>
        <v>1.4800000000000009</v>
      </c>
      <c r="AP82" s="3">
        <f t="shared" si="85"/>
        <v>4.4335892441888944</v>
      </c>
      <c r="AS82" s="3">
        <f t="shared" si="118"/>
        <v>1.4800000000000009</v>
      </c>
      <c r="AT82" s="14">
        <f t="shared" si="119"/>
        <v>1.4800000000000009</v>
      </c>
      <c r="AU82" s="3">
        <f t="shared" si="86"/>
        <v>4.4335892441888944</v>
      </c>
      <c r="AX82" s="3">
        <f t="shared" si="120"/>
        <v>1.4800000000000009</v>
      </c>
      <c r="AY82" s="14">
        <f t="shared" si="121"/>
        <v>1.4800000000000009</v>
      </c>
      <c r="AZ82" s="3">
        <f t="shared" si="87"/>
        <v>4.4335892441888944</v>
      </c>
      <c r="BC82" s="3">
        <f t="shared" si="122"/>
        <v>1.4800000000000009</v>
      </c>
      <c r="BD82" s="3">
        <f t="shared" si="123"/>
        <v>1.4800000000000009</v>
      </c>
      <c r="BE82" s="3">
        <f t="shared" si="88"/>
        <v>4.4335892441888944</v>
      </c>
      <c r="BH82" s="3">
        <f t="shared" si="124"/>
        <v>1.4800000000000009</v>
      </c>
      <c r="BI82" s="14">
        <f t="shared" si="125"/>
        <v>1.4800000000000009</v>
      </c>
      <c r="BJ82" s="3">
        <f t="shared" si="89"/>
        <v>4.4335892441888944</v>
      </c>
      <c r="BM82" s="3">
        <f t="shared" si="126"/>
        <v>1.4800000000000009</v>
      </c>
      <c r="BN82" s="14">
        <f t="shared" si="127"/>
        <v>1.4800000000000009</v>
      </c>
      <c r="BO82" s="3">
        <f t="shared" si="90"/>
        <v>4.4335892441888944</v>
      </c>
      <c r="BR82" s="3">
        <f t="shared" si="128"/>
        <v>1.4800000000000009</v>
      </c>
      <c r="BS82" s="3">
        <f t="shared" si="129"/>
        <v>1.4800000000000009</v>
      </c>
      <c r="BT82" s="3">
        <f t="shared" si="91"/>
        <v>4.4335892441888944</v>
      </c>
      <c r="BW82" s="3">
        <f t="shared" si="130"/>
        <v>1.4800000000000009</v>
      </c>
      <c r="BX82" s="14">
        <f t="shared" si="131"/>
        <v>1.4800000000000009</v>
      </c>
      <c r="BY82" s="3">
        <f t="shared" si="92"/>
        <v>4.4335892441888944</v>
      </c>
      <c r="CB82" s="3">
        <f t="shared" si="132"/>
        <v>1.4800000000000009</v>
      </c>
      <c r="CC82" s="14">
        <f t="shared" si="133"/>
        <v>1.4800000000000009</v>
      </c>
      <c r="CD82" s="3">
        <f t="shared" si="93"/>
        <v>4.4335892441888944</v>
      </c>
      <c r="CG82" s="3">
        <f t="shared" si="134"/>
        <v>1.4800000000000009</v>
      </c>
      <c r="CH82" s="3">
        <f t="shared" si="135"/>
        <v>1.4800000000000009</v>
      </c>
      <c r="CI82" s="3">
        <f t="shared" si="94"/>
        <v>4.4335892441888944</v>
      </c>
      <c r="CL82" s="3">
        <f t="shared" si="136"/>
        <v>1.4800000000000009</v>
      </c>
      <c r="CM82" s="14">
        <f t="shared" si="137"/>
        <v>1.4800000000000009</v>
      </c>
      <c r="CN82" s="3">
        <f t="shared" si="95"/>
        <v>4.4335892441888944</v>
      </c>
      <c r="CQ82" s="3">
        <f t="shared" si="138"/>
        <v>1.4800000000000009</v>
      </c>
      <c r="CR82" s="14">
        <f t="shared" si="139"/>
        <v>1.4800000000000009</v>
      </c>
      <c r="CS82" s="3">
        <f t="shared" si="96"/>
        <v>4.4335892441888944</v>
      </c>
      <c r="CV82" s="3">
        <f t="shared" si="140"/>
        <v>1.4800000000000009</v>
      </c>
      <c r="CW82" s="3">
        <f t="shared" si="141"/>
        <v>1.4800000000000009</v>
      </c>
      <c r="CX82" s="3">
        <f t="shared" si="97"/>
        <v>4.4335892441888944</v>
      </c>
      <c r="DA82" s="3">
        <f t="shared" si="142"/>
        <v>1.4800000000000009</v>
      </c>
      <c r="DB82" s="14">
        <f t="shared" si="143"/>
        <v>1.4800000000000009</v>
      </c>
      <c r="DC82" s="3">
        <f t="shared" si="98"/>
        <v>4.4335892441888944</v>
      </c>
      <c r="DF82" s="3">
        <f t="shared" si="144"/>
        <v>1.4800000000000009</v>
      </c>
      <c r="DG82" s="14">
        <f t="shared" si="145"/>
        <v>1.4800000000000009</v>
      </c>
      <c r="DH82" s="3">
        <f t="shared" si="99"/>
        <v>4.4335892441888944</v>
      </c>
      <c r="DK82" s="3">
        <f t="shared" si="146"/>
        <v>1.4800000000000009</v>
      </c>
      <c r="DL82" s="3">
        <f t="shared" si="147"/>
        <v>1.4800000000000009</v>
      </c>
      <c r="DM82" s="3">
        <f t="shared" si="100"/>
        <v>4.4335892441888944</v>
      </c>
      <c r="DP82" s="3">
        <f t="shared" si="148"/>
        <v>1.4800000000000009</v>
      </c>
      <c r="DQ82" s="14">
        <f t="shared" si="149"/>
        <v>1.4800000000000009</v>
      </c>
      <c r="DR82" s="3">
        <f t="shared" si="101"/>
        <v>4.4335892441888944</v>
      </c>
      <c r="DU82" s="3">
        <f t="shared" si="150"/>
        <v>1.4800000000000009</v>
      </c>
      <c r="DV82" s="14">
        <f t="shared" si="151"/>
        <v>1.4800000000000009</v>
      </c>
      <c r="DW82" s="3">
        <f t="shared" si="102"/>
        <v>4.4335892441888944</v>
      </c>
      <c r="DZ82" s="3">
        <f t="shared" si="152"/>
        <v>1.4800000000000009</v>
      </c>
      <c r="EA82" s="3">
        <f t="shared" si="153"/>
        <v>1.4800000000000009</v>
      </c>
      <c r="EB82" s="3">
        <f t="shared" si="103"/>
        <v>4.4335892441888944</v>
      </c>
      <c r="EE82" s="3">
        <f t="shared" si="154"/>
        <v>1.4800000000000009</v>
      </c>
      <c r="EF82" s="14">
        <f t="shared" si="155"/>
        <v>1.4800000000000009</v>
      </c>
      <c r="EG82" s="3">
        <f t="shared" si="104"/>
        <v>4.4335892441888944</v>
      </c>
      <c r="EJ82" s="3">
        <f t="shared" si="156"/>
        <v>1.4800000000000009</v>
      </c>
      <c r="EK82" s="14">
        <f t="shared" si="157"/>
        <v>1.4800000000000009</v>
      </c>
      <c r="EL82" s="3">
        <f t="shared" si="105"/>
        <v>4.4335892441888944</v>
      </c>
      <c r="EO82" s="3">
        <f t="shared" si="158"/>
        <v>1.4800000000000009</v>
      </c>
      <c r="EP82" s="3">
        <f t="shared" si="159"/>
        <v>1.4800000000000009</v>
      </c>
      <c r="EQ82" s="3">
        <f t="shared" si="106"/>
        <v>4.4335892441888944</v>
      </c>
      <c r="ET82" s="3">
        <f t="shared" si="160"/>
        <v>1.4800000000000009</v>
      </c>
      <c r="EU82" s="14">
        <f t="shared" si="161"/>
        <v>1.4800000000000009</v>
      </c>
      <c r="EV82" s="3">
        <f t="shared" si="107"/>
        <v>4.4335892441888944</v>
      </c>
    </row>
    <row r="83" spans="20:152" s="3" customFormat="1" x14ac:dyDescent="0.25">
      <c r="T83" s="3">
        <f t="shared" si="108"/>
        <v>1.5000000000000009</v>
      </c>
      <c r="U83" s="14">
        <f t="shared" si="109"/>
        <v>1.5000000000000009</v>
      </c>
      <c r="V83" s="3">
        <f t="shared" si="81"/>
        <v>4.38923068235664</v>
      </c>
      <c r="Y83" s="3">
        <f t="shared" si="110"/>
        <v>1.5000000000000009</v>
      </c>
      <c r="Z83" s="3">
        <f t="shared" si="111"/>
        <v>1.5000000000000009</v>
      </c>
      <c r="AA83" s="3">
        <f t="shared" si="82"/>
        <v>4.38923068235664</v>
      </c>
      <c r="AD83" s="3">
        <f t="shared" si="112"/>
        <v>1.5000000000000009</v>
      </c>
      <c r="AE83" s="14">
        <f t="shared" si="113"/>
        <v>1.5000000000000009</v>
      </c>
      <c r="AF83" s="3">
        <f t="shared" si="83"/>
        <v>4.38923068235664</v>
      </c>
      <c r="AI83" s="3">
        <f t="shared" si="114"/>
        <v>1.5000000000000009</v>
      </c>
      <c r="AJ83" s="14">
        <f t="shared" si="115"/>
        <v>1.5000000000000009</v>
      </c>
      <c r="AK83" s="3">
        <f t="shared" si="84"/>
        <v>4.38923068235664</v>
      </c>
      <c r="AN83" s="3">
        <f t="shared" si="116"/>
        <v>1.5000000000000009</v>
      </c>
      <c r="AO83" s="3">
        <f t="shared" si="117"/>
        <v>1.5000000000000009</v>
      </c>
      <c r="AP83" s="3">
        <f t="shared" si="85"/>
        <v>4.38923068235664</v>
      </c>
      <c r="AS83" s="3">
        <f t="shared" si="118"/>
        <v>1.5000000000000009</v>
      </c>
      <c r="AT83" s="14">
        <f t="shared" si="119"/>
        <v>1.5000000000000009</v>
      </c>
      <c r="AU83" s="3">
        <f t="shared" si="86"/>
        <v>4.38923068235664</v>
      </c>
      <c r="AX83" s="3">
        <f t="shared" si="120"/>
        <v>1.5000000000000009</v>
      </c>
      <c r="AY83" s="14">
        <f t="shared" si="121"/>
        <v>1.5000000000000009</v>
      </c>
      <c r="AZ83" s="3">
        <f t="shared" si="87"/>
        <v>4.38923068235664</v>
      </c>
      <c r="BC83" s="3">
        <f t="shared" si="122"/>
        <v>1.5000000000000009</v>
      </c>
      <c r="BD83" s="3">
        <f t="shared" si="123"/>
        <v>1.5000000000000009</v>
      </c>
      <c r="BE83" s="3">
        <f t="shared" si="88"/>
        <v>4.38923068235664</v>
      </c>
      <c r="BH83" s="3">
        <f t="shared" si="124"/>
        <v>1.5000000000000009</v>
      </c>
      <c r="BI83" s="14">
        <f t="shared" si="125"/>
        <v>1.5000000000000009</v>
      </c>
      <c r="BJ83" s="3">
        <f t="shared" si="89"/>
        <v>4.38923068235664</v>
      </c>
      <c r="BM83" s="3">
        <f t="shared" si="126"/>
        <v>1.5000000000000009</v>
      </c>
      <c r="BN83" s="14">
        <f t="shared" si="127"/>
        <v>1.5000000000000009</v>
      </c>
      <c r="BO83" s="3">
        <f t="shared" si="90"/>
        <v>4.38923068235664</v>
      </c>
      <c r="BR83" s="3">
        <f t="shared" si="128"/>
        <v>1.5000000000000009</v>
      </c>
      <c r="BS83" s="3">
        <f t="shared" si="129"/>
        <v>1.5000000000000009</v>
      </c>
      <c r="BT83" s="3">
        <f t="shared" si="91"/>
        <v>4.38923068235664</v>
      </c>
      <c r="BW83" s="3">
        <f t="shared" si="130"/>
        <v>1.5000000000000009</v>
      </c>
      <c r="BX83" s="14">
        <f t="shared" si="131"/>
        <v>1.5000000000000009</v>
      </c>
      <c r="BY83" s="3">
        <f t="shared" si="92"/>
        <v>4.38923068235664</v>
      </c>
      <c r="CB83" s="3">
        <f t="shared" si="132"/>
        <v>1.5000000000000009</v>
      </c>
      <c r="CC83" s="14">
        <f t="shared" si="133"/>
        <v>1.5000000000000009</v>
      </c>
      <c r="CD83" s="3">
        <f t="shared" si="93"/>
        <v>4.38923068235664</v>
      </c>
      <c r="CG83" s="3">
        <f t="shared" si="134"/>
        <v>1.5000000000000009</v>
      </c>
      <c r="CH83" s="3">
        <f t="shared" si="135"/>
        <v>1.5000000000000009</v>
      </c>
      <c r="CI83" s="3">
        <f t="shared" si="94"/>
        <v>4.38923068235664</v>
      </c>
      <c r="CL83" s="3">
        <f t="shared" si="136"/>
        <v>1.5000000000000009</v>
      </c>
      <c r="CM83" s="14">
        <f t="shared" si="137"/>
        <v>1.5000000000000009</v>
      </c>
      <c r="CN83" s="3">
        <f t="shared" si="95"/>
        <v>4.38923068235664</v>
      </c>
      <c r="CQ83" s="3">
        <f t="shared" si="138"/>
        <v>1.5000000000000009</v>
      </c>
      <c r="CR83" s="14">
        <f t="shared" si="139"/>
        <v>1.5000000000000009</v>
      </c>
      <c r="CS83" s="3">
        <f t="shared" si="96"/>
        <v>4.38923068235664</v>
      </c>
      <c r="CV83" s="3">
        <f t="shared" si="140"/>
        <v>1.5000000000000009</v>
      </c>
      <c r="CW83" s="3">
        <f t="shared" si="141"/>
        <v>1.5000000000000009</v>
      </c>
      <c r="CX83" s="3">
        <f t="shared" si="97"/>
        <v>4.38923068235664</v>
      </c>
      <c r="DA83" s="3">
        <f t="shared" si="142"/>
        <v>1.5000000000000009</v>
      </c>
      <c r="DB83" s="14">
        <f t="shared" si="143"/>
        <v>1.5000000000000009</v>
      </c>
      <c r="DC83" s="3">
        <f t="shared" si="98"/>
        <v>4.38923068235664</v>
      </c>
      <c r="DF83" s="3">
        <f t="shared" si="144"/>
        <v>1.5000000000000009</v>
      </c>
      <c r="DG83" s="14">
        <f t="shared" si="145"/>
        <v>1.5000000000000009</v>
      </c>
      <c r="DH83" s="3">
        <f t="shared" si="99"/>
        <v>4.38923068235664</v>
      </c>
      <c r="DK83" s="3">
        <f t="shared" si="146"/>
        <v>1.5000000000000009</v>
      </c>
      <c r="DL83" s="3">
        <f t="shared" si="147"/>
        <v>1.5000000000000009</v>
      </c>
      <c r="DM83" s="3">
        <f t="shared" si="100"/>
        <v>4.38923068235664</v>
      </c>
      <c r="DP83" s="3">
        <f t="shared" si="148"/>
        <v>1.5000000000000009</v>
      </c>
      <c r="DQ83" s="14">
        <f t="shared" si="149"/>
        <v>1.5000000000000009</v>
      </c>
      <c r="DR83" s="3">
        <f t="shared" si="101"/>
        <v>4.38923068235664</v>
      </c>
      <c r="DU83" s="3">
        <f t="shared" si="150"/>
        <v>1.5000000000000009</v>
      </c>
      <c r="DV83" s="14">
        <f t="shared" si="151"/>
        <v>1.5000000000000009</v>
      </c>
      <c r="DW83" s="3">
        <f t="shared" si="102"/>
        <v>4.38923068235664</v>
      </c>
      <c r="DZ83" s="3">
        <f t="shared" si="152"/>
        <v>1.5000000000000009</v>
      </c>
      <c r="EA83" s="3">
        <f t="shared" si="153"/>
        <v>1.5000000000000009</v>
      </c>
      <c r="EB83" s="3">
        <f t="shared" si="103"/>
        <v>4.38923068235664</v>
      </c>
      <c r="EE83" s="3">
        <f t="shared" si="154"/>
        <v>1.5000000000000009</v>
      </c>
      <c r="EF83" s="14">
        <f t="shared" si="155"/>
        <v>1.5000000000000009</v>
      </c>
      <c r="EG83" s="3">
        <f t="shared" si="104"/>
        <v>4.38923068235664</v>
      </c>
      <c r="EJ83" s="3">
        <f t="shared" si="156"/>
        <v>1.5000000000000009</v>
      </c>
      <c r="EK83" s="14">
        <f t="shared" si="157"/>
        <v>1.5000000000000009</v>
      </c>
      <c r="EL83" s="3">
        <f t="shared" si="105"/>
        <v>4.38923068235664</v>
      </c>
      <c r="EO83" s="3">
        <f t="shared" si="158"/>
        <v>1.5000000000000009</v>
      </c>
      <c r="EP83" s="3">
        <f t="shared" si="159"/>
        <v>1.5000000000000009</v>
      </c>
      <c r="EQ83" s="3">
        <f t="shared" si="106"/>
        <v>4.38923068235664</v>
      </c>
      <c r="ET83" s="3">
        <f t="shared" si="160"/>
        <v>1.5000000000000009</v>
      </c>
      <c r="EU83" s="14">
        <f t="shared" si="161"/>
        <v>1.5000000000000009</v>
      </c>
      <c r="EV83" s="3">
        <f t="shared" si="107"/>
        <v>4.38923068235664</v>
      </c>
    </row>
    <row r="84" spans="20:152" s="3" customFormat="1" x14ac:dyDescent="0.25">
      <c r="T84" s="3">
        <f t="shared" si="108"/>
        <v>1.5200000000000009</v>
      </c>
      <c r="U84" s="14">
        <f t="shared" si="109"/>
        <v>1.5200000000000009</v>
      </c>
      <c r="V84" s="3">
        <f t="shared" si="81"/>
        <v>4.3421636077965386</v>
      </c>
      <c r="Y84" s="3">
        <f t="shared" si="110"/>
        <v>1.5200000000000009</v>
      </c>
      <c r="Z84" s="3">
        <f t="shared" si="111"/>
        <v>1.5200000000000009</v>
      </c>
      <c r="AA84" s="3">
        <f t="shared" si="82"/>
        <v>4.3421636077965386</v>
      </c>
      <c r="AD84" s="3">
        <f t="shared" si="112"/>
        <v>1.5200000000000009</v>
      </c>
      <c r="AE84" s="14">
        <f t="shared" si="113"/>
        <v>1.5200000000000009</v>
      </c>
      <c r="AF84" s="3">
        <f t="shared" si="83"/>
        <v>4.3421636077965386</v>
      </c>
      <c r="AI84" s="3">
        <f t="shared" si="114"/>
        <v>1.5200000000000009</v>
      </c>
      <c r="AJ84" s="14">
        <f t="shared" si="115"/>
        <v>1.5200000000000009</v>
      </c>
      <c r="AK84" s="3">
        <f t="shared" si="84"/>
        <v>4.3421636077965386</v>
      </c>
      <c r="AN84" s="3">
        <f t="shared" si="116"/>
        <v>1.5200000000000009</v>
      </c>
      <c r="AO84" s="3">
        <f t="shared" si="117"/>
        <v>1.5200000000000009</v>
      </c>
      <c r="AP84" s="3">
        <f t="shared" si="85"/>
        <v>4.3421636077965386</v>
      </c>
      <c r="AS84" s="3">
        <f t="shared" si="118"/>
        <v>1.5200000000000009</v>
      </c>
      <c r="AT84" s="14">
        <f t="shared" si="119"/>
        <v>1.5200000000000009</v>
      </c>
      <c r="AU84" s="3">
        <f t="shared" si="86"/>
        <v>4.3421636077965386</v>
      </c>
      <c r="AX84" s="3">
        <f t="shared" si="120"/>
        <v>1.5200000000000009</v>
      </c>
      <c r="AY84" s="14">
        <f t="shared" si="121"/>
        <v>1.5200000000000009</v>
      </c>
      <c r="AZ84" s="3">
        <f t="shared" si="87"/>
        <v>4.3421636077965386</v>
      </c>
      <c r="BC84" s="3">
        <f t="shared" si="122"/>
        <v>1.5200000000000009</v>
      </c>
      <c r="BD84" s="3">
        <f t="shared" si="123"/>
        <v>1.5200000000000009</v>
      </c>
      <c r="BE84" s="3">
        <f t="shared" si="88"/>
        <v>4.3421636077965386</v>
      </c>
      <c r="BH84" s="3">
        <f t="shared" si="124"/>
        <v>1.5200000000000009</v>
      </c>
      <c r="BI84" s="14">
        <f t="shared" si="125"/>
        <v>1.5200000000000009</v>
      </c>
      <c r="BJ84" s="3">
        <f t="shared" si="89"/>
        <v>4.3421636077965386</v>
      </c>
      <c r="BM84" s="3">
        <f t="shared" si="126"/>
        <v>1.5200000000000009</v>
      </c>
      <c r="BN84" s="14">
        <f t="shared" si="127"/>
        <v>1.5200000000000009</v>
      </c>
      <c r="BO84" s="3">
        <f t="shared" si="90"/>
        <v>4.3421636077965386</v>
      </c>
      <c r="BR84" s="3">
        <f t="shared" si="128"/>
        <v>1.5200000000000009</v>
      </c>
      <c r="BS84" s="3">
        <f t="shared" si="129"/>
        <v>1.5200000000000009</v>
      </c>
      <c r="BT84" s="3">
        <f t="shared" si="91"/>
        <v>4.3421636077965386</v>
      </c>
      <c r="BW84" s="3">
        <f t="shared" si="130"/>
        <v>1.5200000000000009</v>
      </c>
      <c r="BX84" s="14">
        <f t="shared" si="131"/>
        <v>1.5200000000000009</v>
      </c>
      <c r="BY84" s="3">
        <f t="shared" si="92"/>
        <v>4.3421636077965386</v>
      </c>
      <c r="CB84" s="3">
        <f t="shared" si="132"/>
        <v>1.5200000000000009</v>
      </c>
      <c r="CC84" s="14">
        <f t="shared" si="133"/>
        <v>1.5200000000000009</v>
      </c>
      <c r="CD84" s="3">
        <f t="shared" si="93"/>
        <v>4.3421636077965386</v>
      </c>
      <c r="CG84" s="3">
        <f t="shared" si="134"/>
        <v>1.5200000000000009</v>
      </c>
      <c r="CH84" s="3">
        <f t="shared" si="135"/>
        <v>1.5200000000000009</v>
      </c>
      <c r="CI84" s="3">
        <f t="shared" si="94"/>
        <v>4.3421636077965386</v>
      </c>
      <c r="CL84" s="3">
        <f t="shared" si="136"/>
        <v>1.5200000000000009</v>
      </c>
      <c r="CM84" s="14">
        <f t="shared" si="137"/>
        <v>1.5200000000000009</v>
      </c>
      <c r="CN84" s="3">
        <f t="shared" si="95"/>
        <v>4.3421636077965386</v>
      </c>
      <c r="CQ84" s="3">
        <f t="shared" si="138"/>
        <v>1.5200000000000009</v>
      </c>
      <c r="CR84" s="14">
        <f t="shared" si="139"/>
        <v>1.5200000000000009</v>
      </c>
      <c r="CS84" s="3">
        <f t="shared" si="96"/>
        <v>4.3421636077965386</v>
      </c>
      <c r="CV84" s="3">
        <f t="shared" si="140"/>
        <v>1.5200000000000009</v>
      </c>
      <c r="CW84" s="3">
        <f t="shared" si="141"/>
        <v>1.5200000000000009</v>
      </c>
      <c r="CX84" s="3">
        <f t="shared" si="97"/>
        <v>4.3421636077965386</v>
      </c>
      <c r="DA84" s="3">
        <f t="shared" si="142"/>
        <v>1.5200000000000009</v>
      </c>
      <c r="DB84" s="14">
        <f t="shared" si="143"/>
        <v>1.5200000000000009</v>
      </c>
      <c r="DC84" s="3">
        <f t="shared" si="98"/>
        <v>4.3421636077965386</v>
      </c>
      <c r="DF84" s="3">
        <f t="shared" si="144"/>
        <v>1.5200000000000009</v>
      </c>
      <c r="DG84" s="14">
        <f t="shared" si="145"/>
        <v>1.5200000000000009</v>
      </c>
      <c r="DH84" s="3">
        <f t="shared" si="99"/>
        <v>4.3421636077965386</v>
      </c>
      <c r="DK84" s="3">
        <f t="shared" si="146"/>
        <v>1.5200000000000009</v>
      </c>
      <c r="DL84" s="3">
        <f t="shared" si="147"/>
        <v>1.5200000000000009</v>
      </c>
      <c r="DM84" s="3">
        <f t="shared" si="100"/>
        <v>4.3421636077965386</v>
      </c>
      <c r="DP84" s="3">
        <f t="shared" si="148"/>
        <v>1.5200000000000009</v>
      </c>
      <c r="DQ84" s="14">
        <f t="shared" si="149"/>
        <v>1.5200000000000009</v>
      </c>
      <c r="DR84" s="3">
        <f t="shared" si="101"/>
        <v>4.3421636077965386</v>
      </c>
      <c r="DU84" s="3">
        <f t="shared" si="150"/>
        <v>1.5200000000000009</v>
      </c>
      <c r="DV84" s="14">
        <f t="shared" si="151"/>
        <v>1.5200000000000009</v>
      </c>
      <c r="DW84" s="3">
        <f t="shared" si="102"/>
        <v>4.3421636077965386</v>
      </c>
      <c r="DZ84" s="3">
        <f t="shared" si="152"/>
        <v>1.5200000000000009</v>
      </c>
      <c r="EA84" s="3">
        <f t="shared" si="153"/>
        <v>1.5200000000000009</v>
      </c>
      <c r="EB84" s="3">
        <f t="shared" si="103"/>
        <v>4.3421636077965386</v>
      </c>
      <c r="EE84" s="3">
        <f t="shared" si="154"/>
        <v>1.5200000000000009</v>
      </c>
      <c r="EF84" s="14">
        <f t="shared" si="155"/>
        <v>1.5200000000000009</v>
      </c>
      <c r="EG84" s="3">
        <f t="shared" si="104"/>
        <v>4.3421636077965386</v>
      </c>
      <c r="EJ84" s="3">
        <f t="shared" si="156"/>
        <v>1.5200000000000009</v>
      </c>
      <c r="EK84" s="14">
        <f t="shared" si="157"/>
        <v>1.5200000000000009</v>
      </c>
      <c r="EL84" s="3">
        <f t="shared" si="105"/>
        <v>4.3421636077965386</v>
      </c>
      <c r="EO84" s="3">
        <f t="shared" si="158"/>
        <v>1.5200000000000009</v>
      </c>
      <c r="EP84" s="3">
        <f t="shared" si="159"/>
        <v>1.5200000000000009</v>
      </c>
      <c r="EQ84" s="3">
        <f t="shared" si="106"/>
        <v>4.3421636077965386</v>
      </c>
      <c r="ET84" s="3">
        <f t="shared" si="160"/>
        <v>1.5200000000000009</v>
      </c>
      <c r="EU84" s="14">
        <f t="shared" si="161"/>
        <v>1.5200000000000009</v>
      </c>
      <c r="EV84" s="3">
        <f t="shared" si="107"/>
        <v>4.3421636077965386</v>
      </c>
    </row>
    <row r="85" spans="20:152" s="3" customFormat="1" x14ac:dyDescent="0.25">
      <c r="T85" s="3">
        <f t="shared" si="108"/>
        <v>1.5400000000000009</v>
      </c>
      <c r="U85" s="14">
        <f t="shared" si="109"/>
        <v>1.5400000000000009</v>
      </c>
      <c r="V85" s="3">
        <f t="shared" si="81"/>
        <v>4.2923880205085885</v>
      </c>
      <c r="Y85" s="3">
        <f t="shared" si="110"/>
        <v>1.5400000000000009</v>
      </c>
      <c r="Z85" s="3">
        <f t="shared" si="111"/>
        <v>1.5400000000000009</v>
      </c>
      <c r="AA85" s="3">
        <f t="shared" si="82"/>
        <v>4.2923880205085885</v>
      </c>
      <c r="AD85" s="3">
        <f t="shared" si="112"/>
        <v>1.5400000000000009</v>
      </c>
      <c r="AE85" s="14">
        <f t="shared" si="113"/>
        <v>1.5400000000000009</v>
      </c>
      <c r="AF85" s="3">
        <f t="shared" si="83"/>
        <v>4.2923880205085885</v>
      </c>
      <c r="AI85" s="3">
        <f t="shared" si="114"/>
        <v>1.5400000000000009</v>
      </c>
      <c r="AJ85" s="14">
        <f t="shared" si="115"/>
        <v>1.5400000000000009</v>
      </c>
      <c r="AK85" s="3">
        <f t="shared" si="84"/>
        <v>4.2923880205085885</v>
      </c>
      <c r="AN85" s="3">
        <f t="shared" si="116"/>
        <v>1.5400000000000009</v>
      </c>
      <c r="AO85" s="3">
        <f t="shared" si="117"/>
        <v>1.5400000000000009</v>
      </c>
      <c r="AP85" s="3">
        <f t="shared" si="85"/>
        <v>4.2923880205085885</v>
      </c>
      <c r="AS85" s="3">
        <f t="shared" si="118"/>
        <v>1.5400000000000009</v>
      </c>
      <c r="AT85" s="14">
        <f t="shared" si="119"/>
        <v>1.5400000000000009</v>
      </c>
      <c r="AU85" s="3">
        <f t="shared" si="86"/>
        <v>4.2923880205085885</v>
      </c>
      <c r="AX85" s="3">
        <f t="shared" si="120"/>
        <v>1.5400000000000009</v>
      </c>
      <c r="AY85" s="14">
        <f t="shared" si="121"/>
        <v>1.5400000000000009</v>
      </c>
      <c r="AZ85" s="3">
        <f t="shared" si="87"/>
        <v>4.2923880205085885</v>
      </c>
      <c r="BC85" s="3">
        <f t="shared" si="122"/>
        <v>1.5400000000000009</v>
      </c>
      <c r="BD85" s="3">
        <f t="shared" si="123"/>
        <v>1.5400000000000009</v>
      </c>
      <c r="BE85" s="3">
        <f t="shared" si="88"/>
        <v>4.2923880205085885</v>
      </c>
      <c r="BH85" s="3">
        <f t="shared" si="124"/>
        <v>1.5400000000000009</v>
      </c>
      <c r="BI85" s="14">
        <f t="shared" si="125"/>
        <v>1.5400000000000009</v>
      </c>
      <c r="BJ85" s="3">
        <f t="shared" si="89"/>
        <v>4.2923880205085885</v>
      </c>
      <c r="BM85" s="3">
        <f t="shared" si="126"/>
        <v>1.5400000000000009</v>
      </c>
      <c r="BN85" s="14">
        <f t="shared" si="127"/>
        <v>1.5400000000000009</v>
      </c>
      <c r="BO85" s="3">
        <f t="shared" si="90"/>
        <v>4.2923880205085885</v>
      </c>
      <c r="BR85" s="3">
        <f t="shared" si="128"/>
        <v>1.5400000000000009</v>
      </c>
      <c r="BS85" s="3">
        <f t="shared" si="129"/>
        <v>1.5400000000000009</v>
      </c>
      <c r="BT85" s="3">
        <f t="shared" si="91"/>
        <v>4.2923880205085885</v>
      </c>
      <c r="BW85" s="3">
        <f t="shared" si="130"/>
        <v>1.5400000000000009</v>
      </c>
      <c r="BX85" s="14">
        <f t="shared" si="131"/>
        <v>1.5400000000000009</v>
      </c>
      <c r="BY85" s="3">
        <f t="shared" si="92"/>
        <v>4.2923880205085885</v>
      </c>
      <c r="CB85" s="3">
        <f t="shared" si="132"/>
        <v>1.5400000000000009</v>
      </c>
      <c r="CC85" s="14">
        <f t="shared" si="133"/>
        <v>1.5400000000000009</v>
      </c>
      <c r="CD85" s="3">
        <f t="shared" si="93"/>
        <v>4.2923880205085885</v>
      </c>
      <c r="CG85" s="3">
        <f t="shared" si="134"/>
        <v>1.5400000000000009</v>
      </c>
      <c r="CH85" s="3">
        <f t="shared" si="135"/>
        <v>1.5400000000000009</v>
      </c>
      <c r="CI85" s="3">
        <f t="shared" si="94"/>
        <v>4.2923880205085885</v>
      </c>
      <c r="CL85" s="3">
        <f t="shared" si="136"/>
        <v>1.5400000000000009</v>
      </c>
      <c r="CM85" s="14">
        <f t="shared" si="137"/>
        <v>1.5400000000000009</v>
      </c>
      <c r="CN85" s="3">
        <f t="shared" si="95"/>
        <v>4.2923880205085885</v>
      </c>
      <c r="CQ85" s="3">
        <f t="shared" si="138"/>
        <v>1.5400000000000009</v>
      </c>
      <c r="CR85" s="14">
        <f t="shared" si="139"/>
        <v>1.5400000000000009</v>
      </c>
      <c r="CS85" s="3">
        <f t="shared" si="96"/>
        <v>4.2923880205085885</v>
      </c>
      <c r="CV85" s="3">
        <f t="shared" si="140"/>
        <v>1.5400000000000009</v>
      </c>
      <c r="CW85" s="3">
        <f t="shared" si="141"/>
        <v>1.5400000000000009</v>
      </c>
      <c r="CX85" s="3">
        <f t="shared" si="97"/>
        <v>4.2923880205085885</v>
      </c>
      <c r="DA85" s="3">
        <f t="shared" si="142"/>
        <v>1.5400000000000009</v>
      </c>
      <c r="DB85" s="14">
        <f t="shared" si="143"/>
        <v>1.5400000000000009</v>
      </c>
      <c r="DC85" s="3">
        <f t="shared" si="98"/>
        <v>4.2923880205085885</v>
      </c>
      <c r="DF85" s="3">
        <f t="shared" si="144"/>
        <v>1.5400000000000009</v>
      </c>
      <c r="DG85" s="14">
        <f t="shared" si="145"/>
        <v>1.5400000000000009</v>
      </c>
      <c r="DH85" s="3">
        <f t="shared" si="99"/>
        <v>4.2923880205085885</v>
      </c>
      <c r="DK85" s="3">
        <f t="shared" si="146"/>
        <v>1.5400000000000009</v>
      </c>
      <c r="DL85" s="3">
        <f t="shared" si="147"/>
        <v>1.5400000000000009</v>
      </c>
      <c r="DM85" s="3">
        <f t="shared" si="100"/>
        <v>4.2923880205085885</v>
      </c>
      <c r="DP85" s="3">
        <f t="shared" si="148"/>
        <v>1.5400000000000009</v>
      </c>
      <c r="DQ85" s="14">
        <f t="shared" si="149"/>
        <v>1.5400000000000009</v>
      </c>
      <c r="DR85" s="3">
        <f t="shared" si="101"/>
        <v>4.2923880205085885</v>
      </c>
      <c r="DU85" s="3">
        <f t="shared" si="150"/>
        <v>1.5400000000000009</v>
      </c>
      <c r="DV85" s="14">
        <f t="shared" si="151"/>
        <v>1.5400000000000009</v>
      </c>
      <c r="DW85" s="3">
        <f t="shared" si="102"/>
        <v>4.2923880205085885</v>
      </c>
      <c r="DZ85" s="3">
        <f t="shared" si="152"/>
        <v>1.5400000000000009</v>
      </c>
      <c r="EA85" s="3">
        <f t="shared" si="153"/>
        <v>1.5400000000000009</v>
      </c>
      <c r="EB85" s="3">
        <f t="shared" si="103"/>
        <v>4.2923880205085885</v>
      </c>
      <c r="EE85" s="3">
        <f t="shared" si="154"/>
        <v>1.5400000000000009</v>
      </c>
      <c r="EF85" s="14">
        <f t="shared" si="155"/>
        <v>1.5400000000000009</v>
      </c>
      <c r="EG85" s="3">
        <f t="shared" si="104"/>
        <v>4.2923880205085885</v>
      </c>
      <c r="EJ85" s="3">
        <f t="shared" si="156"/>
        <v>1.5400000000000009</v>
      </c>
      <c r="EK85" s="14">
        <f t="shared" si="157"/>
        <v>1.5400000000000009</v>
      </c>
      <c r="EL85" s="3">
        <f t="shared" si="105"/>
        <v>4.2923880205085885</v>
      </c>
      <c r="EO85" s="3">
        <f t="shared" si="158"/>
        <v>1.5400000000000009</v>
      </c>
      <c r="EP85" s="3">
        <f t="shared" si="159"/>
        <v>1.5400000000000009</v>
      </c>
      <c r="EQ85" s="3">
        <f t="shared" si="106"/>
        <v>4.2923880205085885</v>
      </c>
      <c r="ET85" s="3">
        <f t="shared" si="160"/>
        <v>1.5400000000000009</v>
      </c>
      <c r="EU85" s="14">
        <f t="shared" si="161"/>
        <v>1.5400000000000009</v>
      </c>
      <c r="EV85" s="3">
        <f t="shared" si="107"/>
        <v>4.2923880205085885</v>
      </c>
    </row>
    <row r="86" spans="20:152" s="3" customFormat="1" x14ac:dyDescent="0.25">
      <c r="T86" s="3">
        <f t="shared" si="108"/>
        <v>1.5600000000000009</v>
      </c>
      <c r="U86" s="14">
        <f t="shared" si="109"/>
        <v>1.5600000000000009</v>
      </c>
      <c r="V86" s="3">
        <f t="shared" si="81"/>
        <v>4.2399039204927975</v>
      </c>
      <c r="Y86" s="3">
        <f t="shared" si="110"/>
        <v>1.5600000000000009</v>
      </c>
      <c r="Z86" s="3">
        <f t="shared" si="111"/>
        <v>1.5600000000000009</v>
      </c>
      <c r="AA86" s="3">
        <f t="shared" si="82"/>
        <v>4.2399039204927975</v>
      </c>
      <c r="AD86" s="3">
        <f t="shared" si="112"/>
        <v>1.5600000000000009</v>
      </c>
      <c r="AE86" s="14">
        <f t="shared" si="113"/>
        <v>1.5600000000000009</v>
      </c>
      <c r="AF86" s="3">
        <f t="shared" si="83"/>
        <v>4.2399039204927975</v>
      </c>
      <c r="AI86" s="3">
        <f t="shared" si="114"/>
        <v>1.5600000000000009</v>
      </c>
      <c r="AJ86" s="14">
        <f t="shared" si="115"/>
        <v>1.5600000000000009</v>
      </c>
      <c r="AK86" s="3">
        <f t="shared" si="84"/>
        <v>4.2399039204927975</v>
      </c>
      <c r="AN86" s="3">
        <f t="shared" si="116"/>
        <v>1.5600000000000009</v>
      </c>
      <c r="AO86" s="3">
        <f t="shared" si="117"/>
        <v>1.5600000000000009</v>
      </c>
      <c r="AP86" s="3">
        <f t="shared" si="85"/>
        <v>4.2399039204927975</v>
      </c>
      <c r="AS86" s="3">
        <f t="shared" si="118"/>
        <v>1.5600000000000009</v>
      </c>
      <c r="AT86" s="14">
        <f t="shared" si="119"/>
        <v>1.5600000000000009</v>
      </c>
      <c r="AU86" s="3">
        <f t="shared" si="86"/>
        <v>4.2399039204927975</v>
      </c>
      <c r="AX86" s="3">
        <f t="shared" si="120"/>
        <v>1.5600000000000009</v>
      </c>
      <c r="AY86" s="14">
        <f t="shared" si="121"/>
        <v>1.5600000000000009</v>
      </c>
      <c r="AZ86" s="3">
        <f t="shared" si="87"/>
        <v>4.2399039204927975</v>
      </c>
      <c r="BC86" s="3">
        <f t="shared" si="122"/>
        <v>1.5600000000000009</v>
      </c>
      <c r="BD86" s="3">
        <f t="shared" si="123"/>
        <v>1.5600000000000009</v>
      </c>
      <c r="BE86" s="3">
        <f t="shared" si="88"/>
        <v>4.2399039204927975</v>
      </c>
      <c r="BH86" s="3">
        <f t="shared" si="124"/>
        <v>1.5600000000000009</v>
      </c>
      <c r="BI86" s="14">
        <f t="shared" si="125"/>
        <v>1.5600000000000009</v>
      </c>
      <c r="BJ86" s="3">
        <f t="shared" si="89"/>
        <v>4.2399039204927975</v>
      </c>
      <c r="BM86" s="3">
        <f t="shared" si="126"/>
        <v>1.5600000000000009</v>
      </c>
      <c r="BN86" s="14">
        <f t="shared" si="127"/>
        <v>1.5600000000000009</v>
      </c>
      <c r="BO86" s="3">
        <f t="shared" si="90"/>
        <v>4.2399039204927975</v>
      </c>
      <c r="BR86" s="3">
        <f t="shared" si="128"/>
        <v>1.5600000000000009</v>
      </c>
      <c r="BS86" s="3">
        <f t="shared" si="129"/>
        <v>1.5600000000000009</v>
      </c>
      <c r="BT86" s="3">
        <f t="shared" si="91"/>
        <v>4.2399039204927975</v>
      </c>
      <c r="BW86" s="3">
        <f t="shared" si="130"/>
        <v>1.5600000000000009</v>
      </c>
      <c r="BX86" s="14">
        <f t="shared" si="131"/>
        <v>1.5600000000000009</v>
      </c>
      <c r="BY86" s="3">
        <f t="shared" si="92"/>
        <v>4.2399039204927975</v>
      </c>
      <c r="CB86" s="3">
        <f t="shared" si="132"/>
        <v>1.5600000000000009</v>
      </c>
      <c r="CC86" s="14">
        <f t="shared" si="133"/>
        <v>1.5600000000000009</v>
      </c>
      <c r="CD86" s="3">
        <f t="shared" si="93"/>
        <v>4.2399039204927975</v>
      </c>
      <c r="CG86" s="3">
        <f t="shared" si="134"/>
        <v>1.5600000000000009</v>
      </c>
      <c r="CH86" s="3">
        <f t="shared" si="135"/>
        <v>1.5600000000000009</v>
      </c>
      <c r="CI86" s="3">
        <f t="shared" si="94"/>
        <v>4.2399039204927975</v>
      </c>
      <c r="CL86" s="3">
        <f t="shared" si="136"/>
        <v>1.5600000000000009</v>
      </c>
      <c r="CM86" s="14">
        <f t="shared" si="137"/>
        <v>1.5600000000000009</v>
      </c>
      <c r="CN86" s="3">
        <f t="shared" si="95"/>
        <v>4.2399039204927975</v>
      </c>
      <c r="CQ86" s="3">
        <f t="shared" si="138"/>
        <v>1.5600000000000009</v>
      </c>
      <c r="CR86" s="14">
        <f t="shared" si="139"/>
        <v>1.5600000000000009</v>
      </c>
      <c r="CS86" s="3">
        <f t="shared" si="96"/>
        <v>4.2399039204927975</v>
      </c>
      <c r="CV86" s="3">
        <f t="shared" si="140"/>
        <v>1.5600000000000009</v>
      </c>
      <c r="CW86" s="3">
        <f t="shared" si="141"/>
        <v>1.5600000000000009</v>
      </c>
      <c r="CX86" s="3">
        <f t="shared" si="97"/>
        <v>4.2399039204927975</v>
      </c>
      <c r="DA86" s="3">
        <f t="shared" si="142"/>
        <v>1.5600000000000009</v>
      </c>
      <c r="DB86" s="14">
        <f t="shared" si="143"/>
        <v>1.5600000000000009</v>
      </c>
      <c r="DC86" s="3">
        <f t="shared" si="98"/>
        <v>4.2399039204927975</v>
      </c>
      <c r="DF86" s="3">
        <f t="shared" si="144"/>
        <v>1.5600000000000009</v>
      </c>
      <c r="DG86" s="14">
        <f t="shared" si="145"/>
        <v>1.5600000000000009</v>
      </c>
      <c r="DH86" s="3">
        <f t="shared" si="99"/>
        <v>4.2399039204927975</v>
      </c>
      <c r="DK86" s="3">
        <f t="shared" si="146"/>
        <v>1.5600000000000009</v>
      </c>
      <c r="DL86" s="3">
        <f t="shared" si="147"/>
        <v>1.5600000000000009</v>
      </c>
      <c r="DM86" s="3">
        <f t="shared" si="100"/>
        <v>4.2399039204927975</v>
      </c>
      <c r="DP86" s="3">
        <f t="shared" si="148"/>
        <v>1.5600000000000009</v>
      </c>
      <c r="DQ86" s="14">
        <f t="shared" si="149"/>
        <v>1.5600000000000009</v>
      </c>
      <c r="DR86" s="3">
        <f t="shared" si="101"/>
        <v>4.2399039204927975</v>
      </c>
      <c r="DU86" s="3">
        <f t="shared" si="150"/>
        <v>1.5600000000000009</v>
      </c>
      <c r="DV86" s="14">
        <f t="shared" si="151"/>
        <v>1.5600000000000009</v>
      </c>
      <c r="DW86" s="3">
        <f t="shared" si="102"/>
        <v>4.2399039204927975</v>
      </c>
      <c r="DZ86" s="3">
        <f t="shared" si="152"/>
        <v>1.5600000000000009</v>
      </c>
      <c r="EA86" s="3">
        <f t="shared" si="153"/>
        <v>1.5600000000000009</v>
      </c>
      <c r="EB86" s="3">
        <f t="shared" si="103"/>
        <v>4.2399039204927975</v>
      </c>
      <c r="EE86" s="3">
        <f t="shared" si="154"/>
        <v>1.5600000000000009</v>
      </c>
      <c r="EF86" s="14">
        <f t="shared" si="155"/>
        <v>1.5600000000000009</v>
      </c>
      <c r="EG86" s="3">
        <f t="shared" si="104"/>
        <v>4.2399039204927975</v>
      </c>
      <c r="EJ86" s="3">
        <f t="shared" si="156"/>
        <v>1.5600000000000009</v>
      </c>
      <c r="EK86" s="14">
        <f t="shared" si="157"/>
        <v>1.5600000000000009</v>
      </c>
      <c r="EL86" s="3">
        <f t="shared" si="105"/>
        <v>4.2399039204927975</v>
      </c>
      <c r="EO86" s="3">
        <f t="shared" si="158"/>
        <v>1.5600000000000009</v>
      </c>
      <c r="EP86" s="3">
        <f t="shared" si="159"/>
        <v>1.5600000000000009</v>
      </c>
      <c r="EQ86" s="3">
        <f t="shared" si="106"/>
        <v>4.2399039204927975</v>
      </c>
      <c r="ET86" s="3">
        <f t="shared" si="160"/>
        <v>1.5600000000000009</v>
      </c>
      <c r="EU86" s="14">
        <f t="shared" si="161"/>
        <v>1.5600000000000009</v>
      </c>
      <c r="EV86" s="3">
        <f t="shared" si="107"/>
        <v>4.2399039204927975</v>
      </c>
    </row>
    <row r="87" spans="20:152" s="3" customFormat="1" x14ac:dyDescent="0.25">
      <c r="T87" s="3">
        <f t="shared" si="108"/>
        <v>1.580000000000001</v>
      </c>
      <c r="U87" s="14">
        <f t="shared" si="109"/>
        <v>1.580000000000001</v>
      </c>
      <c r="V87" s="3">
        <f t="shared" si="81"/>
        <v>4.1847113077491533</v>
      </c>
      <c r="Y87" s="3">
        <f t="shared" si="110"/>
        <v>1.580000000000001</v>
      </c>
      <c r="Z87" s="3">
        <f t="shared" si="111"/>
        <v>1.580000000000001</v>
      </c>
      <c r="AA87" s="3">
        <f t="shared" si="82"/>
        <v>4.1847113077491533</v>
      </c>
      <c r="AD87" s="3">
        <f t="shared" si="112"/>
        <v>1.580000000000001</v>
      </c>
      <c r="AE87" s="14">
        <f t="shared" si="113"/>
        <v>1.580000000000001</v>
      </c>
      <c r="AF87" s="3">
        <f t="shared" si="83"/>
        <v>4.1847113077491533</v>
      </c>
      <c r="AI87" s="3">
        <f t="shared" si="114"/>
        <v>1.580000000000001</v>
      </c>
      <c r="AJ87" s="14">
        <f t="shared" si="115"/>
        <v>1.580000000000001</v>
      </c>
      <c r="AK87" s="3">
        <f t="shared" si="84"/>
        <v>4.1847113077491533</v>
      </c>
      <c r="AN87" s="3">
        <f t="shared" si="116"/>
        <v>1.580000000000001</v>
      </c>
      <c r="AO87" s="3">
        <f t="shared" si="117"/>
        <v>1.580000000000001</v>
      </c>
      <c r="AP87" s="3">
        <f t="shared" si="85"/>
        <v>4.1847113077491533</v>
      </c>
      <c r="AS87" s="3">
        <f t="shared" si="118"/>
        <v>1.580000000000001</v>
      </c>
      <c r="AT87" s="14">
        <f t="shared" si="119"/>
        <v>1.580000000000001</v>
      </c>
      <c r="AU87" s="3">
        <f t="shared" si="86"/>
        <v>4.1847113077491533</v>
      </c>
      <c r="AX87" s="3">
        <f t="shared" si="120"/>
        <v>1.580000000000001</v>
      </c>
      <c r="AY87" s="14">
        <f t="shared" si="121"/>
        <v>1.580000000000001</v>
      </c>
      <c r="AZ87" s="3">
        <f t="shared" si="87"/>
        <v>4.1847113077491533</v>
      </c>
      <c r="BC87" s="3">
        <f t="shared" si="122"/>
        <v>1.580000000000001</v>
      </c>
      <c r="BD87" s="3">
        <f t="shared" si="123"/>
        <v>1.580000000000001</v>
      </c>
      <c r="BE87" s="3">
        <f t="shared" si="88"/>
        <v>4.1847113077491533</v>
      </c>
      <c r="BH87" s="3">
        <f t="shared" si="124"/>
        <v>1.580000000000001</v>
      </c>
      <c r="BI87" s="14">
        <f t="shared" si="125"/>
        <v>1.580000000000001</v>
      </c>
      <c r="BJ87" s="3">
        <f t="shared" si="89"/>
        <v>4.1847113077491533</v>
      </c>
      <c r="BM87" s="3">
        <f t="shared" si="126"/>
        <v>1.580000000000001</v>
      </c>
      <c r="BN87" s="14">
        <f t="shared" si="127"/>
        <v>1.580000000000001</v>
      </c>
      <c r="BO87" s="3">
        <f t="shared" si="90"/>
        <v>4.1847113077491533</v>
      </c>
      <c r="BR87" s="3">
        <f t="shared" si="128"/>
        <v>1.580000000000001</v>
      </c>
      <c r="BS87" s="3">
        <f t="shared" si="129"/>
        <v>1.580000000000001</v>
      </c>
      <c r="BT87" s="3">
        <f t="shared" si="91"/>
        <v>4.1847113077491533</v>
      </c>
      <c r="BW87" s="3">
        <f t="shared" si="130"/>
        <v>1.580000000000001</v>
      </c>
      <c r="BX87" s="14">
        <f t="shared" si="131"/>
        <v>1.580000000000001</v>
      </c>
      <c r="BY87" s="3">
        <f t="shared" si="92"/>
        <v>4.1847113077491533</v>
      </c>
      <c r="CB87" s="3">
        <f t="shared" si="132"/>
        <v>1.580000000000001</v>
      </c>
      <c r="CC87" s="14">
        <f t="shared" si="133"/>
        <v>1.580000000000001</v>
      </c>
      <c r="CD87" s="3">
        <f t="shared" si="93"/>
        <v>4.1847113077491533</v>
      </c>
      <c r="CG87" s="3">
        <f t="shared" si="134"/>
        <v>1.580000000000001</v>
      </c>
      <c r="CH87" s="3">
        <f t="shared" si="135"/>
        <v>1.580000000000001</v>
      </c>
      <c r="CI87" s="3">
        <f t="shared" si="94"/>
        <v>4.1847113077491533</v>
      </c>
      <c r="CL87" s="3">
        <f t="shared" si="136"/>
        <v>1.580000000000001</v>
      </c>
      <c r="CM87" s="14">
        <f t="shared" si="137"/>
        <v>1.580000000000001</v>
      </c>
      <c r="CN87" s="3">
        <f t="shared" si="95"/>
        <v>4.1847113077491533</v>
      </c>
      <c r="CQ87" s="3">
        <f t="shared" si="138"/>
        <v>1.580000000000001</v>
      </c>
      <c r="CR87" s="14">
        <f t="shared" si="139"/>
        <v>1.580000000000001</v>
      </c>
      <c r="CS87" s="3">
        <f t="shared" si="96"/>
        <v>4.1847113077491533</v>
      </c>
      <c r="CV87" s="3">
        <f t="shared" si="140"/>
        <v>1.580000000000001</v>
      </c>
      <c r="CW87" s="3">
        <f t="shared" si="141"/>
        <v>1.580000000000001</v>
      </c>
      <c r="CX87" s="3">
        <f t="shared" si="97"/>
        <v>4.1847113077491533</v>
      </c>
      <c r="DA87" s="3">
        <f t="shared" si="142"/>
        <v>1.580000000000001</v>
      </c>
      <c r="DB87" s="14">
        <f t="shared" si="143"/>
        <v>1.580000000000001</v>
      </c>
      <c r="DC87" s="3">
        <f t="shared" si="98"/>
        <v>4.1847113077491533</v>
      </c>
      <c r="DF87" s="3">
        <f t="shared" si="144"/>
        <v>1.580000000000001</v>
      </c>
      <c r="DG87" s="14">
        <f t="shared" si="145"/>
        <v>1.580000000000001</v>
      </c>
      <c r="DH87" s="3">
        <f t="shared" si="99"/>
        <v>4.1847113077491533</v>
      </c>
      <c r="DK87" s="3">
        <f t="shared" si="146"/>
        <v>1.580000000000001</v>
      </c>
      <c r="DL87" s="3">
        <f t="shared" si="147"/>
        <v>1.580000000000001</v>
      </c>
      <c r="DM87" s="3">
        <f t="shared" si="100"/>
        <v>4.1847113077491533</v>
      </c>
      <c r="DP87" s="3">
        <f t="shared" si="148"/>
        <v>1.580000000000001</v>
      </c>
      <c r="DQ87" s="14">
        <f t="shared" si="149"/>
        <v>1.580000000000001</v>
      </c>
      <c r="DR87" s="3">
        <f t="shared" si="101"/>
        <v>4.1847113077491533</v>
      </c>
      <c r="DU87" s="3">
        <f t="shared" si="150"/>
        <v>1.580000000000001</v>
      </c>
      <c r="DV87" s="14">
        <f t="shared" si="151"/>
        <v>1.580000000000001</v>
      </c>
      <c r="DW87" s="3">
        <f t="shared" si="102"/>
        <v>4.1847113077491533</v>
      </c>
      <c r="DZ87" s="3">
        <f t="shared" si="152"/>
        <v>1.580000000000001</v>
      </c>
      <c r="EA87" s="3">
        <f t="shared" si="153"/>
        <v>1.580000000000001</v>
      </c>
      <c r="EB87" s="3">
        <f t="shared" si="103"/>
        <v>4.1847113077491533</v>
      </c>
      <c r="EE87" s="3">
        <f t="shared" si="154"/>
        <v>1.580000000000001</v>
      </c>
      <c r="EF87" s="14">
        <f t="shared" si="155"/>
        <v>1.580000000000001</v>
      </c>
      <c r="EG87" s="3">
        <f t="shared" si="104"/>
        <v>4.1847113077491533</v>
      </c>
      <c r="EJ87" s="3">
        <f t="shared" si="156"/>
        <v>1.580000000000001</v>
      </c>
      <c r="EK87" s="14">
        <f t="shared" si="157"/>
        <v>1.580000000000001</v>
      </c>
      <c r="EL87" s="3">
        <f t="shared" si="105"/>
        <v>4.1847113077491533</v>
      </c>
      <c r="EO87" s="3">
        <f t="shared" si="158"/>
        <v>1.580000000000001</v>
      </c>
      <c r="EP87" s="3">
        <f t="shared" si="159"/>
        <v>1.580000000000001</v>
      </c>
      <c r="EQ87" s="3">
        <f t="shared" si="106"/>
        <v>4.1847113077491533</v>
      </c>
      <c r="ET87" s="3">
        <f t="shared" si="160"/>
        <v>1.580000000000001</v>
      </c>
      <c r="EU87" s="14">
        <f t="shared" si="161"/>
        <v>1.580000000000001</v>
      </c>
      <c r="EV87" s="3">
        <f t="shared" si="107"/>
        <v>4.1847113077491533</v>
      </c>
    </row>
    <row r="88" spans="20:152" s="3" customFormat="1" x14ac:dyDescent="0.25">
      <c r="T88" s="3">
        <f t="shared" si="108"/>
        <v>1.600000000000001</v>
      </c>
      <c r="U88" s="14">
        <f t="shared" si="109"/>
        <v>1.600000000000001</v>
      </c>
      <c r="V88" s="3">
        <f t="shared" si="81"/>
        <v>4.1268101822776631</v>
      </c>
      <c r="Y88" s="3">
        <f t="shared" si="110"/>
        <v>1.600000000000001</v>
      </c>
      <c r="Z88" s="3">
        <f t="shared" si="111"/>
        <v>1.600000000000001</v>
      </c>
      <c r="AA88" s="3">
        <f t="shared" si="82"/>
        <v>4.1268101822776631</v>
      </c>
      <c r="AD88" s="3">
        <f t="shared" si="112"/>
        <v>1.600000000000001</v>
      </c>
      <c r="AE88" s="14">
        <f t="shared" si="113"/>
        <v>1.600000000000001</v>
      </c>
      <c r="AF88" s="3">
        <f t="shared" si="83"/>
        <v>4.1268101822776631</v>
      </c>
      <c r="AI88" s="3">
        <f t="shared" si="114"/>
        <v>1.600000000000001</v>
      </c>
      <c r="AJ88" s="14">
        <f t="shared" si="115"/>
        <v>1.600000000000001</v>
      </c>
      <c r="AK88" s="3">
        <f t="shared" si="84"/>
        <v>4.1268101822776631</v>
      </c>
      <c r="AN88" s="3">
        <f t="shared" si="116"/>
        <v>1.600000000000001</v>
      </c>
      <c r="AO88" s="3">
        <f t="shared" si="117"/>
        <v>1.600000000000001</v>
      </c>
      <c r="AP88" s="3">
        <f t="shared" si="85"/>
        <v>4.1268101822776631</v>
      </c>
      <c r="AS88" s="3">
        <f t="shared" si="118"/>
        <v>1.600000000000001</v>
      </c>
      <c r="AT88" s="14">
        <f t="shared" si="119"/>
        <v>1.600000000000001</v>
      </c>
      <c r="AU88" s="3">
        <f t="shared" si="86"/>
        <v>4.1268101822776631</v>
      </c>
      <c r="AX88" s="3">
        <f t="shared" si="120"/>
        <v>1.600000000000001</v>
      </c>
      <c r="AY88" s="14">
        <f t="shared" si="121"/>
        <v>1.600000000000001</v>
      </c>
      <c r="AZ88" s="3">
        <f t="shared" si="87"/>
        <v>4.1268101822776631</v>
      </c>
      <c r="BC88" s="3">
        <f t="shared" si="122"/>
        <v>1.600000000000001</v>
      </c>
      <c r="BD88" s="3">
        <f t="shared" si="123"/>
        <v>1.600000000000001</v>
      </c>
      <c r="BE88" s="3">
        <f t="shared" si="88"/>
        <v>4.1268101822776631</v>
      </c>
      <c r="BH88" s="3">
        <f t="shared" si="124"/>
        <v>1.600000000000001</v>
      </c>
      <c r="BI88" s="14">
        <f t="shared" si="125"/>
        <v>1.600000000000001</v>
      </c>
      <c r="BJ88" s="3">
        <f t="shared" si="89"/>
        <v>4.1268101822776631</v>
      </c>
      <c r="BM88" s="3">
        <f t="shared" si="126"/>
        <v>1.600000000000001</v>
      </c>
      <c r="BN88" s="14">
        <f t="shared" si="127"/>
        <v>1.600000000000001</v>
      </c>
      <c r="BO88" s="3">
        <f t="shared" si="90"/>
        <v>4.1268101822776631</v>
      </c>
      <c r="BR88" s="3">
        <f t="shared" si="128"/>
        <v>1.600000000000001</v>
      </c>
      <c r="BS88" s="3">
        <f t="shared" si="129"/>
        <v>1.600000000000001</v>
      </c>
      <c r="BT88" s="3">
        <f t="shared" si="91"/>
        <v>4.1268101822776631</v>
      </c>
      <c r="BW88" s="3">
        <f t="shared" si="130"/>
        <v>1.600000000000001</v>
      </c>
      <c r="BX88" s="14">
        <f t="shared" si="131"/>
        <v>1.600000000000001</v>
      </c>
      <c r="BY88" s="3">
        <f t="shared" si="92"/>
        <v>4.1268101822776631</v>
      </c>
      <c r="CB88" s="3">
        <f t="shared" si="132"/>
        <v>1.600000000000001</v>
      </c>
      <c r="CC88" s="14">
        <f t="shared" si="133"/>
        <v>1.600000000000001</v>
      </c>
      <c r="CD88" s="3">
        <f t="shared" si="93"/>
        <v>4.1268101822776631</v>
      </c>
      <c r="CG88" s="3">
        <f t="shared" si="134"/>
        <v>1.600000000000001</v>
      </c>
      <c r="CH88" s="3">
        <f t="shared" si="135"/>
        <v>1.600000000000001</v>
      </c>
      <c r="CI88" s="3">
        <f t="shared" si="94"/>
        <v>4.1268101822776631</v>
      </c>
      <c r="CL88" s="3">
        <f t="shared" si="136"/>
        <v>1.600000000000001</v>
      </c>
      <c r="CM88" s="14">
        <f t="shared" si="137"/>
        <v>1.600000000000001</v>
      </c>
      <c r="CN88" s="3">
        <f t="shared" si="95"/>
        <v>4.1268101822776631</v>
      </c>
      <c r="CQ88" s="3">
        <f t="shared" si="138"/>
        <v>1.600000000000001</v>
      </c>
      <c r="CR88" s="14">
        <f t="shared" si="139"/>
        <v>1.600000000000001</v>
      </c>
      <c r="CS88" s="3">
        <f t="shared" si="96"/>
        <v>4.1268101822776631</v>
      </c>
      <c r="CV88" s="3">
        <f t="shared" si="140"/>
        <v>1.600000000000001</v>
      </c>
      <c r="CW88" s="3">
        <f t="shared" si="141"/>
        <v>1.600000000000001</v>
      </c>
      <c r="CX88" s="3">
        <f t="shared" si="97"/>
        <v>4.1268101822776631</v>
      </c>
      <c r="DA88" s="3">
        <f t="shared" si="142"/>
        <v>1.600000000000001</v>
      </c>
      <c r="DB88" s="14">
        <f t="shared" si="143"/>
        <v>1.600000000000001</v>
      </c>
      <c r="DC88" s="3">
        <f t="shared" si="98"/>
        <v>4.1268101822776631</v>
      </c>
      <c r="DF88" s="3">
        <f t="shared" si="144"/>
        <v>1.600000000000001</v>
      </c>
      <c r="DG88" s="14">
        <f t="shared" si="145"/>
        <v>1.600000000000001</v>
      </c>
      <c r="DH88" s="3">
        <f t="shared" si="99"/>
        <v>4.1268101822776631</v>
      </c>
      <c r="DK88" s="3">
        <f t="shared" si="146"/>
        <v>1.600000000000001</v>
      </c>
      <c r="DL88" s="3">
        <f t="shared" si="147"/>
        <v>1.600000000000001</v>
      </c>
      <c r="DM88" s="3">
        <f t="shared" si="100"/>
        <v>4.1268101822776631</v>
      </c>
      <c r="DP88" s="3">
        <f t="shared" si="148"/>
        <v>1.600000000000001</v>
      </c>
      <c r="DQ88" s="14">
        <f t="shared" si="149"/>
        <v>1.600000000000001</v>
      </c>
      <c r="DR88" s="3">
        <f t="shared" si="101"/>
        <v>4.1268101822776631</v>
      </c>
      <c r="DU88" s="3">
        <f t="shared" si="150"/>
        <v>1.600000000000001</v>
      </c>
      <c r="DV88" s="14">
        <f t="shared" si="151"/>
        <v>1.600000000000001</v>
      </c>
      <c r="DW88" s="3">
        <f t="shared" si="102"/>
        <v>4.1268101822776631</v>
      </c>
      <c r="DZ88" s="3">
        <f t="shared" si="152"/>
        <v>1.600000000000001</v>
      </c>
      <c r="EA88" s="3">
        <f t="shared" si="153"/>
        <v>1.600000000000001</v>
      </c>
      <c r="EB88" s="3">
        <f t="shared" si="103"/>
        <v>4.1268101822776631</v>
      </c>
      <c r="EE88" s="3">
        <f t="shared" si="154"/>
        <v>1.600000000000001</v>
      </c>
      <c r="EF88" s="14">
        <f t="shared" si="155"/>
        <v>1.600000000000001</v>
      </c>
      <c r="EG88" s="3">
        <f t="shared" si="104"/>
        <v>4.1268101822776631</v>
      </c>
      <c r="EJ88" s="3">
        <f t="shared" si="156"/>
        <v>1.600000000000001</v>
      </c>
      <c r="EK88" s="14">
        <f t="shared" si="157"/>
        <v>1.600000000000001</v>
      </c>
      <c r="EL88" s="3">
        <f t="shared" si="105"/>
        <v>4.1268101822776631</v>
      </c>
      <c r="EO88" s="3">
        <f t="shared" si="158"/>
        <v>1.600000000000001</v>
      </c>
      <c r="EP88" s="3">
        <f t="shared" si="159"/>
        <v>1.600000000000001</v>
      </c>
      <c r="EQ88" s="3">
        <f t="shared" si="106"/>
        <v>4.1268101822776631</v>
      </c>
      <c r="ET88" s="3">
        <f t="shared" si="160"/>
        <v>1.600000000000001</v>
      </c>
      <c r="EU88" s="14">
        <f t="shared" si="161"/>
        <v>1.600000000000001</v>
      </c>
      <c r="EV88" s="3">
        <f t="shared" si="107"/>
        <v>4.1268101822776631</v>
      </c>
    </row>
    <row r="89" spans="20:152" s="3" customFormat="1" x14ac:dyDescent="0.25">
      <c r="T89" s="3">
        <f t="shared" si="108"/>
        <v>1.620000000000001</v>
      </c>
      <c r="U89" s="14">
        <f t="shared" si="109"/>
        <v>1.620000000000001</v>
      </c>
      <c r="V89" s="3">
        <f t="shared" si="81"/>
        <v>4.0662005440783302</v>
      </c>
      <c r="Y89" s="3">
        <f t="shared" si="110"/>
        <v>1.620000000000001</v>
      </c>
      <c r="Z89" s="3">
        <f t="shared" si="111"/>
        <v>1.620000000000001</v>
      </c>
      <c r="AA89" s="3">
        <f t="shared" si="82"/>
        <v>4.0662005440783302</v>
      </c>
      <c r="AD89" s="3">
        <f t="shared" si="112"/>
        <v>1.620000000000001</v>
      </c>
      <c r="AE89" s="14">
        <f t="shared" si="113"/>
        <v>1.620000000000001</v>
      </c>
      <c r="AF89" s="3">
        <f t="shared" si="83"/>
        <v>4.0662005440783302</v>
      </c>
      <c r="AI89" s="3">
        <f t="shared" si="114"/>
        <v>1.620000000000001</v>
      </c>
      <c r="AJ89" s="14">
        <f t="shared" si="115"/>
        <v>1.620000000000001</v>
      </c>
      <c r="AK89" s="3">
        <f t="shared" si="84"/>
        <v>4.0662005440783302</v>
      </c>
      <c r="AN89" s="3">
        <f t="shared" si="116"/>
        <v>1.620000000000001</v>
      </c>
      <c r="AO89" s="3">
        <f t="shared" si="117"/>
        <v>1.620000000000001</v>
      </c>
      <c r="AP89" s="3">
        <f t="shared" si="85"/>
        <v>4.0662005440783302</v>
      </c>
      <c r="AS89" s="3">
        <f t="shared" si="118"/>
        <v>1.620000000000001</v>
      </c>
      <c r="AT89" s="14">
        <f t="shared" si="119"/>
        <v>1.620000000000001</v>
      </c>
      <c r="AU89" s="3">
        <f t="shared" si="86"/>
        <v>4.0662005440783302</v>
      </c>
      <c r="AX89" s="3">
        <f t="shared" si="120"/>
        <v>1.620000000000001</v>
      </c>
      <c r="AY89" s="14">
        <f t="shared" si="121"/>
        <v>1.620000000000001</v>
      </c>
      <c r="AZ89" s="3">
        <f t="shared" si="87"/>
        <v>4.0662005440783302</v>
      </c>
      <c r="BC89" s="3">
        <f t="shared" si="122"/>
        <v>1.620000000000001</v>
      </c>
      <c r="BD89" s="3">
        <f t="shared" si="123"/>
        <v>1.620000000000001</v>
      </c>
      <c r="BE89" s="3">
        <f t="shared" si="88"/>
        <v>4.0662005440783302</v>
      </c>
      <c r="BH89" s="3">
        <f t="shared" si="124"/>
        <v>1.620000000000001</v>
      </c>
      <c r="BI89" s="14">
        <f t="shared" si="125"/>
        <v>1.620000000000001</v>
      </c>
      <c r="BJ89" s="3">
        <f t="shared" si="89"/>
        <v>4.0662005440783302</v>
      </c>
      <c r="BM89" s="3">
        <f t="shared" si="126"/>
        <v>1.620000000000001</v>
      </c>
      <c r="BN89" s="14">
        <f t="shared" si="127"/>
        <v>1.620000000000001</v>
      </c>
      <c r="BO89" s="3">
        <f t="shared" si="90"/>
        <v>4.0662005440783302</v>
      </c>
      <c r="BR89" s="3">
        <f t="shared" si="128"/>
        <v>1.620000000000001</v>
      </c>
      <c r="BS89" s="3">
        <f t="shared" si="129"/>
        <v>1.620000000000001</v>
      </c>
      <c r="BT89" s="3">
        <f t="shared" si="91"/>
        <v>4.0662005440783302</v>
      </c>
      <c r="BW89" s="3">
        <f t="shared" si="130"/>
        <v>1.620000000000001</v>
      </c>
      <c r="BX89" s="14">
        <f t="shared" si="131"/>
        <v>1.620000000000001</v>
      </c>
      <c r="BY89" s="3">
        <f t="shared" si="92"/>
        <v>4.0662005440783302</v>
      </c>
      <c r="CB89" s="3">
        <f t="shared" si="132"/>
        <v>1.620000000000001</v>
      </c>
      <c r="CC89" s="14">
        <f t="shared" si="133"/>
        <v>1.620000000000001</v>
      </c>
      <c r="CD89" s="3">
        <f t="shared" si="93"/>
        <v>4.0662005440783302</v>
      </c>
      <c r="CG89" s="3">
        <f t="shared" si="134"/>
        <v>1.620000000000001</v>
      </c>
      <c r="CH89" s="3">
        <f t="shared" si="135"/>
        <v>1.620000000000001</v>
      </c>
      <c r="CI89" s="3">
        <f t="shared" si="94"/>
        <v>4.0662005440783302</v>
      </c>
      <c r="CL89" s="3">
        <f t="shared" si="136"/>
        <v>1.620000000000001</v>
      </c>
      <c r="CM89" s="14">
        <f t="shared" si="137"/>
        <v>1.620000000000001</v>
      </c>
      <c r="CN89" s="3">
        <f t="shared" si="95"/>
        <v>4.0662005440783302</v>
      </c>
      <c r="CQ89" s="3">
        <f t="shared" si="138"/>
        <v>1.620000000000001</v>
      </c>
      <c r="CR89" s="14">
        <f t="shared" si="139"/>
        <v>1.620000000000001</v>
      </c>
      <c r="CS89" s="3">
        <f t="shared" si="96"/>
        <v>4.0662005440783302</v>
      </c>
      <c r="CV89" s="3">
        <f t="shared" si="140"/>
        <v>1.620000000000001</v>
      </c>
      <c r="CW89" s="3">
        <f t="shared" si="141"/>
        <v>1.620000000000001</v>
      </c>
      <c r="CX89" s="3">
        <f t="shared" si="97"/>
        <v>4.0662005440783302</v>
      </c>
      <c r="DA89" s="3">
        <f t="shared" si="142"/>
        <v>1.620000000000001</v>
      </c>
      <c r="DB89" s="14">
        <f t="shared" si="143"/>
        <v>1.620000000000001</v>
      </c>
      <c r="DC89" s="3">
        <f t="shared" si="98"/>
        <v>4.0662005440783302</v>
      </c>
      <c r="DF89" s="3">
        <f t="shared" si="144"/>
        <v>1.620000000000001</v>
      </c>
      <c r="DG89" s="14">
        <f t="shared" si="145"/>
        <v>1.620000000000001</v>
      </c>
      <c r="DH89" s="3">
        <f t="shared" si="99"/>
        <v>4.0662005440783302</v>
      </c>
      <c r="DK89" s="3">
        <f t="shared" si="146"/>
        <v>1.620000000000001</v>
      </c>
      <c r="DL89" s="3">
        <f t="shared" si="147"/>
        <v>1.620000000000001</v>
      </c>
      <c r="DM89" s="3">
        <f t="shared" si="100"/>
        <v>4.0662005440783302</v>
      </c>
      <c r="DP89" s="3">
        <f t="shared" si="148"/>
        <v>1.620000000000001</v>
      </c>
      <c r="DQ89" s="14">
        <f t="shared" si="149"/>
        <v>1.620000000000001</v>
      </c>
      <c r="DR89" s="3">
        <f t="shared" si="101"/>
        <v>4.0662005440783302</v>
      </c>
      <c r="DU89" s="3">
        <f t="shared" si="150"/>
        <v>1.620000000000001</v>
      </c>
      <c r="DV89" s="14">
        <f t="shared" si="151"/>
        <v>1.620000000000001</v>
      </c>
      <c r="DW89" s="3">
        <f t="shared" si="102"/>
        <v>4.0662005440783302</v>
      </c>
      <c r="DZ89" s="3">
        <f t="shared" si="152"/>
        <v>1.620000000000001</v>
      </c>
      <c r="EA89" s="3">
        <f t="shared" si="153"/>
        <v>1.620000000000001</v>
      </c>
      <c r="EB89" s="3">
        <f t="shared" si="103"/>
        <v>4.0662005440783302</v>
      </c>
      <c r="EE89" s="3">
        <f t="shared" si="154"/>
        <v>1.620000000000001</v>
      </c>
      <c r="EF89" s="14">
        <f t="shared" si="155"/>
        <v>1.620000000000001</v>
      </c>
      <c r="EG89" s="3">
        <f t="shared" si="104"/>
        <v>4.0662005440783302</v>
      </c>
      <c r="EJ89" s="3">
        <f t="shared" si="156"/>
        <v>1.620000000000001</v>
      </c>
      <c r="EK89" s="14">
        <f t="shared" si="157"/>
        <v>1.620000000000001</v>
      </c>
      <c r="EL89" s="3">
        <f t="shared" si="105"/>
        <v>4.0662005440783302</v>
      </c>
      <c r="EO89" s="3">
        <f t="shared" si="158"/>
        <v>1.620000000000001</v>
      </c>
      <c r="EP89" s="3">
        <f t="shared" si="159"/>
        <v>1.620000000000001</v>
      </c>
      <c r="EQ89" s="3">
        <f t="shared" si="106"/>
        <v>4.0662005440783302</v>
      </c>
      <c r="ET89" s="3">
        <f t="shared" si="160"/>
        <v>1.620000000000001</v>
      </c>
      <c r="EU89" s="14">
        <f t="shared" si="161"/>
        <v>1.620000000000001</v>
      </c>
      <c r="EV89" s="3">
        <f t="shared" si="107"/>
        <v>4.0662005440783302</v>
      </c>
    </row>
    <row r="90" spans="20:152" s="3" customFormat="1" x14ac:dyDescent="0.25">
      <c r="T90" s="3">
        <f t="shared" si="108"/>
        <v>1.640000000000001</v>
      </c>
      <c r="U90" s="14">
        <f t="shared" si="109"/>
        <v>1.640000000000001</v>
      </c>
      <c r="V90" s="3">
        <f t="shared" si="81"/>
        <v>4.0028823931511459</v>
      </c>
      <c r="Y90" s="3">
        <f t="shared" si="110"/>
        <v>1.640000000000001</v>
      </c>
      <c r="Z90" s="3">
        <f t="shared" si="111"/>
        <v>1.640000000000001</v>
      </c>
      <c r="AA90" s="3">
        <f t="shared" si="82"/>
        <v>4.0028823931511459</v>
      </c>
      <c r="AD90" s="3">
        <f t="shared" si="112"/>
        <v>1.640000000000001</v>
      </c>
      <c r="AE90" s="14">
        <f t="shared" si="113"/>
        <v>1.640000000000001</v>
      </c>
      <c r="AF90" s="3">
        <f t="shared" si="83"/>
        <v>4.0028823931511459</v>
      </c>
      <c r="AI90" s="3">
        <f t="shared" si="114"/>
        <v>1.640000000000001</v>
      </c>
      <c r="AJ90" s="14">
        <f t="shared" si="115"/>
        <v>1.640000000000001</v>
      </c>
      <c r="AK90" s="3">
        <f t="shared" si="84"/>
        <v>4.0028823931511459</v>
      </c>
      <c r="AN90" s="3">
        <f t="shared" si="116"/>
        <v>1.640000000000001</v>
      </c>
      <c r="AO90" s="3">
        <f t="shared" si="117"/>
        <v>1.640000000000001</v>
      </c>
      <c r="AP90" s="3">
        <f t="shared" si="85"/>
        <v>4.0028823931511459</v>
      </c>
      <c r="AS90" s="3">
        <f t="shared" si="118"/>
        <v>1.640000000000001</v>
      </c>
      <c r="AT90" s="14">
        <f t="shared" si="119"/>
        <v>1.640000000000001</v>
      </c>
      <c r="AU90" s="3">
        <f t="shared" si="86"/>
        <v>4.0028823931511459</v>
      </c>
      <c r="AX90" s="3">
        <f t="shared" si="120"/>
        <v>1.640000000000001</v>
      </c>
      <c r="AY90" s="14">
        <f t="shared" si="121"/>
        <v>1.640000000000001</v>
      </c>
      <c r="AZ90" s="3">
        <f t="shared" si="87"/>
        <v>4.0028823931511459</v>
      </c>
      <c r="BC90" s="3">
        <f t="shared" si="122"/>
        <v>1.640000000000001</v>
      </c>
      <c r="BD90" s="3">
        <f t="shared" si="123"/>
        <v>1.640000000000001</v>
      </c>
      <c r="BE90" s="3">
        <f t="shared" si="88"/>
        <v>4.0028823931511459</v>
      </c>
      <c r="BH90" s="3">
        <f t="shared" si="124"/>
        <v>1.640000000000001</v>
      </c>
      <c r="BI90" s="14">
        <f t="shared" si="125"/>
        <v>1.640000000000001</v>
      </c>
      <c r="BJ90" s="3">
        <f t="shared" si="89"/>
        <v>4.0028823931511459</v>
      </c>
      <c r="BM90" s="3">
        <f t="shared" si="126"/>
        <v>1.640000000000001</v>
      </c>
      <c r="BN90" s="14">
        <f t="shared" si="127"/>
        <v>1.640000000000001</v>
      </c>
      <c r="BO90" s="3">
        <f t="shared" si="90"/>
        <v>4.0028823931511459</v>
      </c>
      <c r="BR90" s="3">
        <f t="shared" si="128"/>
        <v>1.640000000000001</v>
      </c>
      <c r="BS90" s="3">
        <f t="shared" si="129"/>
        <v>1.640000000000001</v>
      </c>
      <c r="BT90" s="3">
        <f t="shared" si="91"/>
        <v>4.0028823931511459</v>
      </c>
      <c r="BW90" s="3">
        <f t="shared" si="130"/>
        <v>1.640000000000001</v>
      </c>
      <c r="BX90" s="14">
        <f t="shared" si="131"/>
        <v>1.640000000000001</v>
      </c>
      <c r="BY90" s="3">
        <f t="shared" si="92"/>
        <v>4.0028823931511459</v>
      </c>
      <c r="CB90" s="3">
        <f t="shared" si="132"/>
        <v>1.640000000000001</v>
      </c>
      <c r="CC90" s="14">
        <f t="shared" si="133"/>
        <v>1.640000000000001</v>
      </c>
      <c r="CD90" s="3">
        <f t="shared" si="93"/>
        <v>4.0028823931511459</v>
      </c>
      <c r="CG90" s="3">
        <f t="shared" si="134"/>
        <v>1.640000000000001</v>
      </c>
      <c r="CH90" s="3">
        <f t="shared" si="135"/>
        <v>1.640000000000001</v>
      </c>
      <c r="CI90" s="3">
        <f t="shared" si="94"/>
        <v>4.0028823931511459</v>
      </c>
      <c r="CL90" s="3">
        <f t="shared" si="136"/>
        <v>1.640000000000001</v>
      </c>
      <c r="CM90" s="14">
        <f t="shared" si="137"/>
        <v>1.640000000000001</v>
      </c>
      <c r="CN90" s="3">
        <f t="shared" si="95"/>
        <v>4.0028823931511459</v>
      </c>
      <c r="CQ90" s="3">
        <f t="shared" si="138"/>
        <v>1.640000000000001</v>
      </c>
      <c r="CR90" s="14">
        <f t="shared" si="139"/>
        <v>1.640000000000001</v>
      </c>
      <c r="CS90" s="3">
        <f t="shared" si="96"/>
        <v>4.0028823931511459</v>
      </c>
      <c r="CV90" s="3">
        <f t="shared" si="140"/>
        <v>1.640000000000001</v>
      </c>
      <c r="CW90" s="3">
        <f t="shared" si="141"/>
        <v>1.640000000000001</v>
      </c>
      <c r="CX90" s="3">
        <f t="shared" si="97"/>
        <v>4.0028823931511459</v>
      </c>
      <c r="DA90" s="3">
        <f t="shared" si="142"/>
        <v>1.640000000000001</v>
      </c>
      <c r="DB90" s="14">
        <f t="shared" si="143"/>
        <v>1.640000000000001</v>
      </c>
      <c r="DC90" s="3">
        <f t="shared" si="98"/>
        <v>4.0028823931511459</v>
      </c>
      <c r="DF90" s="3">
        <f t="shared" si="144"/>
        <v>1.640000000000001</v>
      </c>
      <c r="DG90" s="14">
        <f t="shared" si="145"/>
        <v>1.640000000000001</v>
      </c>
      <c r="DH90" s="3">
        <f t="shared" si="99"/>
        <v>4.0028823931511459</v>
      </c>
      <c r="DK90" s="3">
        <f t="shared" si="146"/>
        <v>1.640000000000001</v>
      </c>
      <c r="DL90" s="3">
        <f t="shared" si="147"/>
        <v>1.640000000000001</v>
      </c>
      <c r="DM90" s="3">
        <f t="shared" si="100"/>
        <v>4.0028823931511459</v>
      </c>
      <c r="DP90" s="3">
        <f t="shared" si="148"/>
        <v>1.640000000000001</v>
      </c>
      <c r="DQ90" s="14">
        <f t="shared" si="149"/>
        <v>1.640000000000001</v>
      </c>
      <c r="DR90" s="3">
        <f t="shared" si="101"/>
        <v>4.0028823931511459</v>
      </c>
      <c r="DU90" s="3">
        <f t="shared" si="150"/>
        <v>1.640000000000001</v>
      </c>
      <c r="DV90" s="14">
        <f t="shared" si="151"/>
        <v>1.640000000000001</v>
      </c>
      <c r="DW90" s="3">
        <f t="shared" si="102"/>
        <v>4.0028823931511459</v>
      </c>
      <c r="DZ90" s="3">
        <f t="shared" si="152"/>
        <v>1.640000000000001</v>
      </c>
      <c r="EA90" s="3">
        <f t="shared" si="153"/>
        <v>1.640000000000001</v>
      </c>
      <c r="EB90" s="3">
        <f t="shared" si="103"/>
        <v>4.0028823931511459</v>
      </c>
      <c r="EE90" s="3">
        <f t="shared" si="154"/>
        <v>1.640000000000001</v>
      </c>
      <c r="EF90" s="14">
        <f t="shared" si="155"/>
        <v>1.640000000000001</v>
      </c>
      <c r="EG90" s="3">
        <f t="shared" si="104"/>
        <v>4.0028823931511459</v>
      </c>
      <c r="EJ90" s="3">
        <f t="shared" si="156"/>
        <v>1.640000000000001</v>
      </c>
      <c r="EK90" s="14">
        <f t="shared" si="157"/>
        <v>1.640000000000001</v>
      </c>
      <c r="EL90" s="3">
        <f t="shared" si="105"/>
        <v>4.0028823931511459</v>
      </c>
      <c r="EO90" s="3">
        <f t="shared" si="158"/>
        <v>1.640000000000001</v>
      </c>
      <c r="EP90" s="3">
        <f t="shared" si="159"/>
        <v>1.640000000000001</v>
      </c>
      <c r="EQ90" s="3">
        <f t="shared" si="106"/>
        <v>4.0028823931511459</v>
      </c>
      <c r="ET90" s="3">
        <f t="shared" si="160"/>
        <v>1.640000000000001</v>
      </c>
      <c r="EU90" s="14">
        <f t="shared" si="161"/>
        <v>1.640000000000001</v>
      </c>
      <c r="EV90" s="3">
        <f t="shared" si="107"/>
        <v>4.0028823931511459</v>
      </c>
    </row>
    <row r="91" spans="20:152" s="3" customFormat="1" x14ac:dyDescent="0.25">
      <c r="T91" s="3">
        <f t="shared" si="108"/>
        <v>1.660000000000001</v>
      </c>
      <c r="U91" s="14">
        <f t="shared" si="109"/>
        <v>1.660000000000001</v>
      </c>
      <c r="V91" s="3">
        <f t="shared" si="81"/>
        <v>3.9368557294961137</v>
      </c>
      <c r="Y91" s="3">
        <f t="shared" si="110"/>
        <v>1.660000000000001</v>
      </c>
      <c r="Z91" s="3">
        <f t="shared" si="111"/>
        <v>1.660000000000001</v>
      </c>
      <c r="AA91" s="3">
        <f t="shared" si="82"/>
        <v>3.9368557294961137</v>
      </c>
      <c r="AD91" s="3">
        <f t="shared" si="112"/>
        <v>1.660000000000001</v>
      </c>
      <c r="AE91" s="14">
        <f t="shared" si="113"/>
        <v>1.660000000000001</v>
      </c>
      <c r="AF91" s="3">
        <f t="shared" si="83"/>
        <v>3.9368557294961137</v>
      </c>
      <c r="AI91" s="3">
        <f t="shared" si="114"/>
        <v>1.660000000000001</v>
      </c>
      <c r="AJ91" s="14">
        <f t="shared" si="115"/>
        <v>1.660000000000001</v>
      </c>
      <c r="AK91" s="3">
        <f t="shared" si="84"/>
        <v>3.9368557294961137</v>
      </c>
      <c r="AN91" s="3">
        <f t="shared" si="116"/>
        <v>1.660000000000001</v>
      </c>
      <c r="AO91" s="3">
        <f t="shared" si="117"/>
        <v>1.660000000000001</v>
      </c>
      <c r="AP91" s="3">
        <f t="shared" si="85"/>
        <v>3.9368557294961137</v>
      </c>
      <c r="AS91" s="3">
        <f t="shared" si="118"/>
        <v>1.660000000000001</v>
      </c>
      <c r="AT91" s="14">
        <f t="shared" si="119"/>
        <v>1.660000000000001</v>
      </c>
      <c r="AU91" s="3">
        <f t="shared" si="86"/>
        <v>3.9368557294961137</v>
      </c>
      <c r="AX91" s="3">
        <f t="shared" si="120"/>
        <v>1.660000000000001</v>
      </c>
      <c r="AY91" s="14">
        <f t="shared" si="121"/>
        <v>1.660000000000001</v>
      </c>
      <c r="AZ91" s="3">
        <f t="shared" si="87"/>
        <v>3.9368557294961137</v>
      </c>
      <c r="BC91" s="3">
        <f t="shared" si="122"/>
        <v>1.660000000000001</v>
      </c>
      <c r="BD91" s="3">
        <f t="shared" si="123"/>
        <v>1.660000000000001</v>
      </c>
      <c r="BE91" s="3">
        <f t="shared" si="88"/>
        <v>3.9368557294961137</v>
      </c>
      <c r="BH91" s="3">
        <f t="shared" si="124"/>
        <v>1.660000000000001</v>
      </c>
      <c r="BI91" s="14">
        <f t="shared" si="125"/>
        <v>1.660000000000001</v>
      </c>
      <c r="BJ91" s="3">
        <f t="shared" si="89"/>
        <v>3.9368557294961137</v>
      </c>
      <c r="BM91" s="3">
        <f t="shared" si="126"/>
        <v>1.660000000000001</v>
      </c>
      <c r="BN91" s="14">
        <f t="shared" si="127"/>
        <v>1.660000000000001</v>
      </c>
      <c r="BO91" s="3">
        <f t="shared" si="90"/>
        <v>3.9368557294961137</v>
      </c>
      <c r="BR91" s="3">
        <f t="shared" si="128"/>
        <v>1.660000000000001</v>
      </c>
      <c r="BS91" s="3">
        <f t="shared" si="129"/>
        <v>1.660000000000001</v>
      </c>
      <c r="BT91" s="3">
        <f t="shared" si="91"/>
        <v>3.9368557294961137</v>
      </c>
      <c r="BW91" s="3">
        <f t="shared" si="130"/>
        <v>1.660000000000001</v>
      </c>
      <c r="BX91" s="14">
        <f t="shared" si="131"/>
        <v>1.660000000000001</v>
      </c>
      <c r="BY91" s="3">
        <f t="shared" si="92"/>
        <v>3.9368557294961137</v>
      </c>
      <c r="CB91" s="3">
        <f t="shared" si="132"/>
        <v>1.660000000000001</v>
      </c>
      <c r="CC91" s="14">
        <f t="shared" si="133"/>
        <v>1.660000000000001</v>
      </c>
      <c r="CD91" s="3">
        <f t="shared" si="93"/>
        <v>3.9368557294961137</v>
      </c>
      <c r="CG91" s="3">
        <f t="shared" si="134"/>
        <v>1.660000000000001</v>
      </c>
      <c r="CH91" s="3">
        <f t="shared" si="135"/>
        <v>1.660000000000001</v>
      </c>
      <c r="CI91" s="3">
        <f t="shared" si="94"/>
        <v>3.9368557294961137</v>
      </c>
      <c r="CL91" s="3">
        <f t="shared" si="136"/>
        <v>1.660000000000001</v>
      </c>
      <c r="CM91" s="14">
        <f t="shared" si="137"/>
        <v>1.660000000000001</v>
      </c>
      <c r="CN91" s="3">
        <f t="shared" si="95"/>
        <v>3.9368557294961137</v>
      </c>
      <c r="CQ91" s="3">
        <f t="shared" si="138"/>
        <v>1.660000000000001</v>
      </c>
      <c r="CR91" s="14">
        <f t="shared" si="139"/>
        <v>1.660000000000001</v>
      </c>
      <c r="CS91" s="3">
        <f t="shared" si="96"/>
        <v>3.9368557294961137</v>
      </c>
      <c r="CV91" s="3">
        <f t="shared" si="140"/>
        <v>1.660000000000001</v>
      </c>
      <c r="CW91" s="3">
        <f t="shared" si="141"/>
        <v>1.660000000000001</v>
      </c>
      <c r="CX91" s="3">
        <f t="shared" si="97"/>
        <v>3.9368557294961137</v>
      </c>
      <c r="DA91" s="3">
        <f t="shared" si="142"/>
        <v>1.660000000000001</v>
      </c>
      <c r="DB91" s="14">
        <f t="shared" si="143"/>
        <v>1.660000000000001</v>
      </c>
      <c r="DC91" s="3">
        <f t="shared" si="98"/>
        <v>3.9368557294961137</v>
      </c>
      <c r="DF91" s="3">
        <f t="shared" si="144"/>
        <v>1.660000000000001</v>
      </c>
      <c r="DG91" s="14">
        <f t="shared" si="145"/>
        <v>1.660000000000001</v>
      </c>
      <c r="DH91" s="3">
        <f t="shared" si="99"/>
        <v>3.9368557294961137</v>
      </c>
      <c r="DK91" s="3">
        <f t="shared" si="146"/>
        <v>1.660000000000001</v>
      </c>
      <c r="DL91" s="3">
        <f t="shared" si="147"/>
        <v>1.660000000000001</v>
      </c>
      <c r="DM91" s="3">
        <f t="shared" si="100"/>
        <v>3.9368557294961137</v>
      </c>
      <c r="DP91" s="3">
        <f t="shared" si="148"/>
        <v>1.660000000000001</v>
      </c>
      <c r="DQ91" s="14">
        <f t="shared" si="149"/>
        <v>1.660000000000001</v>
      </c>
      <c r="DR91" s="3">
        <f t="shared" si="101"/>
        <v>3.9368557294961137</v>
      </c>
      <c r="DU91" s="3">
        <f t="shared" si="150"/>
        <v>1.660000000000001</v>
      </c>
      <c r="DV91" s="14">
        <f t="shared" si="151"/>
        <v>1.660000000000001</v>
      </c>
      <c r="DW91" s="3">
        <f t="shared" si="102"/>
        <v>3.9368557294961137</v>
      </c>
      <c r="DZ91" s="3">
        <f t="shared" si="152"/>
        <v>1.660000000000001</v>
      </c>
      <c r="EA91" s="3">
        <f t="shared" si="153"/>
        <v>1.660000000000001</v>
      </c>
      <c r="EB91" s="3">
        <f t="shared" si="103"/>
        <v>3.9368557294961137</v>
      </c>
      <c r="EE91" s="3">
        <f t="shared" si="154"/>
        <v>1.660000000000001</v>
      </c>
      <c r="EF91" s="14">
        <f t="shared" si="155"/>
        <v>1.660000000000001</v>
      </c>
      <c r="EG91" s="3">
        <f t="shared" si="104"/>
        <v>3.9368557294961137</v>
      </c>
      <c r="EJ91" s="3">
        <f t="shared" si="156"/>
        <v>1.660000000000001</v>
      </c>
      <c r="EK91" s="14">
        <f t="shared" si="157"/>
        <v>1.660000000000001</v>
      </c>
      <c r="EL91" s="3">
        <f t="shared" si="105"/>
        <v>3.9368557294961137</v>
      </c>
      <c r="EO91" s="3">
        <f t="shared" si="158"/>
        <v>1.660000000000001</v>
      </c>
      <c r="EP91" s="3">
        <f t="shared" si="159"/>
        <v>1.660000000000001</v>
      </c>
      <c r="EQ91" s="3">
        <f t="shared" si="106"/>
        <v>3.9368557294961137</v>
      </c>
      <c r="ET91" s="3">
        <f t="shared" si="160"/>
        <v>1.660000000000001</v>
      </c>
      <c r="EU91" s="14">
        <f t="shared" si="161"/>
        <v>1.660000000000001</v>
      </c>
      <c r="EV91" s="3">
        <f t="shared" si="107"/>
        <v>3.9368557294961137</v>
      </c>
    </row>
    <row r="92" spans="20:152" s="3" customFormat="1" x14ac:dyDescent="0.25">
      <c r="T92" s="3">
        <f t="shared" si="108"/>
        <v>1.680000000000001</v>
      </c>
      <c r="U92" s="14">
        <f t="shared" si="109"/>
        <v>1.680000000000001</v>
      </c>
      <c r="V92" s="3">
        <f t="shared" si="81"/>
        <v>3.8681205531132354</v>
      </c>
      <c r="Y92" s="3">
        <f t="shared" si="110"/>
        <v>1.680000000000001</v>
      </c>
      <c r="Z92" s="3">
        <f t="shared" si="111"/>
        <v>1.680000000000001</v>
      </c>
      <c r="AA92" s="3">
        <f t="shared" si="82"/>
        <v>3.8681205531132354</v>
      </c>
      <c r="AD92" s="3">
        <f t="shared" si="112"/>
        <v>1.680000000000001</v>
      </c>
      <c r="AE92" s="14">
        <f t="shared" si="113"/>
        <v>1.680000000000001</v>
      </c>
      <c r="AF92" s="3">
        <f t="shared" si="83"/>
        <v>3.8681205531132354</v>
      </c>
      <c r="AI92" s="3">
        <f t="shared" si="114"/>
        <v>1.680000000000001</v>
      </c>
      <c r="AJ92" s="14">
        <f t="shared" si="115"/>
        <v>1.680000000000001</v>
      </c>
      <c r="AK92" s="3">
        <f t="shared" si="84"/>
        <v>3.8681205531132354</v>
      </c>
      <c r="AN92" s="3">
        <f t="shared" si="116"/>
        <v>1.680000000000001</v>
      </c>
      <c r="AO92" s="3">
        <f t="shared" si="117"/>
        <v>1.680000000000001</v>
      </c>
      <c r="AP92" s="3">
        <f t="shared" si="85"/>
        <v>3.8681205531132354</v>
      </c>
      <c r="AS92" s="3">
        <f t="shared" si="118"/>
        <v>1.680000000000001</v>
      </c>
      <c r="AT92" s="14">
        <f t="shared" si="119"/>
        <v>1.680000000000001</v>
      </c>
      <c r="AU92" s="3">
        <f t="shared" si="86"/>
        <v>3.8681205531132354</v>
      </c>
      <c r="AX92" s="3">
        <f t="shared" si="120"/>
        <v>1.680000000000001</v>
      </c>
      <c r="AY92" s="14">
        <f t="shared" si="121"/>
        <v>1.680000000000001</v>
      </c>
      <c r="AZ92" s="3">
        <f t="shared" si="87"/>
        <v>3.8681205531132354</v>
      </c>
      <c r="BC92" s="3">
        <f t="shared" si="122"/>
        <v>1.680000000000001</v>
      </c>
      <c r="BD92" s="3">
        <f t="shared" si="123"/>
        <v>1.680000000000001</v>
      </c>
      <c r="BE92" s="3">
        <f t="shared" si="88"/>
        <v>3.8681205531132354</v>
      </c>
      <c r="BH92" s="3">
        <f t="shared" si="124"/>
        <v>1.680000000000001</v>
      </c>
      <c r="BI92" s="14">
        <f t="shared" si="125"/>
        <v>1.680000000000001</v>
      </c>
      <c r="BJ92" s="3">
        <f t="shared" si="89"/>
        <v>3.8681205531132354</v>
      </c>
      <c r="BM92" s="3">
        <f t="shared" si="126"/>
        <v>1.680000000000001</v>
      </c>
      <c r="BN92" s="14">
        <f t="shared" si="127"/>
        <v>1.680000000000001</v>
      </c>
      <c r="BO92" s="3">
        <f t="shared" si="90"/>
        <v>3.8681205531132354</v>
      </c>
      <c r="BR92" s="3">
        <f t="shared" si="128"/>
        <v>1.680000000000001</v>
      </c>
      <c r="BS92" s="3">
        <f t="shared" si="129"/>
        <v>1.680000000000001</v>
      </c>
      <c r="BT92" s="3">
        <f t="shared" si="91"/>
        <v>3.8681205531132354</v>
      </c>
      <c r="BW92" s="3">
        <f t="shared" si="130"/>
        <v>1.680000000000001</v>
      </c>
      <c r="BX92" s="14">
        <f t="shared" si="131"/>
        <v>1.680000000000001</v>
      </c>
      <c r="BY92" s="3">
        <f t="shared" si="92"/>
        <v>3.8681205531132354</v>
      </c>
      <c r="CB92" s="3">
        <f t="shared" si="132"/>
        <v>1.680000000000001</v>
      </c>
      <c r="CC92" s="14">
        <f t="shared" si="133"/>
        <v>1.680000000000001</v>
      </c>
      <c r="CD92" s="3">
        <f t="shared" si="93"/>
        <v>3.8681205531132354</v>
      </c>
      <c r="CG92" s="3">
        <f t="shared" si="134"/>
        <v>1.680000000000001</v>
      </c>
      <c r="CH92" s="3">
        <f t="shared" si="135"/>
        <v>1.680000000000001</v>
      </c>
      <c r="CI92" s="3">
        <f t="shared" si="94"/>
        <v>3.8681205531132354</v>
      </c>
      <c r="CL92" s="3">
        <f t="shared" si="136"/>
        <v>1.680000000000001</v>
      </c>
      <c r="CM92" s="14">
        <f t="shared" si="137"/>
        <v>1.680000000000001</v>
      </c>
      <c r="CN92" s="3">
        <f t="shared" si="95"/>
        <v>3.8681205531132354</v>
      </c>
      <c r="CQ92" s="3">
        <f t="shared" si="138"/>
        <v>1.680000000000001</v>
      </c>
      <c r="CR92" s="14">
        <f t="shared" si="139"/>
        <v>1.680000000000001</v>
      </c>
      <c r="CS92" s="3">
        <f t="shared" si="96"/>
        <v>3.8681205531132354</v>
      </c>
      <c r="CV92" s="3">
        <f t="shared" si="140"/>
        <v>1.680000000000001</v>
      </c>
      <c r="CW92" s="3">
        <f t="shared" si="141"/>
        <v>1.680000000000001</v>
      </c>
      <c r="CX92" s="3">
        <f t="shared" si="97"/>
        <v>3.8681205531132354</v>
      </c>
      <c r="DA92" s="3">
        <f t="shared" si="142"/>
        <v>1.680000000000001</v>
      </c>
      <c r="DB92" s="14">
        <f t="shared" si="143"/>
        <v>1.680000000000001</v>
      </c>
      <c r="DC92" s="3">
        <f t="shared" si="98"/>
        <v>3.8681205531132354</v>
      </c>
      <c r="DF92" s="3">
        <f t="shared" si="144"/>
        <v>1.680000000000001</v>
      </c>
      <c r="DG92" s="14">
        <f t="shared" si="145"/>
        <v>1.680000000000001</v>
      </c>
      <c r="DH92" s="3">
        <f t="shared" si="99"/>
        <v>3.8681205531132354</v>
      </c>
      <c r="DK92" s="3">
        <f t="shared" si="146"/>
        <v>1.680000000000001</v>
      </c>
      <c r="DL92" s="3">
        <f t="shared" si="147"/>
        <v>1.680000000000001</v>
      </c>
      <c r="DM92" s="3">
        <f t="shared" si="100"/>
        <v>3.8681205531132354</v>
      </c>
      <c r="DP92" s="3">
        <f t="shared" si="148"/>
        <v>1.680000000000001</v>
      </c>
      <c r="DQ92" s="14">
        <f t="shared" si="149"/>
        <v>1.680000000000001</v>
      </c>
      <c r="DR92" s="3">
        <f t="shared" si="101"/>
        <v>3.8681205531132354</v>
      </c>
      <c r="DU92" s="3">
        <f t="shared" si="150"/>
        <v>1.680000000000001</v>
      </c>
      <c r="DV92" s="14">
        <f t="shared" si="151"/>
        <v>1.680000000000001</v>
      </c>
      <c r="DW92" s="3">
        <f t="shared" si="102"/>
        <v>3.8681205531132354</v>
      </c>
      <c r="DZ92" s="3">
        <f t="shared" si="152"/>
        <v>1.680000000000001</v>
      </c>
      <c r="EA92" s="3">
        <f t="shared" si="153"/>
        <v>1.680000000000001</v>
      </c>
      <c r="EB92" s="3">
        <f t="shared" si="103"/>
        <v>3.8681205531132354</v>
      </c>
      <c r="EE92" s="3">
        <f t="shared" si="154"/>
        <v>1.680000000000001</v>
      </c>
      <c r="EF92" s="14">
        <f t="shared" si="155"/>
        <v>1.680000000000001</v>
      </c>
      <c r="EG92" s="3">
        <f t="shared" si="104"/>
        <v>3.8681205531132354</v>
      </c>
      <c r="EJ92" s="3">
        <f t="shared" si="156"/>
        <v>1.680000000000001</v>
      </c>
      <c r="EK92" s="14">
        <f t="shared" si="157"/>
        <v>1.680000000000001</v>
      </c>
      <c r="EL92" s="3">
        <f t="shared" si="105"/>
        <v>3.8681205531132354</v>
      </c>
      <c r="EO92" s="3">
        <f t="shared" si="158"/>
        <v>1.680000000000001</v>
      </c>
      <c r="EP92" s="3">
        <f t="shared" si="159"/>
        <v>1.680000000000001</v>
      </c>
      <c r="EQ92" s="3">
        <f t="shared" si="106"/>
        <v>3.8681205531132354</v>
      </c>
      <c r="ET92" s="3">
        <f t="shared" si="160"/>
        <v>1.680000000000001</v>
      </c>
      <c r="EU92" s="14">
        <f t="shared" si="161"/>
        <v>1.680000000000001</v>
      </c>
      <c r="EV92" s="3">
        <f t="shared" si="107"/>
        <v>3.8681205531132354</v>
      </c>
    </row>
    <row r="93" spans="20:152" s="3" customFormat="1" x14ac:dyDescent="0.25">
      <c r="T93" s="3">
        <f t="shared" si="108"/>
        <v>1.7000000000000011</v>
      </c>
      <c r="U93" s="14">
        <f t="shared" si="109"/>
        <v>1.7000000000000011</v>
      </c>
      <c r="V93" s="3">
        <f t="shared" si="81"/>
        <v>3.7966768640025128</v>
      </c>
      <c r="Y93" s="3">
        <f t="shared" si="110"/>
        <v>1.7000000000000011</v>
      </c>
      <c r="Z93" s="3">
        <f t="shared" si="111"/>
        <v>1.7000000000000011</v>
      </c>
      <c r="AA93" s="3">
        <f t="shared" si="82"/>
        <v>3.7966768640025128</v>
      </c>
      <c r="AD93" s="3">
        <f t="shared" si="112"/>
        <v>1.7000000000000011</v>
      </c>
      <c r="AE93" s="14">
        <f t="shared" si="113"/>
        <v>1.7000000000000011</v>
      </c>
      <c r="AF93" s="3">
        <f t="shared" si="83"/>
        <v>3.7966768640025128</v>
      </c>
      <c r="AI93" s="3">
        <f t="shared" si="114"/>
        <v>1.7000000000000011</v>
      </c>
      <c r="AJ93" s="14">
        <f t="shared" si="115"/>
        <v>1.7000000000000011</v>
      </c>
      <c r="AK93" s="3">
        <f t="shared" si="84"/>
        <v>3.7966768640025128</v>
      </c>
      <c r="AN93" s="3">
        <f t="shared" si="116"/>
        <v>1.7000000000000011</v>
      </c>
      <c r="AO93" s="3">
        <f t="shared" si="117"/>
        <v>1.7000000000000011</v>
      </c>
      <c r="AP93" s="3">
        <f t="shared" si="85"/>
        <v>3.7966768640025128</v>
      </c>
      <c r="AS93" s="3">
        <f t="shared" si="118"/>
        <v>1.7000000000000011</v>
      </c>
      <c r="AT93" s="14">
        <f t="shared" si="119"/>
        <v>1.7000000000000011</v>
      </c>
      <c r="AU93" s="3">
        <f t="shared" si="86"/>
        <v>3.7966768640025128</v>
      </c>
      <c r="AX93" s="3">
        <f t="shared" si="120"/>
        <v>1.7000000000000011</v>
      </c>
      <c r="AY93" s="14">
        <f t="shared" si="121"/>
        <v>1.7000000000000011</v>
      </c>
      <c r="AZ93" s="3">
        <f t="shared" si="87"/>
        <v>3.7966768640025128</v>
      </c>
      <c r="BC93" s="3">
        <f t="shared" si="122"/>
        <v>1.7000000000000011</v>
      </c>
      <c r="BD93" s="3">
        <f t="shared" si="123"/>
        <v>1.7000000000000011</v>
      </c>
      <c r="BE93" s="3">
        <f t="shared" si="88"/>
        <v>3.7966768640025128</v>
      </c>
      <c r="BH93" s="3">
        <f t="shared" si="124"/>
        <v>1.7000000000000011</v>
      </c>
      <c r="BI93" s="14">
        <f t="shared" si="125"/>
        <v>1.7000000000000011</v>
      </c>
      <c r="BJ93" s="3">
        <f t="shared" si="89"/>
        <v>3.7966768640025128</v>
      </c>
      <c r="BM93" s="3">
        <f t="shared" si="126"/>
        <v>1.7000000000000011</v>
      </c>
      <c r="BN93" s="14">
        <f t="shared" si="127"/>
        <v>1.7000000000000011</v>
      </c>
      <c r="BO93" s="3">
        <f t="shared" si="90"/>
        <v>3.7966768640025128</v>
      </c>
      <c r="BR93" s="3">
        <f t="shared" si="128"/>
        <v>1.7000000000000011</v>
      </c>
      <c r="BS93" s="3">
        <f t="shared" si="129"/>
        <v>1.7000000000000011</v>
      </c>
      <c r="BT93" s="3">
        <f t="shared" si="91"/>
        <v>3.7966768640025128</v>
      </c>
      <c r="BW93" s="3">
        <f t="shared" si="130"/>
        <v>1.7000000000000011</v>
      </c>
      <c r="BX93" s="14">
        <f t="shared" si="131"/>
        <v>1.7000000000000011</v>
      </c>
      <c r="BY93" s="3">
        <f t="shared" si="92"/>
        <v>3.7966768640025128</v>
      </c>
      <c r="CB93" s="3">
        <f t="shared" si="132"/>
        <v>1.7000000000000011</v>
      </c>
      <c r="CC93" s="14">
        <f t="shared" si="133"/>
        <v>1.7000000000000011</v>
      </c>
      <c r="CD93" s="3">
        <f t="shared" si="93"/>
        <v>3.7966768640025128</v>
      </c>
      <c r="CG93" s="3">
        <f t="shared" si="134"/>
        <v>1.7000000000000011</v>
      </c>
      <c r="CH93" s="3">
        <f t="shared" si="135"/>
        <v>1.7000000000000011</v>
      </c>
      <c r="CI93" s="3">
        <f t="shared" si="94"/>
        <v>3.7966768640025128</v>
      </c>
      <c r="CL93" s="3">
        <f t="shared" si="136"/>
        <v>1.7000000000000011</v>
      </c>
      <c r="CM93" s="14">
        <f t="shared" si="137"/>
        <v>1.7000000000000011</v>
      </c>
      <c r="CN93" s="3">
        <f t="shared" si="95"/>
        <v>3.7966768640025128</v>
      </c>
      <c r="CQ93" s="3">
        <f t="shared" si="138"/>
        <v>1.7000000000000011</v>
      </c>
      <c r="CR93" s="14">
        <f t="shared" si="139"/>
        <v>1.7000000000000011</v>
      </c>
      <c r="CS93" s="3">
        <f t="shared" si="96"/>
        <v>3.7966768640025128</v>
      </c>
      <c r="CV93" s="3">
        <f t="shared" si="140"/>
        <v>1.7000000000000011</v>
      </c>
      <c r="CW93" s="3">
        <f t="shared" si="141"/>
        <v>1.7000000000000011</v>
      </c>
      <c r="CX93" s="3">
        <f t="shared" si="97"/>
        <v>3.7966768640025128</v>
      </c>
      <c r="DA93" s="3">
        <f t="shared" si="142"/>
        <v>1.7000000000000011</v>
      </c>
      <c r="DB93" s="14">
        <f t="shared" si="143"/>
        <v>1.7000000000000011</v>
      </c>
      <c r="DC93" s="3">
        <f t="shared" si="98"/>
        <v>3.7966768640025128</v>
      </c>
      <c r="DF93" s="3">
        <f t="shared" si="144"/>
        <v>1.7000000000000011</v>
      </c>
      <c r="DG93" s="14">
        <f t="shared" si="145"/>
        <v>1.7000000000000011</v>
      </c>
      <c r="DH93" s="3">
        <f t="shared" si="99"/>
        <v>3.7966768640025128</v>
      </c>
      <c r="DK93" s="3">
        <f t="shared" si="146"/>
        <v>1.7000000000000011</v>
      </c>
      <c r="DL93" s="3">
        <f t="shared" si="147"/>
        <v>1.7000000000000011</v>
      </c>
      <c r="DM93" s="3">
        <f t="shared" si="100"/>
        <v>3.7966768640025128</v>
      </c>
      <c r="DP93" s="3">
        <f t="shared" si="148"/>
        <v>1.7000000000000011</v>
      </c>
      <c r="DQ93" s="14">
        <f t="shared" si="149"/>
        <v>1.7000000000000011</v>
      </c>
      <c r="DR93" s="3">
        <f t="shared" si="101"/>
        <v>3.7966768640025128</v>
      </c>
      <c r="DU93" s="3">
        <f t="shared" si="150"/>
        <v>1.7000000000000011</v>
      </c>
      <c r="DV93" s="14">
        <f t="shared" si="151"/>
        <v>1.7000000000000011</v>
      </c>
      <c r="DW93" s="3">
        <f t="shared" si="102"/>
        <v>3.7966768640025128</v>
      </c>
      <c r="DZ93" s="3">
        <f t="shared" si="152"/>
        <v>1.7000000000000011</v>
      </c>
      <c r="EA93" s="3">
        <f t="shared" si="153"/>
        <v>1.7000000000000011</v>
      </c>
      <c r="EB93" s="3">
        <f t="shared" si="103"/>
        <v>3.7966768640025128</v>
      </c>
      <c r="EE93" s="3">
        <f t="shared" si="154"/>
        <v>1.7000000000000011</v>
      </c>
      <c r="EF93" s="14">
        <f t="shared" si="155"/>
        <v>1.7000000000000011</v>
      </c>
      <c r="EG93" s="3">
        <f t="shared" si="104"/>
        <v>3.7966768640025128</v>
      </c>
      <c r="EJ93" s="3">
        <f t="shared" si="156"/>
        <v>1.7000000000000011</v>
      </c>
      <c r="EK93" s="14">
        <f t="shared" si="157"/>
        <v>1.7000000000000011</v>
      </c>
      <c r="EL93" s="3">
        <f t="shared" si="105"/>
        <v>3.7966768640025128</v>
      </c>
      <c r="EO93" s="3">
        <f t="shared" si="158"/>
        <v>1.7000000000000011</v>
      </c>
      <c r="EP93" s="3">
        <f t="shared" si="159"/>
        <v>1.7000000000000011</v>
      </c>
      <c r="EQ93" s="3">
        <f t="shared" si="106"/>
        <v>3.7966768640025128</v>
      </c>
      <c r="ET93" s="3">
        <f t="shared" si="160"/>
        <v>1.7000000000000011</v>
      </c>
      <c r="EU93" s="14">
        <f t="shared" si="161"/>
        <v>1.7000000000000011</v>
      </c>
      <c r="EV93" s="3">
        <f t="shared" si="107"/>
        <v>3.7966768640025128</v>
      </c>
    </row>
    <row r="94" spans="20:152" s="3" customFormat="1" x14ac:dyDescent="0.25">
      <c r="T94" s="3">
        <f t="shared" si="108"/>
        <v>1.7200000000000011</v>
      </c>
      <c r="U94" s="14">
        <f t="shared" si="109"/>
        <v>1.7200000000000011</v>
      </c>
      <c r="V94" s="3">
        <f t="shared" si="81"/>
        <v>3.7225246621639405</v>
      </c>
      <c r="Y94" s="3">
        <f t="shared" si="110"/>
        <v>1.7200000000000011</v>
      </c>
      <c r="Z94" s="3">
        <f t="shared" si="111"/>
        <v>1.7200000000000011</v>
      </c>
      <c r="AA94" s="3">
        <f t="shared" si="82"/>
        <v>3.7225246621639405</v>
      </c>
      <c r="AD94" s="3">
        <f t="shared" si="112"/>
        <v>1.7200000000000011</v>
      </c>
      <c r="AE94" s="14">
        <f t="shared" si="113"/>
        <v>1.7200000000000011</v>
      </c>
      <c r="AF94" s="3">
        <f t="shared" si="83"/>
        <v>3.7225246621639405</v>
      </c>
      <c r="AI94" s="3">
        <f t="shared" si="114"/>
        <v>1.7200000000000011</v>
      </c>
      <c r="AJ94" s="14">
        <f t="shared" si="115"/>
        <v>1.7200000000000011</v>
      </c>
      <c r="AK94" s="3">
        <f t="shared" si="84"/>
        <v>3.7225246621639405</v>
      </c>
      <c r="AN94" s="3">
        <f t="shared" si="116"/>
        <v>1.7200000000000011</v>
      </c>
      <c r="AO94" s="3">
        <f t="shared" si="117"/>
        <v>1.7200000000000011</v>
      </c>
      <c r="AP94" s="3">
        <f t="shared" si="85"/>
        <v>3.7225246621639405</v>
      </c>
      <c r="AS94" s="3">
        <f t="shared" si="118"/>
        <v>1.7200000000000011</v>
      </c>
      <c r="AT94" s="14">
        <f t="shared" si="119"/>
        <v>1.7200000000000011</v>
      </c>
      <c r="AU94" s="3">
        <f t="shared" si="86"/>
        <v>3.7225246621639405</v>
      </c>
      <c r="AX94" s="3">
        <f t="shared" si="120"/>
        <v>1.7200000000000011</v>
      </c>
      <c r="AY94" s="14">
        <f t="shared" si="121"/>
        <v>1.7200000000000011</v>
      </c>
      <c r="AZ94" s="3">
        <f t="shared" si="87"/>
        <v>3.7225246621639405</v>
      </c>
      <c r="BC94" s="3">
        <f t="shared" si="122"/>
        <v>1.7200000000000011</v>
      </c>
      <c r="BD94" s="3">
        <f t="shared" si="123"/>
        <v>1.7200000000000011</v>
      </c>
      <c r="BE94" s="3">
        <f t="shared" si="88"/>
        <v>3.7225246621639405</v>
      </c>
      <c r="BH94" s="3">
        <f t="shared" si="124"/>
        <v>1.7200000000000011</v>
      </c>
      <c r="BI94" s="14">
        <f t="shared" si="125"/>
        <v>1.7200000000000011</v>
      </c>
      <c r="BJ94" s="3">
        <f t="shared" si="89"/>
        <v>3.7225246621639405</v>
      </c>
      <c r="BM94" s="3">
        <f t="shared" si="126"/>
        <v>1.7200000000000011</v>
      </c>
      <c r="BN94" s="14">
        <f t="shared" si="127"/>
        <v>1.7200000000000011</v>
      </c>
      <c r="BO94" s="3">
        <f t="shared" si="90"/>
        <v>3.7225246621639405</v>
      </c>
      <c r="BR94" s="3">
        <f t="shared" si="128"/>
        <v>1.7200000000000011</v>
      </c>
      <c r="BS94" s="3">
        <f t="shared" si="129"/>
        <v>1.7200000000000011</v>
      </c>
      <c r="BT94" s="3">
        <f t="shared" si="91"/>
        <v>3.7225246621639405</v>
      </c>
      <c r="BW94" s="3">
        <f t="shared" si="130"/>
        <v>1.7200000000000011</v>
      </c>
      <c r="BX94" s="14">
        <f t="shared" si="131"/>
        <v>1.7200000000000011</v>
      </c>
      <c r="BY94" s="3">
        <f t="shared" si="92"/>
        <v>3.7225246621639405</v>
      </c>
      <c r="CB94" s="3">
        <f t="shared" si="132"/>
        <v>1.7200000000000011</v>
      </c>
      <c r="CC94" s="14">
        <f t="shared" si="133"/>
        <v>1.7200000000000011</v>
      </c>
      <c r="CD94" s="3">
        <f t="shared" si="93"/>
        <v>3.7225246621639405</v>
      </c>
      <c r="CG94" s="3">
        <f t="shared" si="134"/>
        <v>1.7200000000000011</v>
      </c>
      <c r="CH94" s="3">
        <f t="shared" si="135"/>
        <v>1.7200000000000011</v>
      </c>
      <c r="CI94" s="3">
        <f t="shared" si="94"/>
        <v>3.7225246621639405</v>
      </c>
      <c r="CL94" s="3">
        <f t="shared" si="136"/>
        <v>1.7200000000000011</v>
      </c>
      <c r="CM94" s="14">
        <f t="shared" si="137"/>
        <v>1.7200000000000011</v>
      </c>
      <c r="CN94" s="3">
        <f t="shared" si="95"/>
        <v>3.7225246621639405</v>
      </c>
      <c r="CQ94" s="3">
        <f t="shared" si="138"/>
        <v>1.7200000000000011</v>
      </c>
      <c r="CR94" s="14">
        <f t="shared" si="139"/>
        <v>1.7200000000000011</v>
      </c>
      <c r="CS94" s="3">
        <f t="shared" si="96"/>
        <v>3.7225246621639405</v>
      </c>
      <c r="CV94" s="3">
        <f t="shared" si="140"/>
        <v>1.7200000000000011</v>
      </c>
      <c r="CW94" s="3">
        <f t="shared" si="141"/>
        <v>1.7200000000000011</v>
      </c>
      <c r="CX94" s="3">
        <f t="shared" si="97"/>
        <v>3.7225246621639405</v>
      </c>
      <c r="DA94" s="3">
        <f t="shared" si="142"/>
        <v>1.7200000000000011</v>
      </c>
      <c r="DB94" s="14">
        <f t="shared" si="143"/>
        <v>1.7200000000000011</v>
      </c>
      <c r="DC94" s="3">
        <f t="shared" si="98"/>
        <v>3.7225246621639405</v>
      </c>
      <c r="DF94" s="3">
        <f t="shared" si="144"/>
        <v>1.7200000000000011</v>
      </c>
      <c r="DG94" s="14">
        <f t="shared" si="145"/>
        <v>1.7200000000000011</v>
      </c>
      <c r="DH94" s="3">
        <f t="shared" si="99"/>
        <v>3.7225246621639405</v>
      </c>
      <c r="DK94" s="3">
        <f t="shared" si="146"/>
        <v>1.7200000000000011</v>
      </c>
      <c r="DL94" s="3">
        <f t="shared" si="147"/>
        <v>1.7200000000000011</v>
      </c>
      <c r="DM94" s="3">
        <f t="shared" si="100"/>
        <v>3.7225246621639405</v>
      </c>
      <c r="DP94" s="3">
        <f t="shared" si="148"/>
        <v>1.7200000000000011</v>
      </c>
      <c r="DQ94" s="14">
        <f t="shared" si="149"/>
        <v>1.7200000000000011</v>
      </c>
      <c r="DR94" s="3">
        <f t="shared" si="101"/>
        <v>3.7225246621639405</v>
      </c>
      <c r="DU94" s="3">
        <f t="shared" si="150"/>
        <v>1.7200000000000011</v>
      </c>
      <c r="DV94" s="14">
        <f t="shared" si="151"/>
        <v>1.7200000000000011</v>
      </c>
      <c r="DW94" s="3">
        <f t="shared" si="102"/>
        <v>3.7225246621639405</v>
      </c>
      <c r="DZ94" s="3">
        <f t="shared" si="152"/>
        <v>1.7200000000000011</v>
      </c>
      <c r="EA94" s="3">
        <f t="shared" si="153"/>
        <v>1.7200000000000011</v>
      </c>
      <c r="EB94" s="3">
        <f t="shared" si="103"/>
        <v>3.7225246621639405</v>
      </c>
      <c r="EE94" s="3">
        <f t="shared" si="154"/>
        <v>1.7200000000000011</v>
      </c>
      <c r="EF94" s="14">
        <f t="shared" si="155"/>
        <v>1.7200000000000011</v>
      </c>
      <c r="EG94" s="3">
        <f t="shared" si="104"/>
        <v>3.7225246621639405</v>
      </c>
      <c r="EJ94" s="3">
        <f t="shared" si="156"/>
        <v>1.7200000000000011</v>
      </c>
      <c r="EK94" s="14">
        <f t="shared" si="157"/>
        <v>1.7200000000000011</v>
      </c>
      <c r="EL94" s="3">
        <f t="shared" si="105"/>
        <v>3.7225246621639405</v>
      </c>
      <c r="EO94" s="3">
        <f t="shared" si="158"/>
        <v>1.7200000000000011</v>
      </c>
      <c r="EP94" s="3">
        <f t="shared" si="159"/>
        <v>1.7200000000000011</v>
      </c>
      <c r="EQ94" s="3">
        <f t="shared" si="106"/>
        <v>3.7225246621639405</v>
      </c>
      <c r="ET94" s="3">
        <f t="shared" si="160"/>
        <v>1.7200000000000011</v>
      </c>
      <c r="EU94" s="14">
        <f t="shared" si="161"/>
        <v>1.7200000000000011</v>
      </c>
      <c r="EV94" s="3">
        <f t="shared" si="107"/>
        <v>3.7225246621639405</v>
      </c>
    </row>
    <row r="95" spans="20:152" s="3" customFormat="1" x14ac:dyDescent="0.25">
      <c r="T95" s="3">
        <f t="shared" si="108"/>
        <v>1.7400000000000011</v>
      </c>
      <c r="U95" s="14">
        <f t="shared" si="109"/>
        <v>1.7400000000000011</v>
      </c>
      <c r="V95" s="3">
        <f t="shared" si="81"/>
        <v>3.6456639475975221</v>
      </c>
      <c r="Y95" s="3">
        <f t="shared" si="110"/>
        <v>1.7400000000000011</v>
      </c>
      <c r="Z95" s="3">
        <f t="shared" si="111"/>
        <v>1.7400000000000011</v>
      </c>
      <c r="AA95" s="3">
        <f t="shared" si="82"/>
        <v>3.6456639475975221</v>
      </c>
      <c r="AD95" s="3">
        <f t="shared" si="112"/>
        <v>1.7400000000000011</v>
      </c>
      <c r="AE95" s="14">
        <f t="shared" si="113"/>
        <v>1.7400000000000011</v>
      </c>
      <c r="AF95" s="3">
        <f t="shared" si="83"/>
        <v>3.6456639475975221</v>
      </c>
      <c r="AI95" s="3">
        <f t="shared" si="114"/>
        <v>1.7400000000000011</v>
      </c>
      <c r="AJ95" s="14">
        <f t="shared" si="115"/>
        <v>1.7400000000000011</v>
      </c>
      <c r="AK95" s="3">
        <f t="shared" si="84"/>
        <v>3.6456639475975221</v>
      </c>
      <c r="AN95" s="3">
        <f t="shared" si="116"/>
        <v>1.7400000000000011</v>
      </c>
      <c r="AO95" s="3">
        <f t="shared" si="117"/>
        <v>1.7400000000000011</v>
      </c>
      <c r="AP95" s="3">
        <f t="shared" si="85"/>
        <v>3.6456639475975221</v>
      </c>
      <c r="AS95" s="3">
        <f t="shared" si="118"/>
        <v>1.7400000000000011</v>
      </c>
      <c r="AT95" s="14">
        <f t="shared" si="119"/>
        <v>1.7400000000000011</v>
      </c>
      <c r="AU95" s="3">
        <f t="shared" si="86"/>
        <v>3.6456639475975221</v>
      </c>
      <c r="AX95" s="3">
        <f t="shared" si="120"/>
        <v>1.7400000000000011</v>
      </c>
      <c r="AY95" s="14">
        <f t="shared" si="121"/>
        <v>1.7400000000000011</v>
      </c>
      <c r="AZ95" s="3">
        <f t="shared" si="87"/>
        <v>3.6456639475975221</v>
      </c>
      <c r="BC95" s="3">
        <f t="shared" si="122"/>
        <v>1.7400000000000011</v>
      </c>
      <c r="BD95" s="3">
        <f t="shared" si="123"/>
        <v>1.7400000000000011</v>
      </c>
      <c r="BE95" s="3">
        <f t="shared" si="88"/>
        <v>3.6456639475975221</v>
      </c>
      <c r="BH95" s="3">
        <f t="shared" si="124"/>
        <v>1.7400000000000011</v>
      </c>
      <c r="BI95" s="14">
        <f t="shared" si="125"/>
        <v>1.7400000000000011</v>
      </c>
      <c r="BJ95" s="3">
        <f t="shared" si="89"/>
        <v>3.6456639475975221</v>
      </c>
      <c r="BM95" s="3">
        <f t="shared" si="126"/>
        <v>1.7400000000000011</v>
      </c>
      <c r="BN95" s="14">
        <f t="shared" si="127"/>
        <v>1.7400000000000011</v>
      </c>
      <c r="BO95" s="3">
        <f t="shared" si="90"/>
        <v>3.6456639475975221</v>
      </c>
      <c r="BR95" s="3">
        <f t="shared" si="128"/>
        <v>1.7400000000000011</v>
      </c>
      <c r="BS95" s="3">
        <f t="shared" si="129"/>
        <v>1.7400000000000011</v>
      </c>
      <c r="BT95" s="3">
        <f t="shared" si="91"/>
        <v>3.6456639475975221</v>
      </c>
      <c r="BW95" s="3">
        <f t="shared" si="130"/>
        <v>1.7400000000000011</v>
      </c>
      <c r="BX95" s="14">
        <f t="shared" si="131"/>
        <v>1.7400000000000011</v>
      </c>
      <c r="BY95" s="3">
        <f t="shared" si="92"/>
        <v>3.6456639475975221</v>
      </c>
      <c r="CB95" s="3">
        <f t="shared" si="132"/>
        <v>1.7400000000000011</v>
      </c>
      <c r="CC95" s="14">
        <f t="shared" si="133"/>
        <v>1.7400000000000011</v>
      </c>
      <c r="CD95" s="3">
        <f t="shared" si="93"/>
        <v>3.6456639475975221</v>
      </c>
      <c r="CG95" s="3">
        <f t="shared" si="134"/>
        <v>1.7400000000000011</v>
      </c>
      <c r="CH95" s="3">
        <f t="shared" si="135"/>
        <v>1.7400000000000011</v>
      </c>
      <c r="CI95" s="3">
        <f t="shared" si="94"/>
        <v>3.6456639475975221</v>
      </c>
      <c r="CL95" s="3">
        <f t="shared" si="136"/>
        <v>1.7400000000000011</v>
      </c>
      <c r="CM95" s="14">
        <f t="shared" si="137"/>
        <v>1.7400000000000011</v>
      </c>
      <c r="CN95" s="3">
        <f t="shared" si="95"/>
        <v>3.6456639475975221</v>
      </c>
      <c r="CQ95" s="3">
        <f t="shared" si="138"/>
        <v>1.7400000000000011</v>
      </c>
      <c r="CR95" s="14">
        <f t="shared" si="139"/>
        <v>1.7400000000000011</v>
      </c>
      <c r="CS95" s="3">
        <f t="shared" si="96"/>
        <v>3.6456639475975221</v>
      </c>
      <c r="CV95" s="3">
        <f t="shared" si="140"/>
        <v>1.7400000000000011</v>
      </c>
      <c r="CW95" s="3">
        <f t="shared" si="141"/>
        <v>1.7400000000000011</v>
      </c>
      <c r="CX95" s="3">
        <f t="shared" si="97"/>
        <v>3.6456639475975221</v>
      </c>
      <c r="DA95" s="3">
        <f t="shared" si="142"/>
        <v>1.7400000000000011</v>
      </c>
      <c r="DB95" s="14">
        <f t="shared" si="143"/>
        <v>1.7400000000000011</v>
      </c>
      <c r="DC95" s="3">
        <f t="shared" si="98"/>
        <v>3.6456639475975221</v>
      </c>
      <c r="DF95" s="3">
        <f t="shared" si="144"/>
        <v>1.7400000000000011</v>
      </c>
      <c r="DG95" s="14">
        <f t="shared" si="145"/>
        <v>1.7400000000000011</v>
      </c>
      <c r="DH95" s="3">
        <f t="shared" si="99"/>
        <v>3.6456639475975221</v>
      </c>
      <c r="DK95" s="3">
        <f t="shared" si="146"/>
        <v>1.7400000000000011</v>
      </c>
      <c r="DL95" s="3">
        <f t="shared" si="147"/>
        <v>1.7400000000000011</v>
      </c>
      <c r="DM95" s="3">
        <f t="shared" si="100"/>
        <v>3.6456639475975221</v>
      </c>
      <c r="DP95" s="3">
        <f t="shared" si="148"/>
        <v>1.7400000000000011</v>
      </c>
      <c r="DQ95" s="14">
        <f t="shared" si="149"/>
        <v>1.7400000000000011</v>
      </c>
      <c r="DR95" s="3">
        <f t="shared" si="101"/>
        <v>3.6456639475975221</v>
      </c>
      <c r="DU95" s="3">
        <f t="shared" si="150"/>
        <v>1.7400000000000011</v>
      </c>
      <c r="DV95" s="14">
        <f t="shared" si="151"/>
        <v>1.7400000000000011</v>
      </c>
      <c r="DW95" s="3">
        <f t="shared" si="102"/>
        <v>3.6456639475975221</v>
      </c>
      <c r="DZ95" s="3">
        <f t="shared" si="152"/>
        <v>1.7400000000000011</v>
      </c>
      <c r="EA95" s="3">
        <f t="shared" si="153"/>
        <v>1.7400000000000011</v>
      </c>
      <c r="EB95" s="3">
        <f t="shared" si="103"/>
        <v>3.6456639475975221</v>
      </c>
      <c r="EE95" s="3">
        <f t="shared" si="154"/>
        <v>1.7400000000000011</v>
      </c>
      <c r="EF95" s="14">
        <f t="shared" si="155"/>
        <v>1.7400000000000011</v>
      </c>
      <c r="EG95" s="3">
        <f t="shared" si="104"/>
        <v>3.6456639475975221</v>
      </c>
      <c r="EJ95" s="3">
        <f t="shared" si="156"/>
        <v>1.7400000000000011</v>
      </c>
      <c r="EK95" s="14">
        <f t="shared" si="157"/>
        <v>1.7400000000000011</v>
      </c>
      <c r="EL95" s="3">
        <f t="shared" si="105"/>
        <v>3.6456639475975221</v>
      </c>
      <c r="EO95" s="3">
        <f t="shared" si="158"/>
        <v>1.7400000000000011</v>
      </c>
      <c r="EP95" s="3">
        <f t="shared" si="159"/>
        <v>1.7400000000000011</v>
      </c>
      <c r="EQ95" s="3">
        <f t="shared" si="106"/>
        <v>3.6456639475975221</v>
      </c>
      <c r="ET95" s="3">
        <f t="shared" si="160"/>
        <v>1.7400000000000011</v>
      </c>
      <c r="EU95" s="14">
        <f t="shared" si="161"/>
        <v>1.7400000000000011</v>
      </c>
      <c r="EV95" s="3">
        <f t="shared" si="107"/>
        <v>3.6456639475975221</v>
      </c>
    </row>
    <row r="96" spans="20:152" s="3" customFormat="1" x14ac:dyDescent="0.25">
      <c r="T96" s="3">
        <f t="shared" si="108"/>
        <v>1.7600000000000011</v>
      </c>
      <c r="U96" s="14">
        <f t="shared" si="109"/>
        <v>1.7600000000000011</v>
      </c>
      <c r="V96" s="3">
        <f t="shared" si="81"/>
        <v>3.5660947203032576</v>
      </c>
      <c r="Y96" s="3">
        <f t="shared" si="110"/>
        <v>1.7600000000000011</v>
      </c>
      <c r="Z96" s="3">
        <f t="shared" si="111"/>
        <v>1.7600000000000011</v>
      </c>
      <c r="AA96" s="3">
        <f t="shared" si="82"/>
        <v>3.5660947203032576</v>
      </c>
      <c r="AD96" s="3">
        <f t="shared" si="112"/>
        <v>1.7600000000000011</v>
      </c>
      <c r="AE96" s="14">
        <f t="shared" si="113"/>
        <v>1.7600000000000011</v>
      </c>
      <c r="AF96" s="3">
        <f t="shared" si="83"/>
        <v>3.5660947203032576</v>
      </c>
      <c r="AI96" s="3">
        <f t="shared" si="114"/>
        <v>1.7600000000000011</v>
      </c>
      <c r="AJ96" s="14">
        <f t="shared" si="115"/>
        <v>1.7600000000000011</v>
      </c>
      <c r="AK96" s="3">
        <f t="shared" si="84"/>
        <v>3.5660947203032576</v>
      </c>
      <c r="AN96" s="3">
        <f t="shared" si="116"/>
        <v>1.7600000000000011</v>
      </c>
      <c r="AO96" s="3">
        <f t="shared" si="117"/>
        <v>1.7600000000000011</v>
      </c>
      <c r="AP96" s="3">
        <f t="shared" si="85"/>
        <v>3.5660947203032576</v>
      </c>
      <c r="AS96" s="3">
        <f t="shared" si="118"/>
        <v>1.7600000000000011</v>
      </c>
      <c r="AT96" s="14">
        <f t="shared" si="119"/>
        <v>1.7600000000000011</v>
      </c>
      <c r="AU96" s="3">
        <f t="shared" si="86"/>
        <v>3.5660947203032576</v>
      </c>
      <c r="AX96" s="3">
        <f t="shared" si="120"/>
        <v>1.7600000000000011</v>
      </c>
      <c r="AY96" s="14">
        <f t="shared" si="121"/>
        <v>1.7600000000000011</v>
      </c>
      <c r="AZ96" s="3">
        <f t="shared" si="87"/>
        <v>3.5660947203032576</v>
      </c>
      <c r="BC96" s="3">
        <f t="shared" si="122"/>
        <v>1.7600000000000011</v>
      </c>
      <c r="BD96" s="3">
        <f t="shared" si="123"/>
        <v>1.7600000000000011</v>
      </c>
      <c r="BE96" s="3">
        <f t="shared" si="88"/>
        <v>3.5660947203032576</v>
      </c>
      <c r="BH96" s="3">
        <f t="shared" si="124"/>
        <v>1.7600000000000011</v>
      </c>
      <c r="BI96" s="14">
        <f t="shared" si="125"/>
        <v>1.7600000000000011</v>
      </c>
      <c r="BJ96" s="3">
        <f t="shared" si="89"/>
        <v>3.5660947203032576</v>
      </c>
      <c r="BM96" s="3">
        <f t="shared" si="126"/>
        <v>1.7600000000000011</v>
      </c>
      <c r="BN96" s="14">
        <f t="shared" si="127"/>
        <v>1.7600000000000011</v>
      </c>
      <c r="BO96" s="3">
        <f t="shared" si="90"/>
        <v>3.5660947203032576</v>
      </c>
      <c r="BR96" s="3">
        <f t="shared" si="128"/>
        <v>1.7600000000000011</v>
      </c>
      <c r="BS96" s="3">
        <f t="shared" si="129"/>
        <v>1.7600000000000011</v>
      </c>
      <c r="BT96" s="3">
        <f t="shared" si="91"/>
        <v>3.5660947203032576</v>
      </c>
      <c r="BW96" s="3">
        <f t="shared" si="130"/>
        <v>1.7600000000000011</v>
      </c>
      <c r="BX96" s="14">
        <f t="shared" si="131"/>
        <v>1.7600000000000011</v>
      </c>
      <c r="BY96" s="3">
        <f t="shared" si="92"/>
        <v>3.5660947203032576</v>
      </c>
      <c r="CB96" s="3">
        <f t="shared" si="132"/>
        <v>1.7600000000000011</v>
      </c>
      <c r="CC96" s="14">
        <f t="shared" si="133"/>
        <v>1.7600000000000011</v>
      </c>
      <c r="CD96" s="3">
        <f t="shared" si="93"/>
        <v>3.5660947203032576</v>
      </c>
      <c r="CG96" s="3">
        <f t="shared" si="134"/>
        <v>1.7600000000000011</v>
      </c>
      <c r="CH96" s="3">
        <f t="shared" si="135"/>
        <v>1.7600000000000011</v>
      </c>
      <c r="CI96" s="3">
        <f t="shared" si="94"/>
        <v>3.5660947203032576</v>
      </c>
      <c r="CL96" s="3">
        <f t="shared" si="136"/>
        <v>1.7600000000000011</v>
      </c>
      <c r="CM96" s="14">
        <f t="shared" si="137"/>
        <v>1.7600000000000011</v>
      </c>
      <c r="CN96" s="3">
        <f t="shared" si="95"/>
        <v>3.5660947203032576</v>
      </c>
      <c r="CQ96" s="3">
        <f t="shared" si="138"/>
        <v>1.7600000000000011</v>
      </c>
      <c r="CR96" s="14">
        <f t="shared" si="139"/>
        <v>1.7600000000000011</v>
      </c>
      <c r="CS96" s="3">
        <f t="shared" si="96"/>
        <v>3.5660947203032576</v>
      </c>
      <c r="CV96" s="3">
        <f t="shared" si="140"/>
        <v>1.7600000000000011</v>
      </c>
      <c r="CW96" s="3">
        <f t="shared" si="141"/>
        <v>1.7600000000000011</v>
      </c>
      <c r="CX96" s="3">
        <f t="shared" si="97"/>
        <v>3.5660947203032576</v>
      </c>
      <c r="DA96" s="3">
        <f t="shared" si="142"/>
        <v>1.7600000000000011</v>
      </c>
      <c r="DB96" s="14">
        <f t="shared" si="143"/>
        <v>1.7600000000000011</v>
      </c>
      <c r="DC96" s="3">
        <f t="shared" si="98"/>
        <v>3.5660947203032576</v>
      </c>
      <c r="DF96" s="3">
        <f t="shared" si="144"/>
        <v>1.7600000000000011</v>
      </c>
      <c r="DG96" s="14">
        <f t="shared" si="145"/>
        <v>1.7600000000000011</v>
      </c>
      <c r="DH96" s="3">
        <f t="shared" si="99"/>
        <v>3.5660947203032576</v>
      </c>
      <c r="DK96" s="3">
        <f t="shared" si="146"/>
        <v>1.7600000000000011</v>
      </c>
      <c r="DL96" s="3">
        <f t="shared" si="147"/>
        <v>1.7600000000000011</v>
      </c>
      <c r="DM96" s="3">
        <f t="shared" si="100"/>
        <v>3.5660947203032576</v>
      </c>
      <c r="DP96" s="3">
        <f t="shared" si="148"/>
        <v>1.7600000000000011</v>
      </c>
      <c r="DQ96" s="14">
        <f t="shared" si="149"/>
        <v>1.7600000000000011</v>
      </c>
      <c r="DR96" s="3">
        <f t="shared" si="101"/>
        <v>3.5660947203032576</v>
      </c>
      <c r="DU96" s="3">
        <f t="shared" si="150"/>
        <v>1.7600000000000011</v>
      </c>
      <c r="DV96" s="14">
        <f t="shared" si="151"/>
        <v>1.7600000000000011</v>
      </c>
      <c r="DW96" s="3">
        <f t="shared" si="102"/>
        <v>3.5660947203032576</v>
      </c>
      <c r="DZ96" s="3">
        <f t="shared" si="152"/>
        <v>1.7600000000000011</v>
      </c>
      <c r="EA96" s="3">
        <f t="shared" si="153"/>
        <v>1.7600000000000011</v>
      </c>
      <c r="EB96" s="3">
        <f t="shared" si="103"/>
        <v>3.5660947203032576</v>
      </c>
      <c r="EE96" s="3">
        <f t="shared" si="154"/>
        <v>1.7600000000000011</v>
      </c>
      <c r="EF96" s="14">
        <f t="shared" si="155"/>
        <v>1.7600000000000011</v>
      </c>
      <c r="EG96" s="3">
        <f t="shared" si="104"/>
        <v>3.5660947203032576</v>
      </c>
      <c r="EJ96" s="3">
        <f t="shared" si="156"/>
        <v>1.7600000000000011</v>
      </c>
      <c r="EK96" s="14">
        <f t="shared" si="157"/>
        <v>1.7600000000000011</v>
      </c>
      <c r="EL96" s="3">
        <f t="shared" si="105"/>
        <v>3.5660947203032576</v>
      </c>
      <c r="EO96" s="3">
        <f t="shared" si="158"/>
        <v>1.7600000000000011</v>
      </c>
      <c r="EP96" s="3">
        <f t="shared" si="159"/>
        <v>1.7600000000000011</v>
      </c>
      <c r="EQ96" s="3">
        <f t="shared" si="106"/>
        <v>3.5660947203032576</v>
      </c>
      <c r="ET96" s="3">
        <f t="shared" si="160"/>
        <v>1.7600000000000011</v>
      </c>
      <c r="EU96" s="14">
        <f t="shared" si="161"/>
        <v>1.7600000000000011</v>
      </c>
      <c r="EV96" s="3">
        <f t="shared" si="107"/>
        <v>3.5660947203032576</v>
      </c>
    </row>
    <row r="97" spans="20:152" s="3" customFormat="1" x14ac:dyDescent="0.25">
      <c r="T97" s="3">
        <f t="shared" si="108"/>
        <v>1.7800000000000011</v>
      </c>
      <c r="U97" s="14">
        <f t="shared" si="109"/>
        <v>1.7800000000000011</v>
      </c>
      <c r="V97" s="3">
        <f t="shared" si="81"/>
        <v>3.4838169802811434</v>
      </c>
      <c r="Y97" s="3">
        <f t="shared" si="110"/>
        <v>1.7800000000000011</v>
      </c>
      <c r="Z97" s="3">
        <f t="shared" si="111"/>
        <v>1.7800000000000011</v>
      </c>
      <c r="AA97" s="3">
        <f t="shared" si="82"/>
        <v>3.4838169802811434</v>
      </c>
      <c r="AD97" s="3">
        <f t="shared" si="112"/>
        <v>1.7800000000000011</v>
      </c>
      <c r="AE97" s="14">
        <f t="shared" si="113"/>
        <v>1.7800000000000011</v>
      </c>
      <c r="AF97" s="3">
        <f t="shared" si="83"/>
        <v>3.4838169802811434</v>
      </c>
      <c r="AI97" s="3">
        <f t="shared" si="114"/>
        <v>1.7800000000000011</v>
      </c>
      <c r="AJ97" s="14">
        <f t="shared" si="115"/>
        <v>1.7800000000000011</v>
      </c>
      <c r="AK97" s="3">
        <f t="shared" si="84"/>
        <v>3.4838169802811434</v>
      </c>
      <c r="AN97" s="3">
        <f t="shared" si="116"/>
        <v>1.7800000000000011</v>
      </c>
      <c r="AO97" s="3">
        <f t="shared" si="117"/>
        <v>1.7800000000000011</v>
      </c>
      <c r="AP97" s="3">
        <f t="shared" si="85"/>
        <v>3.4838169802811434</v>
      </c>
      <c r="AS97" s="3">
        <f t="shared" si="118"/>
        <v>1.7800000000000011</v>
      </c>
      <c r="AT97" s="14">
        <f t="shared" si="119"/>
        <v>1.7800000000000011</v>
      </c>
      <c r="AU97" s="3">
        <f t="shared" si="86"/>
        <v>3.4838169802811434</v>
      </c>
      <c r="AX97" s="3">
        <f t="shared" si="120"/>
        <v>1.7800000000000011</v>
      </c>
      <c r="AY97" s="14">
        <f t="shared" si="121"/>
        <v>1.7800000000000011</v>
      </c>
      <c r="AZ97" s="3">
        <f t="shared" si="87"/>
        <v>3.4838169802811434</v>
      </c>
      <c r="BC97" s="3">
        <f t="shared" si="122"/>
        <v>1.7800000000000011</v>
      </c>
      <c r="BD97" s="3">
        <f t="shared" si="123"/>
        <v>1.7800000000000011</v>
      </c>
      <c r="BE97" s="3">
        <f t="shared" si="88"/>
        <v>3.4838169802811434</v>
      </c>
      <c r="BH97" s="3">
        <f t="shared" si="124"/>
        <v>1.7800000000000011</v>
      </c>
      <c r="BI97" s="14">
        <f t="shared" si="125"/>
        <v>1.7800000000000011</v>
      </c>
      <c r="BJ97" s="3">
        <f t="shared" si="89"/>
        <v>3.4838169802811434</v>
      </c>
      <c r="BM97" s="3">
        <f t="shared" si="126"/>
        <v>1.7800000000000011</v>
      </c>
      <c r="BN97" s="14">
        <f t="shared" si="127"/>
        <v>1.7800000000000011</v>
      </c>
      <c r="BO97" s="3">
        <f t="shared" si="90"/>
        <v>3.4838169802811434</v>
      </c>
      <c r="BR97" s="3">
        <f t="shared" si="128"/>
        <v>1.7800000000000011</v>
      </c>
      <c r="BS97" s="3">
        <f t="shared" si="129"/>
        <v>1.7800000000000011</v>
      </c>
      <c r="BT97" s="3">
        <f t="shared" si="91"/>
        <v>3.4838169802811434</v>
      </c>
      <c r="BW97" s="3">
        <f t="shared" si="130"/>
        <v>1.7800000000000011</v>
      </c>
      <c r="BX97" s="14">
        <f t="shared" si="131"/>
        <v>1.7800000000000011</v>
      </c>
      <c r="BY97" s="3">
        <f t="shared" si="92"/>
        <v>3.4838169802811434</v>
      </c>
      <c r="CB97" s="3">
        <f t="shared" si="132"/>
        <v>1.7800000000000011</v>
      </c>
      <c r="CC97" s="14">
        <f t="shared" si="133"/>
        <v>1.7800000000000011</v>
      </c>
      <c r="CD97" s="3">
        <f t="shared" si="93"/>
        <v>3.4838169802811434</v>
      </c>
      <c r="CG97" s="3">
        <f t="shared" si="134"/>
        <v>1.7800000000000011</v>
      </c>
      <c r="CH97" s="3">
        <f t="shared" si="135"/>
        <v>1.7800000000000011</v>
      </c>
      <c r="CI97" s="3">
        <f t="shared" si="94"/>
        <v>3.4838169802811434</v>
      </c>
      <c r="CL97" s="3">
        <f t="shared" si="136"/>
        <v>1.7800000000000011</v>
      </c>
      <c r="CM97" s="14">
        <f t="shared" si="137"/>
        <v>1.7800000000000011</v>
      </c>
      <c r="CN97" s="3">
        <f t="shared" si="95"/>
        <v>3.4838169802811434</v>
      </c>
      <c r="CQ97" s="3">
        <f t="shared" si="138"/>
        <v>1.7800000000000011</v>
      </c>
      <c r="CR97" s="14">
        <f t="shared" si="139"/>
        <v>1.7800000000000011</v>
      </c>
      <c r="CS97" s="3">
        <f t="shared" si="96"/>
        <v>3.4838169802811434</v>
      </c>
      <c r="CV97" s="3">
        <f t="shared" si="140"/>
        <v>1.7800000000000011</v>
      </c>
      <c r="CW97" s="3">
        <f t="shared" si="141"/>
        <v>1.7800000000000011</v>
      </c>
      <c r="CX97" s="3">
        <f t="shared" si="97"/>
        <v>3.4838169802811434</v>
      </c>
      <c r="DA97" s="3">
        <f t="shared" si="142"/>
        <v>1.7800000000000011</v>
      </c>
      <c r="DB97" s="14">
        <f t="shared" si="143"/>
        <v>1.7800000000000011</v>
      </c>
      <c r="DC97" s="3">
        <f t="shared" si="98"/>
        <v>3.4838169802811434</v>
      </c>
      <c r="DF97" s="3">
        <f t="shared" si="144"/>
        <v>1.7800000000000011</v>
      </c>
      <c r="DG97" s="14">
        <f t="shared" si="145"/>
        <v>1.7800000000000011</v>
      </c>
      <c r="DH97" s="3">
        <f t="shared" si="99"/>
        <v>3.4838169802811434</v>
      </c>
      <c r="DK97" s="3">
        <f t="shared" si="146"/>
        <v>1.7800000000000011</v>
      </c>
      <c r="DL97" s="3">
        <f t="shared" si="147"/>
        <v>1.7800000000000011</v>
      </c>
      <c r="DM97" s="3">
        <f t="shared" si="100"/>
        <v>3.4838169802811434</v>
      </c>
      <c r="DP97" s="3">
        <f t="shared" si="148"/>
        <v>1.7800000000000011</v>
      </c>
      <c r="DQ97" s="14">
        <f t="shared" si="149"/>
        <v>1.7800000000000011</v>
      </c>
      <c r="DR97" s="3">
        <f t="shared" si="101"/>
        <v>3.4838169802811434</v>
      </c>
      <c r="DU97" s="3">
        <f t="shared" si="150"/>
        <v>1.7800000000000011</v>
      </c>
      <c r="DV97" s="14">
        <f t="shared" si="151"/>
        <v>1.7800000000000011</v>
      </c>
      <c r="DW97" s="3">
        <f t="shared" si="102"/>
        <v>3.4838169802811434</v>
      </c>
      <c r="DZ97" s="3">
        <f t="shared" si="152"/>
        <v>1.7800000000000011</v>
      </c>
      <c r="EA97" s="3">
        <f t="shared" si="153"/>
        <v>1.7800000000000011</v>
      </c>
      <c r="EB97" s="3">
        <f t="shared" si="103"/>
        <v>3.4838169802811434</v>
      </c>
      <c r="EE97" s="3">
        <f t="shared" si="154"/>
        <v>1.7800000000000011</v>
      </c>
      <c r="EF97" s="14">
        <f t="shared" si="155"/>
        <v>1.7800000000000011</v>
      </c>
      <c r="EG97" s="3">
        <f t="shared" si="104"/>
        <v>3.4838169802811434</v>
      </c>
      <c r="EJ97" s="3">
        <f t="shared" si="156"/>
        <v>1.7800000000000011</v>
      </c>
      <c r="EK97" s="14">
        <f t="shared" si="157"/>
        <v>1.7800000000000011</v>
      </c>
      <c r="EL97" s="3">
        <f t="shared" si="105"/>
        <v>3.4838169802811434</v>
      </c>
      <c r="EO97" s="3">
        <f t="shared" si="158"/>
        <v>1.7800000000000011</v>
      </c>
      <c r="EP97" s="3">
        <f t="shared" si="159"/>
        <v>1.7800000000000011</v>
      </c>
      <c r="EQ97" s="3">
        <f t="shared" si="106"/>
        <v>3.4838169802811434</v>
      </c>
      <c r="ET97" s="3">
        <f t="shared" si="160"/>
        <v>1.7800000000000011</v>
      </c>
      <c r="EU97" s="14">
        <f t="shared" si="161"/>
        <v>1.7800000000000011</v>
      </c>
      <c r="EV97" s="3">
        <f t="shared" si="107"/>
        <v>3.4838169802811434</v>
      </c>
    </row>
    <row r="98" spans="20:152" s="3" customFormat="1" x14ac:dyDescent="0.25">
      <c r="T98" s="3">
        <f t="shared" si="108"/>
        <v>1.8000000000000012</v>
      </c>
      <c r="U98" s="14">
        <f t="shared" si="109"/>
        <v>1.8000000000000012</v>
      </c>
      <c r="V98" s="3">
        <f t="shared" si="81"/>
        <v>3.3988307275311831</v>
      </c>
      <c r="Y98" s="3">
        <f t="shared" si="110"/>
        <v>1.8000000000000012</v>
      </c>
      <c r="Z98" s="3">
        <f t="shared" si="111"/>
        <v>1.8000000000000012</v>
      </c>
      <c r="AA98" s="3">
        <f t="shared" si="82"/>
        <v>3.3988307275311831</v>
      </c>
      <c r="AD98" s="3">
        <f t="shared" si="112"/>
        <v>1.8000000000000012</v>
      </c>
      <c r="AE98" s="14">
        <f t="shared" si="113"/>
        <v>1.8000000000000012</v>
      </c>
      <c r="AF98" s="3">
        <f t="shared" si="83"/>
        <v>3.3988307275311831</v>
      </c>
      <c r="AI98" s="3">
        <f t="shared" si="114"/>
        <v>1.8000000000000012</v>
      </c>
      <c r="AJ98" s="14">
        <f t="shared" si="115"/>
        <v>1.8000000000000012</v>
      </c>
      <c r="AK98" s="3">
        <f t="shared" si="84"/>
        <v>3.3988307275311831</v>
      </c>
      <c r="AN98" s="3">
        <f t="shared" si="116"/>
        <v>1.8000000000000012</v>
      </c>
      <c r="AO98" s="3">
        <f t="shared" si="117"/>
        <v>1.8000000000000012</v>
      </c>
      <c r="AP98" s="3">
        <f t="shared" si="85"/>
        <v>3.3988307275311831</v>
      </c>
      <c r="AS98" s="3">
        <f t="shared" si="118"/>
        <v>1.8000000000000012</v>
      </c>
      <c r="AT98" s="14">
        <f t="shared" si="119"/>
        <v>1.8000000000000012</v>
      </c>
      <c r="AU98" s="3">
        <f t="shared" si="86"/>
        <v>3.3988307275311831</v>
      </c>
      <c r="AX98" s="3">
        <f t="shared" si="120"/>
        <v>1.8000000000000012</v>
      </c>
      <c r="AY98" s="14">
        <f t="shared" si="121"/>
        <v>1.8000000000000012</v>
      </c>
      <c r="AZ98" s="3">
        <f t="shared" si="87"/>
        <v>3.3988307275311831</v>
      </c>
      <c r="BC98" s="3">
        <f t="shared" si="122"/>
        <v>1.8000000000000012</v>
      </c>
      <c r="BD98" s="3">
        <f t="shared" si="123"/>
        <v>1.8000000000000012</v>
      </c>
      <c r="BE98" s="3">
        <f t="shared" si="88"/>
        <v>3.3988307275311831</v>
      </c>
      <c r="BH98" s="3">
        <f t="shared" si="124"/>
        <v>1.8000000000000012</v>
      </c>
      <c r="BI98" s="14">
        <f t="shared" si="125"/>
        <v>1.8000000000000012</v>
      </c>
      <c r="BJ98" s="3">
        <f t="shared" si="89"/>
        <v>3.3988307275311831</v>
      </c>
      <c r="BM98" s="3">
        <f t="shared" si="126"/>
        <v>1.8000000000000012</v>
      </c>
      <c r="BN98" s="14">
        <f t="shared" si="127"/>
        <v>1.8000000000000012</v>
      </c>
      <c r="BO98" s="3">
        <f t="shared" si="90"/>
        <v>3.3988307275311831</v>
      </c>
      <c r="BR98" s="3">
        <f t="shared" si="128"/>
        <v>1.8000000000000012</v>
      </c>
      <c r="BS98" s="3">
        <f t="shared" si="129"/>
        <v>1.8000000000000012</v>
      </c>
      <c r="BT98" s="3">
        <f t="shared" si="91"/>
        <v>3.3988307275311831</v>
      </c>
      <c r="BW98" s="3">
        <f t="shared" si="130"/>
        <v>1.8000000000000012</v>
      </c>
      <c r="BX98" s="14">
        <f t="shared" si="131"/>
        <v>1.8000000000000012</v>
      </c>
      <c r="BY98" s="3">
        <f t="shared" si="92"/>
        <v>3.3988307275311831</v>
      </c>
      <c r="CB98" s="3">
        <f t="shared" si="132"/>
        <v>1.8000000000000012</v>
      </c>
      <c r="CC98" s="14">
        <f t="shared" si="133"/>
        <v>1.8000000000000012</v>
      </c>
      <c r="CD98" s="3">
        <f t="shared" si="93"/>
        <v>3.3988307275311831</v>
      </c>
      <c r="CG98" s="3">
        <f t="shared" si="134"/>
        <v>1.8000000000000012</v>
      </c>
      <c r="CH98" s="3">
        <f t="shared" si="135"/>
        <v>1.8000000000000012</v>
      </c>
      <c r="CI98" s="3">
        <f t="shared" si="94"/>
        <v>3.3988307275311831</v>
      </c>
      <c r="CL98" s="3">
        <f t="shared" si="136"/>
        <v>1.8000000000000012</v>
      </c>
      <c r="CM98" s="14">
        <f t="shared" si="137"/>
        <v>1.8000000000000012</v>
      </c>
      <c r="CN98" s="3">
        <f t="shared" si="95"/>
        <v>3.3988307275311831</v>
      </c>
      <c r="CQ98" s="3">
        <f t="shared" si="138"/>
        <v>1.8000000000000012</v>
      </c>
      <c r="CR98" s="14">
        <f t="shared" si="139"/>
        <v>1.8000000000000012</v>
      </c>
      <c r="CS98" s="3">
        <f t="shared" si="96"/>
        <v>3.3988307275311831</v>
      </c>
      <c r="CV98" s="3">
        <f t="shared" si="140"/>
        <v>1.8000000000000012</v>
      </c>
      <c r="CW98" s="3">
        <f t="shared" si="141"/>
        <v>1.8000000000000012</v>
      </c>
      <c r="CX98" s="3">
        <f t="shared" si="97"/>
        <v>3.3988307275311831</v>
      </c>
      <c r="DA98" s="3">
        <f t="shared" si="142"/>
        <v>1.8000000000000012</v>
      </c>
      <c r="DB98" s="14">
        <f t="shared" si="143"/>
        <v>1.8000000000000012</v>
      </c>
      <c r="DC98" s="3">
        <f t="shared" si="98"/>
        <v>3.3988307275311831</v>
      </c>
      <c r="DF98" s="3">
        <f t="shared" si="144"/>
        <v>1.8000000000000012</v>
      </c>
      <c r="DG98" s="14">
        <f t="shared" si="145"/>
        <v>1.8000000000000012</v>
      </c>
      <c r="DH98" s="3">
        <f t="shared" si="99"/>
        <v>3.3988307275311831</v>
      </c>
      <c r="DK98" s="3">
        <f t="shared" si="146"/>
        <v>1.8000000000000012</v>
      </c>
      <c r="DL98" s="3">
        <f t="shared" si="147"/>
        <v>1.8000000000000012</v>
      </c>
      <c r="DM98" s="3">
        <f t="shared" si="100"/>
        <v>3.3988307275311831</v>
      </c>
      <c r="DP98" s="3">
        <f t="shared" si="148"/>
        <v>1.8000000000000012</v>
      </c>
      <c r="DQ98" s="14">
        <f t="shared" si="149"/>
        <v>1.8000000000000012</v>
      </c>
      <c r="DR98" s="3">
        <f t="shared" si="101"/>
        <v>3.3988307275311831</v>
      </c>
      <c r="DU98" s="3">
        <f t="shared" si="150"/>
        <v>1.8000000000000012</v>
      </c>
      <c r="DV98" s="14">
        <f t="shared" si="151"/>
        <v>1.8000000000000012</v>
      </c>
      <c r="DW98" s="3">
        <f t="shared" si="102"/>
        <v>3.3988307275311831</v>
      </c>
      <c r="DZ98" s="3">
        <f t="shared" si="152"/>
        <v>1.8000000000000012</v>
      </c>
      <c r="EA98" s="3">
        <f t="shared" si="153"/>
        <v>1.8000000000000012</v>
      </c>
      <c r="EB98" s="3">
        <f t="shared" si="103"/>
        <v>3.3988307275311831</v>
      </c>
      <c r="EE98" s="3">
        <f t="shared" si="154"/>
        <v>1.8000000000000012</v>
      </c>
      <c r="EF98" s="14">
        <f t="shared" si="155"/>
        <v>1.8000000000000012</v>
      </c>
      <c r="EG98" s="3">
        <f t="shared" si="104"/>
        <v>3.3988307275311831</v>
      </c>
      <c r="EJ98" s="3">
        <f t="shared" si="156"/>
        <v>1.8000000000000012</v>
      </c>
      <c r="EK98" s="14">
        <f t="shared" si="157"/>
        <v>1.8000000000000012</v>
      </c>
      <c r="EL98" s="3">
        <f t="shared" si="105"/>
        <v>3.3988307275311831</v>
      </c>
      <c r="EO98" s="3">
        <f t="shared" si="158"/>
        <v>1.8000000000000012</v>
      </c>
      <c r="EP98" s="3">
        <f t="shared" si="159"/>
        <v>1.8000000000000012</v>
      </c>
      <c r="EQ98" s="3">
        <f t="shared" si="106"/>
        <v>3.3988307275311831</v>
      </c>
      <c r="ET98" s="3">
        <f t="shared" si="160"/>
        <v>1.8000000000000012</v>
      </c>
      <c r="EU98" s="14">
        <f t="shared" si="161"/>
        <v>1.8000000000000012</v>
      </c>
      <c r="EV98" s="3">
        <f t="shared" si="107"/>
        <v>3.3988307275311831</v>
      </c>
    </row>
    <row r="99" spans="20:152" s="3" customFormat="1" x14ac:dyDescent="0.25">
      <c r="T99" s="3">
        <f t="shared" si="108"/>
        <v>1.8200000000000012</v>
      </c>
      <c r="U99" s="14">
        <f t="shared" si="109"/>
        <v>1.8200000000000012</v>
      </c>
      <c r="V99" s="3">
        <f t="shared" si="81"/>
        <v>3.3111359620533767</v>
      </c>
      <c r="Y99" s="3">
        <f t="shared" si="110"/>
        <v>1.8200000000000012</v>
      </c>
      <c r="Z99" s="3">
        <f t="shared" si="111"/>
        <v>1.8200000000000012</v>
      </c>
      <c r="AA99" s="3">
        <f t="shared" si="82"/>
        <v>3.3111359620533767</v>
      </c>
      <c r="AD99" s="3">
        <f t="shared" si="112"/>
        <v>1.8200000000000012</v>
      </c>
      <c r="AE99" s="14">
        <f t="shared" si="113"/>
        <v>1.8200000000000012</v>
      </c>
      <c r="AF99" s="3">
        <f t="shared" si="83"/>
        <v>3.3111359620533767</v>
      </c>
      <c r="AI99" s="3">
        <f t="shared" si="114"/>
        <v>1.8200000000000012</v>
      </c>
      <c r="AJ99" s="14">
        <f t="shared" si="115"/>
        <v>1.8200000000000012</v>
      </c>
      <c r="AK99" s="3">
        <f t="shared" si="84"/>
        <v>3.3111359620533767</v>
      </c>
      <c r="AN99" s="3">
        <f t="shared" si="116"/>
        <v>1.8200000000000012</v>
      </c>
      <c r="AO99" s="3">
        <f t="shared" si="117"/>
        <v>1.8200000000000012</v>
      </c>
      <c r="AP99" s="3">
        <f t="shared" si="85"/>
        <v>3.3111359620533767</v>
      </c>
      <c r="AS99" s="3">
        <f t="shared" si="118"/>
        <v>1.8200000000000012</v>
      </c>
      <c r="AT99" s="14">
        <f t="shared" si="119"/>
        <v>1.8200000000000012</v>
      </c>
      <c r="AU99" s="3">
        <f t="shared" si="86"/>
        <v>3.3111359620533767</v>
      </c>
      <c r="AX99" s="3">
        <f t="shared" si="120"/>
        <v>1.8200000000000012</v>
      </c>
      <c r="AY99" s="14">
        <f t="shared" si="121"/>
        <v>1.8200000000000012</v>
      </c>
      <c r="AZ99" s="3">
        <f t="shared" si="87"/>
        <v>3.3111359620533767</v>
      </c>
      <c r="BC99" s="3">
        <f t="shared" si="122"/>
        <v>1.8200000000000012</v>
      </c>
      <c r="BD99" s="3">
        <f t="shared" si="123"/>
        <v>1.8200000000000012</v>
      </c>
      <c r="BE99" s="3">
        <f t="shared" si="88"/>
        <v>3.3111359620533767</v>
      </c>
      <c r="BH99" s="3">
        <f t="shared" si="124"/>
        <v>1.8200000000000012</v>
      </c>
      <c r="BI99" s="14">
        <f t="shared" si="125"/>
        <v>1.8200000000000012</v>
      </c>
      <c r="BJ99" s="3">
        <f t="shared" si="89"/>
        <v>3.3111359620533767</v>
      </c>
      <c r="BM99" s="3">
        <f t="shared" si="126"/>
        <v>1.8200000000000012</v>
      </c>
      <c r="BN99" s="14">
        <f t="shared" si="127"/>
        <v>1.8200000000000012</v>
      </c>
      <c r="BO99" s="3">
        <f t="shared" si="90"/>
        <v>3.3111359620533767</v>
      </c>
      <c r="BR99" s="3">
        <f t="shared" si="128"/>
        <v>1.8200000000000012</v>
      </c>
      <c r="BS99" s="3">
        <f t="shared" si="129"/>
        <v>1.8200000000000012</v>
      </c>
      <c r="BT99" s="3">
        <f t="shared" si="91"/>
        <v>3.3111359620533767</v>
      </c>
      <c r="BW99" s="3">
        <f t="shared" si="130"/>
        <v>1.8200000000000012</v>
      </c>
      <c r="BX99" s="14">
        <f t="shared" si="131"/>
        <v>1.8200000000000012</v>
      </c>
      <c r="BY99" s="3">
        <f t="shared" si="92"/>
        <v>3.3111359620533767</v>
      </c>
      <c r="CB99" s="3">
        <f t="shared" si="132"/>
        <v>1.8200000000000012</v>
      </c>
      <c r="CC99" s="14">
        <f t="shared" si="133"/>
        <v>1.8200000000000012</v>
      </c>
      <c r="CD99" s="3">
        <f t="shared" si="93"/>
        <v>3.3111359620533767</v>
      </c>
      <c r="CG99" s="3">
        <f t="shared" si="134"/>
        <v>1.8200000000000012</v>
      </c>
      <c r="CH99" s="3">
        <f t="shared" si="135"/>
        <v>1.8200000000000012</v>
      </c>
      <c r="CI99" s="3">
        <f t="shared" si="94"/>
        <v>3.3111359620533767</v>
      </c>
      <c r="CL99" s="3">
        <f t="shared" si="136"/>
        <v>1.8200000000000012</v>
      </c>
      <c r="CM99" s="14">
        <f t="shared" si="137"/>
        <v>1.8200000000000012</v>
      </c>
      <c r="CN99" s="3">
        <f t="shared" si="95"/>
        <v>3.3111359620533767</v>
      </c>
      <c r="CQ99" s="3">
        <f t="shared" si="138"/>
        <v>1.8200000000000012</v>
      </c>
      <c r="CR99" s="14">
        <f t="shared" si="139"/>
        <v>1.8200000000000012</v>
      </c>
      <c r="CS99" s="3">
        <f t="shared" si="96"/>
        <v>3.3111359620533767</v>
      </c>
      <c r="CV99" s="3">
        <f t="shared" si="140"/>
        <v>1.8200000000000012</v>
      </c>
      <c r="CW99" s="3">
        <f t="shared" si="141"/>
        <v>1.8200000000000012</v>
      </c>
      <c r="CX99" s="3">
        <f t="shared" si="97"/>
        <v>3.3111359620533767</v>
      </c>
      <c r="DA99" s="3">
        <f t="shared" si="142"/>
        <v>1.8200000000000012</v>
      </c>
      <c r="DB99" s="14">
        <f t="shared" si="143"/>
        <v>1.8200000000000012</v>
      </c>
      <c r="DC99" s="3">
        <f t="shared" si="98"/>
        <v>3.3111359620533767</v>
      </c>
      <c r="DF99" s="3">
        <f t="shared" si="144"/>
        <v>1.8200000000000012</v>
      </c>
      <c r="DG99" s="14">
        <f t="shared" si="145"/>
        <v>1.8200000000000012</v>
      </c>
      <c r="DH99" s="3">
        <f t="shared" si="99"/>
        <v>3.3111359620533767</v>
      </c>
      <c r="DK99" s="3">
        <f t="shared" si="146"/>
        <v>1.8200000000000012</v>
      </c>
      <c r="DL99" s="3">
        <f t="shared" si="147"/>
        <v>1.8200000000000012</v>
      </c>
      <c r="DM99" s="3">
        <f t="shared" si="100"/>
        <v>3.3111359620533767</v>
      </c>
      <c r="DP99" s="3">
        <f t="shared" si="148"/>
        <v>1.8200000000000012</v>
      </c>
      <c r="DQ99" s="14">
        <f t="shared" si="149"/>
        <v>1.8200000000000012</v>
      </c>
      <c r="DR99" s="3">
        <f t="shared" si="101"/>
        <v>3.3111359620533767</v>
      </c>
      <c r="DU99" s="3">
        <f t="shared" si="150"/>
        <v>1.8200000000000012</v>
      </c>
      <c r="DV99" s="14">
        <f t="shared" si="151"/>
        <v>1.8200000000000012</v>
      </c>
      <c r="DW99" s="3">
        <f t="shared" si="102"/>
        <v>3.3111359620533767</v>
      </c>
      <c r="DZ99" s="3">
        <f t="shared" si="152"/>
        <v>1.8200000000000012</v>
      </c>
      <c r="EA99" s="3">
        <f t="shared" si="153"/>
        <v>1.8200000000000012</v>
      </c>
      <c r="EB99" s="3">
        <f t="shared" si="103"/>
        <v>3.3111359620533767</v>
      </c>
      <c r="EE99" s="3">
        <f t="shared" si="154"/>
        <v>1.8200000000000012</v>
      </c>
      <c r="EF99" s="14">
        <f t="shared" si="155"/>
        <v>1.8200000000000012</v>
      </c>
      <c r="EG99" s="3">
        <f t="shared" si="104"/>
        <v>3.3111359620533767</v>
      </c>
      <c r="EJ99" s="3">
        <f t="shared" si="156"/>
        <v>1.8200000000000012</v>
      </c>
      <c r="EK99" s="14">
        <f t="shared" si="157"/>
        <v>1.8200000000000012</v>
      </c>
      <c r="EL99" s="3">
        <f t="shared" si="105"/>
        <v>3.3111359620533767</v>
      </c>
      <c r="EO99" s="3">
        <f t="shared" si="158"/>
        <v>1.8200000000000012</v>
      </c>
      <c r="EP99" s="3">
        <f t="shared" si="159"/>
        <v>1.8200000000000012</v>
      </c>
      <c r="EQ99" s="3">
        <f t="shared" si="106"/>
        <v>3.3111359620533767</v>
      </c>
      <c r="ET99" s="3">
        <f t="shared" si="160"/>
        <v>1.8200000000000012</v>
      </c>
      <c r="EU99" s="14">
        <f t="shared" si="161"/>
        <v>1.8200000000000012</v>
      </c>
      <c r="EV99" s="3">
        <f t="shared" si="107"/>
        <v>3.3111359620533767</v>
      </c>
    </row>
    <row r="100" spans="20:152" s="3" customFormat="1" x14ac:dyDescent="0.25">
      <c r="T100" s="3">
        <f t="shared" si="108"/>
        <v>1.8400000000000012</v>
      </c>
      <c r="U100" s="14">
        <f t="shared" si="109"/>
        <v>1.8400000000000012</v>
      </c>
      <c r="V100" s="3">
        <f t="shared" si="81"/>
        <v>3.2207326838477224</v>
      </c>
      <c r="Y100" s="3">
        <f t="shared" si="110"/>
        <v>1.8400000000000012</v>
      </c>
      <c r="Z100" s="3">
        <f t="shared" si="111"/>
        <v>1.8400000000000012</v>
      </c>
      <c r="AA100" s="3">
        <f t="shared" si="82"/>
        <v>3.2207326838477224</v>
      </c>
      <c r="AD100" s="3">
        <f t="shared" si="112"/>
        <v>1.8400000000000012</v>
      </c>
      <c r="AE100" s="14">
        <f t="shared" si="113"/>
        <v>1.8400000000000012</v>
      </c>
      <c r="AF100" s="3">
        <f t="shared" si="83"/>
        <v>3.2207326838477224</v>
      </c>
      <c r="AI100" s="3">
        <f t="shared" si="114"/>
        <v>1.8400000000000012</v>
      </c>
      <c r="AJ100" s="14">
        <f t="shared" si="115"/>
        <v>1.8400000000000012</v>
      </c>
      <c r="AK100" s="3">
        <f t="shared" si="84"/>
        <v>3.2207326838477224</v>
      </c>
      <c r="AN100" s="3">
        <f t="shared" si="116"/>
        <v>1.8400000000000012</v>
      </c>
      <c r="AO100" s="3">
        <f t="shared" si="117"/>
        <v>1.8400000000000012</v>
      </c>
      <c r="AP100" s="3">
        <f t="shared" si="85"/>
        <v>3.2207326838477224</v>
      </c>
      <c r="AS100" s="3">
        <f t="shared" si="118"/>
        <v>1.8400000000000012</v>
      </c>
      <c r="AT100" s="14">
        <f t="shared" si="119"/>
        <v>1.8400000000000012</v>
      </c>
      <c r="AU100" s="3">
        <f t="shared" si="86"/>
        <v>3.2207326838477224</v>
      </c>
      <c r="AX100" s="3">
        <f t="shared" si="120"/>
        <v>1.8400000000000012</v>
      </c>
      <c r="AY100" s="14">
        <f t="shared" si="121"/>
        <v>1.8400000000000012</v>
      </c>
      <c r="AZ100" s="3">
        <f t="shared" si="87"/>
        <v>3.2207326838477224</v>
      </c>
      <c r="BC100" s="3">
        <f t="shared" si="122"/>
        <v>1.8400000000000012</v>
      </c>
      <c r="BD100" s="3">
        <f t="shared" si="123"/>
        <v>1.8400000000000012</v>
      </c>
      <c r="BE100" s="3">
        <f t="shared" si="88"/>
        <v>3.2207326838477224</v>
      </c>
      <c r="BH100" s="3">
        <f t="shared" si="124"/>
        <v>1.8400000000000012</v>
      </c>
      <c r="BI100" s="14">
        <f t="shared" si="125"/>
        <v>1.8400000000000012</v>
      </c>
      <c r="BJ100" s="3">
        <f t="shared" si="89"/>
        <v>3.2207326838477224</v>
      </c>
      <c r="BM100" s="3">
        <f t="shared" si="126"/>
        <v>1.8400000000000012</v>
      </c>
      <c r="BN100" s="14">
        <f t="shared" si="127"/>
        <v>1.8400000000000012</v>
      </c>
      <c r="BO100" s="3">
        <f t="shared" si="90"/>
        <v>3.2207326838477224</v>
      </c>
      <c r="BR100" s="3">
        <f t="shared" si="128"/>
        <v>1.8400000000000012</v>
      </c>
      <c r="BS100" s="3">
        <f t="shared" si="129"/>
        <v>1.8400000000000012</v>
      </c>
      <c r="BT100" s="3">
        <f t="shared" si="91"/>
        <v>3.2207326838477224</v>
      </c>
      <c r="BW100" s="3">
        <f t="shared" si="130"/>
        <v>1.8400000000000012</v>
      </c>
      <c r="BX100" s="14">
        <f t="shared" si="131"/>
        <v>1.8400000000000012</v>
      </c>
      <c r="BY100" s="3">
        <f t="shared" si="92"/>
        <v>3.2207326838477224</v>
      </c>
      <c r="CB100" s="3">
        <f t="shared" si="132"/>
        <v>1.8400000000000012</v>
      </c>
      <c r="CC100" s="14">
        <f t="shared" si="133"/>
        <v>1.8400000000000012</v>
      </c>
      <c r="CD100" s="3">
        <f t="shared" si="93"/>
        <v>3.2207326838477224</v>
      </c>
      <c r="CG100" s="3">
        <f t="shared" si="134"/>
        <v>1.8400000000000012</v>
      </c>
      <c r="CH100" s="3">
        <f t="shared" si="135"/>
        <v>1.8400000000000012</v>
      </c>
      <c r="CI100" s="3">
        <f t="shared" si="94"/>
        <v>3.2207326838477224</v>
      </c>
      <c r="CL100" s="3">
        <f t="shared" si="136"/>
        <v>1.8400000000000012</v>
      </c>
      <c r="CM100" s="14">
        <f t="shared" si="137"/>
        <v>1.8400000000000012</v>
      </c>
      <c r="CN100" s="3">
        <f t="shared" si="95"/>
        <v>3.2207326838477224</v>
      </c>
      <c r="CQ100" s="3">
        <f t="shared" si="138"/>
        <v>1.8400000000000012</v>
      </c>
      <c r="CR100" s="14">
        <f t="shared" si="139"/>
        <v>1.8400000000000012</v>
      </c>
      <c r="CS100" s="3">
        <f t="shared" si="96"/>
        <v>3.2207326838477224</v>
      </c>
      <c r="CV100" s="3">
        <f t="shared" si="140"/>
        <v>1.8400000000000012</v>
      </c>
      <c r="CW100" s="3">
        <f t="shared" si="141"/>
        <v>1.8400000000000012</v>
      </c>
      <c r="CX100" s="3">
        <f t="shared" si="97"/>
        <v>3.2207326838477224</v>
      </c>
      <c r="DA100" s="3">
        <f t="shared" si="142"/>
        <v>1.8400000000000012</v>
      </c>
      <c r="DB100" s="14">
        <f t="shared" si="143"/>
        <v>1.8400000000000012</v>
      </c>
      <c r="DC100" s="3">
        <f t="shared" si="98"/>
        <v>3.2207326838477224</v>
      </c>
      <c r="DF100" s="3">
        <f t="shared" si="144"/>
        <v>1.8400000000000012</v>
      </c>
      <c r="DG100" s="14">
        <f t="shared" si="145"/>
        <v>1.8400000000000012</v>
      </c>
      <c r="DH100" s="3">
        <f t="shared" si="99"/>
        <v>3.2207326838477224</v>
      </c>
      <c r="DK100" s="3">
        <f t="shared" si="146"/>
        <v>1.8400000000000012</v>
      </c>
      <c r="DL100" s="3">
        <f t="shared" si="147"/>
        <v>1.8400000000000012</v>
      </c>
      <c r="DM100" s="3">
        <f t="shared" si="100"/>
        <v>3.2207326838477224</v>
      </c>
      <c r="DP100" s="3">
        <f t="shared" si="148"/>
        <v>1.8400000000000012</v>
      </c>
      <c r="DQ100" s="14">
        <f t="shared" si="149"/>
        <v>1.8400000000000012</v>
      </c>
      <c r="DR100" s="3">
        <f t="shared" si="101"/>
        <v>3.2207326838477224</v>
      </c>
      <c r="DU100" s="3">
        <f t="shared" si="150"/>
        <v>1.8400000000000012</v>
      </c>
      <c r="DV100" s="14">
        <f t="shared" si="151"/>
        <v>1.8400000000000012</v>
      </c>
      <c r="DW100" s="3">
        <f t="shared" si="102"/>
        <v>3.2207326838477224</v>
      </c>
      <c r="DZ100" s="3">
        <f t="shared" si="152"/>
        <v>1.8400000000000012</v>
      </c>
      <c r="EA100" s="3">
        <f t="shared" si="153"/>
        <v>1.8400000000000012</v>
      </c>
      <c r="EB100" s="3">
        <f t="shared" si="103"/>
        <v>3.2207326838477224</v>
      </c>
      <c r="EE100" s="3">
        <f t="shared" si="154"/>
        <v>1.8400000000000012</v>
      </c>
      <c r="EF100" s="14">
        <f t="shared" si="155"/>
        <v>1.8400000000000012</v>
      </c>
      <c r="EG100" s="3">
        <f t="shared" si="104"/>
        <v>3.2207326838477224</v>
      </c>
      <c r="EJ100" s="3">
        <f t="shared" si="156"/>
        <v>1.8400000000000012</v>
      </c>
      <c r="EK100" s="14">
        <f t="shared" si="157"/>
        <v>1.8400000000000012</v>
      </c>
      <c r="EL100" s="3">
        <f t="shared" si="105"/>
        <v>3.2207326838477224</v>
      </c>
      <c r="EO100" s="3">
        <f t="shared" si="158"/>
        <v>1.8400000000000012</v>
      </c>
      <c r="EP100" s="3">
        <f t="shared" si="159"/>
        <v>1.8400000000000012</v>
      </c>
      <c r="EQ100" s="3">
        <f t="shared" si="106"/>
        <v>3.2207326838477224</v>
      </c>
      <c r="ET100" s="3">
        <f t="shared" si="160"/>
        <v>1.8400000000000012</v>
      </c>
      <c r="EU100" s="14">
        <f t="shared" si="161"/>
        <v>1.8400000000000012</v>
      </c>
      <c r="EV100" s="3">
        <f t="shared" si="107"/>
        <v>3.2207326838477224</v>
      </c>
    </row>
    <row r="101" spans="20:152" s="3" customFormat="1" x14ac:dyDescent="0.25">
      <c r="T101" s="3">
        <f t="shared" si="108"/>
        <v>1.8600000000000012</v>
      </c>
      <c r="U101" s="14">
        <f t="shared" si="109"/>
        <v>1.8600000000000012</v>
      </c>
      <c r="V101" s="3">
        <f t="shared" si="81"/>
        <v>3.1276208929142202</v>
      </c>
      <c r="Y101" s="3">
        <f t="shared" si="110"/>
        <v>1.8600000000000012</v>
      </c>
      <c r="Z101" s="3">
        <f t="shared" si="111"/>
        <v>1.8600000000000012</v>
      </c>
      <c r="AA101" s="3">
        <f t="shared" si="82"/>
        <v>3.1276208929142202</v>
      </c>
      <c r="AD101" s="3">
        <f t="shared" si="112"/>
        <v>1.8600000000000012</v>
      </c>
      <c r="AE101" s="14">
        <f t="shared" si="113"/>
        <v>1.8600000000000012</v>
      </c>
      <c r="AF101" s="3">
        <f t="shared" si="83"/>
        <v>3.1276208929142202</v>
      </c>
      <c r="AI101" s="3">
        <f t="shared" si="114"/>
        <v>1.8600000000000012</v>
      </c>
      <c r="AJ101" s="14">
        <f t="shared" si="115"/>
        <v>1.8600000000000012</v>
      </c>
      <c r="AK101" s="3">
        <f t="shared" si="84"/>
        <v>3.1276208929142202</v>
      </c>
      <c r="AN101" s="3">
        <f t="shared" si="116"/>
        <v>1.8600000000000012</v>
      </c>
      <c r="AO101" s="3">
        <f t="shared" si="117"/>
        <v>1.8600000000000012</v>
      </c>
      <c r="AP101" s="3">
        <f t="shared" si="85"/>
        <v>3.1276208929142202</v>
      </c>
      <c r="AS101" s="3">
        <f t="shared" si="118"/>
        <v>1.8600000000000012</v>
      </c>
      <c r="AT101" s="14">
        <f t="shared" si="119"/>
        <v>1.8600000000000012</v>
      </c>
      <c r="AU101" s="3">
        <f t="shared" si="86"/>
        <v>3.1276208929142202</v>
      </c>
      <c r="AX101" s="3">
        <f t="shared" si="120"/>
        <v>1.8600000000000012</v>
      </c>
      <c r="AY101" s="14">
        <f t="shared" si="121"/>
        <v>1.8600000000000012</v>
      </c>
      <c r="AZ101" s="3">
        <f t="shared" si="87"/>
        <v>3.1276208929142202</v>
      </c>
      <c r="BC101" s="3">
        <f t="shared" si="122"/>
        <v>1.8600000000000012</v>
      </c>
      <c r="BD101" s="3">
        <f t="shared" si="123"/>
        <v>1.8600000000000012</v>
      </c>
      <c r="BE101" s="3">
        <f t="shared" si="88"/>
        <v>3.1276208929142202</v>
      </c>
      <c r="BH101" s="3">
        <f t="shared" si="124"/>
        <v>1.8600000000000012</v>
      </c>
      <c r="BI101" s="14">
        <f t="shared" si="125"/>
        <v>1.8600000000000012</v>
      </c>
      <c r="BJ101" s="3">
        <f t="shared" si="89"/>
        <v>3.1276208929142202</v>
      </c>
      <c r="BM101" s="3">
        <f t="shared" si="126"/>
        <v>1.8600000000000012</v>
      </c>
      <c r="BN101" s="14">
        <f t="shared" si="127"/>
        <v>1.8600000000000012</v>
      </c>
      <c r="BO101" s="3">
        <f t="shared" si="90"/>
        <v>3.1276208929142202</v>
      </c>
      <c r="BR101" s="3">
        <f t="shared" si="128"/>
        <v>1.8600000000000012</v>
      </c>
      <c r="BS101" s="3">
        <f t="shared" si="129"/>
        <v>1.8600000000000012</v>
      </c>
      <c r="BT101" s="3">
        <f t="shared" si="91"/>
        <v>3.1276208929142202</v>
      </c>
      <c r="BW101" s="3">
        <f t="shared" si="130"/>
        <v>1.8600000000000012</v>
      </c>
      <c r="BX101" s="14">
        <f t="shared" si="131"/>
        <v>1.8600000000000012</v>
      </c>
      <c r="BY101" s="3">
        <f t="shared" si="92"/>
        <v>3.1276208929142202</v>
      </c>
      <c r="CB101" s="3">
        <f t="shared" si="132"/>
        <v>1.8600000000000012</v>
      </c>
      <c r="CC101" s="14">
        <f t="shared" si="133"/>
        <v>1.8600000000000012</v>
      </c>
      <c r="CD101" s="3">
        <f t="shared" si="93"/>
        <v>3.1276208929142202</v>
      </c>
      <c r="CG101" s="3">
        <f t="shared" si="134"/>
        <v>1.8600000000000012</v>
      </c>
      <c r="CH101" s="3">
        <f t="shared" si="135"/>
        <v>1.8600000000000012</v>
      </c>
      <c r="CI101" s="3">
        <f t="shared" si="94"/>
        <v>3.1276208929142202</v>
      </c>
      <c r="CL101" s="3">
        <f t="shared" si="136"/>
        <v>1.8600000000000012</v>
      </c>
      <c r="CM101" s="14">
        <f t="shared" si="137"/>
        <v>1.8600000000000012</v>
      </c>
      <c r="CN101" s="3">
        <f t="shared" si="95"/>
        <v>3.1276208929142202</v>
      </c>
      <c r="CQ101" s="3">
        <f t="shared" si="138"/>
        <v>1.8600000000000012</v>
      </c>
      <c r="CR101" s="14">
        <f t="shared" si="139"/>
        <v>1.8600000000000012</v>
      </c>
      <c r="CS101" s="3">
        <f t="shared" si="96"/>
        <v>3.1276208929142202</v>
      </c>
      <c r="CV101" s="3">
        <f t="shared" si="140"/>
        <v>1.8600000000000012</v>
      </c>
      <c r="CW101" s="3">
        <f t="shared" si="141"/>
        <v>1.8600000000000012</v>
      </c>
      <c r="CX101" s="3">
        <f t="shared" si="97"/>
        <v>3.1276208929142202</v>
      </c>
      <c r="DA101" s="3">
        <f t="shared" si="142"/>
        <v>1.8600000000000012</v>
      </c>
      <c r="DB101" s="14">
        <f t="shared" si="143"/>
        <v>1.8600000000000012</v>
      </c>
      <c r="DC101" s="3">
        <f t="shared" si="98"/>
        <v>3.1276208929142202</v>
      </c>
      <c r="DF101" s="3">
        <f t="shared" si="144"/>
        <v>1.8600000000000012</v>
      </c>
      <c r="DG101" s="14">
        <f t="shared" si="145"/>
        <v>1.8600000000000012</v>
      </c>
      <c r="DH101" s="3">
        <f t="shared" si="99"/>
        <v>3.1276208929142202</v>
      </c>
      <c r="DK101" s="3">
        <f t="shared" si="146"/>
        <v>1.8600000000000012</v>
      </c>
      <c r="DL101" s="3">
        <f t="shared" si="147"/>
        <v>1.8600000000000012</v>
      </c>
      <c r="DM101" s="3">
        <f t="shared" si="100"/>
        <v>3.1276208929142202</v>
      </c>
      <c r="DP101" s="3">
        <f t="shared" si="148"/>
        <v>1.8600000000000012</v>
      </c>
      <c r="DQ101" s="14">
        <f t="shared" si="149"/>
        <v>1.8600000000000012</v>
      </c>
      <c r="DR101" s="3">
        <f t="shared" si="101"/>
        <v>3.1276208929142202</v>
      </c>
      <c r="DU101" s="3">
        <f t="shared" si="150"/>
        <v>1.8600000000000012</v>
      </c>
      <c r="DV101" s="14">
        <f t="shared" si="151"/>
        <v>1.8600000000000012</v>
      </c>
      <c r="DW101" s="3">
        <f t="shared" si="102"/>
        <v>3.1276208929142202</v>
      </c>
      <c r="DZ101" s="3">
        <f t="shared" si="152"/>
        <v>1.8600000000000012</v>
      </c>
      <c r="EA101" s="3">
        <f t="shared" si="153"/>
        <v>1.8600000000000012</v>
      </c>
      <c r="EB101" s="3">
        <f t="shared" si="103"/>
        <v>3.1276208929142202</v>
      </c>
      <c r="EE101" s="3">
        <f t="shared" si="154"/>
        <v>1.8600000000000012</v>
      </c>
      <c r="EF101" s="14">
        <f t="shared" si="155"/>
        <v>1.8600000000000012</v>
      </c>
      <c r="EG101" s="3">
        <f t="shared" si="104"/>
        <v>3.1276208929142202</v>
      </c>
      <c r="EJ101" s="3">
        <f t="shared" si="156"/>
        <v>1.8600000000000012</v>
      </c>
      <c r="EK101" s="14">
        <f t="shared" si="157"/>
        <v>1.8600000000000012</v>
      </c>
      <c r="EL101" s="3">
        <f t="shared" si="105"/>
        <v>3.1276208929142202</v>
      </c>
      <c r="EO101" s="3">
        <f t="shared" si="158"/>
        <v>1.8600000000000012</v>
      </c>
      <c r="EP101" s="3">
        <f t="shared" si="159"/>
        <v>1.8600000000000012</v>
      </c>
      <c r="EQ101" s="3">
        <f t="shared" si="106"/>
        <v>3.1276208929142202</v>
      </c>
      <c r="ET101" s="3">
        <f t="shared" si="160"/>
        <v>1.8600000000000012</v>
      </c>
      <c r="EU101" s="14">
        <f t="shared" si="161"/>
        <v>1.8600000000000012</v>
      </c>
      <c r="EV101" s="3">
        <f t="shared" si="107"/>
        <v>3.1276208929142202</v>
      </c>
    </row>
    <row r="102" spans="20:152" s="3" customFormat="1" x14ac:dyDescent="0.25">
      <c r="T102" s="3">
        <f t="shared" si="108"/>
        <v>1.8800000000000012</v>
      </c>
      <c r="U102" s="14">
        <f t="shared" si="109"/>
        <v>1.8800000000000012</v>
      </c>
      <c r="V102" s="3">
        <f t="shared" si="81"/>
        <v>3.0318005892528701</v>
      </c>
      <c r="Y102" s="3">
        <f t="shared" si="110"/>
        <v>1.8800000000000012</v>
      </c>
      <c r="Z102" s="3">
        <f t="shared" si="111"/>
        <v>1.8800000000000012</v>
      </c>
      <c r="AA102" s="3">
        <f t="shared" si="82"/>
        <v>3.0318005892528701</v>
      </c>
      <c r="AD102" s="3">
        <f t="shared" si="112"/>
        <v>1.8800000000000012</v>
      </c>
      <c r="AE102" s="14">
        <f t="shared" si="113"/>
        <v>1.8800000000000012</v>
      </c>
      <c r="AF102" s="3">
        <f t="shared" si="83"/>
        <v>3.0318005892528701</v>
      </c>
      <c r="AI102" s="3">
        <f t="shared" si="114"/>
        <v>1.8800000000000012</v>
      </c>
      <c r="AJ102" s="14">
        <f t="shared" si="115"/>
        <v>1.8800000000000012</v>
      </c>
      <c r="AK102" s="3">
        <f t="shared" si="84"/>
        <v>3.0318005892528701</v>
      </c>
      <c r="AN102" s="3">
        <f t="shared" si="116"/>
        <v>1.8800000000000012</v>
      </c>
      <c r="AO102" s="3">
        <f t="shared" si="117"/>
        <v>1.8800000000000012</v>
      </c>
      <c r="AP102" s="3">
        <f t="shared" si="85"/>
        <v>3.0318005892528701</v>
      </c>
      <c r="AS102" s="3">
        <f t="shared" si="118"/>
        <v>1.8800000000000012</v>
      </c>
      <c r="AT102" s="14">
        <f t="shared" si="119"/>
        <v>1.8800000000000012</v>
      </c>
      <c r="AU102" s="3">
        <f t="shared" si="86"/>
        <v>3.0318005892528701</v>
      </c>
      <c r="AX102" s="3">
        <f t="shared" si="120"/>
        <v>1.8800000000000012</v>
      </c>
      <c r="AY102" s="14">
        <f t="shared" si="121"/>
        <v>1.8800000000000012</v>
      </c>
      <c r="AZ102" s="3">
        <f t="shared" si="87"/>
        <v>3.0318005892528701</v>
      </c>
      <c r="BC102" s="3">
        <f t="shared" si="122"/>
        <v>1.8800000000000012</v>
      </c>
      <c r="BD102" s="3">
        <f t="shared" si="123"/>
        <v>1.8800000000000012</v>
      </c>
      <c r="BE102" s="3">
        <f t="shared" si="88"/>
        <v>3.0318005892528701</v>
      </c>
      <c r="BH102" s="3">
        <f t="shared" si="124"/>
        <v>1.8800000000000012</v>
      </c>
      <c r="BI102" s="14">
        <f t="shared" si="125"/>
        <v>1.8800000000000012</v>
      </c>
      <c r="BJ102" s="3">
        <f t="shared" si="89"/>
        <v>3.0318005892528701</v>
      </c>
      <c r="BM102" s="3">
        <f t="shared" si="126"/>
        <v>1.8800000000000012</v>
      </c>
      <c r="BN102" s="14">
        <f t="shared" si="127"/>
        <v>1.8800000000000012</v>
      </c>
      <c r="BO102" s="3">
        <f t="shared" si="90"/>
        <v>3.0318005892528701</v>
      </c>
      <c r="BR102" s="3">
        <f t="shared" si="128"/>
        <v>1.8800000000000012</v>
      </c>
      <c r="BS102" s="3">
        <f t="shared" si="129"/>
        <v>1.8800000000000012</v>
      </c>
      <c r="BT102" s="3">
        <f t="shared" si="91"/>
        <v>3.0318005892528701</v>
      </c>
      <c r="BW102" s="3">
        <f t="shared" si="130"/>
        <v>1.8800000000000012</v>
      </c>
      <c r="BX102" s="14">
        <f t="shared" si="131"/>
        <v>1.8800000000000012</v>
      </c>
      <c r="BY102" s="3">
        <f t="shared" si="92"/>
        <v>3.0318005892528701</v>
      </c>
      <c r="CB102" s="3">
        <f t="shared" si="132"/>
        <v>1.8800000000000012</v>
      </c>
      <c r="CC102" s="14">
        <f t="shared" si="133"/>
        <v>1.8800000000000012</v>
      </c>
      <c r="CD102" s="3">
        <f t="shared" si="93"/>
        <v>3.0318005892528701</v>
      </c>
      <c r="CG102" s="3">
        <f t="shared" si="134"/>
        <v>1.8800000000000012</v>
      </c>
      <c r="CH102" s="3">
        <f t="shared" si="135"/>
        <v>1.8800000000000012</v>
      </c>
      <c r="CI102" s="3">
        <f t="shared" si="94"/>
        <v>3.0318005892528701</v>
      </c>
      <c r="CL102" s="3">
        <f t="shared" si="136"/>
        <v>1.8800000000000012</v>
      </c>
      <c r="CM102" s="14">
        <f t="shared" si="137"/>
        <v>1.8800000000000012</v>
      </c>
      <c r="CN102" s="3">
        <f t="shared" si="95"/>
        <v>3.0318005892528701</v>
      </c>
      <c r="CQ102" s="3">
        <f t="shared" si="138"/>
        <v>1.8800000000000012</v>
      </c>
      <c r="CR102" s="14">
        <f t="shared" si="139"/>
        <v>1.8800000000000012</v>
      </c>
      <c r="CS102" s="3">
        <f t="shared" si="96"/>
        <v>3.0318005892528701</v>
      </c>
      <c r="CV102" s="3">
        <f t="shared" si="140"/>
        <v>1.8800000000000012</v>
      </c>
      <c r="CW102" s="3">
        <f t="shared" si="141"/>
        <v>1.8800000000000012</v>
      </c>
      <c r="CX102" s="3">
        <f t="shared" si="97"/>
        <v>3.0318005892528701</v>
      </c>
      <c r="DA102" s="3">
        <f t="shared" si="142"/>
        <v>1.8800000000000012</v>
      </c>
      <c r="DB102" s="14">
        <f t="shared" si="143"/>
        <v>1.8800000000000012</v>
      </c>
      <c r="DC102" s="3">
        <f t="shared" si="98"/>
        <v>3.0318005892528701</v>
      </c>
      <c r="DF102" s="3">
        <f t="shared" si="144"/>
        <v>1.8800000000000012</v>
      </c>
      <c r="DG102" s="14">
        <f t="shared" si="145"/>
        <v>1.8800000000000012</v>
      </c>
      <c r="DH102" s="3">
        <f t="shared" si="99"/>
        <v>3.0318005892528701</v>
      </c>
      <c r="DK102" s="3">
        <f t="shared" si="146"/>
        <v>1.8800000000000012</v>
      </c>
      <c r="DL102" s="3">
        <f t="shared" si="147"/>
        <v>1.8800000000000012</v>
      </c>
      <c r="DM102" s="3">
        <f t="shared" si="100"/>
        <v>3.0318005892528701</v>
      </c>
      <c r="DP102" s="3">
        <f t="shared" si="148"/>
        <v>1.8800000000000012</v>
      </c>
      <c r="DQ102" s="14">
        <f t="shared" si="149"/>
        <v>1.8800000000000012</v>
      </c>
      <c r="DR102" s="3">
        <f t="shared" si="101"/>
        <v>3.0318005892528701</v>
      </c>
      <c r="DU102" s="3">
        <f t="shared" si="150"/>
        <v>1.8800000000000012</v>
      </c>
      <c r="DV102" s="14">
        <f t="shared" si="151"/>
        <v>1.8800000000000012</v>
      </c>
      <c r="DW102" s="3">
        <f t="shared" si="102"/>
        <v>3.0318005892528701</v>
      </c>
      <c r="DZ102" s="3">
        <f t="shared" si="152"/>
        <v>1.8800000000000012</v>
      </c>
      <c r="EA102" s="3">
        <f t="shared" si="153"/>
        <v>1.8800000000000012</v>
      </c>
      <c r="EB102" s="3">
        <f t="shared" si="103"/>
        <v>3.0318005892528701</v>
      </c>
      <c r="EE102" s="3">
        <f t="shared" si="154"/>
        <v>1.8800000000000012</v>
      </c>
      <c r="EF102" s="14">
        <f t="shared" si="155"/>
        <v>1.8800000000000012</v>
      </c>
      <c r="EG102" s="3">
        <f t="shared" si="104"/>
        <v>3.0318005892528701</v>
      </c>
      <c r="EJ102" s="3">
        <f t="shared" si="156"/>
        <v>1.8800000000000012</v>
      </c>
      <c r="EK102" s="14">
        <f t="shared" si="157"/>
        <v>1.8800000000000012</v>
      </c>
      <c r="EL102" s="3">
        <f t="shared" si="105"/>
        <v>3.0318005892528701</v>
      </c>
      <c r="EO102" s="3">
        <f t="shared" si="158"/>
        <v>1.8800000000000012</v>
      </c>
      <c r="EP102" s="3">
        <f t="shared" si="159"/>
        <v>1.8800000000000012</v>
      </c>
      <c r="EQ102" s="3">
        <f t="shared" si="106"/>
        <v>3.0318005892528701</v>
      </c>
      <c r="ET102" s="3">
        <f t="shared" si="160"/>
        <v>1.8800000000000012</v>
      </c>
      <c r="EU102" s="14">
        <f t="shared" si="161"/>
        <v>1.8800000000000012</v>
      </c>
      <c r="EV102" s="3">
        <f t="shared" si="107"/>
        <v>3.0318005892528701</v>
      </c>
    </row>
    <row r="103" spans="20:152" s="3" customFormat="1" x14ac:dyDescent="0.25">
      <c r="T103" s="3">
        <f t="shared" si="108"/>
        <v>1.9000000000000012</v>
      </c>
      <c r="U103" s="14">
        <f t="shared" si="109"/>
        <v>1.9000000000000012</v>
      </c>
      <c r="V103" s="3">
        <f t="shared" si="81"/>
        <v>2.9332717728636775</v>
      </c>
      <c r="Y103" s="3">
        <f t="shared" si="110"/>
        <v>1.9000000000000012</v>
      </c>
      <c r="Z103" s="3">
        <f t="shared" si="111"/>
        <v>1.9000000000000012</v>
      </c>
      <c r="AA103" s="3">
        <f t="shared" si="82"/>
        <v>2.9332717728636775</v>
      </c>
      <c r="AD103" s="3">
        <f t="shared" si="112"/>
        <v>1.9000000000000012</v>
      </c>
      <c r="AE103" s="14">
        <f t="shared" si="113"/>
        <v>1.9000000000000012</v>
      </c>
      <c r="AF103" s="3">
        <f t="shared" si="83"/>
        <v>2.9332717728636775</v>
      </c>
      <c r="AI103" s="3">
        <f t="shared" si="114"/>
        <v>1.9000000000000012</v>
      </c>
      <c r="AJ103" s="14">
        <f t="shared" si="115"/>
        <v>1.9000000000000012</v>
      </c>
      <c r="AK103" s="3">
        <f t="shared" si="84"/>
        <v>2.9332717728636775</v>
      </c>
      <c r="AN103" s="3">
        <f t="shared" si="116"/>
        <v>1.9000000000000012</v>
      </c>
      <c r="AO103" s="3">
        <f t="shared" si="117"/>
        <v>1.9000000000000012</v>
      </c>
      <c r="AP103" s="3">
        <f t="shared" si="85"/>
        <v>2.9332717728636775</v>
      </c>
      <c r="AS103" s="3">
        <f t="shared" si="118"/>
        <v>1.9000000000000012</v>
      </c>
      <c r="AT103" s="14">
        <f t="shared" si="119"/>
        <v>1.9000000000000012</v>
      </c>
      <c r="AU103" s="3">
        <f t="shared" si="86"/>
        <v>2.9332717728636775</v>
      </c>
      <c r="AX103" s="3">
        <f t="shared" si="120"/>
        <v>1.9000000000000012</v>
      </c>
      <c r="AY103" s="14">
        <f t="shared" si="121"/>
        <v>1.9000000000000012</v>
      </c>
      <c r="AZ103" s="3">
        <f t="shared" si="87"/>
        <v>2.9332717728636775</v>
      </c>
      <c r="BC103" s="3">
        <f t="shared" si="122"/>
        <v>1.9000000000000012</v>
      </c>
      <c r="BD103" s="3">
        <f t="shared" si="123"/>
        <v>1.9000000000000012</v>
      </c>
      <c r="BE103" s="3">
        <f t="shared" si="88"/>
        <v>2.9332717728636775</v>
      </c>
      <c r="BH103" s="3">
        <f t="shared" si="124"/>
        <v>1.9000000000000012</v>
      </c>
      <c r="BI103" s="14">
        <f t="shared" si="125"/>
        <v>1.9000000000000012</v>
      </c>
      <c r="BJ103" s="3">
        <f t="shared" si="89"/>
        <v>2.9332717728636775</v>
      </c>
      <c r="BM103" s="3">
        <f t="shared" si="126"/>
        <v>1.9000000000000012</v>
      </c>
      <c r="BN103" s="14">
        <f t="shared" si="127"/>
        <v>1.9000000000000012</v>
      </c>
      <c r="BO103" s="3">
        <f t="shared" si="90"/>
        <v>2.9332717728636775</v>
      </c>
      <c r="BR103" s="3">
        <f t="shared" si="128"/>
        <v>1.9000000000000012</v>
      </c>
      <c r="BS103" s="3">
        <f t="shared" si="129"/>
        <v>1.9000000000000012</v>
      </c>
      <c r="BT103" s="3">
        <f t="shared" si="91"/>
        <v>2.9332717728636775</v>
      </c>
      <c r="BW103" s="3">
        <f t="shared" si="130"/>
        <v>1.9000000000000012</v>
      </c>
      <c r="BX103" s="14">
        <f t="shared" si="131"/>
        <v>1.9000000000000012</v>
      </c>
      <c r="BY103" s="3">
        <f t="shared" si="92"/>
        <v>2.9332717728636775</v>
      </c>
      <c r="CB103" s="3">
        <f t="shared" si="132"/>
        <v>1.9000000000000012</v>
      </c>
      <c r="CC103" s="14">
        <f t="shared" si="133"/>
        <v>1.9000000000000012</v>
      </c>
      <c r="CD103" s="3">
        <f t="shared" si="93"/>
        <v>2.9332717728636775</v>
      </c>
      <c r="CG103" s="3">
        <f t="shared" si="134"/>
        <v>1.9000000000000012</v>
      </c>
      <c r="CH103" s="3">
        <f t="shared" si="135"/>
        <v>1.9000000000000012</v>
      </c>
      <c r="CI103" s="3">
        <f t="shared" si="94"/>
        <v>2.9332717728636775</v>
      </c>
      <c r="CL103" s="3">
        <f t="shared" si="136"/>
        <v>1.9000000000000012</v>
      </c>
      <c r="CM103" s="14">
        <f t="shared" si="137"/>
        <v>1.9000000000000012</v>
      </c>
      <c r="CN103" s="3">
        <f t="shared" si="95"/>
        <v>2.9332717728636775</v>
      </c>
      <c r="CQ103" s="3">
        <f t="shared" si="138"/>
        <v>1.9000000000000012</v>
      </c>
      <c r="CR103" s="14">
        <f t="shared" si="139"/>
        <v>1.9000000000000012</v>
      </c>
      <c r="CS103" s="3">
        <f t="shared" si="96"/>
        <v>2.9332717728636775</v>
      </c>
      <c r="CV103" s="3">
        <f t="shared" si="140"/>
        <v>1.9000000000000012</v>
      </c>
      <c r="CW103" s="3">
        <f t="shared" si="141"/>
        <v>1.9000000000000012</v>
      </c>
      <c r="CX103" s="3">
        <f t="shared" si="97"/>
        <v>2.9332717728636775</v>
      </c>
      <c r="DA103" s="3">
        <f t="shared" si="142"/>
        <v>1.9000000000000012</v>
      </c>
      <c r="DB103" s="14">
        <f t="shared" si="143"/>
        <v>1.9000000000000012</v>
      </c>
      <c r="DC103" s="3">
        <f t="shared" si="98"/>
        <v>2.9332717728636775</v>
      </c>
      <c r="DF103" s="3">
        <f t="shared" si="144"/>
        <v>1.9000000000000012</v>
      </c>
      <c r="DG103" s="14">
        <f t="shared" si="145"/>
        <v>1.9000000000000012</v>
      </c>
      <c r="DH103" s="3">
        <f t="shared" si="99"/>
        <v>2.9332717728636775</v>
      </c>
      <c r="DK103" s="3">
        <f t="shared" si="146"/>
        <v>1.9000000000000012</v>
      </c>
      <c r="DL103" s="3">
        <f t="shared" si="147"/>
        <v>1.9000000000000012</v>
      </c>
      <c r="DM103" s="3">
        <f t="shared" si="100"/>
        <v>2.9332717728636775</v>
      </c>
      <c r="DP103" s="3">
        <f t="shared" si="148"/>
        <v>1.9000000000000012</v>
      </c>
      <c r="DQ103" s="14">
        <f t="shared" si="149"/>
        <v>1.9000000000000012</v>
      </c>
      <c r="DR103" s="3">
        <f t="shared" si="101"/>
        <v>2.9332717728636775</v>
      </c>
      <c r="DU103" s="3">
        <f t="shared" si="150"/>
        <v>1.9000000000000012</v>
      </c>
      <c r="DV103" s="14">
        <f t="shared" si="151"/>
        <v>1.9000000000000012</v>
      </c>
      <c r="DW103" s="3">
        <f t="shared" si="102"/>
        <v>2.9332717728636775</v>
      </c>
      <c r="DZ103" s="3">
        <f t="shared" si="152"/>
        <v>1.9000000000000012</v>
      </c>
      <c r="EA103" s="3">
        <f t="shared" si="153"/>
        <v>1.9000000000000012</v>
      </c>
      <c r="EB103" s="3">
        <f t="shared" si="103"/>
        <v>2.9332717728636775</v>
      </c>
      <c r="EE103" s="3">
        <f t="shared" si="154"/>
        <v>1.9000000000000012</v>
      </c>
      <c r="EF103" s="14">
        <f t="shared" si="155"/>
        <v>1.9000000000000012</v>
      </c>
      <c r="EG103" s="3">
        <f t="shared" si="104"/>
        <v>2.9332717728636775</v>
      </c>
      <c r="EJ103" s="3">
        <f t="shared" si="156"/>
        <v>1.9000000000000012</v>
      </c>
      <c r="EK103" s="14">
        <f t="shared" si="157"/>
        <v>1.9000000000000012</v>
      </c>
      <c r="EL103" s="3">
        <f t="shared" si="105"/>
        <v>2.9332717728636775</v>
      </c>
      <c r="EO103" s="3">
        <f t="shared" si="158"/>
        <v>1.9000000000000012</v>
      </c>
      <c r="EP103" s="3">
        <f t="shared" si="159"/>
        <v>1.9000000000000012</v>
      </c>
      <c r="EQ103" s="3">
        <f t="shared" si="106"/>
        <v>2.9332717728636775</v>
      </c>
      <c r="ET103" s="3">
        <f t="shared" si="160"/>
        <v>1.9000000000000012</v>
      </c>
      <c r="EU103" s="14">
        <f t="shared" si="161"/>
        <v>1.9000000000000012</v>
      </c>
      <c r="EV103" s="3">
        <f t="shared" si="107"/>
        <v>2.9332717728636775</v>
      </c>
    </row>
    <row r="104" spans="20:152" s="3" customFormat="1" x14ac:dyDescent="0.25">
      <c r="T104" s="3">
        <f t="shared" si="108"/>
        <v>1.9200000000000013</v>
      </c>
      <c r="U104" s="14">
        <f t="shared" si="109"/>
        <v>1.9200000000000013</v>
      </c>
      <c r="V104" s="3">
        <f t="shared" si="81"/>
        <v>2.8320344437466334</v>
      </c>
      <c r="Y104" s="3">
        <f t="shared" si="110"/>
        <v>1.9200000000000013</v>
      </c>
      <c r="Z104" s="3">
        <f t="shared" si="111"/>
        <v>1.9200000000000013</v>
      </c>
      <c r="AA104" s="3">
        <f t="shared" si="82"/>
        <v>2.8320344437466334</v>
      </c>
      <c r="AD104" s="3">
        <f t="shared" si="112"/>
        <v>1.9200000000000013</v>
      </c>
      <c r="AE104" s="14">
        <f t="shared" si="113"/>
        <v>1.9200000000000013</v>
      </c>
      <c r="AF104" s="3">
        <f t="shared" si="83"/>
        <v>2.8320344437466334</v>
      </c>
      <c r="AI104" s="3">
        <f t="shared" si="114"/>
        <v>1.9200000000000013</v>
      </c>
      <c r="AJ104" s="14">
        <f t="shared" si="115"/>
        <v>1.9200000000000013</v>
      </c>
      <c r="AK104" s="3">
        <f t="shared" si="84"/>
        <v>2.8320344437466334</v>
      </c>
      <c r="AN104" s="3">
        <f t="shared" si="116"/>
        <v>1.9200000000000013</v>
      </c>
      <c r="AO104" s="3">
        <f t="shared" si="117"/>
        <v>1.9200000000000013</v>
      </c>
      <c r="AP104" s="3">
        <f t="shared" si="85"/>
        <v>2.8320344437466334</v>
      </c>
      <c r="AS104" s="3">
        <f t="shared" si="118"/>
        <v>1.9200000000000013</v>
      </c>
      <c r="AT104" s="14">
        <f t="shared" si="119"/>
        <v>1.9200000000000013</v>
      </c>
      <c r="AU104" s="3">
        <f t="shared" si="86"/>
        <v>2.8320344437466334</v>
      </c>
      <c r="AX104" s="3">
        <f t="shared" si="120"/>
        <v>1.9200000000000013</v>
      </c>
      <c r="AY104" s="14">
        <f t="shared" si="121"/>
        <v>1.9200000000000013</v>
      </c>
      <c r="AZ104" s="3">
        <f t="shared" si="87"/>
        <v>2.8320344437466334</v>
      </c>
      <c r="BC104" s="3">
        <f t="shared" si="122"/>
        <v>1.9200000000000013</v>
      </c>
      <c r="BD104" s="3">
        <f t="shared" si="123"/>
        <v>1.9200000000000013</v>
      </c>
      <c r="BE104" s="3">
        <f t="shared" si="88"/>
        <v>2.8320344437466334</v>
      </c>
      <c r="BH104" s="3">
        <f t="shared" si="124"/>
        <v>1.9200000000000013</v>
      </c>
      <c r="BI104" s="14">
        <f t="shared" si="125"/>
        <v>1.9200000000000013</v>
      </c>
      <c r="BJ104" s="3">
        <f t="shared" si="89"/>
        <v>2.8320344437466334</v>
      </c>
      <c r="BM104" s="3">
        <f t="shared" si="126"/>
        <v>1.9200000000000013</v>
      </c>
      <c r="BN104" s="14">
        <f t="shared" si="127"/>
        <v>1.9200000000000013</v>
      </c>
      <c r="BO104" s="3">
        <f t="shared" si="90"/>
        <v>2.8320344437466334</v>
      </c>
      <c r="BR104" s="3">
        <f t="shared" si="128"/>
        <v>1.9200000000000013</v>
      </c>
      <c r="BS104" s="3">
        <f t="shared" si="129"/>
        <v>1.9200000000000013</v>
      </c>
      <c r="BT104" s="3">
        <f t="shared" si="91"/>
        <v>2.8320344437466334</v>
      </c>
      <c r="BW104" s="3">
        <f t="shared" si="130"/>
        <v>1.9200000000000013</v>
      </c>
      <c r="BX104" s="14">
        <f t="shared" si="131"/>
        <v>1.9200000000000013</v>
      </c>
      <c r="BY104" s="3">
        <f t="shared" si="92"/>
        <v>2.8320344437466334</v>
      </c>
      <c r="CB104" s="3">
        <f t="shared" si="132"/>
        <v>1.9200000000000013</v>
      </c>
      <c r="CC104" s="14">
        <f t="shared" si="133"/>
        <v>1.9200000000000013</v>
      </c>
      <c r="CD104" s="3">
        <f t="shared" si="93"/>
        <v>2.8320344437466334</v>
      </c>
      <c r="CG104" s="3">
        <f t="shared" si="134"/>
        <v>1.9200000000000013</v>
      </c>
      <c r="CH104" s="3">
        <f t="shared" si="135"/>
        <v>1.9200000000000013</v>
      </c>
      <c r="CI104" s="3">
        <f t="shared" si="94"/>
        <v>2.8320344437466334</v>
      </c>
      <c r="CL104" s="3">
        <f t="shared" si="136"/>
        <v>1.9200000000000013</v>
      </c>
      <c r="CM104" s="14">
        <f t="shared" si="137"/>
        <v>1.9200000000000013</v>
      </c>
      <c r="CN104" s="3">
        <f t="shared" si="95"/>
        <v>2.8320344437466334</v>
      </c>
      <c r="CQ104" s="3">
        <f t="shared" si="138"/>
        <v>1.9200000000000013</v>
      </c>
      <c r="CR104" s="14">
        <f t="shared" si="139"/>
        <v>1.9200000000000013</v>
      </c>
      <c r="CS104" s="3">
        <f t="shared" si="96"/>
        <v>2.8320344437466334</v>
      </c>
      <c r="CV104" s="3">
        <f t="shared" si="140"/>
        <v>1.9200000000000013</v>
      </c>
      <c r="CW104" s="3">
        <f t="shared" si="141"/>
        <v>1.9200000000000013</v>
      </c>
      <c r="CX104" s="3">
        <f t="shared" si="97"/>
        <v>2.8320344437466334</v>
      </c>
      <c r="DA104" s="3">
        <f t="shared" si="142"/>
        <v>1.9200000000000013</v>
      </c>
      <c r="DB104" s="14">
        <f t="shared" si="143"/>
        <v>1.9200000000000013</v>
      </c>
      <c r="DC104" s="3">
        <f t="shared" si="98"/>
        <v>2.8320344437466334</v>
      </c>
      <c r="DF104" s="3">
        <f t="shared" si="144"/>
        <v>1.9200000000000013</v>
      </c>
      <c r="DG104" s="14">
        <f t="shared" si="145"/>
        <v>1.9200000000000013</v>
      </c>
      <c r="DH104" s="3">
        <f t="shared" si="99"/>
        <v>2.8320344437466334</v>
      </c>
      <c r="DK104" s="3">
        <f t="shared" si="146"/>
        <v>1.9200000000000013</v>
      </c>
      <c r="DL104" s="3">
        <f t="shared" si="147"/>
        <v>1.9200000000000013</v>
      </c>
      <c r="DM104" s="3">
        <f t="shared" si="100"/>
        <v>2.8320344437466334</v>
      </c>
      <c r="DP104" s="3">
        <f t="shared" si="148"/>
        <v>1.9200000000000013</v>
      </c>
      <c r="DQ104" s="14">
        <f t="shared" si="149"/>
        <v>1.9200000000000013</v>
      </c>
      <c r="DR104" s="3">
        <f t="shared" si="101"/>
        <v>2.8320344437466334</v>
      </c>
      <c r="DU104" s="3">
        <f t="shared" si="150"/>
        <v>1.9200000000000013</v>
      </c>
      <c r="DV104" s="14">
        <f t="shared" si="151"/>
        <v>1.9200000000000013</v>
      </c>
      <c r="DW104" s="3">
        <f t="shared" si="102"/>
        <v>2.8320344437466334</v>
      </c>
      <c r="DZ104" s="3">
        <f t="shared" si="152"/>
        <v>1.9200000000000013</v>
      </c>
      <c r="EA104" s="3">
        <f t="shared" si="153"/>
        <v>1.9200000000000013</v>
      </c>
      <c r="EB104" s="3">
        <f t="shared" si="103"/>
        <v>2.8320344437466334</v>
      </c>
      <c r="EE104" s="3">
        <f t="shared" si="154"/>
        <v>1.9200000000000013</v>
      </c>
      <c r="EF104" s="14">
        <f t="shared" si="155"/>
        <v>1.9200000000000013</v>
      </c>
      <c r="EG104" s="3">
        <f t="shared" si="104"/>
        <v>2.8320344437466334</v>
      </c>
      <c r="EJ104" s="3">
        <f t="shared" si="156"/>
        <v>1.9200000000000013</v>
      </c>
      <c r="EK104" s="14">
        <f t="shared" si="157"/>
        <v>1.9200000000000013</v>
      </c>
      <c r="EL104" s="3">
        <f t="shared" si="105"/>
        <v>2.8320344437466334</v>
      </c>
      <c r="EO104" s="3">
        <f t="shared" si="158"/>
        <v>1.9200000000000013</v>
      </c>
      <c r="EP104" s="3">
        <f t="shared" si="159"/>
        <v>1.9200000000000013</v>
      </c>
      <c r="EQ104" s="3">
        <f t="shared" si="106"/>
        <v>2.8320344437466334</v>
      </c>
      <c r="ET104" s="3">
        <f t="shared" si="160"/>
        <v>1.9200000000000013</v>
      </c>
      <c r="EU104" s="14">
        <f t="shared" si="161"/>
        <v>1.9200000000000013</v>
      </c>
      <c r="EV104" s="3">
        <f t="shared" si="107"/>
        <v>2.8320344437466334</v>
      </c>
    </row>
    <row r="105" spans="20:152" s="3" customFormat="1" x14ac:dyDescent="0.25">
      <c r="T105" s="3">
        <f t="shared" si="108"/>
        <v>1.9400000000000013</v>
      </c>
      <c r="U105" s="14">
        <f t="shared" si="109"/>
        <v>1.9400000000000013</v>
      </c>
      <c r="V105" s="3">
        <f t="shared" si="81"/>
        <v>2.728088601901745</v>
      </c>
      <c r="Y105" s="3">
        <f t="shared" si="110"/>
        <v>1.9400000000000013</v>
      </c>
      <c r="Z105" s="3">
        <f t="shared" si="111"/>
        <v>1.9400000000000013</v>
      </c>
      <c r="AA105" s="3">
        <f t="shared" si="82"/>
        <v>2.728088601901745</v>
      </c>
      <c r="AD105" s="3">
        <f t="shared" si="112"/>
        <v>1.9400000000000013</v>
      </c>
      <c r="AE105" s="14">
        <f t="shared" si="113"/>
        <v>1.9400000000000013</v>
      </c>
      <c r="AF105" s="3">
        <f t="shared" si="83"/>
        <v>2.728088601901745</v>
      </c>
      <c r="AI105" s="3">
        <f t="shared" si="114"/>
        <v>1.9400000000000013</v>
      </c>
      <c r="AJ105" s="14">
        <f t="shared" si="115"/>
        <v>1.9400000000000013</v>
      </c>
      <c r="AK105" s="3">
        <f t="shared" si="84"/>
        <v>2.728088601901745</v>
      </c>
      <c r="AN105" s="3">
        <f t="shared" si="116"/>
        <v>1.9400000000000013</v>
      </c>
      <c r="AO105" s="3">
        <f t="shared" si="117"/>
        <v>1.9400000000000013</v>
      </c>
      <c r="AP105" s="3">
        <f t="shared" si="85"/>
        <v>2.728088601901745</v>
      </c>
      <c r="AS105" s="3">
        <f t="shared" si="118"/>
        <v>1.9400000000000013</v>
      </c>
      <c r="AT105" s="14">
        <f t="shared" si="119"/>
        <v>1.9400000000000013</v>
      </c>
      <c r="AU105" s="3">
        <f t="shared" si="86"/>
        <v>2.728088601901745</v>
      </c>
      <c r="AX105" s="3">
        <f t="shared" si="120"/>
        <v>1.9400000000000013</v>
      </c>
      <c r="AY105" s="14">
        <f t="shared" si="121"/>
        <v>1.9400000000000013</v>
      </c>
      <c r="AZ105" s="3">
        <f t="shared" si="87"/>
        <v>2.728088601901745</v>
      </c>
      <c r="BC105" s="3">
        <f t="shared" si="122"/>
        <v>1.9400000000000013</v>
      </c>
      <c r="BD105" s="3">
        <f t="shared" si="123"/>
        <v>1.9400000000000013</v>
      </c>
      <c r="BE105" s="3">
        <f t="shared" si="88"/>
        <v>2.728088601901745</v>
      </c>
      <c r="BH105" s="3">
        <f t="shared" si="124"/>
        <v>1.9400000000000013</v>
      </c>
      <c r="BI105" s="14">
        <f t="shared" si="125"/>
        <v>1.9400000000000013</v>
      </c>
      <c r="BJ105" s="3">
        <f t="shared" si="89"/>
        <v>2.728088601901745</v>
      </c>
      <c r="BM105" s="3">
        <f t="shared" si="126"/>
        <v>1.9400000000000013</v>
      </c>
      <c r="BN105" s="14">
        <f t="shared" si="127"/>
        <v>1.9400000000000013</v>
      </c>
      <c r="BO105" s="3">
        <f t="shared" si="90"/>
        <v>2.728088601901745</v>
      </c>
      <c r="BR105" s="3">
        <f t="shared" si="128"/>
        <v>1.9400000000000013</v>
      </c>
      <c r="BS105" s="3">
        <f t="shared" si="129"/>
        <v>1.9400000000000013</v>
      </c>
      <c r="BT105" s="3">
        <f t="shared" si="91"/>
        <v>2.728088601901745</v>
      </c>
      <c r="BW105" s="3">
        <f t="shared" si="130"/>
        <v>1.9400000000000013</v>
      </c>
      <c r="BX105" s="14">
        <f t="shared" si="131"/>
        <v>1.9400000000000013</v>
      </c>
      <c r="BY105" s="3">
        <f t="shared" si="92"/>
        <v>2.728088601901745</v>
      </c>
      <c r="CB105" s="3">
        <f t="shared" si="132"/>
        <v>1.9400000000000013</v>
      </c>
      <c r="CC105" s="14">
        <f t="shared" si="133"/>
        <v>1.9400000000000013</v>
      </c>
      <c r="CD105" s="3">
        <f t="shared" si="93"/>
        <v>2.728088601901745</v>
      </c>
      <c r="CG105" s="3">
        <f t="shared" si="134"/>
        <v>1.9400000000000013</v>
      </c>
      <c r="CH105" s="3">
        <f t="shared" si="135"/>
        <v>1.9400000000000013</v>
      </c>
      <c r="CI105" s="3">
        <f t="shared" si="94"/>
        <v>2.728088601901745</v>
      </c>
      <c r="CL105" s="3">
        <f t="shared" si="136"/>
        <v>1.9400000000000013</v>
      </c>
      <c r="CM105" s="14">
        <f t="shared" si="137"/>
        <v>1.9400000000000013</v>
      </c>
      <c r="CN105" s="3">
        <f t="shared" si="95"/>
        <v>2.728088601901745</v>
      </c>
      <c r="CQ105" s="3">
        <f t="shared" si="138"/>
        <v>1.9400000000000013</v>
      </c>
      <c r="CR105" s="14">
        <f t="shared" si="139"/>
        <v>1.9400000000000013</v>
      </c>
      <c r="CS105" s="3">
        <f t="shared" si="96"/>
        <v>2.728088601901745</v>
      </c>
      <c r="CV105" s="3">
        <f t="shared" si="140"/>
        <v>1.9400000000000013</v>
      </c>
      <c r="CW105" s="3">
        <f t="shared" si="141"/>
        <v>1.9400000000000013</v>
      </c>
      <c r="CX105" s="3">
        <f t="shared" si="97"/>
        <v>2.728088601901745</v>
      </c>
      <c r="DA105" s="3">
        <f t="shared" si="142"/>
        <v>1.9400000000000013</v>
      </c>
      <c r="DB105" s="14">
        <f t="shared" si="143"/>
        <v>1.9400000000000013</v>
      </c>
      <c r="DC105" s="3">
        <f t="shared" si="98"/>
        <v>2.728088601901745</v>
      </c>
      <c r="DF105" s="3">
        <f t="shared" si="144"/>
        <v>1.9400000000000013</v>
      </c>
      <c r="DG105" s="14">
        <f t="shared" si="145"/>
        <v>1.9400000000000013</v>
      </c>
      <c r="DH105" s="3">
        <f t="shared" si="99"/>
        <v>2.728088601901745</v>
      </c>
      <c r="DK105" s="3">
        <f t="shared" si="146"/>
        <v>1.9400000000000013</v>
      </c>
      <c r="DL105" s="3">
        <f t="shared" si="147"/>
        <v>1.9400000000000013</v>
      </c>
      <c r="DM105" s="3">
        <f t="shared" si="100"/>
        <v>2.728088601901745</v>
      </c>
      <c r="DP105" s="3">
        <f t="shared" si="148"/>
        <v>1.9400000000000013</v>
      </c>
      <c r="DQ105" s="14">
        <f t="shared" si="149"/>
        <v>1.9400000000000013</v>
      </c>
      <c r="DR105" s="3">
        <f t="shared" si="101"/>
        <v>2.728088601901745</v>
      </c>
      <c r="DU105" s="3">
        <f t="shared" si="150"/>
        <v>1.9400000000000013</v>
      </c>
      <c r="DV105" s="14">
        <f t="shared" si="151"/>
        <v>1.9400000000000013</v>
      </c>
      <c r="DW105" s="3">
        <f t="shared" si="102"/>
        <v>2.728088601901745</v>
      </c>
      <c r="DZ105" s="3">
        <f t="shared" si="152"/>
        <v>1.9400000000000013</v>
      </c>
      <c r="EA105" s="3">
        <f t="shared" si="153"/>
        <v>1.9400000000000013</v>
      </c>
      <c r="EB105" s="3">
        <f t="shared" si="103"/>
        <v>2.728088601901745</v>
      </c>
      <c r="EE105" s="3">
        <f t="shared" si="154"/>
        <v>1.9400000000000013</v>
      </c>
      <c r="EF105" s="14">
        <f t="shared" si="155"/>
        <v>1.9400000000000013</v>
      </c>
      <c r="EG105" s="3">
        <f t="shared" si="104"/>
        <v>2.728088601901745</v>
      </c>
      <c r="EJ105" s="3">
        <f t="shared" si="156"/>
        <v>1.9400000000000013</v>
      </c>
      <c r="EK105" s="14">
        <f t="shared" si="157"/>
        <v>1.9400000000000013</v>
      </c>
      <c r="EL105" s="3">
        <f t="shared" si="105"/>
        <v>2.728088601901745</v>
      </c>
      <c r="EO105" s="3">
        <f t="shared" si="158"/>
        <v>1.9400000000000013</v>
      </c>
      <c r="EP105" s="3">
        <f t="shared" si="159"/>
        <v>1.9400000000000013</v>
      </c>
      <c r="EQ105" s="3">
        <f t="shared" si="106"/>
        <v>2.728088601901745</v>
      </c>
      <c r="ET105" s="3">
        <f t="shared" si="160"/>
        <v>1.9400000000000013</v>
      </c>
      <c r="EU105" s="14">
        <f t="shared" si="161"/>
        <v>1.9400000000000013</v>
      </c>
      <c r="EV105" s="3">
        <f t="shared" si="107"/>
        <v>2.728088601901745</v>
      </c>
    </row>
    <row r="106" spans="20:152" s="3" customFormat="1" x14ac:dyDescent="0.25">
      <c r="T106" s="3">
        <f t="shared" si="108"/>
        <v>1.9600000000000013</v>
      </c>
      <c r="U106" s="14">
        <f t="shared" si="109"/>
        <v>1.9600000000000013</v>
      </c>
      <c r="V106" s="3">
        <f t="shared" si="81"/>
        <v>2.6214342473290069</v>
      </c>
      <c r="Y106" s="3">
        <f t="shared" si="110"/>
        <v>1.9600000000000013</v>
      </c>
      <c r="Z106" s="3">
        <f t="shared" si="111"/>
        <v>1.9600000000000013</v>
      </c>
      <c r="AA106" s="3">
        <f t="shared" si="82"/>
        <v>2.6214342473290069</v>
      </c>
      <c r="AD106" s="3">
        <f t="shared" si="112"/>
        <v>1.9600000000000013</v>
      </c>
      <c r="AE106" s="14">
        <f t="shared" si="113"/>
        <v>1.9600000000000013</v>
      </c>
      <c r="AF106" s="3">
        <f t="shared" si="83"/>
        <v>2.6214342473290069</v>
      </c>
      <c r="AI106" s="3">
        <f t="shared" si="114"/>
        <v>1.9600000000000013</v>
      </c>
      <c r="AJ106" s="14">
        <f t="shared" si="115"/>
        <v>1.9600000000000013</v>
      </c>
      <c r="AK106" s="3">
        <f t="shared" si="84"/>
        <v>2.6214342473290069</v>
      </c>
      <c r="AN106" s="3">
        <f t="shared" si="116"/>
        <v>1.9600000000000013</v>
      </c>
      <c r="AO106" s="3">
        <f t="shared" si="117"/>
        <v>1.9600000000000013</v>
      </c>
      <c r="AP106" s="3">
        <f t="shared" si="85"/>
        <v>2.6214342473290069</v>
      </c>
      <c r="AS106" s="3">
        <f t="shared" si="118"/>
        <v>1.9600000000000013</v>
      </c>
      <c r="AT106" s="14">
        <f t="shared" si="119"/>
        <v>1.9600000000000013</v>
      </c>
      <c r="AU106" s="3">
        <f t="shared" si="86"/>
        <v>2.6214342473290069</v>
      </c>
      <c r="AX106" s="3">
        <f t="shared" si="120"/>
        <v>1.9600000000000013</v>
      </c>
      <c r="AY106" s="14">
        <f t="shared" si="121"/>
        <v>1.9600000000000013</v>
      </c>
      <c r="AZ106" s="3">
        <f t="shared" si="87"/>
        <v>2.6214342473290069</v>
      </c>
      <c r="BC106" s="3">
        <f t="shared" si="122"/>
        <v>1.9600000000000013</v>
      </c>
      <c r="BD106" s="3">
        <f t="shared" si="123"/>
        <v>1.9600000000000013</v>
      </c>
      <c r="BE106" s="3">
        <f t="shared" si="88"/>
        <v>2.6214342473290069</v>
      </c>
      <c r="BH106" s="3">
        <f t="shared" si="124"/>
        <v>1.9600000000000013</v>
      </c>
      <c r="BI106" s="14">
        <f t="shared" si="125"/>
        <v>1.9600000000000013</v>
      </c>
      <c r="BJ106" s="3">
        <f t="shared" si="89"/>
        <v>2.6214342473290069</v>
      </c>
      <c r="BM106" s="3">
        <f t="shared" si="126"/>
        <v>1.9600000000000013</v>
      </c>
      <c r="BN106" s="14">
        <f t="shared" si="127"/>
        <v>1.9600000000000013</v>
      </c>
      <c r="BO106" s="3">
        <f t="shared" si="90"/>
        <v>2.6214342473290069</v>
      </c>
      <c r="BR106" s="3">
        <f t="shared" si="128"/>
        <v>1.9600000000000013</v>
      </c>
      <c r="BS106" s="3">
        <f t="shared" si="129"/>
        <v>1.9600000000000013</v>
      </c>
      <c r="BT106" s="3">
        <f t="shared" si="91"/>
        <v>2.6214342473290069</v>
      </c>
      <c r="BW106" s="3">
        <f t="shared" si="130"/>
        <v>1.9600000000000013</v>
      </c>
      <c r="BX106" s="14">
        <f t="shared" si="131"/>
        <v>1.9600000000000013</v>
      </c>
      <c r="BY106" s="3">
        <f t="shared" si="92"/>
        <v>2.6214342473290069</v>
      </c>
      <c r="CB106" s="3">
        <f t="shared" si="132"/>
        <v>1.9600000000000013</v>
      </c>
      <c r="CC106" s="14">
        <f t="shared" si="133"/>
        <v>1.9600000000000013</v>
      </c>
      <c r="CD106" s="3">
        <f t="shared" si="93"/>
        <v>2.6214342473290069</v>
      </c>
      <c r="CG106" s="3">
        <f t="shared" si="134"/>
        <v>1.9600000000000013</v>
      </c>
      <c r="CH106" s="3">
        <f t="shared" si="135"/>
        <v>1.9600000000000013</v>
      </c>
      <c r="CI106" s="3">
        <f t="shared" si="94"/>
        <v>2.6214342473290069</v>
      </c>
      <c r="CL106" s="3">
        <f t="shared" si="136"/>
        <v>1.9600000000000013</v>
      </c>
      <c r="CM106" s="14">
        <f t="shared" si="137"/>
        <v>1.9600000000000013</v>
      </c>
      <c r="CN106" s="3">
        <f t="shared" si="95"/>
        <v>2.6214342473290069</v>
      </c>
      <c r="CQ106" s="3">
        <f t="shared" si="138"/>
        <v>1.9600000000000013</v>
      </c>
      <c r="CR106" s="14">
        <f t="shared" si="139"/>
        <v>1.9600000000000013</v>
      </c>
      <c r="CS106" s="3">
        <f t="shared" si="96"/>
        <v>2.6214342473290069</v>
      </c>
      <c r="CV106" s="3">
        <f t="shared" si="140"/>
        <v>1.9600000000000013</v>
      </c>
      <c r="CW106" s="3">
        <f t="shared" si="141"/>
        <v>1.9600000000000013</v>
      </c>
      <c r="CX106" s="3">
        <f t="shared" si="97"/>
        <v>2.6214342473290069</v>
      </c>
      <c r="DA106" s="3">
        <f t="shared" si="142"/>
        <v>1.9600000000000013</v>
      </c>
      <c r="DB106" s="14">
        <f t="shared" si="143"/>
        <v>1.9600000000000013</v>
      </c>
      <c r="DC106" s="3">
        <f t="shared" si="98"/>
        <v>2.6214342473290069</v>
      </c>
      <c r="DF106" s="3">
        <f t="shared" si="144"/>
        <v>1.9600000000000013</v>
      </c>
      <c r="DG106" s="14">
        <f t="shared" si="145"/>
        <v>1.9600000000000013</v>
      </c>
      <c r="DH106" s="3">
        <f t="shared" si="99"/>
        <v>2.6214342473290069</v>
      </c>
      <c r="DK106" s="3">
        <f t="shared" si="146"/>
        <v>1.9600000000000013</v>
      </c>
      <c r="DL106" s="3">
        <f t="shared" si="147"/>
        <v>1.9600000000000013</v>
      </c>
      <c r="DM106" s="3">
        <f t="shared" si="100"/>
        <v>2.6214342473290069</v>
      </c>
      <c r="DP106" s="3">
        <f t="shared" si="148"/>
        <v>1.9600000000000013</v>
      </c>
      <c r="DQ106" s="14">
        <f t="shared" si="149"/>
        <v>1.9600000000000013</v>
      </c>
      <c r="DR106" s="3">
        <f t="shared" si="101"/>
        <v>2.6214342473290069</v>
      </c>
      <c r="DU106" s="3">
        <f t="shared" si="150"/>
        <v>1.9600000000000013</v>
      </c>
      <c r="DV106" s="14">
        <f t="shared" si="151"/>
        <v>1.9600000000000013</v>
      </c>
      <c r="DW106" s="3">
        <f t="shared" si="102"/>
        <v>2.6214342473290069</v>
      </c>
      <c r="DZ106" s="3">
        <f t="shared" si="152"/>
        <v>1.9600000000000013</v>
      </c>
      <c r="EA106" s="3">
        <f t="shared" si="153"/>
        <v>1.9600000000000013</v>
      </c>
      <c r="EB106" s="3">
        <f t="shared" si="103"/>
        <v>2.6214342473290069</v>
      </c>
      <c r="EE106" s="3">
        <f t="shared" si="154"/>
        <v>1.9600000000000013</v>
      </c>
      <c r="EF106" s="14">
        <f t="shared" si="155"/>
        <v>1.9600000000000013</v>
      </c>
      <c r="EG106" s="3">
        <f t="shared" si="104"/>
        <v>2.6214342473290069</v>
      </c>
      <c r="EJ106" s="3">
        <f t="shared" si="156"/>
        <v>1.9600000000000013</v>
      </c>
      <c r="EK106" s="14">
        <f t="shared" si="157"/>
        <v>1.9600000000000013</v>
      </c>
      <c r="EL106" s="3">
        <f t="shared" si="105"/>
        <v>2.6214342473290069</v>
      </c>
      <c r="EO106" s="3">
        <f t="shared" si="158"/>
        <v>1.9600000000000013</v>
      </c>
      <c r="EP106" s="3">
        <f t="shared" si="159"/>
        <v>1.9600000000000013</v>
      </c>
      <c r="EQ106" s="3">
        <f t="shared" si="106"/>
        <v>2.6214342473290069</v>
      </c>
      <c r="ET106" s="3">
        <f t="shared" si="160"/>
        <v>1.9600000000000013</v>
      </c>
      <c r="EU106" s="14">
        <f t="shared" si="161"/>
        <v>1.9600000000000013</v>
      </c>
      <c r="EV106" s="3">
        <f t="shared" si="107"/>
        <v>2.6214342473290069</v>
      </c>
    </row>
    <row r="107" spans="20:152" s="3" customFormat="1" x14ac:dyDescent="0.25">
      <c r="T107" s="3">
        <f t="shared" si="108"/>
        <v>1.9800000000000013</v>
      </c>
      <c r="U107" s="14">
        <f t="shared" si="109"/>
        <v>1.9800000000000013</v>
      </c>
      <c r="V107" s="3">
        <f t="shared" si="81"/>
        <v>2.5120713800284244</v>
      </c>
      <c r="Y107" s="3">
        <f t="shared" si="110"/>
        <v>1.9800000000000013</v>
      </c>
      <c r="Z107" s="3">
        <f t="shared" si="111"/>
        <v>1.9800000000000013</v>
      </c>
      <c r="AA107" s="3">
        <f t="shared" si="82"/>
        <v>2.5120713800284244</v>
      </c>
      <c r="AD107" s="3">
        <f t="shared" si="112"/>
        <v>1.9800000000000013</v>
      </c>
      <c r="AE107" s="14">
        <f t="shared" si="113"/>
        <v>1.9800000000000013</v>
      </c>
      <c r="AF107" s="3">
        <f t="shared" si="83"/>
        <v>2.5120713800284244</v>
      </c>
      <c r="AI107" s="3">
        <f t="shared" si="114"/>
        <v>1.9800000000000013</v>
      </c>
      <c r="AJ107" s="14">
        <f t="shared" si="115"/>
        <v>1.9800000000000013</v>
      </c>
      <c r="AK107" s="3">
        <f t="shared" si="84"/>
        <v>2.5120713800284244</v>
      </c>
      <c r="AN107" s="3">
        <f t="shared" si="116"/>
        <v>1.9800000000000013</v>
      </c>
      <c r="AO107" s="3">
        <f t="shared" si="117"/>
        <v>1.9800000000000013</v>
      </c>
      <c r="AP107" s="3">
        <f t="shared" si="85"/>
        <v>2.5120713800284244</v>
      </c>
      <c r="AS107" s="3">
        <f t="shared" si="118"/>
        <v>1.9800000000000013</v>
      </c>
      <c r="AT107" s="14">
        <f t="shared" si="119"/>
        <v>1.9800000000000013</v>
      </c>
      <c r="AU107" s="3">
        <f t="shared" si="86"/>
        <v>2.5120713800284244</v>
      </c>
      <c r="AX107" s="3">
        <f t="shared" si="120"/>
        <v>1.9800000000000013</v>
      </c>
      <c r="AY107" s="14">
        <f t="shared" si="121"/>
        <v>1.9800000000000013</v>
      </c>
      <c r="AZ107" s="3">
        <f t="shared" si="87"/>
        <v>2.5120713800284244</v>
      </c>
      <c r="BC107" s="3">
        <f t="shared" si="122"/>
        <v>1.9800000000000013</v>
      </c>
      <c r="BD107" s="3">
        <f t="shared" si="123"/>
        <v>1.9800000000000013</v>
      </c>
      <c r="BE107" s="3">
        <f t="shared" si="88"/>
        <v>2.5120713800284244</v>
      </c>
      <c r="BH107" s="3">
        <f t="shared" si="124"/>
        <v>1.9800000000000013</v>
      </c>
      <c r="BI107" s="14">
        <f t="shared" si="125"/>
        <v>1.9800000000000013</v>
      </c>
      <c r="BJ107" s="3">
        <f t="shared" si="89"/>
        <v>2.5120713800284244</v>
      </c>
      <c r="BM107" s="3">
        <f t="shared" si="126"/>
        <v>1.9800000000000013</v>
      </c>
      <c r="BN107" s="14">
        <f t="shared" si="127"/>
        <v>1.9800000000000013</v>
      </c>
      <c r="BO107" s="3">
        <f t="shared" si="90"/>
        <v>2.5120713800284244</v>
      </c>
      <c r="BR107" s="3">
        <f t="shared" si="128"/>
        <v>1.9800000000000013</v>
      </c>
      <c r="BS107" s="3">
        <f t="shared" si="129"/>
        <v>1.9800000000000013</v>
      </c>
      <c r="BT107" s="3">
        <f t="shared" si="91"/>
        <v>2.5120713800284244</v>
      </c>
      <c r="BW107" s="3">
        <f t="shared" si="130"/>
        <v>1.9800000000000013</v>
      </c>
      <c r="BX107" s="14">
        <f t="shared" si="131"/>
        <v>1.9800000000000013</v>
      </c>
      <c r="BY107" s="3">
        <f t="shared" si="92"/>
        <v>2.5120713800284244</v>
      </c>
      <c r="CB107" s="3">
        <f t="shared" si="132"/>
        <v>1.9800000000000013</v>
      </c>
      <c r="CC107" s="14">
        <f t="shared" si="133"/>
        <v>1.9800000000000013</v>
      </c>
      <c r="CD107" s="3">
        <f t="shared" si="93"/>
        <v>2.5120713800284244</v>
      </c>
      <c r="CG107" s="3">
        <f t="shared" si="134"/>
        <v>1.9800000000000013</v>
      </c>
      <c r="CH107" s="3">
        <f t="shared" si="135"/>
        <v>1.9800000000000013</v>
      </c>
      <c r="CI107" s="3">
        <f t="shared" si="94"/>
        <v>2.5120713800284244</v>
      </c>
      <c r="CL107" s="3">
        <f t="shared" si="136"/>
        <v>1.9800000000000013</v>
      </c>
      <c r="CM107" s="14">
        <f t="shared" si="137"/>
        <v>1.9800000000000013</v>
      </c>
      <c r="CN107" s="3">
        <f t="shared" si="95"/>
        <v>2.5120713800284244</v>
      </c>
      <c r="CQ107" s="3">
        <f t="shared" si="138"/>
        <v>1.9800000000000013</v>
      </c>
      <c r="CR107" s="14">
        <f t="shared" si="139"/>
        <v>1.9800000000000013</v>
      </c>
      <c r="CS107" s="3">
        <f t="shared" si="96"/>
        <v>2.5120713800284244</v>
      </c>
      <c r="CV107" s="3">
        <f t="shared" si="140"/>
        <v>1.9800000000000013</v>
      </c>
      <c r="CW107" s="3">
        <f t="shared" si="141"/>
        <v>1.9800000000000013</v>
      </c>
      <c r="CX107" s="3">
        <f t="shared" si="97"/>
        <v>2.5120713800284244</v>
      </c>
      <c r="DA107" s="3">
        <f t="shared" si="142"/>
        <v>1.9800000000000013</v>
      </c>
      <c r="DB107" s="14">
        <f t="shared" si="143"/>
        <v>1.9800000000000013</v>
      </c>
      <c r="DC107" s="3">
        <f t="shared" si="98"/>
        <v>2.5120713800284244</v>
      </c>
      <c r="DF107" s="3">
        <f t="shared" si="144"/>
        <v>1.9800000000000013</v>
      </c>
      <c r="DG107" s="14">
        <f t="shared" si="145"/>
        <v>1.9800000000000013</v>
      </c>
      <c r="DH107" s="3">
        <f t="shared" si="99"/>
        <v>2.5120713800284244</v>
      </c>
      <c r="DK107" s="3">
        <f t="shared" si="146"/>
        <v>1.9800000000000013</v>
      </c>
      <c r="DL107" s="3">
        <f t="shared" si="147"/>
        <v>1.9800000000000013</v>
      </c>
      <c r="DM107" s="3">
        <f t="shared" si="100"/>
        <v>2.5120713800284244</v>
      </c>
      <c r="DP107" s="3">
        <f t="shared" si="148"/>
        <v>1.9800000000000013</v>
      </c>
      <c r="DQ107" s="14">
        <f t="shared" si="149"/>
        <v>1.9800000000000013</v>
      </c>
      <c r="DR107" s="3">
        <f t="shared" si="101"/>
        <v>2.5120713800284244</v>
      </c>
      <c r="DU107" s="3">
        <f t="shared" si="150"/>
        <v>1.9800000000000013</v>
      </c>
      <c r="DV107" s="14">
        <f t="shared" si="151"/>
        <v>1.9800000000000013</v>
      </c>
      <c r="DW107" s="3">
        <f t="shared" si="102"/>
        <v>2.5120713800284244</v>
      </c>
      <c r="DZ107" s="3">
        <f t="shared" si="152"/>
        <v>1.9800000000000013</v>
      </c>
      <c r="EA107" s="3">
        <f t="shared" si="153"/>
        <v>1.9800000000000013</v>
      </c>
      <c r="EB107" s="3">
        <f t="shared" si="103"/>
        <v>2.5120713800284244</v>
      </c>
      <c r="EE107" s="3">
        <f t="shared" si="154"/>
        <v>1.9800000000000013</v>
      </c>
      <c r="EF107" s="14">
        <f t="shared" si="155"/>
        <v>1.9800000000000013</v>
      </c>
      <c r="EG107" s="3">
        <f t="shared" si="104"/>
        <v>2.5120713800284244</v>
      </c>
      <c r="EJ107" s="3">
        <f t="shared" si="156"/>
        <v>1.9800000000000013</v>
      </c>
      <c r="EK107" s="14">
        <f t="shared" si="157"/>
        <v>1.9800000000000013</v>
      </c>
      <c r="EL107" s="3">
        <f t="shared" si="105"/>
        <v>2.5120713800284244</v>
      </c>
      <c r="EO107" s="3">
        <f t="shared" si="158"/>
        <v>1.9800000000000013</v>
      </c>
      <c r="EP107" s="3">
        <f t="shared" si="159"/>
        <v>1.9800000000000013</v>
      </c>
      <c r="EQ107" s="3">
        <f t="shared" si="106"/>
        <v>2.5120713800284244</v>
      </c>
      <c r="ET107" s="3">
        <f t="shared" si="160"/>
        <v>1.9800000000000013</v>
      </c>
      <c r="EU107" s="14">
        <f t="shared" si="161"/>
        <v>1.9800000000000013</v>
      </c>
      <c r="EV107" s="3">
        <f t="shared" si="107"/>
        <v>2.5120713800284244</v>
      </c>
    </row>
    <row r="108" spans="20:152" s="3" customFormat="1" x14ac:dyDescent="0.25">
      <c r="T108" s="3">
        <f t="shared" si="108"/>
        <v>2.0000000000000013</v>
      </c>
      <c r="U108" s="14">
        <f t="shared" si="109"/>
        <v>2.0000000000000013</v>
      </c>
      <c r="V108" s="3">
        <f t="shared" si="81"/>
        <v>2.3999999999999941</v>
      </c>
      <c r="Y108" s="3">
        <f t="shared" si="110"/>
        <v>2.0000000000000013</v>
      </c>
      <c r="Z108" s="3">
        <f t="shared" si="111"/>
        <v>2.0000000000000013</v>
      </c>
      <c r="AA108" s="3">
        <f t="shared" si="82"/>
        <v>2.3999999999999941</v>
      </c>
      <c r="AD108" s="3">
        <f t="shared" si="112"/>
        <v>2.0000000000000013</v>
      </c>
      <c r="AE108" s="14">
        <f t="shared" si="113"/>
        <v>2.0000000000000013</v>
      </c>
      <c r="AF108" s="3">
        <f t="shared" si="83"/>
        <v>2.3999999999999941</v>
      </c>
      <c r="AI108" s="3">
        <f t="shared" si="114"/>
        <v>2.0000000000000013</v>
      </c>
      <c r="AJ108" s="14">
        <f t="shared" si="115"/>
        <v>2.0000000000000013</v>
      </c>
      <c r="AK108" s="3">
        <f t="shared" si="84"/>
        <v>2.3999999999999941</v>
      </c>
      <c r="AN108" s="3">
        <f t="shared" si="116"/>
        <v>2.0000000000000013</v>
      </c>
      <c r="AO108" s="3">
        <f t="shared" si="117"/>
        <v>2.0000000000000013</v>
      </c>
      <c r="AP108" s="3">
        <f t="shared" si="85"/>
        <v>2.3999999999999941</v>
      </c>
      <c r="AS108" s="3">
        <f t="shared" si="118"/>
        <v>2.0000000000000013</v>
      </c>
      <c r="AT108" s="14">
        <f t="shared" si="119"/>
        <v>2.0000000000000013</v>
      </c>
      <c r="AU108" s="3">
        <f t="shared" si="86"/>
        <v>2.3999999999999941</v>
      </c>
      <c r="AX108" s="3">
        <f t="shared" si="120"/>
        <v>2.0000000000000013</v>
      </c>
      <c r="AY108" s="14">
        <f t="shared" si="121"/>
        <v>2.0000000000000013</v>
      </c>
      <c r="AZ108" s="3">
        <f t="shared" si="87"/>
        <v>2.3999999999999941</v>
      </c>
      <c r="BC108" s="3">
        <f t="shared" si="122"/>
        <v>2.0000000000000013</v>
      </c>
      <c r="BD108" s="3">
        <f t="shared" si="123"/>
        <v>2.0000000000000013</v>
      </c>
      <c r="BE108" s="3">
        <f t="shared" si="88"/>
        <v>2.3999999999999941</v>
      </c>
      <c r="BH108" s="3">
        <f t="shared" si="124"/>
        <v>2.0000000000000013</v>
      </c>
      <c r="BI108" s="14">
        <f t="shared" si="125"/>
        <v>2.0000000000000013</v>
      </c>
      <c r="BJ108" s="3">
        <f t="shared" si="89"/>
        <v>2.3999999999999941</v>
      </c>
      <c r="BM108" s="3">
        <f t="shared" si="126"/>
        <v>2.0000000000000013</v>
      </c>
      <c r="BN108" s="14">
        <f t="shared" si="127"/>
        <v>2.0000000000000013</v>
      </c>
      <c r="BO108" s="3">
        <f t="shared" si="90"/>
        <v>2.3999999999999941</v>
      </c>
      <c r="BR108" s="3">
        <f t="shared" si="128"/>
        <v>2.0000000000000013</v>
      </c>
      <c r="BS108" s="3">
        <f t="shared" si="129"/>
        <v>2.0000000000000013</v>
      </c>
      <c r="BT108" s="3">
        <f t="shared" si="91"/>
        <v>2.3999999999999941</v>
      </c>
      <c r="BW108" s="3">
        <f t="shared" si="130"/>
        <v>2.0000000000000013</v>
      </c>
      <c r="BX108" s="14">
        <f t="shared" si="131"/>
        <v>2.0000000000000013</v>
      </c>
      <c r="BY108" s="3">
        <f t="shared" si="92"/>
        <v>2.3999999999999941</v>
      </c>
      <c r="CB108" s="3">
        <f t="shared" si="132"/>
        <v>2.0000000000000013</v>
      </c>
      <c r="CC108" s="14">
        <f t="shared" si="133"/>
        <v>2.0000000000000013</v>
      </c>
      <c r="CD108" s="3">
        <f t="shared" si="93"/>
        <v>2.3999999999999941</v>
      </c>
      <c r="CG108" s="3">
        <f t="shared" si="134"/>
        <v>2.0000000000000013</v>
      </c>
      <c r="CH108" s="3">
        <f t="shared" si="135"/>
        <v>2.0000000000000013</v>
      </c>
      <c r="CI108" s="3">
        <f t="shared" si="94"/>
        <v>2.3999999999999941</v>
      </c>
      <c r="CL108" s="3">
        <f t="shared" si="136"/>
        <v>2.0000000000000013</v>
      </c>
      <c r="CM108" s="14">
        <f t="shared" si="137"/>
        <v>2.0000000000000013</v>
      </c>
      <c r="CN108" s="3">
        <f t="shared" si="95"/>
        <v>2.3999999999999941</v>
      </c>
      <c r="CQ108" s="3">
        <f t="shared" si="138"/>
        <v>2.0000000000000013</v>
      </c>
      <c r="CR108" s="14">
        <f t="shared" si="139"/>
        <v>2.0000000000000013</v>
      </c>
      <c r="CS108" s="3">
        <f t="shared" si="96"/>
        <v>2.3999999999999941</v>
      </c>
      <c r="CV108" s="3">
        <f t="shared" si="140"/>
        <v>2.0000000000000013</v>
      </c>
      <c r="CW108" s="3">
        <f t="shared" si="141"/>
        <v>2.0000000000000013</v>
      </c>
      <c r="CX108" s="3">
        <f t="shared" si="97"/>
        <v>2.3999999999999941</v>
      </c>
      <c r="DA108" s="3">
        <f t="shared" si="142"/>
        <v>2.0000000000000013</v>
      </c>
      <c r="DB108" s="14">
        <f t="shared" si="143"/>
        <v>2.0000000000000013</v>
      </c>
      <c r="DC108" s="3">
        <f t="shared" si="98"/>
        <v>2.3999999999999941</v>
      </c>
      <c r="DF108" s="3">
        <f t="shared" si="144"/>
        <v>2.0000000000000013</v>
      </c>
      <c r="DG108" s="14">
        <f t="shared" si="145"/>
        <v>2.0000000000000013</v>
      </c>
      <c r="DH108" s="3">
        <f t="shared" si="99"/>
        <v>2.3999999999999941</v>
      </c>
      <c r="DK108" s="3">
        <f t="shared" si="146"/>
        <v>2.0000000000000013</v>
      </c>
      <c r="DL108" s="3">
        <f t="shared" si="147"/>
        <v>2.0000000000000013</v>
      </c>
      <c r="DM108" s="3">
        <f t="shared" si="100"/>
        <v>2.3999999999999941</v>
      </c>
      <c r="DP108" s="3">
        <f t="shared" si="148"/>
        <v>2.0000000000000013</v>
      </c>
      <c r="DQ108" s="14">
        <f t="shared" si="149"/>
        <v>2.0000000000000013</v>
      </c>
      <c r="DR108" s="3">
        <f t="shared" si="101"/>
        <v>2.3999999999999941</v>
      </c>
      <c r="DU108" s="3">
        <f t="shared" si="150"/>
        <v>2.0000000000000013</v>
      </c>
      <c r="DV108" s="14">
        <f t="shared" si="151"/>
        <v>2.0000000000000013</v>
      </c>
      <c r="DW108" s="3">
        <f t="shared" si="102"/>
        <v>2.3999999999999941</v>
      </c>
      <c r="DZ108" s="3">
        <f t="shared" si="152"/>
        <v>2.0000000000000013</v>
      </c>
      <c r="EA108" s="3">
        <f t="shared" si="153"/>
        <v>2.0000000000000013</v>
      </c>
      <c r="EB108" s="3">
        <f t="shared" si="103"/>
        <v>2.3999999999999941</v>
      </c>
      <c r="EE108" s="3">
        <f t="shared" si="154"/>
        <v>2.0000000000000013</v>
      </c>
      <c r="EF108" s="14">
        <f t="shared" si="155"/>
        <v>2.0000000000000013</v>
      </c>
      <c r="EG108" s="3">
        <f t="shared" si="104"/>
        <v>2.3999999999999941</v>
      </c>
      <c r="EJ108" s="3">
        <f t="shared" si="156"/>
        <v>2.0000000000000013</v>
      </c>
      <c r="EK108" s="14">
        <f t="shared" si="157"/>
        <v>2.0000000000000013</v>
      </c>
      <c r="EL108" s="3">
        <f t="shared" si="105"/>
        <v>2.3999999999999941</v>
      </c>
      <c r="EO108" s="3">
        <f t="shared" si="158"/>
        <v>2.0000000000000013</v>
      </c>
      <c r="EP108" s="3">
        <f t="shared" si="159"/>
        <v>2.0000000000000013</v>
      </c>
      <c r="EQ108" s="3">
        <f t="shared" si="106"/>
        <v>2.3999999999999941</v>
      </c>
      <c r="ET108" s="3">
        <f t="shared" si="160"/>
        <v>2.0000000000000013</v>
      </c>
      <c r="EU108" s="14">
        <f t="shared" si="161"/>
        <v>2.0000000000000013</v>
      </c>
      <c r="EV108" s="3">
        <f t="shared" si="107"/>
        <v>2.3999999999999941</v>
      </c>
    </row>
    <row r="111" spans="20:152" s="3" customFormat="1" x14ac:dyDescent="0.25">
      <c r="T111" s="7">
        <f>$D$8-$D$9</f>
        <v>4.6500000000000004</v>
      </c>
      <c r="U111" s="7">
        <f>$D$8</f>
        <v>4.6500000000000004</v>
      </c>
      <c r="V111" s="7">
        <f>$D$8+$D$9</f>
        <v>4.6500000000000004</v>
      </c>
      <c r="W111" s="7">
        <f t="shared" ref="W111" si="162">$D$8-$D$9</f>
        <v>4.6500000000000004</v>
      </c>
      <c r="X111" s="7">
        <f t="shared" ref="X111" si="163">$D$8</f>
        <v>4.6500000000000004</v>
      </c>
      <c r="Y111" s="7">
        <f t="shared" ref="Y111" si="164">$D$8+$D$9</f>
        <v>4.6500000000000004</v>
      </c>
      <c r="Z111" s="7">
        <f t="shared" ref="Z111" si="165">$D$8-$D$9</f>
        <v>4.6500000000000004</v>
      </c>
      <c r="AA111" s="7">
        <f t="shared" ref="AA111" si="166">$D$8</f>
        <v>4.6500000000000004</v>
      </c>
      <c r="AB111" s="7">
        <f t="shared" ref="AB111" si="167">$D$8+$D$9</f>
        <v>4.6500000000000004</v>
      </c>
      <c r="AC111" s="7">
        <f>$D$8-$D$9</f>
        <v>4.6500000000000004</v>
      </c>
      <c r="AD111" s="7">
        <f>$D$8</f>
        <v>4.6500000000000004</v>
      </c>
      <c r="AE111" s="7">
        <f>$D$8+$D$9</f>
        <v>4.6500000000000004</v>
      </c>
      <c r="AF111" s="7">
        <f t="shared" ref="AF111" si="168">$D$8-$D$9</f>
        <v>4.6500000000000004</v>
      </c>
      <c r="AG111" s="7">
        <f t="shared" ref="AG111" si="169">$D$8</f>
        <v>4.6500000000000004</v>
      </c>
      <c r="AH111" s="7">
        <f t="shared" ref="AH111" si="170">$D$8+$D$9</f>
        <v>4.6500000000000004</v>
      </c>
      <c r="AI111" s="7">
        <f t="shared" ref="AI111" si="171">$D$8-$D$9</f>
        <v>4.6500000000000004</v>
      </c>
      <c r="AJ111" s="7">
        <f t="shared" ref="AJ111" si="172">$D$8</f>
        <v>4.6500000000000004</v>
      </c>
      <c r="AK111" s="7">
        <f t="shared" ref="AK111" si="173">$D$8+$D$9</f>
        <v>4.6500000000000004</v>
      </c>
      <c r="AL111" s="7">
        <f>$D$8-$D$9</f>
        <v>4.6500000000000004</v>
      </c>
      <c r="AM111" s="7">
        <f>$D$8</f>
        <v>4.6500000000000004</v>
      </c>
      <c r="AN111" s="7">
        <f>$D$8+$D$9</f>
        <v>4.6500000000000004</v>
      </c>
      <c r="AO111" s="7">
        <f t="shared" ref="AO111" si="174">$D$8-$D$9</f>
        <v>4.6500000000000004</v>
      </c>
      <c r="AP111" s="7">
        <f t="shared" ref="AP111" si="175">$D$8</f>
        <v>4.6500000000000004</v>
      </c>
      <c r="AQ111" s="7">
        <f t="shared" ref="AQ111" si="176">$D$8+$D$9</f>
        <v>4.6500000000000004</v>
      </c>
      <c r="AR111" s="7">
        <f t="shared" ref="AR111" si="177">$D$8-$D$9</f>
        <v>4.6500000000000004</v>
      </c>
      <c r="AS111" s="7">
        <f t="shared" ref="AS111" si="178">$D$8</f>
        <v>4.6500000000000004</v>
      </c>
      <c r="AT111" s="7">
        <f t="shared" ref="AT111" si="179">$D$8+$D$9</f>
        <v>4.6500000000000004</v>
      </c>
    </row>
    <row r="112" spans="20:152" s="3" customFormat="1" x14ac:dyDescent="0.25">
      <c r="T112" s="7">
        <f>$D$10*(1-$D$11)</f>
        <v>9.5999999999999979</v>
      </c>
      <c r="U112" s="7">
        <f t="shared" ref="U112:AE112" si="180">$D$10*(1-$D$11)</f>
        <v>9.5999999999999979</v>
      </c>
      <c r="V112" s="7">
        <f t="shared" si="180"/>
        <v>9.5999999999999979</v>
      </c>
      <c r="W112" s="7">
        <f>$D$10</f>
        <v>9.5999999999999979</v>
      </c>
      <c r="X112" s="7">
        <f t="shared" ref="X112:Y112" si="181">$D$10</f>
        <v>9.5999999999999979</v>
      </c>
      <c r="Y112" s="7">
        <f t="shared" si="181"/>
        <v>9.5999999999999979</v>
      </c>
      <c r="Z112" s="7">
        <f>$D$10*(1+$D$11)</f>
        <v>9.5999999999999979</v>
      </c>
      <c r="AA112" s="7">
        <f t="shared" ref="AA112:AB112" si="182">$D$10*(1+$D$11)</f>
        <v>9.5999999999999979</v>
      </c>
      <c r="AB112" s="7">
        <f t="shared" si="182"/>
        <v>9.5999999999999979</v>
      </c>
      <c r="AC112" s="7">
        <f>$D$10*(1-$D$11)</f>
        <v>9.5999999999999979</v>
      </c>
      <c r="AD112" s="7">
        <f t="shared" si="180"/>
        <v>9.5999999999999979</v>
      </c>
      <c r="AE112" s="7">
        <f t="shared" si="180"/>
        <v>9.5999999999999979</v>
      </c>
      <c r="AF112" s="7">
        <f>$D$10</f>
        <v>9.5999999999999979</v>
      </c>
      <c r="AG112" s="7">
        <f t="shared" ref="AG112:AH112" si="183">$D$10</f>
        <v>9.5999999999999979</v>
      </c>
      <c r="AH112" s="7">
        <f t="shared" si="183"/>
        <v>9.5999999999999979</v>
      </c>
      <c r="AI112" s="7">
        <f>$D$10*(1+$D$11)</f>
        <v>9.5999999999999979</v>
      </c>
      <c r="AJ112" s="7">
        <f t="shared" ref="AJ112:AK112" si="184">$D$10*(1+$D$11)</f>
        <v>9.5999999999999979</v>
      </c>
      <c r="AK112" s="7">
        <f t="shared" si="184"/>
        <v>9.5999999999999979</v>
      </c>
      <c r="AL112" s="7">
        <f>$D$10*(1-$D$11)</f>
        <v>9.5999999999999979</v>
      </c>
      <c r="AM112" s="7">
        <f t="shared" ref="AM112:AN112" si="185">$D$10*(1-$D$11)</f>
        <v>9.5999999999999979</v>
      </c>
      <c r="AN112" s="7">
        <f t="shared" si="185"/>
        <v>9.5999999999999979</v>
      </c>
      <c r="AO112" s="7">
        <f>$D$10</f>
        <v>9.5999999999999979</v>
      </c>
      <c r="AP112" s="7">
        <f t="shared" ref="AP112:AQ112" si="186">$D$10</f>
        <v>9.5999999999999979</v>
      </c>
      <c r="AQ112" s="7">
        <f t="shared" si="186"/>
        <v>9.5999999999999979</v>
      </c>
      <c r="AR112" s="7">
        <f>$D$10*(1+$D$11)</f>
        <v>9.5999999999999979</v>
      </c>
      <c r="AS112" s="7">
        <f t="shared" ref="AS112:AT112" si="187">$D$10*(1+$D$11)</f>
        <v>9.5999999999999979</v>
      </c>
      <c r="AT112" s="7">
        <f t="shared" si="187"/>
        <v>9.5999999999999979</v>
      </c>
    </row>
    <row r="113" spans="20:46" s="3" customFormat="1" x14ac:dyDescent="0.25">
      <c r="T113" s="8">
        <f>$D$12-$D$13</f>
        <v>43</v>
      </c>
      <c r="U113" s="8">
        <f t="shared" ref="U113:AB113" si="188">$D$12-$D$13</f>
        <v>43</v>
      </c>
      <c r="V113" s="8">
        <f t="shared" si="188"/>
        <v>43</v>
      </c>
      <c r="W113" s="8">
        <f t="shared" si="188"/>
        <v>43</v>
      </c>
      <c r="X113" s="8">
        <f t="shared" si="188"/>
        <v>43</v>
      </c>
      <c r="Y113" s="8">
        <f t="shared" si="188"/>
        <v>43</v>
      </c>
      <c r="Z113" s="8">
        <f t="shared" si="188"/>
        <v>43</v>
      </c>
      <c r="AA113" s="8">
        <f t="shared" si="188"/>
        <v>43</v>
      </c>
      <c r="AB113" s="8">
        <f t="shared" si="188"/>
        <v>43</v>
      </c>
      <c r="AC113" s="8">
        <f>$D$12</f>
        <v>43</v>
      </c>
      <c r="AD113" s="8">
        <f t="shared" ref="AD113:AK113" si="189">$D$12</f>
        <v>43</v>
      </c>
      <c r="AE113" s="8">
        <f t="shared" si="189"/>
        <v>43</v>
      </c>
      <c r="AF113" s="8">
        <f t="shared" si="189"/>
        <v>43</v>
      </c>
      <c r="AG113" s="8">
        <f t="shared" si="189"/>
        <v>43</v>
      </c>
      <c r="AH113" s="8">
        <f t="shared" si="189"/>
        <v>43</v>
      </c>
      <c r="AI113" s="8">
        <f t="shared" si="189"/>
        <v>43</v>
      </c>
      <c r="AJ113" s="8">
        <f t="shared" si="189"/>
        <v>43</v>
      </c>
      <c r="AK113" s="8">
        <f t="shared" si="189"/>
        <v>43</v>
      </c>
      <c r="AL113" s="8">
        <f>$D$12+$D$13</f>
        <v>43</v>
      </c>
      <c r="AM113" s="8">
        <f t="shared" ref="AM113:AT113" si="190">$D$12+$D$13</f>
        <v>43</v>
      </c>
      <c r="AN113" s="8">
        <f t="shared" si="190"/>
        <v>43</v>
      </c>
      <c r="AO113" s="8">
        <f t="shared" si="190"/>
        <v>43</v>
      </c>
      <c r="AP113" s="8">
        <f t="shared" si="190"/>
        <v>43</v>
      </c>
      <c r="AQ113" s="8">
        <f t="shared" si="190"/>
        <v>43</v>
      </c>
      <c r="AR113" s="8">
        <f t="shared" si="190"/>
        <v>43</v>
      </c>
      <c r="AS113" s="8">
        <f t="shared" si="190"/>
        <v>43</v>
      </c>
      <c r="AT113" s="8">
        <f t="shared" si="190"/>
        <v>43</v>
      </c>
    </row>
    <row r="114" spans="20:46" s="3" customFormat="1" x14ac:dyDescent="0.25">
      <c r="T114" s="9">
        <f>T111*TAN(RADIANS(T113))-(IF($B$4, 9.807, 32.174)*T111^2)/(2*T112^2*COS(RADIANS(T113))^2)+$D$7</f>
        <v>2.3853225280485435</v>
      </c>
      <c r="U114" s="9">
        <f t="shared" ref="U114:AB114" si="191">U111*TAN(RADIANS(U113))-(IF($B$4, 9.807, 32.174)*U111^2)/(2*U112^2*COS(RADIANS(U113))^2)+$D$7</f>
        <v>2.3853225280485435</v>
      </c>
      <c r="V114" s="9">
        <f t="shared" si="191"/>
        <v>2.3853225280485435</v>
      </c>
      <c r="W114" s="9">
        <f t="shared" si="191"/>
        <v>2.3853225280485435</v>
      </c>
      <c r="X114" s="9">
        <f t="shared" si="191"/>
        <v>2.3853225280485435</v>
      </c>
      <c r="Y114" s="9">
        <f t="shared" si="191"/>
        <v>2.3853225280485435</v>
      </c>
      <c r="Z114" s="9">
        <f t="shared" si="191"/>
        <v>2.3853225280485435</v>
      </c>
      <c r="AA114" s="9">
        <f t="shared" si="191"/>
        <v>2.3853225280485435</v>
      </c>
      <c r="AB114" s="9">
        <f t="shared" si="191"/>
        <v>2.3853225280485435</v>
      </c>
      <c r="AC114" s="9">
        <f>AC111*TAN(RADIANS(AC113))-(IF($B$4, 9.807, 32.174)*AC111^2)/(2*AC112^2*COS(RADIANS(AC113))^2)+$D$7</f>
        <v>2.3853225280485435</v>
      </c>
      <c r="AD114" s="9">
        <f t="shared" ref="AD114:AK114" si="192">AD111*TAN(RADIANS(AD113))-(IF($B$4, 9.807, 32.174)*AD111^2)/(2*AD112^2*COS(RADIANS(AD113))^2)+$D$7</f>
        <v>2.3853225280485435</v>
      </c>
      <c r="AE114" s="9">
        <f t="shared" si="192"/>
        <v>2.3853225280485435</v>
      </c>
      <c r="AF114" s="9">
        <f t="shared" si="192"/>
        <v>2.3853225280485435</v>
      </c>
      <c r="AG114" s="9">
        <f t="shared" si="192"/>
        <v>2.3853225280485435</v>
      </c>
      <c r="AH114" s="9">
        <f t="shared" si="192"/>
        <v>2.3853225280485435</v>
      </c>
      <c r="AI114" s="9">
        <f t="shared" si="192"/>
        <v>2.3853225280485435</v>
      </c>
      <c r="AJ114" s="9">
        <f t="shared" si="192"/>
        <v>2.3853225280485435</v>
      </c>
      <c r="AK114" s="9">
        <f t="shared" si="192"/>
        <v>2.3853225280485435</v>
      </c>
      <c r="AL114" s="9">
        <f>AL111*TAN(RADIANS(AL113))-(IF($B$4, 9.807, 32.174)*AL111^2)/(2*AL112^2*COS(RADIANS(AL113))^2)+$D$7</f>
        <v>2.3853225280485435</v>
      </c>
      <c r="AM114" s="9">
        <f t="shared" ref="AM114:AT114" si="193">AM111*TAN(RADIANS(AM113))-(IF($B$4, 9.807, 32.174)*AM111^2)/(2*AM112^2*COS(RADIANS(AM113))^2)+$D$7</f>
        <v>2.3853225280485435</v>
      </c>
      <c r="AN114" s="9">
        <f t="shared" si="193"/>
        <v>2.3853225280485435</v>
      </c>
      <c r="AO114" s="9">
        <f t="shared" si="193"/>
        <v>2.3853225280485435</v>
      </c>
      <c r="AP114" s="9">
        <f t="shared" si="193"/>
        <v>2.3853225280485435</v>
      </c>
      <c r="AQ114" s="9">
        <f t="shared" si="193"/>
        <v>2.3853225280485435</v>
      </c>
      <c r="AR114" s="9">
        <f t="shared" si="193"/>
        <v>2.3853225280485435</v>
      </c>
      <c r="AS114" s="9">
        <f t="shared" si="193"/>
        <v>2.3853225280485435</v>
      </c>
      <c r="AT114" s="9">
        <f t="shared" si="193"/>
        <v>2.3853225280485435</v>
      </c>
    </row>
    <row r="115" spans="20:46" s="3" customFormat="1" x14ac:dyDescent="0.25">
      <c r="T115" s="8">
        <f>DEGREES(ATAN(2*(T114-$D$7)/T111-TAN(RADIANS(T113))))</f>
        <v>0.42447270571160217</v>
      </c>
      <c r="U115" s="8">
        <f t="shared" ref="U115:AB115" si="194">DEGREES(ATAN(2*(U114-$D$7)/U111-TAN(RADIANS(U113))))</f>
        <v>0.42447270571160217</v>
      </c>
      <c r="V115" s="8">
        <f t="shared" si="194"/>
        <v>0.42447270571160217</v>
      </c>
      <c r="W115" s="8">
        <f t="shared" si="194"/>
        <v>0.42447270571160217</v>
      </c>
      <c r="X115" s="8">
        <f t="shared" si="194"/>
        <v>0.42447270571160217</v>
      </c>
      <c r="Y115" s="8">
        <f t="shared" si="194"/>
        <v>0.42447270571160217</v>
      </c>
      <c r="Z115" s="8">
        <f t="shared" si="194"/>
        <v>0.42447270571160217</v>
      </c>
      <c r="AA115" s="8">
        <f t="shared" si="194"/>
        <v>0.42447270571160217</v>
      </c>
      <c r="AB115" s="8">
        <f t="shared" si="194"/>
        <v>0.42447270571160217</v>
      </c>
      <c r="AC115" s="8">
        <f>DEGREES(ATAN(2*(AC114-$D$7)/AC111-TAN(RADIANS(AC113))))</f>
        <v>0.42447270571160217</v>
      </c>
      <c r="AD115" s="8">
        <f t="shared" ref="AD115:AK115" si="195">DEGREES(ATAN(2*(AD114-$D$7)/AD111-TAN(RADIANS(AD113))))</f>
        <v>0.42447270571160217</v>
      </c>
      <c r="AE115" s="8">
        <f t="shared" si="195"/>
        <v>0.42447270571160217</v>
      </c>
      <c r="AF115" s="8">
        <f t="shared" si="195"/>
        <v>0.42447270571160217</v>
      </c>
      <c r="AG115" s="8">
        <f t="shared" si="195"/>
        <v>0.42447270571160217</v>
      </c>
      <c r="AH115" s="8">
        <f t="shared" si="195"/>
        <v>0.42447270571160217</v>
      </c>
      <c r="AI115" s="8">
        <f t="shared" si="195"/>
        <v>0.42447270571160217</v>
      </c>
      <c r="AJ115" s="8">
        <f t="shared" si="195"/>
        <v>0.42447270571160217</v>
      </c>
      <c r="AK115" s="8">
        <f t="shared" si="195"/>
        <v>0.42447270571160217</v>
      </c>
      <c r="AL115" s="8">
        <f>DEGREES(ATAN(2*(AL114-$D$7)/AL111-TAN(RADIANS(AL113))))</f>
        <v>0.42447270571160217</v>
      </c>
      <c r="AM115" s="8">
        <f t="shared" ref="AM115:AT115" si="196">DEGREES(ATAN(2*(AM114-$D$7)/AM111-TAN(RADIANS(AM113))))</f>
        <v>0.42447270571160217</v>
      </c>
      <c r="AN115" s="8">
        <f t="shared" si="196"/>
        <v>0.42447270571160217</v>
      </c>
      <c r="AO115" s="8">
        <f t="shared" si="196"/>
        <v>0.42447270571160217</v>
      </c>
      <c r="AP115" s="8">
        <f t="shared" si="196"/>
        <v>0.42447270571160217</v>
      </c>
      <c r="AQ115" s="8">
        <f t="shared" si="196"/>
        <v>0.42447270571160217</v>
      </c>
      <c r="AR115" s="8">
        <f t="shared" si="196"/>
        <v>0.42447270571160217</v>
      </c>
      <c r="AS115" s="8">
        <f t="shared" si="196"/>
        <v>0.42447270571160217</v>
      </c>
      <c r="AT115" s="8">
        <f t="shared" si="196"/>
        <v>0.42447270571160217</v>
      </c>
    </row>
    <row r="117" spans="20:46" s="3" customFormat="1" x14ac:dyDescent="0.25">
      <c r="T117" s="7">
        <f>$G$8-$G$9</f>
        <v>1.9999999999999998</v>
      </c>
      <c r="U117" s="7">
        <f>$G$8</f>
        <v>1.9999999999999998</v>
      </c>
      <c r="V117" s="7">
        <f>$G$8+$G$9</f>
        <v>1.9999999999999998</v>
      </c>
      <c r="W117" s="7">
        <f>$G$8-$G$9</f>
        <v>1.9999999999999998</v>
      </c>
      <c r="X117" s="7">
        <f t="shared" ref="X117" si="197">$G$8</f>
        <v>1.9999999999999998</v>
      </c>
      <c r="Y117" s="7">
        <f>$G$8+$G$9</f>
        <v>1.9999999999999998</v>
      </c>
      <c r="Z117" s="7">
        <f>$G$8-$G$9</f>
        <v>1.9999999999999998</v>
      </c>
      <c r="AA117" s="7">
        <f t="shared" ref="AA117" si="198">$G$8</f>
        <v>1.9999999999999998</v>
      </c>
      <c r="AB117" s="7">
        <f>$G$8+$G$9</f>
        <v>1.9999999999999998</v>
      </c>
      <c r="AC117" s="7">
        <f>$G$8-$G$9</f>
        <v>1.9999999999999998</v>
      </c>
      <c r="AD117" s="7">
        <f>$G$8</f>
        <v>1.9999999999999998</v>
      </c>
      <c r="AE117" s="7">
        <f>$G$8+$G$9</f>
        <v>1.9999999999999998</v>
      </c>
      <c r="AF117" s="7">
        <f>$G$8-$G$9</f>
        <v>1.9999999999999998</v>
      </c>
      <c r="AG117" s="7">
        <f t="shared" ref="AG117" si="199">$G$8</f>
        <v>1.9999999999999998</v>
      </c>
      <c r="AH117" s="7">
        <f>$G$8+$G$9</f>
        <v>1.9999999999999998</v>
      </c>
      <c r="AI117" s="7">
        <f>$G$8-$G$9</f>
        <v>1.9999999999999998</v>
      </c>
      <c r="AJ117" s="7">
        <f t="shared" ref="AJ117" si="200">$G$8</f>
        <v>1.9999999999999998</v>
      </c>
      <c r="AK117" s="7">
        <f>$G$8+$G$9</f>
        <v>1.9999999999999998</v>
      </c>
      <c r="AL117" s="7">
        <f>$G$8-$G$9</f>
        <v>1.9999999999999998</v>
      </c>
      <c r="AM117" s="7">
        <f>$G$8</f>
        <v>1.9999999999999998</v>
      </c>
      <c r="AN117" s="7">
        <f>$G$8+$G$9</f>
        <v>1.9999999999999998</v>
      </c>
      <c r="AO117" s="7">
        <f>$G$8-$G$9</f>
        <v>1.9999999999999998</v>
      </c>
      <c r="AP117" s="7">
        <f t="shared" ref="AP117" si="201">$G$8</f>
        <v>1.9999999999999998</v>
      </c>
      <c r="AQ117" s="7">
        <f>$G$8+$G$9</f>
        <v>1.9999999999999998</v>
      </c>
      <c r="AR117" s="7">
        <f>$G$8-$G$9</f>
        <v>1.9999999999999998</v>
      </c>
      <c r="AS117" s="7">
        <f t="shared" ref="AS117" si="202">$G$8</f>
        <v>1.9999999999999998</v>
      </c>
      <c r="AT117" s="7">
        <f>$G$8+$G$9</f>
        <v>1.9999999999999998</v>
      </c>
    </row>
    <row r="118" spans="20:46" s="3" customFormat="1" x14ac:dyDescent="0.25">
      <c r="T118" s="7">
        <f>$G$10-$G$11</f>
        <v>2.5</v>
      </c>
      <c r="U118" s="7">
        <f t="shared" ref="U118:AE118" si="203">$G$10-$G$11</f>
        <v>2.5</v>
      </c>
      <c r="V118" s="7">
        <f t="shared" si="203"/>
        <v>2.5</v>
      </c>
      <c r="W118" s="7">
        <f>$G$10</f>
        <v>2.5</v>
      </c>
      <c r="X118" s="7">
        <f t="shared" ref="X118:Y118" si="204">$G$10</f>
        <v>2.5</v>
      </c>
      <c r="Y118" s="7">
        <f t="shared" si="204"/>
        <v>2.5</v>
      </c>
      <c r="Z118" s="7">
        <f>$G$10+$G$11</f>
        <v>2.5</v>
      </c>
      <c r="AA118" s="7">
        <f t="shared" ref="AA118:AB118" si="205">$G$10+$G$11</f>
        <v>2.5</v>
      </c>
      <c r="AB118" s="7">
        <f t="shared" si="205"/>
        <v>2.5</v>
      </c>
      <c r="AC118" s="7">
        <f>$G$10-$G$11</f>
        <v>2.5</v>
      </c>
      <c r="AD118" s="7">
        <f t="shared" si="203"/>
        <v>2.5</v>
      </c>
      <c r="AE118" s="7">
        <f t="shared" si="203"/>
        <v>2.5</v>
      </c>
      <c r="AF118" s="7">
        <f>$G$10</f>
        <v>2.5</v>
      </c>
      <c r="AG118" s="7">
        <f t="shared" ref="AG118:AH118" si="206">$G$10</f>
        <v>2.5</v>
      </c>
      <c r="AH118" s="7">
        <f t="shared" si="206"/>
        <v>2.5</v>
      </c>
      <c r="AI118" s="7">
        <f>$G$10+$G$11</f>
        <v>2.5</v>
      </c>
      <c r="AJ118" s="7">
        <f t="shared" ref="AJ118:AK118" si="207">$G$10+$G$11</f>
        <v>2.5</v>
      </c>
      <c r="AK118" s="7">
        <f t="shared" si="207"/>
        <v>2.5</v>
      </c>
      <c r="AL118" s="7">
        <f>$G$10-$G$11</f>
        <v>2.5</v>
      </c>
      <c r="AM118" s="7">
        <f t="shared" ref="AM118:AN118" si="208">$G$10-$G$11</f>
        <v>2.5</v>
      </c>
      <c r="AN118" s="7">
        <f t="shared" si="208"/>
        <v>2.5</v>
      </c>
      <c r="AO118" s="7">
        <f>$G$10</f>
        <v>2.5</v>
      </c>
      <c r="AP118" s="7">
        <f t="shared" ref="AP118:AQ118" si="209">$G$10</f>
        <v>2.5</v>
      </c>
      <c r="AQ118" s="7">
        <f t="shared" si="209"/>
        <v>2.5</v>
      </c>
      <c r="AR118" s="7">
        <f>$G$10+$G$11</f>
        <v>2.5</v>
      </c>
      <c r="AS118" s="7">
        <f t="shared" ref="AS118:AT118" si="210">$G$10+$G$11</f>
        <v>2.5</v>
      </c>
      <c r="AT118" s="7">
        <f t="shared" si="210"/>
        <v>2.5</v>
      </c>
    </row>
    <row r="119" spans="20:46" s="3" customFormat="1" x14ac:dyDescent="0.25">
      <c r="T119" s="7">
        <f>$G$12-$G$13</f>
        <v>-80</v>
      </c>
      <c r="U119" s="7">
        <f t="shared" ref="U119:AB119" si="211">$G$12-$G$13</f>
        <v>-80</v>
      </c>
      <c r="V119" s="7">
        <f t="shared" si="211"/>
        <v>-80</v>
      </c>
      <c r="W119" s="7">
        <f t="shared" si="211"/>
        <v>-80</v>
      </c>
      <c r="X119" s="7">
        <f t="shared" si="211"/>
        <v>-80</v>
      </c>
      <c r="Y119" s="7">
        <f t="shared" si="211"/>
        <v>-80</v>
      </c>
      <c r="Z119" s="7">
        <f t="shared" si="211"/>
        <v>-80</v>
      </c>
      <c r="AA119" s="7">
        <f t="shared" si="211"/>
        <v>-80</v>
      </c>
      <c r="AB119" s="7">
        <f t="shared" si="211"/>
        <v>-80</v>
      </c>
      <c r="AC119" s="7">
        <f>$G$12</f>
        <v>-80</v>
      </c>
      <c r="AD119" s="7">
        <f t="shared" ref="AD119:AK119" si="212">$G$12</f>
        <v>-80</v>
      </c>
      <c r="AE119" s="7">
        <f t="shared" si="212"/>
        <v>-80</v>
      </c>
      <c r="AF119" s="7">
        <f t="shared" si="212"/>
        <v>-80</v>
      </c>
      <c r="AG119" s="7">
        <f t="shared" si="212"/>
        <v>-80</v>
      </c>
      <c r="AH119" s="7">
        <f t="shared" si="212"/>
        <v>-80</v>
      </c>
      <c r="AI119" s="7">
        <f t="shared" si="212"/>
        <v>-80</v>
      </c>
      <c r="AJ119" s="7">
        <f t="shared" si="212"/>
        <v>-80</v>
      </c>
      <c r="AK119" s="7">
        <f t="shared" si="212"/>
        <v>-80</v>
      </c>
      <c r="AL119" s="7">
        <f>$G$12+$G$13</f>
        <v>-80</v>
      </c>
      <c r="AM119" s="7">
        <f t="shared" ref="AM119:AT119" si="213">$G$12+$G$13</f>
        <v>-80</v>
      </c>
      <c r="AN119" s="7">
        <f t="shared" si="213"/>
        <v>-80</v>
      </c>
      <c r="AO119" s="7">
        <f t="shared" si="213"/>
        <v>-80</v>
      </c>
      <c r="AP119" s="7">
        <f t="shared" si="213"/>
        <v>-80</v>
      </c>
      <c r="AQ119" s="7">
        <f t="shared" si="213"/>
        <v>-80</v>
      </c>
      <c r="AR119" s="7">
        <f t="shared" si="213"/>
        <v>-80</v>
      </c>
      <c r="AS119" s="7">
        <f t="shared" si="213"/>
        <v>-80</v>
      </c>
      <c r="AT119" s="7">
        <f t="shared" si="213"/>
        <v>-80</v>
      </c>
    </row>
    <row r="120" spans="20:46" s="3" customFormat="1" x14ac:dyDescent="0.25">
      <c r="T120" s="7">
        <f>SQRT((IF($B$4, 9.807, 32.174)*T117)/(ABS(TAN(RADIANS(T121))-TAN(RADIANS(T119)))))/COS(RADIANS(T121))</f>
        <v>9.5489346835634272</v>
      </c>
      <c r="U120" s="7">
        <f t="shared" ref="U120:AB120" si="214">SQRT((IF($B$4, 9.807, 32.174)*U117)/(ABS(TAN(RADIANS(U121))-TAN(RADIANS(U119)))))/COS(RADIANS(U121))</f>
        <v>9.5489346835634272</v>
      </c>
      <c r="V120" s="7">
        <f t="shared" si="214"/>
        <v>9.5489346835634272</v>
      </c>
      <c r="W120" s="7">
        <f t="shared" si="214"/>
        <v>9.5489346835634272</v>
      </c>
      <c r="X120" s="7">
        <f t="shared" si="214"/>
        <v>9.5489346835634272</v>
      </c>
      <c r="Y120" s="7">
        <f t="shared" si="214"/>
        <v>9.5489346835634272</v>
      </c>
      <c r="Z120" s="7">
        <f t="shared" si="214"/>
        <v>9.5489346835634272</v>
      </c>
      <c r="AA120" s="7">
        <f t="shared" si="214"/>
        <v>9.5489346835634272</v>
      </c>
      <c r="AB120" s="7">
        <f t="shared" si="214"/>
        <v>9.5489346835634272</v>
      </c>
      <c r="AC120" s="7">
        <f>SQRT((IF($B$4, 9.807, 32.174)*AC117)/(ABS(TAN(RADIANS(AC121))-TAN(RADIANS(AC119)))))/COS(RADIANS(AC121))</f>
        <v>9.5489346835634272</v>
      </c>
      <c r="AD120" s="7">
        <f t="shared" ref="AD120:AK120" si="215">SQRT((IF($B$4, 9.807, 32.174)*AD117)/(ABS(TAN(RADIANS(AD121))-TAN(RADIANS(AD119)))))/COS(RADIANS(AD121))</f>
        <v>9.5489346835634272</v>
      </c>
      <c r="AE120" s="7">
        <f t="shared" si="215"/>
        <v>9.5489346835634272</v>
      </c>
      <c r="AF120" s="7">
        <f t="shared" si="215"/>
        <v>9.5489346835634272</v>
      </c>
      <c r="AG120" s="7">
        <f t="shared" si="215"/>
        <v>9.5489346835634272</v>
      </c>
      <c r="AH120" s="7">
        <f t="shared" si="215"/>
        <v>9.5489346835634272</v>
      </c>
      <c r="AI120" s="7">
        <f t="shared" si="215"/>
        <v>9.5489346835634272</v>
      </c>
      <c r="AJ120" s="7">
        <f t="shared" si="215"/>
        <v>9.5489346835634272</v>
      </c>
      <c r="AK120" s="7">
        <f t="shared" si="215"/>
        <v>9.5489346835634272</v>
      </c>
      <c r="AL120" s="7">
        <f>SQRT((IF($B$4, 9.807, 32.174)*AL117)/(ABS(TAN(RADIANS(AL121))-TAN(RADIANS(AL119)))))/COS(RADIANS(AL121))</f>
        <v>9.5489346835634272</v>
      </c>
      <c r="AM120" s="7">
        <f t="shared" ref="AM120:AT120" si="216">SQRT((IF($B$4, 9.807, 32.174)*AM117)/(ABS(TAN(RADIANS(AM121))-TAN(RADIANS(AM119)))))/COS(RADIANS(AM121))</f>
        <v>9.5489346835634272</v>
      </c>
      <c r="AN120" s="7">
        <f t="shared" si="216"/>
        <v>9.5489346835634272</v>
      </c>
      <c r="AO120" s="7">
        <f t="shared" si="216"/>
        <v>9.5489346835634272</v>
      </c>
      <c r="AP120" s="7">
        <f t="shared" si="216"/>
        <v>9.5489346835634272</v>
      </c>
      <c r="AQ120" s="7">
        <f t="shared" si="216"/>
        <v>9.5489346835634272</v>
      </c>
      <c r="AR120" s="7">
        <f t="shared" si="216"/>
        <v>9.5489346835634272</v>
      </c>
      <c r="AS120" s="7">
        <f t="shared" si="216"/>
        <v>9.5489346835634272</v>
      </c>
      <c r="AT120" s="7">
        <f t="shared" si="216"/>
        <v>9.5489346835634272</v>
      </c>
    </row>
    <row r="121" spans="20:46" s="3" customFormat="1" x14ac:dyDescent="0.25">
      <c r="T121" s="8">
        <f>DEGREES(ATAN(2*(T118-$T$5)/T117-TAN(RADIANS(T119))))</f>
        <v>82.759695716411017</v>
      </c>
      <c r="U121" s="8">
        <f t="shared" ref="U121:AB121" si="217">DEGREES(ATAN(2*(U118-$T$5)/U117-TAN(RADIANS(U119))))</f>
        <v>82.759695716411017</v>
      </c>
      <c r="V121" s="8">
        <f t="shared" si="217"/>
        <v>82.759695716411017</v>
      </c>
      <c r="W121" s="8">
        <f t="shared" si="217"/>
        <v>82.759695716411017</v>
      </c>
      <c r="X121" s="8">
        <f t="shared" si="217"/>
        <v>82.759695716411017</v>
      </c>
      <c r="Y121" s="8">
        <f t="shared" si="217"/>
        <v>82.759695716411017</v>
      </c>
      <c r="Z121" s="8">
        <f t="shared" si="217"/>
        <v>82.759695716411017</v>
      </c>
      <c r="AA121" s="8">
        <f t="shared" si="217"/>
        <v>82.759695716411017</v>
      </c>
      <c r="AB121" s="8">
        <f t="shared" si="217"/>
        <v>82.759695716411017</v>
      </c>
      <c r="AC121" s="8">
        <f>DEGREES(ATAN(2*(AC118-$T$5)/AC117-TAN(RADIANS(AC119))))</f>
        <v>82.759695716411017</v>
      </c>
      <c r="AD121" s="8">
        <f t="shared" ref="AD121:AK121" si="218">DEGREES(ATAN(2*(AD118-$T$5)/AD117-TAN(RADIANS(AD119))))</f>
        <v>82.759695716411017</v>
      </c>
      <c r="AE121" s="8">
        <f t="shared" si="218"/>
        <v>82.759695716411017</v>
      </c>
      <c r="AF121" s="8">
        <f t="shared" si="218"/>
        <v>82.759695716411017</v>
      </c>
      <c r="AG121" s="8">
        <f t="shared" si="218"/>
        <v>82.759695716411017</v>
      </c>
      <c r="AH121" s="8">
        <f t="shared" si="218"/>
        <v>82.759695716411017</v>
      </c>
      <c r="AI121" s="8">
        <f t="shared" si="218"/>
        <v>82.759695716411017</v>
      </c>
      <c r="AJ121" s="8">
        <f t="shared" si="218"/>
        <v>82.759695716411017</v>
      </c>
      <c r="AK121" s="8">
        <f t="shared" si="218"/>
        <v>82.759695716411017</v>
      </c>
      <c r="AL121" s="8">
        <f>DEGREES(ATAN(2*(AL118-$T$5)/AL117-TAN(RADIANS(AL119))))</f>
        <v>82.759695716411017</v>
      </c>
      <c r="AM121" s="8">
        <f t="shared" ref="AM121:AT121" si="219">DEGREES(ATAN(2*(AM118-$T$5)/AM117-TAN(RADIANS(AM119))))</f>
        <v>82.759695716411017</v>
      </c>
      <c r="AN121" s="8">
        <f t="shared" si="219"/>
        <v>82.759695716411017</v>
      </c>
      <c r="AO121" s="8">
        <f t="shared" si="219"/>
        <v>82.759695716411017</v>
      </c>
      <c r="AP121" s="8">
        <f t="shared" si="219"/>
        <v>82.759695716411017</v>
      </c>
      <c r="AQ121" s="8">
        <f t="shared" si="219"/>
        <v>82.759695716411017</v>
      </c>
      <c r="AR121" s="8">
        <f t="shared" si="219"/>
        <v>82.759695716411017</v>
      </c>
      <c r="AS121" s="8">
        <f t="shared" si="219"/>
        <v>82.759695716411017</v>
      </c>
      <c r="AT121" s="8">
        <f t="shared" si="219"/>
        <v>82.759695716411017</v>
      </c>
    </row>
  </sheetData>
  <sheetProtection sheet="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6" priority="1" operator="lessThan">
      <formula>0</formula>
    </cfRule>
    <cfRule type="expression" dxfId="5"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1]!Projectile_Metric">
                <anchor moveWithCells="1">
                  <from>
                    <xdr:col>1</xdr:col>
                    <xdr:colOff>0</xdr:colOff>
                    <xdr:row>2</xdr:row>
                    <xdr:rowOff>180975</xdr:rowOff>
                  </from>
                  <to>
                    <xdr:col>1</xdr:col>
                    <xdr:colOff>209550</xdr:colOff>
                    <xdr:row>3</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´ÖÓÎÉÇØÍÐÉ</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2019-10-28T19:30:42Z</dcterms:created>
  <dcterms:modified xsi:type="dcterms:W3CDTF">2019-10-28T19:31:52Z</dcterms:modified>
</cp:coreProperties>
</file>