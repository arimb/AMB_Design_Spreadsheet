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5" yWindow="-15" windowWidth="9600" windowHeight="12000" tabRatio="801" activeTab="1"/>
  </bookViews>
  <sheets>
    <sheet name="README" sheetId="15" r:id="rId1"/>
    <sheet name="MechanismRatio" sheetId="17" r:id="rId2"/>
    <sheet name="Leadscrew" sheetId="32" r:id="rId3"/>
    <sheet name="Drivetrain" sheetId="14" r:id="rId4"/>
    <sheet name="SprintDistance" sheetId="28" r:id="rId5"/>
    <sheet name="BeamBend" sheetId="34" r:id="rId6"/>
    <sheet name="Projectile" sheetId="25" r:id="rId7"/>
    <sheet name="ChainBelt" sheetId="18" r:id="rId8"/>
    <sheet name="Gears" sheetId="3" r:id="rId9"/>
    <sheet name="Pneumatics" sheetId="29" r:id="rId10"/>
    <sheet name="PneuLinkage" sheetId="31" r:id="rId11"/>
    <sheet name="UsefulValues" sheetId="5" r:id="rId12"/>
  </sheets>
  <functionGroups builtInGroupCount="17"/>
  <externalReferences>
    <externalReference r:id="rId13"/>
  </externalReferences>
  <definedNames>
    <definedName name="BeltChain">UsefulValues!$B$5:$B$8</definedName>
    <definedName name="Motors" localSheetId="9">[1]UsefulValues!$H$4:$H$24</definedName>
    <definedName name="Motors">UsefulValues!$H$4:$H$24</definedName>
  </definedNames>
  <calcPr calcId="14562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1" i="32" l="1"/>
  <c r="P11" i="17"/>
  <c r="P5" i="17"/>
  <c r="P10" i="17" s="1"/>
  <c r="O5" i="17"/>
  <c r="O12" i="17" s="1"/>
  <c r="N5" i="17"/>
  <c r="N12" i="17" s="1"/>
  <c r="M5" i="17"/>
  <c r="M7" i="17"/>
  <c r="M12" i="17" s="1"/>
  <c r="E27" i="17"/>
  <c r="L9" i="17"/>
  <c r="L5" i="17"/>
  <c r="L12" i="17" s="1"/>
  <c r="O6" i="17" l="1"/>
  <c r="O7" i="17" s="1"/>
  <c r="O9" i="17" s="1"/>
  <c r="O10" i="17"/>
  <c r="P6" i="17"/>
  <c r="N6" i="17"/>
  <c r="N11" i="17"/>
  <c r="M10" i="17"/>
  <c r="M6" i="17"/>
  <c r="M8" i="17" s="1"/>
  <c r="M11" i="17"/>
  <c r="L10" i="17"/>
  <c r="L6" i="17"/>
  <c r="L8" i="17" s="1"/>
  <c r="L11" i="17"/>
  <c r="E8" i="34"/>
  <c r="H8" i="34"/>
  <c r="N6" i="34"/>
  <c r="N7" i="34"/>
  <c r="K10" i="34"/>
  <c r="K6" i="34"/>
  <c r="H7" i="34"/>
  <c r="H10" i="34"/>
  <c r="H6" i="34"/>
  <c r="E10" i="34"/>
  <c r="C17" i="34"/>
  <c r="C16" i="34"/>
  <c r="E6" i="34"/>
  <c r="E7" i="34"/>
  <c r="C14" i="34"/>
  <c r="C15" i="34"/>
  <c r="B8" i="34"/>
  <c r="B10" i="34"/>
  <c r="B9" i="34"/>
  <c r="O8" i="17" l="1"/>
  <c r="P8" i="17"/>
  <c r="P7" i="17"/>
  <c r="P9" i="17" s="1"/>
  <c r="N7" i="17"/>
  <c r="N9" i="17" s="1"/>
  <c r="N8" i="17"/>
  <c r="O10" i="34"/>
  <c r="F10" i="34"/>
  <c r="I10" i="34"/>
  <c r="L10" i="34"/>
  <c r="D8" i="17" l="1"/>
  <c r="D7" i="17"/>
  <c r="D6" i="17"/>
  <c r="D5" i="17"/>
  <c r="D8" i="28"/>
  <c r="D7" i="28"/>
  <c r="D6" i="28"/>
  <c r="D5" i="28"/>
  <c r="D8" i="14"/>
  <c r="D7" i="14"/>
  <c r="D6" i="14"/>
  <c r="D5" i="14"/>
  <c r="M22" i="5"/>
  <c r="G17" i="32" l="1"/>
  <c r="F17" i="32"/>
  <c r="H16" i="32"/>
  <c r="D11" i="32"/>
  <c r="F10" i="32"/>
  <c r="F9" i="32"/>
  <c r="F8" i="32"/>
  <c r="B7" i="32"/>
  <c r="D6" i="32"/>
  <c r="I8" i="32" s="1"/>
  <c r="I9" i="32" s="1"/>
  <c r="I12" i="32" s="1"/>
  <c r="B6" i="32"/>
  <c r="G5" i="32"/>
  <c r="H8" i="32" l="1"/>
  <c r="H10" i="32" s="1"/>
  <c r="H13" i="32" s="1"/>
  <c r="H12" i="32"/>
  <c r="I13" i="32"/>
  <c r="G9" i="32"/>
  <c r="G12" i="32" s="1"/>
  <c r="H11" i="32"/>
  <c r="G4" i="32"/>
  <c r="G10" i="32"/>
  <c r="H13" i="31"/>
  <c r="H12" i="31"/>
  <c r="AD154" i="29"/>
  <c r="AC154" i="29"/>
  <c r="AB154" i="29"/>
  <c r="AA154" i="29"/>
  <c r="Z154" i="29"/>
  <c r="Y154" i="29"/>
  <c r="X154" i="29"/>
  <c r="W154" i="29"/>
  <c r="AD153" i="29"/>
  <c r="AC153" i="29"/>
  <c r="AB153" i="29"/>
  <c r="AA153" i="29"/>
  <c r="Z153" i="29"/>
  <c r="Y153" i="29"/>
  <c r="X153" i="29"/>
  <c r="W153" i="29"/>
  <c r="AD152" i="29"/>
  <c r="AC152" i="29"/>
  <c r="AB152" i="29"/>
  <c r="AA152" i="29"/>
  <c r="Z152" i="29"/>
  <c r="Y152" i="29"/>
  <c r="X152" i="29"/>
  <c r="W152" i="29"/>
  <c r="AD151" i="29"/>
  <c r="AC151" i="29"/>
  <c r="AB151" i="29"/>
  <c r="AA151" i="29"/>
  <c r="Z151" i="29"/>
  <c r="Y151" i="29"/>
  <c r="X151" i="29"/>
  <c r="W151" i="29"/>
  <c r="AD150" i="29"/>
  <c r="AC150" i="29"/>
  <c r="AB150" i="29"/>
  <c r="AA150" i="29"/>
  <c r="Z150" i="29"/>
  <c r="Y150" i="29"/>
  <c r="X150" i="29"/>
  <c r="W150" i="29"/>
  <c r="AD149" i="29"/>
  <c r="AC149" i="29"/>
  <c r="AB149" i="29"/>
  <c r="AA149" i="29"/>
  <c r="Z149" i="29"/>
  <c r="Y149" i="29"/>
  <c r="X149" i="29"/>
  <c r="W149" i="29"/>
  <c r="AD148" i="29"/>
  <c r="AC148" i="29"/>
  <c r="AB148" i="29"/>
  <c r="AA148" i="29"/>
  <c r="Z148" i="29"/>
  <c r="Y148" i="29"/>
  <c r="X148" i="29"/>
  <c r="W148" i="29"/>
  <c r="AD147" i="29"/>
  <c r="AC147" i="29"/>
  <c r="AB147" i="29"/>
  <c r="AA147" i="29"/>
  <c r="Z147" i="29"/>
  <c r="Y147" i="29"/>
  <c r="X147" i="29"/>
  <c r="W147" i="29"/>
  <c r="AD146" i="29"/>
  <c r="AC146" i="29"/>
  <c r="AB146" i="29"/>
  <c r="AA146" i="29"/>
  <c r="Z146" i="29"/>
  <c r="Y146" i="29"/>
  <c r="X146" i="29"/>
  <c r="W146" i="29"/>
  <c r="AD145" i="29"/>
  <c r="AC145" i="29"/>
  <c r="AB145" i="29"/>
  <c r="AA145" i="29"/>
  <c r="Z145" i="29"/>
  <c r="Y145" i="29"/>
  <c r="X145" i="29"/>
  <c r="W145" i="29"/>
  <c r="AD144" i="29"/>
  <c r="AC144" i="29"/>
  <c r="AB144" i="29"/>
  <c r="AA144" i="29"/>
  <c r="Z144" i="29"/>
  <c r="Y144" i="29"/>
  <c r="X144" i="29"/>
  <c r="W144" i="29"/>
  <c r="AD143" i="29"/>
  <c r="AC143" i="29"/>
  <c r="AB143" i="29"/>
  <c r="AA143" i="29"/>
  <c r="Z143" i="29"/>
  <c r="Y143" i="29"/>
  <c r="X143" i="29"/>
  <c r="W143" i="29"/>
  <c r="AD142" i="29"/>
  <c r="AC142" i="29"/>
  <c r="AB142" i="29"/>
  <c r="AA142" i="29"/>
  <c r="Z142" i="29"/>
  <c r="Y142" i="29"/>
  <c r="X142" i="29"/>
  <c r="W142" i="29"/>
  <c r="AD141" i="29"/>
  <c r="AC141" i="29"/>
  <c r="AB141" i="29"/>
  <c r="AA141" i="29"/>
  <c r="Z141" i="29"/>
  <c r="Y141" i="29"/>
  <c r="X141" i="29"/>
  <c r="W141" i="29"/>
  <c r="AD140" i="29"/>
  <c r="AC140" i="29"/>
  <c r="AB140" i="29"/>
  <c r="AA140" i="29"/>
  <c r="Z140" i="29"/>
  <c r="Y140" i="29"/>
  <c r="X140" i="29"/>
  <c r="W140" i="29"/>
  <c r="AD139" i="29"/>
  <c r="AC139" i="29"/>
  <c r="AB139" i="29"/>
  <c r="AA139" i="29"/>
  <c r="Z139" i="29"/>
  <c r="Y139" i="29"/>
  <c r="X139" i="29"/>
  <c r="W139" i="29"/>
  <c r="AD138" i="29"/>
  <c r="AC138" i="29"/>
  <c r="AB138" i="29"/>
  <c r="AA138" i="29"/>
  <c r="Z138" i="29"/>
  <c r="Y138" i="29"/>
  <c r="X138" i="29"/>
  <c r="W138" i="29"/>
  <c r="AD137" i="29"/>
  <c r="AC137" i="29"/>
  <c r="AB137" i="29"/>
  <c r="AA137" i="29"/>
  <c r="Z137" i="29"/>
  <c r="Y137" i="29"/>
  <c r="X137" i="29"/>
  <c r="W137" i="29"/>
  <c r="AD136" i="29"/>
  <c r="AC136" i="29"/>
  <c r="AB136" i="29"/>
  <c r="AA136" i="29"/>
  <c r="Z136" i="29"/>
  <c r="Y136" i="29"/>
  <c r="X136" i="29"/>
  <c r="W136" i="29"/>
  <c r="AD135" i="29"/>
  <c r="AC135" i="29"/>
  <c r="AB135" i="29"/>
  <c r="AA135" i="29"/>
  <c r="Z135" i="29"/>
  <c r="Y135" i="29"/>
  <c r="X135" i="29"/>
  <c r="W135" i="29"/>
  <c r="AD134" i="29"/>
  <c r="AC134" i="29"/>
  <c r="AB134" i="29"/>
  <c r="AA134" i="29"/>
  <c r="Z134" i="29"/>
  <c r="Y134" i="29"/>
  <c r="X134" i="29"/>
  <c r="W134" i="29"/>
  <c r="AD133" i="29"/>
  <c r="AC133" i="29"/>
  <c r="AB133" i="29"/>
  <c r="AA133" i="29"/>
  <c r="Z133" i="29"/>
  <c r="Y133" i="29"/>
  <c r="X133" i="29"/>
  <c r="W133" i="29"/>
  <c r="AD132" i="29"/>
  <c r="AC132" i="29"/>
  <c r="AB132" i="29"/>
  <c r="AA132" i="29"/>
  <c r="Z132" i="29"/>
  <c r="Y132" i="29"/>
  <c r="X132" i="29"/>
  <c r="W132" i="29"/>
  <c r="AD131" i="29"/>
  <c r="AC131" i="29"/>
  <c r="AB131" i="29"/>
  <c r="AA131" i="29"/>
  <c r="Z131" i="29"/>
  <c r="Y131" i="29"/>
  <c r="X131" i="29"/>
  <c r="W131" i="29"/>
  <c r="AD130" i="29"/>
  <c r="AC130" i="29"/>
  <c r="AB130" i="29"/>
  <c r="AA130" i="29"/>
  <c r="Z130" i="29"/>
  <c r="Y130" i="29"/>
  <c r="X130" i="29"/>
  <c r="W130" i="29"/>
  <c r="AD129" i="29"/>
  <c r="AC129" i="29"/>
  <c r="AB129" i="29"/>
  <c r="AA129" i="29"/>
  <c r="Z129" i="29"/>
  <c r="Y129" i="29"/>
  <c r="X129" i="29"/>
  <c r="W129" i="29"/>
  <c r="AD128" i="29"/>
  <c r="AC128" i="29"/>
  <c r="AB128" i="29"/>
  <c r="AA128" i="29"/>
  <c r="Z128" i="29"/>
  <c r="Y128" i="29"/>
  <c r="X128" i="29"/>
  <c r="W128" i="29"/>
  <c r="AD127" i="29"/>
  <c r="AC127" i="29"/>
  <c r="AB127" i="29"/>
  <c r="AA127" i="29"/>
  <c r="Z127" i="29"/>
  <c r="Y127" i="29"/>
  <c r="X127" i="29"/>
  <c r="W127" i="29"/>
  <c r="AD126" i="29"/>
  <c r="AC126" i="29"/>
  <c r="AB126" i="29"/>
  <c r="AA126" i="29"/>
  <c r="Z126" i="29"/>
  <c r="Y126" i="29"/>
  <c r="X126" i="29"/>
  <c r="W126" i="29"/>
  <c r="AD125" i="29"/>
  <c r="AC125" i="29"/>
  <c r="AB125" i="29"/>
  <c r="AA125" i="29"/>
  <c r="Z125" i="29"/>
  <c r="Y125" i="29"/>
  <c r="X125" i="29"/>
  <c r="W125" i="29"/>
  <c r="AD124" i="29"/>
  <c r="AC124" i="29"/>
  <c r="AB124" i="29"/>
  <c r="AA124" i="29"/>
  <c r="Z124" i="29"/>
  <c r="Y124" i="29"/>
  <c r="X124" i="29"/>
  <c r="W124" i="29"/>
  <c r="AD123" i="29"/>
  <c r="AC123" i="29"/>
  <c r="AB123" i="29"/>
  <c r="AA123" i="29"/>
  <c r="Z123" i="29"/>
  <c r="Y123" i="29"/>
  <c r="X123" i="29"/>
  <c r="W123" i="29"/>
  <c r="AD122" i="29"/>
  <c r="AC122" i="29"/>
  <c r="AB122" i="29"/>
  <c r="AA122" i="29"/>
  <c r="Z122" i="29"/>
  <c r="Y122" i="29"/>
  <c r="X122" i="29"/>
  <c r="W122" i="29"/>
  <c r="AD121" i="29"/>
  <c r="AC121" i="29"/>
  <c r="AB121" i="29"/>
  <c r="AA121" i="29"/>
  <c r="Z121" i="29"/>
  <c r="Y121" i="29"/>
  <c r="X121" i="29"/>
  <c r="W121" i="29"/>
  <c r="AD120" i="29"/>
  <c r="AC120" i="29"/>
  <c r="AB120" i="29"/>
  <c r="AA120" i="29"/>
  <c r="Z120" i="29"/>
  <c r="Y120" i="29"/>
  <c r="X120" i="29"/>
  <c r="W120" i="29"/>
  <c r="AD119" i="29"/>
  <c r="AC119" i="29"/>
  <c r="AB119" i="29"/>
  <c r="AA119" i="29"/>
  <c r="Z119" i="29"/>
  <c r="Y119" i="29"/>
  <c r="X119" i="29"/>
  <c r="W119" i="29"/>
  <c r="AD118" i="29"/>
  <c r="AC118" i="29"/>
  <c r="AB118" i="29"/>
  <c r="AA118" i="29"/>
  <c r="Z118" i="29"/>
  <c r="Y118" i="29"/>
  <c r="X118" i="29"/>
  <c r="W118" i="29"/>
  <c r="AD117" i="29"/>
  <c r="AC117" i="29"/>
  <c r="AB117" i="29"/>
  <c r="AA117" i="29"/>
  <c r="Z117" i="29"/>
  <c r="Y117" i="29"/>
  <c r="X117" i="29"/>
  <c r="W117" i="29"/>
  <c r="AD116" i="29"/>
  <c r="AC116" i="29"/>
  <c r="AB116" i="29"/>
  <c r="AA116" i="29"/>
  <c r="Z116" i="29"/>
  <c r="Y116" i="29"/>
  <c r="X116" i="29"/>
  <c r="W116" i="29"/>
  <c r="AD115" i="29"/>
  <c r="AC115" i="29"/>
  <c r="AB115" i="29"/>
  <c r="AA115" i="29"/>
  <c r="Z115" i="29"/>
  <c r="Y115" i="29"/>
  <c r="X115" i="29"/>
  <c r="W115" i="29"/>
  <c r="AD114" i="29"/>
  <c r="AC114" i="29"/>
  <c r="AB114" i="29"/>
  <c r="AA114" i="29"/>
  <c r="Z114" i="29"/>
  <c r="Y114" i="29"/>
  <c r="X114" i="29"/>
  <c r="W114" i="29"/>
  <c r="AD113" i="29"/>
  <c r="AC113" i="29"/>
  <c r="AB113" i="29"/>
  <c r="AA113" i="29"/>
  <c r="Z113" i="29"/>
  <c r="Y113" i="29"/>
  <c r="X113" i="29"/>
  <c r="W113" i="29"/>
  <c r="AD112" i="29"/>
  <c r="AC112" i="29"/>
  <c r="AB112" i="29"/>
  <c r="AA112" i="29"/>
  <c r="Z112" i="29"/>
  <c r="Y112" i="29"/>
  <c r="X112" i="29"/>
  <c r="W112" i="29"/>
  <c r="AD111" i="29"/>
  <c r="AC111" i="29"/>
  <c r="AB111" i="29"/>
  <c r="AA111" i="29"/>
  <c r="Z111" i="29"/>
  <c r="Y111" i="29"/>
  <c r="X111" i="29"/>
  <c r="W111" i="29"/>
  <c r="AD110" i="29"/>
  <c r="AC110" i="29"/>
  <c r="AB110" i="29"/>
  <c r="AA110" i="29"/>
  <c r="Z110" i="29"/>
  <c r="Y110" i="29"/>
  <c r="X110" i="29"/>
  <c r="W110" i="29"/>
  <c r="AD109" i="29"/>
  <c r="AC109" i="29"/>
  <c r="AB109" i="29"/>
  <c r="AA109" i="29"/>
  <c r="Z109" i="29"/>
  <c r="Y109" i="29"/>
  <c r="X109" i="29"/>
  <c r="W109" i="29"/>
  <c r="AD108" i="29"/>
  <c r="AC108" i="29"/>
  <c r="AB108" i="29"/>
  <c r="AA108" i="29"/>
  <c r="Z108" i="29"/>
  <c r="Y108" i="29"/>
  <c r="X108" i="29"/>
  <c r="W108" i="29"/>
  <c r="AD107" i="29"/>
  <c r="AC107" i="29"/>
  <c r="AB107" i="29"/>
  <c r="AA107" i="29"/>
  <c r="Z107" i="29"/>
  <c r="Y107" i="29"/>
  <c r="X107" i="29"/>
  <c r="W107" i="29"/>
  <c r="AD106" i="29"/>
  <c r="AC106" i="29"/>
  <c r="AB106" i="29"/>
  <c r="AA106" i="29"/>
  <c r="Z106" i="29"/>
  <c r="Y106" i="29"/>
  <c r="X106" i="29"/>
  <c r="W106" i="29"/>
  <c r="AD105" i="29"/>
  <c r="AC105" i="29"/>
  <c r="AB105" i="29"/>
  <c r="AA105" i="29"/>
  <c r="Z105" i="29"/>
  <c r="Y105" i="29"/>
  <c r="X105" i="29"/>
  <c r="W105" i="29"/>
  <c r="AD104" i="29"/>
  <c r="AC104" i="29"/>
  <c r="AB104" i="29"/>
  <c r="AA104" i="29"/>
  <c r="Z104" i="29"/>
  <c r="Y104" i="29"/>
  <c r="X104" i="29"/>
  <c r="W104" i="29"/>
  <c r="AD103" i="29"/>
  <c r="AC103" i="29"/>
  <c r="AB103" i="29"/>
  <c r="AA103" i="29"/>
  <c r="Z103" i="29"/>
  <c r="Y103" i="29"/>
  <c r="X103" i="29"/>
  <c r="W103" i="29"/>
  <c r="AD102" i="29"/>
  <c r="AC102" i="29"/>
  <c r="AB102" i="29"/>
  <c r="AA102" i="29"/>
  <c r="Z102" i="29"/>
  <c r="Y102" i="29"/>
  <c r="X102" i="29"/>
  <c r="W102" i="29"/>
  <c r="AD101" i="29"/>
  <c r="AC101" i="29"/>
  <c r="AB101" i="29"/>
  <c r="AA101" i="29"/>
  <c r="Z101" i="29"/>
  <c r="Y101" i="29"/>
  <c r="X101" i="29"/>
  <c r="W101" i="29"/>
  <c r="AD100" i="29"/>
  <c r="AC100" i="29"/>
  <c r="AB100" i="29"/>
  <c r="AA100" i="29"/>
  <c r="Z100" i="29"/>
  <c r="Y100" i="29"/>
  <c r="X100" i="29"/>
  <c r="W100" i="29"/>
  <c r="AD99" i="29"/>
  <c r="AC99" i="29"/>
  <c r="AB99" i="29"/>
  <c r="AA99" i="29"/>
  <c r="Z99" i="29"/>
  <c r="Y99" i="29"/>
  <c r="X99" i="29"/>
  <c r="W99" i="29"/>
  <c r="AD98" i="29"/>
  <c r="AC98" i="29"/>
  <c r="AB98" i="29"/>
  <c r="AA98" i="29"/>
  <c r="Z98" i="29"/>
  <c r="Y98" i="29"/>
  <c r="X98" i="29"/>
  <c r="W98" i="29"/>
  <c r="AD97" i="29"/>
  <c r="AC97" i="29"/>
  <c r="AB97" i="29"/>
  <c r="AA97" i="29"/>
  <c r="Z97" i="29"/>
  <c r="Y97" i="29"/>
  <c r="X97" i="29"/>
  <c r="W97" i="29"/>
  <c r="AD96" i="29"/>
  <c r="AC96" i="29"/>
  <c r="AB96" i="29"/>
  <c r="AA96" i="29"/>
  <c r="Z96" i="29"/>
  <c r="Y96" i="29"/>
  <c r="X96" i="29"/>
  <c r="W96" i="29"/>
  <c r="AD95" i="29"/>
  <c r="AC95" i="29"/>
  <c r="AB95" i="29"/>
  <c r="AA95" i="29"/>
  <c r="Z95" i="29"/>
  <c r="Y95" i="29"/>
  <c r="X95" i="29"/>
  <c r="W95" i="29"/>
  <c r="AD94" i="29"/>
  <c r="AC94" i="29"/>
  <c r="AB94" i="29"/>
  <c r="AA94" i="29"/>
  <c r="Z94" i="29"/>
  <c r="Y94" i="29"/>
  <c r="X94" i="29"/>
  <c r="W94" i="29"/>
  <c r="AD93" i="29"/>
  <c r="AC93" i="29"/>
  <c r="AB93" i="29"/>
  <c r="AA93" i="29"/>
  <c r="Z93" i="29"/>
  <c r="Y93" i="29"/>
  <c r="X93" i="29"/>
  <c r="W93" i="29"/>
  <c r="AD92" i="29"/>
  <c r="AC92" i="29"/>
  <c r="AB92" i="29"/>
  <c r="AA92" i="29"/>
  <c r="Z92" i="29"/>
  <c r="Y92" i="29"/>
  <c r="X92" i="29"/>
  <c r="W92" i="29"/>
  <c r="AD91" i="29"/>
  <c r="AC91" i="29"/>
  <c r="AB91" i="29"/>
  <c r="AA91" i="29"/>
  <c r="Z91" i="29"/>
  <c r="Y91" i="29"/>
  <c r="X91" i="29"/>
  <c r="W91" i="29"/>
  <c r="AD90" i="29"/>
  <c r="AC90" i="29"/>
  <c r="AB90" i="29"/>
  <c r="AA90" i="29"/>
  <c r="Z90" i="29"/>
  <c r="Y90" i="29"/>
  <c r="X90" i="29"/>
  <c r="W90" i="29"/>
  <c r="AD89" i="29"/>
  <c r="AC89" i="29"/>
  <c r="AB89" i="29"/>
  <c r="AA89" i="29"/>
  <c r="Z89" i="29"/>
  <c r="Y89" i="29"/>
  <c r="X89" i="29"/>
  <c r="W89" i="29"/>
  <c r="AD88" i="29"/>
  <c r="AC88" i="29"/>
  <c r="AB88" i="29"/>
  <c r="AA88" i="29"/>
  <c r="Z88" i="29"/>
  <c r="Y88" i="29"/>
  <c r="X88" i="29"/>
  <c r="W88" i="29"/>
  <c r="AD87" i="29"/>
  <c r="AC87" i="29"/>
  <c r="AB87" i="29"/>
  <c r="AA87" i="29"/>
  <c r="Z87" i="29"/>
  <c r="Y87" i="29"/>
  <c r="X87" i="29"/>
  <c r="W87" i="29"/>
  <c r="AD86" i="29"/>
  <c r="AC86" i="29"/>
  <c r="AB86" i="29"/>
  <c r="AA86" i="29"/>
  <c r="Z86" i="29"/>
  <c r="Y86" i="29"/>
  <c r="X86" i="29"/>
  <c r="W86" i="29"/>
  <c r="AD85" i="29"/>
  <c r="AC85" i="29"/>
  <c r="AB85" i="29"/>
  <c r="AA85" i="29"/>
  <c r="Z85" i="29"/>
  <c r="Y85" i="29"/>
  <c r="X85" i="29"/>
  <c r="W85" i="29"/>
  <c r="AD84" i="29"/>
  <c r="AC84" i="29"/>
  <c r="AB84" i="29"/>
  <c r="AA84" i="29"/>
  <c r="Z84" i="29"/>
  <c r="Y84" i="29"/>
  <c r="X84" i="29"/>
  <c r="W84" i="29"/>
  <c r="AD83" i="29"/>
  <c r="AC83" i="29"/>
  <c r="AB83" i="29"/>
  <c r="AA83" i="29"/>
  <c r="Z83" i="29"/>
  <c r="Y83" i="29"/>
  <c r="X83" i="29"/>
  <c r="W83" i="29"/>
  <c r="AD82" i="29"/>
  <c r="AC82" i="29"/>
  <c r="AB82" i="29"/>
  <c r="AA82" i="29"/>
  <c r="Z82" i="29"/>
  <c r="Y82" i="29"/>
  <c r="X82" i="29"/>
  <c r="W82" i="29"/>
  <c r="AD81" i="29"/>
  <c r="AC81" i="29"/>
  <c r="AB81" i="29"/>
  <c r="AA81" i="29"/>
  <c r="Z81" i="29"/>
  <c r="Y81" i="29"/>
  <c r="X81" i="29"/>
  <c r="W81" i="29"/>
  <c r="AD80" i="29"/>
  <c r="AC80" i="29"/>
  <c r="AB80" i="29"/>
  <c r="AA80" i="29"/>
  <c r="Z80" i="29"/>
  <c r="Y80" i="29"/>
  <c r="X80" i="29"/>
  <c r="W80" i="29"/>
  <c r="AD79" i="29"/>
  <c r="AC79" i="29"/>
  <c r="AB79" i="29"/>
  <c r="AA79" i="29"/>
  <c r="Z79" i="29"/>
  <c r="Y79" i="29"/>
  <c r="X79" i="29"/>
  <c r="W79" i="29"/>
  <c r="AD78" i="29"/>
  <c r="AC78" i="29"/>
  <c r="AB78" i="29"/>
  <c r="AA78" i="29"/>
  <c r="Z78" i="29"/>
  <c r="Y78" i="29"/>
  <c r="X78" i="29"/>
  <c r="W78" i="29"/>
  <c r="AD77" i="29"/>
  <c r="AC77" i="29"/>
  <c r="AB77" i="29"/>
  <c r="AA77" i="29"/>
  <c r="Z77" i="29"/>
  <c r="Y77" i="29"/>
  <c r="X77" i="29"/>
  <c r="W77" i="29"/>
  <c r="AD76" i="29"/>
  <c r="AC76" i="29"/>
  <c r="AB76" i="29"/>
  <c r="AA76" i="29"/>
  <c r="Z76" i="29"/>
  <c r="Y76" i="29"/>
  <c r="X76" i="29"/>
  <c r="W76" i="29"/>
  <c r="AD75" i="29"/>
  <c r="AC75" i="29"/>
  <c r="AB75" i="29"/>
  <c r="AA75" i="29"/>
  <c r="Z75" i="29"/>
  <c r="Y75" i="29"/>
  <c r="X75" i="29"/>
  <c r="W75" i="29"/>
  <c r="AD74" i="29"/>
  <c r="AC74" i="29"/>
  <c r="AB74" i="29"/>
  <c r="AA74" i="29"/>
  <c r="Z74" i="29"/>
  <c r="Y74" i="29"/>
  <c r="X74" i="29"/>
  <c r="W74" i="29"/>
  <c r="AD73" i="29"/>
  <c r="AC73" i="29"/>
  <c r="AB73" i="29"/>
  <c r="AA73" i="29"/>
  <c r="Z73" i="29"/>
  <c r="Y73" i="29"/>
  <c r="X73" i="29"/>
  <c r="W73" i="29"/>
  <c r="AD72" i="29"/>
  <c r="AC72" i="29"/>
  <c r="AB72" i="29"/>
  <c r="AA72" i="29"/>
  <c r="Z72" i="29"/>
  <c r="Y72" i="29"/>
  <c r="X72" i="29"/>
  <c r="W72" i="29"/>
  <c r="AD71" i="29"/>
  <c r="AC71" i="29"/>
  <c r="AB71" i="29"/>
  <c r="AA71" i="29"/>
  <c r="Z71" i="29"/>
  <c r="Y71" i="29"/>
  <c r="X71" i="29"/>
  <c r="W71" i="29"/>
  <c r="AD70" i="29"/>
  <c r="AC70" i="29"/>
  <c r="AB70" i="29"/>
  <c r="AA70" i="29"/>
  <c r="Z70" i="29"/>
  <c r="Y70" i="29"/>
  <c r="X70" i="29"/>
  <c r="W70" i="29"/>
  <c r="AD69" i="29"/>
  <c r="AC69" i="29"/>
  <c r="AB69" i="29"/>
  <c r="AA69" i="29"/>
  <c r="Z69" i="29"/>
  <c r="Y69" i="29"/>
  <c r="X69" i="29"/>
  <c r="W69" i="29"/>
  <c r="AD68" i="29"/>
  <c r="AC68" i="29"/>
  <c r="AB68" i="29"/>
  <c r="AA68" i="29"/>
  <c r="Z68" i="29"/>
  <c r="Y68" i="29"/>
  <c r="X68" i="29"/>
  <c r="W68" i="29"/>
  <c r="AD67" i="29"/>
  <c r="AC67" i="29"/>
  <c r="AB67" i="29"/>
  <c r="AA67" i="29"/>
  <c r="Z67" i="29"/>
  <c r="Y67" i="29"/>
  <c r="X67" i="29"/>
  <c r="W67" i="29"/>
  <c r="AD66" i="29"/>
  <c r="AC66" i="29"/>
  <c r="AB66" i="29"/>
  <c r="AA66" i="29"/>
  <c r="Z66" i="29"/>
  <c r="Y66" i="29"/>
  <c r="X66" i="29"/>
  <c r="W66" i="29"/>
  <c r="AD65" i="29"/>
  <c r="AC65" i="29"/>
  <c r="AB65" i="29"/>
  <c r="AA65" i="29"/>
  <c r="Z65" i="29"/>
  <c r="Y65" i="29"/>
  <c r="X65" i="29"/>
  <c r="W65" i="29"/>
  <c r="AD64" i="29"/>
  <c r="AC64" i="29"/>
  <c r="AB64" i="29"/>
  <c r="AA64" i="29"/>
  <c r="Z64" i="29"/>
  <c r="Y64" i="29"/>
  <c r="X64" i="29"/>
  <c r="W64" i="29"/>
  <c r="AD63" i="29"/>
  <c r="AC63" i="29"/>
  <c r="AB63" i="29"/>
  <c r="AA63" i="29"/>
  <c r="Z63" i="29"/>
  <c r="Y63" i="29"/>
  <c r="X63" i="29"/>
  <c r="W63" i="29"/>
  <c r="AD62" i="29"/>
  <c r="AC62" i="29"/>
  <c r="AB62" i="29"/>
  <c r="AA62" i="29"/>
  <c r="Z62" i="29"/>
  <c r="Y62" i="29"/>
  <c r="X62" i="29"/>
  <c r="W62" i="29"/>
  <c r="AD61" i="29"/>
  <c r="AC61" i="29"/>
  <c r="AB61" i="29"/>
  <c r="AA61" i="29"/>
  <c r="Z61" i="29"/>
  <c r="Y61" i="29"/>
  <c r="X61" i="29"/>
  <c r="W61" i="29"/>
  <c r="AD60" i="29"/>
  <c r="AC60" i="29"/>
  <c r="AB60" i="29"/>
  <c r="AA60" i="29"/>
  <c r="Z60" i="29"/>
  <c r="Y60" i="29"/>
  <c r="X60" i="29"/>
  <c r="W60" i="29"/>
  <c r="AD59" i="29"/>
  <c r="AC59" i="29"/>
  <c r="AB59" i="29"/>
  <c r="AA59" i="29"/>
  <c r="Z59" i="29"/>
  <c r="Y59" i="29"/>
  <c r="X59" i="29"/>
  <c r="W59" i="29"/>
  <c r="AD58" i="29"/>
  <c r="AC58" i="29"/>
  <c r="AB58" i="29"/>
  <c r="AA58" i="29"/>
  <c r="Z58" i="29"/>
  <c r="Y58" i="29"/>
  <c r="X58" i="29"/>
  <c r="W58" i="29"/>
  <c r="AD57" i="29"/>
  <c r="AC57" i="29"/>
  <c r="AB57" i="29"/>
  <c r="AA57" i="29"/>
  <c r="Z57" i="29"/>
  <c r="Y57" i="29"/>
  <c r="X57" i="29"/>
  <c r="W57" i="29"/>
  <c r="AD56" i="29"/>
  <c r="AC56" i="29"/>
  <c r="AB56" i="29"/>
  <c r="AA56" i="29"/>
  <c r="Z56" i="29"/>
  <c r="Y56" i="29"/>
  <c r="X56" i="29"/>
  <c r="W56" i="29"/>
  <c r="AD55" i="29"/>
  <c r="AC55" i="29"/>
  <c r="AB55" i="29"/>
  <c r="AA55" i="29"/>
  <c r="Z55" i="29"/>
  <c r="Y55" i="29"/>
  <c r="X55" i="29"/>
  <c r="W55" i="29"/>
  <c r="AD54" i="29"/>
  <c r="AC54" i="29"/>
  <c r="AB54" i="29"/>
  <c r="AA54" i="29"/>
  <c r="Z54" i="29"/>
  <c r="Y54" i="29"/>
  <c r="X54" i="29"/>
  <c r="W54" i="29"/>
  <c r="AD53" i="29"/>
  <c r="AC53" i="29"/>
  <c r="AB53" i="29"/>
  <c r="AA53" i="29"/>
  <c r="Z53" i="29"/>
  <c r="Y53" i="29"/>
  <c r="X53" i="29"/>
  <c r="W53" i="29"/>
  <c r="AD52" i="29"/>
  <c r="AC52" i="29"/>
  <c r="AB52" i="29"/>
  <c r="AA52" i="29"/>
  <c r="Z52" i="29"/>
  <c r="Y52" i="29"/>
  <c r="X52" i="29"/>
  <c r="W52" i="29"/>
  <c r="AD51" i="29"/>
  <c r="AC51" i="29"/>
  <c r="AB51" i="29"/>
  <c r="AA51" i="29"/>
  <c r="Z51" i="29"/>
  <c r="Y51" i="29"/>
  <c r="X51" i="29"/>
  <c r="W51" i="29"/>
  <c r="AD50" i="29"/>
  <c r="AC50" i="29"/>
  <c r="AB50" i="29"/>
  <c r="AA50" i="29"/>
  <c r="Z50" i="29"/>
  <c r="Y50" i="29"/>
  <c r="X50" i="29"/>
  <c r="W50" i="29"/>
  <c r="AD49" i="29"/>
  <c r="AC49" i="29"/>
  <c r="AB49" i="29"/>
  <c r="AA49" i="29"/>
  <c r="Z49" i="29"/>
  <c r="Y49" i="29"/>
  <c r="X49" i="29"/>
  <c r="W49" i="29"/>
  <c r="AD48" i="29"/>
  <c r="AC48" i="29"/>
  <c r="AB48" i="29"/>
  <c r="AA48" i="29"/>
  <c r="Z48" i="29"/>
  <c r="Y48" i="29"/>
  <c r="X48" i="29"/>
  <c r="W48" i="29"/>
  <c r="AD47" i="29"/>
  <c r="AC47" i="29"/>
  <c r="AB47" i="29"/>
  <c r="AA47" i="29"/>
  <c r="Z47" i="29"/>
  <c r="Y47" i="29"/>
  <c r="X47" i="29"/>
  <c r="W47" i="29"/>
  <c r="AD46" i="29"/>
  <c r="AC46" i="29"/>
  <c r="AB46" i="29"/>
  <c r="AA46" i="29"/>
  <c r="Z46" i="29"/>
  <c r="Y46" i="29"/>
  <c r="X46" i="29"/>
  <c r="W46" i="29"/>
  <c r="AD45" i="29"/>
  <c r="AC45" i="29"/>
  <c r="AB45" i="29"/>
  <c r="AA45" i="29"/>
  <c r="Z45" i="29"/>
  <c r="Y45" i="29"/>
  <c r="X45" i="29"/>
  <c r="W45" i="29"/>
  <c r="AD44" i="29"/>
  <c r="AC44" i="29"/>
  <c r="AB44" i="29"/>
  <c r="AA44" i="29"/>
  <c r="Z44" i="29"/>
  <c r="Y44" i="29"/>
  <c r="X44" i="29"/>
  <c r="W44" i="29"/>
  <c r="AD43" i="29"/>
  <c r="AC43" i="29"/>
  <c r="AB43" i="29"/>
  <c r="AA43" i="29"/>
  <c r="Z43" i="29"/>
  <c r="Y43" i="29"/>
  <c r="X43" i="29"/>
  <c r="W43" i="29"/>
  <c r="AD42" i="29"/>
  <c r="AC42" i="29"/>
  <c r="AB42" i="29"/>
  <c r="AA42" i="29"/>
  <c r="Z42" i="29"/>
  <c r="Y42" i="29"/>
  <c r="X42" i="29"/>
  <c r="W42" i="29"/>
  <c r="AD41" i="29"/>
  <c r="AC41" i="29"/>
  <c r="AB41" i="29"/>
  <c r="AA41" i="29"/>
  <c r="Z41" i="29"/>
  <c r="Y41" i="29"/>
  <c r="X41" i="29"/>
  <c r="W41" i="29"/>
  <c r="AD40" i="29"/>
  <c r="AC40" i="29"/>
  <c r="AB40" i="29"/>
  <c r="AA40" i="29"/>
  <c r="Z40" i="29"/>
  <c r="Y40" i="29"/>
  <c r="X40" i="29"/>
  <c r="W40" i="29"/>
  <c r="AD39" i="29"/>
  <c r="AC39" i="29"/>
  <c r="AB39" i="29"/>
  <c r="AA39" i="29"/>
  <c r="Z39" i="29"/>
  <c r="Y39" i="29"/>
  <c r="X39" i="29"/>
  <c r="W39" i="29"/>
  <c r="AD38" i="29"/>
  <c r="AC38" i="29"/>
  <c r="AB38" i="29"/>
  <c r="AA38" i="29"/>
  <c r="Z38" i="29"/>
  <c r="Y38" i="29"/>
  <c r="X38" i="29"/>
  <c r="W38" i="29"/>
  <c r="AD37" i="29"/>
  <c r="AC37" i="29"/>
  <c r="AB37" i="29"/>
  <c r="AA37" i="29"/>
  <c r="Z37" i="29"/>
  <c r="Y37" i="29"/>
  <c r="X37" i="29"/>
  <c r="W37" i="29"/>
  <c r="AD36" i="29"/>
  <c r="AC36" i="29"/>
  <c r="AB36" i="29"/>
  <c r="AA36" i="29"/>
  <c r="Z36" i="29"/>
  <c r="Y36" i="29"/>
  <c r="X36" i="29"/>
  <c r="W36" i="29"/>
  <c r="AD35" i="29"/>
  <c r="AC35" i="29"/>
  <c r="AB35" i="29"/>
  <c r="AA35" i="29"/>
  <c r="Z35" i="29"/>
  <c r="Y35" i="29"/>
  <c r="X35" i="29"/>
  <c r="W35" i="29"/>
  <c r="AD34" i="29"/>
  <c r="AC34" i="29"/>
  <c r="AB34" i="29"/>
  <c r="AA34" i="29"/>
  <c r="Z34" i="29"/>
  <c r="Y34" i="29"/>
  <c r="X34" i="29"/>
  <c r="W34" i="29"/>
  <c r="AD33" i="29"/>
  <c r="AC33" i="29"/>
  <c r="AB33" i="29"/>
  <c r="AA33" i="29"/>
  <c r="Z33" i="29"/>
  <c r="Y33" i="29"/>
  <c r="X33" i="29"/>
  <c r="W33" i="29"/>
  <c r="AD32" i="29"/>
  <c r="AC32" i="29"/>
  <c r="AB32" i="29"/>
  <c r="AA32" i="29"/>
  <c r="Z32" i="29"/>
  <c r="Y32" i="29"/>
  <c r="X32" i="29"/>
  <c r="W32" i="29"/>
  <c r="AD31" i="29"/>
  <c r="AC31" i="29"/>
  <c r="AB31" i="29"/>
  <c r="AA31" i="29"/>
  <c r="Z31" i="29"/>
  <c r="Y31" i="29"/>
  <c r="X31" i="29"/>
  <c r="W31" i="29"/>
  <c r="AD30" i="29"/>
  <c r="AC30" i="29"/>
  <c r="AB30" i="29"/>
  <c r="AA30" i="29"/>
  <c r="Z30" i="29"/>
  <c r="Y30" i="29"/>
  <c r="X30" i="29"/>
  <c r="W30" i="29"/>
  <c r="AD29" i="29"/>
  <c r="AC29" i="29"/>
  <c r="AB29" i="29"/>
  <c r="AA29" i="29"/>
  <c r="Z29" i="29"/>
  <c r="Y29" i="29"/>
  <c r="X29" i="29"/>
  <c r="W29" i="29"/>
  <c r="AD28" i="29"/>
  <c r="AC28" i="29"/>
  <c r="AB28" i="29"/>
  <c r="AA28" i="29"/>
  <c r="Z28" i="29"/>
  <c r="Y28" i="29"/>
  <c r="X28" i="29"/>
  <c r="W28" i="29"/>
  <c r="AD27" i="29"/>
  <c r="AC27" i="29"/>
  <c r="AB27" i="29"/>
  <c r="AA27" i="29"/>
  <c r="Z27" i="29"/>
  <c r="Y27" i="29"/>
  <c r="X27" i="29"/>
  <c r="W27" i="29"/>
  <c r="AD26" i="29"/>
  <c r="AC26" i="29"/>
  <c r="AB26" i="29"/>
  <c r="AA26" i="29"/>
  <c r="Z26" i="29"/>
  <c r="Y26" i="29"/>
  <c r="X26" i="29"/>
  <c r="W26" i="29"/>
  <c r="AD25" i="29"/>
  <c r="AC25" i="29"/>
  <c r="AB25" i="29"/>
  <c r="AA25" i="29"/>
  <c r="Z25" i="29"/>
  <c r="Y25" i="29"/>
  <c r="X25" i="29"/>
  <c r="W25" i="29"/>
  <c r="AD24" i="29"/>
  <c r="AC24" i="29"/>
  <c r="AB24" i="29"/>
  <c r="AA24" i="29"/>
  <c r="Z24" i="29"/>
  <c r="Y24" i="29"/>
  <c r="X24" i="29"/>
  <c r="W24" i="29"/>
  <c r="AD23" i="29"/>
  <c r="AC23" i="29"/>
  <c r="AB23" i="29"/>
  <c r="AA23" i="29"/>
  <c r="Z23" i="29"/>
  <c r="Y23" i="29"/>
  <c r="X23" i="29"/>
  <c r="W23" i="29"/>
  <c r="AD22" i="29"/>
  <c r="AC22" i="29"/>
  <c r="AB22" i="29"/>
  <c r="AA22" i="29"/>
  <c r="Z22" i="29"/>
  <c r="Y22" i="29"/>
  <c r="X22" i="29"/>
  <c r="W22" i="29"/>
  <c r="AD21" i="29"/>
  <c r="AC21" i="29"/>
  <c r="AB21" i="29"/>
  <c r="AA21" i="29"/>
  <c r="Z21" i="29"/>
  <c r="Y21" i="29"/>
  <c r="X21" i="29"/>
  <c r="W21" i="29"/>
  <c r="AD20" i="29"/>
  <c r="AC20" i="29"/>
  <c r="AB20" i="29"/>
  <c r="AA20" i="29"/>
  <c r="Z20" i="29"/>
  <c r="Y20" i="29"/>
  <c r="X20" i="29"/>
  <c r="W20" i="29"/>
  <c r="AD19" i="29"/>
  <c r="AC19" i="29"/>
  <c r="AB19" i="29"/>
  <c r="AA19" i="29"/>
  <c r="Z19" i="29"/>
  <c r="Y19" i="29"/>
  <c r="X19" i="29"/>
  <c r="W19" i="29"/>
  <c r="AD18" i="29"/>
  <c r="AC18" i="29"/>
  <c r="AB18" i="29"/>
  <c r="AA18" i="29"/>
  <c r="Z18" i="29"/>
  <c r="Y18" i="29"/>
  <c r="X18" i="29"/>
  <c r="W18" i="29"/>
  <c r="AD17" i="29"/>
  <c r="AC17" i="29"/>
  <c r="AB17" i="29"/>
  <c r="AA17" i="29"/>
  <c r="Z17" i="29"/>
  <c r="Y17" i="29"/>
  <c r="X17" i="29"/>
  <c r="W17" i="29"/>
  <c r="AD16" i="29"/>
  <c r="AC16" i="29"/>
  <c r="AB16" i="29"/>
  <c r="AA16" i="29"/>
  <c r="Z16" i="29"/>
  <c r="Y16" i="29"/>
  <c r="X16" i="29"/>
  <c r="W16" i="29"/>
  <c r="AD15" i="29"/>
  <c r="AC15" i="29"/>
  <c r="AB15" i="29"/>
  <c r="AA15" i="29"/>
  <c r="Z15" i="29"/>
  <c r="Y15" i="29"/>
  <c r="X15" i="29"/>
  <c r="W15" i="29"/>
  <c r="AD14" i="29"/>
  <c r="AC14" i="29"/>
  <c r="AB14" i="29"/>
  <c r="AA14" i="29"/>
  <c r="Z14" i="29"/>
  <c r="Y14" i="29"/>
  <c r="X14" i="29"/>
  <c r="W14" i="29"/>
  <c r="AD13" i="29"/>
  <c r="AC13" i="29"/>
  <c r="AB13" i="29"/>
  <c r="AA13" i="29"/>
  <c r="Z13" i="29"/>
  <c r="Y13" i="29"/>
  <c r="X13" i="29"/>
  <c r="W13" i="29"/>
  <c r="AD12" i="29"/>
  <c r="AC12" i="29"/>
  <c r="AB12" i="29"/>
  <c r="AA12" i="29"/>
  <c r="Z12" i="29"/>
  <c r="Y12" i="29"/>
  <c r="X12" i="29"/>
  <c r="W12" i="29"/>
  <c r="AD11" i="29"/>
  <c r="AC11" i="29"/>
  <c r="AB11" i="29"/>
  <c r="AA11" i="29"/>
  <c r="Z11" i="29"/>
  <c r="Y11" i="29"/>
  <c r="X11" i="29"/>
  <c r="W11" i="29"/>
  <c r="AD10" i="29"/>
  <c r="AC10" i="29"/>
  <c r="AB10" i="29"/>
  <c r="AA10" i="29"/>
  <c r="Z10" i="29"/>
  <c r="Y10" i="29"/>
  <c r="X10" i="29"/>
  <c r="W10" i="29"/>
  <c r="AD9" i="29"/>
  <c r="AC9" i="29"/>
  <c r="AB9" i="29"/>
  <c r="AA9" i="29"/>
  <c r="Z9" i="29"/>
  <c r="Y9" i="29"/>
  <c r="X9" i="29"/>
  <c r="W9" i="29"/>
  <c r="AD8" i="29"/>
  <c r="AC8" i="29"/>
  <c r="AB8" i="29"/>
  <c r="AA8" i="29"/>
  <c r="Z8" i="29"/>
  <c r="Y8" i="29"/>
  <c r="X8" i="29"/>
  <c r="W8" i="29"/>
  <c r="AD7" i="29"/>
  <c r="AC7" i="29"/>
  <c r="AB7" i="29"/>
  <c r="AA7" i="29"/>
  <c r="Z7" i="29"/>
  <c r="Y7" i="29"/>
  <c r="X7" i="29"/>
  <c r="W7" i="29"/>
  <c r="AD6" i="29"/>
  <c r="AC6" i="29"/>
  <c r="AB6" i="29"/>
  <c r="AA6" i="29"/>
  <c r="Z6" i="29"/>
  <c r="Y6" i="29"/>
  <c r="X6" i="29"/>
  <c r="W6" i="29"/>
  <c r="AD5" i="29"/>
  <c r="AC5" i="29"/>
  <c r="AB5" i="29"/>
  <c r="AA5" i="29"/>
  <c r="Z5" i="29"/>
  <c r="Y5" i="29"/>
  <c r="X5" i="29"/>
  <c r="W5" i="29"/>
  <c r="AD4" i="29"/>
  <c r="AC4" i="29"/>
  <c r="AB4" i="29"/>
  <c r="AA4" i="29"/>
  <c r="Z4" i="29"/>
  <c r="Y4" i="29"/>
  <c r="X4" i="29"/>
  <c r="W4" i="29"/>
  <c r="H8" i="31"/>
  <c r="H10" i="31"/>
  <c r="O10" i="31" s="1"/>
  <c r="H9" i="31"/>
  <c r="O9" i="31" s="1"/>
  <c r="D10" i="31"/>
  <c r="C13" i="31" s="1"/>
  <c r="G13" i="32" l="1"/>
  <c r="G11" i="32"/>
  <c r="P10" i="31"/>
  <c r="C12" i="31"/>
  <c r="P9" i="31" l="1"/>
  <c r="G12" i="31"/>
  <c r="O8" i="31" s="1"/>
  <c r="G13" i="31" l="1"/>
  <c r="P8" i="31" s="1"/>
  <c r="P12" i="31" s="1"/>
  <c r="O12" i="31" l="1"/>
  <c r="J11" i="29"/>
  <c r="I11" i="29"/>
  <c r="H11" i="29"/>
  <c r="G11" i="29"/>
  <c r="F11" i="29"/>
  <c r="E11" i="29"/>
  <c r="D11" i="29"/>
  <c r="C11" i="29"/>
  <c r="R9" i="29"/>
  <c r="Q9" i="29"/>
  <c r="P9" i="29"/>
  <c r="O9" i="29"/>
  <c r="J9" i="29"/>
  <c r="I9" i="29"/>
  <c r="H9" i="29"/>
  <c r="G9" i="29"/>
  <c r="F9" i="29"/>
  <c r="E9" i="29"/>
  <c r="D9" i="29"/>
  <c r="C9" i="29"/>
  <c r="M7" i="29"/>
  <c r="V4" i="29"/>
  <c r="U4" i="29" l="1"/>
  <c r="V5" i="29" s="1"/>
  <c r="U5" i="29" s="1"/>
  <c r="V6" i="29" l="1"/>
  <c r="U6" i="29" s="1"/>
  <c r="V7" i="29" l="1"/>
  <c r="U7" i="29" s="1"/>
  <c r="V8" i="29" l="1"/>
  <c r="U8" i="29" s="1"/>
  <c r="V9" i="29" l="1"/>
  <c r="U9" i="29" s="1"/>
  <c r="V10" i="29" l="1"/>
  <c r="U10" i="29" s="1"/>
  <c r="V11" i="29" l="1"/>
  <c r="U11" i="29" s="1"/>
  <c r="V12" i="29" l="1"/>
  <c r="U12" i="29" s="1"/>
  <c r="V13" i="29" l="1"/>
  <c r="U13" i="29" s="1"/>
  <c r="V14" i="29" l="1"/>
  <c r="U14" i="29" s="1"/>
  <c r="V15" i="29" l="1"/>
  <c r="U15" i="29" s="1"/>
  <c r="V16" i="29" l="1"/>
  <c r="U16" i="29" s="1"/>
  <c r="V17" i="29" l="1"/>
  <c r="U17" i="29" s="1"/>
  <c r="V18" i="29" l="1"/>
  <c r="U18" i="29" s="1"/>
  <c r="V19" i="29" l="1"/>
  <c r="U19" i="29" s="1"/>
  <c r="V20" i="29" l="1"/>
  <c r="U20" i="29" s="1"/>
  <c r="V21" i="29" l="1"/>
  <c r="U21" i="29" s="1"/>
  <c r="V22" i="29" l="1"/>
  <c r="U22" i="29" s="1"/>
  <c r="V23" i="29" l="1"/>
  <c r="U23" i="29" s="1"/>
  <c r="V24" i="29" l="1"/>
  <c r="U24" i="29" s="1"/>
  <c r="V25" i="29" l="1"/>
  <c r="U25" i="29" s="1"/>
  <c r="V26" i="29" l="1"/>
  <c r="U26" i="29" s="1"/>
  <c r="V27" i="29" l="1"/>
  <c r="U27" i="29" s="1"/>
  <c r="V28" i="29" l="1"/>
  <c r="U28" i="29" s="1"/>
  <c r="V29" i="29" l="1"/>
  <c r="U29" i="29" s="1"/>
  <c r="V30" i="29" l="1"/>
  <c r="U30" i="29" s="1"/>
  <c r="V31" i="29" l="1"/>
  <c r="U31" i="29" s="1"/>
  <c r="V32" i="29" l="1"/>
  <c r="U32" i="29" s="1"/>
  <c r="V33" i="29" l="1"/>
  <c r="U33" i="29" s="1"/>
  <c r="V34" i="29" l="1"/>
  <c r="U34" i="29" s="1"/>
  <c r="V35" i="29" l="1"/>
  <c r="U35" i="29" s="1"/>
  <c r="V36" i="29" l="1"/>
  <c r="U36" i="29" s="1"/>
  <c r="V37" i="29" l="1"/>
  <c r="U37" i="29" s="1"/>
  <c r="V38" i="29" l="1"/>
  <c r="U38" i="29" s="1"/>
  <c r="V39" i="29" l="1"/>
  <c r="U39" i="29" s="1"/>
  <c r="V40" i="29" l="1"/>
  <c r="U40" i="29" s="1"/>
  <c r="V41" i="29" l="1"/>
  <c r="U41" i="29" s="1"/>
  <c r="V42" i="29" l="1"/>
  <c r="U42" i="29" s="1"/>
  <c r="V43" i="29" l="1"/>
  <c r="U43" i="29" s="1"/>
  <c r="V44" i="29" l="1"/>
  <c r="U44" i="29" s="1"/>
  <c r="V45" i="29" l="1"/>
  <c r="U45" i="29" s="1"/>
  <c r="V46" i="29" l="1"/>
  <c r="U46" i="29" s="1"/>
  <c r="V47" i="29" l="1"/>
  <c r="U47" i="29" s="1"/>
  <c r="V48" i="29" l="1"/>
  <c r="U48" i="29" s="1"/>
  <c r="V49" i="29" l="1"/>
  <c r="U49" i="29" s="1"/>
  <c r="V50" i="29" l="1"/>
  <c r="U50" i="29" s="1"/>
  <c r="V51" i="29" l="1"/>
  <c r="U51" i="29" s="1"/>
  <c r="V52" i="29" l="1"/>
  <c r="U52" i="29" s="1"/>
  <c r="V53" i="29" l="1"/>
  <c r="U53" i="29" s="1"/>
  <c r="V54" i="29" l="1"/>
  <c r="U54" i="29" s="1"/>
  <c r="V55" i="29" l="1"/>
  <c r="U55" i="29" s="1"/>
  <c r="V56" i="29" l="1"/>
  <c r="U56" i="29" s="1"/>
  <c r="V57" i="29" l="1"/>
  <c r="U57" i="29" s="1"/>
  <c r="V58" i="29" l="1"/>
  <c r="U58" i="29" s="1"/>
  <c r="V59" i="29" l="1"/>
  <c r="U59" i="29" s="1"/>
  <c r="V60" i="29" l="1"/>
  <c r="U60" i="29" s="1"/>
  <c r="V61" i="29" l="1"/>
  <c r="U61" i="29" s="1"/>
  <c r="V62" i="29" l="1"/>
  <c r="U62" i="29" s="1"/>
  <c r="V63" i="29" l="1"/>
  <c r="U63" i="29" s="1"/>
  <c r="V64" i="29" l="1"/>
  <c r="U64" i="29" s="1"/>
  <c r="V65" i="29" l="1"/>
  <c r="U65" i="29" s="1"/>
  <c r="V66" i="29" l="1"/>
  <c r="U66" i="29" s="1"/>
  <c r="V67" i="29" l="1"/>
  <c r="U67" i="29" s="1"/>
  <c r="V68" i="29" l="1"/>
  <c r="U68" i="29" s="1"/>
  <c r="V69" i="29" l="1"/>
  <c r="U69" i="29" s="1"/>
  <c r="V70" i="29" l="1"/>
  <c r="U70" i="29" s="1"/>
  <c r="V71" i="29" l="1"/>
  <c r="U71" i="29" s="1"/>
  <c r="V72" i="29" l="1"/>
  <c r="U72" i="29" s="1"/>
  <c r="V73" i="29" l="1"/>
  <c r="U73" i="29" s="1"/>
  <c r="V74" i="29" l="1"/>
  <c r="U74" i="29" s="1"/>
  <c r="V75" i="29" l="1"/>
  <c r="U75" i="29" s="1"/>
  <c r="V76" i="29" l="1"/>
  <c r="U76" i="29" s="1"/>
  <c r="V77" i="29" l="1"/>
  <c r="U77" i="29" s="1"/>
  <c r="V78" i="29" l="1"/>
  <c r="U78" i="29" s="1"/>
  <c r="V79" i="29" l="1"/>
  <c r="U79" i="29" s="1"/>
  <c r="V80" i="29" l="1"/>
  <c r="U80" i="29" s="1"/>
  <c r="V81" i="29" l="1"/>
  <c r="U81" i="29" s="1"/>
  <c r="V82" i="29" l="1"/>
  <c r="U82" i="29" s="1"/>
  <c r="V83" i="29" l="1"/>
  <c r="U83" i="29" s="1"/>
  <c r="V84" i="29" l="1"/>
  <c r="U84" i="29" s="1"/>
  <c r="V85" i="29" l="1"/>
  <c r="U85" i="29" s="1"/>
  <c r="V86" i="29" l="1"/>
  <c r="U86" i="29" s="1"/>
  <c r="V87" i="29" l="1"/>
  <c r="U87" i="29" s="1"/>
  <c r="V88" i="29" l="1"/>
  <c r="U88" i="29" s="1"/>
  <c r="V89" i="29" l="1"/>
  <c r="U89" i="29" s="1"/>
  <c r="V90" i="29" l="1"/>
  <c r="U90" i="29" s="1"/>
  <c r="V91" i="29" l="1"/>
  <c r="U91" i="29" s="1"/>
  <c r="V92" i="29" l="1"/>
  <c r="U92" i="29" s="1"/>
  <c r="V93" i="29" l="1"/>
  <c r="U93" i="29" s="1"/>
  <c r="V94" i="29" l="1"/>
  <c r="U94" i="29" s="1"/>
  <c r="V95" i="29" l="1"/>
  <c r="U95" i="29" s="1"/>
  <c r="V96" i="29" l="1"/>
  <c r="U96" i="29" s="1"/>
  <c r="V97" i="29" l="1"/>
  <c r="U97" i="29" s="1"/>
  <c r="V98" i="29" l="1"/>
  <c r="U98" i="29" s="1"/>
  <c r="V99" i="29" l="1"/>
  <c r="U99" i="29" s="1"/>
  <c r="V100" i="29" l="1"/>
  <c r="U100" i="29" s="1"/>
  <c r="V101" i="29" l="1"/>
  <c r="U101" i="29" s="1"/>
  <c r="V102" i="29" l="1"/>
  <c r="U102" i="29" s="1"/>
  <c r="V103" i="29" l="1"/>
  <c r="U103" i="29" s="1"/>
  <c r="V104" i="29" l="1"/>
  <c r="U104" i="29" s="1"/>
  <c r="V105" i="29" l="1"/>
  <c r="U105" i="29" s="1"/>
  <c r="V106" i="29" l="1"/>
  <c r="U106" i="29" s="1"/>
  <c r="V107" i="29" l="1"/>
  <c r="U107" i="29" s="1"/>
  <c r="V108" i="29" l="1"/>
  <c r="U108" i="29" s="1"/>
  <c r="V109" i="29" l="1"/>
  <c r="U109" i="29" s="1"/>
  <c r="V110" i="29" l="1"/>
  <c r="U110" i="29" s="1"/>
  <c r="V111" i="29" l="1"/>
  <c r="U111" i="29" s="1"/>
  <c r="V112" i="29" l="1"/>
  <c r="U112" i="29" s="1"/>
  <c r="V113" i="29" l="1"/>
  <c r="U113" i="29" s="1"/>
  <c r="V114" i="29" l="1"/>
  <c r="U114" i="29" s="1"/>
  <c r="V115" i="29" l="1"/>
  <c r="U115" i="29" s="1"/>
  <c r="V116" i="29" l="1"/>
  <c r="U116" i="29" s="1"/>
  <c r="V117" i="29" l="1"/>
  <c r="U117" i="29" s="1"/>
  <c r="V118" i="29" l="1"/>
  <c r="U118" i="29" s="1"/>
  <c r="V119" i="29" l="1"/>
  <c r="U119" i="29" s="1"/>
  <c r="V120" i="29" l="1"/>
  <c r="U120" i="29" s="1"/>
  <c r="V121" i="29" l="1"/>
  <c r="U121" i="29" s="1"/>
  <c r="V122" i="29" l="1"/>
  <c r="U122" i="29" s="1"/>
  <c r="V123" i="29" l="1"/>
  <c r="U123" i="29" s="1"/>
  <c r="V124" i="29" l="1"/>
  <c r="U124" i="29" s="1"/>
  <c r="V125" i="29" l="1"/>
  <c r="U125" i="29" s="1"/>
  <c r="V126" i="29" l="1"/>
  <c r="U126" i="29" s="1"/>
  <c r="V127" i="29" l="1"/>
  <c r="U127" i="29" s="1"/>
  <c r="V128" i="29" l="1"/>
  <c r="U128" i="29" s="1"/>
  <c r="V129" i="29" l="1"/>
  <c r="U129" i="29" s="1"/>
  <c r="V130" i="29" l="1"/>
  <c r="U130" i="29" s="1"/>
  <c r="V131" i="29" l="1"/>
  <c r="U131" i="29" s="1"/>
  <c r="V132" i="29" l="1"/>
  <c r="U132" i="29" s="1"/>
  <c r="V133" i="29" l="1"/>
  <c r="U133" i="29" s="1"/>
  <c r="V134" i="29" l="1"/>
  <c r="U134" i="29" s="1"/>
  <c r="V135" i="29" l="1"/>
  <c r="U135" i="29" s="1"/>
  <c r="V136" i="29" l="1"/>
  <c r="U136" i="29" s="1"/>
  <c r="V137" i="29" l="1"/>
  <c r="U137" i="29" s="1"/>
  <c r="V138" i="29" l="1"/>
  <c r="U138" i="29" s="1"/>
  <c r="V139" i="29" l="1"/>
  <c r="U139" i="29" s="1"/>
  <c r="V140" i="29" l="1"/>
  <c r="U140" i="29" s="1"/>
  <c r="V141" i="29" l="1"/>
  <c r="U141" i="29" s="1"/>
  <c r="V142" i="29" l="1"/>
  <c r="U142" i="29" s="1"/>
  <c r="V143" i="29" l="1"/>
  <c r="U143" i="29" s="1"/>
  <c r="V144" i="29" l="1"/>
  <c r="U144" i="29" s="1"/>
  <c r="V145" i="29" l="1"/>
  <c r="U145" i="29" s="1"/>
  <c r="V146" i="29" l="1"/>
  <c r="U146" i="29" s="1"/>
  <c r="V147" i="29" l="1"/>
  <c r="U147" i="29" s="1"/>
  <c r="V148" i="29" l="1"/>
  <c r="U148" i="29" s="1"/>
  <c r="V149" i="29" l="1"/>
  <c r="U149" i="29" s="1"/>
  <c r="V150" i="29" l="1"/>
  <c r="U150" i="29" s="1"/>
  <c r="V151" i="29" l="1"/>
  <c r="U151" i="29" s="1"/>
  <c r="V152" i="29" l="1"/>
  <c r="U152" i="29" s="1"/>
  <c r="V153" i="29" l="1"/>
  <c r="U153" i="29" s="1"/>
  <c r="V154" i="29" l="1"/>
  <c r="U154" i="29" s="1"/>
  <c r="M13" i="29" l="1"/>
  <c r="M12" i="29"/>
  <c r="F11" i="18" l="1"/>
  <c r="F8" i="18"/>
  <c r="M19" i="3" l="1"/>
  <c r="L19" i="3"/>
  <c r="J19" i="3"/>
  <c r="I19" i="3"/>
  <c r="I17" i="3"/>
  <c r="D12" i="3"/>
  <c r="D11" i="3"/>
  <c r="D13" i="3" s="1"/>
  <c r="C17" i="3"/>
  <c r="C16" i="3"/>
  <c r="C13" i="3"/>
  <c r="C12" i="3"/>
  <c r="C9" i="3"/>
  <c r="D24" i="18"/>
  <c r="D22" i="18"/>
  <c r="D21" i="18"/>
  <c r="D17" i="18"/>
  <c r="H23" i="18"/>
  <c r="H22" i="18"/>
  <c r="H21" i="18"/>
  <c r="K9" i="18"/>
  <c r="K8" i="18"/>
  <c r="K7" i="18"/>
  <c r="K6" i="18"/>
  <c r="G13" i="25" l="1"/>
  <c r="C13" i="25"/>
  <c r="G9" i="25"/>
  <c r="C9" i="25"/>
  <c r="G8" i="25"/>
  <c r="C8" i="25"/>
  <c r="G7" i="25"/>
  <c r="C7" i="25"/>
  <c r="E4" i="25"/>
  <c r="I11" i="17"/>
  <c r="G11" i="17"/>
  <c r="G9" i="17"/>
  <c r="G8" i="17"/>
  <c r="F41" i="28"/>
  <c r="F40" i="28"/>
  <c r="C40" i="28"/>
  <c r="C39" i="28"/>
  <c r="F31" i="28"/>
  <c r="C31" i="28"/>
  <c r="H25" i="14"/>
  <c r="L22" i="14"/>
  <c r="L21" i="14"/>
  <c r="K22" i="14"/>
  <c r="H16" i="14"/>
  <c r="G16" i="14"/>
  <c r="L15" i="14"/>
  <c r="L14" i="14"/>
  <c r="J8" i="14"/>
  <c r="J7" i="14"/>
  <c r="J6" i="14"/>
  <c r="J5" i="14"/>
  <c r="J4" i="14"/>
  <c r="K23" i="14"/>
  <c r="K25" i="14"/>
  <c r="K21" i="14"/>
  <c r="K20" i="14"/>
  <c r="E182" i="25"/>
  <c r="E181" i="25"/>
  <c r="E180" i="25"/>
  <c r="E179" i="25"/>
  <c r="E178" i="25"/>
  <c r="E177" i="25"/>
  <c r="E176" i="25"/>
  <c r="E175" i="25"/>
  <c r="E174" i="25"/>
  <c r="E173" i="25"/>
  <c r="E172" i="25"/>
  <c r="E171" i="25"/>
  <c r="E170" i="25"/>
  <c r="E169" i="25"/>
  <c r="E168" i="25"/>
  <c r="E167" i="25"/>
  <c r="E166" i="25"/>
  <c r="E165" i="25"/>
  <c r="E164" i="25"/>
  <c r="E163" i="25"/>
  <c r="E162" i="25"/>
  <c r="E161" i="25"/>
  <c r="E160" i="25"/>
  <c r="E159" i="25"/>
  <c r="E158" i="25"/>
  <c r="E157" i="25"/>
  <c r="E156" i="25"/>
  <c r="E155" i="25"/>
  <c r="E154" i="25"/>
  <c r="E153" i="25"/>
  <c r="E152" i="25"/>
  <c r="E151" i="25"/>
  <c r="E150" i="25"/>
  <c r="E149" i="25"/>
  <c r="E148" i="25"/>
  <c r="E147" i="25"/>
  <c r="E146" i="25"/>
  <c r="E145" i="25"/>
  <c r="E144" i="25"/>
  <c r="E143" i="25"/>
  <c r="E142" i="25"/>
  <c r="E141" i="25"/>
  <c r="E140" i="25"/>
  <c r="E139" i="25"/>
  <c r="E138" i="25"/>
  <c r="E137" i="25"/>
  <c r="E136" i="25"/>
  <c r="E135" i="25"/>
  <c r="E134" i="25"/>
  <c r="E133" i="25"/>
  <c r="E132" i="25"/>
  <c r="E131" i="25"/>
  <c r="E130" i="25"/>
  <c r="E129" i="25"/>
  <c r="E128" i="25"/>
  <c r="E127" i="25"/>
  <c r="E126" i="25"/>
  <c r="E125" i="25"/>
  <c r="E124" i="25"/>
  <c r="E123" i="25"/>
  <c r="E122" i="25"/>
  <c r="E121" i="25"/>
  <c r="E120" i="25"/>
  <c r="E119" i="25"/>
  <c r="E118" i="25"/>
  <c r="E117" i="25"/>
  <c r="E116" i="25"/>
  <c r="E115" i="25"/>
  <c r="E114" i="25"/>
  <c r="E113" i="25"/>
  <c r="E112" i="25"/>
  <c r="E111" i="25"/>
  <c r="E110" i="25"/>
  <c r="E109" i="25"/>
  <c r="E108" i="25"/>
  <c r="E107" i="25"/>
  <c r="E106" i="25"/>
  <c r="E105" i="25"/>
  <c r="E104" i="25"/>
  <c r="E103" i="25"/>
  <c r="E102" i="25"/>
  <c r="E101" i="25"/>
  <c r="E100" i="25"/>
  <c r="E99" i="25"/>
  <c r="E98" i="25"/>
  <c r="E97" i="25"/>
  <c r="E96" i="25"/>
  <c r="E95" i="25"/>
  <c r="E94" i="25"/>
  <c r="E93" i="25"/>
  <c r="E92" i="25"/>
  <c r="E91" i="25"/>
  <c r="E90" i="25"/>
  <c r="E89" i="25"/>
  <c r="E88" i="25"/>
  <c r="E87" i="25"/>
  <c r="E86" i="25"/>
  <c r="E85" i="25"/>
  <c r="E84" i="25"/>
  <c r="E83" i="25"/>
  <c r="E82" i="25"/>
  <c r="N5" i="18" l="1"/>
  <c r="M24" i="5"/>
  <c r="M23" i="5"/>
  <c r="G8" i="18" l="1"/>
  <c r="G11" i="18"/>
  <c r="I22" i="18"/>
  <c r="N14" i="18"/>
  <c r="R30" i="28" l="1"/>
  <c r="Q30" i="28"/>
  <c r="AB30" i="28"/>
  <c r="AA30" i="28"/>
  <c r="Z30" i="28"/>
  <c r="Y30" i="28"/>
  <c r="X30" i="28"/>
  <c r="W30" i="28"/>
  <c r="P30" i="28"/>
  <c r="O30" i="28"/>
  <c r="N30" i="28"/>
  <c r="M30" i="28"/>
  <c r="V29" i="28"/>
  <c r="AA29" i="28" s="1"/>
  <c r="T29" i="28"/>
  <c r="T30" i="28" l="1"/>
  <c r="AB29" i="28"/>
  <c r="T31" i="28" l="1"/>
  <c r="M9" i="5" l="1"/>
  <c r="M21" i="5"/>
  <c r="M20" i="5"/>
  <c r="M19" i="5"/>
  <c r="M18" i="5"/>
  <c r="M17" i="5"/>
  <c r="M16" i="5"/>
  <c r="M15" i="5"/>
  <c r="M14" i="5"/>
  <c r="M13" i="5"/>
  <c r="M12" i="5"/>
  <c r="M11" i="5"/>
  <c r="M10" i="5"/>
  <c r="M8" i="5"/>
  <c r="M7" i="5"/>
  <c r="M6" i="5"/>
  <c r="M5" i="5"/>
  <c r="M20" i="3"/>
  <c r="J20" i="3"/>
  <c r="R14" i="18"/>
  <c r="R15" i="18" s="1"/>
  <c r="R16" i="18" s="1"/>
  <c r="R17" i="18" s="1"/>
  <c r="R18" i="18" s="1"/>
  <c r="R19" i="18" s="1"/>
  <c r="R20" i="18" s="1"/>
  <c r="I8" i="25"/>
  <c r="H14" i="25" s="1"/>
  <c r="H5" i="17"/>
  <c r="K11" i="17"/>
  <c r="E8" i="17"/>
  <c r="E7" i="17"/>
  <c r="E5" i="17"/>
  <c r="L29" i="28"/>
  <c r="R29" i="28" s="1"/>
  <c r="J29" i="28"/>
  <c r="H23" i="14"/>
  <c r="H9" i="14"/>
  <c r="K13" i="14" s="1"/>
  <c r="E8" i="14"/>
  <c r="E7" i="14"/>
  <c r="E6" i="14"/>
  <c r="U29" i="28"/>
  <c r="U31" i="28"/>
  <c r="D38" i="28"/>
  <c r="U30" i="28"/>
  <c r="D30" i="28"/>
  <c r="K29" i="28"/>
  <c r="H12" i="17" l="1"/>
  <c r="D39" i="28"/>
  <c r="D40" i="28"/>
  <c r="D31" i="28"/>
  <c r="F83" i="25"/>
  <c r="F115" i="25"/>
  <c r="F147" i="25"/>
  <c r="F175" i="25"/>
  <c r="F104" i="25"/>
  <c r="F120" i="25"/>
  <c r="F136" i="25"/>
  <c r="F152" i="25"/>
  <c r="F168" i="25"/>
  <c r="F85" i="25"/>
  <c r="F101" i="25"/>
  <c r="F117" i="25"/>
  <c r="F133" i="25"/>
  <c r="F149" i="25"/>
  <c r="F165" i="25"/>
  <c r="F181" i="25"/>
  <c r="F111" i="25"/>
  <c r="F143" i="25"/>
  <c r="F179" i="25"/>
  <c r="F86" i="25"/>
  <c r="F102" i="25"/>
  <c r="F118" i="25"/>
  <c r="F134" i="25"/>
  <c r="F150" i="25"/>
  <c r="F166" i="25"/>
  <c r="F182" i="25"/>
  <c r="F139" i="25"/>
  <c r="F148" i="25"/>
  <c r="F180" i="25"/>
  <c r="F113" i="25"/>
  <c r="F145" i="25"/>
  <c r="F177" i="25"/>
  <c r="F135" i="25"/>
  <c r="F82" i="25"/>
  <c r="F114" i="25"/>
  <c r="F146" i="25"/>
  <c r="F178" i="25"/>
  <c r="F91" i="25"/>
  <c r="F123" i="25"/>
  <c r="F151" i="25"/>
  <c r="F84" i="25"/>
  <c r="F108" i="25"/>
  <c r="F124" i="25"/>
  <c r="F140" i="25"/>
  <c r="F156" i="25"/>
  <c r="F172" i="25"/>
  <c r="F89" i="25"/>
  <c r="F105" i="25"/>
  <c r="F121" i="25"/>
  <c r="F137" i="25"/>
  <c r="F153" i="25"/>
  <c r="F169" i="25"/>
  <c r="F87" i="25"/>
  <c r="F119" i="25"/>
  <c r="F155" i="25"/>
  <c r="F88" i="25"/>
  <c r="F90" i="25"/>
  <c r="F106" i="25"/>
  <c r="F122" i="25"/>
  <c r="F138" i="25"/>
  <c r="F154" i="25"/>
  <c r="F170" i="25"/>
  <c r="F99" i="25"/>
  <c r="F131" i="25"/>
  <c r="F159" i="25"/>
  <c r="F92" i="25"/>
  <c r="F112" i="25"/>
  <c r="F128" i="25"/>
  <c r="F144" i="25"/>
  <c r="F160" i="25"/>
  <c r="F176" i="25"/>
  <c r="F93" i="25"/>
  <c r="F109" i="25"/>
  <c r="F125" i="25"/>
  <c r="F141" i="25"/>
  <c r="F157" i="25"/>
  <c r="F173" i="25"/>
  <c r="F95" i="25"/>
  <c r="F127" i="25"/>
  <c r="F163" i="25"/>
  <c r="F96" i="25"/>
  <c r="F94" i="25"/>
  <c r="F110" i="25"/>
  <c r="F126" i="25"/>
  <c r="F142" i="25"/>
  <c r="F158" i="25"/>
  <c r="F174" i="25"/>
  <c r="F107" i="25"/>
  <c r="F167" i="25"/>
  <c r="F100" i="25"/>
  <c r="F116" i="25"/>
  <c r="F132" i="25"/>
  <c r="F164" i="25"/>
  <c r="F97" i="25"/>
  <c r="F129" i="25"/>
  <c r="F161" i="25"/>
  <c r="F103" i="25"/>
  <c r="F171" i="25"/>
  <c r="F98" i="25"/>
  <c r="F130" i="25"/>
  <c r="F162" i="25"/>
  <c r="H6" i="17"/>
  <c r="D9" i="14"/>
  <c r="K16" i="14"/>
  <c r="V31" i="28"/>
  <c r="Q29" i="28"/>
  <c r="H13" i="25"/>
  <c r="D13" i="25"/>
  <c r="D14" i="25" s="1"/>
  <c r="D9" i="28"/>
  <c r="E5" i="14"/>
  <c r="J30" i="28"/>
  <c r="O14" i="18"/>
  <c r="O5" i="18"/>
  <c r="P14" i="18"/>
  <c r="D15" i="3"/>
  <c r="P5" i="18"/>
  <c r="D9" i="17"/>
  <c r="E6" i="17"/>
  <c r="K30" i="28"/>
  <c r="H10" i="17" l="1"/>
  <c r="I5" i="17"/>
  <c r="H11" i="17"/>
  <c r="H7" i="17" s="1"/>
  <c r="H9" i="17" s="1"/>
  <c r="K5" i="17"/>
  <c r="K10" i="17" s="1"/>
  <c r="K15" i="14"/>
  <c r="K14" i="14" s="1"/>
  <c r="H8" i="17"/>
  <c r="D17" i="3"/>
  <c r="D16" i="3"/>
  <c r="Q14" i="18"/>
  <c r="N15" i="18" s="1"/>
  <c r="Q5" i="18"/>
  <c r="R5" i="18" s="1"/>
  <c r="AA31" i="28"/>
  <c r="Z31" i="28"/>
  <c r="Y31" i="28"/>
  <c r="T32" i="28"/>
  <c r="X31" i="28"/>
  <c r="W31" i="28"/>
  <c r="AB31" i="28"/>
  <c r="E9" i="14"/>
  <c r="J5" i="17"/>
  <c r="J10" i="17" s="1"/>
  <c r="E183" i="25"/>
  <c r="E9" i="17"/>
  <c r="U32" i="28"/>
  <c r="I12" i="17" l="1"/>
  <c r="I10" i="17"/>
  <c r="J12" i="17"/>
  <c r="K12" i="17"/>
  <c r="J11" i="17"/>
  <c r="S5" i="18"/>
  <c r="N6" i="18"/>
  <c r="V32" i="28"/>
  <c r="J6" i="17"/>
  <c r="K6" i="17"/>
  <c r="J31" i="28"/>
  <c r="S14" i="18"/>
  <c r="R6" i="18"/>
  <c r="R7" i="18" s="1"/>
  <c r="R8" i="18" s="1"/>
  <c r="R9" i="18" s="1"/>
  <c r="R10" i="18" s="1"/>
  <c r="R11" i="18" s="1"/>
  <c r="I6" i="17"/>
  <c r="K31" i="28"/>
  <c r="J7" i="17" l="1"/>
  <c r="J9" i="17" s="1"/>
  <c r="J8" i="17"/>
  <c r="I8" i="17"/>
  <c r="I7" i="17"/>
  <c r="I9" i="17" s="1"/>
  <c r="K8" i="17"/>
  <c r="K7" i="17"/>
  <c r="K9" i="17" s="1"/>
  <c r="T33" i="28"/>
  <c r="W32" i="28"/>
  <c r="Z32" i="28" s="1"/>
  <c r="X32" i="28"/>
  <c r="L31" i="28"/>
  <c r="P6" i="18"/>
  <c r="O6" i="18"/>
  <c r="P15" i="18"/>
  <c r="O15" i="18"/>
  <c r="AB32" i="28"/>
  <c r="U33" i="28"/>
  <c r="Y32" i="28" l="1"/>
  <c r="Q15" i="18"/>
  <c r="S15" i="18" s="1"/>
  <c r="T15" i="18" s="1"/>
  <c r="N16" i="18" s="1"/>
  <c r="Q6" i="18"/>
  <c r="S6" i="18" s="1"/>
  <c r="V33" i="28"/>
  <c r="Q31" i="28"/>
  <c r="N31" i="28"/>
  <c r="O31" i="28"/>
  <c r="P31" i="28"/>
  <c r="R31" i="28"/>
  <c r="M31" i="28"/>
  <c r="J32" i="28"/>
  <c r="AA32" i="28"/>
  <c r="K32" i="28"/>
  <c r="T34" i="28" l="1"/>
  <c r="W33" i="28"/>
  <c r="X33" i="28"/>
  <c r="L32" i="28"/>
  <c r="P16" i="18"/>
  <c r="O16" i="18"/>
  <c r="T6" i="18"/>
  <c r="N7" i="18" s="1"/>
  <c r="U34" i="28"/>
  <c r="V34" i="28" l="1"/>
  <c r="Y33" i="28"/>
  <c r="Z33" i="28"/>
  <c r="Q16" i="18"/>
  <c r="S16" i="18" s="1"/>
  <c r="N32" i="28"/>
  <c r="R32" i="28"/>
  <c r="O32" i="28"/>
  <c r="Q32" i="28"/>
  <c r="P32" i="28"/>
  <c r="M32" i="28"/>
  <c r="J33" i="28"/>
  <c r="P7" i="18"/>
  <c r="O7" i="18"/>
  <c r="AA33" i="28"/>
  <c r="AB33" i="28"/>
  <c r="K33" i="28"/>
  <c r="T35" i="28" l="1"/>
  <c r="W34" i="28"/>
  <c r="X34" i="28"/>
  <c r="Q7" i="18"/>
  <c r="S7" i="18" s="1"/>
  <c r="L33" i="28"/>
  <c r="T16" i="18"/>
  <c r="N17" i="18"/>
  <c r="U35" i="28"/>
  <c r="V35" i="28" l="1"/>
  <c r="U36" i="28" s="1"/>
  <c r="V36" i="28" s="1"/>
  <c r="U37" i="28" s="1"/>
  <c r="Y34" i="28"/>
  <c r="Z34" i="28"/>
  <c r="T7" i="18"/>
  <c r="N8" i="18" s="1"/>
  <c r="N33" i="28"/>
  <c r="O33" i="28"/>
  <c r="M33" i="28"/>
  <c r="J34" i="28"/>
  <c r="P17" i="18"/>
  <c r="O17" i="18"/>
  <c r="Q33" i="28"/>
  <c r="AA34" i="28"/>
  <c r="K34" i="28"/>
  <c r="AB34" i="28"/>
  <c r="P8" i="18" l="1"/>
  <c r="O8" i="18"/>
  <c r="P33" i="28"/>
  <c r="T36" i="28"/>
  <c r="Q17" i="18"/>
  <c r="S17" i="18" s="1"/>
  <c r="W35" i="28"/>
  <c r="X35" i="28"/>
  <c r="V37" i="28"/>
  <c r="U38" i="28" s="1"/>
  <c r="T37" i="28"/>
  <c r="L34" i="28"/>
  <c r="R33" i="28"/>
  <c r="Q8" i="18" l="1"/>
  <c r="S8" i="18" s="1"/>
  <c r="N9" i="18" s="1"/>
  <c r="T17" i="18"/>
  <c r="N18" i="18" s="1"/>
  <c r="N34" i="28"/>
  <c r="M34" i="28"/>
  <c r="Z35" i="28"/>
  <c r="Y35" i="28"/>
  <c r="V38" i="28"/>
  <c r="U39" i="28" s="1"/>
  <c r="T38" i="28"/>
  <c r="J35" i="28"/>
  <c r="K35" i="28"/>
  <c r="AA35" i="28"/>
  <c r="AB35" i="28"/>
  <c r="T8" i="18" l="1"/>
  <c r="O18" i="18"/>
  <c r="P18" i="18"/>
  <c r="P34" i="28"/>
  <c r="O34" i="28"/>
  <c r="V39" i="28"/>
  <c r="U40" i="28" s="1"/>
  <c r="T39" i="28"/>
  <c r="L35" i="28"/>
  <c r="P9" i="18"/>
  <c r="O9" i="18"/>
  <c r="R34" i="28"/>
  <c r="Q34" i="28"/>
  <c r="Q18" i="18" l="1"/>
  <c r="S18" i="18" s="1"/>
  <c r="N19" i="18" s="1"/>
  <c r="P19" i="18" s="1"/>
  <c r="Q9" i="18"/>
  <c r="S9" i="18" s="1"/>
  <c r="N10" i="18" s="1"/>
  <c r="N35" i="28"/>
  <c r="M35" i="28"/>
  <c r="W36" i="28"/>
  <c r="X36" i="28"/>
  <c r="T40" i="28"/>
  <c r="V40" i="28"/>
  <c r="U41" i="28" s="1"/>
  <c r="K36" i="28"/>
  <c r="J36" i="28"/>
  <c r="O19" i="18" l="1"/>
  <c r="Q19" i="18" s="1"/>
  <c r="S19" i="18" s="1"/>
  <c r="T18" i="18"/>
  <c r="T9" i="18"/>
  <c r="P35" i="28"/>
  <c r="O35" i="28"/>
  <c r="Y36" i="28"/>
  <c r="Z36" i="28"/>
  <c r="V41" i="28"/>
  <c r="U42" i="28" s="1"/>
  <c r="T41" i="28"/>
  <c r="L36" i="28"/>
  <c r="P10" i="18"/>
  <c r="O10" i="18"/>
  <c r="Q35" i="28"/>
  <c r="R35" i="28"/>
  <c r="AA36" i="28"/>
  <c r="AB36" i="28"/>
  <c r="Q10" i="18" l="1"/>
  <c r="S10" i="18" s="1"/>
  <c r="N36" i="28"/>
  <c r="M36" i="28"/>
  <c r="V42" i="28"/>
  <c r="U43" i="28" s="1"/>
  <c r="T42" i="28"/>
  <c r="K37" i="28"/>
  <c r="J37" i="28"/>
  <c r="N20" i="18"/>
  <c r="I21" i="18" s="1"/>
  <c r="T19" i="18"/>
  <c r="P36" i="28" l="1"/>
  <c r="O36" i="28"/>
  <c r="W37" i="28"/>
  <c r="X37" i="28"/>
  <c r="V43" i="28"/>
  <c r="U44" i="28" s="1"/>
  <c r="T43" i="28"/>
  <c r="L37" i="28"/>
  <c r="K38" i="28" s="1"/>
  <c r="P20" i="18"/>
  <c r="I23" i="18"/>
  <c r="O20" i="18"/>
  <c r="N11" i="18"/>
  <c r="E21" i="18" s="1"/>
  <c r="T10" i="18"/>
  <c r="R36" i="28"/>
  <c r="Q36" i="28"/>
  <c r="Q20" i="18" l="1"/>
  <c r="S20" i="18" s="1"/>
  <c r="T20" i="18" s="1"/>
  <c r="N37" i="28"/>
  <c r="M37" i="28"/>
  <c r="Z37" i="28"/>
  <c r="Y37" i="28"/>
  <c r="T44" i="28"/>
  <c r="V44" i="28"/>
  <c r="U45" i="28" s="1"/>
  <c r="J38" i="28"/>
  <c r="P11" i="18"/>
  <c r="E24" i="18"/>
  <c r="O11" i="18"/>
  <c r="AA37" i="28"/>
  <c r="AB37" i="28"/>
  <c r="Q11" i="18" l="1"/>
  <c r="E22" i="18" s="1"/>
  <c r="P37" i="28"/>
  <c r="O37" i="28"/>
  <c r="V45" i="28"/>
  <c r="U46" i="28" s="1"/>
  <c r="T45" i="28"/>
  <c r="L38" i="28"/>
  <c r="K39" i="28" s="1"/>
  <c r="Q37" i="28"/>
  <c r="R37" i="28"/>
  <c r="N38" i="28" l="1"/>
  <c r="M38" i="28"/>
  <c r="X38" i="28"/>
  <c r="W38" i="28"/>
  <c r="V46" i="28"/>
  <c r="U47" i="28" s="1"/>
  <c r="T46" i="28"/>
  <c r="J39" i="28"/>
  <c r="E23" i="18"/>
  <c r="S11" i="18"/>
  <c r="T11" i="18" s="1"/>
  <c r="P38" i="28" l="1"/>
  <c r="O38" i="28"/>
  <c r="Y38" i="28"/>
  <c r="Z38" i="28"/>
  <c r="T47" i="28"/>
  <c r="V47" i="28"/>
  <c r="U48" i="28" s="1"/>
  <c r="L39" i="28"/>
  <c r="K40" i="28" s="1"/>
  <c r="AA38" i="28"/>
  <c r="Q38" i="28"/>
  <c r="R38" i="28"/>
  <c r="AB38" i="28"/>
  <c r="M39" i="28" l="1"/>
  <c r="N39" i="28"/>
  <c r="W39" i="28"/>
  <c r="X39" i="28"/>
  <c r="T48" i="28"/>
  <c r="V48" i="28"/>
  <c r="U49" i="28" s="1"/>
  <c r="J40" i="28"/>
  <c r="O39" i="28" l="1"/>
  <c r="P39" i="28"/>
  <c r="Y39" i="28"/>
  <c r="Z39" i="28"/>
  <c r="V49" i="28"/>
  <c r="U50" i="28" s="1"/>
  <c r="T49" i="28"/>
  <c r="L40" i="28"/>
  <c r="K41" i="28" s="1"/>
  <c r="R39" i="28"/>
  <c r="AA39" i="28"/>
  <c r="Q39" i="28"/>
  <c r="AB39" i="28"/>
  <c r="M40" i="28" l="1"/>
  <c r="N40" i="28"/>
  <c r="X40" i="28"/>
  <c r="W40" i="28"/>
  <c r="V50" i="28"/>
  <c r="U51" i="28" s="1"/>
  <c r="T50" i="28"/>
  <c r="J41" i="28"/>
  <c r="L41" i="28"/>
  <c r="K42" i="28" s="1"/>
  <c r="O40" i="28" l="1"/>
  <c r="P40" i="28"/>
  <c r="Z40" i="28"/>
  <c r="Y40" i="28"/>
  <c r="T51" i="28"/>
  <c r="V51" i="28"/>
  <c r="U52" i="28" s="1"/>
  <c r="J42" i="28"/>
  <c r="R40" i="28"/>
  <c r="AB40" i="28"/>
  <c r="Q40" i="28"/>
  <c r="AA40" i="28"/>
  <c r="M41" i="28" l="1"/>
  <c r="N41" i="28"/>
  <c r="T52" i="28"/>
  <c r="V52" i="28"/>
  <c r="U53" i="28" s="1"/>
  <c r="O41" i="28" l="1"/>
  <c r="P41" i="28"/>
  <c r="X41" i="28"/>
  <c r="W41" i="28"/>
  <c r="V53" i="28"/>
  <c r="U54" i="28" s="1"/>
  <c r="T53" i="28"/>
  <c r="L42" i="28"/>
  <c r="R41" i="28"/>
  <c r="Q41" i="28"/>
  <c r="N42" i="28" l="1"/>
  <c r="M42" i="28"/>
  <c r="Z41" i="28"/>
  <c r="Y41" i="28"/>
  <c r="V54" i="28"/>
  <c r="U55" i="28" s="1"/>
  <c r="T54" i="28"/>
  <c r="K43" i="28"/>
  <c r="J43" i="28"/>
  <c r="AA41" i="28"/>
  <c r="AB41" i="28"/>
  <c r="P42" i="28" l="1"/>
  <c r="O42" i="28"/>
  <c r="T55" i="28"/>
  <c r="V55" i="28"/>
  <c r="U56" i="28" s="1"/>
  <c r="Q42" i="28"/>
  <c r="R42" i="28"/>
  <c r="X42" i="28" l="1"/>
  <c r="W42" i="28"/>
  <c r="T56" i="28"/>
  <c r="V56" i="28"/>
  <c r="U57" i="28" s="1"/>
  <c r="L43" i="28"/>
  <c r="M43" i="28" l="1"/>
  <c r="N43" i="28"/>
  <c r="Z42" i="28"/>
  <c r="Y42" i="28"/>
  <c r="V57" i="28"/>
  <c r="U58" i="28" s="1"/>
  <c r="T57" i="28"/>
  <c r="K44" i="28"/>
  <c r="J44" i="28"/>
  <c r="AA42" i="28"/>
  <c r="AB42" i="28"/>
  <c r="O43" i="28" l="1"/>
  <c r="P43" i="28"/>
  <c r="V58" i="28"/>
  <c r="U59" i="28" s="1"/>
  <c r="T58" i="28"/>
  <c r="R43" i="28"/>
  <c r="Q43" i="28"/>
  <c r="X43" i="28" l="1"/>
  <c r="W43" i="28"/>
  <c r="T59" i="28"/>
  <c r="V59" i="28"/>
  <c r="U60" i="28" s="1"/>
  <c r="L44" i="28"/>
  <c r="M44" i="28" l="1"/>
  <c r="N44" i="28"/>
  <c r="Z43" i="28"/>
  <c r="Y43" i="28"/>
  <c r="T60" i="28"/>
  <c r="V60" i="28"/>
  <c r="U61" i="28" s="1"/>
  <c r="K45" i="28"/>
  <c r="J45" i="28"/>
  <c r="AB43" i="28"/>
  <c r="AA43" i="28"/>
  <c r="O44" i="28" l="1"/>
  <c r="P44" i="28"/>
  <c r="V61" i="28"/>
  <c r="U62" i="28" s="1"/>
  <c r="T61" i="28"/>
  <c r="Q44" i="28"/>
  <c r="R44" i="28"/>
  <c r="W44" i="28" l="1"/>
  <c r="X44" i="28"/>
  <c r="V62" i="28"/>
  <c r="U63" i="28" s="1"/>
  <c r="T62" i="28"/>
  <c r="L45" i="28"/>
  <c r="M45" i="28" l="1"/>
  <c r="N45" i="28"/>
  <c r="Y44" i="28"/>
  <c r="Z44" i="28"/>
  <c r="T63" i="28"/>
  <c r="V63" i="28"/>
  <c r="U64" i="28" s="1"/>
  <c r="K46" i="28"/>
  <c r="J46" i="28"/>
  <c r="AA44" i="28"/>
  <c r="AB44" i="28"/>
  <c r="O45" i="28" l="1"/>
  <c r="P45" i="28"/>
  <c r="T64" i="28"/>
  <c r="V64" i="28"/>
  <c r="U65" i="28" s="1"/>
  <c r="R45" i="28"/>
  <c r="Q45" i="28"/>
  <c r="X45" i="28" l="1"/>
  <c r="W45" i="28"/>
  <c r="V65" i="28"/>
  <c r="U66" i="28" s="1"/>
  <c r="T65" i="28"/>
  <c r="L46" i="28"/>
  <c r="M46" i="28" l="1"/>
  <c r="N46" i="28"/>
  <c r="Y45" i="28"/>
  <c r="Z45" i="28"/>
  <c r="V66" i="28"/>
  <c r="U67" i="28" s="1"/>
  <c r="T66" i="28"/>
  <c r="K47" i="28"/>
  <c r="J47" i="28"/>
  <c r="AB45" i="28"/>
  <c r="AA45" i="28"/>
  <c r="O46" i="28" l="1"/>
  <c r="P46" i="28"/>
  <c r="T67" i="28"/>
  <c r="V67" i="28"/>
  <c r="L47" i="28"/>
  <c r="R46" i="28"/>
  <c r="Q46" i="28"/>
  <c r="N47" i="28" l="1"/>
  <c r="M47" i="28"/>
  <c r="X46" i="28"/>
  <c r="W46" i="28"/>
  <c r="K48" i="28"/>
  <c r="J48" i="28"/>
  <c r="P47" i="28" l="1"/>
  <c r="O47" i="28"/>
  <c r="Y46" i="28"/>
  <c r="Z46" i="28"/>
  <c r="R47" i="28"/>
  <c r="Q47" i="28"/>
  <c r="AA46" i="28"/>
  <c r="AB46" i="28"/>
  <c r="L48" i="28" l="1"/>
  <c r="M48" i="28" l="1"/>
  <c r="N48" i="28"/>
  <c r="W47" i="28"/>
  <c r="X47" i="28"/>
  <c r="K49" i="28"/>
  <c r="J49" i="28"/>
  <c r="P48" i="28" l="1"/>
  <c r="O48" i="28"/>
  <c r="Z47" i="28"/>
  <c r="Y47" i="28"/>
  <c r="R48" i="28"/>
  <c r="Q48" i="28"/>
  <c r="AA47" i="28"/>
  <c r="AB47" i="28"/>
  <c r="L49" i="28" l="1"/>
  <c r="N49" i="28" l="1"/>
  <c r="M49" i="28"/>
  <c r="W48" i="28"/>
  <c r="X48" i="28"/>
  <c r="K50" i="28"/>
  <c r="J50" i="28"/>
  <c r="P49" i="28" l="1"/>
  <c r="O49" i="28"/>
  <c r="Z48" i="28"/>
  <c r="Y48" i="28"/>
  <c r="Q49" i="28"/>
  <c r="R49" i="28"/>
  <c r="AA48" i="28"/>
  <c r="AB48" i="28"/>
  <c r="L50" i="28" l="1"/>
  <c r="M50" i="28" l="1"/>
  <c r="N50" i="28"/>
  <c r="X49" i="28"/>
  <c r="W49" i="28"/>
  <c r="K51" i="28"/>
  <c r="J51" i="28"/>
  <c r="O50" i="28" l="1"/>
  <c r="P50" i="28"/>
  <c r="Y49" i="28"/>
  <c r="Z49" i="28"/>
  <c r="R50" i="28"/>
  <c r="AA49" i="28"/>
  <c r="AB49" i="28"/>
  <c r="Q50" i="28"/>
  <c r="L51" i="28" l="1"/>
  <c r="M51" i="28" l="1"/>
  <c r="N51" i="28"/>
  <c r="W50" i="28"/>
  <c r="X50" i="28"/>
  <c r="K52" i="28"/>
  <c r="J52" i="28"/>
  <c r="O51" i="28" l="1"/>
  <c r="P51" i="28"/>
  <c r="Z50" i="28"/>
  <c r="Y50" i="28"/>
  <c r="Q51" i="28"/>
  <c r="R51" i="28"/>
  <c r="AB50" i="28"/>
  <c r="AA50" i="28"/>
  <c r="X51" i="28" l="1"/>
  <c r="W51" i="28"/>
  <c r="L52" i="28"/>
  <c r="M52" i="28" l="1"/>
  <c r="N52" i="28"/>
  <c r="Y51" i="28"/>
  <c r="Z51" i="28"/>
  <c r="K53" i="28"/>
  <c r="J53" i="28"/>
  <c r="AA51" i="28"/>
  <c r="AB51" i="28"/>
  <c r="O52" i="28" l="1"/>
  <c r="P52" i="28"/>
  <c r="Q52" i="28"/>
  <c r="R52" i="28"/>
  <c r="X52" i="28" l="1"/>
  <c r="W52" i="28"/>
  <c r="L53" i="28"/>
  <c r="M53" i="28" l="1"/>
  <c r="N53" i="28"/>
  <c r="Y52" i="28"/>
  <c r="Z52" i="28"/>
  <c r="K54" i="28"/>
  <c r="J54" i="28"/>
  <c r="AA52" i="28"/>
  <c r="AB52" i="28"/>
  <c r="P53" i="28" l="1"/>
  <c r="O53" i="28"/>
  <c r="L54" i="28"/>
  <c r="Q53" i="28"/>
  <c r="R53" i="28"/>
  <c r="M54" i="28" l="1"/>
  <c r="N54" i="28"/>
  <c r="X53" i="28"/>
  <c r="W53" i="28"/>
  <c r="K55" i="28"/>
  <c r="J55" i="28"/>
  <c r="O54" i="28" l="1"/>
  <c r="P54" i="28"/>
  <c r="Y53" i="28"/>
  <c r="Z53" i="28"/>
  <c r="L55" i="28"/>
  <c r="Q54" i="28"/>
  <c r="R54" i="28"/>
  <c r="AB53" i="28"/>
  <c r="AA53" i="28"/>
  <c r="M55" i="28" l="1"/>
  <c r="N55" i="28"/>
  <c r="W54" i="28"/>
  <c r="X54" i="28"/>
  <c r="K56" i="28"/>
  <c r="J56" i="28"/>
  <c r="P55" i="28" l="1"/>
  <c r="O55" i="28"/>
  <c r="Y54" i="28"/>
  <c r="Z54" i="28"/>
  <c r="L56" i="28"/>
  <c r="Q55" i="28"/>
  <c r="R55" i="28"/>
  <c r="AB54" i="28"/>
  <c r="AA54" i="28"/>
  <c r="M56" i="28" l="1"/>
  <c r="N56" i="28"/>
  <c r="K57" i="28"/>
  <c r="J57" i="28"/>
  <c r="P56" i="28" l="1"/>
  <c r="O56" i="28"/>
  <c r="W55" i="28"/>
  <c r="X55" i="28"/>
  <c r="L57" i="28"/>
  <c r="Q56" i="28"/>
  <c r="R56" i="28"/>
  <c r="M57" i="28" l="1"/>
  <c r="N57" i="28"/>
  <c r="Z55" i="28"/>
  <c r="Y55" i="28"/>
  <c r="K58" i="28"/>
  <c r="J58" i="28"/>
  <c r="AB55" i="28"/>
  <c r="AA55" i="28"/>
  <c r="P57" i="28" l="1"/>
  <c r="O57" i="28"/>
  <c r="X56" i="28"/>
  <c r="L58" i="28"/>
  <c r="Q57" i="28"/>
  <c r="R57" i="28"/>
  <c r="M58" i="28" l="1"/>
  <c r="N58" i="28"/>
  <c r="W56" i="28"/>
  <c r="Y56" i="28" s="1"/>
  <c r="K59" i="28"/>
  <c r="J59" i="28"/>
  <c r="AA56" i="28"/>
  <c r="O58" i="28" l="1"/>
  <c r="P58" i="28"/>
  <c r="Z56" i="28"/>
  <c r="L59" i="28"/>
  <c r="Q58" i="28"/>
  <c r="R58" i="28"/>
  <c r="AB56" i="28"/>
  <c r="M59" i="28" l="1"/>
  <c r="N59" i="28"/>
  <c r="W57" i="28"/>
  <c r="K60" i="28"/>
  <c r="J60" i="28"/>
  <c r="O59" i="28" l="1"/>
  <c r="P59" i="28"/>
  <c r="X57" i="28"/>
  <c r="Y57" i="28" s="1"/>
  <c r="L60" i="28"/>
  <c r="Q59" i="28"/>
  <c r="AA57" i="28"/>
  <c r="R59" i="28"/>
  <c r="N60" i="28" l="1"/>
  <c r="M60" i="28"/>
  <c r="Z57" i="28"/>
  <c r="K61" i="28"/>
  <c r="J61" i="28"/>
  <c r="AB57" i="28"/>
  <c r="P60" i="28" l="1"/>
  <c r="O60" i="28"/>
  <c r="W58" i="28"/>
  <c r="X58" i="28"/>
  <c r="L61" i="28"/>
  <c r="Q60" i="28"/>
  <c r="R60" i="28"/>
  <c r="M61" i="28" l="1"/>
  <c r="N61" i="28"/>
  <c r="Z58" i="28"/>
  <c r="Y58" i="28"/>
  <c r="K62" i="28"/>
  <c r="J62" i="28"/>
  <c r="AA58" i="28"/>
  <c r="AB58" i="28"/>
  <c r="P61" i="28" l="1"/>
  <c r="O61" i="28"/>
  <c r="X59" i="28"/>
  <c r="W59" i="28"/>
  <c r="L62" i="28"/>
  <c r="R61" i="28"/>
  <c r="Q61" i="28"/>
  <c r="N62" i="28" l="1"/>
  <c r="M62" i="28"/>
  <c r="Z59" i="28"/>
  <c r="Y59" i="28"/>
  <c r="K63" i="28"/>
  <c r="J63" i="28"/>
  <c r="AA59" i="28"/>
  <c r="AB59" i="28"/>
  <c r="P62" i="28" l="1"/>
  <c r="O62" i="28"/>
  <c r="W60" i="28"/>
  <c r="X60" i="28"/>
  <c r="L63" i="28"/>
  <c r="R62" i="28"/>
  <c r="Q62" i="28"/>
  <c r="N63" i="28" l="1"/>
  <c r="M63" i="28"/>
  <c r="Y60" i="28"/>
  <c r="Z60" i="28"/>
  <c r="K64" i="28"/>
  <c r="J64" i="28"/>
  <c r="AB60" i="28"/>
  <c r="AA60" i="28"/>
  <c r="O63" i="28" l="1"/>
  <c r="P63" i="28"/>
  <c r="X61" i="28"/>
  <c r="L64" i="28"/>
  <c r="R63" i="28"/>
  <c r="Q63" i="28"/>
  <c r="M64" i="28" l="1"/>
  <c r="N64" i="28"/>
  <c r="W61" i="28"/>
  <c r="Y61" i="28" s="1"/>
  <c r="K65" i="28"/>
  <c r="J65" i="28"/>
  <c r="AA61" i="28"/>
  <c r="O64" i="28" l="1"/>
  <c r="P64" i="28"/>
  <c r="Z61" i="28"/>
  <c r="L65" i="28"/>
  <c r="Q64" i="28"/>
  <c r="R64" i="28"/>
  <c r="AB61" i="28"/>
  <c r="N65" i="28" l="1"/>
  <c r="M65" i="28"/>
  <c r="W62" i="28"/>
  <c r="K66" i="28"/>
  <c r="J66" i="28"/>
  <c r="P65" i="28" l="1"/>
  <c r="O65" i="28"/>
  <c r="X62" i="28"/>
  <c r="Y62" i="28" s="1"/>
  <c r="L66" i="28"/>
  <c r="R65" i="28"/>
  <c r="Q65" i="28"/>
  <c r="AA62" i="28"/>
  <c r="M66" i="28" l="1"/>
  <c r="N66" i="28"/>
  <c r="Z62" i="28"/>
  <c r="K67" i="28"/>
  <c r="J67" i="28"/>
  <c r="AB62" i="28"/>
  <c r="O66" i="28" l="1"/>
  <c r="P66" i="28"/>
  <c r="W63" i="28"/>
  <c r="X63" i="28"/>
  <c r="L67" i="28"/>
  <c r="Q66" i="28"/>
  <c r="R66" i="28"/>
  <c r="M67" i="28" l="1"/>
  <c r="N67" i="28"/>
  <c r="Y63" i="28"/>
  <c r="Z63" i="28"/>
  <c r="AB63" i="28"/>
  <c r="AA63" i="28"/>
  <c r="P67" i="28" l="1"/>
  <c r="O67" i="28"/>
  <c r="G29" i="28" s="1"/>
  <c r="G31" i="28" s="1"/>
  <c r="W64" i="28"/>
  <c r="R67" i="28"/>
  <c r="Q67" i="28"/>
  <c r="G30" i="28" l="1"/>
  <c r="X64" i="28"/>
  <c r="Y64" i="28" s="1"/>
  <c r="AA64" i="28"/>
  <c r="Z64" i="28" l="1"/>
  <c r="AB64" i="28"/>
  <c r="W65" i="28" l="1"/>
  <c r="X65" i="28" l="1"/>
  <c r="Y65" i="28" s="1"/>
  <c r="AA65" i="28"/>
  <c r="Z65" i="28" l="1"/>
  <c r="AB65" i="28"/>
  <c r="X66" i="28" l="1"/>
  <c r="W66" i="28"/>
  <c r="Y66" i="28" l="1"/>
  <c r="Z66" i="28"/>
  <c r="AB66" i="28"/>
  <c r="AA66" i="28"/>
  <c r="W67" i="28" l="1"/>
  <c r="X67" i="28"/>
  <c r="Y67" i="28" l="1"/>
  <c r="G38" i="28" s="1"/>
  <c r="G41" i="28" s="1"/>
  <c r="Z67" i="28"/>
  <c r="AB67" i="28"/>
  <c r="G37" i="28" l="1"/>
  <c r="G40" i="28" s="1"/>
  <c r="AA67" i="28"/>
  <c r="G39" i="28" l="1"/>
</calcChain>
</file>

<file path=xl/sharedStrings.xml><?xml version="1.0" encoding="utf-8"?>
<sst xmlns="http://schemas.openxmlformats.org/spreadsheetml/2006/main" count="487" uniqueCount="378">
  <si>
    <t>Pitch</t>
  </si>
  <si>
    <t># Teeth 1</t>
  </si>
  <si>
    <t># Teeth 2</t>
  </si>
  <si>
    <t>Round Type</t>
  </si>
  <si>
    <t>Modulus</t>
  </si>
  <si>
    <t># Links/Teeth</t>
  </si>
  <si>
    <t>a</t>
  </si>
  <si>
    <t>L</t>
  </si>
  <si>
    <t>target</t>
  </si>
  <si>
    <t>y</t>
  </si>
  <si>
    <t># links</t>
  </si>
  <si>
    <t>D</t>
  </si>
  <si>
    <t>Chain/Belt C-C Calculator</t>
  </si>
  <si>
    <t>CIM</t>
  </si>
  <si>
    <t>Adjusted</t>
  </si>
  <si>
    <t>Max. Power</t>
  </si>
  <si>
    <t>By Ratio</t>
  </si>
  <si>
    <t>Rot. Speed</t>
  </si>
  <si>
    <t>Lin. Speed</t>
  </si>
  <si>
    <t>Current</t>
  </si>
  <si>
    <t>Free Speed (RPM)</t>
  </si>
  <si>
    <t>Gear Ratio</t>
  </si>
  <si>
    <t>Stall Torque (N*m)</t>
  </si>
  <si>
    <t>Rot. Free Speed (rps)</t>
  </si>
  <si>
    <t>Stall Current (A)</t>
  </si>
  <si>
    <t>Rot. Loaded Speed (rps)</t>
  </si>
  <si>
    <t>Free Current (A)</t>
  </si>
  <si>
    <t>Power (W)</t>
  </si>
  <si>
    <t># Motors</t>
  </si>
  <si>
    <t>Voltage Applied (V)</t>
  </si>
  <si>
    <t>Gearbox Efficiency</t>
  </si>
  <si>
    <t>Key</t>
  </si>
  <si>
    <t xml:space="preserve"> = Input Value</t>
  </si>
  <si>
    <t xml:space="preserve"> = Calculated Value</t>
  </si>
  <si>
    <t xml:space="preserve"> = Invalid Input</t>
  </si>
  <si>
    <t>Desired Ratio</t>
  </si>
  <si>
    <t>Driven Gear</t>
  </si>
  <si>
    <t>Mini CIM</t>
  </si>
  <si>
    <t>BAG Motor</t>
  </si>
  <si>
    <t>AM 775</t>
  </si>
  <si>
    <t>AM 9015</t>
  </si>
  <si>
    <t>BB RS-775-18</t>
  </si>
  <si>
    <t>Neverest</t>
  </si>
  <si>
    <t>Throttle Motor</t>
  </si>
  <si>
    <t>Bosch Motor</t>
  </si>
  <si>
    <t>Chain/Belt Dimensions</t>
  </si>
  <si>
    <t>#25 Chain</t>
  </si>
  <si>
    <t>Width</t>
  </si>
  <si>
    <t>#35 Chain</t>
  </si>
  <si>
    <t>5mm HTD</t>
  </si>
  <si>
    <t>3mm GT2</t>
  </si>
  <si>
    <t>Motor Specs</t>
  </si>
  <si>
    <t xml:space="preserve">Snowblower </t>
  </si>
  <si>
    <t>Free Speed</t>
  </si>
  <si>
    <t>WCP SS</t>
  </si>
  <si>
    <t>Vex SS/SR</t>
  </si>
  <si>
    <t>Vex SS/DR</t>
  </si>
  <si>
    <t>3.67/8.33</t>
  </si>
  <si>
    <t>11.73/26.67</t>
  </si>
  <si>
    <t>9.87/20.83</t>
  </si>
  <si>
    <t>6.60/15.00</t>
  </si>
  <si>
    <t>5.39/12.26</t>
  </si>
  <si>
    <t>9.07/19.61</t>
  </si>
  <si>
    <t>9.07/24.00</t>
  </si>
  <si>
    <t>9.07/33.33</t>
  </si>
  <si>
    <t>7.08/15.32</t>
  </si>
  <si>
    <t>7.08/18.75</t>
  </si>
  <si>
    <t>7.08/26.04</t>
  </si>
  <si>
    <t>5.10/11.03</t>
  </si>
  <si>
    <t>5.10/13.50</t>
  </si>
  <si>
    <t>5.10/18.75</t>
  </si>
  <si>
    <t>4.17/9.01</t>
  </si>
  <si>
    <t>4.17/11.03</t>
  </si>
  <si>
    <t>4.17/15.32</t>
  </si>
  <si>
    <t>2.83/6.13</t>
  </si>
  <si>
    <t>2.83/7.50</t>
  </si>
  <si>
    <t>2.83/10.42</t>
  </si>
  <si>
    <t>6.25/4.40</t>
  </si>
  <si>
    <t>6.25/3.53</t>
  </si>
  <si>
    <t>6.73/4.74</t>
  </si>
  <si>
    <t>6.73/3.80</t>
  </si>
  <si>
    <t>7.29/4.12</t>
  </si>
  <si>
    <t>7.29/5.13</t>
  </si>
  <si>
    <t>7.95/4.49</t>
  </si>
  <si>
    <t>7.95/5.60</t>
  </si>
  <si>
    <t>12.86/3.53</t>
  </si>
  <si>
    <t>12.83/4.40</t>
  </si>
  <si>
    <t>12.86/6.25</t>
  </si>
  <si>
    <t>13.85/3.80</t>
  </si>
  <si>
    <t>13.85/4.74</t>
  </si>
  <si>
    <t>13.85/6.73</t>
  </si>
  <si>
    <t>15.00/4.12</t>
  </si>
  <si>
    <t>15.00/5.13</t>
  </si>
  <si>
    <t>15.00/7.29</t>
  </si>
  <si>
    <t>16.36/4.49</t>
  </si>
  <si>
    <t>16.36/7.95</t>
  </si>
  <si>
    <t>WCP DS</t>
  </si>
  <si>
    <t>EVO Shifter</t>
  </si>
  <si>
    <t>TB Micro</t>
  </si>
  <si>
    <t>TB Mini</t>
  </si>
  <si>
    <t>Toughbox</t>
  </si>
  <si>
    <t>Sonic Shifter</t>
  </si>
  <si>
    <t>2 CIM BS</t>
  </si>
  <si>
    <t>3 CIM BS</t>
  </si>
  <si>
    <t>Rocketbox</t>
  </si>
  <si>
    <t>16.36/5.60</t>
  </si>
  <si>
    <t>WCP Flip DS</t>
  </si>
  <si>
    <t>CIM + Mini</t>
  </si>
  <si>
    <t>CIM + 2 Mini</t>
  </si>
  <si>
    <t>2 CIM + Mini</t>
  </si>
  <si>
    <t>link</t>
  </si>
  <si>
    <t>Drivetrain Calculator</t>
  </si>
  <si>
    <t>Motors per Gearbox</t>
  </si>
  <si>
    <t>Gearboxes in Drive</t>
  </si>
  <si>
    <t>Speed Loss Coefficient</t>
  </si>
  <si>
    <t>Wheel Friction Coeff.</t>
  </si>
  <si>
    <t>Drive Gear</t>
  </si>
  <si>
    <t xml:space="preserve">Reduction: </t>
  </si>
  <si>
    <t>Adj. Speed</t>
  </si>
  <si>
    <t>Push Current</t>
  </si>
  <si>
    <t>Wheel 2 Diameter</t>
  </si>
  <si>
    <t>Wheel 2 Friction Coeff.</t>
  </si>
  <si>
    <t>Final Ratio</t>
  </si>
  <si>
    <t>Second Speed</t>
  </si>
  <si>
    <t>dp</t>
  </si>
  <si>
    <t>Drivetrain Calculator:</t>
  </si>
  <si>
    <t>Chain/Belt C-C Calculator:</t>
  </si>
  <si>
    <t>Gear Size Calculator:</t>
  </si>
  <si>
    <t>Useful Values:</t>
  </si>
  <si>
    <t>This sheet calculates the other characteristics of a given mechanism that satisfies a certain characteristic (e.g. gear ratio, loaded linear velocity, stall load, current per motor, etc). Use this sheet to determine the needed type and number of motors and gear ratio to give a mechanism certain characteristics. Equations partially derived from JVN's Mechanical Design Calculator and Ether's Simple Motor Calculator.</t>
  </si>
  <si>
    <t>Sources:</t>
  </si>
  <si>
    <t>JVN's Mechanical Design Calculator</t>
  </si>
  <si>
    <t>Clem1640's Chain/Belt Calculator</t>
  </si>
  <si>
    <t>Ether's Simple Motor Calculator</t>
  </si>
  <si>
    <t>AMB Design Spreadsheet</t>
  </si>
  <si>
    <t>Mechanism Gear Ratio Calculator</t>
  </si>
  <si>
    <t>Mechanism Gear Ratio Calculator:</t>
  </si>
  <si>
    <t>Amps per Motor</t>
  </si>
  <si>
    <t>Current Per Motor (A)</t>
  </si>
  <si>
    <t>Gear 1 Teeth</t>
  </si>
  <si>
    <t>Gear 1 dp</t>
  </si>
  <si>
    <t>Gear 2 Teeth</t>
  </si>
  <si>
    <t>Gear 3 Teeth</t>
  </si>
  <si>
    <t>Gear 2/3 dp</t>
  </si>
  <si>
    <t>Gear 4 Teeth</t>
  </si>
  <si>
    <t>Gear 4 dp</t>
  </si>
  <si>
    <t>Axle Type</t>
  </si>
  <si>
    <t>1/2 Hex</t>
  </si>
  <si>
    <t>Clears Axle?</t>
  </si>
  <si>
    <t>Gear Clearance Calculator</t>
  </si>
  <si>
    <t>Ratio &amp; Distance Calculator</t>
  </si>
  <si>
    <t>Shift Spread</t>
  </si>
  <si>
    <t>Ratio Tester</t>
  </si>
  <si>
    <t>775pro/Redline</t>
  </si>
  <si>
    <t>Dynamo</t>
  </si>
  <si>
    <t>Free Speed (rpm)</t>
  </si>
  <si>
    <t>Stall Torque (Nm)</t>
  </si>
  <si>
    <t>Clears Gear 4?</t>
  </si>
  <si>
    <t>At Stall</t>
  </si>
  <si>
    <t>Window Motor</t>
  </si>
  <si>
    <t>Voltage</t>
  </si>
  <si>
    <r>
      <rPr>
        <sz val="11"/>
        <rFont val="Symbol"/>
        <family val="1"/>
        <charset val="2"/>
      </rPr>
      <t>D</t>
    </r>
    <r>
      <rPr>
        <sz val="11"/>
        <color theme="1"/>
        <rFont val="Calibri"/>
        <family val="2"/>
        <scheme val="minor"/>
      </rPr>
      <t>y/</t>
    </r>
    <r>
      <rPr>
        <sz val="11"/>
        <rFont val="Symbol"/>
        <family val="1"/>
        <charset val="2"/>
      </rPr>
      <t>D</t>
    </r>
    <r>
      <rPr>
        <sz val="11"/>
        <color theme="1"/>
        <rFont val="Calibri"/>
        <family val="2"/>
        <scheme val="minor"/>
      </rPr>
      <t>x</t>
    </r>
  </si>
  <si>
    <t>Stall Voltage (V)</t>
  </si>
  <si>
    <t>C-C dist (in)</t>
  </si>
  <si>
    <t>Stall Load</t>
  </si>
  <si>
    <t>x</t>
  </si>
  <si>
    <t>Max. Efficiency</t>
  </si>
  <si>
    <t>Release Angle (° from horiz.)</t>
  </si>
  <si>
    <t>Target Angle (° from horiz.)</t>
  </si>
  <si>
    <t>Forward</t>
  </si>
  <si>
    <t>Reverse</t>
  </si>
  <si>
    <t>step</t>
  </si>
  <si>
    <t>Plotting Data (Don't Touch)</t>
  </si>
  <si>
    <t>Pneumatics Calculator</t>
  </si>
  <si>
    <t>Action 1</t>
  </si>
  <si>
    <t>Action 2</t>
  </si>
  <si>
    <t>Action 3</t>
  </si>
  <si>
    <t>Action 4</t>
  </si>
  <si>
    <t>Action 5</t>
  </si>
  <si>
    <t>Action 6</t>
  </si>
  <si>
    <t>Action 7</t>
  </si>
  <si>
    <t>Action 8</t>
  </si>
  <si>
    <t>Tank 1</t>
  </si>
  <si>
    <t>Tank 2</t>
  </si>
  <si>
    <t>Tank 3</t>
  </si>
  <si>
    <t>Tank 4</t>
  </si>
  <si>
    <t>Diameter (in)</t>
  </si>
  <si>
    <t>Tank Volume (in3)</t>
  </si>
  <si>
    <t>Rod Diameter (in)</t>
  </si>
  <si>
    <t># of Tanks</t>
  </si>
  <si>
    <t>Stroke Length (in)</t>
  </si>
  <si>
    <t>Total Tanks Vol. (in3)</t>
  </si>
  <si>
    <t>Push Pressure (psig)</t>
  </si>
  <si>
    <t>Pull Pressure (psig)</t>
  </si>
  <si>
    <t>Final Pressure (psig)</t>
  </si>
  <si>
    <t>Up</t>
  </si>
  <si>
    <t>Gear Pitch (dp)</t>
  </si>
  <si>
    <t>Driving Gear (teeth)</t>
  </si>
  <si>
    <t>Sprint Distance Calculator</t>
  </si>
  <si>
    <t>G</t>
  </si>
  <si>
    <t>flag</t>
  </si>
  <si>
    <t>b</t>
  </si>
  <si>
    <t>c</t>
  </si>
  <si>
    <t>d</t>
  </si>
  <si>
    <t>f(c )</t>
  </si>
  <si>
    <t>f(d)</t>
  </si>
  <si>
    <t>Optimal Gear Ratio</t>
  </si>
  <si>
    <t>Time to Distance (sec)</t>
  </si>
  <si>
    <t>Optimization Calculation (Don't Touch)</t>
  </si>
  <si>
    <t>f(G)</t>
  </si>
  <si>
    <t>Sprint Distance Calculator:</t>
  </si>
  <si>
    <t>Ether's Drivetrain Acceleration Model</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</si>
  <si>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</si>
  <si>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The Gear Clearance Calculator calculates whether or not two sets of parallel gears will hit each other, and if not, how much clearance they will have. It also calculates whether or not the first gear will clear the second shaft with no gear on it.</t>
  </si>
  <si>
    <t>This sheet calculates the time needed for a drivetrain to travel a certain distance, factoring in that it takes time for the robot to accelerate to top speed. There are two calculation options. The Forward calculation allows you to select a gear ratio and distance, and tells you how long it will take for the robot to move that distance. The Reverse calculation asks only for the required distance to travel, and uses a Golden-Section Search to calculate the optimal gear ratio that will allow the robot to travel that distance as fast as possible. Equations partially derived from Ether's Drivetrain Acceleration Model.</t>
  </si>
  <si>
    <t>Golden-Section Search</t>
  </si>
  <si>
    <t>Pneumatics Calculator:</t>
  </si>
  <si>
    <t>Made by Ari Meles-Braverman: Mentor, FRC 5987</t>
  </si>
  <si>
    <t>Projectile Trajectory Calclulator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</si>
  <si>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</si>
  <si>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 xml:space="preserve">This sheet has two calculations. The Ratio &amp; Distance Calculator calculates the gear pair that have a given reduction and C-C distance, and then calculates the pitch and clearance diameter for both gears. </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</si>
  <si>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</si>
  <si>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 Equations partially derived from JVN's Mechanical Design Calculator.</t>
  </si>
  <si>
    <t>Projectile Trajectory Calculator</t>
  </si>
  <si>
    <t>High Gear Ratio</t>
  </si>
  <si>
    <t>Low Gear Ratio</t>
  </si>
  <si>
    <t>Sprint Distance (ft)</t>
  </si>
  <si>
    <t>Graph:</t>
  </si>
  <si>
    <t>Robot Weight (lbs)</t>
  </si>
  <si>
    <t>Wheel Diameter (in)</t>
  </si>
  <si>
    <t>Radius (in)</t>
  </si>
  <si>
    <t>Load (lbs)</t>
  </si>
  <si>
    <t>Wheel Static CoF</t>
  </si>
  <si>
    <t>Wheel Kinetic CoF</t>
  </si>
  <si>
    <t xml:space="preserve">   (Takes a few seconds to refresh)</t>
  </si>
  <si>
    <t>Shifter Spread</t>
  </si>
  <si>
    <t>G1</t>
  </si>
  <si>
    <t>Compressor Type</t>
  </si>
  <si>
    <t>1.1 Pump</t>
  </si>
  <si>
    <t>Push Force (lbsf)</t>
  </si>
  <si>
    <t>Pull Force (lbsf)</t>
  </si>
  <si>
    <t>Start Time (s)</t>
  </si>
  <si>
    <t>End Time (s)</t>
  </si>
  <si>
    <t>Initial Pressure (psig)</t>
  </si>
  <si>
    <t>Min. Pressure (psig)</t>
  </si>
  <si>
    <t>NEO</t>
  </si>
  <si>
    <t>Definitions:</t>
  </si>
  <si>
    <t>Total gear ratio between motor and mechanism output</t>
  </si>
  <si>
    <t>Rot. Free Speed</t>
  </si>
  <si>
    <t>Speed the mechanism rotates when no load is applied</t>
  </si>
  <si>
    <t>Rot. Loaded Speed</t>
  </si>
  <si>
    <t>Speed the mechanism rotates when load is applied</t>
  </si>
  <si>
    <t>Lin. Free Speed</t>
  </si>
  <si>
    <t>Tangential speed at given radius when no load is applied</t>
  </si>
  <si>
    <t>Lin. Loaded Speed</t>
  </si>
  <si>
    <t>Tangential speed at given radius when load is applied</t>
  </si>
  <si>
    <t>Current Per Motor</t>
  </si>
  <si>
    <t>Current each motor in the system draws under the specified load</t>
  </si>
  <si>
    <t>Maximum load that the mechanism can lift before backdriving</t>
  </si>
  <si>
    <t>Stall Voltage</t>
  </si>
  <si>
    <t>Voltage needed to hold the specified load in position</t>
  </si>
  <si>
    <t>t</t>
  </si>
  <si>
    <t>P</t>
  </si>
  <si>
    <t>comp</t>
  </si>
  <si>
    <t>cyl1</t>
  </si>
  <si>
    <t>cyl2</t>
  </si>
  <si>
    <t>cyl3</t>
  </si>
  <si>
    <t>cyl4</t>
  </si>
  <si>
    <t>cyl5</t>
  </si>
  <si>
    <t>cyl6</t>
  </si>
  <si>
    <t>cyl7</t>
  </si>
  <si>
    <t>cyl8</t>
  </si>
  <si>
    <t>Time Per Cycle (s)</t>
  </si>
  <si>
    <t>C-C Add.</t>
  </si>
  <si>
    <t>Type</t>
  </si>
  <si>
    <t>Thickness</t>
  </si>
  <si>
    <t>Thick</t>
  </si>
  <si>
    <t>3 CIM TB</t>
  </si>
  <si>
    <t>57/CIM Sport</t>
  </si>
  <si>
    <t>CIMple Box</t>
  </si>
  <si>
    <t>COTS Gearbox Reductions</t>
  </si>
  <si>
    <t>EVO Slim</t>
  </si>
  <si>
    <t>EVO Slim 775</t>
  </si>
  <si>
    <t>PG Series</t>
  </si>
  <si>
    <t>RAW Box</t>
  </si>
  <si>
    <t>Vex Clamp</t>
  </si>
  <si>
    <t>3.7/14.8</t>
  </si>
  <si>
    <t>5.8/14.8</t>
  </si>
  <si>
    <t>6/24</t>
  </si>
  <si>
    <t>9.4/24</t>
  </si>
  <si>
    <t>TB3</t>
  </si>
  <si>
    <t>Ratio:</t>
  </si>
  <si>
    <t>NickBrickMaster's Pneumatic System Simulator</t>
  </si>
  <si>
    <t>Forward Single</t>
  </si>
  <si>
    <t>Key:</t>
  </si>
  <si>
    <t>• x = Position</t>
  </si>
  <si>
    <t>• v = Velocity</t>
  </si>
  <si>
    <t>• a = Acceleration</t>
  </si>
  <si>
    <t>• orange acceleration means the wheels are slipping</t>
  </si>
  <si>
    <t>Sprocket Sizes</t>
  </si>
  <si>
    <t>#25 Plate</t>
  </si>
  <si>
    <t>#35 Plate</t>
  </si>
  <si>
    <t>17 (D)</t>
  </si>
  <si>
    <t>18 (3/8)</t>
  </si>
  <si>
    <t>24 (3/8)</t>
  </si>
  <si>
    <t>16 (3/8)</t>
  </si>
  <si>
    <t>22 (3/8)</t>
  </si>
  <si>
    <t>#25 Hex</t>
  </si>
  <si>
    <t>#35 Hex</t>
  </si>
  <si>
    <t>12 (D)</t>
  </si>
  <si>
    <t>15 (D)</t>
  </si>
  <si>
    <t>D = Double Sprocket</t>
  </si>
  <si>
    <t>3/8 = 0.375" Hex Bore</t>
  </si>
  <si>
    <t>Selected values should be between the associated Max. Power and Max. Efficiency values to keep the motor in an effective place on its curve</t>
  </si>
  <si>
    <t>Note: This calculator does not account for air resistance or projectile spin</t>
  </si>
  <si>
    <t>Use this tool to get ballpark estimates for prototyping. It does not replace the need to prototype</t>
  </si>
  <si>
    <t>Metric</t>
  </si>
  <si>
    <t>Units</t>
  </si>
  <si>
    <t>Single or 2-Speed?</t>
  </si>
  <si>
    <t>Single</t>
  </si>
  <si>
    <t># of Wheel Diameters</t>
  </si>
  <si>
    <t>One</t>
  </si>
  <si>
    <t>Imperial</t>
  </si>
  <si>
    <t>% Driven Weight</t>
  </si>
  <si>
    <t>Calculations:</t>
  </si>
  <si>
    <t>Estimated Dist = Approximate distance between pulley centers</t>
  </si>
  <si>
    <t>Round Type = Round to nearest multiple or force rounding up or down</t>
  </si>
  <si>
    <t>Modulus = Force # links to be a multiple of this number</t>
  </si>
  <si>
    <t>Pitch Diameter = Effective diameter of the pulley/sprocket</t>
  </si>
  <si>
    <t>Actual Dist = Exact C-C distance, including C-C addition</t>
  </si>
  <si>
    <t>Clearance = Space between sprockets (if negative, sprockets crash)</t>
  </si>
  <si>
    <t>Belt Sizes</t>
  </si>
  <si>
    <t>9mm HTD</t>
  </si>
  <si>
    <t>15mm HTD</t>
  </si>
  <si>
    <t>9mm GT2</t>
  </si>
  <si>
    <t>This sheet contains useful dimensions, sizes, and specifications for FRC COTS parts. Includes belt &amp; chain dimensions; motor specifications; COTS FRC drive gearbox reduction options; and COTS sprocket and belt sizes. Parts listed are from VexPro, AndyMark, and West Coast Products.</t>
  </si>
  <si>
    <t>Version 4</t>
  </si>
  <si>
    <t>Leadscrew Calculator</t>
  </si>
  <si>
    <t># of Starts</t>
  </si>
  <si>
    <t>Thread Angle</t>
  </si>
  <si>
    <t>Screw Material</t>
  </si>
  <si>
    <t>Nut Material</t>
  </si>
  <si>
    <t>Lubricated?</t>
  </si>
  <si>
    <t>Yes</t>
  </si>
  <si>
    <t>Steel</t>
  </si>
  <si>
    <t>Rotational Speed (rpm)</t>
  </si>
  <si>
    <t>Backdrive-able</t>
  </si>
  <si>
    <t>Efficiency</t>
  </si>
  <si>
    <t>Equivalent Radius (in)</t>
  </si>
  <si>
    <t>Pneumatic Linkage Calculator</t>
  </si>
  <si>
    <t>A</t>
  </si>
  <si>
    <t>B</t>
  </si>
  <si>
    <t>X</t>
  </si>
  <si>
    <t>Shigley's Mechanical Engineering Design</t>
  </si>
  <si>
    <t>Stroke</t>
  </si>
  <si>
    <t>Retracted</t>
  </si>
  <si>
    <r>
      <t xml:space="preserve">Retracted </t>
    </r>
    <r>
      <rPr>
        <sz val="11"/>
        <color theme="1"/>
        <rFont val="Calibri"/>
        <family val="2"/>
      </rPr>
      <t>θ</t>
    </r>
  </si>
  <si>
    <r>
      <t xml:space="preserve">Extended </t>
    </r>
    <r>
      <rPr>
        <sz val="11"/>
        <color theme="1"/>
        <rFont val="Calibri"/>
        <family val="2"/>
      </rPr>
      <t>θ</t>
    </r>
  </si>
  <si>
    <t>Dotted lines represent the two lengths of the piston (extended and retracted)</t>
  </si>
  <si>
    <t>Solid lines represent the constant-length linkage</t>
  </si>
  <si>
    <t>Live View:</t>
  </si>
  <si>
    <t>Bronze</t>
  </si>
  <si>
    <t>Eq. Raise Load (lbs)</t>
  </si>
  <si>
    <t>Eq. Lower Load (lbs)</t>
  </si>
  <si>
    <t>Material</t>
  </si>
  <si>
    <t>┴  Force Btwn. Supports</t>
  </si>
  <si>
    <t>║ Buckling Force</t>
  </si>
  <si>
    <t>Beam/Axle Bend Calculator</t>
  </si>
  <si>
    <t>K (see chart)</t>
  </si>
  <si>
    <t>┴  Cantilevered Force</t>
  </si>
  <si>
    <t>Twisting Torque</t>
  </si>
  <si>
    <t>Twist Angle (deg)</t>
  </si>
  <si>
    <t>Beam/Axle Type</t>
  </si>
  <si>
    <t xml:space="preserve"> = Warning</t>
  </si>
  <si>
    <t>Round</t>
  </si>
  <si>
    <t>Current Warning (A)</t>
  </si>
  <si>
    <t>Voltage Warning (V)</t>
  </si>
  <si>
    <t>Warning Levels:</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</si>
</sst>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0.000"/>
    <numFmt numFmtId="165" formatCode="0.00\:\1"/>
    <numFmt numFmtId="166" formatCode="0.0"/>
    <numFmt numFmtId="167" formatCode="0.00\x"/>
    <numFmt numFmtId="168" formatCode="0.00000"/>
    <numFmt numFmtId="169" formatCode="0.0000000"/>
    <numFmt numFmtId="170" formatCode="0.0000000000"/>
    <numFmt numFmtId="171" formatCode="0.000000000000"/>
    <numFmt numFmtId="172" formatCode="00\°"/>
    <numFmt numFmtId="173" formatCode="0.0%"/>
    <numFmt numFmtId="174" formatCode="0.000000"/>
  </numFmts>
  <fonts count="23"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0"/>
      <name val="Arial"/>
      <family val="2"/>
    </font>
    <font>
      <sz val="12"/>
      <color theme="1"/>
      <name val="Calibri"/>
      <family val="2"/>
      <scheme val="minor"/>
    </font>
    <font>
      <sz val="24"/>
      <color theme="1"/>
      <name val="Calibri"/>
      <family val="2"/>
      <scheme val="minor"/>
    </font>
    <font>
      <sz val="10"/>
      <color theme="1"/>
      <name val="Arial"/>
      <family val="2"/>
    </font>
    <font>
      <b/>
      <sz val="10"/>
      <name val="Arial"/>
      <family val="2"/>
    </font>
    <font>
      <b/>
      <sz val="10"/>
      <color theme="1"/>
      <name val="Arial"/>
      <family val="2"/>
    </font>
    <font>
      <u/>
      <sz val="11"/>
      <color theme="10"/>
      <name val="Calibri"/>
      <family val="2"/>
      <scheme val="minor"/>
    </font>
    <font>
      <sz val="24"/>
      <color rgb="FFFF0000"/>
      <name val="Calibri"/>
      <family val="2"/>
      <scheme val="minor"/>
    </font>
    <font>
      <u/>
      <sz val="11"/>
      <color theme="1"/>
      <name val="Calibri"/>
      <family val="2"/>
      <scheme val="minor"/>
    </font>
    <font>
      <sz val="11"/>
      <name val="Symbol"/>
      <family val="1"/>
      <charset val="2"/>
    </font>
    <font>
      <sz val="11"/>
      <name val="Arial"/>
      <family val="2"/>
    </font>
    <font>
      <b/>
      <sz val="11"/>
      <name val="Calibri"/>
      <family val="2"/>
      <scheme val="minor"/>
    </font>
    <font>
      <b/>
      <sz val="14"/>
      <name val="Calibri"/>
      <family val="2"/>
      <scheme val="minor"/>
    </font>
    <font>
      <sz val="24"/>
      <name val="Calibri"/>
      <family val="2"/>
      <scheme val="minor"/>
    </font>
    <font>
      <b/>
      <sz val="11"/>
      <color rgb="FFFF0000"/>
      <name val="Calibri"/>
      <family val="2"/>
      <scheme val="minor"/>
    </font>
    <font>
      <sz val="11"/>
      <color theme="1"/>
      <name val="Calibri"/>
      <family val="2"/>
    </font>
    <font>
      <sz val="11"/>
      <color rgb="FF9C6500"/>
      <name val="Calibri"/>
      <family val="2"/>
      <scheme val="minor"/>
    </font>
  </fonts>
  <fills count="10">
    <fill>
      <patternFill patternType="none"/>
    </fill>
    <fill>
      <patternFill patternType="gray125"/>
    </fill>
    <fill>
      <patternFill patternType="solid">
        <fgColor theme="5" tint="0.59999389629810485"/>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0"/>
        <bgColor indexed="64"/>
      </patternFill>
    </fill>
    <fill>
      <patternFill patternType="solid">
        <fgColor theme="5"/>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rgb="FFFFEB9C"/>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theme="1" tint="0.499984740745262"/>
      </bottom>
      <diagonal/>
    </border>
    <border>
      <left/>
      <right style="thin">
        <color indexed="64"/>
      </right>
      <top style="thin">
        <color indexed="64"/>
      </top>
      <bottom style="thin">
        <color theme="1" tint="0.499984740745262"/>
      </bottom>
      <diagonal/>
    </border>
    <border>
      <left style="thin">
        <color theme="1" tint="0.499984740745262"/>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indexed="64"/>
      </bottom>
      <diagonal/>
    </border>
    <border>
      <left style="thin">
        <color indexed="64"/>
      </left>
      <right style="thin">
        <color theme="1" tint="0.499984740745262"/>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theme="0" tint="-0.499984740745262"/>
      </right>
      <top style="thin">
        <color indexed="64"/>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style="thin">
        <color indexed="64"/>
      </bottom>
      <diagonal/>
    </border>
    <border>
      <left style="thin">
        <color indexed="64"/>
      </left>
      <right style="thin">
        <color theme="1" tint="0.499984740745262"/>
      </right>
      <top style="thin">
        <color indexed="64"/>
      </top>
      <bottom style="thin">
        <color theme="1" tint="0.499984740745262"/>
      </bottom>
      <diagonal/>
    </border>
    <border>
      <left style="thin">
        <color theme="1" tint="0.499984740745262"/>
      </left>
      <right style="thin">
        <color indexed="64"/>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indexed="64"/>
      </bottom>
      <diagonal/>
    </border>
    <border>
      <left style="thin">
        <color indexed="64"/>
      </left>
      <right style="thin">
        <color indexed="64"/>
      </right>
      <top/>
      <bottom/>
      <diagonal/>
    </border>
    <border>
      <left style="thin">
        <color indexed="64"/>
      </left>
      <right style="thin">
        <color indexed="64"/>
      </right>
      <top/>
      <bottom style="thin">
        <color theme="1" tint="0.499984740745262"/>
      </bottom>
      <diagonal/>
    </border>
    <border>
      <left style="thin">
        <color indexed="64"/>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indexed="64"/>
      </left>
      <right style="thin">
        <color indexed="64"/>
      </right>
      <top style="thin">
        <color theme="1" tint="0.499984740745262"/>
      </top>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thin">
        <color indexed="64"/>
      </right>
      <top style="thin">
        <color theme="1" tint="0.499984740745262"/>
      </top>
      <bottom style="thin">
        <color indexed="64"/>
      </bottom>
      <diagonal/>
    </border>
    <border>
      <left/>
      <right style="thin">
        <color indexed="64"/>
      </right>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right style="thin">
        <color theme="1" tint="0.499984740745262"/>
      </right>
      <top style="thin">
        <color indexed="64"/>
      </top>
      <bottom style="thin">
        <color theme="1" tint="0.499984740745262"/>
      </bottom>
      <diagonal/>
    </border>
    <border>
      <left/>
      <right style="thin">
        <color theme="1" tint="0.499984740745262"/>
      </right>
      <top style="thin">
        <color theme="1" tint="0.499984740745262"/>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1" tint="0.499984740745262"/>
      </left>
      <right style="thin">
        <color indexed="64"/>
      </right>
      <top/>
      <bottom style="thin">
        <color theme="1" tint="0.499984740745262"/>
      </bottom>
      <diagonal/>
    </border>
    <border>
      <left/>
      <right style="thin">
        <color theme="1" tint="0.499984740745262"/>
      </right>
      <top/>
      <bottom style="thin">
        <color theme="1" tint="0.499984740745262"/>
      </bottom>
      <diagonal/>
    </border>
    <border>
      <left/>
      <right style="thin">
        <color theme="1" tint="0.499984740745262"/>
      </right>
      <top/>
      <bottom style="thin">
        <color indexed="64"/>
      </bottom>
      <diagonal/>
    </border>
    <border>
      <left/>
      <right style="thin">
        <color theme="1" tint="0.499984740745262"/>
      </right>
      <top style="thin">
        <color theme="1" tint="0.499984740745262"/>
      </top>
      <bottom/>
      <diagonal/>
    </border>
    <border>
      <left style="thin">
        <color theme="1" tint="0.499984740745262"/>
      </left>
      <right style="thin">
        <color indexed="64"/>
      </right>
      <top/>
      <bottom style="thin">
        <color indexed="64"/>
      </bottom>
      <diagonal/>
    </border>
    <border>
      <left style="thin">
        <color theme="1" tint="0.499984740745262"/>
      </left>
      <right style="thin">
        <color indexed="64"/>
      </right>
      <top style="thin">
        <color theme="1" tint="0.499984740745262"/>
      </top>
      <bottom/>
      <diagonal/>
    </border>
    <border>
      <left style="thin">
        <color theme="1"/>
      </left>
      <right/>
      <top/>
      <bottom/>
      <diagonal/>
    </border>
    <border>
      <left style="thin">
        <color theme="1"/>
      </left>
      <right style="thin">
        <color theme="1"/>
      </right>
      <top style="thin">
        <color theme="1"/>
      </top>
      <bottom/>
      <diagonal/>
    </border>
    <border>
      <left/>
      <right/>
      <top style="thin">
        <color theme="1"/>
      </top>
      <bottom/>
      <diagonal/>
    </border>
    <border>
      <left/>
      <right style="thin">
        <color theme="1"/>
      </right>
      <top style="thin">
        <color theme="1"/>
      </top>
      <bottom/>
      <diagonal/>
    </border>
    <border>
      <left/>
      <right style="thin">
        <color theme="1" tint="0.499984740745262"/>
      </right>
      <top/>
      <bottom/>
      <diagonal/>
    </border>
    <border>
      <left/>
      <right style="thin">
        <color theme="1" tint="0.499984740745262"/>
      </right>
      <top/>
      <bottom style="thin">
        <color theme="1"/>
      </bottom>
      <diagonal/>
    </border>
    <border>
      <left style="thin">
        <color theme="1"/>
      </left>
      <right style="thin">
        <color theme="1" tint="0.499984740745262"/>
      </right>
      <top style="thin">
        <color theme="1" tint="0.499984740745262"/>
      </top>
      <bottom/>
      <diagonal/>
    </border>
    <border>
      <left style="thin">
        <color theme="1"/>
      </left>
      <right style="thin">
        <color theme="1" tint="0.499984740745262"/>
      </right>
      <top/>
      <bottom/>
      <diagonal/>
    </border>
    <border>
      <left style="thin">
        <color theme="1"/>
      </left>
      <right style="thin">
        <color theme="1" tint="0.499984740745262"/>
      </right>
      <top/>
      <bottom style="thin">
        <color theme="1"/>
      </bottom>
      <diagonal/>
    </border>
    <border>
      <left style="thin">
        <color indexed="64"/>
      </left>
      <right style="thin">
        <color theme="1" tint="0.499984740745262"/>
      </right>
      <top style="thin">
        <color theme="1" tint="0.499984740745262"/>
      </top>
      <bottom/>
      <diagonal/>
    </border>
    <border>
      <left style="thin">
        <color indexed="64"/>
      </left>
      <right style="thin">
        <color theme="1" tint="0.499984740745262"/>
      </right>
      <top/>
      <bottom/>
      <diagonal/>
    </border>
    <border>
      <left style="thin">
        <color indexed="64"/>
      </left>
      <right style="thin">
        <color theme="1" tint="0.499984740745262"/>
      </right>
      <top/>
      <bottom style="thin">
        <color indexed="64"/>
      </bottom>
      <diagonal/>
    </border>
    <border>
      <left/>
      <right style="thin">
        <color theme="1"/>
      </right>
      <top style="thin">
        <color indexed="64"/>
      </top>
      <bottom style="thin">
        <color theme="1" tint="0.499984740745262"/>
      </bottom>
      <diagonal/>
    </border>
  </borders>
  <cellStyleXfs count="6">
    <xf numFmtId="0" fontId="0" fillId="0" borderId="0"/>
    <xf numFmtId="9" fontId="1" fillId="0" borderId="0" applyFont="0" applyFill="0" applyBorder="0" applyAlignment="0" applyProtection="0"/>
    <xf numFmtId="0" fontId="7" fillId="0" borderId="0"/>
    <xf numFmtId="0" fontId="12" fillId="0" borderId="0" applyNumberFormat="0" applyFill="0" applyBorder="0" applyAlignment="0" applyProtection="0"/>
    <xf numFmtId="0" fontId="5" fillId="6" borderId="0" applyNumberFormat="0" applyBorder="0" applyAlignment="0" applyProtection="0"/>
    <xf numFmtId="0" fontId="22" fillId="9" borderId="0" applyNumberFormat="0" applyBorder="0" applyAlignment="0" applyProtection="0"/>
  </cellStyleXfs>
  <cellXfs count="278">
    <xf numFmtId="0" fontId="0" fillId="0" borderId="0" xfId="0"/>
    <xf numFmtId="0" fontId="0" fillId="0" borderId="1" xfId="0" applyBorder="1"/>
    <xf numFmtId="0" fontId="0" fillId="3" borderId="1" xfId="0" applyFill="1" applyBorder="1"/>
    <xf numFmtId="0" fontId="8" fillId="0" borderId="0" xfId="0" applyFont="1"/>
    <xf numFmtId="0" fontId="2" fillId="0" borderId="0" xfId="0" applyFont="1"/>
    <xf numFmtId="0" fontId="4" fillId="0" borderId="0" xfId="0" applyFont="1"/>
    <xf numFmtId="2" fontId="10" fillId="0" borderId="0" xfId="2" applyNumberFormat="1" applyFont="1" applyBorder="1" applyAlignment="1">
      <alignment horizontal="right" vertical="center" wrapText="1"/>
    </xf>
    <xf numFmtId="0" fontId="0" fillId="0" borderId="0" xfId="0" applyFont="1"/>
    <xf numFmtId="2" fontId="6" fillId="0" borderId="19" xfId="2" applyNumberFormat="1" applyFont="1" applyFill="1" applyBorder="1" applyAlignment="1">
      <alignment horizontal="center" vertical="center" wrapText="1"/>
    </xf>
    <xf numFmtId="2" fontId="9" fillId="0" borderId="19" xfId="2" applyNumberFormat="1" applyFont="1" applyFill="1" applyBorder="1" applyAlignment="1">
      <alignment horizontal="center" vertical="center"/>
    </xf>
    <xf numFmtId="0" fontId="6" fillId="0" borderId="19" xfId="2" applyNumberFormat="1" applyFont="1" applyFill="1" applyBorder="1" applyAlignment="1">
      <alignment horizontal="center" vertical="center" wrapText="1"/>
    </xf>
    <xf numFmtId="0" fontId="6" fillId="0" borderId="33" xfId="2" applyNumberFormat="1" applyFont="1" applyFill="1" applyBorder="1" applyAlignment="1">
      <alignment horizontal="center" vertical="center" wrapText="1"/>
    </xf>
    <xf numFmtId="2" fontId="6" fillId="0" borderId="30" xfId="2" applyNumberFormat="1" applyFont="1" applyFill="1" applyBorder="1" applyAlignment="1">
      <alignment horizontal="center" vertical="center" wrapText="1"/>
    </xf>
    <xf numFmtId="0" fontId="6" fillId="0" borderId="31" xfId="2" applyNumberFormat="1" applyFont="1" applyFill="1" applyBorder="1" applyAlignment="1">
      <alignment horizontal="center" vertical="center" wrapText="1"/>
    </xf>
    <xf numFmtId="1" fontId="6" fillId="0" borderId="33" xfId="2" applyNumberFormat="1" applyFont="1" applyFill="1" applyBorder="1" applyAlignment="1">
      <alignment horizontal="center" vertical="center" wrapText="1"/>
    </xf>
    <xf numFmtId="1" fontId="9" fillId="0" borderId="33" xfId="2" applyNumberFormat="1" applyFont="1" applyFill="1" applyBorder="1" applyAlignment="1">
      <alignment horizontal="center" vertical="center"/>
    </xf>
    <xf numFmtId="1" fontId="6" fillId="0" borderId="34" xfId="2" applyNumberFormat="1" applyFont="1" applyBorder="1" applyAlignment="1">
      <alignment horizontal="center" vertical="center" wrapText="1"/>
    </xf>
    <xf numFmtId="1" fontId="6" fillId="0" borderId="33" xfId="2" applyNumberFormat="1" applyFont="1" applyBorder="1" applyAlignment="1">
      <alignment horizontal="center" vertical="center" wrapText="1"/>
    </xf>
    <xf numFmtId="2" fontId="10" fillId="0" borderId="7" xfId="2" applyNumberFormat="1" applyFont="1" applyFill="1" applyBorder="1" applyAlignment="1">
      <alignment horizontal="right" vertical="center" wrapText="1"/>
    </xf>
    <xf numFmtId="2" fontId="10" fillId="0" borderId="29" xfId="2" applyNumberFormat="1" applyFont="1" applyFill="1" applyBorder="1" applyAlignment="1">
      <alignment horizontal="right" vertical="center" wrapText="1"/>
    </xf>
    <xf numFmtId="2" fontId="6" fillId="0" borderId="12" xfId="2" applyNumberFormat="1" applyFont="1" applyFill="1" applyBorder="1" applyAlignment="1">
      <alignment horizontal="center" vertical="center" wrapText="1"/>
    </xf>
    <xf numFmtId="2" fontId="9" fillId="0" borderId="22" xfId="2" applyNumberFormat="1" applyFont="1" applyBorder="1" applyAlignment="1">
      <alignment horizontal="center" vertical="center" wrapText="1"/>
    </xf>
    <xf numFmtId="2" fontId="9" fillId="0" borderId="25" xfId="2" applyNumberFormat="1" applyFont="1" applyBorder="1" applyAlignment="1">
      <alignment horizontal="center" vertical="center" wrapText="1"/>
    </xf>
    <xf numFmtId="1" fontId="6" fillId="0" borderId="38" xfId="2" applyNumberFormat="1" applyFont="1" applyFill="1" applyBorder="1" applyAlignment="1">
      <alignment horizontal="center" vertical="center" wrapText="1"/>
    </xf>
    <xf numFmtId="2" fontId="10" fillId="0" borderId="5" xfId="2" applyNumberFormat="1" applyFont="1" applyFill="1" applyBorder="1" applyAlignment="1">
      <alignment horizontal="left" vertical="center" wrapText="1"/>
    </xf>
    <xf numFmtId="2" fontId="10" fillId="0" borderId="7" xfId="2" applyNumberFormat="1" applyFont="1" applyFill="1" applyBorder="1" applyAlignment="1">
      <alignment horizontal="left" vertical="center" wrapText="1"/>
    </xf>
    <xf numFmtId="2" fontId="10" fillId="0" borderId="15" xfId="2" applyNumberFormat="1" applyFont="1" applyBorder="1" applyAlignment="1">
      <alignment horizontal="center" vertical="center" wrapText="1"/>
    </xf>
    <xf numFmtId="2" fontId="10" fillId="0" borderId="11" xfId="2" applyNumberFormat="1" applyFont="1" applyBorder="1" applyAlignment="1">
      <alignment horizontal="center" vertical="center" wrapText="1"/>
    </xf>
    <xf numFmtId="2" fontId="10" fillId="0" borderId="10" xfId="2" applyNumberFormat="1" applyFont="1" applyBorder="1" applyAlignment="1">
      <alignment horizontal="center" vertical="center" wrapText="1"/>
    </xf>
    <xf numFmtId="0" fontId="0" fillId="0" borderId="1" xfId="0" applyFont="1" applyBorder="1"/>
    <xf numFmtId="0" fontId="0" fillId="0" borderId="1" xfId="0" applyFont="1" applyFill="1" applyBorder="1"/>
    <xf numFmtId="0" fontId="0" fillId="3" borderId="1" xfId="0" applyFont="1" applyFill="1" applyBorder="1"/>
    <xf numFmtId="0" fontId="18" fillId="0" borderId="0" xfId="0" applyFont="1"/>
    <xf numFmtId="1" fontId="0" fillId="0" borderId="1" xfId="0" applyNumberFormat="1" applyFont="1" applyFill="1" applyBorder="1" applyAlignment="1">
      <alignment horizontal="center" vertical="center"/>
    </xf>
    <xf numFmtId="2" fontId="0" fillId="0" borderId="1" xfId="0" applyNumberFormat="1" applyFont="1" applyFill="1" applyBorder="1" applyAlignment="1">
      <alignment horizontal="center" vertical="center"/>
    </xf>
    <xf numFmtId="166" fontId="0" fillId="0" borderId="1" xfId="0" applyNumberFormat="1" applyFont="1" applyFill="1" applyBorder="1" applyAlignment="1">
      <alignment horizontal="center" vertical="center"/>
    </xf>
    <xf numFmtId="9" fontId="0" fillId="3" borderId="1" xfId="1" applyFont="1" applyFill="1" applyBorder="1"/>
    <xf numFmtId="0" fontId="0" fillId="3" borderId="1" xfId="1" applyNumberFormat="1" applyFont="1" applyFill="1" applyBorder="1"/>
    <xf numFmtId="0" fontId="0" fillId="0" borderId="1" xfId="0" applyNumberFormat="1" applyFont="1" applyFill="1" applyBorder="1" applyAlignment="1">
      <alignment horizontal="center" vertical="center"/>
    </xf>
    <xf numFmtId="165" fontId="0" fillId="2" borderId="1" xfId="0" applyNumberFormat="1" applyFont="1" applyFill="1" applyBorder="1"/>
    <xf numFmtId="165" fontId="0" fillId="3" borderId="1" xfId="0" applyNumberFormat="1" applyFill="1" applyBorder="1"/>
    <xf numFmtId="0" fontId="3" fillId="4" borderId="41" xfId="0" applyFont="1" applyFill="1" applyBorder="1"/>
    <xf numFmtId="0" fontId="0" fillId="4" borderId="42" xfId="0" applyFill="1" applyBorder="1"/>
    <xf numFmtId="0" fontId="0" fillId="4" borderId="40" xfId="0" applyFill="1" applyBorder="1"/>
    <xf numFmtId="0" fontId="0" fillId="4" borderId="2" xfId="0" applyFill="1" applyBorder="1"/>
    <xf numFmtId="0" fontId="0" fillId="4" borderId="0" xfId="0" applyFill="1" applyBorder="1"/>
    <xf numFmtId="0" fontId="0" fillId="4" borderId="3" xfId="0" applyFill="1" applyBorder="1"/>
    <xf numFmtId="0" fontId="0" fillId="4" borderId="6" xfId="0" applyFill="1" applyBorder="1"/>
    <xf numFmtId="0" fontId="0" fillId="4" borderId="43" xfId="0" applyFill="1" applyBorder="1"/>
    <xf numFmtId="0" fontId="0" fillId="4" borderId="4" xfId="0" applyFill="1" applyBorder="1"/>
    <xf numFmtId="2" fontId="0" fillId="2" borderId="1" xfId="0" applyNumberFormat="1" applyFill="1" applyBorder="1"/>
    <xf numFmtId="0" fontId="0" fillId="3" borderId="1" xfId="0" applyFill="1" applyBorder="1" applyAlignment="1">
      <alignment vertical="top"/>
    </xf>
    <xf numFmtId="168" fontId="0" fillId="0" borderId="0" xfId="0" applyNumberFormat="1"/>
    <xf numFmtId="169" fontId="0" fillId="0" borderId="0" xfId="0" applyNumberFormat="1"/>
    <xf numFmtId="170" fontId="0" fillId="0" borderId="0" xfId="0" applyNumberFormat="1"/>
    <xf numFmtId="171" fontId="0" fillId="0" borderId="0" xfId="0" applyNumberFormat="1"/>
    <xf numFmtId="167" fontId="0" fillId="3" borderId="1" xfId="0" applyNumberFormat="1" applyFill="1" applyBorder="1"/>
    <xf numFmtId="0" fontId="0" fillId="0" borderId="0" xfId="0" applyAlignment="1">
      <alignment vertical="center"/>
    </xf>
    <xf numFmtId="0" fontId="8" fillId="0" borderId="0" xfId="0" applyFont="1" applyAlignment="1">
      <alignment vertical="center"/>
    </xf>
    <xf numFmtId="0" fontId="0" fillId="0" borderId="1" xfId="0" applyBorder="1" applyAlignment="1">
      <alignment vertical="center"/>
    </xf>
    <xf numFmtId="0" fontId="0" fillId="3" borderId="1" xfId="0" applyFill="1" applyBorder="1" applyAlignment="1">
      <alignment vertical="center"/>
    </xf>
    <xf numFmtId="0" fontId="0" fillId="3" borderId="16" xfId="0" applyFill="1" applyBorder="1" applyAlignment="1">
      <alignment vertical="center"/>
    </xf>
    <xf numFmtId="0" fontId="0" fillId="0" borderId="3" xfId="0" applyBorder="1" applyAlignment="1">
      <alignment vertical="center"/>
    </xf>
    <xf numFmtId="0" fontId="0" fillId="2" borderId="1" xfId="0" applyFill="1" applyBorder="1" applyAlignment="1">
      <alignment vertical="center"/>
    </xf>
    <xf numFmtId="0" fontId="0" fillId="0" borderId="1" xfId="0" applyFill="1" applyBorder="1" applyAlignment="1">
      <alignment vertical="center"/>
    </xf>
    <xf numFmtId="166" fontId="0" fillId="2" borderId="1" xfId="0" applyNumberFormat="1" applyFill="1" applyBorder="1" applyAlignment="1">
      <alignment vertical="center"/>
    </xf>
    <xf numFmtId="0" fontId="0" fillId="0" borderId="0" xfId="0" applyAlignment="1">
      <alignment horizontal="right" vertical="center"/>
    </xf>
    <xf numFmtId="0" fontId="4" fillId="0" borderId="0" xfId="0" applyFont="1" applyAlignment="1">
      <alignment vertical="center"/>
    </xf>
    <xf numFmtId="0" fontId="0" fillId="0" borderId="0" xfId="0" applyBorder="1" applyAlignment="1">
      <alignment vertical="center"/>
    </xf>
    <xf numFmtId="0" fontId="0" fillId="0" borderId="0" xfId="0" applyFont="1" applyAlignment="1">
      <alignment vertical="center"/>
    </xf>
    <xf numFmtId="0" fontId="3" fillId="0" borderId="1" xfId="0" applyFont="1" applyBorder="1" applyAlignment="1">
      <alignment vertical="center"/>
    </xf>
    <xf numFmtId="0" fontId="0" fillId="0" borderId="1" xfId="0" applyFont="1" applyBorder="1" applyAlignment="1">
      <alignment vertical="center"/>
    </xf>
    <xf numFmtId="0" fontId="0" fillId="0" borderId="1" xfId="0" applyFont="1" applyFill="1" applyBorder="1" applyAlignment="1">
      <alignment vertical="center"/>
    </xf>
    <xf numFmtId="1" fontId="0" fillId="0" borderId="1" xfId="0" applyNumberFormat="1" applyFont="1" applyBorder="1" applyAlignment="1">
      <alignment horizontal="center" vertical="center"/>
    </xf>
    <xf numFmtId="0" fontId="0" fillId="3" borderId="1" xfId="0" applyFont="1" applyFill="1" applyBorder="1" applyAlignment="1">
      <alignment vertical="center"/>
    </xf>
    <xf numFmtId="164" fontId="0" fillId="2" borderId="1" xfId="0" applyNumberFormat="1" applyFont="1" applyFill="1" applyBorder="1" applyAlignment="1">
      <alignment vertical="center"/>
    </xf>
    <xf numFmtId="2" fontId="0" fillId="0" borderId="1" xfId="0" applyNumberFormat="1" applyFont="1" applyBorder="1" applyAlignment="1">
      <alignment horizontal="center" vertical="center"/>
    </xf>
    <xf numFmtId="166" fontId="0" fillId="0" borderId="1" xfId="0" applyNumberFormat="1" applyFont="1" applyBorder="1" applyAlignment="1">
      <alignment horizontal="center" vertical="center"/>
    </xf>
    <xf numFmtId="165" fontId="0" fillId="0" borderId="0" xfId="0" applyNumberFormat="1" applyFont="1" applyAlignment="1">
      <alignment vertical="center"/>
    </xf>
    <xf numFmtId="165" fontId="5" fillId="2" borderId="1" xfId="0" applyNumberFormat="1" applyFont="1" applyFill="1" applyBorder="1" applyAlignment="1">
      <alignment vertical="center"/>
    </xf>
    <xf numFmtId="0" fontId="0" fillId="0" borderId="2" xfId="0" applyFont="1" applyFill="1" applyBorder="1" applyAlignment="1">
      <alignment vertical="center"/>
    </xf>
    <xf numFmtId="2" fontId="0" fillId="2" borderId="1" xfId="0" applyNumberFormat="1" applyFont="1" applyFill="1" applyBorder="1" applyAlignment="1">
      <alignment vertical="center"/>
    </xf>
    <xf numFmtId="9" fontId="0" fillId="3" borderId="1" xfId="1" applyFont="1" applyFill="1" applyBorder="1" applyAlignment="1">
      <alignment vertical="center"/>
    </xf>
    <xf numFmtId="0" fontId="0" fillId="2" borderId="1" xfId="0" applyFont="1" applyFill="1" applyBorder="1" applyAlignment="1">
      <alignment vertical="center"/>
    </xf>
    <xf numFmtId="0" fontId="3" fillId="0" borderId="0" xfId="0" applyFont="1" applyAlignment="1">
      <alignment vertical="center"/>
    </xf>
    <xf numFmtId="0" fontId="0" fillId="0" borderId="18" xfId="0" applyFont="1" applyFill="1" applyBorder="1" applyAlignment="1">
      <alignment vertical="center"/>
    </xf>
    <xf numFmtId="165" fontId="0" fillId="2" borderId="16" xfId="0" applyNumberFormat="1" applyFont="1" applyFill="1" applyBorder="1" applyAlignment="1">
      <alignment vertical="center"/>
    </xf>
    <xf numFmtId="0" fontId="0" fillId="3" borderId="1" xfId="1" applyNumberFormat="1" applyFont="1" applyFill="1" applyBorder="1" applyAlignment="1">
      <alignment vertical="center"/>
    </xf>
    <xf numFmtId="0" fontId="0" fillId="0" borderId="18" xfId="0" applyFont="1" applyBorder="1" applyAlignment="1">
      <alignment vertical="center"/>
    </xf>
    <xf numFmtId="2" fontId="0" fillId="2" borderId="16" xfId="0" applyNumberFormat="1" applyFont="1" applyFill="1" applyBorder="1" applyAlignment="1">
      <alignment vertical="center"/>
    </xf>
    <xf numFmtId="167" fontId="0" fillId="2" borderId="16" xfId="0" applyNumberFormat="1" applyFont="1" applyFill="1" applyBorder="1" applyAlignment="1">
      <alignment vertical="center"/>
    </xf>
    <xf numFmtId="0" fontId="3" fillId="0" borderId="0" xfId="0" applyFont="1" applyFill="1" applyAlignment="1">
      <alignment horizontal="left" vertical="center"/>
    </xf>
    <xf numFmtId="0" fontId="3" fillId="0" borderId="0" xfId="0" applyFont="1" applyAlignment="1">
      <alignment horizontal="left" vertical="center"/>
    </xf>
    <xf numFmtId="165" fontId="0" fillId="2" borderId="1" xfId="0" applyNumberFormat="1" applyFont="1" applyFill="1" applyBorder="1" applyAlignment="1">
      <alignment vertical="center"/>
    </xf>
    <xf numFmtId="2" fontId="0" fillId="3" borderId="1" xfId="0" applyNumberFormat="1" applyFont="1" applyFill="1" applyBorder="1" applyAlignment="1">
      <alignment vertical="center"/>
    </xf>
    <xf numFmtId="166" fontId="0" fillId="2" borderId="1" xfId="0" applyNumberFormat="1" applyFont="1" applyFill="1" applyBorder="1" applyAlignment="1">
      <alignment vertical="center"/>
    </xf>
    <xf numFmtId="166" fontId="0" fillId="3" borderId="1" xfId="0" applyNumberFormat="1" applyFont="1" applyFill="1" applyBorder="1" applyAlignment="1">
      <alignment vertical="center"/>
    </xf>
    <xf numFmtId="0" fontId="2" fillId="0" borderId="0" xfId="0" applyFont="1" applyAlignment="1">
      <alignment vertical="center"/>
    </xf>
    <xf numFmtId="0" fontId="0" fillId="0" borderId="0" xfId="0" applyFont="1" applyBorder="1" applyAlignment="1">
      <alignment vertical="center"/>
    </xf>
    <xf numFmtId="0" fontId="5" fillId="0" borderId="0" xfId="0" applyFont="1" applyAlignment="1">
      <alignment vertical="center"/>
    </xf>
    <xf numFmtId="0" fontId="19" fillId="0" borderId="0" xfId="0" applyFont="1" applyAlignment="1">
      <alignment vertical="center"/>
    </xf>
    <xf numFmtId="0" fontId="5" fillId="3" borderId="1" xfId="0" applyFont="1" applyFill="1" applyBorder="1" applyAlignment="1">
      <alignment vertical="center"/>
    </xf>
    <xf numFmtId="0" fontId="18" fillId="0" borderId="0" xfId="0" applyFont="1" applyAlignment="1">
      <alignment vertical="center"/>
    </xf>
    <xf numFmtId="0" fontId="5" fillId="0" borderId="1" xfId="0" applyFont="1" applyBorder="1" applyAlignment="1">
      <alignment vertical="center"/>
    </xf>
    <xf numFmtId="2" fontId="5" fillId="3" borderId="1" xfId="0" applyNumberFormat="1" applyFont="1" applyFill="1" applyBorder="1" applyAlignment="1">
      <alignment vertical="center"/>
    </xf>
    <xf numFmtId="2" fontId="5" fillId="3" borderId="1" xfId="1" applyNumberFormat="1" applyFont="1" applyFill="1" applyBorder="1" applyAlignment="1">
      <alignment vertical="center"/>
    </xf>
    <xf numFmtId="166" fontId="4" fillId="0" borderId="0" xfId="0" applyNumberFormat="1" applyFont="1" applyAlignment="1">
      <alignment vertical="center"/>
    </xf>
    <xf numFmtId="166" fontId="5" fillId="3" borderId="1" xfId="1" applyNumberFormat="1" applyFont="1" applyFill="1" applyBorder="1" applyAlignment="1">
      <alignment vertical="center"/>
    </xf>
    <xf numFmtId="1" fontId="5" fillId="3" borderId="1" xfId="1" applyNumberFormat="1" applyFont="1" applyFill="1" applyBorder="1" applyAlignment="1">
      <alignment vertical="center"/>
    </xf>
    <xf numFmtId="2" fontId="5" fillId="2" borderId="1" xfId="0" applyNumberFormat="1" applyFont="1" applyFill="1" applyBorder="1" applyAlignment="1">
      <alignment vertical="center"/>
    </xf>
    <xf numFmtId="166" fontId="5" fillId="2" borderId="1" xfId="0" applyNumberFormat="1" applyFont="1" applyFill="1" applyBorder="1" applyAlignment="1">
      <alignment vertical="center"/>
    </xf>
    <xf numFmtId="1" fontId="5" fillId="2" borderId="1" xfId="0" applyNumberFormat="1" applyFont="1" applyFill="1" applyBorder="1" applyAlignment="1">
      <alignment vertical="center"/>
    </xf>
    <xf numFmtId="0" fontId="17" fillId="0" borderId="41" xfId="0" applyFont="1" applyBorder="1" applyAlignment="1">
      <alignment vertical="center"/>
    </xf>
    <xf numFmtId="0" fontId="5" fillId="0" borderId="42" xfId="0" applyFont="1" applyBorder="1" applyAlignment="1">
      <alignment vertical="center"/>
    </xf>
    <xf numFmtId="0" fontId="5" fillId="0" borderId="40" xfId="0" applyFont="1" applyBorder="1" applyAlignment="1">
      <alignment vertical="center"/>
    </xf>
    <xf numFmtId="0" fontId="5" fillId="0" borderId="2" xfId="0" applyFont="1" applyBorder="1" applyAlignment="1">
      <alignment vertical="center"/>
    </xf>
    <xf numFmtId="0" fontId="5" fillId="0" borderId="0" xfId="0" applyFont="1" applyBorder="1" applyAlignment="1">
      <alignment vertical="center"/>
    </xf>
    <xf numFmtId="0" fontId="5" fillId="0" borderId="3" xfId="0" applyFont="1" applyBorder="1" applyAlignment="1">
      <alignment vertical="center"/>
    </xf>
    <xf numFmtId="0" fontId="0" fillId="0" borderId="2" xfId="0" applyFont="1" applyBorder="1" applyAlignment="1">
      <alignment vertical="center"/>
    </xf>
    <xf numFmtId="0" fontId="0" fillId="0" borderId="3" xfId="0" applyFont="1" applyBorder="1" applyAlignment="1">
      <alignment vertical="center"/>
    </xf>
    <xf numFmtId="0" fontId="5" fillId="0" borderId="6" xfId="0" applyFont="1" applyBorder="1" applyAlignment="1">
      <alignment vertical="center"/>
    </xf>
    <xf numFmtId="0" fontId="5" fillId="0" borderId="43" xfId="0" applyFont="1" applyBorder="1" applyAlignment="1">
      <alignment vertical="center"/>
    </xf>
    <xf numFmtId="0" fontId="5" fillId="0" borderId="4" xfId="0" applyFont="1" applyBorder="1" applyAlignment="1">
      <alignment vertical="center"/>
    </xf>
    <xf numFmtId="0" fontId="0" fillId="0" borderId="0" xfId="0" applyFont="1" applyAlignment="1">
      <alignment horizontal="right" vertical="center"/>
    </xf>
    <xf numFmtId="0" fontId="0" fillId="0" borderId="0" xfId="0" applyFont="1" applyBorder="1" applyAlignment="1">
      <alignment horizontal="right" vertical="center"/>
    </xf>
    <xf numFmtId="2" fontId="0" fillId="0" borderId="0" xfId="0" applyNumberFormat="1" applyFont="1" applyBorder="1" applyAlignment="1">
      <alignment vertical="center"/>
    </xf>
    <xf numFmtId="0" fontId="0" fillId="0" borderId="0" xfId="0" applyFont="1" applyAlignment="1">
      <alignment horizontal="left" vertical="center"/>
    </xf>
    <xf numFmtId="0" fontId="0" fillId="3" borderId="1" xfId="0" applyFont="1" applyFill="1" applyBorder="1" applyAlignment="1">
      <alignment horizontal="right" vertical="center"/>
    </xf>
    <xf numFmtId="0" fontId="0" fillId="4" borderId="8" xfId="0" applyFont="1" applyFill="1" applyBorder="1" applyAlignment="1">
      <alignment horizontal="center" vertical="center"/>
    </xf>
    <xf numFmtId="0" fontId="15" fillId="4" borderId="12" xfId="0" applyFont="1" applyFill="1" applyBorder="1" applyAlignment="1">
      <alignment horizontal="center" vertical="center"/>
    </xf>
    <xf numFmtId="0" fontId="0" fillId="4" borderId="12" xfId="0" applyFont="1" applyFill="1" applyBorder="1" applyAlignment="1">
      <alignment horizontal="center" vertical="center"/>
    </xf>
    <xf numFmtId="0" fontId="16" fillId="4" borderId="9" xfId="0" applyFont="1" applyFill="1" applyBorder="1" applyAlignment="1">
      <alignment vertical="center"/>
    </xf>
    <xf numFmtId="0" fontId="0" fillId="4" borderId="2" xfId="0" applyFont="1" applyFill="1" applyBorder="1" applyAlignment="1">
      <alignment vertical="center"/>
    </xf>
    <xf numFmtId="0" fontId="0" fillId="4" borderId="13" xfId="0" applyFont="1" applyFill="1" applyBorder="1" applyAlignment="1">
      <alignment vertical="center"/>
    </xf>
    <xf numFmtId="0" fontId="0" fillId="4" borderId="3" xfId="0" applyFont="1" applyFill="1" applyBorder="1" applyAlignment="1">
      <alignment vertical="center"/>
    </xf>
    <xf numFmtId="0" fontId="0" fillId="4" borderId="6" xfId="0" applyFont="1" applyFill="1" applyBorder="1" applyAlignment="1">
      <alignment vertical="center"/>
    </xf>
    <xf numFmtId="0" fontId="0" fillId="4" borderId="14" xfId="0" applyFont="1" applyFill="1" applyBorder="1" applyAlignment="1">
      <alignment vertical="center"/>
    </xf>
    <xf numFmtId="0" fontId="0" fillId="4" borderId="4" xfId="0" applyFont="1" applyFill="1" applyBorder="1" applyAlignment="1">
      <alignment vertical="center"/>
    </xf>
    <xf numFmtId="165" fontId="0" fillId="3" borderId="1" xfId="0" applyNumberFormat="1" applyFill="1" applyBorder="1" applyAlignment="1">
      <alignment vertical="center"/>
    </xf>
    <xf numFmtId="2" fontId="0" fillId="2" borderId="1" xfId="0" applyNumberFormat="1" applyFill="1" applyBorder="1" applyAlignment="1">
      <alignment vertical="center"/>
    </xf>
    <xf numFmtId="164" fontId="0" fillId="2" borderId="1" xfId="0" applyNumberFormat="1" applyFill="1" applyBorder="1" applyAlignment="1">
      <alignment vertical="center"/>
    </xf>
    <xf numFmtId="0" fontId="0" fillId="3" borderId="1" xfId="0" applyFill="1" applyBorder="1" applyAlignment="1">
      <alignment horizontal="right" vertical="center"/>
    </xf>
    <xf numFmtId="0" fontId="3" fillId="0" borderId="5" xfId="0" applyFont="1" applyFill="1" applyBorder="1" applyAlignment="1">
      <alignment horizontal="left" vertical="center"/>
    </xf>
    <xf numFmtId="2" fontId="0" fillId="0" borderId="32" xfId="0" applyNumberFormat="1" applyBorder="1" applyAlignment="1">
      <alignment vertical="center"/>
    </xf>
    <xf numFmtId="0" fontId="12" fillId="0" borderId="35" xfId="3" applyBorder="1" applyAlignment="1">
      <alignment vertical="center"/>
    </xf>
    <xf numFmtId="0" fontId="0" fillId="0" borderId="27" xfId="0" applyBorder="1" applyAlignment="1">
      <alignment vertical="center"/>
    </xf>
    <xf numFmtId="2" fontId="0" fillId="0" borderId="27" xfId="0" applyNumberFormat="1" applyBorder="1" applyAlignment="1">
      <alignment vertical="center"/>
    </xf>
    <xf numFmtId="0" fontId="0" fillId="0" borderId="19" xfId="0" applyBorder="1" applyAlignment="1">
      <alignment vertical="center"/>
    </xf>
    <xf numFmtId="0" fontId="0" fillId="0" borderId="25" xfId="0" quotePrefix="1" applyBorder="1" applyAlignment="1">
      <alignment vertical="center"/>
    </xf>
    <xf numFmtId="0" fontId="0" fillId="0" borderId="27" xfId="0" applyBorder="1" applyAlignment="1">
      <alignment horizontal="right" vertical="center"/>
    </xf>
    <xf numFmtId="0" fontId="0" fillId="0" borderId="26" xfId="0" applyBorder="1" applyAlignment="1">
      <alignment vertical="center"/>
    </xf>
    <xf numFmtId="0" fontId="0" fillId="0" borderId="4" xfId="0" applyBorder="1" applyAlignment="1">
      <alignment vertical="center"/>
    </xf>
    <xf numFmtId="0" fontId="0" fillId="0" borderId="32" xfId="0" applyBorder="1" applyAlignment="1">
      <alignment vertical="center"/>
    </xf>
    <xf numFmtId="0" fontId="0" fillId="0" borderId="20" xfId="0" applyBorder="1" applyAlignment="1">
      <alignment horizontal="right" vertical="center"/>
    </xf>
    <xf numFmtId="0" fontId="0" fillId="0" borderId="27" xfId="0" applyFill="1" applyBorder="1" applyAlignment="1">
      <alignment vertical="center"/>
    </xf>
    <xf numFmtId="2" fontId="0" fillId="0" borderId="27" xfId="0" applyNumberFormat="1" applyFill="1" applyBorder="1" applyAlignment="1">
      <alignment vertical="center"/>
    </xf>
    <xf numFmtId="0" fontId="0" fillId="0" borderId="6" xfId="0" applyBorder="1" applyAlignment="1">
      <alignment vertical="center"/>
    </xf>
    <xf numFmtId="2" fontId="0" fillId="0" borderId="32" xfId="0" applyNumberFormat="1" applyFill="1" applyBorder="1" applyAlignment="1">
      <alignment vertical="center"/>
    </xf>
    <xf numFmtId="2" fontId="0" fillId="0" borderId="20" xfId="0" applyNumberFormat="1" applyBorder="1" applyAlignment="1">
      <alignment vertical="center"/>
    </xf>
    <xf numFmtId="2" fontId="0" fillId="0" borderId="27" xfId="0" applyNumberFormat="1" applyFont="1" applyBorder="1" applyAlignment="1">
      <alignment vertical="center"/>
    </xf>
    <xf numFmtId="0" fontId="0" fillId="0" borderId="27" xfId="0" applyFont="1" applyBorder="1" applyAlignment="1">
      <alignment horizontal="right" vertical="center"/>
    </xf>
    <xf numFmtId="2" fontId="0" fillId="0" borderId="27" xfId="0" applyNumberFormat="1" applyFont="1" applyFill="1" applyBorder="1" applyAlignment="1">
      <alignment vertical="center"/>
    </xf>
    <xf numFmtId="0" fontId="0" fillId="0" borderId="20" xfId="0" applyBorder="1" applyAlignment="1">
      <alignment vertical="center"/>
    </xf>
    <xf numFmtId="0" fontId="0" fillId="0" borderId="20" xfId="0" applyFill="1" applyBorder="1" applyAlignment="1">
      <alignment vertical="center"/>
    </xf>
    <xf numFmtId="2" fontId="0" fillId="0" borderId="28" xfId="0" applyNumberFormat="1" applyFont="1" applyFill="1" applyBorder="1" applyAlignment="1">
      <alignment vertical="center"/>
    </xf>
    <xf numFmtId="0" fontId="11" fillId="0" borderId="29" xfId="2" applyFont="1" applyBorder="1" applyAlignment="1">
      <alignment horizontal="right" vertical="center"/>
    </xf>
    <xf numFmtId="0" fontId="11" fillId="0" borderId="27" xfId="2" applyFont="1" applyBorder="1" applyAlignment="1">
      <alignment horizontal="right" vertical="center"/>
    </xf>
    <xf numFmtId="0" fontId="0" fillId="0" borderId="0" xfId="0" applyBorder="1" applyAlignment="1">
      <alignment horizontal="right" vertical="center"/>
    </xf>
    <xf numFmtId="2" fontId="0" fillId="0" borderId="20" xfId="0" applyNumberFormat="1" applyFont="1" applyFill="1" applyBorder="1" applyAlignment="1">
      <alignment vertical="center"/>
    </xf>
    <xf numFmtId="0" fontId="0" fillId="0" borderId="37" xfId="0" applyBorder="1" applyAlignment="1">
      <alignment vertical="center"/>
    </xf>
    <xf numFmtId="0" fontId="0" fillId="0" borderId="10"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xf>
    <xf numFmtId="0" fontId="0" fillId="0" borderId="31" xfId="0" applyBorder="1" applyAlignment="1">
      <alignment vertical="center"/>
    </xf>
    <xf numFmtId="0" fontId="0" fillId="0" borderId="31" xfId="0" quotePrefix="1" applyBorder="1" applyAlignment="1">
      <alignment vertical="center"/>
    </xf>
    <xf numFmtId="0" fontId="0" fillId="0" borderId="44" xfId="0" applyBorder="1" applyAlignment="1">
      <alignment vertical="center"/>
    </xf>
    <xf numFmtId="0" fontId="0" fillId="0" borderId="15" xfId="0" applyBorder="1" applyAlignment="1">
      <alignment vertical="center"/>
    </xf>
    <xf numFmtId="0" fontId="0" fillId="0" borderId="11" xfId="0" applyBorder="1" applyAlignment="1">
      <alignment vertical="center"/>
    </xf>
    <xf numFmtId="0" fontId="0" fillId="0" borderId="45" xfId="0" applyBorder="1" applyAlignment="1">
      <alignment vertical="center"/>
    </xf>
    <xf numFmtId="0" fontId="0" fillId="0" borderId="33" xfId="0" applyBorder="1" applyAlignment="1">
      <alignment vertical="center"/>
    </xf>
    <xf numFmtId="0" fontId="0" fillId="0" borderId="39" xfId="0" applyBorder="1" applyAlignment="1">
      <alignment vertical="center"/>
    </xf>
    <xf numFmtId="0" fontId="0" fillId="0" borderId="43" xfId="0" applyBorder="1" applyAlignment="1">
      <alignment vertical="center"/>
    </xf>
    <xf numFmtId="1" fontId="6" fillId="0" borderId="47" xfId="2" applyNumberFormat="1" applyFont="1" applyBorder="1" applyAlignment="1">
      <alignment horizontal="center" vertical="center" wrapText="1"/>
    </xf>
    <xf numFmtId="1" fontId="6" fillId="0" borderId="46" xfId="2" applyNumberFormat="1" applyFont="1" applyBorder="1" applyAlignment="1">
      <alignment horizontal="center" vertical="center" wrapText="1"/>
    </xf>
    <xf numFmtId="1" fontId="6" fillId="0" borderId="24" xfId="2" applyNumberFormat="1" applyFont="1" applyBorder="1" applyAlignment="1">
      <alignment horizontal="center" vertical="center" wrapText="1"/>
    </xf>
    <xf numFmtId="0" fontId="6" fillId="0" borderId="30" xfId="2" applyNumberFormat="1" applyFont="1" applyFill="1" applyBorder="1" applyAlignment="1">
      <alignment horizontal="center" vertical="center" wrapText="1"/>
    </xf>
    <xf numFmtId="0" fontId="6" fillId="0" borderId="14" xfId="2" applyNumberFormat="1" applyFont="1" applyFill="1" applyBorder="1" applyAlignment="1">
      <alignment horizontal="center" vertical="center" wrapText="1"/>
    </xf>
    <xf numFmtId="2" fontId="9" fillId="0" borderId="48" xfId="2" applyNumberFormat="1" applyFont="1" applyBorder="1" applyAlignment="1">
      <alignment horizontal="center" vertical="center" wrapText="1"/>
    </xf>
    <xf numFmtId="2" fontId="9" fillId="0" borderId="49" xfId="2" applyNumberFormat="1" applyFont="1" applyBorder="1" applyAlignment="1">
      <alignment horizontal="center" vertical="center" wrapText="1"/>
    </xf>
    <xf numFmtId="2" fontId="10" fillId="0" borderId="32" xfId="2" applyNumberFormat="1" applyFont="1" applyFill="1" applyBorder="1" applyAlignment="1">
      <alignment horizontal="right" vertical="center" wrapText="1"/>
    </xf>
    <xf numFmtId="0" fontId="0" fillId="0" borderId="42" xfId="0" applyBorder="1" applyAlignment="1">
      <alignment vertical="center"/>
    </xf>
    <xf numFmtId="0" fontId="0" fillId="0" borderId="19" xfId="0" quotePrefix="1" applyNumberFormat="1" applyBorder="1" applyAlignment="1">
      <alignment horizontal="right" vertical="center"/>
    </xf>
    <xf numFmtId="0" fontId="0" fillId="0" borderId="21" xfId="0" applyFont="1" applyBorder="1" applyAlignment="1">
      <alignment vertical="center"/>
    </xf>
    <xf numFmtId="0" fontId="0" fillId="0" borderId="23" xfId="0" applyFont="1" applyBorder="1" applyAlignment="1">
      <alignment vertical="center"/>
    </xf>
    <xf numFmtId="0" fontId="0" fillId="0" borderId="24" xfId="0" applyFont="1" applyBorder="1" applyAlignment="1">
      <alignment vertical="center"/>
    </xf>
    <xf numFmtId="0" fontId="20" fillId="0" borderId="0" xfId="0" applyFont="1" applyAlignment="1">
      <alignment vertical="center"/>
    </xf>
    <xf numFmtId="2" fontId="0" fillId="0" borderId="20" xfId="0" applyNumberFormat="1" applyFill="1" applyBorder="1" applyAlignment="1">
      <alignment vertical="center"/>
    </xf>
    <xf numFmtId="0" fontId="0" fillId="0" borderId="27" xfId="0" applyFont="1" applyBorder="1" applyAlignment="1">
      <alignment vertical="center"/>
    </xf>
    <xf numFmtId="0" fontId="0" fillId="0" borderId="2" xfId="0" applyBorder="1" applyAlignment="1">
      <alignment vertical="center"/>
    </xf>
    <xf numFmtId="0" fontId="0" fillId="0" borderId="2" xfId="0" applyBorder="1" applyAlignment="1">
      <alignment horizontal="right" vertical="center"/>
    </xf>
    <xf numFmtId="0" fontId="0" fillId="0" borderId="6" xfId="0" applyBorder="1" applyAlignment="1">
      <alignment horizontal="right" vertical="center"/>
    </xf>
    <xf numFmtId="0" fontId="0" fillId="0" borderId="32" xfId="0" quotePrefix="1" applyBorder="1" applyAlignment="1">
      <alignment horizontal="right" vertical="center"/>
    </xf>
    <xf numFmtId="0" fontId="0" fillId="0" borderId="27" xfId="0" quotePrefix="1" applyBorder="1" applyAlignment="1">
      <alignment horizontal="right" vertical="center"/>
    </xf>
    <xf numFmtId="0" fontId="0" fillId="0" borderId="20" xfId="0" quotePrefix="1" applyBorder="1" applyAlignment="1">
      <alignment horizontal="right" vertical="center"/>
    </xf>
    <xf numFmtId="0" fontId="0" fillId="0" borderId="6" xfId="0" applyFill="1" applyBorder="1" applyAlignment="1">
      <alignment vertical="center"/>
    </xf>
    <xf numFmtId="0" fontId="0" fillId="0" borderId="35" xfId="0" applyBorder="1" applyAlignment="1">
      <alignment vertical="center"/>
    </xf>
    <xf numFmtId="0" fontId="5" fillId="0" borderId="0" xfId="0" applyFont="1" applyAlignment="1">
      <alignment horizontal="right" vertical="center"/>
    </xf>
    <xf numFmtId="0" fontId="13" fillId="0" borderId="0" xfId="0" applyFont="1" applyAlignment="1">
      <alignment vertical="center"/>
    </xf>
    <xf numFmtId="0" fontId="7" fillId="0" borderId="0" xfId="0" applyFont="1" applyAlignment="1">
      <alignment vertical="center"/>
    </xf>
    <xf numFmtId="0" fontId="0" fillId="0" borderId="0" xfId="0" quotePrefix="1" applyAlignment="1">
      <alignment vertical="center"/>
    </xf>
    <xf numFmtId="0" fontId="14" fillId="5" borderId="5" xfId="0" applyFont="1" applyFill="1" applyBorder="1" applyAlignment="1">
      <alignment vertical="center"/>
    </xf>
    <xf numFmtId="0" fontId="0" fillId="5" borderId="27" xfId="0" applyFill="1" applyBorder="1" applyAlignment="1">
      <alignment vertical="center" wrapText="1"/>
    </xf>
    <xf numFmtId="0" fontId="0" fillId="5" borderId="20" xfId="0" applyFill="1" applyBorder="1" applyAlignment="1">
      <alignment vertical="center"/>
    </xf>
    <xf numFmtId="0" fontId="14" fillId="5" borderId="27" xfId="0" applyFont="1" applyFill="1" applyBorder="1" applyAlignment="1">
      <alignment vertical="center"/>
    </xf>
    <xf numFmtId="0" fontId="0" fillId="5" borderId="27" xfId="0" applyFill="1" applyBorder="1" applyAlignment="1">
      <alignment vertical="center"/>
    </xf>
    <xf numFmtId="0" fontId="12" fillId="5" borderId="27" xfId="3" applyFill="1" applyBorder="1" applyAlignment="1">
      <alignment vertical="center"/>
    </xf>
    <xf numFmtId="0" fontId="12" fillId="0" borderId="27" xfId="3" applyBorder="1" applyAlignment="1">
      <alignment vertical="center"/>
    </xf>
    <xf numFmtId="0" fontId="12" fillId="0" borderId="20" xfId="3" applyBorder="1" applyAlignment="1">
      <alignment vertical="center"/>
    </xf>
    <xf numFmtId="169" fontId="2" fillId="0" borderId="0" xfId="0" applyNumberFormat="1" applyFont="1"/>
    <xf numFmtId="168" fontId="2" fillId="0" borderId="0" xfId="0" applyNumberFormat="1" applyFont="1"/>
    <xf numFmtId="169" fontId="4" fillId="0" borderId="0" xfId="0" applyNumberFormat="1" applyFont="1"/>
    <xf numFmtId="0" fontId="3" fillId="0" borderId="0" xfId="0" applyFont="1"/>
    <xf numFmtId="0" fontId="0" fillId="0" borderId="50" xfId="0" applyBorder="1" applyAlignment="1">
      <alignment vertical="center"/>
    </xf>
    <xf numFmtId="0" fontId="0" fillId="0" borderId="50" xfId="0" applyFont="1" applyBorder="1" applyAlignment="1">
      <alignment vertical="center"/>
    </xf>
    <xf numFmtId="2" fontId="0" fillId="0" borderId="50" xfId="0" applyNumberFormat="1" applyBorder="1" applyAlignment="1">
      <alignment vertical="center"/>
    </xf>
    <xf numFmtId="1" fontId="0" fillId="0" borderId="50" xfId="0" applyNumberFormat="1" applyBorder="1" applyAlignment="1">
      <alignment vertical="center"/>
    </xf>
    <xf numFmtId="0" fontId="0" fillId="0" borderId="53" xfId="0" applyFont="1" applyBorder="1" applyAlignment="1">
      <alignment vertical="center"/>
    </xf>
    <xf numFmtId="0" fontId="0" fillId="0" borderId="52" xfId="0" applyBorder="1" applyAlignment="1">
      <alignment vertical="center"/>
    </xf>
    <xf numFmtId="0" fontId="0" fillId="0" borderId="51" xfId="0" applyBorder="1" applyAlignment="1">
      <alignment vertical="center"/>
    </xf>
    <xf numFmtId="0" fontId="0" fillId="0" borderId="47" xfId="0" applyBorder="1" applyAlignment="1">
      <alignment horizontal="right" vertical="center"/>
    </xf>
    <xf numFmtId="0" fontId="0" fillId="0" borderId="54" xfId="0" applyBorder="1" applyAlignment="1">
      <alignment horizontal="right" vertical="center"/>
    </xf>
    <xf numFmtId="0" fontId="0" fillId="0" borderId="55" xfId="0" applyBorder="1" applyAlignment="1">
      <alignment horizontal="right" vertical="center"/>
    </xf>
    <xf numFmtId="0" fontId="0" fillId="0" borderId="54" xfId="0" applyBorder="1" applyAlignment="1">
      <alignment vertical="center"/>
    </xf>
    <xf numFmtId="0" fontId="0" fillId="0" borderId="47" xfId="0" applyBorder="1" applyAlignment="1">
      <alignment vertical="center"/>
    </xf>
    <xf numFmtId="0" fontId="0" fillId="0" borderId="56" xfId="0" applyBorder="1" applyAlignment="1">
      <alignment horizontal="right" vertical="center"/>
    </xf>
    <xf numFmtId="0" fontId="0" fillId="0" borderId="57" xfId="0" applyBorder="1" applyAlignment="1">
      <alignment horizontal="right" vertical="center"/>
    </xf>
    <xf numFmtId="2" fontId="0" fillId="0" borderId="58" xfId="0" applyNumberFormat="1" applyBorder="1" applyAlignment="1">
      <alignment horizontal="right" vertical="center"/>
    </xf>
    <xf numFmtId="164" fontId="5" fillId="0" borderId="9" xfId="0" applyNumberFormat="1" applyFont="1" applyBorder="1" applyAlignment="1">
      <alignment vertical="center"/>
    </xf>
    <xf numFmtId="164" fontId="0" fillId="0" borderId="36" xfId="0" applyNumberFormat="1" applyFont="1" applyBorder="1" applyAlignment="1">
      <alignment horizontal="right" vertical="center"/>
    </xf>
    <xf numFmtId="164" fontId="0" fillId="0" borderId="4" xfId="0" applyNumberFormat="1" applyFont="1" applyBorder="1" applyAlignment="1">
      <alignment horizontal="right" vertical="center"/>
    </xf>
    <xf numFmtId="164" fontId="0" fillId="2" borderId="16" xfId="0" applyNumberFormat="1" applyFont="1" applyFill="1" applyBorder="1" applyAlignment="1">
      <alignment vertical="center"/>
    </xf>
    <xf numFmtId="0" fontId="0" fillId="0" borderId="5" xfId="0" applyFont="1" applyBorder="1" applyAlignment="1">
      <alignment vertical="center"/>
    </xf>
    <xf numFmtId="0" fontId="0" fillId="0" borderId="59" xfId="0" applyBorder="1" applyAlignment="1">
      <alignment vertical="center"/>
    </xf>
    <xf numFmtId="0" fontId="0" fillId="0" borderId="60" xfId="0" applyBorder="1" applyAlignment="1">
      <alignment vertical="center"/>
    </xf>
    <xf numFmtId="0" fontId="0" fillId="0" borderId="60" xfId="0" applyFont="1" applyBorder="1" applyAlignment="1">
      <alignment vertical="center"/>
    </xf>
    <xf numFmtId="0" fontId="0" fillId="0" borderId="61" xfId="0" applyBorder="1" applyAlignment="1">
      <alignment vertical="center"/>
    </xf>
    <xf numFmtId="0" fontId="0" fillId="0" borderId="30" xfId="0" applyBorder="1" applyAlignment="1">
      <alignment vertical="center"/>
    </xf>
    <xf numFmtId="0" fontId="0" fillId="0" borderId="13" xfId="0" applyBorder="1" applyAlignment="1">
      <alignment vertical="center"/>
    </xf>
    <xf numFmtId="2" fontId="10" fillId="0" borderId="62" xfId="2" applyNumberFormat="1" applyFont="1" applyFill="1" applyBorder="1" applyAlignment="1">
      <alignment horizontal="left" vertical="center" wrapText="1"/>
    </xf>
    <xf numFmtId="2" fontId="10" fillId="0" borderId="21" xfId="2" applyNumberFormat="1" applyFont="1" applyFill="1" applyBorder="1" applyAlignment="1">
      <alignment horizontal="left" vertical="center" wrapText="1"/>
    </xf>
    <xf numFmtId="2" fontId="10" fillId="0" borderId="38" xfId="2" applyNumberFormat="1" applyFont="1" applyFill="1" applyBorder="1" applyAlignment="1">
      <alignment horizontal="left" vertical="center" wrapText="1"/>
    </xf>
    <xf numFmtId="2" fontId="10" fillId="0" borderId="12" xfId="2" applyNumberFormat="1" applyFont="1" applyFill="1" applyBorder="1" applyAlignment="1">
      <alignment horizontal="left" vertical="center" wrapText="1"/>
    </xf>
    <xf numFmtId="2" fontId="10" fillId="0" borderId="22" xfId="2" applyNumberFormat="1" applyFont="1" applyFill="1" applyBorder="1" applyAlignment="1">
      <alignment horizontal="left" vertical="center" wrapText="1"/>
    </xf>
    <xf numFmtId="172" fontId="0" fillId="3" borderId="1" xfId="0" applyNumberFormat="1" applyFill="1" applyBorder="1"/>
    <xf numFmtId="0" fontId="0" fillId="7" borderId="1" xfId="0" applyFill="1" applyBorder="1"/>
    <xf numFmtId="164" fontId="0" fillId="7" borderId="1" xfId="0" applyNumberFormat="1" applyFill="1" applyBorder="1"/>
    <xf numFmtId="2" fontId="0" fillId="7" borderId="1" xfId="0" applyNumberFormat="1" applyFill="1" applyBorder="1"/>
    <xf numFmtId="173" fontId="0" fillId="7" borderId="1" xfId="1" applyNumberFormat="1" applyFont="1" applyFill="1" applyBorder="1"/>
    <xf numFmtId="166" fontId="0" fillId="7" borderId="1" xfId="0" applyNumberFormat="1" applyFill="1" applyBorder="1"/>
    <xf numFmtId="166" fontId="5" fillId="7" borderId="1" xfId="0" applyNumberFormat="1" applyFont="1" applyFill="1" applyBorder="1"/>
    <xf numFmtId="0" fontId="2" fillId="0" borderId="0" xfId="0" applyFont="1" applyAlignment="1">
      <alignment horizontal="right" vertical="center"/>
    </xf>
    <xf numFmtId="0" fontId="0" fillId="0" borderId="0" xfId="0" applyFill="1"/>
    <xf numFmtId="0" fontId="0" fillId="8" borderId="1" xfId="0" applyFill="1" applyBorder="1" applyAlignment="1">
      <alignment vertical="center"/>
    </xf>
    <xf numFmtId="174" fontId="4" fillId="0" borderId="0" xfId="0" applyNumberFormat="1" applyFont="1" applyAlignment="1">
      <alignment vertical="center"/>
    </xf>
    <xf numFmtId="1" fontId="4" fillId="0" borderId="0" xfId="0" applyNumberFormat="1" applyFont="1" applyAlignment="1">
      <alignment vertical="center"/>
    </xf>
    <xf numFmtId="0" fontId="0" fillId="3" borderId="1" xfId="0" applyFill="1" applyBorder="1" applyAlignment="1">
      <alignment horizontal="center" vertical="center"/>
    </xf>
    <xf numFmtId="0" fontId="0" fillId="2" borderId="1" xfId="0" applyFill="1" applyBorder="1" applyAlignment="1">
      <alignment horizontal="center" vertical="center"/>
    </xf>
    <xf numFmtId="0" fontId="22" fillId="9" borderId="1" xfId="5" applyBorder="1" applyAlignment="1">
      <alignment horizontal="center" vertical="center"/>
    </xf>
    <xf numFmtId="0" fontId="5" fillId="6" borderId="1" xfId="4" applyFont="1" applyFill="1" applyBorder="1" applyAlignment="1">
      <alignment horizontal="center" vertical="center"/>
    </xf>
    <xf numFmtId="0" fontId="0" fillId="3" borderId="1" xfId="0" applyFont="1" applyFill="1" applyBorder="1" applyAlignment="1">
      <alignment horizontal="center" vertical="center"/>
    </xf>
    <xf numFmtId="0" fontId="3" fillId="0" borderId="1" xfId="0" applyFont="1" applyBorder="1" applyAlignment="1">
      <alignment horizontal="left" vertical="center"/>
    </xf>
    <xf numFmtId="0" fontId="0" fillId="0" borderId="1" xfId="0" applyFont="1" applyBorder="1" applyAlignment="1">
      <alignment horizontal="left" vertical="center"/>
    </xf>
    <xf numFmtId="0" fontId="0" fillId="0" borderId="1" xfId="0" applyFont="1" applyFill="1" applyBorder="1" applyAlignment="1">
      <alignment horizontal="left" vertical="center"/>
    </xf>
    <xf numFmtId="0" fontId="18" fillId="0" borderId="0" xfId="0" applyFont="1" applyAlignment="1">
      <alignment horizontal="left"/>
    </xf>
    <xf numFmtId="0" fontId="18" fillId="0" borderId="0" xfId="0" applyFont="1" applyAlignment="1">
      <alignment horizontal="left" vertical="center"/>
    </xf>
    <xf numFmtId="0" fontId="0" fillId="3" borderId="17" xfId="0" applyFill="1" applyBorder="1" applyAlignment="1">
      <alignment horizontal="center" vertical="center"/>
    </xf>
    <xf numFmtId="0" fontId="0" fillId="3" borderId="16" xfId="0" applyFill="1" applyBorder="1" applyAlignment="1">
      <alignment horizontal="center" vertical="center"/>
    </xf>
    <xf numFmtId="0" fontId="5" fillId="3" borderId="1" xfId="5" applyFont="1" applyFill="1" applyBorder="1" applyAlignment="1">
      <alignment vertical="center"/>
    </xf>
  </cellXfs>
  <cellStyles count="6">
    <cellStyle name="Bad" xfId="4" builtinId="27" customBuiltin="1"/>
    <cellStyle name="Hyperlink" xfId="3" builtinId="8"/>
    <cellStyle name="Neutral" xfId="5" builtinId="28" customBuiltin="1"/>
    <cellStyle name="Normal" xfId="0" builtinId="0"/>
    <cellStyle name="Normal 2" xfId="2"/>
    <cellStyle name="Percent" xfId="1" builtinId="5"/>
  </cellStyles>
  <dxfs count="82">
    <dxf>
      <fill>
        <patternFill>
          <bgColor theme="5"/>
        </patternFill>
      </fill>
    </dxf>
    <dxf>
      <font>
        <color rgb="FF9C6500"/>
      </font>
      <fill>
        <patternFill>
          <bgColor rgb="FFFFEB9C"/>
        </patternFill>
      </fill>
    </dxf>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patternType="darkGray"/>
      </fill>
    </dxf>
    <dxf>
      <fill>
        <patternFill patternType="darkGray"/>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6500"/>
      </font>
      <fill>
        <patternFill>
          <bgColor rgb="FFFFEB9C"/>
        </patternFill>
      </fill>
    </dxf>
    <dxf>
      <fill>
        <patternFill>
          <bgColor theme="5"/>
        </patternFill>
      </fill>
    </dxf>
    <dxf>
      <fill>
        <patternFill>
          <bgColor theme="5"/>
        </patternFill>
      </fill>
    </dxf>
    <dxf>
      <fill>
        <patternFill patternType="darkGray"/>
      </fill>
    </dxf>
    <dxf>
      <fill>
        <patternFill patternType="darkGray"/>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6500"/>
      </font>
      <fill>
        <patternFill>
          <bgColor rgb="FFFFEB9C"/>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6500"/>
      </font>
      <fill>
        <patternFill>
          <bgColor rgb="FFFFEB99"/>
        </patternFill>
      </fill>
    </dxf>
    <dxf>
      <font>
        <color rgb="FF9C6500"/>
      </font>
      <fill>
        <patternFill>
          <bgColor rgb="FFFFEB99"/>
        </patternFill>
      </fill>
    </dxf>
    <dxf>
      <font>
        <color rgb="FF9C6500"/>
      </font>
      <fill>
        <patternFill>
          <bgColor rgb="FFFFEB99"/>
        </patternFill>
      </fill>
    </dxf>
    <dxf>
      <font>
        <color rgb="FF9C6500"/>
      </font>
      <fill>
        <patternFill>
          <bgColor rgb="FFFFEB99"/>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colors>
    <mruColors>
      <color rgb="FFFFEB99"/>
      <color rgb="FF9C6500"/>
      <color rgb="FFFFEB9C"/>
      <color rgb="FF680000"/>
      <color rgb="FF9A000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x</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SprintDistance!$Q$100:$Q$500</c:f>
              <c:numCache>
                <c:formatCode>General</c:formatCode>
                <c:ptCount val="401"/>
                <c:pt idx="0">
                  <c:v>0</c:v>
                </c:pt>
                <c:pt idx="1">
                  <c:v>2.5540685487486586E-2</c:v>
                </c:pt>
                <c:pt idx="2">
                  <c:v>0.10216274194994635</c:v>
                </c:pt>
                <c:pt idx="3">
                  <c:v>0.22986616938737944</c:v>
                </c:pt>
                <c:pt idx="4">
                  <c:v>0.40865096779978671</c:v>
                </c:pt>
                <c:pt idx="5">
                  <c:v>0.63851713718716563</c:v>
                </c:pt>
                <c:pt idx="6">
                  <c:v>0.91930222183302324</c:v>
                </c:pt>
                <c:pt idx="7">
                  <c:v>1.2476649319320168</c:v>
                </c:pt>
                <c:pt idx="8">
                  <c:v>1.6177911254997561</c:v>
                </c:pt>
                <c:pt idx="9">
                  <c:v>2.0244831132600063</c:v>
                </c:pt>
                <c:pt idx="10">
                  <c:v>2.4631900862149196</c:v>
                </c:pt>
                <c:pt idx="11">
                  <c:v>2.9299276079285401</c:v>
                </c:pt>
                <c:pt idx="12">
                  <c:v>3.4212071264270181</c:v>
                </c:pt>
                <c:pt idx="13">
                  <c:v>3.9339742587204563</c:v>
                </c:pt>
                <c:pt idx="14">
                  <c:v>4.4655547561466618</c:v>
                </c:pt>
                <c:pt idx="15">
                  <c:v>5.0136071946174585</c:v>
                </c:pt>
                <c:pt idx="16">
                  <c:v>5.5760815528172367</c:v>
                </c:pt>
                <c:pt idx="17">
                  <c:v>6.1511829455665392</c:v>
                </c:pt>
                <c:pt idx="18">
                  <c:v>6.7373398707631678</c:v>
                </c:pt>
                <c:pt idx="19">
                  <c:v>7.3331764081611741</c:v>
                </c:pt>
                <c:pt idx="20">
                  <c:v>7.9374878781611091</c:v>
                </c:pt>
                <c:pt idx="21">
                  <c:v>8.5492195299940441</c:v>
                </c:pt>
                <c:pt idx="22">
                  <c:v>9.1674478822753258</c:v>
                </c:pt>
                <c:pt idx="23">
                  <c:v>9.7913643858264514</c:v>
                </c:pt>
              </c:numCache>
            </c:numRef>
          </c:yVal>
          <c:smooth val="0"/>
        </c:ser>
        <c:ser>
          <c:idx val="1"/>
          <c:order val="1"/>
          <c:tx>
            <c:v>v</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SprintDistance!$R$100:$R$500</c:f>
              <c:numCache>
                <c:formatCode>General</c:formatCode>
                <c:ptCount val="401"/>
                <c:pt idx="0">
                  <c:v>0</c:v>
                </c:pt>
                <c:pt idx="1">
                  <c:v>1.0216274194994635</c:v>
                </c:pt>
                <c:pt idx="2">
                  <c:v>2.0432548389989305</c:v>
                </c:pt>
                <c:pt idx="3">
                  <c:v>3.0648822584983875</c:v>
                </c:pt>
                <c:pt idx="4">
                  <c:v>4.0865096779978671</c:v>
                </c:pt>
                <c:pt idx="5">
                  <c:v>5.1081370974973508</c:v>
                </c:pt>
                <c:pt idx="6">
                  <c:v>6.1113784955881849</c:v>
                </c:pt>
                <c:pt idx="7">
                  <c:v>7.0033843390942865</c:v>
                </c:pt>
                <c:pt idx="8">
                  <c:v>7.7843752762265206</c:v>
                </c:pt>
                <c:pt idx="9">
                  <c:v>8.4681677068739187</c:v>
                </c:pt>
                <c:pt idx="10">
                  <c:v>9.0668585059343787</c:v>
                </c:pt>
                <c:pt idx="11">
                  <c:v>9.5910390274126716</c:v>
                </c:pt>
                <c:pt idx="12">
                  <c:v>10.049982474561736</c:v>
                </c:pt>
                <c:pt idx="13">
                  <c:v>10.451807950806183</c:v>
                </c:pt>
                <c:pt idx="14">
                  <c:v>10.803624093649216</c:v>
                </c:pt>
                <c:pt idx="15">
                  <c:v>11.111654832570457</c:v>
                </c:pt>
                <c:pt idx="16">
                  <c:v>11.381349495679464</c:v>
                </c:pt>
                <c:pt idx="17">
                  <c:v>11.617479213006414</c:v>
                </c:pt>
                <c:pt idx="18">
                  <c:v>11.82422132188664</c:v>
                </c:pt>
                <c:pt idx="19">
                  <c:v>12.005233267642991</c:v>
                </c:pt>
                <c:pt idx="20">
                  <c:v>12.163717306932163</c:v>
                </c:pt>
                <c:pt idx="21">
                  <c:v>12.302477158413012</c:v>
                </c:pt>
                <c:pt idx="22">
                  <c:v>12.423967602935672</c:v>
                </c:pt>
                <c:pt idx="23">
                  <c:v>12.530337910721363</c:v>
                </c:pt>
              </c:numCache>
            </c:numRef>
          </c:yVal>
          <c:smooth val="0"/>
        </c:ser>
        <c:ser>
          <c:idx val="2"/>
          <c:order val="2"/>
          <c:tx>
            <c:v>a</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SprintDistance!$S$100:$S$500</c:f>
              <c:numCache>
                <c:formatCode>General</c:formatCode>
                <c:ptCount val="401"/>
                <c:pt idx="0">
                  <c:v>20.432548389989272</c:v>
                </c:pt>
                <c:pt idx="1">
                  <c:v>20.432548389989272</c:v>
                </c:pt>
                <c:pt idx="2">
                  <c:v>20.432548389989272</c:v>
                </c:pt>
                <c:pt idx="3">
                  <c:v>20.432548389989272</c:v>
                </c:pt>
                <c:pt idx="4">
                  <c:v>20.432548389989272</c:v>
                </c:pt>
                <c:pt idx="5">
                  <c:v>20.432548389989272</c:v>
                </c:pt>
                <c:pt idx="6">
                  <c:v>19.051950799659849</c:v>
                </c:pt>
                <c:pt idx="7">
                  <c:v>16.680833446941993</c:v>
                </c:pt>
                <c:pt idx="8">
                  <c:v>14.604814352637648</c:v>
                </c:pt>
                <c:pt idx="9">
                  <c:v>12.787166957422851</c:v>
                </c:pt>
                <c:pt idx="10">
                  <c:v>11.195735519053438</c:v>
                </c:pt>
                <c:pt idx="11">
                  <c:v>9.80236624969017</c:v>
                </c:pt>
                <c:pt idx="12">
                  <c:v>8.5824092512314039</c:v>
                </c:pt>
                <c:pt idx="13">
                  <c:v>7.514282437462608</c:v>
                </c:pt>
                <c:pt idx="14">
                  <c:v>6.5790897284299437</c:v>
                </c:pt>
                <c:pt idx="15">
                  <c:v>5.7602867625705612</c:v>
                </c:pt>
                <c:pt idx="16">
                  <c:v>5.0433882127587584</c:v>
                </c:pt>
                <c:pt idx="17">
                  <c:v>4.415711528438397</c:v>
                </c:pt>
                <c:pt idx="18">
                  <c:v>3.8661525704201365</c:v>
                </c:pt>
                <c:pt idx="19">
                  <c:v>3.3849891691299328</c:v>
                </c:pt>
                <c:pt idx="20">
                  <c:v>2.9637091310862984</c:v>
                </c:pt>
                <c:pt idx="21">
                  <c:v>2.5948596508927699</c:v>
                </c:pt>
                <c:pt idx="22">
                  <c:v>2.2719154647147763</c:v>
                </c:pt>
                <c:pt idx="23">
                  <c:v>1.9891634127627333</c:v>
                </c:pt>
              </c:numCache>
            </c:numRef>
          </c:yVal>
          <c:smooth val="0"/>
        </c:ser>
        <c:ser>
          <c:idx val="3"/>
          <c:order val="3"/>
          <c:tx>
            <c:v>Slip</c:v>
          </c:tx>
          <c:spPr>
            <a:ln>
              <a:noFill/>
            </a:ln>
          </c:spPr>
          <c:marker>
            <c:symbol val="triangle"/>
            <c:size val="7"/>
            <c:spPr>
              <a:solidFill>
                <a:schemeClr val="accent6">
                  <a:lumMod val="75000"/>
                </a:schemeClr>
              </a:solidFill>
              <a:ln>
                <a:noFill/>
              </a:ln>
            </c:spPr>
          </c:marker>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SprintDistance!$T$100:$T$500</c:f>
              <c:numCache>
                <c:formatCode>0.0000000</c:formatCode>
                <c:ptCount val="401"/>
                <c:pt idx="0">
                  <c:v>20.432548389989272</c:v>
                </c:pt>
                <c:pt idx="1">
                  <c:v>20.432548389989272</c:v>
                </c:pt>
                <c:pt idx="2">
                  <c:v>20.432548389989272</c:v>
                </c:pt>
                <c:pt idx="3">
                  <c:v>20.432548389989272</c:v>
                </c:pt>
                <c:pt idx="4">
                  <c:v>20.432548389989272</c:v>
                </c:pt>
                <c:pt idx="5">
                  <c:v>20.432548389989272</c:v>
                </c:pt>
              </c:numCache>
            </c:numRef>
          </c:yVal>
          <c:smooth val="0"/>
        </c:ser>
        <c:dLbls>
          <c:showLegendKey val="0"/>
          <c:showVal val="0"/>
          <c:showCatName val="0"/>
          <c:showSerName val="0"/>
          <c:showPercent val="0"/>
          <c:showBubbleSize val="0"/>
        </c:dLbls>
        <c:axId val="129668992"/>
        <c:axId val="129671552"/>
      </c:scatterChart>
      <c:valAx>
        <c:axId val="129668992"/>
        <c:scaling>
          <c:orientation val="minMax"/>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129671552"/>
        <c:crosses val="autoZero"/>
        <c:crossBetween val="midCat"/>
      </c:valAx>
      <c:valAx>
        <c:axId val="129671552"/>
        <c:scaling>
          <c:orientation val="minMax"/>
        </c:scaling>
        <c:delete val="0"/>
        <c:axPos val="l"/>
        <c:majorGridlines/>
        <c:numFmt formatCode="General" sourceLinked="1"/>
        <c:majorTickMark val="out"/>
        <c:minorTickMark val="none"/>
        <c:tickLblPos val="nextTo"/>
        <c:crossAx val="129668992"/>
        <c:crosses val="autoZero"/>
        <c:crossBetween val="midCat"/>
      </c:valAx>
    </c:plotArea>
    <c:legend>
      <c:legendPos val="r"/>
      <c:legendEntry>
        <c:idx val="3"/>
        <c:delete val="1"/>
      </c:legendEntry>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Projectile!$E$82:$E$182</c:f>
              <c:numCache>
                <c:formatCode>General</c:formatCode>
                <c:ptCount val="101"/>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pt idx="86">
                  <c:v>0.86</c:v>
                </c:pt>
                <c:pt idx="87">
                  <c:v>0.87</c:v>
                </c:pt>
                <c:pt idx="88">
                  <c:v>0.88</c:v>
                </c:pt>
                <c:pt idx="89">
                  <c:v>0.89</c:v>
                </c:pt>
                <c:pt idx="90">
                  <c:v>0.9</c:v>
                </c:pt>
                <c:pt idx="91">
                  <c:v>0.91</c:v>
                </c:pt>
                <c:pt idx="92">
                  <c:v>0.92</c:v>
                </c:pt>
                <c:pt idx="93">
                  <c:v>0.93</c:v>
                </c:pt>
                <c:pt idx="94">
                  <c:v>0.94000000000000006</c:v>
                </c:pt>
                <c:pt idx="95">
                  <c:v>0.95000000000000007</c:v>
                </c:pt>
                <c:pt idx="96">
                  <c:v>0.96</c:v>
                </c:pt>
                <c:pt idx="97">
                  <c:v>0.97</c:v>
                </c:pt>
                <c:pt idx="98">
                  <c:v>0.98</c:v>
                </c:pt>
                <c:pt idx="99">
                  <c:v>0.99</c:v>
                </c:pt>
                <c:pt idx="100">
                  <c:v>1</c:v>
                </c:pt>
              </c:numCache>
            </c:numRef>
          </c:xVal>
          <c:yVal>
            <c:numRef>
              <c:f>Projectile!$F$82:$F$182</c:f>
              <c:numCache>
                <c:formatCode>General</c:formatCode>
                <c:ptCount val="101"/>
                <c:pt idx="0">
                  <c:v>0.5</c:v>
                </c:pt>
                <c:pt idx="1">
                  <c:v>0.58082392119071236</c:v>
                </c:pt>
                <c:pt idx="2">
                  <c:v>0.66040875620335737</c:v>
                </c:pt>
                <c:pt idx="3">
                  <c:v>0.73875450503793527</c:v>
                </c:pt>
                <c:pt idx="4">
                  <c:v>0.81586116769444583</c:v>
                </c:pt>
                <c:pt idx="5">
                  <c:v>0.89172874417288939</c:v>
                </c:pt>
                <c:pt idx="6">
                  <c:v>0.9663572344732656</c:v>
                </c:pt>
                <c:pt idx="7">
                  <c:v>1.0397466385955747</c:v>
                </c:pt>
                <c:pt idx="8">
                  <c:v>1.1118969565398162</c:v>
                </c:pt>
                <c:pt idx="9">
                  <c:v>1.1828081883059907</c:v>
                </c:pt>
                <c:pt idx="10">
                  <c:v>1.252480333894098</c:v>
                </c:pt>
                <c:pt idx="11">
                  <c:v>1.3209133933041382</c:v>
                </c:pt>
                <c:pt idx="12">
                  <c:v>1.388107366536111</c:v>
                </c:pt>
                <c:pt idx="13">
                  <c:v>1.4540622535900165</c:v>
                </c:pt>
                <c:pt idx="14">
                  <c:v>1.5187780544658551</c:v>
                </c:pt>
                <c:pt idx="15">
                  <c:v>1.582254769163626</c:v>
                </c:pt>
                <c:pt idx="16">
                  <c:v>1.6444923976833299</c:v>
                </c:pt>
                <c:pt idx="17">
                  <c:v>1.7054909400249667</c:v>
                </c:pt>
                <c:pt idx="18">
                  <c:v>1.765250396188536</c:v>
                </c:pt>
                <c:pt idx="19">
                  <c:v>1.8237707661740385</c:v>
                </c:pt>
                <c:pt idx="20">
                  <c:v>1.8810520499814736</c:v>
                </c:pt>
                <c:pt idx="21">
                  <c:v>1.937094247610841</c:v>
                </c:pt>
                <c:pt idx="22">
                  <c:v>1.9918973590621418</c:v>
                </c:pt>
                <c:pt idx="23">
                  <c:v>2.0454613843353751</c:v>
                </c:pt>
                <c:pt idx="24">
                  <c:v>2.0977863234305412</c:v>
                </c:pt>
                <c:pt idx="25">
                  <c:v>2.1488721763476404</c:v>
                </c:pt>
                <c:pt idx="26">
                  <c:v>2.1987189430866718</c:v>
                </c:pt>
                <c:pt idx="27">
                  <c:v>2.2473266236476359</c:v>
                </c:pt>
                <c:pt idx="28">
                  <c:v>2.294695218030534</c:v>
                </c:pt>
                <c:pt idx="29">
                  <c:v>2.3408247262353634</c:v>
                </c:pt>
                <c:pt idx="30">
                  <c:v>2.3857151482621264</c:v>
                </c:pt>
                <c:pt idx="31">
                  <c:v>2.4293664841108216</c:v>
                </c:pt>
                <c:pt idx="32">
                  <c:v>2.4717787337814499</c:v>
                </c:pt>
                <c:pt idx="33">
                  <c:v>2.5129518972740112</c:v>
                </c:pt>
                <c:pt idx="34">
                  <c:v>2.5528859745885049</c:v>
                </c:pt>
                <c:pt idx="35">
                  <c:v>2.5915809657249316</c:v>
                </c:pt>
                <c:pt idx="36">
                  <c:v>2.6290368706832909</c:v>
                </c:pt>
                <c:pt idx="37">
                  <c:v>2.665253689463583</c:v>
                </c:pt>
                <c:pt idx="38">
                  <c:v>2.7002314220658086</c:v>
                </c:pt>
                <c:pt idx="39">
                  <c:v>2.7339700684899659</c:v>
                </c:pt>
                <c:pt idx="40">
                  <c:v>2.7664696287360564</c:v>
                </c:pt>
                <c:pt idx="41">
                  <c:v>2.7977301028040795</c:v>
                </c:pt>
                <c:pt idx="42">
                  <c:v>2.8277514906940358</c:v>
                </c:pt>
                <c:pt idx="43">
                  <c:v>2.8565337924059246</c:v>
                </c:pt>
                <c:pt idx="44">
                  <c:v>2.8840770079397462</c:v>
                </c:pt>
                <c:pt idx="45">
                  <c:v>2.9103811372955004</c:v>
                </c:pt>
                <c:pt idx="46">
                  <c:v>2.9354461804731877</c:v>
                </c:pt>
                <c:pt idx="47">
                  <c:v>2.9592721374728077</c:v>
                </c:pt>
                <c:pt idx="48">
                  <c:v>2.9818590082943603</c:v>
                </c:pt>
                <c:pt idx="49">
                  <c:v>3.0032067929378456</c:v>
                </c:pt>
                <c:pt idx="50">
                  <c:v>3.0233154914032641</c:v>
                </c:pt>
                <c:pt idx="51">
                  <c:v>3.0421851036906156</c:v>
                </c:pt>
                <c:pt idx="52">
                  <c:v>3.0598156297998984</c:v>
                </c:pt>
                <c:pt idx="53">
                  <c:v>3.0762070697311152</c:v>
                </c:pt>
                <c:pt idx="54">
                  <c:v>3.0913594234842643</c:v>
                </c:pt>
                <c:pt idx="55">
                  <c:v>3.1052726910593469</c:v>
                </c:pt>
                <c:pt idx="56">
                  <c:v>3.1179468724563622</c:v>
                </c:pt>
                <c:pt idx="57">
                  <c:v>3.1293819676753092</c:v>
                </c:pt>
                <c:pt idx="58">
                  <c:v>3.1395779767161898</c:v>
                </c:pt>
                <c:pt idx="59">
                  <c:v>3.1485348995790026</c:v>
                </c:pt>
                <c:pt idx="60">
                  <c:v>3.1562527362637489</c:v>
                </c:pt>
                <c:pt idx="61">
                  <c:v>3.1627314867704279</c:v>
                </c:pt>
                <c:pt idx="62">
                  <c:v>3.1679711510990392</c:v>
                </c:pt>
                <c:pt idx="63">
                  <c:v>3.1719717292495835</c:v>
                </c:pt>
                <c:pt idx="64">
                  <c:v>3.17473322122206</c:v>
                </c:pt>
                <c:pt idx="65">
                  <c:v>3.1762556270164706</c:v>
                </c:pt>
                <c:pt idx="66">
                  <c:v>3.1765389466328133</c:v>
                </c:pt>
                <c:pt idx="67">
                  <c:v>3.1755831800710883</c:v>
                </c:pt>
                <c:pt idx="68">
                  <c:v>3.1733883273312964</c:v>
                </c:pt>
                <c:pt idx="69">
                  <c:v>3.1699543884134371</c:v>
                </c:pt>
                <c:pt idx="70">
                  <c:v>3.165281363317511</c:v>
                </c:pt>
                <c:pt idx="71">
                  <c:v>3.1593692520435179</c:v>
                </c:pt>
                <c:pt idx="72">
                  <c:v>3.1522180545914567</c:v>
                </c:pt>
                <c:pt idx="73">
                  <c:v>3.1438277709613294</c:v>
                </c:pt>
                <c:pt idx="74">
                  <c:v>3.1341984011531334</c:v>
                </c:pt>
                <c:pt idx="75">
                  <c:v>3.1233299451668715</c:v>
                </c:pt>
                <c:pt idx="76">
                  <c:v>3.1112224030025422</c:v>
                </c:pt>
                <c:pt idx="77">
                  <c:v>3.0978757746601451</c:v>
                </c:pt>
                <c:pt idx="78">
                  <c:v>3.0832900601396811</c:v>
                </c:pt>
                <c:pt idx="79">
                  <c:v>3.0674652594411489</c:v>
                </c:pt>
                <c:pt idx="80">
                  <c:v>3.0504013725645507</c:v>
                </c:pt>
                <c:pt idx="81">
                  <c:v>3.0320983995098851</c:v>
                </c:pt>
                <c:pt idx="82">
                  <c:v>3.0125563402771522</c:v>
                </c:pt>
                <c:pt idx="83">
                  <c:v>2.9917751948663529</c:v>
                </c:pt>
                <c:pt idx="84">
                  <c:v>2.9697549632774844</c:v>
                </c:pt>
                <c:pt idx="85">
                  <c:v>2.9464956455105504</c:v>
                </c:pt>
                <c:pt idx="86">
                  <c:v>2.9219972415655491</c:v>
                </c:pt>
                <c:pt idx="87">
                  <c:v>2.8962597514424786</c:v>
                </c:pt>
                <c:pt idx="88">
                  <c:v>2.8692831751413435</c:v>
                </c:pt>
                <c:pt idx="89">
                  <c:v>2.8410675126621383</c:v>
                </c:pt>
                <c:pt idx="90">
                  <c:v>2.8116127640048676</c:v>
                </c:pt>
                <c:pt idx="91">
                  <c:v>2.7809189291695304</c:v>
                </c:pt>
                <c:pt idx="92">
                  <c:v>2.748986008156125</c:v>
                </c:pt>
                <c:pt idx="93">
                  <c:v>2.7158140009646523</c:v>
                </c:pt>
                <c:pt idx="94">
                  <c:v>2.6814029075951122</c:v>
                </c:pt>
                <c:pt idx="95">
                  <c:v>2.6457527280475057</c:v>
                </c:pt>
                <c:pt idx="96">
                  <c:v>2.6088634623218319</c:v>
                </c:pt>
                <c:pt idx="97">
                  <c:v>2.5707351104180898</c:v>
                </c:pt>
                <c:pt idx="98">
                  <c:v>2.5313676723362821</c:v>
                </c:pt>
                <c:pt idx="99">
                  <c:v>2.4907611480764063</c:v>
                </c:pt>
                <c:pt idx="100">
                  <c:v>2.448915537638463</c:v>
                </c:pt>
              </c:numCache>
            </c:numRef>
          </c:yVal>
          <c:smooth val="1"/>
          <c:extLst xmlns:c16r2="http://schemas.microsoft.com/office/drawing/2015/06/chart">
            <c:ext xmlns:c16="http://schemas.microsoft.com/office/drawing/2014/chart" uri="{C3380CC4-5D6E-409C-BE32-E72D297353CC}">
              <c16:uniqueId val="{00000000-EF0B-48A6-B200-556C04A6BDC2}"/>
            </c:ext>
          </c:extLst>
        </c:ser>
        <c:ser>
          <c:idx val="1"/>
          <c:order val="1"/>
          <c:spPr>
            <a:ln w="19050" cap="rnd">
              <a:solidFill>
                <a:schemeClr val="accent2"/>
              </a:solidFill>
              <a:round/>
            </a:ln>
            <a:effectLst/>
          </c:spPr>
          <c:marker>
            <c:symbol val="none"/>
          </c:marker>
          <c:xVal>
            <c:numRef>
              <c:f>Projectile!$E$183</c:f>
              <c:numCache>
                <c:formatCode>General</c:formatCode>
                <c:ptCount val="1"/>
                <c:pt idx="0">
                  <c:v>3.1765389466328133</c:v>
                </c:pt>
              </c:numCache>
            </c:numRef>
          </c:xVal>
          <c:yVal>
            <c:numRef>
              <c:f>Projectile!$E$183</c:f>
              <c:numCache>
                <c:formatCode>General</c:formatCode>
                <c:ptCount val="1"/>
                <c:pt idx="0">
                  <c:v>3.1765389466328133</c:v>
                </c:pt>
              </c:numCache>
            </c:numRef>
          </c:yVal>
          <c:smooth val="1"/>
          <c:extLst xmlns:c16r2="http://schemas.microsoft.com/office/drawing/2015/06/chart">
            <c:ext xmlns:c16="http://schemas.microsoft.com/office/drawing/2014/chart" uri="{C3380CC4-5D6E-409C-BE32-E72D297353CC}">
              <c16:uniqueId val="{00000000-1B3D-41F2-B3D1-77B1BAFED882}"/>
            </c:ext>
          </c:extLst>
        </c:ser>
        <c:dLbls>
          <c:showLegendKey val="0"/>
          <c:showVal val="0"/>
          <c:showCatName val="0"/>
          <c:showSerName val="0"/>
          <c:showPercent val="0"/>
          <c:showBubbleSize val="0"/>
        </c:dLbls>
        <c:axId val="148113664"/>
        <c:axId val="148115840"/>
      </c:scatterChart>
      <c:valAx>
        <c:axId val="148113664"/>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a:pPr>
                <a:r>
                  <a:rPr lang="en-US"/>
                  <a:t>X (ft)</a:t>
                </a:r>
              </a:p>
            </c:rich>
          </c:tx>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115840"/>
        <c:crosses val="autoZero"/>
        <c:crossBetween val="midCat"/>
      </c:valAx>
      <c:valAx>
        <c:axId val="148115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US"/>
                  <a:t>Y (ft)</a:t>
                </a:r>
              </a:p>
            </c:rich>
          </c:tx>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11366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Pneumatics!$T$4:$T$154</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Pneumatics!$U$4:$U$154</c:f>
              <c:numCache>
                <c:formatCode>General</c:formatCode>
                <c:ptCount val="151"/>
                <c:pt idx="0">
                  <c:v>119.79383298210816</c:v>
                </c:pt>
                <c:pt idx="1">
                  <c:v>120.40577371581095</c:v>
                </c:pt>
                <c:pt idx="2">
                  <c:v>120.19960669791912</c:v>
                </c:pt>
                <c:pt idx="3">
                  <c:v>119.99343968002728</c:v>
                </c:pt>
                <c:pt idx="4">
                  <c:v>120.60705514283323</c:v>
                </c:pt>
                <c:pt idx="5">
                  <c:v>120.40088812494139</c:v>
                </c:pt>
                <c:pt idx="6">
                  <c:v>120.19472110704956</c:v>
                </c:pt>
                <c:pt idx="7">
                  <c:v>119.98855408915772</c:v>
                </c:pt>
                <c:pt idx="8">
                  <c:v>120.60212833124896</c:v>
                </c:pt>
                <c:pt idx="9">
                  <c:v>120.39596131335713</c:v>
                </c:pt>
                <c:pt idx="10">
                  <c:v>120.18979429546529</c:v>
                </c:pt>
                <c:pt idx="11">
                  <c:v>119.98362727757346</c:v>
                </c:pt>
                <c:pt idx="12">
                  <c:v>120.59715996285399</c:v>
                </c:pt>
                <c:pt idx="13">
                  <c:v>120.39099294496216</c:v>
                </c:pt>
                <c:pt idx="14">
                  <c:v>120.18482592707032</c:v>
                </c:pt>
                <c:pt idx="15">
                  <c:v>116.591629329527</c:v>
                </c:pt>
                <c:pt idx="16">
                  <c:v>117.17930100585363</c:v>
                </c:pt>
                <c:pt idx="17">
                  <c:v>117.77106417702804</c:v>
                </c:pt>
                <c:pt idx="18">
                  <c:v>118.36711062261284</c:v>
                </c:pt>
                <c:pt idx="19">
                  <c:v>115.58060858484825</c:v>
                </c:pt>
                <c:pt idx="20">
                  <c:v>116.16161616727388</c:v>
                </c:pt>
                <c:pt idx="21">
                  <c:v>116.74639572868881</c:v>
                </c:pt>
                <c:pt idx="22">
                  <c:v>113.94809973070433</c:v>
                </c:pt>
                <c:pt idx="23">
                  <c:v>114.51933452162831</c:v>
                </c:pt>
                <c:pt idx="24">
                  <c:v>115.09385134251096</c:v>
                </c:pt>
                <c:pt idx="25">
                  <c:v>115.67181814540083</c:v>
                </c:pt>
                <c:pt idx="26">
                  <c:v>112.86637801314647</c:v>
                </c:pt>
                <c:pt idx="27">
                  <c:v>113.43179903979484</c:v>
                </c:pt>
                <c:pt idx="28">
                  <c:v>114.00019373137732</c:v>
                </c:pt>
                <c:pt idx="29">
                  <c:v>111.18469215090599</c:v>
                </c:pt>
                <c:pt idx="30">
                  <c:v>111.74210330122519</c:v>
                </c:pt>
                <c:pt idx="31">
                  <c:v>112.30203201041488</c:v>
                </c:pt>
                <c:pt idx="32">
                  <c:v>112.86462648079814</c:v>
                </c:pt>
                <c:pt idx="33">
                  <c:v>110.04300893705313</c:v>
                </c:pt>
                <c:pt idx="34">
                  <c:v>110.5956838141794</c:v>
                </c:pt>
                <c:pt idx="35">
                  <c:v>111.15058130304924</c:v>
                </c:pt>
                <c:pt idx="36">
                  <c:v>108.32081320263292</c:v>
                </c:pt>
                <c:pt idx="37">
                  <c:v>108.86739606744433</c:v>
                </c:pt>
                <c:pt idx="38">
                  <c:v>109.41577665678498</c:v>
                </c:pt>
                <c:pt idx="39">
                  <c:v>109.96608736700688</c:v>
                </c:pt>
                <c:pt idx="40">
                  <c:v>107.13143370289042</c:v>
                </c:pt>
                <c:pt idx="41">
                  <c:v>107.67453518300296</c:v>
                </c:pt>
                <c:pt idx="42">
                  <c:v>108.21915355922351</c:v>
                </c:pt>
                <c:pt idx="43">
                  <c:v>105.37838629114408</c:v>
                </c:pt>
                <c:pt idx="44">
                  <c:v>105.91741520718831</c:v>
                </c:pt>
                <c:pt idx="45">
                  <c:v>106.45756351811184</c:v>
                </c:pt>
                <c:pt idx="46">
                  <c:v>106.99895151328802</c:v>
                </c:pt>
                <c:pt idx="47">
                  <c:v>104.15467183941472</c:v>
                </c:pt>
                <c:pt idx="48">
                  <c:v>104.69159136908846</c:v>
                </c:pt>
                <c:pt idx="49">
                  <c:v>105.22936300952526</c:v>
                </c:pt>
                <c:pt idx="50">
                  <c:v>102.3810735034894</c:v>
                </c:pt>
                <c:pt idx="51">
                  <c:v>102.91598256160322</c:v>
                </c:pt>
                <c:pt idx="52">
                  <c:v>103.45136902413198</c:v>
                </c:pt>
                <c:pt idx="53">
                  <c:v>103.98734445491006</c:v>
                </c:pt>
                <c:pt idx="54">
                  <c:v>101.13699215548851</c:v>
                </c:pt>
                <c:pt idx="55">
                  <c:v>101.67121533866866</c:v>
                </c:pt>
                <c:pt idx="56">
                  <c:v>102.20566075626395</c:v>
                </c:pt>
                <c:pt idx="57">
                  <c:v>99.353407700463592</c:v>
                </c:pt>
                <c:pt idx="58">
                  <c:v>99.88766525184235</c:v>
                </c:pt>
                <c:pt idx="59">
                  <c:v>100.42178827784934</c:v>
                </c:pt>
                <c:pt idx="60">
                  <c:v>100.95588264171327</c:v>
                </c:pt>
                <c:pt idx="61">
                  <c:v>98.103025427683704</c:v>
                </c:pt>
                <c:pt idx="62">
                  <c:v>98.638006825469077</c:v>
                </c:pt>
                <c:pt idx="63">
                  <c:v>99.172608820928744</c:v>
                </c:pt>
                <c:pt idx="64">
                  <c:v>96.319906142481983</c:v>
                </c:pt>
                <c:pt idx="65">
                  <c:v>96.856893160880716</c:v>
                </c:pt>
                <c:pt idx="66">
                  <c:v>97.393157332391809</c:v>
                </c:pt>
                <c:pt idx="67">
                  <c:v>97.928801474717602</c:v>
                </c:pt>
                <c:pt idx="68">
                  <c:v>95.076899188455599</c:v>
                </c:pt>
                <c:pt idx="69">
                  <c:v>95.6159461633832</c:v>
                </c:pt>
                <c:pt idx="70">
                  <c:v>96.154033924162675</c:v>
                </c:pt>
                <c:pt idx="71">
                  <c:v>93.30423514114608</c:v>
                </c:pt>
                <c:pt idx="72">
                  <c:v>93.847136455199688</c:v>
                </c:pt>
                <c:pt idx="73">
                  <c:v>94.388744394432408</c:v>
                </c:pt>
                <c:pt idx="74">
                  <c:v>94.929161019302001</c:v>
                </c:pt>
                <c:pt idx="75">
                  <c:v>92.081458794200216</c:v>
                </c:pt>
                <c:pt idx="76">
                  <c:v>92.627632335827229</c:v>
                </c:pt>
                <c:pt idx="77">
                  <c:v>93.172283229185197</c:v>
                </c:pt>
                <c:pt idx="78">
                  <c:v>90.328484221958377</c:v>
                </c:pt>
                <c:pt idx="79">
                  <c:v>90.880199437867745</c:v>
                </c:pt>
                <c:pt idx="80">
                  <c:v>91.430063949692041</c:v>
                </c:pt>
                <c:pt idx="81">
                  <c:v>91.978180993957892</c:v>
                </c:pt>
                <c:pt idx="82">
                  <c:v>89.137623876913764</c:v>
                </c:pt>
                <c:pt idx="83">
                  <c:v>89.693661747041745</c:v>
                </c:pt>
                <c:pt idx="84">
                  <c:v>90.247625883093136</c:v>
                </c:pt>
                <c:pt idx="85">
                  <c:v>87.412590891873805</c:v>
                </c:pt>
                <c:pt idx="86">
                  <c:v>87.975669039407194</c:v>
                </c:pt>
                <c:pt idx="87">
                  <c:v>88.536349285962729</c:v>
                </c:pt>
                <c:pt idx="88">
                  <c:v>89.094737638302078</c:v>
                </c:pt>
                <c:pt idx="89">
                  <c:v>86.263909873615759</c:v>
                </c:pt>
                <c:pt idx="90">
                  <c:v>86.83217451732304</c:v>
                </c:pt>
                <c:pt idx="91">
                  <c:v>87.397824252926952</c:v>
                </c:pt>
                <c:pt idx="92">
                  <c:v>84.573936993637744</c:v>
                </c:pt>
                <c:pt idx="93">
                  <c:v>85.150536078935986</c:v>
                </c:pt>
                <c:pt idx="94">
                  <c:v>85.724198708885623</c:v>
                </c:pt>
                <c:pt idx="95">
                  <c:v>86.295034933361663</c:v>
                </c:pt>
                <c:pt idx="96">
                  <c:v>83.476124302356553</c:v>
                </c:pt>
                <c:pt idx="97">
                  <c:v>84.058575280861973</c:v>
                </c:pt>
                <c:pt idx="98">
                  <c:v>84.637879181350925</c:v>
                </c:pt>
                <c:pt idx="99">
                  <c:v>81.827118356782179</c:v>
                </c:pt>
                <c:pt idx="100">
                  <c:v>82.418988536165486</c:v>
                </c:pt>
                <c:pt idx="101">
                  <c:v>83.007392274718001</c:v>
                </c:pt>
                <c:pt idx="102">
                  <c:v>83.592444636911509</c:v>
                </c:pt>
                <c:pt idx="103">
                  <c:v>80.787229943112962</c:v>
                </c:pt>
                <c:pt idx="104">
                  <c:v>81.385418512490631</c:v>
                </c:pt>
                <c:pt idx="105">
                  <c:v>81.979937222722938</c:v>
                </c:pt>
                <c:pt idx="106">
                  <c:v>79.183873708444224</c:v>
                </c:pt>
                <c:pt idx="107">
                  <c:v>79.792360985109497</c:v>
                </c:pt>
                <c:pt idx="108">
                  <c:v>80.396861451821493</c:v>
                </c:pt>
                <c:pt idx="109">
                  <c:v>80.997495880455986</c:v>
                </c:pt>
                <c:pt idx="110">
                  <c:v>78.207354079916144</c:v>
                </c:pt>
                <c:pt idx="111">
                  <c:v>78.822436139957702</c:v>
                </c:pt>
                <c:pt idx="112">
                  <c:v>79.433336292535529</c:v>
                </c:pt>
                <c:pt idx="113">
                  <c:v>76.653148029761738</c:v>
                </c:pt>
                <c:pt idx="114">
                  <c:v>77.27921431508301</c:v>
                </c:pt>
                <c:pt idx="115">
                  <c:v>77.900784850577011</c:v>
                </c:pt>
                <c:pt idx="116">
                  <c:v>78.517986555842171</c:v>
                </c:pt>
                <c:pt idx="117">
                  <c:v>75.743915194574697</c:v>
                </c:pt>
                <c:pt idx="118">
                  <c:v>76.3766781701421</c:v>
                </c:pt>
                <c:pt idx="119">
                  <c:v>77.004759865883585</c:v>
                </c:pt>
                <c:pt idx="120">
                  <c:v>74.241259969519447</c:v>
                </c:pt>
                <c:pt idx="121">
                  <c:v>74.885514987831073</c:v>
                </c:pt>
                <c:pt idx="122">
                  <c:v>75.524778969657248</c:v>
                </c:pt>
                <c:pt idx="123">
                  <c:v>76.159185199785369</c:v>
                </c:pt>
                <c:pt idx="124">
                  <c:v>73.401835641284038</c:v>
                </c:pt>
                <c:pt idx="125">
                  <c:v>74.052734819630302</c:v>
                </c:pt>
                <c:pt idx="126">
                  <c:v>74.698468229022097</c:v>
                </c:pt>
                <c:pt idx="127">
                  <c:v>71.952141884520046</c:v>
                </c:pt>
                <c:pt idx="128">
                  <c:v>72.614882586061071</c:v>
                </c:pt>
                <c:pt idx="129">
                  <c:v>73.272152942681174</c:v>
                </c:pt>
                <c:pt idx="130">
                  <c:v>73.924092631281113</c:v>
                </c:pt>
                <c:pt idx="131">
                  <c:v>74.570839449185542</c:v>
                </c:pt>
                <c:pt idx="132">
                  <c:v>75.212529351727142</c:v>
                </c:pt>
                <c:pt idx="133">
                  <c:v>75.849296491362594</c:v>
                </c:pt>
                <c:pt idx="134">
                  <c:v>76.481273258184018</c:v>
                </c:pt>
                <c:pt idx="135">
                  <c:v>77.108590321701158</c:v>
                </c:pt>
                <c:pt idx="136">
                  <c:v>77.731376673781014</c:v>
                </c:pt>
                <c:pt idx="137">
                  <c:v>78.349759672642392</c:v>
                </c:pt>
                <c:pt idx="138">
                  <c:v>78.963865087812536</c:v>
                </c:pt>
                <c:pt idx="139">
                  <c:v>79.573817145962735</c:v>
                </c:pt>
                <c:pt idx="140">
                  <c:v>80.179738577548619</c:v>
                </c:pt>
                <c:pt idx="141">
                  <c:v>80.781750664189445</c:v>
                </c:pt>
                <c:pt idx="142">
                  <c:v>81.379973286728458</c:v>
                </c:pt>
                <c:pt idx="143">
                  <c:v>81.974524973924161</c:v>
                </c:pt>
                <c:pt idx="144">
                  <c:v>82.565522951729449</c:v>
                </c:pt>
                <c:pt idx="145">
                  <c:v>83.153083193122256</c:v>
                </c:pt>
                <c:pt idx="146">
                  <c:v>83.737320468458094</c:v>
                </c:pt>
                <c:pt idx="147">
                  <c:v>84.318348396320644</c:v>
                </c:pt>
                <c:pt idx="148">
                  <c:v>84.896279494852834</c:v>
                </c:pt>
                <c:pt idx="149">
                  <c:v>85.471225233556211</c:v>
                </c:pt>
                <c:pt idx="150">
                  <c:v>86.043296085551816</c:v>
                </c:pt>
              </c:numCache>
            </c:numRef>
          </c:yVal>
          <c:smooth val="1"/>
        </c:ser>
        <c:dLbls>
          <c:showLegendKey val="0"/>
          <c:showVal val="0"/>
          <c:showCatName val="0"/>
          <c:showSerName val="0"/>
          <c:showPercent val="0"/>
          <c:showBubbleSize val="0"/>
        </c:dLbls>
        <c:axId val="151670144"/>
        <c:axId val="151692800"/>
      </c:scatterChart>
      <c:valAx>
        <c:axId val="151670144"/>
        <c:scaling>
          <c:orientation val="minMax"/>
          <c:max val="150"/>
          <c:min val="0"/>
        </c:scaling>
        <c:delete val="0"/>
        <c:axPos val="b"/>
        <c:title>
          <c:tx>
            <c:rich>
              <a:bodyPr/>
              <a:lstStyle/>
              <a:p>
                <a:pPr>
                  <a:defRPr/>
                </a:pPr>
                <a:r>
                  <a:rPr lang="en-US"/>
                  <a:t>Time (s)</a:t>
                </a:r>
              </a:p>
            </c:rich>
          </c:tx>
          <c:overlay val="0"/>
        </c:title>
        <c:numFmt formatCode="General" sourceLinked="1"/>
        <c:majorTickMark val="out"/>
        <c:minorTickMark val="none"/>
        <c:tickLblPos val="nextTo"/>
        <c:crossAx val="151692800"/>
        <c:crosses val="autoZero"/>
        <c:crossBetween val="midCat"/>
      </c:valAx>
      <c:valAx>
        <c:axId val="151692800"/>
        <c:scaling>
          <c:orientation val="minMax"/>
          <c:max val="130"/>
          <c:min val="0"/>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51670144"/>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a:solidFill>
                <a:schemeClr val="tx1"/>
              </a:solidFill>
              <a:prstDash val="solid"/>
            </a:ln>
          </c:spPr>
          <c:marker>
            <c:symbol val="none"/>
          </c:marker>
          <c:xVal>
            <c:numRef>
              <c:f>(PneuLinkage!$O$7,PneuLinkage!$O$9)</c:f>
              <c:numCache>
                <c:formatCode>General</c:formatCode>
                <c:ptCount val="2"/>
                <c:pt idx="0">
                  <c:v>0</c:v>
                </c:pt>
                <c:pt idx="1">
                  <c:v>-8.7155742747658227</c:v>
                </c:pt>
              </c:numCache>
            </c:numRef>
          </c:xVal>
          <c:yVal>
            <c:numRef>
              <c:f>(PneuLinkage!$P$7,PneuLinkage!$P$9)</c:f>
              <c:numCache>
                <c:formatCode>General</c:formatCode>
                <c:ptCount val="2"/>
                <c:pt idx="0">
                  <c:v>0</c:v>
                </c:pt>
                <c:pt idx="1">
                  <c:v>99.619469809174561</c:v>
                </c:pt>
              </c:numCache>
            </c:numRef>
          </c:yVal>
          <c:smooth val="0"/>
        </c:ser>
        <c:ser>
          <c:idx val="1"/>
          <c:order val="1"/>
          <c:spPr>
            <a:ln>
              <a:solidFill>
                <a:schemeClr val="tx1"/>
              </a:solidFill>
              <a:prstDash val="lgDash"/>
            </a:ln>
          </c:spPr>
          <c:marker>
            <c:symbol val="none"/>
          </c:marker>
          <c:xVal>
            <c:numRef>
              <c:f>(PneuLinkage!$O$8,PneuLinkage!$O$10)</c:f>
              <c:numCache>
                <c:formatCode>General</c:formatCode>
                <c:ptCount val="2"/>
                <c:pt idx="0">
                  <c:v>-49.834650587371613</c:v>
                </c:pt>
                <c:pt idx="1">
                  <c:v>93.969262078590845</c:v>
                </c:pt>
              </c:numCache>
            </c:numRef>
          </c:xVal>
          <c:yVal>
            <c:numRef>
              <c:f>(PneuLinkage!$P$8,PneuLinkage!$P$10)</c:f>
              <c:numCache>
                <c:formatCode>General</c:formatCode>
                <c:ptCount val="2"/>
                <c:pt idx="0">
                  <c:v>8.4645381642103246</c:v>
                </c:pt>
                <c:pt idx="1">
                  <c:v>-34.202014332566868</c:v>
                </c:pt>
              </c:numCache>
            </c:numRef>
          </c:yVal>
          <c:smooth val="0"/>
        </c:ser>
        <c:ser>
          <c:idx val="2"/>
          <c:order val="2"/>
          <c:spPr>
            <a:ln>
              <a:solidFill>
                <a:schemeClr val="tx1"/>
              </a:solidFill>
              <a:prstDash val="solid"/>
            </a:ln>
          </c:spPr>
          <c:marker>
            <c:symbol val="none"/>
          </c:marker>
          <c:dPt>
            <c:idx val="0"/>
            <c:marker>
              <c:symbol val="circle"/>
              <c:size val="7"/>
              <c:spPr>
                <a:solidFill>
                  <a:schemeClr val="tx1"/>
                </a:solidFill>
                <a:ln>
                  <a:solidFill>
                    <a:schemeClr val="tx1"/>
                  </a:solidFill>
                </a:ln>
              </c:spPr>
            </c:marker>
            <c:bubble3D val="0"/>
          </c:dPt>
          <c:xVal>
            <c:numRef>
              <c:f>(PneuLinkage!$O$7,PneuLinkage!$O$10)</c:f>
              <c:numCache>
                <c:formatCode>General</c:formatCode>
                <c:ptCount val="2"/>
                <c:pt idx="0">
                  <c:v>0</c:v>
                </c:pt>
                <c:pt idx="1">
                  <c:v>93.969262078590845</c:v>
                </c:pt>
              </c:numCache>
            </c:numRef>
          </c:xVal>
          <c:yVal>
            <c:numRef>
              <c:f>(PneuLinkage!$P$7,PneuLinkage!$P$10)</c:f>
              <c:numCache>
                <c:formatCode>General</c:formatCode>
                <c:ptCount val="2"/>
                <c:pt idx="0">
                  <c:v>0</c:v>
                </c:pt>
                <c:pt idx="1">
                  <c:v>-34.202014332566868</c:v>
                </c:pt>
              </c:numCache>
            </c:numRef>
          </c:yVal>
          <c:smooth val="0"/>
        </c:ser>
        <c:ser>
          <c:idx val="3"/>
          <c:order val="3"/>
          <c:spPr>
            <a:ln>
              <a:solidFill>
                <a:schemeClr val="tx1"/>
              </a:solidFill>
              <a:prstDash val="lgDash"/>
            </a:ln>
          </c:spPr>
          <c:marker>
            <c:symbol val="none"/>
          </c:marker>
          <c:dPt>
            <c:idx val="0"/>
            <c:marker>
              <c:symbol val="circle"/>
              <c:size val="7"/>
              <c:spPr>
                <a:solidFill>
                  <a:schemeClr val="tx1"/>
                </a:solidFill>
                <a:ln>
                  <a:solidFill>
                    <a:schemeClr val="tx1"/>
                  </a:solidFill>
                </a:ln>
              </c:spPr>
            </c:marker>
            <c:bubble3D val="0"/>
          </c:dPt>
          <c:xVal>
            <c:numRef>
              <c:f>(PneuLinkage!$O$8,PneuLinkage!$O$9)</c:f>
              <c:numCache>
                <c:formatCode>General</c:formatCode>
                <c:ptCount val="2"/>
                <c:pt idx="0">
                  <c:v>-49.834650587371613</c:v>
                </c:pt>
                <c:pt idx="1">
                  <c:v>-8.7155742747658227</c:v>
                </c:pt>
              </c:numCache>
            </c:numRef>
          </c:xVal>
          <c:yVal>
            <c:numRef>
              <c:f>(PneuLinkage!$P$8,PneuLinkage!$P$9)</c:f>
              <c:numCache>
                <c:formatCode>General</c:formatCode>
                <c:ptCount val="2"/>
                <c:pt idx="0">
                  <c:v>8.4645381642103246</c:v>
                </c:pt>
                <c:pt idx="1">
                  <c:v>99.619469809174561</c:v>
                </c:pt>
              </c:numCache>
            </c:numRef>
          </c:yVal>
          <c:smooth val="0"/>
        </c:ser>
        <c:ser>
          <c:idx val="4"/>
          <c:order val="4"/>
          <c:marker>
            <c:symbol val="none"/>
          </c:marker>
          <c:xVal>
            <c:numRef>
              <c:f>PneuLinkage!$O$12</c:f>
              <c:numCache>
                <c:formatCode>General</c:formatCode>
                <c:ptCount val="1"/>
                <c:pt idx="0">
                  <c:v>99.619469809174561</c:v>
                </c:pt>
              </c:numCache>
            </c:numRef>
          </c:xVal>
          <c:yVal>
            <c:numRef>
              <c:f>PneuLinkage!$O$12</c:f>
              <c:numCache>
                <c:formatCode>General</c:formatCode>
                <c:ptCount val="1"/>
                <c:pt idx="0">
                  <c:v>99.619469809174561</c:v>
                </c:pt>
              </c:numCache>
            </c:numRef>
          </c:yVal>
          <c:smooth val="0"/>
        </c:ser>
        <c:ser>
          <c:idx val="5"/>
          <c:order val="5"/>
          <c:marker>
            <c:symbol val="none"/>
          </c:marker>
          <c:xVal>
            <c:numRef>
              <c:f>PneuLinkage!$P$12</c:f>
              <c:numCache>
                <c:formatCode>General</c:formatCode>
                <c:ptCount val="1"/>
                <c:pt idx="0">
                  <c:v>-49.834650587371613</c:v>
                </c:pt>
              </c:numCache>
            </c:numRef>
          </c:xVal>
          <c:yVal>
            <c:numRef>
              <c:f>PneuLinkage!$P$12</c:f>
              <c:numCache>
                <c:formatCode>General</c:formatCode>
                <c:ptCount val="1"/>
                <c:pt idx="0">
                  <c:v>-49.834650587371613</c:v>
                </c:pt>
              </c:numCache>
            </c:numRef>
          </c:yVal>
          <c:smooth val="0"/>
        </c:ser>
        <c:dLbls>
          <c:showLegendKey val="0"/>
          <c:showVal val="0"/>
          <c:showCatName val="0"/>
          <c:showSerName val="0"/>
          <c:showPercent val="0"/>
          <c:showBubbleSize val="0"/>
        </c:dLbls>
        <c:axId val="129382656"/>
        <c:axId val="129388544"/>
      </c:scatterChart>
      <c:valAx>
        <c:axId val="129382656"/>
        <c:scaling>
          <c:orientation val="minMax"/>
        </c:scaling>
        <c:delete val="0"/>
        <c:axPos val="b"/>
        <c:numFmt formatCode="General" sourceLinked="1"/>
        <c:majorTickMark val="none"/>
        <c:minorTickMark val="none"/>
        <c:tickLblPos val="none"/>
        <c:crossAx val="129388544"/>
        <c:crosses val="autoZero"/>
        <c:crossBetween val="midCat"/>
      </c:valAx>
      <c:valAx>
        <c:axId val="129388544"/>
        <c:scaling>
          <c:orientation val="minMax"/>
        </c:scaling>
        <c:delete val="0"/>
        <c:axPos val="l"/>
        <c:majorGridlines>
          <c:spPr>
            <a:ln>
              <a:noFill/>
            </a:ln>
          </c:spPr>
        </c:majorGridlines>
        <c:numFmt formatCode="General" sourceLinked="1"/>
        <c:majorTickMark val="none"/>
        <c:minorTickMark val="none"/>
        <c:tickLblPos val="none"/>
        <c:crossAx val="129382656"/>
        <c:crosses val="autoZero"/>
        <c:crossBetween val="midCat"/>
      </c:valAx>
      <c:spPr>
        <a:noFill/>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6</xdr:col>
      <xdr:colOff>0</xdr:colOff>
      <xdr:row>13</xdr:row>
      <xdr:rowOff>190499</xdr:rowOff>
    </xdr:from>
    <xdr:to>
      <xdr:col>16</xdr:col>
      <xdr:colOff>0</xdr:colOff>
      <xdr:row>31</xdr:row>
      <xdr:rowOff>66675</xdr:rowOff>
    </xdr:to>
    <xdr:sp macro="" textlink="">
      <xdr:nvSpPr>
        <xdr:cNvPr id="2" name="TextBox 1">
          <a:extLst>
            <a:ext uri="{FF2B5EF4-FFF2-40B4-BE49-F238E27FC236}">
              <a16:creationId xmlns:a16="http://schemas.microsoft.com/office/drawing/2014/main" xmlns="" id="{00000000-0008-0000-0200-000002000000}"/>
            </a:ext>
          </a:extLst>
        </xdr:cNvPr>
        <xdr:cNvSpPr txBox="1"/>
      </xdr:nvSpPr>
      <xdr:spPr>
        <a:xfrm>
          <a:off x="3848100" y="2876549"/>
          <a:ext cx="8258175" cy="3305176"/>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400" b="1"/>
            <a:t>EXAMPLE USES:</a:t>
          </a:r>
        </a:p>
        <a:p>
          <a:r>
            <a:rPr lang="en-US" sz="1100" u="sng"/>
            <a:t>Winch:</a:t>
          </a:r>
          <a:r>
            <a:rPr lang="en-US" sz="1100" u="none" baseline="0"/>
            <a:t>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a:t>
          </a:r>
          <a:r>
            <a:rPr lang="en-US" sz="1100" baseline="0">
              <a:solidFill>
                <a:schemeClr val="dk1"/>
              </a:solidFill>
              <a:effectLst/>
              <a:latin typeface="+mn-lt"/>
              <a:ea typeface="+mn-ea"/>
              <a:cs typeface="+mn-cs"/>
            </a:rPr>
            <a:t>, or a maximum allowable stall load in the Stall Load column</a:t>
          </a:r>
          <a:r>
            <a:rPr lang="en-US" sz="1100" u="none" baseline="0"/>
            <a:t>. Change the number and type of motors to find a combination that gives acceptible values. Then use the ratio tester to find a set of reductions (e.g. spur gears, chains, belts, planetaries) that approximates the desired ratio.</a:t>
          </a:r>
        </a:p>
        <a:p>
          <a:endParaRPr lang="en-US" sz="600" u="none"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u="sng"/>
            <a:t>Elevator:</a:t>
          </a:r>
          <a:r>
            <a:rPr lang="en-US" sz="1100" u="none"/>
            <a:t> You need to lift a load with a motor connected to a linear elevator system. For radius, enter the radius of the pulley/sprocket driving the elevator (# teeth * pitch diameter). For load, enter the weight of the load. </a:t>
          </a:r>
          <a:r>
            <a:rPr lang="en-US" sz="1100" baseline="0">
              <a:solidFill>
                <a:schemeClr val="dk1"/>
              </a:solidFill>
              <a:effectLst/>
              <a:latin typeface="+mn-lt"/>
              <a:ea typeface="+mn-ea"/>
              <a:cs typeface="+mn-cs"/>
            </a:rPr>
            <a:t>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a:p>
          <a:endParaRPr lang="en-US" sz="600" u="sng"/>
        </a:p>
        <a:p>
          <a:pPr marL="0" marR="0" lvl="0" indent="0" defTabSz="914400" eaLnBrk="1" fontAlgn="auto" latinLnBrk="0" hangingPunct="1">
            <a:lnSpc>
              <a:spcPct val="100000"/>
            </a:lnSpc>
            <a:spcBef>
              <a:spcPts val="0"/>
            </a:spcBef>
            <a:spcAft>
              <a:spcPts val="0"/>
            </a:spcAft>
            <a:buClrTx/>
            <a:buSzTx/>
            <a:buFontTx/>
            <a:buNone/>
            <a:tabLst/>
            <a:defRPr/>
          </a:pPr>
          <a:r>
            <a:rPr lang="en-US" sz="1100" u="sng"/>
            <a:t>Arm:</a:t>
          </a:r>
          <a:r>
            <a:rPr lang="en-US" sz="1100" u="none"/>
            <a:t> You need to lift a load using an arm driven by </a:t>
          </a:r>
          <a:r>
            <a:rPr lang="en-US" sz="1100" u="none" baseline="0"/>
            <a:t>a motor. For radius, enter the length of the arm (specifically the distance from axis of rotation to arm's center of mass). For load, enter the weight of the arm + load lifted. </a:t>
          </a:r>
          <a:r>
            <a:rPr lang="en-US" sz="1100" baseline="0">
              <a:solidFill>
                <a:schemeClr val="dk1"/>
              </a:solidFill>
              <a:effectLst/>
              <a:latin typeface="+mn-lt"/>
              <a:ea typeface="+mn-ea"/>
              <a:cs typeface="+mn-cs"/>
            </a:rPr>
            <a:t>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609598</xdr:colOff>
      <xdr:row>3</xdr:row>
      <xdr:rowOff>0</xdr:rowOff>
    </xdr:from>
    <xdr:to>
      <xdr:col>14</xdr:col>
      <xdr:colOff>609599</xdr:colOff>
      <xdr:row>12</xdr:row>
      <xdr:rowOff>0</xdr:rowOff>
    </xdr:to>
    <xdr:sp macro="" textlink="">
      <xdr:nvSpPr>
        <xdr:cNvPr id="2" name="TextBox 1"/>
        <xdr:cNvSpPr txBox="1"/>
      </xdr:nvSpPr>
      <xdr:spPr>
        <a:xfrm>
          <a:off x="7877173" y="781050"/>
          <a:ext cx="3048001" cy="17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FF0000"/>
              </a:solidFill>
              <a:effectLst/>
              <a:latin typeface="+mn-lt"/>
              <a:ea typeface="+mn-ea"/>
              <a:cs typeface="+mn-cs"/>
            </a:rPr>
            <a:t>To use a leadscrew in the Mechanism Gear Ratio Calculator, use the</a:t>
          </a:r>
          <a:r>
            <a:rPr lang="en-US">
              <a:solidFill>
                <a:srgbClr val="FF0000"/>
              </a:solidFill>
            </a:rPr>
            <a:t> Equivalent</a:t>
          </a:r>
          <a:r>
            <a:rPr lang="en-US" baseline="0">
              <a:solidFill>
                <a:srgbClr val="FF0000"/>
              </a:solidFill>
            </a:rPr>
            <a:t> Radius for the Radius. For the Load, use the Equivalent Raise/Lower Load, depending on whether you are moving in the same or opposite direction as the applied force. </a:t>
          </a:r>
        </a:p>
        <a:p>
          <a:endParaRPr lang="en-US" baseline="0">
            <a:solidFill>
              <a:srgbClr val="FF0000"/>
            </a:solidFill>
          </a:endParaRPr>
        </a:p>
        <a:p>
          <a:r>
            <a:rPr lang="en-US" baseline="0">
              <a:solidFill>
                <a:srgbClr val="FF0000"/>
              </a:solidFill>
            </a:rPr>
            <a:t>The Gearbox Efficiency does not include the leadscrew Efficiency. </a:t>
          </a:r>
        </a:p>
      </xdr:txBody>
    </xdr:sp>
    <xdr:clientData/>
  </xdr:twoCellAnchor>
  <xdr:twoCellAnchor>
    <xdr:from>
      <xdr:col>10</xdr:col>
      <xdr:colOff>0</xdr:colOff>
      <xdr:row>13</xdr:row>
      <xdr:rowOff>0</xdr:rowOff>
    </xdr:from>
    <xdr:to>
      <xdr:col>15</xdr:col>
      <xdr:colOff>0</xdr:colOff>
      <xdr:row>22</xdr:row>
      <xdr:rowOff>0</xdr:rowOff>
    </xdr:to>
    <xdr:sp macro="" textlink="">
      <xdr:nvSpPr>
        <xdr:cNvPr id="3" name="TextBox 2"/>
        <xdr:cNvSpPr txBox="1"/>
      </xdr:nvSpPr>
      <xdr:spPr>
        <a:xfrm>
          <a:off x="7877175" y="2686050"/>
          <a:ext cx="3048000" cy="17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Raise Torque is the torque needed to move the leadscrew the</a:t>
          </a:r>
          <a:r>
            <a:rPr lang="en-US" sz="1100" baseline="0">
              <a:solidFill>
                <a:srgbClr val="FF0000"/>
              </a:solidFill>
            </a:rPr>
            <a:t> direction opposing the force (e.g. raising a weight).  Lower Torque is the torque needed to move the leadscrew in the same direction as the load (e.g. lowering a weight).</a:t>
          </a:r>
        </a:p>
        <a:p>
          <a:endParaRPr lang="en-US" sz="1100" baseline="0">
            <a:solidFill>
              <a:srgbClr val="FF0000"/>
            </a:solidFill>
          </a:endParaRPr>
        </a:p>
        <a:p>
          <a:r>
            <a:rPr lang="en-US" sz="1100" baseline="0">
              <a:solidFill>
                <a:srgbClr val="FF0000"/>
              </a:solidFill>
            </a:rPr>
            <a:t>If Lower Torque is negative, the leadscrew is backdrive-able (i.e. not self-locking). If positive, it is not backdrive-able.</a:t>
          </a:r>
          <a:endParaRPr lang="en-US" sz="11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192368</xdr:colOff>
      <xdr:row>21</xdr:row>
      <xdr:rowOff>159</xdr:rowOff>
    </xdr:from>
    <xdr:to>
      <xdr:col>4</xdr:col>
      <xdr:colOff>504788</xdr:colOff>
      <xdr:row>25</xdr:row>
      <xdr:rowOff>94119</xdr:rowOff>
    </xdr:to>
    <xdr:sp macro="" textlink="">
      <xdr:nvSpPr>
        <xdr:cNvPr id="3" name="Arrow: Down 2">
          <a:extLst>
            <a:ext uri="{FF2B5EF4-FFF2-40B4-BE49-F238E27FC236}">
              <a16:creationId xmlns:a16="http://schemas.microsoft.com/office/drawing/2014/main" xmlns="" id="{4E91F1E4-8BB0-40DB-8A4F-A9FC9F71DEBF}"/>
            </a:ext>
          </a:extLst>
        </xdr:cNvPr>
        <xdr:cNvSpPr/>
      </xdr:nvSpPr>
      <xdr:spPr>
        <a:xfrm rot="19179725">
          <a:off x="3206078" y="38634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841063</xdr:colOff>
      <xdr:row>21</xdr:row>
      <xdr:rowOff>91440</xdr:rowOff>
    </xdr:from>
    <xdr:to>
      <xdr:col>2</xdr:col>
      <xdr:colOff>1153483</xdr:colOff>
      <xdr:row>24</xdr:row>
      <xdr:rowOff>157978</xdr:rowOff>
    </xdr:to>
    <xdr:sp macro="" textlink="">
      <xdr:nvSpPr>
        <xdr:cNvPr id="4" name="Arrow: Down 3">
          <a:extLst>
            <a:ext uri="{FF2B5EF4-FFF2-40B4-BE49-F238E27FC236}">
              <a16:creationId xmlns:a16="http://schemas.microsoft.com/office/drawing/2014/main" xmlns="" id="{085C1061-245C-4BB0-8896-49B800A26AE3}"/>
            </a:ext>
          </a:extLst>
        </xdr:cNvPr>
        <xdr:cNvSpPr/>
      </xdr:nvSpPr>
      <xdr:spPr>
        <a:xfrm>
          <a:off x="1675453" y="39547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552450</xdr:colOff>
      <xdr:row>3</xdr:row>
      <xdr:rowOff>0</xdr:rowOff>
    </xdr:from>
    <xdr:to>
      <xdr:col>17</xdr:col>
      <xdr:colOff>0</xdr:colOff>
      <xdr:row>25</xdr:row>
      <xdr:rowOff>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374237</xdr:colOff>
      <xdr:row>11</xdr:row>
      <xdr:rowOff>0</xdr:rowOff>
    </xdr:from>
    <xdr:to>
      <xdr:col>12</xdr:col>
      <xdr:colOff>821912</xdr:colOff>
      <xdr:row>27</xdr:row>
      <xdr:rowOff>133350</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42037" y="2352675"/>
          <a:ext cx="3181350" cy="3181350"/>
        </a:xfrm>
        <a:prstGeom prst="rect">
          <a:avLst/>
        </a:prstGeom>
      </xdr:spPr>
    </xdr:pic>
    <xdr:clientData/>
  </xdr:twoCellAnchor>
  <xdr:twoCellAnchor editAs="oneCell">
    <xdr:from>
      <xdr:col>3</xdr:col>
      <xdr:colOff>459729</xdr:colOff>
      <xdr:row>12</xdr:row>
      <xdr:rowOff>0</xdr:rowOff>
    </xdr:from>
    <xdr:to>
      <xdr:col>6</xdr:col>
      <xdr:colOff>152399</xdr:colOff>
      <xdr:row>18</xdr:row>
      <xdr:rowOff>180975</xdr:rowOff>
    </xdr:to>
    <xdr:pic>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60104" y="2543175"/>
          <a:ext cx="2521595" cy="1323975"/>
        </a:xfrm>
        <a:prstGeom prst="rect">
          <a:avLst/>
        </a:prstGeom>
        <a:noFill/>
        <a:ln w="12700">
          <a:solidFill>
            <a:schemeClr val="tx1"/>
          </a:solidFill>
        </a:ln>
      </xdr:spPr>
    </xdr:pic>
    <xdr:clientData/>
  </xdr:twoCellAnchor>
  <xdr:twoCellAnchor editAs="oneCell">
    <xdr:from>
      <xdr:col>6</xdr:col>
      <xdr:colOff>790574</xdr:colOff>
      <xdr:row>12</xdr:row>
      <xdr:rowOff>21809</xdr:rowOff>
    </xdr:from>
    <xdr:to>
      <xdr:col>9</xdr:col>
      <xdr:colOff>190500</xdr:colOff>
      <xdr:row>18</xdr:row>
      <xdr:rowOff>180974</xdr:rowOff>
    </xdr:to>
    <xdr:pic>
      <xdr:nvPicPr>
        <xdr:cNvPr id="5" name="Picture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19874" y="2564984"/>
          <a:ext cx="2638426" cy="1302165"/>
        </a:xfrm>
        <a:prstGeom prst="rect">
          <a:avLst/>
        </a:prstGeom>
        <a:ln w="12700">
          <a:solidFill>
            <a:schemeClr val="tx1"/>
          </a:solidFill>
        </a:ln>
      </xdr:spPr>
    </xdr:pic>
    <xdr:clientData/>
  </xdr:twoCellAnchor>
  <xdr:twoCellAnchor>
    <xdr:from>
      <xdr:col>9</xdr:col>
      <xdr:colOff>373856</xdr:colOff>
      <xdr:row>27</xdr:row>
      <xdr:rowOff>180975</xdr:rowOff>
    </xdr:from>
    <xdr:to>
      <xdr:col>12</xdr:col>
      <xdr:colOff>822293</xdr:colOff>
      <xdr:row>30</xdr:row>
      <xdr:rowOff>95250</xdr:rowOff>
    </xdr:to>
    <xdr:sp macro="" textlink="">
      <xdr:nvSpPr>
        <xdr:cNvPr id="2" name="TextBox 1"/>
        <xdr:cNvSpPr txBox="1"/>
      </xdr:nvSpPr>
      <xdr:spPr>
        <a:xfrm>
          <a:off x="9441656" y="5581650"/>
          <a:ext cx="3182112" cy="48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If you don't know which condition</a:t>
          </a:r>
          <a:r>
            <a:rPr lang="en-US" sz="1100" baseline="0">
              <a:solidFill>
                <a:srgbClr val="FF0000"/>
              </a:solidFill>
            </a:rPr>
            <a:t> to use, a K value of 2.1 is the worst case.</a:t>
          </a:r>
          <a:endParaRPr lang="en-US" sz="11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95250</xdr:rowOff>
    </xdr:from>
    <xdr:to>
      <xdr:col>19</xdr:col>
      <xdr:colOff>19050</xdr:colOff>
      <xdr:row>24</xdr:row>
      <xdr:rowOff>66294</xdr:rowOff>
    </xdr:to>
    <xdr:graphicFrame macro="">
      <xdr:nvGraphicFramePr>
        <xdr:cNvPr id="3" name="Chart 2">
          <a:extLst>
            <a:ext uri="{FF2B5EF4-FFF2-40B4-BE49-F238E27FC236}">
              <a16:creationId xmlns:a16="http://schemas.microsoft.com/office/drawing/2014/main" xmlns="" id="{2A68D778-938C-4E56-A5AE-EC74EAE805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137161</xdr:colOff>
      <xdr:row>11</xdr:row>
      <xdr:rowOff>60960</xdr:rowOff>
    </xdr:from>
    <xdr:to>
      <xdr:col>4</xdr:col>
      <xdr:colOff>449581</xdr:colOff>
      <xdr:row>15</xdr:row>
      <xdr:rowOff>49530</xdr:rowOff>
    </xdr:to>
    <xdr:sp macro="" textlink="">
      <xdr:nvSpPr>
        <xdr:cNvPr id="3" name="Arrow: Down 2">
          <a:extLst>
            <a:ext uri="{FF2B5EF4-FFF2-40B4-BE49-F238E27FC236}">
              <a16:creationId xmlns:a16="http://schemas.microsoft.com/office/drawing/2014/main" xmlns="" id="{4C11F0DF-0A6C-4ADD-ADDA-3CD85020577F}"/>
            </a:ext>
          </a:extLst>
        </xdr:cNvPr>
        <xdr:cNvSpPr/>
      </xdr:nvSpPr>
      <xdr:spPr>
        <a:xfrm rot="2304901">
          <a:off x="3223261" y="2366010"/>
          <a:ext cx="312420" cy="75057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152402</xdr:colOff>
      <xdr:row>11</xdr:row>
      <xdr:rowOff>60960</xdr:rowOff>
    </xdr:from>
    <xdr:to>
      <xdr:col>7</xdr:col>
      <xdr:colOff>464822</xdr:colOff>
      <xdr:row>15</xdr:row>
      <xdr:rowOff>49530</xdr:rowOff>
    </xdr:to>
    <xdr:sp macro="" textlink="">
      <xdr:nvSpPr>
        <xdr:cNvPr id="5" name="Arrow: Down 4">
          <a:extLst>
            <a:ext uri="{FF2B5EF4-FFF2-40B4-BE49-F238E27FC236}">
              <a16:creationId xmlns:a16="http://schemas.microsoft.com/office/drawing/2014/main" xmlns="" id="{7038A48F-48A9-4BB8-8DCD-7CAAF04A3ED7}"/>
            </a:ext>
          </a:extLst>
        </xdr:cNvPr>
        <xdr:cNvSpPr/>
      </xdr:nvSpPr>
      <xdr:spPr>
        <a:xfrm rot="19295099" flipH="1">
          <a:off x="5372102" y="2366010"/>
          <a:ext cx="312420" cy="75057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2</xdr:row>
      <xdr:rowOff>0</xdr:rowOff>
    </xdr:from>
    <xdr:to>
      <xdr:col>18</xdr:col>
      <xdr:colOff>522568</xdr:colOff>
      <xdr:row>21</xdr:row>
      <xdr:rowOff>122718</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60380" y="365760"/>
          <a:ext cx="3082888" cy="3947958"/>
        </a:xfrm>
        <a:prstGeom prst="rect">
          <a:avLst/>
        </a:prstGeom>
      </xdr:spPr>
    </xdr:pic>
    <xdr:clientData/>
  </xdr:twoCellAnchor>
  <xdr:twoCellAnchor>
    <xdr:from>
      <xdr:col>8</xdr:col>
      <xdr:colOff>685800</xdr:colOff>
      <xdr:row>11</xdr:row>
      <xdr:rowOff>60960</xdr:rowOff>
    </xdr:from>
    <xdr:to>
      <xdr:col>8</xdr:col>
      <xdr:colOff>998220</xdr:colOff>
      <xdr:row>14</xdr:row>
      <xdr:rowOff>127498</xdr:rowOff>
    </xdr:to>
    <xdr:sp macro="" textlink="">
      <xdr:nvSpPr>
        <xdr:cNvPr id="4" name="Arrow: Down 3">
          <a:extLst>
            <a:ext uri="{FF2B5EF4-FFF2-40B4-BE49-F238E27FC236}">
              <a16:creationId xmlns:a16="http://schemas.microsoft.com/office/drawing/2014/main" xmlns="" id="{576B5D63-1BBF-4B0A-AA3C-413B5561090D}"/>
            </a:ext>
          </a:extLst>
        </xdr:cNvPr>
        <xdr:cNvSpPr/>
      </xdr:nvSpPr>
      <xdr:spPr>
        <a:xfrm>
          <a:off x="6537960" y="22783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201930</xdr:colOff>
      <xdr:row>10</xdr:row>
      <xdr:rowOff>137159</xdr:rowOff>
    </xdr:from>
    <xdr:to>
      <xdr:col>10</xdr:col>
      <xdr:colOff>514350</xdr:colOff>
      <xdr:row>15</xdr:row>
      <xdr:rowOff>48239</xdr:rowOff>
    </xdr:to>
    <xdr:sp macro="" textlink="">
      <xdr:nvSpPr>
        <xdr:cNvPr id="5" name="Arrow: Down 4">
          <a:extLst>
            <a:ext uri="{FF2B5EF4-FFF2-40B4-BE49-F238E27FC236}">
              <a16:creationId xmlns:a16="http://schemas.microsoft.com/office/drawing/2014/main" xmlns="" id="{F86D8FA4-A540-464C-B523-A8B860F04CD3}"/>
            </a:ext>
          </a:extLst>
        </xdr:cNvPr>
        <xdr:cNvSpPr/>
      </xdr:nvSpPr>
      <xdr:spPr>
        <a:xfrm rot="19179725">
          <a:off x="7970520" y="21716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15</xdr:row>
      <xdr:rowOff>0</xdr:rowOff>
    </xdr:from>
    <xdr:to>
      <xdr:col>12</xdr:col>
      <xdr:colOff>95250</xdr:colOff>
      <xdr:row>36</xdr:row>
      <xdr:rowOff>133351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8</xdr:col>
      <xdr:colOff>280690</xdr:colOff>
      <xdr:row>33</xdr:row>
      <xdr:rowOff>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9600" y="3114675"/>
          <a:ext cx="4890790" cy="3429000"/>
        </a:xfrm>
        <a:prstGeom prst="rect">
          <a:avLst/>
        </a:prstGeom>
      </xdr:spPr>
    </xdr:pic>
    <xdr:clientData/>
  </xdr:twoCellAnchor>
  <xdr:twoCellAnchor>
    <xdr:from>
      <xdr:col>9</xdr:col>
      <xdr:colOff>0</xdr:colOff>
      <xdr:row>5</xdr:row>
      <xdr:rowOff>0</xdr:rowOff>
    </xdr:from>
    <xdr:to>
      <xdr:col>16</xdr:col>
      <xdr:colOff>209550</xdr:colOff>
      <xdr:row>29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0</xdr:row>
      <xdr:rowOff>190499</xdr:rowOff>
    </xdr:from>
    <xdr:to>
      <xdr:col>14</xdr:col>
      <xdr:colOff>1</xdr:colOff>
      <xdr:row>3</xdr:row>
      <xdr:rowOff>238124</xdr:rowOff>
    </xdr:to>
    <xdr:sp macro="" textlink="">
      <xdr:nvSpPr>
        <xdr:cNvPr id="4" name="TextBox 3"/>
        <xdr:cNvSpPr txBox="1"/>
      </xdr:nvSpPr>
      <xdr:spPr>
        <a:xfrm>
          <a:off x="7753350" y="190499"/>
          <a:ext cx="1219201"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rgbClr val="FF0000"/>
              </a:solidFill>
            </a:rPr>
            <a:t>Note: any units will work</a:t>
          </a:r>
          <a:r>
            <a:rPr lang="en-US" sz="1100" baseline="0">
              <a:solidFill>
                <a:srgbClr val="FF0000"/>
              </a:solidFill>
            </a:rPr>
            <a:t> as long as they remain consistent.</a:t>
          </a:r>
          <a:endParaRPr lang="en-US" sz="1100">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3_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Drivetrain"/>
      <sheetName val="SprintDistance"/>
      <sheetName val="MechanismRatio"/>
      <sheetName val="Projectile"/>
      <sheetName val="ChainBelt"/>
      <sheetName val="GearSize"/>
      <sheetName val="Pneumatics"/>
      <sheetName val="UsefulValues"/>
    </sheetNames>
    <sheetDataSet>
      <sheetData sheetId="0"/>
      <sheetData sheetId="1"/>
      <sheetData sheetId="2"/>
      <sheetData sheetId="3"/>
      <sheetData sheetId="4"/>
      <sheetData sheetId="5"/>
      <sheetData sheetId="6"/>
      <sheetData sheetId="7">
        <row r="4">
          <cell r="T4">
            <v>0</v>
          </cell>
        </row>
      </sheetData>
      <sheetData sheetId="8">
        <row r="5">
          <cell r="H5" t="str">
            <v>CIM</v>
          </cell>
        </row>
        <row r="6">
          <cell r="H6" t="str">
            <v>Mini CIM</v>
          </cell>
        </row>
        <row r="7">
          <cell r="H7" t="str">
            <v>BAG Motor</v>
          </cell>
        </row>
        <row r="8">
          <cell r="H8" t="str">
            <v>775pro/Redline</v>
          </cell>
        </row>
        <row r="9">
          <cell r="H9" t="str">
            <v>AM 775</v>
          </cell>
        </row>
        <row r="10">
          <cell r="H10" t="str">
            <v>AM 9015</v>
          </cell>
        </row>
        <row r="11">
          <cell r="H11" t="str">
            <v>CIM + Mini</v>
          </cell>
        </row>
        <row r="12">
          <cell r="H12" t="str">
            <v>CIM + 2 Mini</v>
          </cell>
        </row>
        <row r="13">
          <cell r="H13" t="str">
            <v>2 CIM + Mini</v>
          </cell>
        </row>
        <row r="14">
          <cell r="H14" t="str">
            <v>BB RS-775-18</v>
          </cell>
        </row>
        <row r="15">
          <cell r="H15" t="str">
            <v xml:space="preserve">Snowblower </v>
          </cell>
        </row>
        <row r="16">
          <cell r="H16" t="str">
            <v>Neverest</v>
          </cell>
        </row>
        <row r="17">
          <cell r="H17" t="str">
            <v>Throttle Motor</v>
          </cell>
        </row>
        <row r="18">
          <cell r="H18" t="str">
            <v>Bosch Motor</v>
          </cell>
        </row>
        <row r="19">
          <cell r="H19" t="str">
            <v>Dynamo</v>
          </cell>
        </row>
        <row r="20">
          <cell r="H20" t="str">
            <v>Window Motor</v>
          </cell>
        </row>
        <row r="21">
          <cell r="H21" t="str">
            <v>NEO</v>
          </cell>
        </row>
        <row r="22">
          <cell r="H22" t="str">
            <v>NEOO</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chiefdelphi.com/t/paper-simple-motor-calculator/108165" TargetMode="External"/><Relationship Id="rId7" Type="http://schemas.openxmlformats.org/officeDocument/2006/relationships/hyperlink" Target="https://fac.ksu.edu.sa/sites/default/files/mechanical-disgin-shigley.pdf" TargetMode="External"/><Relationship Id="rId2" Type="http://schemas.openxmlformats.org/officeDocument/2006/relationships/hyperlink" Target="https://www.chiefdelphi.com/t/paper-chain-belt-calculator/168971" TargetMode="Externa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paper-pneumatic-system-simulator/168272" TargetMode="External"/><Relationship Id="rId5" Type="http://schemas.openxmlformats.org/officeDocument/2006/relationships/hyperlink" Target="https://en.wikipedia.org/wiki/Golden-section_search" TargetMode="External"/><Relationship Id="rId4" Type="http://schemas.openxmlformats.org/officeDocument/2006/relationships/hyperlink" Target="https://www.chiefdelphi.com/t/paper-drivetrain-acceleration-model/130799"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www.wcproducts.net/wcp-ds-flippe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499984740745262"/>
  </sheetPr>
  <dimension ref="B2:C45"/>
  <sheetViews>
    <sheetView workbookViewId="0">
      <selection activeCell="C10" sqref="C10"/>
    </sheetView>
  </sheetViews>
  <sheetFormatPr defaultRowHeight="15" x14ac:dyDescent="0.25"/>
  <cols>
    <col min="1" max="1" width="9.140625" style="57"/>
    <col min="2" max="2" width="2.7109375" style="57" customWidth="1"/>
    <col min="3" max="3" width="70.7109375" style="57" customWidth="1"/>
    <col min="4" max="4" width="9.140625" style="57"/>
    <col min="5" max="5" width="9.140625" style="57" customWidth="1"/>
    <col min="6" max="16384" width="9.140625" style="57"/>
  </cols>
  <sheetData>
    <row r="2" spans="2:3" ht="31.5" x14ac:dyDescent="0.25">
      <c r="C2" s="207" t="s">
        <v>134</v>
      </c>
    </row>
    <row r="3" spans="2:3" ht="15.75" x14ac:dyDescent="0.25">
      <c r="C3" s="208" t="s">
        <v>336</v>
      </c>
    </row>
    <row r="4" spans="2:3" ht="15.75" x14ac:dyDescent="0.25">
      <c r="C4" s="208" t="s">
        <v>217</v>
      </c>
    </row>
    <row r="6" spans="2:3" x14ac:dyDescent="0.25">
      <c r="C6" s="84" t="s">
        <v>31</v>
      </c>
    </row>
    <row r="7" spans="2:3" x14ac:dyDescent="0.25">
      <c r="B7" s="265" t="s">
        <v>352</v>
      </c>
      <c r="C7" s="57" t="s">
        <v>32</v>
      </c>
    </row>
    <row r="8" spans="2:3" x14ac:dyDescent="0.25">
      <c r="B8" s="266" t="s">
        <v>352</v>
      </c>
      <c r="C8" s="57" t="s">
        <v>33</v>
      </c>
    </row>
    <row r="9" spans="2:3" x14ac:dyDescent="0.25">
      <c r="B9" s="267" t="s">
        <v>352</v>
      </c>
      <c r="C9" s="57" t="s">
        <v>373</v>
      </c>
    </row>
    <row r="10" spans="2:3" x14ac:dyDescent="0.25">
      <c r="B10" s="268" t="s">
        <v>352</v>
      </c>
      <c r="C10" s="209" t="s">
        <v>34</v>
      </c>
    </row>
    <row r="12" spans="2:3" x14ac:dyDescent="0.25">
      <c r="C12" s="210" t="s">
        <v>125</v>
      </c>
    </row>
    <row r="13" spans="2:3" ht="90" x14ac:dyDescent="0.25">
      <c r="C13" s="211" t="s">
        <v>222</v>
      </c>
    </row>
    <row r="14" spans="2:3" x14ac:dyDescent="0.25">
      <c r="C14" s="212"/>
    </row>
    <row r="15" spans="2:3" x14ac:dyDescent="0.25">
      <c r="C15" s="213" t="s">
        <v>210</v>
      </c>
    </row>
    <row r="16" spans="2:3" ht="135" x14ac:dyDescent="0.25">
      <c r="C16" s="211" t="s">
        <v>214</v>
      </c>
    </row>
    <row r="17" spans="3:3" x14ac:dyDescent="0.25">
      <c r="C17" s="214"/>
    </row>
    <row r="18" spans="3:3" x14ac:dyDescent="0.25">
      <c r="C18" s="210" t="s">
        <v>136</v>
      </c>
    </row>
    <row r="19" spans="3:3" ht="90" x14ac:dyDescent="0.25">
      <c r="C19" s="211" t="s">
        <v>129</v>
      </c>
    </row>
    <row r="20" spans="3:3" x14ac:dyDescent="0.25">
      <c r="C20" s="212"/>
    </row>
    <row r="21" spans="3:3" x14ac:dyDescent="0.25">
      <c r="C21" s="210" t="s">
        <v>223</v>
      </c>
    </row>
    <row r="22" spans="3:3" ht="101.45" customHeight="1" x14ac:dyDescent="0.25">
      <c r="C22" s="211" t="s">
        <v>219</v>
      </c>
    </row>
    <row r="23" spans="3:3" x14ac:dyDescent="0.25">
      <c r="C23" s="212"/>
    </row>
    <row r="24" spans="3:3" x14ac:dyDescent="0.25">
      <c r="C24" s="210" t="s">
        <v>126</v>
      </c>
    </row>
    <row r="25" spans="3:3" ht="105" x14ac:dyDescent="0.25">
      <c r="C25" s="211" t="s">
        <v>212</v>
      </c>
    </row>
    <row r="26" spans="3:3" x14ac:dyDescent="0.25">
      <c r="C26" s="212"/>
    </row>
    <row r="27" spans="3:3" x14ac:dyDescent="0.25">
      <c r="C27" s="210" t="s">
        <v>127</v>
      </c>
    </row>
    <row r="28" spans="3:3" ht="45" x14ac:dyDescent="0.25">
      <c r="C28" s="211" t="s">
        <v>220</v>
      </c>
    </row>
    <row r="29" spans="3:3" ht="57.6" customHeight="1" x14ac:dyDescent="0.25">
      <c r="C29" s="211" t="s">
        <v>213</v>
      </c>
    </row>
    <row r="30" spans="3:3" x14ac:dyDescent="0.25">
      <c r="C30" s="212"/>
    </row>
    <row r="31" spans="3:3" x14ac:dyDescent="0.25">
      <c r="C31" s="210" t="s">
        <v>216</v>
      </c>
    </row>
    <row r="32" spans="3:3" ht="105" x14ac:dyDescent="0.25">
      <c r="C32" s="211" t="s">
        <v>221</v>
      </c>
    </row>
    <row r="33" spans="2:3" x14ac:dyDescent="0.25">
      <c r="C33" s="212"/>
    </row>
    <row r="34" spans="2:3" x14ac:dyDescent="0.25">
      <c r="C34" s="210" t="s">
        <v>128</v>
      </c>
    </row>
    <row r="35" spans="2:3" ht="60" x14ac:dyDescent="0.25">
      <c r="C35" s="211" t="s">
        <v>335</v>
      </c>
    </row>
    <row r="36" spans="2:3" x14ac:dyDescent="0.25">
      <c r="C36" s="212"/>
    </row>
    <row r="38" spans="2:3" x14ac:dyDescent="0.25">
      <c r="C38" s="210" t="s">
        <v>130</v>
      </c>
    </row>
    <row r="39" spans="2:3" x14ac:dyDescent="0.25">
      <c r="C39" s="215" t="s">
        <v>131</v>
      </c>
    </row>
    <row r="40" spans="2:3" x14ac:dyDescent="0.25">
      <c r="C40" s="216" t="s">
        <v>211</v>
      </c>
    </row>
    <row r="41" spans="2:3" x14ac:dyDescent="0.25">
      <c r="C41" s="216" t="s">
        <v>215</v>
      </c>
    </row>
    <row r="42" spans="2:3" x14ac:dyDescent="0.25">
      <c r="C42" s="215" t="s">
        <v>133</v>
      </c>
    </row>
    <row r="43" spans="2:3" x14ac:dyDescent="0.25">
      <c r="C43" s="215" t="s">
        <v>132</v>
      </c>
    </row>
    <row r="44" spans="2:3" x14ac:dyDescent="0.25">
      <c r="B44" s="62"/>
      <c r="C44" s="216" t="s">
        <v>292</v>
      </c>
    </row>
    <row r="45" spans="2:3" x14ac:dyDescent="0.25">
      <c r="B45" s="62"/>
      <c r="C45" s="217" t="s">
        <v>353</v>
      </c>
    </row>
  </sheetData>
  <hyperlinks>
    <hyperlink ref="C39" r:id="rId1"/>
    <hyperlink ref="C43" r:id="rId2"/>
    <hyperlink ref="C42" r:id="rId3"/>
    <hyperlink ref="C40" r:id="rId4"/>
    <hyperlink ref="C41" r:id="rId5"/>
    <hyperlink ref="C44" r:id="rId6"/>
    <hyperlink ref="C45" r:id="rId7"/>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C2:P41"/>
  <sheetViews>
    <sheetView tabSelected="1" workbookViewId="0"/>
  </sheetViews>
  <sheetFormatPr defaultColWidth="9.140625" defaultRowHeight="15" x14ac:dyDescent="0.25"/>
  <cols>
    <col min="1" max="1" width="9.140625" style="69"/>
    <col min="2" max="2" width="2.7109375" style="69" customWidth="1"/>
    <col min="3" max="3" width="18.85546875" style="69" customWidth="1"/>
    <col min="4" max="4" width="9.140625" style="69" customWidth="1"/>
    <col min="5" max="5" width="9.42578125" style="69" customWidth="1"/>
    <col min="6" max="6" width="8.7109375" style="69" customWidth="1"/>
    <col min="7" max="7" width="22.140625" style="69" customWidth="1"/>
    <col min="8" max="9" width="11.28515625" style="69" customWidth="1"/>
    <col min="10" max="10" width="12.7109375" style="69" customWidth="1"/>
    <col min="11" max="15" width="11.28515625" style="69" customWidth="1"/>
    <col min="16" max="16" width="11.85546875" style="69" customWidth="1"/>
    <col min="17" max="19" width="11.28515625" style="69" customWidth="1"/>
    <col min="20" max="16384" width="9.140625" style="69"/>
  </cols>
  <sheetData>
    <row r="2" spans="3:16" ht="31.5" x14ac:dyDescent="0.25">
      <c r="C2" s="58" t="s">
        <v>135</v>
      </c>
    </row>
    <row r="4" spans="3:16" x14ac:dyDescent="0.25">
      <c r="C4" s="269" t="s">
        <v>245</v>
      </c>
      <c r="D4" s="269"/>
      <c r="E4" s="84" t="s">
        <v>14</v>
      </c>
      <c r="H4" s="91" t="s">
        <v>16</v>
      </c>
      <c r="I4" s="92" t="s">
        <v>15</v>
      </c>
      <c r="J4" s="91" t="s">
        <v>166</v>
      </c>
      <c r="K4" s="92" t="s">
        <v>158</v>
      </c>
      <c r="L4" s="91" t="s">
        <v>17</v>
      </c>
      <c r="M4" s="91" t="s">
        <v>18</v>
      </c>
      <c r="N4" s="92" t="s">
        <v>19</v>
      </c>
      <c r="O4" s="92" t="s">
        <v>164</v>
      </c>
      <c r="P4" s="84" t="s">
        <v>259</v>
      </c>
    </row>
    <row r="5" spans="3:16" x14ac:dyDescent="0.25">
      <c r="C5" s="71" t="s">
        <v>20</v>
      </c>
      <c r="D5" s="33">
        <f>VLOOKUP($C$4,UsefulValues!$H$5:$M$24,2,FALSE)</f>
        <v>5676</v>
      </c>
      <c r="E5" s="73">
        <f>D5*(D$12/12)</f>
        <v>5676</v>
      </c>
      <c r="G5" s="71" t="s">
        <v>21</v>
      </c>
      <c r="H5" s="93">
        <f>E27</f>
        <v>20</v>
      </c>
      <c r="I5" s="93">
        <f>D15*(I11*IF($D$19="Imperial", 1, 2.205))/E6*0.113</f>
        <v>32.596153846153847</v>
      </c>
      <c r="J5" s="93">
        <f>D15*D16/8.850745792/((SQRT(E8)*E6)/(SQRT(E7)+SQRT(E8)))</f>
        <v>140.75779537806605</v>
      </c>
      <c r="K5" s="93">
        <f>D15*(K11*IF($D$19="Imperial", 1, 2.205))/E6*0.113</f>
        <v>16.298076923076923</v>
      </c>
      <c r="L5" s="93">
        <f>IF(L7&gt;0, IFERROR(($E$6*$E$5+SQRT(($E$6*$E$5)^2-27.119*$D$16*$D$15*L7*$E$6*$E$5))/(120*L7*$E$6),"ERROR"),"ERROR")</f>
        <v>73.673258692062703</v>
      </c>
      <c r="M5" s="93">
        <f>IF(M9&gt;0, IFERROR(($E$6*$E$5+SQRT(($E$6*$E$5)^2-27.119*$D$16*$D$15*M7*$E$6*$E$5))/(120*M7*$E$6),"ERROR"),"ERROR")</f>
        <v>50.156724281530572</v>
      </c>
      <c r="N5" s="93">
        <f>IF(N10&gt;D8, IFERROR(($E7-$E8)/$E6*$D15*$D16/$D11/0.2248/39.37/(N10-$E8/$D11),"ERROR"),"ERROR")</f>
        <v>44.026334858350481</v>
      </c>
      <c r="O5" s="93">
        <f>IF(O11&gt;0, IFERROR(D15*(O11*IF($D$19="Imperial", 1, 2.205))/E6*0.113,"ERROR"),"ERROR")</f>
        <v>81.490384615384613</v>
      </c>
      <c r="P5" s="93">
        <f>IF(P12&gt;0, IFERROR(12*0.113*$D$15*$D$16/($D$13*$D$6*$D$11*P12),"ERROR"),"ERROR")</f>
        <v>19.557692307692307</v>
      </c>
    </row>
    <row r="6" spans="3:16" x14ac:dyDescent="0.25">
      <c r="C6" s="71" t="s">
        <v>22</v>
      </c>
      <c r="D6" s="38">
        <f>VLOOKUP($C$4,UsefulValues!$H$5:$M$24,3,FALSE)</f>
        <v>2.6</v>
      </c>
      <c r="E6" s="76">
        <f>D6*(D$12/12)*D11*D13</f>
        <v>4.16</v>
      </c>
      <c r="G6" s="71" t="s">
        <v>23</v>
      </c>
      <c r="H6" s="81">
        <f>$E5/H5/60</f>
        <v>4.7300000000000004</v>
      </c>
      <c r="I6" s="81">
        <f t="shared" ref="I6" si="0">$E5/I5/60</f>
        <v>2.9021828908554572</v>
      </c>
      <c r="J6" s="81">
        <f t="shared" ref="J6:P6" si="1">$E5/J5/60</f>
        <v>0.67207645406714922</v>
      </c>
      <c r="K6" s="81">
        <f t="shared" si="1"/>
        <v>5.8043657817109144</v>
      </c>
      <c r="L6" s="81">
        <f>IF(L7&gt;0, IFERROR($E5/L5/60,"ERROR"),"ERROR")</f>
        <v>1.284047993525117</v>
      </c>
      <c r="M6" s="81">
        <f>IF(M9&gt;0, IFERROR($E5/M5/60,"ERROR"),"ERROR")</f>
        <v>1.8860880840026264</v>
      </c>
      <c r="N6" s="81">
        <f>IF(N10&gt;D8, IFERROR($E5/N5/60,"ERROR"),"ERROR")</f>
        <v>2.1487139527822223</v>
      </c>
      <c r="O6" s="81">
        <f>IF(O11&gt;0, IFERROR($E5/O5/60,"ERROR"),"ERROR")</f>
        <v>1.160873156342183</v>
      </c>
      <c r="P6" s="81">
        <f>IF(P12&gt;0, IFERROR($E5/P5/60,"ERROR"),"ERROR")</f>
        <v>4.8369714847590952</v>
      </c>
    </row>
    <row r="7" spans="3:16" x14ac:dyDescent="0.25">
      <c r="C7" s="71" t="s">
        <v>24</v>
      </c>
      <c r="D7" s="38">
        <f>VLOOKUP($C$4,UsefulValues!$H$5:$M$24,4,FALSE)</f>
        <v>105</v>
      </c>
      <c r="E7" s="77">
        <f>D7*(D$12/12)*D11</f>
        <v>210</v>
      </c>
      <c r="G7" s="71" t="s">
        <v>25</v>
      </c>
      <c r="H7" s="81">
        <f>H6*(1-$D16/(H11*IF($D$19="Imperial", 1, 2.205)))</f>
        <v>0.875861269275235</v>
      </c>
      <c r="I7" s="81">
        <f>I6*(1-$D16/(I11*IF($D$19="Imperial", 1, 2.205)))</f>
        <v>1.4510914454277286</v>
      </c>
      <c r="J7" s="81">
        <f>J6*(1-$D16/(J11*IF($D$19="Imperial", 1, 2.205)))</f>
        <v>0.59426519865094418</v>
      </c>
      <c r="K7" s="81">
        <f>K6*(1-$D16/(K11*IF($D$19="Imperial", 1, 2.205)))</f>
        <v>0</v>
      </c>
      <c r="L7" s="94">
        <v>1</v>
      </c>
      <c r="M7" s="81">
        <f>IF(M9&gt;0, (M9*IF($D$19="Imperial", 1, 3.281))/D15/2/PI()*12,"ERROR")</f>
        <v>1.2732395447351625</v>
      </c>
      <c r="N7" s="81">
        <f>IF(N10&gt;D8, IFERROR(N6*(1-$D16/(N11*IF($D$19="Imperial", 1, 2.205))),"ERROR"),"ERROR")</f>
        <v>1.3533566563066324</v>
      </c>
      <c r="O7" s="81">
        <f>IF(O11&gt;0, IFERROR(O6*(1-$D16/(O11*IF($D$19="Imperial", 1, 2.205))),"ERROR"),"ERROR")</f>
        <v>0.92869852507374651</v>
      </c>
      <c r="P7" s="81">
        <f>IF(P12&gt;0, IFERROR(P6*(1-$D16/(P11*IF($D$19="Imperial", 1, 2.205))),"ERROR"),"ERROR")</f>
        <v>0.80653468116560634</v>
      </c>
    </row>
    <row r="8" spans="3:16" x14ac:dyDescent="0.25">
      <c r="C8" s="71" t="s">
        <v>26</v>
      </c>
      <c r="D8" s="38">
        <f>VLOOKUP($C$4,UsefulValues!$H$5:$M$24,5,FALSE)</f>
        <v>1.8</v>
      </c>
      <c r="E8" s="77">
        <f>D8*(D$12/12)*D11</f>
        <v>3.6</v>
      </c>
      <c r="G8" s="71" t="str">
        <f>IF($D$19="Imperial", "Lin. Free Speed (ft/s)", "Lin. Free Speed (m/s)")</f>
        <v>Lin. Free Speed (ft/s)</v>
      </c>
      <c r="H8" s="81">
        <f t="shared" ref="H8:O8" si="2">H6/12*2*PI()*$D$15/IF($D$19="Imperial", 1, 3.281)</f>
        <v>74.298666257398622</v>
      </c>
      <c r="I8" s="81">
        <f t="shared" si="2"/>
        <v>45.587382246427467</v>
      </c>
      <c r="J8" s="81">
        <f t="shared" si="2"/>
        <v>10.556952253740169</v>
      </c>
      <c r="K8" s="81">
        <f t="shared" si="2"/>
        <v>91.174764492854933</v>
      </c>
      <c r="L8" s="81">
        <f>IF(L7&gt;0, IFERROR(L6/12*2*PI()*$D$15/IF($D$19="Imperial", 1, 3.281),"ERROR"),"ERROR")</f>
        <v>20.169778716576108</v>
      </c>
      <c r="M8" s="81">
        <f>IF(M9&gt;0, IFERROR(M6/12*2*PI()*$D$15/IF($D$19="Imperial", 1, 3.281),"ERROR"),"ERROR")</f>
        <v>29.626602343629497</v>
      </c>
      <c r="N8" s="81">
        <f>IF(N10&gt;D8, IFERROR(N6/12*2*PI()*$D$15/IF($D$19="Imperial", 1, 3.281),"ERROR"),"ERROR")</f>
        <v>33.751919843632578</v>
      </c>
      <c r="O8" s="81">
        <f>IF(O11&gt;0, IFERROR(O6/12*2*PI()*$D$15/IF($D$19="Imperial", 1, 3.281),"ERROR"),"ERROR")</f>
        <v>18.234952898570988</v>
      </c>
      <c r="P8" s="81">
        <f>IF(P12&gt;0, IFERROR(P6/12*2*PI()*$D$15/IF($D$19="Imperial", 1, 3.281),"ERROR"),"ERROR")</f>
        <v>75.978970410712435</v>
      </c>
    </row>
    <row r="9" spans="3:16" x14ac:dyDescent="0.25">
      <c r="C9" s="72" t="s">
        <v>27</v>
      </c>
      <c r="D9" s="35">
        <f>D5/2*(1/60*2*PI())*D6/2</f>
        <v>386.35306453847278</v>
      </c>
      <c r="E9" s="35">
        <f>E5/2*(1/60*2*PI())*E6/2</f>
        <v>618.16490326155645</v>
      </c>
      <c r="G9" s="71" t="str">
        <f>IF($D$19="Imperial", "Lin. Loaded Speed (ft/s)", "Lin. Loaded Speed (m/s)")</f>
        <v>Lin. Loaded Speed (ft/s)</v>
      </c>
      <c r="H9" s="81">
        <f>H7/12*2*PI()*$D$15/IF($D$19="Imperial", 1, 3.281)</f>
        <v>13.757996645594549</v>
      </c>
      <c r="I9" s="81">
        <f>I7/12*2*PI()*$D$15/IF($D$19="Imperial", 1, 3.281)</f>
        <v>22.793691123213733</v>
      </c>
      <c r="J9" s="81">
        <f>J7/12*2*PI()*$D$15/IF($D$19="Imperial", 1, 3.281)</f>
        <v>9.3346959118294279</v>
      </c>
      <c r="K9" s="81">
        <f>K7/12*2*PI()*$D$15/IF($D$19="Imperial", 1, 3.281)</f>
        <v>0</v>
      </c>
      <c r="L9" s="81">
        <f>IF(L7&gt;0, L7/12*2*PI()*$D$15/IF($D$19="Imperial", 1, 3.281),"ERROR")</f>
        <v>15.707963267948964</v>
      </c>
      <c r="M9" s="94">
        <v>20</v>
      </c>
      <c r="N9" s="81">
        <f>IF(N10&gt;D8, IFERROR(N7/12*2*PI()*$D$15/IF($D$19="Imperial", 1, 3.281),"ERROR"),"ERROR")</f>
        <v>21.258476645698813</v>
      </c>
      <c r="O9" s="81">
        <f>IF(O11&gt;0, IFERROR(O7/12*2*PI()*$D$15/IF($D$19="Imperial", 1, 3.281),"ERROR"),"ERROR")</f>
        <v>14.587962318856791</v>
      </c>
      <c r="P9" s="81">
        <f>IF(P12&gt;0, IFERROR(P7/12*2*PI()*$D$15/IF($D$19="Imperial", 1, 3.281),"ERROR"),"ERROR")</f>
        <v>12.669017146076275</v>
      </c>
    </row>
    <row r="10" spans="3:16" x14ac:dyDescent="0.25">
      <c r="G10" s="71" t="s">
        <v>138</v>
      </c>
      <c r="H10" s="95">
        <f>($E7-$E8)/$E6*$D15*$D16/H5/$D11/0.2248/39.37 + $E8/$D11</f>
        <v>85.890299579449405</v>
      </c>
      <c r="I10" s="95">
        <f t="shared" ref="I10:M10" si="3">($E7-$E8)/$E6*$D15*$D16/I5/$D11/0.2248/39.37 + $E8/$D11</f>
        <v>53.395228060547126</v>
      </c>
      <c r="J10" s="95">
        <f t="shared" si="3"/>
        <v>13.748226292346862</v>
      </c>
      <c r="K10" s="95">
        <f t="shared" si="3"/>
        <v>104.99045612109425</v>
      </c>
      <c r="L10" s="95">
        <f>IF(L7&gt;0, IFERROR(($E7-$E8)/$E6*$D15*$D16/L5/$D11/0.2248/39.37 + $E8/$D11,"ERROR"),"ERROR")</f>
        <v>24.627902843534464</v>
      </c>
      <c r="M10" s="95">
        <f>IF(M9&gt;0, IFERROR(($E7-$E8)/$E6*$D15*$D16/M5/$D11/0.2248/39.37 + $E8/$D11,"ERROR"),"ERROR")</f>
        <v>35.331017339748541</v>
      </c>
      <c r="N10" s="96">
        <v>40</v>
      </c>
      <c r="O10" s="95">
        <f>IF(O11&gt;0, IFERROR(($E7-$E8)/$E6*$D15*$D16/O5/$D11/0.2248/39.37 + $E8/$D11,"ERROR"),"ERROR")</f>
        <v>22.438091224218855</v>
      </c>
      <c r="P10" s="95">
        <f>IF(P12&gt;0, IFERROR(($E7-$E8)/$E6*$D15*$D16/P5/$D11/0.2248/39.37 + $E8/$D11,"ERROR"),"ERROR")</f>
        <v>87.792046767578555</v>
      </c>
    </row>
    <row r="11" spans="3:16" x14ac:dyDescent="0.25">
      <c r="C11" s="71" t="s">
        <v>28</v>
      </c>
      <c r="D11" s="74">
        <v>2</v>
      </c>
      <c r="G11" s="72" t="str">
        <f>IF($D$19="Imperial", "Stall Load (lbs)", "Stall Load (kg)")</f>
        <v>Stall Load (lbs)</v>
      </c>
      <c r="H11" s="95">
        <f>$E$6*H5*39.37*0.2248/$D$15/IF($D$19="Imperial", 1, 2.205)</f>
        <v>24.545042773333332</v>
      </c>
      <c r="I11" s="95">
        <f>2*D16/IF($D$19="Imperial", 1, 2.205)</f>
        <v>40</v>
      </c>
      <c r="J11" s="95">
        <f>$E$6*J5*39.37*0.2248/$D$15/IF($D$19="Imperial", 1, 2.205)</f>
        <v>172.74530541173661</v>
      </c>
      <c r="K11" s="95">
        <f>D16</f>
        <v>20</v>
      </c>
      <c r="L11" s="95">
        <f>IF(L7&gt;0, IFERROR($E$6*L5*39.37*0.2248/$D$15/IF($D$19="Imperial", 1, 2.205),"ERROR"),"ERROR")</f>
        <v>90.415664292376533</v>
      </c>
      <c r="M11" s="95">
        <f>IF(M9&gt;0, IFERROR($E$6*M5*39.37*0.2248/$D$15/IF($D$19="Imperial", 1, 2.205),"ERROR"),"ERROR")</f>
        <v>61.554947143022716</v>
      </c>
      <c r="N11" s="95">
        <f>IF(N10&gt;D8, IFERROR($E$6*N5*39.37*0.2248/$D$15/IF($D$19="Imperial", 1, 2.205),"ERROR"),"ERROR")</f>
        <v>54.031413612565444</v>
      </c>
      <c r="O11" s="96">
        <v>100</v>
      </c>
      <c r="P11" s="95">
        <f>IF(P12&gt;0, IFERROR($E$6*P5*39.37*0.2248/$D$15/IF($D$19="Imperial", 1, 2.205),"ERROR"),"ERROR")</f>
        <v>24.002219711999999</v>
      </c>
    </row>
    <row r="12" spans="3:16" x14ac:dyDescent="0.25">
      <c r="C12" s="71" t="s">
        <v>29</v>
      </c>
      <c r="D12" s="74">
        <v>12</v>
      </c>
      <c r="G12" s="71" t="s">
        <v>162</v>
      </c>
      <c r="H12" s="95">
        <f>12*0.113*$D$15*$D$16/($D$13*$D$6*$D$11*H5)</f>
        <v>9.7788461538461533</v>
      </c>
      <c r="I12" s="95">
        <f t="shared" ref="I12:O12" si="4">12*0.113*$D$15*$D$16/($D$13*$D$6*$D$11*I5)</f>
        <v>6</v>
      </c>
      <c r="J12" s="95">
        <f t="shared" si="4"/>
        <v>1.389457134872115</v>
      </c>
      <c r="K12" s="95">
        <f t="shared" si="4"/>
        <v>12</v>
      </c>
      <c r="L12" s="95">
        <f>IF(L7&gt;0, IFERROR(12*0.113*$D$15*$D$16/($D$13*$D$6*$D$11*L5),"ERROR"),"ERROR")</f>
        <v>2.6546528082107743</v>
      </c>
      <c r="M12" s="95">
        <f>IF(M9&gt;0, IFERROR(12*0.113*$D$15*$D$16/($D$13*$D$6*$D$11*M5),"ERROR"),"ERROR")</f>
        <v>3.8993161112186354</v>
      </c>
      <c r="N12" s="95">
        <f>IF(N10&gt;D8, IFERROR(12*0.113*$D$15*$D$16/($D$13*$D$6*$D$11*N5),"ERROR"),"ERROR")</f>
        <v>4.4422712839069769</v>
      </c>
      <c r="O12" s="95">
        <f>IF(O11&gt;0, IFERROR(12*0.113*$D$15*$D$16/($D$13*$D$6*$D$11*O5),"ERROR"),"ERROR")</f>
        <v>2.4</v>
      </c>
      <c r="P12" s="96">
        <v>10</v>
      </c>
    </row>
    <row r="13" spans="3:16" x14ac:dyDescent="0.25">
      <c r="C13" s="72" t="s">
        <v>30</v>
      </c>
      <c r="D13" s="82">
        <v>0.8</v>
      </c>
      <c r="G13" s="97" t="s">
        <v>313</v>
      </c>
    </row>
    <row r="14" spans="3:16" x14ac:dyDescent="0.25">
      <c r="F14" s="98"/>
    </row>
    <row r="15" spans="3:16" x14ac:dyDescent="0.25">
      <c r="C15" s="71" t="s">
        <v>230</v>
      </c>
      <c r="D15" s="74">
        <v>30</v>
      </c>
      <c r="E15" s="67"/>
    </row>
    <row r="16" spans="3:16" x14ac:dyDescent="0.25">
      <c r="C16" s="72" t="s">
        <v>231</v>
      </c>
      <c r="D16" s="74">
        <v>20</v>
      </c>
      <c r="E16" s="67"/>
    </row>
    <row r="19" spans="3:5" x14ac:dyDescent="0.25">
      <c r="C19" s="71" t="s">
        <v>317</v>
      </c>
      <c r="D19" s="74" t="s">
        <v>322</v>
      </c>
    </row>
    <row r="22" spans="3:5" x14ac:dyDescent="0.25">
      <c r="D22" s="70" t="s">
        <v>152</v>
      </c>
      <c r="E22" s="71"/>
    </row>
    <row r="23" spans="3:5" x14ac:dyDescent="0.25">
      <c r="D23" s="74"/>
      <c r="E23" s="74">
        <v>5</v>
      </c>
    </row>
    <row r="24" spans="3:5" x14ac:dyDescent="0.25">
      <c r="D24" s="74"/>
      <c r="E24" s="74">
        <v>4</v>
      </c>
    </row>
    <row r="25" spans="3:5" x14ac:dyDescent="0.25">
      <c r="D25" s="74"/>
      <c r="E25" s="74"/>
    </row>
    <row r="26" spans="3:5" x14ac:dyDescent="0.25">
      <c r="D26" s="74"/>
      <c r="E26" s="74"/>
    </row>
    <row r="27" spans="3:5" x14ac:dyDescent="0.25">
      <c r="D27" s="71" t="s">
        <v>291</v>
      </c>
      <c r="E27" s="93">
        <f>IFERROR(IF(PRODUCT(E23:E26)=0, 1, PRODUCT(E23:E26))/IF(PRODUCT(D23:D26)=0, 1, PRODUCT(D23:D26)), "ERROR")</f>
        <v>20</v>
      </c>
    </row>
    <row r="30" spans="3:5" x14ac:dyDescent="0.25">
      <c r="C30" s="84" t="s">
        <v>377</v>
      </c>
    </row>
    <row r="31" spans="3:5" x14ac:dyDescent="0.25">
      <c r="C31" s="71" t="s">
        <v>375</v>
      </c>
      <c r="D31" s="277"/>
    </row>
    <row r="32" spans="3:5" x14ac:dyDescent="0.25">
      <c r="C32" s="71" t="s">
        <v>376</v>
      </c>
      <c r="D32" s="277"/>
    </row>
    <row r="33" spans="7:12" x14ac:dyDescent="0.25">
      <c r="G33" s="270" t="s">
        <v>246</v>
      </c>
      <c r="H33" s="270"/>
      <c r="I33" s="270"/>
      <c r="J33" s="270"/>
      <c r="K33" s="270"/>
      <c r="L33" s="270"/>
    </row>
    <row r="34" spans="7:12" x14ac:dyDescent="0.25">
      <c r="G34" s="71" t="s">
        <v>21</v>
      </c>
      <c r="H34" s="271" t="s">
        <v>247</v>
      </c>
      <c r="I34" s="271"/>
      <c r="J34" s="271"/>
      <c r="K34" s="271"/>
      <c r="L34" s="271"/>
    </row>
    <row r="35" spans="7:12" x14ac:dyDescent="0.25">
      <c r="G35" s="71" t="s">
        <v>248</v>
      </c>
      <c r="H35" s="271" t="s">
        <v>249</v>
      </c>
      <c r="I35" s="271"/>
      <c r="J35" s="271"/>
      <c r="K35" s="271"/>
      <c r="L35" s="271"/>
    </row>
    <row r="36" spans="7:12" x14ac:dyDescent="0.25">
      <c r="G36" s="71" t="s">
        <v>250</v>
      </c>
      <c r="H36" s="271" t="s">
        <v>251</v>
      </c>
      <c r="I36" s="271"/>
      <c r="J36" s="271"/>
      <c r="K36" s="271"/>
      <c r="L36" s="271"/>
    </row>
    <row r="37" spans="7:12" x14ac:dyDescent="0.25">
      <c r="G37" s="71" t="s">
        <v>252</v>
      </c>
      <c r="H37" s="272" t="s">
        <v>253</v>
      </c>
      <c r="I37" s="272"/>
      <c r="J37" s="272"/>
      <c r="K37" s="272"/>
      <c r="L37" s="272"/>
    </row>
    <row r="38" spans="7:12" x14ac:dyDescent="0.25">
      <c r="G38" s="71" t="s">
        <v>254</v>
      </c>
      <c r="H38" s="272" t="s">
        <v>255</v>
      </c>
      <c r="I38" s="272"/>
      <c r="J38" s="272"/>
      <c r="K38" s="272"/>
      <c r="L38" s="272"/>
    </row>
    <row r="39" spans="7:12" x14ac:dyDescent="0.25">
      <c r="G39" s="71" t="s">
        <v>256</v>
      </c>
      <c r="H39" s="272" t="s">
        <v>257</v>
      </c>
      <c r="I39" s="272"/>
      <c r="J39" s="272"/>
      <c r="K39" s="272"/>
      <c r="L39" s="272"/>
    </row>
    <row r="40" spans="7:12" x14ac:dyDescent="0.25">
      <c r="G40" s="72" t="s">
        <v>164</v>
      </c>
      <c r="H40" s="272" t="s">
        <v>258</v>
      </c>
      <c r="I40" s="272"/>
      <c r="J40" s="272"/>
      <c r="K40" s="272"/>
      <c r="L40" s="272"/>
    </row>
    <row r="41" spans="7:12" x14ac:dyDescent="0.25">
      <c r="G41" s="71" t="s">
        <v>259</v>
      </c>
      <c r="H41" s="272" t="s">
        <v>260</v>
      </c>
      <c r="I41" s="272"/>
      <c r="J41" s="272"/>
      <c r="K41" s="272"/>
      <c r="L41" s="272"/>
    </row>
  </sheetData>
  <mergeCells count="10">
    <mergeCell ref="H37:L37"/>
    <mergeCell ref="H38:L38"/>
    <mergeCell ref="H39:L39"/>
    <mergeCell ref="H40:L40"/>
    <mergeCell ref="H41:L41"/>
    <mergeCell ref="C4:D4"/>
    <mergeCell ref="G33:L33"/>
    <mergeCell ref="H34:L34"/>
    <mergeCell ref="H35:L35"/>
    <mergeCell ref="H36:L36"/>
  </mergeCells>
  <conditionalFormatting sqref="D11">
    <cfRule type="expression" dxfId="81" priority="39">
      <formula>D11&lt;=0</formula>
    </cfRule>
  </conditionalFormatting>
  <conditionalFormatting sqref="D15">
    <cfRule type="expression" dxfId="80" priority="38">
      <formula>D15&lt;=0</formula>
    </cfRule>
  </conditionalFormatting>
  <conditionalFormatting sqref="D16">
    <cfRule type="expression" dxfId="79" priority="37">
      <formula>D16&lt;0</formula>
    </cfRule>
  </conditionalFormatting>
  <conditionalFormatting sqref="D12">
    <cfRule type="expression" dxfId="78" priority="36">
      <formula>OR(D12&lt;=0, D12&gt;12)</formula>
    </cfRule>
  </conditionalFormatting>
  <conditionalFormatting sqref="D13">
    <cfRule type="expression" dxfId="77" priority="35">
      <formula>OR(D13&lt;=0, D13&gt;1)</formula>
    </cfRule>
  </conditionalFormatting>
  <conditionalFormatting sqref="E27">
    <cfRule type="expression" dxfId="76" priority="29">
      <formula>$H$7&lt;0</formula>
    </cfRule>
  </conditionalFormatting>
  <conditionalFormatting sqref="H5">
    <cfRule type="expression" dxfId="75" priority="28">
      <formula>$H$7&lt;0</formula>
    </cfRule>
  </conditionalFormatting>
  <conditionalFormatting sqref="L7">
    <cfRule type="expression" dxfId="74" priority="12">
      <formula>L$5="ERROR"</formula>
    </cfRule>
  </conditionalFormatting>
  <conditionalFormatting sqref="M9">
    <cfRule type="expression" dxfId="73" priority="8">
      <formula>M$5="ERROR"</formula>
    </cfRule>
  </conditionalFormatting>
  <conditionalFormatting sqref="N10">
    <cfRule type="expression" dxfId="72" priority="6">
      <formula>OR($N$10&lt;$D$8,$N$10&gt;$D$7)</formula>
    </cfRule>
  </conditionalFormatting>
  <conditionalFormatting sqref="O11">
    <cfRule type="expression" dxfId="71" priority="2">
      <formula>$O$11&lt;=0</formula>
    </cfRule>
  </conditionalFormatting>
  <conditionalFormatting sqref="P12">
    <cfRule type="expression" dxfId="70" priority="1">
      <formula>$P$12&lt;=0</formula>
    </cfRule>
  </conditionalFormatting>
  <conditionalFormatting sqref="H10:K10">
    <cfRule type="expression" dxfId="69" priority="40">
      <formula>H10&gt;MIN($D$31,$D$7)</formula>
    </cfRule>
  </conditionalFormatting>
  <conditionalFormatting sqref="H12:K12">
    <cfRule type="expression" dxfId="68" priority="41">
      <formula>H12&gt;MIN($D$32,12)</formula>
    </cfRule>
  </conditionalFormatting>
  <conditionalFormatting sqref="L10:M10 O10:P10">
    <cfRule type="expression" dxfId="67" priority="45">
      <formula>AND(L10&gt;MIN($D$31,$D$7),L10&lt;&gt;"ERROR")</formula>
    </cfRule>
  </conditionalFormatting>
  <conditionalFormatting sqref="L12:O12">
    <cfRule type="expression" dxfId="66" priority="49">
      <formula>AND(L12&gt;MIN($D$32,12),L12&lt;&gt;"ERROR")</formula>
    </cfRule>
  </conditionalFormatting>
  <dataValidations disablePrompts="1" count="2">
    <dataValidation type="list" allowBlank="1" showInputMessage="1" showErrorMessage="1" sqref="C4:D4">
      <formula1>Motors</formula1>
    </dataValidation>
    <dataValidation type="list" allowBlank="1" showInputMessage="1" showErrorMessage="1" sqref="D19">
      <formula1>"Imperial,Metric"</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sheetPr>
  <dimension ref="B2:I17"/>
  <sheetViews>
    <sheetView workbookViewId="0"/>
  </sheetViews>
  <sheetFormatPr defaultRowHeight="15" x14ac:dyDescent="0.25"/>
  <cols>
    <col min="2" max="2" width="22" customWidth="1"/>
    <col min="3" max="3" width="10.42578125" customWidth="1"/>
    <col min="6" max="6" width="21.7109375" customWidth="1"/>
    <col min="11" max="11" width="9.140625" customWidth="1"/>
  </cols>
  <sheetData>
    <row r="2" spans="2:9" ht="31.5" x14ac:dyDescent="0.25">
      <c r="B2" s="58" t="s">
        <v>337</v>
      </c>
    </row>
    <row r="4" spans="2:9" x14ac:dyDescent="0.25">
      <c r="B4" s="1" t="s">
        <v>317</v>
      </c>
      <c r="C4" s="2" t="s">
        <v>316</v>
      </c>
      <c r="F4" s="1" t="s">
        <v>347</v>
      </c>
      <c r="G4" s="257">
        <f>C7*C8/(PI()*D6)/((PI()*D6*D11+C7*C8*COS(0.5*RADIANS(C9)))/(PI()*D6*COS(0.5*RADIANS(C9))-D11*C7*C8))</f>
        <v>0.67325138989454003</v>
      </c>
    </row>
    <row r="5" spans="2:9" x14ac:dyDescent="0.25">
      <c r="F5" s="1" t="s">
        <v>348</v>
      </c>
      <c r="G5" s="255">
        <f>C7*C8/(2*PI())/IF($C$4="Imperial", 1, 25.4)</f>
        <v>5.0127541131305624E-2</v>
      </c>
    </row>
    <row r="6" spans="2:9" x14ac:dyDescent="0.25">
      <c r="B6" s="1" t="str">
        <f>IF($C$4="Imperial", "Diameter (in)", "Diameter (mm)")</f>
        <v>Diameter (mm)</v>
      </c>
      <c r="C6" s="2">
        <v>12</v>
      </c>
      <c r="D6" s="5">
        <f>C6-C7/2</f>
        <v>8</v>
      </c>
    </row>
    <row r="7" spans="2:9" x14ac:dyDescent="0.25">
      <c r="B7" s="1" t="str">
        <f>IF($C$4="Imperial", "Pitch (in)", "Pitch (mm)")</f>
        <v>Pitch (mm)</v>
      </c>
      <c r="C7" s="2">
        <v>8</v>
      </c>
      <c r="D7" s="5"/>
      <c r="G7" s="261"/>
    </row>
    <row r="8" spans="2:9" x14ac:dyDescent="0.25">
      <c r="B8" s="1" t="s">
        <v>338</v>
      </c>
      <c r="C8" s="2">
        <v>1</v>
      </c>
      <c r="F8" s="1" t="str">
        <f>IF($C$4="Imperial", "Applied Force (lbs)", "Applied Force (N)")</f>
        <v>Applied Force (N)</v>
      </c>
      <c r="G8" s="2">
        <v>200</v>
      </c>
      <c r="H8" s="258">
        <f>H9/($D$6/2*((PI()*$D$6*$D$11+$C$7*$C$8*COS(0.5*RADIANS($C$9)))/(PI()*$D$6*COS(0.5*RADIANS($C$9))-$D$11*$C$7*$C$8)))</f>
        <v>264.38520256397555</v>
      </c>
      <c r="I8" s="258">
        <f>I10/($D$6/2*((PI()*$D$11*$D$6-$C$7*$C$8*COS(0.5*RADIANS($C$9)))/(PI()*$D$6*COS(0.5*RADIANS($C$9))+$D$11*$C$7*$C$8)))</f>
        <v>-42.495473000367362</v>
      </c>
    </row>
    <row r="9" spans="2:9" x14ac:dyDescent="0.25">
      <c r="B9" s="1" t="s">
        <v>339</v>
      </c>
      <c r="C9" s="253">
        <v>29</v>
      </c>
      <c r="F9" s="1" t="str">
        <f>IF($C$4="Imperial", "Raise Torque (in-lbs)", "Raise Torque (Nmm)")</f>
        <v>Raise Torque (Nmm)</v>
      </c>
      <c r="G9" s="258">
        <f>G8*$D$6/2*((PI()*$D$6*$D$11+$C$7*$C$8*COS(0.5*RADIANS($C$9)))/(PI()*$D$6*COS(0.5*RADIANS($C$9))-$D$11*$C$7*$C$8))</f>
        <v>378.23599441350029</v>
      </c>
      <c r="H9" s="2">
        <v>500</v>
      </c>
      <c r="I9" s="258">
        <f>I8*$D$6/2*((PI()*$D$6*$D$11+$C$7*$C$8*COS(0.5*RADIANS($C$9)))/(PI()*$D$6*COS(0.5*RADIANS($C$9))-$D$11*$C$7*$C$8))</f>
        <v>-80.366587441830006</v>
      </c>
    </row>
    <row r="10" spans="2:9" x14ac:dyDescent="0.25">
      <c r="F10" s="1" t="str">
        <f>IF($C$4="Imperial", "Lower Torque (in-lbs)", "Lower Torque (Nmm)")</f>
        <v>Lower Torque (Nmm)</v>
      </c>
      <c r="G10" s="258">
        <f>G8*$D$6/2*((PI()*$D$11*$D$6-$C$7*$C$8*COS(0.5*RADIANS($C$9)))/(PI()*$D$6*COS(0.5*RADIANS($C$9))+$D$11*$C$7*$C$8))</f>
        <v>-141.19150997444203</v>
      </c>
      <c r="H10" s="258">
        <f>H8*$D$6/2*((PI()*$D$11*$D$6-$C$7*$C$8*COS(0.5*RADIANS($C$9)))/(PI()*$D$6*COS(0.5*RADIANS($C$9))+$D$11*$C$7*$C$8))</f>
        <v>-186.64472982453216</v>
      </c>
      <c r="I10" s="2">
        <v>30</v>
      </c>
    </row>
    <row r="11" spans="2:9" x14ac:dyDescent="0.25">
      <c r="B11" s="1" t="s">
        <v>340</v>
      </c>
      <c r="C11" s="2" t="s">
        <v>344</v>
      </c>
      <c r="D11" s="5">
        <f>IF($C$11="Steel", IF($C$13="No",IF($C$12="Steel",0.2,IF($C$12="Bronze",0.19,IF($C$12="Brass",0.17,0.2))), IF($C$12="Steel",0.14,IF($C$12="Bronze",0.13,IF($C$12="Brass",0.13,0.14)))), IF($C$12="Steel",0.1,IF($C$12="Bronze",0.05,IF($C$12="Brass",0.05,0.08))))</f>
        <v>0.13</v>
      </c>
      <c r="F11" s="1" t="s">
        <v>346</v>
      </c>
      <c r="G11" s="254" t="b">
        <f>G10&lt;0</f>
        <v>1</v>
      </c>
      <c r="H11" s="254" t="b">
        <f t="shared" ref="H11:I11" si="0">H10&lt;0</f>
        <v>1</v>
      </c>
      <c r="I11" s="254" t="b">
        <f t="shared" si="0"/>
        <v>0</v>
      </c>
    </row>
    <row r="12" spans="2:9" x14ac:dyDescent="0.25">
      <c r="B12" s="1" t="s">
        <v>341</v>
      </c>
      <c r="C12" s="2" t="s">
        <v>361</v>
      </c>
      <c r="F12" s="1" t="s">
        <v>362</v>
      </c>
      <c r="G12" s="258">
        <f t="shared" ref="G12:I13" si="1">G9/$G$5</f>
        <v>7545.4727257165332</v>
      </c>
      <c r="H12" s="258">
        <f t="shared" si="1"/>
        <v>9974.5566751475926</v>
      </c>
      <c r="I12" s="258">
        <f t="shared" si="1"/>
        <v>-1603.2421624534763</v>
      </c>
    </row>
    <row r="13" spans="2:9" x14ac:dyDescent="0.25">
      <c r="B13" s="1" t="s">
        <v>342</v>
      </c>
      <c r="C13" s="2" t="s">
        <v>343</v>
      </c>
      <c r="D13" s="5"/>
      <c r="F13" s="1" t="s">
        <v>363</v>
      </c>
      <c r="G13" s="258">
        <f t="shared" si="1"/>
        <v>-2816.6454365794771</v>
      </c>
      <c r="H13" s="258">
        <f t="shared" si="1"/>
        <v>-3723.3968715048122</v>
      </c>
      <c r="I13" s="258">
        <f t="shared" si="1"/>
        <v>598.47340050885555</v>
      </c>
    </row>
    <row r="15" spans="2:9" x14ac:dyDescent="0.25">
      <c r="H15" s="261"/>
    </row>
    <row r="16" spans="2:9" x14ac:dyDescent="0.25">
      <c r="F16" s="1" t="s">
        <v>345</v>
      </c>
      <c r="G16" s="2">
        <v>31.8</v>
      </c>
      <c r="H16" s="256">
        <f>H17/(1/60*$C$7*$C$8/IF($C$4="Imperial",12,1000))</f>
        <v>1500</v>
      </c>
    </row>
    <row r="17" spans="6:8" x14ac:dyDescent="0.25">
      <c r="F17" s="1" t="str">
        <f>IF($C$4="Imperial", "Linear Speed (ft/s)", "Linear Speed (m/s)")</f>
        <v>Linear Speed (m/s)</v>
      </c>
      <c r="G17" s="256">
        <f>G16/60*$C$7*$C$8/IF($C$4="Imperial",12,1000)</f>
        <v>4.2399999999999998E-3</v>
      </c>
      <c r="H17" s="2">
        <v>0.2</v>
      </c>
    </row>
  </sheetData>
  <conditionalFormatting sqref="I10">
    <cfRule type="expression" dxfId="65" priority="3">
      <formula>$I$8&lt;0</formula>
    </cfRule>
  </conditionalFormatting>
  <conditionalFormatting sqref="G8">
    <cfRule type="expression" dxfId="64" priority="2">
      <formula>$G$8&lt;0</formula>
    </cfRule>
  </conditionalFormatting>
  <conditionalFormatting sqref="H9">
    <cfRule type="expression" dxfId="63" priority="1">
      <formula>$H$9&lt;0</formula>
    </cfRule>
  </conditionalFormatting>
  <dataValidations count="5">
    <dataValidation type="list" allowBlank="1" showInputMessage="1" showErrorMessage="1" sqref="C4">
      <formula1>"Imperial,Metric"</formula1>
    </dataValidation>
    <dataValidation type="list" errorStyle="information" allowBlank="1" showInputMessage="1" sqref="C9">
      <formula1>"29,30,90"</formula1>
    </dataValidation>
    <dataValidation type="list" allowBlank="1" showInputMessage="1" showErrorMessage="1" sqref="C11">
      <formula1>"Dry Steel, Lubricated Steel, Bronze"</formula1>
    </dataValidation>
    <dataValidation type="list" allowBlank="1" showInputMessage="1" showErrorMessage="1" sqref="C12">
      <formula1>"Steel,Bronze,Brass,Cast Iron"</formula1>
    </dataValidation>
    <dataValidation type="list" allowBlank="1" showInputMessage="1" showErrorMessage="1" sqref="C13">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sheetPr>
  <dimension ref="B2:L27"/>
  <sheetViews>
    <sheetView zoomScaleNormal="100" workbookViewId="0"/>
  </sheetViews>
  <sheetFormatPr defaultRowHeight="15" x14ac:dyDescent="0.25"/>
  <cols>
    <col min="1" max="1" width="9.140625" style="57"/>
    <col min="2" max="2" width="7.28515625" style="57" customWidth="1"/>
    <col min="3" max="3" width="20.85546875" style="57" customWidth="1"/>
    <col min="4" max="6" width="9.140625" style="57"/>
    <col min="7" max="7" width="10.7109375" style="57" customWidth="1"/>
    <col min="8" max="8" width="11.28515625" style="57" customWidth="1"/>
    <col min="9" max="9" width="9.140625" style="57"/>
    <col min="10" max="10" width="12.42578125" style="57" customWidth="1"/>
    <col min="11" max="11" width="9.28515625" style="57" customWidth="1"/>
    <col min="12" max="12" width="14.42578125" style="57" customWidth="1"/>
    <col min="13" max="13" width="9.28515625" style="57" customWidth="1"/>
    <col min="14" max="14" width="6.28515625" style="57" customWidth="1"/>
    <col min="15" max="16384" width="9.140625" style="57"/>
  </cols>
  <sheetData>
    <row r="2" spans="2:12" ht="31.5" x14ac:dyDescent="0.25">
      <c r="C2" s="58" t="s">
        <v>111</v>
      </c>
    </row>
    <row r="4" spans="2:12" x14ac:dyDescent="0.25">
      <c r="B4" s="69"/>
      <c r="C4" s="269" t="s">
        <v>13</v>
      </c>
      <c r="D4" s="269"/>
      <c r="E4" s="70" t="s">
        <v>14</v>
      </c>
      <c r="F4" s="69"/>
      <c r="G4" s="71" t="s">
        <v>116</v>
      </c>
      <c r="H4" s="71" t="s">
        <v>36</v>
      </c>
      <c r="I4" s="72" t="s">
        <v>124</v>
      </c>
      <c r="J4" s="71" t="str">
        <f>IF($D$11="Imperial", "C-C (in)", "C-C (mm)")</f>
        <v>C-C (in)</v>
      </c>
      <c r="K4" s="69"/>
      <c r="L4" s="69"/>
    </row>
    <row r="5" spans="2:12" x14ac:dyDescent="0.25">
      <c r="B5" s="69"/>
      <c r="C5" s="71" t="s">
        <v>20</v>
      </c>
      <c r="D5" s="33">
        <f>VLOOKUP($C$4,UsefulValues!$H$5:$M$24,2,FALSE)</f>
        <v>5330</v>
      </c>
      <c r="E5" s="73">
        <f>D5*D17/12</f>
        <v>5330</v>
      </c>
      <c r="F5" s="69"/>
      <c r="G5" s="74">
        <v>12</v>
      </c>
      <c r="H5" s="74">
        <v>72</v>
      </c>
      <c r="I5" s="74">
        <v>20</v>
      </c>
      <c r="J5" s="75">
        <f>IFERROR(((G5+H5)/(2*I5)+0.003)*IF(D$11="Imperial", 1, 25.4), "")</f>
        <v>2.1030000000000002</v>
      </c>
      <c r="K5" s="69"/>
      <c r="L5" s="69"/>
    </row>
    <row r="6" spans="2:12" x14ac:dyDescent="0.25">
      <c r="B6" s="69"/>
      <c r="C6" s="71" t="s">
        <v>22</v>
      </c>
      <c r="D6" s="34">
        <f>VLOOKUP($C$4,UsefulValues!$H$5:$M$24,3,FALSE)</f>
        <v>2.41</v>
      </c>
      <c r="E6" s="76">
        <f>D6*D13*D14*D15*D17/12</f>
        <v>8.6760000000000002</v>
      </c>
      <c r="F6" s="69"/>
      <c r="G6" s="74"/>
      <c r="H6" s="74"/>
      <c r="I6" s="74"/>
      <c r="J6" s="75" t="str">
        <f>IFERROR(((G6+H6)/(2*I6)+0.003)*IF(D$11="Imperial", 1, 25.4), "")</f>
        <v/>
      </c>
      <c r="K6" s="69"/>
      <c r="L6" s="69"/>
    </row>
    <row r="7" spans="2:12" x14ac:dyDescent="0.25">
      <c r="B7" s="69"/>
      <c r="C7" s="71" t="s">
        <v>24</v>
      </c>
      <c r="D7" s="35">
        <f>VLOOKUP($C$4,UsefulValues!$H$5:$M$24,4,FALSE)</f>
        <v>131</v>
      </c>
      <c r="E7" s="77">
        <f>D7*D13*D14*D17/12</f>
        <v>524</v>
      </c>
      <c r="F7" s="69"/>
      <c r="G7" s="74"/>
      <c r="H7" s="74"/>
      <c r="I7" s="74"/>
      <c r="J7" s="75" t="str">
        <f>IFERROR(((G7+H7)/(2*I7)+0.003)*IF(D$11="Imperial", 1, 25.4), "")</f>
        <v/>
      </c>
      <c r="K7" s="69"/>
      <c r="L7" s="69"/>
    </row>
    <row r="8" spans="2:12" x14ac:dyDescent="0.25">
      <c r="B8" s="69"/>
      <c r="C8" s="71" t="s">
        <v>26</v>
      </c>
      <c r="D8" s="35">
        <f>VLOOKUP($C$4,UsefulValues!$H$5:$M$24,5,FALSE)</f>
        <v>2.7</v>
      </c>
      <c r="E8" s="77">
        <f>D8*D13*D14*D17/12</f>
        <v>10.800000000000002</v>
      </c>
      <c r="F8" s="69"/>
      <c r="G8" s="74"/>
      <c r="H8" s="74"/>
      <c r="I8" s="74"/>
      <c r="J8" s="75" t="str">
        <f>IFERROR(((G8+H8)/(2*I8)+0.003)*IF(D$11="Imperial", 1, 25.4), "")</f>
        <v/>
      </c>
      <c r="K8" s="69"/>
      <c r="L8" s="69"/>
    </row>
    <row r="9" spans="2:12" x14ac:dyDescent="0.25">
      <c r="B9" s="69"/>
      <c r="C9" s="72" t="s">
        <v>27</v>
      </c>
      <c r="D9" s="33">
        <f>(D5/60*2*PI())*D6/4</f>
        <v>336.28916760964142</v>
      </c>
      <c r="E9" s="33">
        <f>(E5/60*2*PI())*E6/4</f>
        <v>1210.6410033947091</v>
      </c>
      <c r="F9" s="69"/>
      <c r="G9" s="69" t="s">
        <v>117</v>
      </c>
      <c r="H9" s="78">
        <f>IF(H5=0,1,H5)*IF(H6=0,1,H6)*IF(H7=0,1,H7)*IF(H8=0,1,H8)/IF(G5=0,1,G5)/IF(G6=0,1,G6)/IF(G7=0,1,G7)/IF(G8=0,1,G8)</f>
        <v>6</v>
      </c>
      <c r="I9" s="69"/>
      <c r="J9" s="69"/>
      <c r="K9" s="69"/>
      <c r="L9" s="69"/>
    </row>
    <row r="10" spans="2:12" x14ac:dyDescent="0.25">
      <c r="B10" s="69"/>
      <c r="C10" s="69"/>
      <c r="D10" s="69"/>
      <c r="E10" s="69"/>
      <c r="F10" s="69"/>
      <c r="G10" s="69"/>
      <c r="H10" s="69"/>
      <c r="I10" s="69"/>
      <c r="J10" s="69"/>
      <c r="K10" s="69"/>
      <c r="L10" s="69"/>
    </row>
    <row r="11" spans="2:12" x14ac:dyDescent="0.25">
      <c r="C11" s="71" t="s">
        <v>317</v>
      </c>
      <c r="D11" s="74" t="s">
        <v>322</v>
      </c>
      <c r="E11" s="69"/>
      <c r="F11" s="69"/>
      <c r="G11" s="69"/>
      <c r="H11" s="69"/>
      <c r="I11" s="69"/>
      <c r="J11" s="69"/>
      <c r="K11" s="69"/>
      <c r="L11" s="69"/>
    </row>
    <row r="12" spans="2:12" x14ac:dyDescent="0.25">
      <c r="B12" s="69"/>
      <c r="C12" s="69"/>
      <c r="D12" s="69"/>
      <c r="E12" s="69"/>
      <c r="F12" s="69"/>
      <c r="G12" s="69"/>
      <c r="H12" s="69"/>
      <c r="I12" s="69"/>
      <c r="J12" s="69"/>
      <c r="K12" s="69"/>
      <c r="L12" s="69"/>
    </row>
    <row r="13" spans="2:12" x14ac:dyDescent="0.25">
      <c r="B13" s="69"/>
      <c r="C13" s="71" t="s">
        <v>112</v>
      </c>
      <c r="D13" s="74">
        <v>2</v>
      </c>
      <c r="E13" s="69"/>
      <c r="F13" s="69"/>
      <c r="G13" s="71" t="s">
        <v>116</v>
      </c>
      <c r="H13" s="71" t="s">
        <v>36</v>
      </c>
      <c r="I13" s="69"/>
      <c r="J13" s="71" t="s">
        <v>122</v>
      </c>
      <c r="K13" s="79">
        <f>H9*IF(H14=0,1,H14)/IF(G14=0,1,G14)</f>
        <v>12</v>
      </c>
      <c r="L13" s="80"/>
    </row>
    <row r="14" spans="2:12" x14ac:dyDescent="0.25">
      <c r="B14" s="69"/>
      <c r="C14" s="71" t="s">
        <v>113</v>
      </c>
      <c r="D14" s="74">
        <v>2</v>
      </c>
      <c r="E14" s="69"/>
      <c r="F14" s="69"/>
      <c r="G14" s="74">
        <v>20</v>
      </c>
      <c r="H14" s="74">
        <v>40</v>
      </c>
      <c r="I14" s="69"/>
      <c r="J14" s="71" t="s">
        <v>118</v>
      </c>
      <c r="K14" s="81">
        <f>K15*D$16</f>
        <v>6.8994319772379171</v>
      </c>
      <c r="L14" s="69" t="str">
        <f>IF(D$11="Imperial", "ft/s", "m/s")</f>
        <v>ft/s</v>
      </c>
    </row>
    <row r="15" spans="2:12" x14ac:dyDescent="0.25">
      <c r="B15" s="69"/>
      <c r="C15" s="72" t="s">
        <v>30</v>
      </c>
      <c r="D15" s="82">
        <v>0.9</v>
      </c>
      <c r="E15" s="69"/>
      <c r="F15" s="69"/>
      <c r="G15" s="71" t="s">
        <v>124</v>
      </c>
      <c r="H15" s="74">
        <v>20</v>
      </c>
      <c r="I15" s="69"/>
      <c r="J15" s="71" t="s">
        <v>53</v>
      </c>
      <c r="K15" s="81">
        <f>E$5/K13*(D$21*PI())/12/60/IF(D$11="Imperial", 1, 3.281)</f>
        <v>7.7521707609414801</v>
      </c>
      <c r="L15" s="69" t="str">
        <f>IF(D$11="Imperial", "ft/s", "m/s")</f>
        <v>ft/s</v>
      </c>
    </row>
    <row r="16" spans="2:12" x14ac:dyDescent="0.25">
      <c r="B16" s="69"/>
      <c r="C16" s="72" t="s">
        <v>114</v>
      </c>
      <c r="D16" s="82">
        <v>0.89</v>
      </c>
      <c r="E16" s="69"/>
      <c r="F16" s="69"/>
      <c r="G16" s="71" t="str">
        <f>IF($D$11="Imperial", "C-C (in)", "C-C (mm)")</f>
        <v>C-C (in)</v>
      </c>
      <c r="H16" s="83">
        <f>IFERROR(((G14+H14)/(2*H15)+0.003)*IF(D$11="Imperial", 1, 25.4), "")</f>
        <v>1.5029999999999999</v>
      </c>
      <c r="I16" s="69"/>
      <c r="J16" s="71" t="s">
        <v>119</v>
      </c>
      <c r="K16" s="81">
        <f>((E$7-E$8)/E$6)*(D$19*D$20*D$22/D$14)*4.44822161526*D21*0.0254/2/D$13/K13 +(E$8/D$13/D$14)</f>
        <v>45.584141095996721</v>
      </c>
      <c r="L16" s="69" t="s">
        <v>137</v>
      </c>
    </row>
    <row r="17" spans="2:12" x14ac:dyDescent="0.25">
      <c r="B17" s="69"/>
      <c r="C17" s="72" t="s">
        <v>160</v>
      </c>
      <c r="D17" s="74">
        <v>12</v>
      </c>
      <c r="E17" s="69"/>
      <c r="F17" s="69"/>
      <c r="G17" s="69"/>
      <c r="H17" s="69"/>
      <c r="I17" s="69"/>
      <c r="J17" s="69"/>
      <c r="K17" s="69"/>
      <c r="L17" s="69"/>
    </row>
    <row r="18" spans="2:12" x14ac:dyDescent="0.25">
      <c r="G18" s="69"/>
      <c r="H18" s="69"/>
      <c r="I18" s="69"/>
      <c r="J18" s="69"/>
      <c r="K18" s="69"/>
      <c r="L18" s="69"/>
    </row>
    <row r="19" spans="2:12" ht="14.45" customHeight="1" x14ac:dyDescent="0.25">
      <c r="B19" s="69"/>
      <c r="C19" s="71" t="s">
        <v>228</v>
      </c>
      <c r="D19" s="74">
        <v>154</v>
      </c>
      <c r="F19" s="69"/>
      <c r="G19" s="84" t="s">
        <v>123</v>
      </c>
      <c r="H19" s="69"/>
      <c r="I19" s="69"/>
      <c r="J19" s="69"/>
      <c r="K19" s="69"/>
      <c r="L19" s="69"/>
    </row>
    <row r="20" spans="2:12" x14ac:dyDescent="0.25">
      <c r="B20" s="69"/>
      <c r="C20" s="71" t="s">
        <v>323</v>
      </c>
      <c r="D20" s="82">
        <v>1</v>
      </c>
      <c r="E20" s="69"/>
      <c r="F20" s="69"/>
      <c r="G20" s="71" t="s">
        <v>116</v>
      </c>
      <c r="H20" s="71" t="s">
        <v>36</v>
      </c>
      <c r="I20" s="69"/>
      <c r="J20" s="85" t="s">
        <v>122</v>
      </c>
      <c r="K20" s="86" t="str">
        <f>IF($D$24="Single", "", H9*IF(H21=0,1,H21)/IF(G21=0,1,G21))</f>
        <v/>
      </c>
      <c r="L20" s="69"/>
    </row>
    <row r="21" spans="2:12" ht="14.45" customHeight="1" x14ac:dyDescent="0.25">
      <c r="B21" s="69"/>
      <c r="C21" s="71" t="s">
        <v>229</v>
      </c>
      <c r="D21" s="87">
        <v>4</v>
      </c>
      <c r="F21" s="69"/>
      <c r="G21" s="74"/>
      <c r="H21" s="74"/>
      <c r="I21" s="67"/>
      <c r="J21" s="88" t="s">
        <v>118</v>
      </c>
      <c r="K21" s="89" t="str">
        <f>IF($D$24="Single", "", K22*D$16)</f>
        <v/>
      </c>
      <c r="L21" s="69" t="str">
        <f>IF(D$11="Imperial", "ft/s", "m/s")</f>
        <v>ft/s</v>
      </c>
    </row>
    <row r="22" spans="2:12" x14ac:dyDescent="0.25">
      <c r="B22" s="69"/>
      <c r="C22" s="71" t="s">
        <v>115</v>
      </c>
      <c r="D22" s="87">
        <v>1</v>
      </c>
      <c r="E22" s="69"/>
      <c r="F22" s="69"/>
      <c r="G22" s="71" t="s">
        <v>124</v>
      </c>
      <c r="H22" s="74"/>
      <c r="I22" s="69"/>
      <c r="J22" s="88" t="s">
        <v>53</v>
      </c>
      <c r="K22" s="89" t="str">
        <f>IF($D$24="Single", "", E$5/K20*(IF(D25="One",D21,G25)/IF(D$11="Imperial", 1, 25.4)*PI())/12/60/IF(D$11="Imperial", 1, 3.281))</f>
        <v/>
      </c>
      <c r="L22" s="69" t="str">
        <f>IF(D$11="Imperial", "ft/s", "m/s")</f>
        <v>ft/s</v>
      </c>
    </row>
    <row r="23" spans="2:12" x14ac:dyDescent="0.25">
      <c r="B23" s="69"/>
      <c r="C23" s="69"/>
      <c r="D23" s="69"/>
      <c r="E23" s="69"/>
      <c r="F23" s="69"/>
      <c r="G23" s="71" t="s">
        <v>163</v>
      </c>
      <c r="H23" s="83" t="str">
        <f>IFERROR(((G21+H21)/(2*H22)+0.003)*IF(ISBLANK(D$11), 1, 25.4), "")</f>
        <v/>
      </c>
      <c r="I23" s="69"/>
      <c r="J23" s="88" t="s">
        <v>119</v>
      </c>
      <c r="K23" s="89" t="str">
        <f>IF($D$24="Single", "", ((E$7-E$8)/E$6)*(D$19*D$20*D$22/D$14)*4.44822161526*IF(D25="One",D21,G25)*0.0254/2/D$13/K20 +(E$8/D$13/D$14))</f>
        <v/>
      </c>
      <c r="L23" s="69" t="s">
        <v>137</v>
      </c>
    </row>
    <row r="24" spans="2:12" x14ac:dyDescent="0.25">
      <c r="C24" s="69" t="s">
        <v>318</v>
      </c>
      <c r="D24" s="74" t="s">
        <v>319</v>
      </c>
      <c r="E24" s="69"/>
      <c r="F24" s="69"/>
      <c r="G24" s="271" t="s">
        <v>120</v>
      </c>
      <c r="H24" s="271"/>
      <c r="I24" s="69"/>
      <c r="J24" s="69"/>
      <c r="K24" s="69"/>
      <c r="L24" s="69"/>
    </row>
    <row r="25" spans="2:12" x14ac:dyDescent="0.25">
      <c r="C25" s="69" t="s">
        <v>320</v>
      </c>
      <c r="D25" s="74" t="s">
        <v>321</v>
      </c>
      <c r="E25" s="69"/>
      <c r="F25" s="69"/>
      <c r="G25" s="74"/>
      <c r="H25" s="69" t="str">
        <f>IF($D$11="Imperial", "inches", "mm")</f>
        <v>inches</v>
      </c>
      <c r="I25" s="69"/>
      <c r="J25" s="85" t="s">
        <v>151</v>
      </c>
      <c r="K25" s="90" t="str">
        <f>IF($D$24="Single", "", IF(K13&gt;K20, K13/K20, K20/K13))</f>
        <v/>
      </c>
      <c r="L25" s="69"/>
    </row>
    <row r="26" spans="2:12" x14ac:dyDescent="0.25">
      <c r="B26" s="69"/>
      <c r="C26" s="69"/>
      <c r="D26" s="69"/>
      <c r="E26" s="69"/>
      <c r="F26" s="69"/>
      <c r="G26" s="271" t="s">
        <v>121</v>
      </c>
      <c r="H26" s="271"/>
      <c r="I26" s="69"/>
      <c r="L26" s="69"/>
    </row>
    <row r="27" spans="2:12" x14ac:dyDescent="0.25">
      <c r="B27" s="69"/>
      <c r="C27" s="69"/>
      <c r="D27" s="69"/>
      <c r="E27" s="69"/>
      <c r="F27" s="69"/>
      <c r="G27" s="74"/>
      <c r="H27" s="69"/>
      <c r="I27" s="69"/>
      <c r="J27" s="69"/>
      <c r="K27" s="69"/>
      <c r="L27" s="69"/>
    </row>
  </sheetData>
  <mergeCells count="3">
    <mergeCell ref="C4:D4"/>
    <mergeCell ref="G26:H26"/>
    <mergeCell ref="G24:H24"/>
  </mergeCells>
  <conditionalFormatting sqref="D13">
    <cfRule type="expression" dxfId="62" priority="15">
      <formula>$D$13&lt;=0</formula>
    </cfRule>
  </conditionalFormatting>
  <conditionalFormatting sqref="D14">
    <cfRule type="expression" dxfId="61" priority="14">
      <formula>$D$14&lt;=0</formula>
    </cfRule>
  </conditionalFormatting>
  <conditionalFormatting sqref="D15">
    <cfRule type="expression" dxfId="60" priority="13">
      <formula>OR($D$15&lt;=0, $D$15&gt;1)</formula>
    </cfRule>
  </conditionalFormatting>
  <conditionalFormatting sqref="D16">
    <cfRule type="expression" dxfId="59" priority="12">
      <formula>OR($D$16&lt;=0, $D$16&gt;1)</formula>
    </cfRule>
  </conditionalFormatting>
  <conditionalFormatting sqref="D17">
    <cfRule type="expression" dxfId="58" priority="2">
      <formula>$D$17&gt;12</formula>
    </cfRule>
    <cfRule type="expression" dxfId="57" priority="11">
      <formula>$D$17&lt;=0</formula>
    </cfRule>
  </conditionalFormatting>
  <conditionalFormatting sqref="D19">
    <cfRule type="expression" dxfId="56" priority="10">
      <formula>$D$19&lt;=0</formula>
    </cfRule>
  </conditionalFormatting>
  <conditionalFormatting sqref="D20">
    <cfRule type="expression" dxfId="55" priority="9">
      <formula>OR($D$20&lt;=0, $D$20&gt;1)</formula>
    </cfRule>
  </conditionalFormatting>
  <conditionalFormatting sqref="D21">
    <cfRule type="expression" dxfId="54" priority="8">
      <formula>$D$21&lt;=0</formula>
    </cfRule>
  </conditionalFormatting>
  <conditionalFormatting sqref="D22">
    <cfRule type="expression" dxfId="53" priority="7">
      <formula>$D$22&lt;=0</formula>
    </cfRule>
  </conditionalFormatting>
  <conditionalFormatting sqref="G5:I8">
    <cfRule type="expression" dxfId="52" priority="6">
      <formula>$H$9&lt;=0</formula>
    </cfRule>
  </conditionalFormatting>
  <conditionalFormatting sqref="G19:L27">
    <cfRule type="expression" dxfId="51" priority="32">
      <formula>$D$24="Single"</formula>
    </cfRule>
  </conditionalFormatting>
  <conditionalFormatting sqref="G25:H25 G27:H27 G26 G24">
    <cfRule type="expression" dxfId="50" priority="33">
      <formula>OR($D$24="Single", $D$25="One")</formula>
    </cfRule>
  </conditionalFormatting>
  <conditionalFormatting sqref="G25">
    <cfRule type="expression" dxfId="49" priority="37">
      <formula>AND($G$25&lt;=0, AND($D$24="2-Speed", $D$25="Two"))</formula>
    </cfRule>
  </conditionalFormatting>
  <conditionalFormatting sqref="G27">
    <cfRule type="expression" dxfId="48" priority="38">
      <formula>AND($G$27&lt;=0, AND($D$24="2-Speed", $D$25="Two"))</formula>
    </cfRule>
  </conditionalFormatting>
  <conditionalFormatting sqref="K16">
    <cfRule type="cellIs" dxfId="47" priority="1" operator="greaterThan">
      <formula>$D$7</formula>
    </cfRule>
  </conditionalFormatting>
  <dataValidations count="7">
    <dataValidation type="list" allowBlank="1" showInputMessage="1" showErrorMessage="1" sqref="C4:D4">
      <formula1>Motors</formula1>
    </dataValidation>
    <dataValidation type="list" allowBlank="1" showInputMessage="1" showErrorMessage="1" sqref="D11">
      <formula1>"Imperial,Metric"</formula1>
    </dataValidation>
    <dataValidation type="custom" showErrorMessage="1" errorTitle="One-Speed Selected" error="Select 2-Speed to enable multiple speed outputs." sqref="G21:H21">
      <formula1>NOT(ISBLANK($D$24))</formula1>
    </dataValidation>
    <dataValidation type="custom" showErrorMessage="1" errorTitle="One-Speed Selected" error="Select 2-Speed to enable multiple speed outputs." sqref="G25">
      <formula1>NOT(OR(ISBLANK($D$24), ISBLANK($D$25)))</formula1>
    </dataValidation>
    <dataValidation type="custom" showErrorMessage="1" errorTitle="One-Speed Selected" error="Select 2-Speed to enable multiple speed outputs." sqref="G27">
      <formula1>NOT(OR(ISBLANK(D24), ISBLANK(D25)))</formula1>
    </dataValidation>
    <dataValidation type="list" allowBlank="1" showInputMessage="1" showErrorMessage="1" sqref="D24">
      <formula1>"Single,2-Speed"</formula1>
    </dataValidation>
    <dataValidation type="list" allowBlank="1" showInputMessage="1" showErrorMessage="1" sqref="D25">
      <formula1>"One,Two"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499984740745262"/>
  </sheetPr>
  <dimension ref="B2:AB501"/>
  <sheetViews>
    <sheetView zoomScaleNormal="100" workbookViewId="0"/>
  </sheetViews>
  <sheetFormatPr defaultRowHeight="15" x14ac:dyDescent="0.25"/>
  <cols>
    <col min="2" max="2" width="2.7109375" customWidth="1"/>
    <col min="3" max="3" width="21.28515625" customWidth="1"/>
    <col min="6" max="6" width="20" customWidth="1"/>
    <col min="7" max="7" width="9.5703125" customWidth="1"/>
    <col min="8" max="8" width="16" customWidth="1"/>
    <col min="10" max="10" width="3.42578125" customWidth="1"/>
    <col min="11" max="11" width="5.85546875" customWidth="1"/>
    <col min="12" max="12" width="6.5703125" customWidth="1"/>
    <col min="13" max="18" width="5.85546875" customWidth="1"/>
    <col min="19" max="19" width="2.42578125" customWidth="1"/>
    <col min="20" max="20" width="3.42578125" customWidth="1"/>
    <col min="21" max="21" width="5.85546875" customWidth="1"/>
    <col min="22" max="22" width="6.5703125" customWidth="1"/>
    <col min="23" max="28" width="5.85546875" customWidth="1"/>
  </cols>
  <sheetData>
    <row r="2" spans="2:18" ht="31.5" x14ac:dyDescent="0.5">
      <c r="C2" s="3" t="s">
        <v>198</v>
      </c>
    </row>
    <row r="3" spans="2:18" x14ac:dyDescent="0.25">
      <c r="G3" s="1" t="s">
        <v>227</v>
      </c>
      <c r="H3" s="51" t="s">
        <v>293</v>
      </c>
      <c r="I3" s="4" t="s">
        <v>234</v>
      </c>
    </row>
    <row r="4" spans="2:18" x14ac:dyDescent="0.25">
      <c r="B4" s="7"/>
      <c r="C4" s="269" t="s">
        <v>13</v>
      </c>
      <c r="D4" s="269"/>
      <c r="E4" s="7"/>
      <c r="R4" s="221" t="s">
        <v>294</v>
      </c>
    </row>
    <row r="5" spans="2:18" x14ac:dyDescent="0.25">
      <c r="B5" s="7"/>
      <c r="C5" s="29" t="s">
        <v>20</v>
      </c>
      <c r="D5" s="33">
        <f>VLOOKUP($C$4,UsefulValues!$H$5:$M$24,2,FALSE)</f>
        <v>5330</v>
      </c>
      <c r="E5" s="7"/>
      <c r="R5" t="s">
        <v>295</v>
      </c>
    </row>
    <row r="6" spans="2:18" x14ac:dyDescent="0.25">
      <c r="B6" s="7"/>
      <c r="C6" s="29" t="s">
        <v>22</v>
      </c>
      <c r="D6" s="34">
        <f>VLOOKUP($C$4,UsefulValues!$H$5:$M$24,3,FALSE)</f>
        <v>2.41</v>
      </c>
      <c r="E6" s="7"/>
      <c r="R6" t="s">
        <v>296</v>
      </c>
    </row>
    <row r="7" spans="2:18" x14ac:dyDescent="0.25">
      <c r="B7" s="7"/>
      <c r="C7" s="29" t="s">
        <v>24</v>
      </c>
      <c r="D7" s="35">
        <f>VLOOKUP($C$4,UsefulValues!$H$5:$M$24,4,FALSE)</f>
        <v>131</v>
      </c>
      <c r="E7" s="7"/>
      <c r="R7" t="s">
        <v>297</v>
      </c>
    </row>
    <row r="8" spans="2:18" x14ac:dyDescent="0.25">
      <c r="B8" s="7"/>
      <c r="C8" s="29" t="s">
        <v>26</v>
      </c>
      <c r="D8" s="35">
        <f>VLOOKUP($C$4,UsefulValues!$H$5:$M$24,5,FALSE)</f>
        <v>2.7</v>
      </c>
      <c r="E8" s="7"/>
      <c r="R8" t="s">
        <v>298</v>
      </c>
    </row>
    <row r="9" spans="2:18" x14ac:dyDescent="0.25">
      <c r="B9" s="7"/>
      <c r="C9" s="30" t="s">
        <v>27</v>
      </c>
      <c r="D9" s="33">
        <f>(D5/60*2*PI())*D6/4</f>
        <v>336.28916760964142</v>
      </c>
      <c r="E9" s="7"/>
    </row>
    <row r="10" spans="2:18" x14ac:dyDescent="0.25">
      <c r="B10" s="7"/>
      <c r="C10" s="7"/>
      <c r="D10" s="7"/>
      <c r="E10" s="7"/>
    </row>
    <row r="11" spans="2:18" x14ac:dyDescent="0.25">
      <c r="C11" s="29" t="s">
        <v>317</v>
      </c>
      <c r="D11" s="31" t="s">
        <v>322</v>
      </c>
      <c r="E11" s="7"/>
    </row>
    <row r="12" spans="2:18" x14ac:dyDescent="0.25">
      <c r="B12" s="7"/>
      <c r="C12" s="7"/>
      <c r="D12" s="7"/>
      <c r="E12" s="7"/>
    </row>
    <row r="13" spans="2:18" x14ac:dyDescent="0.25">
      <c r="B13" s="7"/>
      <c r="C13" s="29" t="s">
        <v>112</v>
      </c>
      <c r="D13" s="31">
        <v>2</v>
      </c>
      <c r="E13" s="7"/>
    </row>
    <row r="14" spans="2:18" x14ac:dyDescent="0.25">
      <c r="B14" s="7"/>
      <c r="C14" s="29" t="s">
        <v>113</v>
      </c>
      <c r="D14" s="31">
        <v>2</v>
      </c>
      <c r="E14" s="7"/>
    </row>
    <row r="15" spans="2:18" x14ac:dyDescent="0.25">
      <c r="B15" s="7"/>
      <c r="C15" s="30" t="s">
        <v>30</v>
      </c>
      <c r="D15" s="36">
        <v>0.9</v>
      </c>
      <c r="E15" s="7"/>
    </row>
    <row r="17" spans="2:28" x14ac:dyDescent="0.25">
      <c r="B17" s="7"/>
      <c r="C17" s="29" t="s">
        <v>228</v>
      </c>
      <c r="D17" s="31">
        <v>154</v>
      </c>
      <c r="E17" s="7"/>
    </row>
    <row r="18" spans="2:28" x14ac:dyDescent="0.25">
      <c r="B18" s="7"/>
      <c r="C18" s="29" t="s">
        <v>323</v>
      </c>
      <c r="D18" s="36">
        <v>1</v>
      </c>
      <c r="E18" s="7"/>
    </row>
    <row r="19" spans="2:28" x14ac:dyDescent="0.25">
      <c r="B19" s="7"/>
      <c r="C19" s="29" t="s">
        <v>229</v>
      </c>
      <c r="D19" s="37">
        <v>4</v>
      </c>
      <c r="E19" s="7"/>
    </row>
    <row r="20" spans="2:28" x14ac:dyDescent="0.25">
      <c r="B20" s="7"/>
      <c r="C20" s="29" t="s">
        <v>232</v>
      </c>
      <c r="D20" s="37">
        <v>1</v>
      </c>
      <c r="E20" s="7"/>
    </row>
    <row r="21" spans="2:28" x14ac:dyDescent="0.25">
      <c r="B21" s="7"/>
      <c r="C21" s="29" t="s">
        <v>233</v>
      </c>
      <c r="D21" s="37">
        <v>0.7</v>
      </c>
      <c r="E21" s="7"/>
    </row>
    <row r="22" spans="2:28" x14ac:dyDescent="0.25">
      <c r="B22" s="7"/>
      <c r="C22" s="7"/>
      <c r="D22" s="7"/>
      <c r="E22" s="7"/>
    </row>
    <row r="23" spans="2:28" x14ac:dyDescent="0.25">
      <c r="B23" s="7"/>
      <c r="C23" s="7"/>
      <c r="D23" s="7"/>
      <c r="E23" s="7"/>
    </row>
    <row r="24" spans="2:28" x14ac:dyDescent="0.25">
      <c r="B24" s="7"/>
      <c r="E24" s="7"/>
    </row>
    <row r="26" spans="2:28" ht="18.75" x14ac:dyDescent="0.3">
      <c r="C26" s="32" t="s">
        <v>169</v>
      </c>
      <c r="E26" s="7"/>
      <c r="F26" s="32" t="s">
        <v>170</v>
      </c>
    </row>
    <row r="27" spans="2:28" x14ac:dyDescent="0.25">
      <c r="C27" s="29" t="s">
        <v>226</v>
      </c>
      <c r="D27" s="2">
        <v>10</v>
      </c>
      <c r="E27" s="7"/>
      <c r="F27" s="29" t="s">
        <v>226</v>
      </c>
      <c r="G27" s="31">
        <v>20</v>
      </c>
      <c r="J27" s="41" t="s">
        <v>208</v>
      </c>
      <c r="K27" s="42"/>
      <c r="L27" s="42"/>
      <c r="M27" s="42"/>
      <c r="N27" s="42"/>
      <c r="O27" s="42"/>
      <c r="P27" s="42"/>
      <c r="Q27" s="42"/>
      <c r="R27" s="43"/>
      <c r="T27" s="41" t="s">
        <v>208</v>
      </c>
      <c r="U27" s="42"/>
      <c r="V27" s="42"/>
      <c r="W27" s="42"/>
      <c r="X27" s="42"/>
      <c r="Y27" s="42"/>
      <c r="Z27" s="42"/>
      <c r="AA27" s="42"/>
      <c r="AB27" s="43"/>
    </row>
    <row r="28" spans="2:28" x14ac:dyDescent="0.25">
      <c r="C28" s="1" t="s">
        <v>21</v>
      </c>
      <c r="D28" s="40">
        <v>7</v>
      </c>
      <c r="G28" s="7"/>
      <c r="J28" s="44" t="s">
        <v>199</v>
      </c>
      <c r="K28" s="45" t="s">
        <v>209</v>
      </c>
      <c r="L28" s="45" t="s">
        <v>200</v>
      </c>
      <c r="M28" s="45" t="s">
        <v>6</v>
      </c>
      <c r="N28" s="45" t="s">
        <v>201</v>
      </c>
      <c r="O28" s="45" t="s">
        <v>202</v>
      </c>
      <c r="P28" s="45" t="s">
        <v>203</v>
      </c>
      <c r="Q28" s="45" t="s">
        <v>204</v>
      </c>
      <c r="R28" s="46" t="s">
        <v>205</v>
      </c>
      <c r="T28" s="44" t="s">
        <v>236</v>
      </c>
      <c r="U28" s="45" t="s">
        <v>209</v>
      </c>
      <c r="V28" s="45" t="s">
        <v>200</v>
      </c>
      <c r="W28" s="45" t="s">
        <v>6</v>
      </c>
      <c r="X28" s="45" t="s">
        <v>201</v>
      </c>
      <c r="Y28" s="45" t="s">
        <v>202</v>
      </c>
      <c r="Z28" s="45" t="s">
        <v>203</v>
      </c>
      <c r="AA28" s="45" t="s">
        <v>204</v>
      </c>
      <c r="AB28" s="46" t="s">
        <v>205</v>
      </c>
    </row>
    <row r="29" spans="2:28" x14ac:dyDescent="0.25">
      <c r="F29" s="1" t="s">
        <v>206</v>
      </c>
      <c r="G29" s="39">
        <f>O67</f>
        <v>4.848575682580389</v>
      </c>
      <c r="J29" s="44">
        <f>1</f>
        <v>1</v>
      </c>
      <c r="K29" s="45">
        <f>SprintDist($G$27, $D$6, $D$5, $D$7, $D$13*$D$14, $D$15, J29, 0, $D$19/2, $D$17, $D$18, $D$21, $D$20, FALSE)</f>
        <v>3.6219999999997121</v>
      </c>
      <c r="L29" s="45" t="b">
        <f>FALSE</f>
        <v>0</v>
      </c>
      <c r="M29" s="45">
        <v>0</v>
      </c>
      <c r="N29" s="45">
        <v>0</v>
      </c>
      <c r="O29" s="45">
        <v>0</v>
      </c>
      <c r="P29" s="45">
        <v>0</v>
      </c>
      <c r="Q29" s="45">
        <f>IF($L29, SprintDist($G$27, $D$6, $D$5, $D$7, $D$13*$D$14, $D$15, O29, 0, $D$19/2, $D$17, $D$18, $D$21, $D$20, FALSE), 0)</f>
        <v>0</v>
      </c>
      <c r="R29" s="46">
        <f t="shared" ref="R29:R66" si="0">IF($L29, SprintDist($G$27, $D$6, $D$5, $D$7, $D$13*$D$14, $D$15, P29, 0, $D$19/2, $D$17, $D$18, $D$21, $D$20, FALSE), 0)</f>
        <v>0</v>
      </c>
      <c r="T29" s="44">
        <f>1</f>
        <v>1</v>
      </c>
      <c r="U29" s="45">
        <f>SprintDist($G$34, $D$6, $D$5, $D$7, $D$13*$D$14, $D$15, T29, T29*$G$35, $D$19/2, $D$17, $D$18, $D$21, $D$20, FALSE)</f>
        <v>2.7429999999998089</v>
      </c>
      <c r="V29" s="45" t="b">
        <f>FALSE</f>
        <v>0</v>
      </c>
      <c r="W29" s="45">
        <v>0</v>
      </c>
      <c r="X29" s="45">
        <v>0</v>
      </c>
      <c r="Y29" s="45">
        <v>0</v>
      </c>
      <c r="Z29" s="45">
        <v>0</v>
      </c>
      <c r="AA29" s="45">
        <f>IF($V29, SprintDist($G$34, $D$6, $D$5, $D$7, $D$13*$D$14, $D$15, Y29, Y29*$G$35, $D$19/2, $D$17, $D$18, $D$21, $D$20, FALSE), 0)</f>
        <v>0</v>
      </c>
      <c r="AB29" s="46">
        <f t="shared" ref="AB29:AB66" si="1">IF($V29, SprintDist($G$34, $D$6, $D$5, $D$7, $D$13*$D$14, $D$15, Z29, Z29*$G$35, $D$19/2, $D$17, $D$18, $D$21, $D$20, FALSE), 0)</f>
        <v>0</v>
      </c>
    </row>
    <row r="30" spans="2:28" x14ac:dyDescent="0.25">
      <c r="C30" s="1" t="s">
        <v>207</v>
      </c>
      <c r="D30" s="50">
        <f>SprintDist($D$27, $D$6, $D$5, $D$7, $D$13*$D$14, $D$15, D28, 0, $D$19/2, $D$17, $D$18, $D$21, $D$20, H3="Forward Single")</f>
        <v>1.1659999999999824</v>
      </c>
      <c r="F30" s="1" t="s">
        <v>207</v>
      </c>
      <c r="G30" s="50">
        <f>Q67</f>
        <v>1.7819999999999145</v>
      </c>
      <c r="J30" s="44">
        <f>IF(L29, "", J29+1)</f>
        <v>2</v>
      </c>
      <c r="K30" s="45">
        <f>IF(L29, "", SprintDist($G$27, $D$6, $D$5, $D$7, $D$13*$D$14, $D$15, J30, 0, $D$19/2, $D$17, $D$18, $D$21, $D$20, FALSE))</f>
        <v>2.3389999999998534</v>
      </c>
      <c r="L30" s="45" t="b">
        <v>0</v>
      </c>
      <c r="M30" s="45">
        <f>IF(L30, IF(L29, IF(Q29&lt;R29, M29, O29), J28), 0)</f>
        <v>0</v>
      </c>
      <c r="N30" s="45">
        <f>IF(L30, IF(L29, IF(Q29&lt;R29, P29, N29), J30), 0)</f>
        <v>0</v>
      </c>
      <c r="O30" s="45">
        <f>IF(L30, N30-(N30-M30)/1.618034, 0)</f>
        <v>0</v>
      </c>
      <c r="P30" s="45">
        <f>IF(L30, M30+(N30-M30)/1.618034, 0)</f>
        <v>0</v>
      </c>
      <c r="Q30" s="45">
        <f t="shared" ref="Q30:Q67" si="2">IF($L30, SprintDist($G$27, $D$6, $D$5, $D$7, $D$13*$D$14, $D$15, O30, 0, $D$19/2, $D$17, $D$18, $D$21, $D$20, FALSE), 0)</f>
        <v>0</v>
      </c>
      <c r="R30" s="46">
        <f t="shared" si="0"/>
        <v>0</v>
      </c>
      <c r="T30" s="44">
        <f>IF(V29, "", T29+1)</f>
        <v>2</v>
      </c>
      <c r="U30" s="45">
        <f>IF(V29, "", SprintDist($G$34, $D$6, $D$5, $D$7, $D$13*$D$14, $D$15, T30, T30*$G$35, $D$19/2, $D$17, $D$18, $D$21, $D$20, FALSE))</f>
        <v>1.9629999999998946</v>
      </c>
      <c r="V30" s="45" t="b">
        <v>0</v>
      </c>
      <c r="W30" s="45">
        <f>IF(V30, IF(V29, IF(AA29&lt;AB29, W29, Y29), T28), 0)</f>
        <v>0</v>
      </c>
      <c r="X30" s="45">
        <f>IF(V30, IF(V29, IF(AA29&lt;AB29, Z29, X29), T30), 0)</f>
        <v>0</v>
      </c>
      <c r="Y30" s="45">
        <f>IF(V30, X30-(X30-W30)/1.618034, 0)</f>
        <v>0</v>
      </c>
      <c r="Z30" s="45">
        <f>IF(V30, W30+(X30-W30)/1.618034, 0)</f>
        <v>0</v>
      </c>
      <c r="AA30" s="45">
        <f t="shared" ref="AA30:AA67" si="3">IF($V30, SprintDist($G$34, $D$6, $D$5, $D$7, $D$13*$D$14, $D$15, Y30, Y30*$G$35, $D$19/2, $D$17, $D$18, $D$21, $D$20, FALSE), 0)</f>
        <v>0</v>
      </c>
      <c r="AB30" s="46">
        <f t="shared" si="1"/>
        <v>0</v>
      </c>
    </row>
    <row r="31" spans="2:28" x14ac:dyDescent="0.25">
      <c r="C31" s="1" t="str">
        <f>IF($D$11="Imperial", "Top Speed (ft/s)", "Top Speed (m/s)")</f>
        <v>Top Speed (ft/s)</v>
      </c>
      <c r="D31" s="50">
        <f>$D$5/60*2*PI()*($D$19/IF($D$11="Imperial", 12, 1000)/2)/D28</f>
        <v>13.289435590185393</v>
      </c>
      <c r="F31" s="1" t="str">
        <f>IF($D$11="Imperial", "Top Speed (ft/s)", "Top Speed (m/s)")</f>
        <v>Top Speed (ft/s)</v>
      </c>
      <c r="G31" s="50">
        <f>$D$5/60*2*PI()*($D$19/IF($D$11="Imperial", 12, 1000)/2)/G29</f>
        <v>19.186263187664576</v>
      </c>
      <c r="J31" s="44">
        <f t="shared" ref="J31:J67" si="4">IF(L30, "", J30+1)</f>
        <v>3</v>
      </c>
      <c r="K31" s="45">
        <f t="shared" ref="K31:K67" si="5">IF(L30, "", SprintDist($G$27, $D$6, $D$5, $D$7, $D$13*$D$14, $D$15, J31, 0, $D$19/2, $D$17, $D$18, $D$21, $D$20, FALSE))</f>
        <v>1.9629999999998946</v>
      </c>
      <c r="L31" s="45" t="b">
        <f t="shared" ref="L31:L67" si="6">OR(L30, K31&gt;K30)</f>
        <v>0</v>
      </c>
      <c r="M31" s="45">
        <f t="shared" ref="M31:M67" si="7">IF(L31, IF(L30, IF(Q30&lt;R30, M30, O30), J29), 0)</f>
        <v>0</v>
      </c>
      <c r="N31" s="45">
        <f t="shared" ref="N31:N67" si="8">IF(L31, IF(L30, IF(Q30&lt;R30, P30, N30), J31), 0)</f>
        <v>0</v>
      </c>
      <c r="O31" s="45">
        <f t="shared" ref="O31:O67" si="9">IF(L31, N31-(N31-M31)/1.618034, 0)</f>
        <v>0</v>
      </c>
      <c r="P31" s="45">
        <f t="shared" ref="P31:P67" si="10">IF(L31, M31+(N31-M31)/1.618034, 0)</f>
        <v>0</v>
      </c>
      <c r="Q31" s="45">
        <f t="shared" si="2"/>
        <v>0</v>
      </c>
      <c r="R31" s="46">
        <f t="shared" si="0"/>
        <v>0</v>
      </c>
      <c r="T31" s="44">
        <f t="shared" ref="T31:T67" si="11">IF(V30, "", T30+1)</f>
        <v>3</v>
      </c>
      <c r="U31" s="45">
        <f t="shared" ref="U31:U67" si="12">IF(V30, "", SprintDist($G$34, $D$6, $D$5, $D$7, $D$13*$D$14, $D$15, T31, T31*$G$35, $D$19/2, $D$17, $D$18, $D$21, $D$20, FALSE))</f>
        <v>1.768999999999916</v>
      </c>
      <c r="V31" s="45" t="b">
        <f t="shared" ref="V31:V67" si="13">OR(V30, U31&gt;U30)</f>
        <v>0</v>
      </c>
      <c r="W31" s="45">
        <f t="shared" ref="W31:W67" si="14">IF(V31, IF(V30, IF(AA30&lt;AB30, W30, Y30), T29), 0)</f>
        <v>0</v>
      </c>
      <c r="X31" s="45">
        <f t="shared" ref="X31:X67" si="15">IF(V31, IF(V30, IF(AA30&lt;AB30, Z30, X30), T31), 0)</f>
        <v>0</v>
      </c>
      <c r="Y31" s="45">
        <f t="shared" ref="Y31:Y67" si="16">IF(V31, X31-(X31-W31)/1.618034, 0)</f>
        <v>0</v>
      </c>
      <c r="Z31" s="45">
        <f t="shared" ref="Z31:Z67" si="17">IF(V31, W31+(X31-W31)/1.618034, 0)</f>
        <v>0</v>
      </c>
      <c r="AA31" s="45">
        <f t="shared" si="3"/>
        <v>0</v>
      </c>
      <c r="AB31" s="46">
        <f t="shared" si="1"/>
        <v>0</v>
      </c>
    </row>
    <row r="32" spans="2:28" x14ac:dyDescent="0.25">
      <c r="J32" s="44">
        <f t="shared" si="4"/>
        <v>4</v>
      </c>
      <c r="K32" s="45">
        <f t="shared" si="5"/>
        <v>1.813999999999911</v>
      </c>
      <c r="L32" s="45" t="b">
        <f t="shared" si="6"/>
        <v>0</v>
      </c>
      <c r="M32" s="45">
        <f t="shared" si="7"/>
        <v>0</v>
      </c>
      <c r="N32" s="45">
        <f t="shared" si="8"/>
        <v>0</v>
      </c>
      <c r="O32" s="45">
        <f t="shared" si="9"/>
        <v>0</v>
      </c>
      <c r="P32" s="45">
        <f t="shared" si="10"/>
        <v>0</v>
      </c>
      <c r="Q32" s="45">
        <f t="shared" si="2"/>
        <v>0</v>
      </c>
      <c r="R32" s="46">
        <f t="shared" si="0"/>
        <v>0</v>
      </c>
      <c r="T32" s="44">
        <f t="shared" si="11"/>
        <v>4</v>
      </c>
      <c r="U32" s="45">
        <f t="shared" si="12"/>
        <v>1.7389999999999193</v>
      </c>
      <c r="V32" s="45" t="b">
        <f t="shared" si="13"/>
        <v>0</v>
      </c>
      <c r="W32" s="45">
        <f t="shared" si="14"/>
        <v>0</v>
      </c>
      <c r="X32" s="45">
        <f t="shared" si="15"/>
        <v>0</v>
      </c>
      <c r="Y32" s="45">
        <f t="shared" si="16"/>
        <v>0</v>
      </c>
      <c r="Z32" s="45">
        <f t="shared" si="17"/>
        <v>0</v>
      </c>
      <c r="AA32" s="45">
        <f t="shared" si="3"/>
        <v>0</v>
      </c>
      <c r="AB32" s="46">
        <f t="shared" si="1"/>
        <v>0</v>
      </c>
    </row>
    <row r="33" spans="3:28" x14ac:dyDescent="0.25">
      <c r="J33" s="44">
        <f t="shared" si="4"/>
        <v>5</v>
      </c>
      <c r="K33" s="45">
        <f t="shared" si="5"/>
        <v>1.7849999999999142</v>
      </c>
      <c r="L33" s="45" t="b">
        <f t="shared" si="6"/>
        <v>0</v>
      </c>
      <c r="M33" s="45">
        <f t="shared" si="7"/>
        <v>0</v>
      </c>
      <c r="N33" s="45">
        <f t="shared" si="8"/>
        <v>0</v>
      </c>
      <c r="O33" s="45">
        <f t="shared" si="9"/>
        <v>0</v>
      </c>
      <c r="P33" s="45">
        <f t="shared" si="10"/>
        <v>0</v>
      </c>
      <c r="Q33" s="45">
        <f t="shared" si="2"/>
        <v>0</v>
      </c>
      <c r="R33" s="46">
        <f t="shared" si="0"/>
        <v>0</v>
      </c>
      <c r="T33" s="44">
        <f t="shared" si="11"/>
        <v>5</v>
      </c>
      <c r="U33" s="45">
        <f t="shared" si="12"/>
        <v>1.7679999999999161</v>
      </c>
      <c r="V33" s="45" t="b">
        <f t="shared" si="13"/>
        <v>1</v>
      </c>
      <c r="W33" s="45">
        <f t="shared" si="14"/>
        <v>3</v>
      </c>
      <c r="X33" s="45">
        <f t="shared" si="15"/>
        <v>5</v>
      </c>
      <c r="Y33" s="45">
        <f t="shared" si="16"/>
        <v>3.7639320310945257</v>
      </c>
      <c r="Z33" s="45">
        <f t="shared" si="17"/>
        <v>4.2360679689054743</v>
      </c>
      <c r="AA33" s="45">
        <f t="shared" si="3"/>
        <v>1.7389999999999193</v>
      </c>
      <c r="AB33" s="46">
        <f t="shared" si="1"/>
        <v>1.7419999999999189</v>
      </c>
    </row>
    <row r="34" spans="3:28" x14ac:dyDescent="0.25">
      <c r="C34" s="1" t="s">
        <v>226</v>
      </c>
      <c r="D34" s="2">
        <v>15</v>
      </c>
      <c r="F34" s="29" t="s">
        <v>226</v>
      </c>
      <c r="G34" s="31">
        <v>20</v>
      </c>
      <c r="J34" s="44">
        <f t="shared" si="4"/>
        <v>6</v>
      </c>
      <c r="K34" s="45">
        <f t="shared" si="5"/>
        <v>1.8379999999999084</v>
      </c>
      <c r="L34" s="45" t="b">
        <f t="shared" si="6"/>
        <v>1</v>
      </c>
      <c r="M34" s="45">
        <f t="shared" si="7"/>
        <v>4</v>
      </c>
      <c r="N34" s="45">
        <f t="shared" si="8"/>
        <v>6</v>
      </c>
      <c r="O34" s="45">
        <f t="shared" si="9"/>
        <v>4.7639320310945257</v>
      </c>
      <c r="P34" s="45">
        <f t="shared" si="10"/>
        <v>5.2360679689054743</v>
      </c>
      <c r="Q34" s="45">
        <f t="shared" si="2"/>
        <v>1.7819999999999145</v>
      </c>
      <c r="R34" s="46">
        <f t="shared" si="0"/>
        <v>1.7919999999999134</v>
      </c>
      <c r="T34" s="44" t="str">
        <f t="shared" si="11"/>
        <v/>
      </c>
      <c r="U34" s="45" t="str">
        <f t="shared" si="12"/>
        <v/>
      </c>
      <c r="V34" s="45" t="b">
        <f t="shared" si="13"/>
        <v>1</v>
      </c>
      <c r="W34" s="45">
        <f t="shared" si="14"/>
        <v>3</v>
      </c>
      <c r="X34" s="45">
        <f t="shared" si="15"/>
        <v>4.2360679689054743</v>
      </c>
      <c r="Y34" s="45">
        <f t="shared" si="16"/>
        <v>3.472135957028422</v>
      </c>
      <c r="Z34" s="45">
        <f t="shared" si="17"/>
        <v>3.7639320118770523</v>
      </c>
      <c r="AA34" s="45">
        <f t="shared" si="3"/>
        <v>1.7439999999999187</v>
      </c>
      <c r="AB34" s="46">
        <f t="shared" si="1"/>
        <v>1.7389999999999193</v>
      </c>
    </row>
    <row r="35" spans="3:28" x14ac:dyDescent="0.25">
      <c r="C35" s="1" t="s">
        <v>224</v>
      </c>
      <c r="D35" s="40">
        <v>6</v>
      </c>
      <c r="F35" s="1" t="s">
        <v>235</v>
      </c>
      <c r="G35" s="56">
        <v>1.5</v>
      </c>
      <c r="J35" s="44" t="str">
        <f t="shared" si="4"/>
        <v/>
      </c>
      <c r="K35" s="45" t="str">
        <f t="shared" si="5"/>
        <v/>
      </c>
      <c r="L35" s="45" t="b">
        <f t="shared" si="6"/>
        <v>1</v>
      </c>
      <c r="M35" s="45">
        <f t="shared" si="7"/>
        <v>4</v>
      </c>
      <c r="N35" s="45">
        <f t="shared" si="8"/>
        <v>5.2360679689054743</v>
      </c>
      <c r="O35" s="45">
        <f t="shared" si="9"/>
        <v>4.4721359570284225</v>
      </c>
      <c r="P35" s="45">
        <f t="shared" si="10"/>
        <v>4.7639320118770527</v>
      </c>
      <c r="Q35" s="45">
        <f t="shared" si="2"/>
        <v>1.7859999999999141</v>
      </c>
      <c r="R35" s="46">
        <f t="shared" si="0"/>
        <v>1.7819999999999145</v>
      </c>
      <c r="T35" s="44" t="str">
        <f t="shared" si="11"/>
        <v/>
      </c>
      <c r="U35" s="45" t="str">
        <f t="shared" si="12"/>
        <v/>
      </c>
      <c r="V35" s="45" t="b">
        <f t="shared" si="13"/>
        <v>1</v>
      </c>
      <c r="W35" s="45">
        <f t="shared" si="14"/>
        <v>3.472135957028422</v>
      </c>
      <c r="X35" s="45">
        <f t="shared" si="15"/>
        <v>4.2360679689054743</v>
      </c>
      <c r="Y35" s="45">
        <f t="shared" si="16"/>
        <v>3.7639320237541041</v>
      </c>
      <c r="Z35" s="45">
        <f t="shared" si="17"/>
        <v>3.9442719021797923</v>
      </c>
      <c r="AA35" s="45">
        <f t="shared" si="3"/>
        <v>1.7389999999999193</v>
      </c>
      <c r="AB35" s="46">
        <f t="shared" si="1"/>
        <v>1.7389999999999193</v>
      </c>
    </row>
    <row r="36" spans="3:28" x14ac:dyDescent="0.25">
      <c r="C36" s="1" t="s">
        <v>225</v>
      </c>
      <c r="D36" s="40">
        <v>4</v>
      </c>
      <c r="J36" s="44" t="str">
        <f t="shared" si="4"/>
        <v/>
      </c>
      <c r="K36" s="45" t="str">
        <f t="shared" si="5"/>
        <v/>
      </c>
      <c r="L36" s="45" t="b">
        <f t="shared" si="6"/>
        <v>1</v>
      </c>
      <c r="M36" s="45">
        <f t="shared" si="7"/>
        <v>4.4721359570284225</v>
      </c>
      <c r="N36" s="45">
        <f t="shared" si="8"/>
        <v>5.2360679689054743</v>
      </c>
      <c r="O36" s="45">
        <f t="shared" si="9"/>
        <v>4.7639320237541041</v>
      </c>
      <c r="P36" s="45">
        <f t="shared" si="10"/>
        <v>4.9442719021797927</v>
      </c>
      <c r="Q36" s="45">
        <f t="shared" si="2"/>
        <v>1.7819999999999145</v>
      </c>
      <c r="R36" s="46">
        <f t="shared" si="0"/>
        <v>1.7839999999999143</v>
      </c>
      <c r="T36" s="44" t="str">
        <f t="shared" si="11"/>
        <v/>
      </c>
      <c r="U36" s="45" t="str">
        <f t="shared" si="12"/>
        <v/>
      </c>
      <c r="V36" s="45" t="b">
        <f t="shared" si="13"/>
        <v>1</v>
      </c>
      <c r="W36" s="45">
        <f t="shared" si="14"/>
        <v>3.7639320237541041</v>
      </c>
      <c r="X36" s="45">
        <f t="shared" si="15"/>
        <v>4.2360679689054743</v>
      </c>
      <c r="Y36" s="45">
        <f t="shared" si="16"/>
        <v>3.9442719095202139</v>
      </c>
      <c r="Z36" s="45">
        <f t="shared" si="17"/>
        <v>4.0557280831393641</v>
      </c>
      <c r="AA36" s="45">
        <f t="shared" si="3"/>
        <v>1.7389999999999193</v>
      </c>
      <c r="AB36" s="46">
        <f t="shared" si="1"/>
        <v>1.7389999999999193</v>
      </c>
    </row>
    <row r="37" spans="3:28" x14ac:dyDescent="0.25">
      <c r="F37" s="1" t="s">
        <v>224</v>
      </c>
      <c r="G37" s="39">
        <f>Y67</f>
        <v>4.0795302263724906</v>
      </c>
      <c r="J37" s="44" t="str">
        <f t="shared" si="4"/>
        <v/>
      </c>
      <c r="K37" s="45" t="str">
        <f t="shared" si="5"/>
        <v/>
      </c>
      <c r="L37" s="45" t="b">
        <f t="shared" si="6"/>
        <v>1</v>
      </c>
      <c r="M37" s="45">
        <f t="shared" si="7"/>
        <v>4.4721359570284225</v>
      </c>
      <c r="N37" s="45">
        <f t="shared" si="8"/>
        <v>4.9442719021797927</v>
      </c>
      <c r="O37" s="45">
        <f t="shared" si="9"/>
        <v>4.6524758427945327</v>
      </c>
      <c r="P37" s="45">
        <f t="shared" si="10"/>
        <v>4.7639320164136825</v>
      </c>
      <c r="Q37" s="45">
        <f t="shared" si="2"/>
        <v>1.7819999999999145</v>
      </c>
      <c r="R37" s="46">
        <f t="shared" si="0"/>
        <v>1.7819999999999145</v>
      </c>
      <c r="T37" s="44" t="str">
        <f t="shared" si="11"/>
        <v/>
      </c>
      <c r="U37" s="45" t="str">
        <f t="shared" si="12"/>
        <v/>
      </c>
      <c r="V37" s="45" t="b">
        <f t="shared" si="13"/>
        <v>1</v>
      </c>
      <c r="W37" s="45">
        <f t="shared" si="14"/>
        <v>3.9442719095202139</v>
      </c>
      <c r="X37" s="45">
        <f t="shared" si="15"/>
        <v>4.2360679689054743</v>
      </c>
      <c r="Y37" s="45">
        <f t="shared" si="16"/>
        <v>4.0557280876759947</v>
      </c>
      <c r="Z37" s="45">
        <f t="shared" si="17"/>
        <v>4.124611790749694</v>
      </c>
      <c r="AA37" s="45">
        <f t="shared" si="3"/>
        <v>1.7389999999999193</v>
      </c>
      <c r="AB37" s="46">
        <f t="shared" si="1"/>
        <v>1.7399999999999192</v>
      </c>
    </row>
    <row r="38" spans="3:28" x14ac:dyDescent="0.25">
      <c r="C38" s="1" t="s">
        <v>207</v>
      </c>
      <c r="D38" s="50">
        <f>SprintDist($D$34, $D$6, $D$5, $D$7, $D$13*$D$14, $D$15, D35, D36, $D$19/2, $D$17, $D$18, $D$21, $D$20, H3="Forward Shifting")</f>
        <v>1.4469999999999514</v>
      </c>
      <c r="F38" s="1" t="s">
        <v>225</v>
      </c>
      <c r="G38" s="39">
        <f>Y67*G35</f>
        <v>6.1192953395587359</v>
      </c>
      <c r="H38" s="55"/>
      <c r="J38" s="44" t="str">
        <f t="shared" si="4"/>
        <v/>
      </c>
      <c r="K38" s="45" t="str">
        <f t="shared" si="5"/>
        <v/>
      </c>
      <c r="L38" s="45" t="b">
        <f t="shared" si="6"/>
        <v>1</v>
      </c>
      <c r="M38" s="45">
        <f t="shared" si="7"/>
        <v>4.6524758427945327</v>
      </c>
      <c r="N38" s="45">
        <f t="shared" si="8"/>
        <v>4.9442719021797927</v>
      </c>
      <c r="O38" s="45">
        <f t="shared" si="9"/>
        <v>4.7639320209503131</v>
      </c>
      <c r="P38" s="45">
        <f t="shared" si="10"/>
        <v>4.8328157240240124</v>
      </c>
      <c r="Q38" s="45">
        <f t="shared" si="2"/>
        <v>1.7819999999999145</v>
      </c>
      <c r="R38" s="46">
        <f t="shared" si="0"/>
        <v>1.7819999999999145</v>
      </c>
      <c r="T38" s="44" t="str">
        <f t="shared" si="11"/>
        <v/>
      </c>
      <c r="U38" s="45" t="str">
        <f t="shared" si="12"/>
        <v/>
      </c>
      <c r="V38" s="45" t="b">
        <f t="shared" si="13"/>
        <v>1</v>
      </c>
      <c r="W38" s="45">
        <f t="shared" si="14"/>
        <v>3.9442719095202139</v>
      </c>
      <c r="X38" s="45">
        <f t="shared" si="15"/>
        <v>4.124611790749694</v>
      </c>
      <c r="Y38" s="45">
        <f t="shared" si="16"/>
        <v>4.0131556153977046</v>
      </c>
      <c r="Z38" s="45">
        <f t="shared" si="17"/>
        <v>4.0557280848722028</v>
      </c>
      <c r="AA38" s="45">
        <f t="shared" si="3"/>
        <v>1.7389999999999193</v>
      </c>
      <c r="AB38" s="46">
        <f t="shared" si="1"/>
        <v>1.7389999999999193</v>
      </c>
    </row>
    <row r="39" spans="3:28" x14ac:dyDescent="0.25">
      <c r="C39" s="1" t="str">
        <f>IF($D$11="Imperial", "Top High Speed (ft/s)", "Top High Speed (m/s)")</f>
        <v>Top High Speed (ft/s)</v>
      </c>
      <c r="D39" s="50">
        <f>$D$5/60*2*PI()*($D$19/IF($D$11="Imperial", 12, 1000)/2)/D35</f>
        <v>15.504341521882958</v>
      </c>
      <c r="F39" s="1" t="s">
        <v>207</v>
      </c>
      <c r="G39" s="50">
        <f>AA67</f>
        <v>1.7389999999999193</v>
      </c>
      <c r="J39" s="44" t="str">
        <f t="shared" si="4"/>
        <v/>
      </c>
      <c r="K39" s="45" t="str">
        <f t="shared" si="5"/>
        <v/>
      </c>
      <c r="L39" s="45" t="b">
        <f t="shared" si="6"/>
        <v>1</v>
      </c>
      <c r="M39" s="45">
        <f t="shared" si="7"/>
        <v>4.7639320209503131</v>
      </c>
      <c r="N39" s="45">
        <f t="shared" si="8"/>
        <v>4.9442719021797927</v>
      </c>
      <c r="O39" s="45">
        <f t="shared" si="9"/>
        <v>4.8328157268278042</v>
      </c>
      <c r="P39" s="45">
        <f t="shared" si="10"/>
        <v>4.8753881963023016</v>
      </c>
      <c r="Q39" s="45">
        <f t="shared" si="2"/>
        <v>1.7819999999999145</v>
      </c>
      <c r="R39" s="46">
        <f t="shared" si="0"/>
        <v>1.7829999999999144</v>
      </c>
      <c r="T39" s="44" t="str">
        <f t="shared" si="11"/>
        <v/>
      </c>
      <c r="U39" s="45" t="str">
        <f t="shared" si="12"/>
        <v/>
      </c>
      <c r="V39" s="45" t="b">
        <f t="shared" si="13"/>
        <v>1</v>
      </c>
      <c r="W39" s="45">
        <f t="shared" si="14"/>
        <v>4.0131556153977046</v>
      </c>
      <c r="X39" s="45">
        <f t="shared" si="15"/>
        <v>4.124611790749694</v>
      </c>
      <c r="Y39" s="45">
        <f t="shared" si="16"/>
        <v>4.0557280866050407</v>
      </c>
      <c r="Z39" s="45">
        <f t="shared" si="17"/>
        <v>4.0820393195423579</v>
      </c>
      <c r="AA39" s="45">
        <f t="shared" si="3"/>
        <v>1.7389999999999193</v>
      </c>
      <c r="AB39" s="46">
        <f t="shared" si="1"/>
        <v>1.7399999999999192</v>
      </c>
    </row>
    <row r="40" spans="3:28" x14ac:dyDescent="0.25">
      <c r="C40" s="1" t="str">
        <f>IF($D$11="Imperial", "Top Low Speed (ft/s)", "Top Low Speed (m/s)")</f>
        <v>Top Low Speed (ft/s)</v>
      </c>
      <c r="D40" s="50">
        <f>$D$5/60*2*PI()*($D$19/IF($D$11="Imperial", 12, 1000)/2)/D36</f>
        <v>23.256512282824438</v>
      </c>
      <c r="F40" s="1" t="str">
        <f>IF($D$11="Imperial", "Top High Speed (ft/s)", "Top High Speed (m/s)")</f>
        <v>Top High Speed (ft/s)</v>
      </c>
      <c r="G40" s="50">
        <f>$D$5/60*2*PI()*($D$19/IF($D$11="Imperial", 12, 1000)/2)/G37</f>
        <v>22.803127803765854</v>
      </c>
      <c r="J40" s="44" t="str">
        <f t="shared" si="4"/>
        <v/>
      </c>
      <c r="K40" s="45" t="str">
        <f t="shared" si="5"/>
        <v/>
      </c>
      <c r="L40" s="45" t="b">
        <f t="shared" si="6"/>
        <v>1</v>
      </c>
      <c r="M40" s="45">
        <f t="shared" si="7"/>
        <v>4.7639320209503131</v>
      </c>
      <c r="N40" s="45">
        <f t="shared" si="8"/>
        <v>4.8753881963023016</v>
      </c>
      <c r="O40" s="45">
        <f t="shared" si="9"/>
        <v>4.8065044921576492</v>
      </c>
      <c r="P40" s="45">
        <f t="shared" si="10"/>
        <v>4.8328157250949655</v>
      </c>
      <c r="Q40" s="45">
        <f t="shared" si="2"/>
        <v>1.7819999999999145</v>
      </c>
      <c r="R40" s="46">
        <f t="shared" si="0"/>
        <v>1.7819999999999145</v>
      </c>
      <c r="T40" s="44" t="str">
        <f t="shared" si="11"/>
        <v/>
      </c>
      <c r="U40" s="45" t="str">
        <f t="shared" si="12"/>
        <v/>
      </c>
      <c r="V40" s="45" t="b">
        <f t="shared" si="13"/>
        <v>1</v>
      </c>
      <c r="W40" s="45">
        <f t="shared" si="14"/>
        <v>4.0131556153977046</v>
      </c>
      <c r="X40" s="45">
        <f t="shared" si="15"/>
        <v>4.0820393195423579</v>
      </c>
      <c r="Y40" s="45">
        <f t="shared" si="16"/>
        <v>4.039466849405974</v>
      </c>
      <c r="Z40" s="45">
        <f t="shared" si="17"/>
        <v>4.0557280855340885</v>
      </c>
      <c r="AA40" s="45">
        <f t="shared" si="3"/>
        <v>1.7389999999999193</v>
      </c>
      <c r="AB40" s="46">
        <f t="shared" si="1"/>
        <v>1.7389999999999193</v>
      </c>
    </row>
    <row r="41" spans="3:28" x14ac:dyDescent="0.25">
      <c r="F41" s="1" t="str">
        <f>IF($D$11="Imperial", "Top Low Speed (ft/s)", "Top Low Speed (m/s)")</f>
        <v>Top Low Speed (ft/s)</v>
      </c>
      <c r="G41" s="50">
        <f>$D$5/60*2*PI()*($D$19/IF($D$11="Imperial", 12, 1000)/2)/G38</f>
        <v>15.20208520251057</v>
      </c>
      <c r="H41" s="54"/>
      <c r="J41" s="44" t="str">
        <f t="shared" si="4"/>
        <v/>
      </c>
      <c r="K41" s="45" t="str">
        <f t="shared" si="5"/>
        <v/>
      </c>
      <c r="L41" s="45" t="b">
        <f t="shared" si="6"/>
        <v>1</v>
      </c>
      <c r="M41" s="45">
        <f t="shared" si="7"/>
        <v>4.8065044921576492</v>
      </c>
      <c r="N41" s="45">
        <f t="shared" si="8"/>
        <v>4.8753881963023016</v>
      </c>
      <c r="O41" s="45">
        <f t="shared" si="9"/>
        <v>4.8328157261659186</v>
      </c>
      <c r="P41" s="45">
        <f t="shared" si="10"/>
        <v>4.8490769622940322</v>
      </c>
      <c r="Q41" s="45">
        <f t="shared" si="2"/>
        <v>1.7819999999999145</v>
      </c>
      <c r="R41" s="46">
        <f t="shared" si="0"/>
        <v>1.7829999999999144</v>
      </c>
      <c r="T41" s="44" t="str">
        <f t="shared" si="11"/>
        <v/>
      </c>
      <c r="U41" s="45" t="str">
        <f t="shared" si="12"/>
        <v/>
      </c>
      <c r="V41" s="45" t="b">
        <f t="shared" si="13"/>
        <v>1</v>
      </c>
      <c r="W41" s="45">
        <f t="shared" si="14"/>
        <v>4.039466849405974</v>
      </c>
      <c r="X41" s="45">
        <f t="shared" si="15"/>
        <v>4.0820393195423579</v>
      </c>
      <c r="Y41" s="45">
        <f t="shared" si="16"/>
        <v>4.0557280861959732</v>
      </c>
      <c r="Z41" s="45">
        <f t="shared" si="17"/>
        <v>4.0657780827523586</v>
      </c>
      <c r="AA41" s="45">
        <f t="shared" si="3"/>
        <v>1.7389999999999193</v>
      </c>
      <c r="AB41" s="46">
        <f t="shared" si="1"/>
        <v>1.7389999999999193</v>
      </c>
    </row>
    <row r="42" spans="3:28" x14ac:dyDescent="0.25">
      <c r="H42" s="54"/>
      <c r="J42" s="44" t="str">
        <f t="shared" si="4"/>
        <v/>
      </c>
      <c r="K42" s="45" t="str">
        <f t="shared" si="5"/>
        <v/>
      </c>
      <c r="L42" s="45" t="b">
        <f t="shared" si="6"/>
        <v>1</v>
      </c>
      <c r="M42" s="45">
        <f t="shared" si="7"/>
        <v>4.8065044921576492</v>
      </c>
      <c r="N42" s="45">
        <f t="shared" si="8"/>
        <v>4.8490769622940322</v>
      </c>
      <c r="O42" s="45">
        <f t="shared" si="9"/>
        <v>4.8227657289476484</v>
      </c>
      <c r="P42" s="45">
        <f t="shared" si="10"/>
        <v>4.8328157255040329</v>
      </c>
      <c r="Q42" s="45">
        <f t="shared" si="2"/>
        <v>1.7819999999999145</v>
      </c>
      <c r="R42" s="46">
        <f t="shared" si="0"/>
        <v>1.7819999999999145</v>
      </c>
      <c r="T42" s="44" t="str">
        <f t="shared" si="11"/>
        <v/>
      </c>
      <c r="U42" s="45" t="str">
        <f t="shared" si="12"/>
        <v/>
      </c>
      <c r="V42" s="45" t="b">
        <f t="shared" si="13"/>
        <v>1</v>
      </c>
      <c r="W42" s="45">
        <f t="shared" si="14"/>
        <v>4.0557280861959732</v>
      </c>
      <c r="X42" s="45">
        <f t="shared" si="15"/>
        <v>4.0820393195423579</v>
      </c>
      <c r="Y42" s="45">
        <f t="shared" si="16"/>
        <v>4.0657780831614261</v>
      </c>
      <c r="Z42" s="45">
        <f t="shared" si="17"/>
        <v>4.071989322576905</v>
      </c>
      <c r="AA42" s="45">
        <f t="shared" si="3"/>
        <v>1.7389999999999193</v>
      </c>
      <c r="AB42" s="46">
        <f t="shared" si="1"/>
        <v>1.7389999999999193</v>
      </c>
    </row>
    <row r="43" spans="3:28" x14ac:dyDescent="0.25">
      <c r="J43" s="44" t="str">
        <f t="shared" si="4"/>
        <v/>
      </c>
      <c r="K43" s="45" t="str">
        <f t="shared" si="5"/>
        <v/>
      </c>
      <c r="L43" s="45" t="b">
        <f t="shared" si="6"/>
        <v>1</v>
      </c>
      <c r="M43" s="45">
        <f t="shared" si="7"/>
        <v>4.8227657289476484</v>
      </c>
      <c r="N43" s="45">
        <f t="shared" si="8"/>
        <v>4.8490769622940322</v>
      </c>
      <c r="O43" s="45">
        <f t="shared" si="9"/>
        <v>4.8328157259131013</v>
      </c>
      <c r="P43" s="45">
        <f t="shared" si="10"/>
        <v>4.8390269653285793</v>
      </c>
      <c r="Q43" s="45">
        <f t="shared" si="2"/>
        <v>1.7819999999999145</v>
      </c>
      <c r="R43" s="46">
        <f t="shared" si="0"/>
        <v>1.7819999999999145</v>
      </c>
      <c r="T43" s="44" t="str">
        <f t="shared" si="11"/>
        <v/>
      </c>
      <c r="U43" s="45" t="str">
        <f t="shared" si="12"/>
        <v/>
      </c>
      <c r="V43" s="45" t="b">
        <f t="shared" si="13"/>
        <v>1</v>
      </c>
      <c r="W43" s="45">
        <f t="shared" si="14"/>
        <v>4.0657780831614261</v>
      </c>
      <c r="X43" s="45">
        <f t="shared" si="15"/>
        <v>4.0820393195423579</v>
      </c>
      <c r="Y43" s="45">
        <f t="shared" si="16"/>
        <v>4.0719893228297224</v>
      </c>
      <c r="Z43" s="45">
        <f t="shared" si="17"/>
        <v>4.0758280798740616</v>
      </c>
      <c r="AA43" s="45">
        <f t="shared" si="3"/>
        <v>1.7389999999999193</v>
      </c>
      <c r="AB43" s="46">
        <f t="shared" si="1"/>
        <v>1.7389999999999193</v>
      </c>
    </row>
    <row r="44" spans="3:28" x14ac:dyDescent="0.25">
      <c r="J44" s="44" t="str">
        <f t="shared" si="4"/>
        <v/>
      </c>
      <c r="K44" s="45" t="str">
        <f t="shared" si="5"/>
        <v/>
      </c>
      <c r="L44" s="45" t="b">
        <f t="shared" si="6"/>
        <v>1</v>
      </c>
      <c r="M44" s="45">
        <f t="shared" si="7"/>
        <v>4.8328157259131013</v>
      </c>
      <c r="N44" s="45">
        <f t="shared" si="8"/>
        <v>4.8490769622940322</v>
      </c>
      <c r="O44" s="45">
        <f t="shared" si="9"/>
        <v>4.8390269655813976</v>
      </c>
      <c r="P44" s="45">
        <f t="shared" si="10"/>
        <v>4.8428657226257359</v>
      </c>
      <c r="Q44" s="45">
        <f t="shared" si="2"/>
        <v>1.7819999999999145</v>
      </c>
      <c r="R44" s="46">
        <f t="shared" si="0"/>
        <v>1.7819999999999145</v>
      </c>
      <c r="T44" s="44" t="str">
        <f t="shared" si="11"/>
        <v/>
      </c>
      <c r="U44" s="45" t="str">
        <f t="shared" si="12"/>
        <v/>
      </c>
      <c r="V44" s="45" t="b">
        <f t="shared" si="13"/>
        <v>1</v>
      </c>
      <c r="W44" s="45">
        <f t="shared" si="14"/>
        <v>4.0719893228297224</v>
      </c>
      <c r="X44" s="45">
        <f t="shared" si="15"/>
        <v>4.0820393195423579</v>
      </c>
      <c r="Y44" s="45">
        <f t="shared" si="16"/>
        <v>4.0758280800303108</v>
      </c>
      <c r="Z44" s="45">
        <f t="shared" si="17"/>
        <v>4.0782005623417694</v>
      </c>
      <c r="AA44" s="45">
        <f t="shared" si="3"/>
        <v>1.7389999999999193</v>
      </c>
      <c r="AB44" s="46">
        <f t="shared" si="1"/>
        <v>1.7389999999999193</v>
      </c>
    </row>
    <row r="45" spans="3:28" x14ac:dyDescent="0.25">
      <c r="J45" s="44" t="str">
        <f t="shared" si="4"/>
        <v/>
      </c>
      <c r="K45" s="45" t="str">
        <f t="shared" si="5"/>
        <v/>
      </c>
      <c r="L45" s="45" t="b">
        <f t="shared" si="6"/>
        <v>1</v>
      </c>
      <c r="M45" s="45">
        <f t="shared" si="7"/>
        <v>4.8390269655813976</v>
      </c>
      <c r="N45" s="45">
        <f t="shared" si="8"/>
        <v>4.8490769622940322</v>
      </c>
      <c r="O45" s="45">
        <f t="shared" si="9"/>
        <v>4.842865722781986</v>
      </c>
      <c r="P45" s="45">
        <f t="shared" si="10"/>
        <v>4.8452382050934437</v>
      </c>
      <c r="Q45" s="45">
        <f t="shared" si="2"/>
        <v>1.7819999999999145</v>
      </c>
      <c r="R45" s="46">
        <f t="shared" si="0"/>
        <v>1.7819999999999145</v>
      </c>
      <c r="T45" s="44" t="str">
        <f t="shared" si="11"/>
        <v/>
      </c>
      <c r="U45" s="45" t="str">
        <f t="shared" si="12"/>
        <v/>
      </c>
      <c r="V45" s="45" t="b">
        <f t="shared" si="13"/>
        <v>1</v>
      </c>
      <c r="W45" s="45">
        <f t="shared" si="14"/>
        <v>4.0758280800303108</v>
      </c>
      <c r="X45" s="45">
        <f t="shared" si="15"/>
        <v>4.0820393195423579</v>
      </c>
      <c r="Y45" s="45">
        <f t="shared" si="16"/>
        <v>4.0782005624383375</v>
      </c>
      <c r="Z45" s="45">
        <f t="shared" si="17"/>
        <v>4.0796668371343312</v>
      </c>
      <c r="AA45" s="45">
        <f t="shared" si="3"/>
        <v>1.7389999999999193</v>
      </c>
      <c r="AB45" s="46">
        <f t="shared" si="1"/>
        <v>1.7399999999999192</v>
      </c>
    </row>
    <row r="46" spans="3:28" x14ac:dyDescent="0.25">
      <c r="J46" s="44" t="str">
        <f t="shared" si="4"/>
        <v/>
      </c>
      <c r="K46" s="45" t="str">
        <f t="shared" si="5"/>
        <v/>
      </c>
      <c r="L46" s="45" t="b">
        <f t="shared" si="6"/>
        <v>1</v>
      </c>
      <c r="M46" s="45">
        <f t="shared" si="7"/>
        <v>4.842865722781986</v>
      </c>
      <c r="N46" s="45">
        <f t="shared" si="8"/>
        <v>4.8490769622940322</v>
      </c>
      <c r="O46" s="45">
        <f t="shared" si="9"/>
        <v>4.8452382051900118</v>
      </c>
      <c r="P46" s="45">
        <f t="shared" si="10"/>
        <v>4.8467044798860064</v>
      </c>
      <c r="Q46" s="45">
        <f t="shared" si="2"/>
        <v>1.7819999999999145</v>
      </c>
      <c r="R46" s="46">
        <f t="shared" si="0"/>
        <v>1.7819999999999145</v>
      </c>
      <c r="T46" s="44" t="str">
        <f t="shared" si="11"/>
        <v/>
      </c>
      <c r="U46" s="45" t="str">
        <f t="shared" si="12"/>
        <v/>
      </c>
      <c r="V46" s="45" t="b">
        <f t="shared" si="13"/>
        <v>1</v>
      </c>
      <c r="W46" s="45">
        <f t="shared" si="14"/>
        <v>4.0758280800303108</v>
      </c>
      <c r="X46" s="45">
        <f t="shared" si="15"/>
        <v>4.0796668371343312</v>
      </c>
      <c r="Y46" s="45">
        <f t="shared" si="16"/>
        <v>4.0772943547859875</v>
      </c>
      <c r="Z46" s="45">
        <f t="shared" si="17"/>
        <v>4.0782005623786546</v>
      </c>
      <c r="AA46" s="45">
        <f t="shared" si="3"/>
        <v>1.7389999999999193</v>
      </c>
      <c r="AB46" s="46">
        <f t="shared" si="1"/>
        <v>1.7389999999999193</v>
      </c>
    </row>
    <row r="47" spans="3:28" x14ac:dyDescent="0.25">
      <c r="J47" s="44" t="str">
        <f t="shared" si="4"/>
        <v/>
      </c>
      <c r="K47" s="45" t="str">
        <f t="shared" si="5"/>
        <v/>
      </c>
      <c r="L47" s="45" t="b">
        <f t="shared" si="6"/>
        <v>1</v>
      </c>
      <c r="M47" s="45">
        <f t="shared" si="7"/>
        <v>4.8452382051900118</v>
      </c>
      <c r="N47" s="45">
        <f t="shared" si="8"/>
        <v>4.8490769622940322</v>
      </c>
      <c r="O47" s="45">
        <f t="shared" si="9"/>
        <v>4.8467044799456884</v>
      </c>
      <c r="P47" s="45">
        <f t="shared" si="10"/>
        <v>4.8476106875383556</v>
      </c>
      <c r="Q47" s="45">
        <f t="shared" si="2"/>
        <v>1.7819999999999145</v>
      </c>
      <c r="R47" s="46">
        <f t="shared" si="0"/>
        <v>1.7819999999999145</v>
      </c>
      <c r="T47" s="44" t="str">
        <f t="shared" si="11"/>
        <v/>
      </c>
      <c r="U47" s="45" t="str">
        <f t="shared" si="12"/>
        <v/>
      </c>
      <c r="V47" s="45" t="b">
        <f t="shared" si="13"/>
        <v>1</v>
      </c>
      <c r="W47" s="45">
        <f t="shared" si="14"/>
        <v>4.0772943547859875</v>
      </c>
      <c r="X47" s="45">
        <f t="shared" si="15"/>
        <v>4.0796668371343312</v>
      </c>
      <c r="Y47" s="45">
        <f t="shared" si="16"/>
        <v>4.0782005624155406</v>
      </c>
      <c r="Z47" s="45">
        <f t="shared" si="17"/>
        <v>4.078760629504778</v>
      </c>
      <c r="AA47" s="45">
        <f t="shared" si="3"/>
        <v>1.7389999999999193</v>
      </c>
      <c r="AB47" s="46">
        <f t="shared" si="1"/>
        <v>1.7389999999999193</v>
      </c>
    </row>
    <row r="48" spans="3:28" x14ac:dyDescent="0.25">
      <c r="J48" s="44" t="str">
        <f t="shared" si="4"/>
        <v/>
      </c>
      <c r="K48" s="45" t="str">
        <f t="shared" si="5"/>
        <v/>
      </c>
      <c r="L48" s="45" t="b">
        <f t="shared" si="6"/>
        <v>1</v>
      </c>
      <c r="M48" s="45">
        <f t="shared" si="7"/>
        <v>4.8467044799456884</v>
      </c>
      <c r="N48" s="45">
        <f t="shared" si="8"/>
        <v>4.8490769622940322</v>
      </c>
      <c r="O48" s="45">
        <f t="shared" si="9"/>
        <v>4.8476106875752416</v>
      </c>
      <c r="P48" s="45">
        <f t="shared" si="10"/>
        <v>4.848170754664479</v>
      </c>
      <c r="Q48" s="45">
        <f t="shared" si="2"/>
        <v>1.7819999999999145</v>
      </c>
      <c r="R48" s="46">
        <f t="shared" si="0"/>
        <v>1.7819999999999145</v>
      </c>
      <c r="T48" s="44" t="str">
        <f t="shared" si="11"/>
        <v/>
      </c>
      <c r="U48" s="45" t="str">
        <f t="shared" si="12"/>
        <v/>
      </c>
      <c r="V48" s="45" t="b">
        <f t="shared" si="13"/>
        <v>1</v>
      </c>
      <c r="W48" s="45">
        <f t="shared" si="14"/>
        <v>4.0782005624155406</v>
      </c>
      <c r="X48" s="45">
        <f t="shared" si="15"/>
        <v>4.0796668371343312</v>
      </c>
      <c r="Y48" s="45">
        <f t="shared" si="16"/>
        <v>4.0787606295275749</v>
      </c>
      <c r="Z48" s="45">
        <f t="shared" si="17"/>
        <v>4.0791067700222969</v>
      </c>
      <c r="AA48" s="45">
        <f t="shared" si="3"/>
        <v>1.7389999999999193</v>
      </c>
      <c r="AB48" s="46">
        <f t="shared" si="1"/>
        <v>1.7389999999999193</v>
      </c>
    </row>
    <row r="49" spans="10:28" x14ac:dyDescent="0.25">
      <c r="J49" s="44" t="str">
        <f t="shared" si="4"/>
        <v/>
      </c>
      <c r="K49" s="45" t="str">
        <f t="shared" si="5"/>
        <v/>
      </c>
      <c r="L49" s="45" t="b">
        <f t="shared" si="6"/>
        <v>1</v>
      </c>
      <c r="M49" s="45">
        <f t="shared" si="7"/>
        <v>4.8476106875752416</v>
      </c>
      <c r="N49" s="45">
        <f t="shared" si="8"/>
        <v>4.8490769622940322</v>
      </c>
      <c r="O49" s="45">
        <f t="shared" si="9"/>
        <v>4.8481707546872759</v>
      </c>
      <c r="P49" s="45">
        <f t="shared" si="10"/>
        <v>4.8485168951819979</v>
      </c>
      <c r="Q49" s="45">
        <f t="shared" si="2"/>
        <v>1.7819999999999145</v>
      </c>
      <c r="R49" s="46">
        <f t="shared" si="0"/>
        <v>1.7819999999999145</v>
      </c>
      <c r="T49" s="44" t="str">
        <f t="shared" si="11"/>
        <v/>
      </c>
      <c r="U49" s="45" t="str">
        <f t="shared" si="12"/>
        <v/>
      </c>
      <c r="V49" s="45" t="b">
        <f t="shared" si="13"/>
        <v>1</v>
      </c>
      <c r="W49" s="45">
        <f t="shared" si="14"/>
        <v>4.0787606295275749</v>
      </c>
      <c r="X49" s="45">
        <f t="shared" si="15"/>
        <v>4.0796668371343312</v>
      </c>
      <c r="Y49" s="45">
        <f t="shared" si="16"/>
        <v>4.0791067700363861</v>
      </c>
      <c r="Z49" s="45">
        <f t="shared" si="17"/>
        <v>4.07932069662552</v>
      </c>
      <c r="AA49" s="45">
        <f t="shared" si="3"/>
        <v>1.7389999999999193</v>
      </c>
      <c r="AB49" s="46">
        <f t="shared" si="1"/>
        <v>1.7389999999999193</v>
      </c>
    </row>
    <row r="50" spans="10:28" x14ac:dyDescent="0.25">
      <c r="J50" s="44" t="str">
        <f t="shared" si="4"/>
        <v/>
      </c>
      <c r="K50" s="45" t="str">
        <f t="shared" si="5"/>
        <v/>
      </c>
      <c r="L50" s="45" t="b">
        <f t="shared" si="6"/>
        <v>1</v>
      </c>
      <c r="M50" s="45">
        <f t="shared" si="7"/>
        <v>4.8481707546872759</v>
      </c>
      <c r="N50" s="45">
        <f t="shared" si="8"/>
        <v>4.8490769622940322</v>
      </c>
      <c r="O50" s="45">
        <f t="shared" si="9"/>
        <v>4.8485168951960871</v>
      </c>
      <c r="P50" s="45">
        <f t="shared" si="10"/>
        <v>4.848730821785221</v>
      </c>
      <c r="Q50" s="45">
        <f t="shared" si="2"/>
        <v>1.7819999999999145</v>
      </c>
      <c r="R50" s="46">
        <f t="shared" si="0"/>
        <v>1.7829999999999144</v>
      </c>
      <c r="T50" s="44" t="str">
        <f t="shared" si="11"/>
        <v/>
      </c>
      <c r="U50" s="45" t="str">
        <f t="shared" si="12"/>
        <v/>
      </c>
      <c r="V50" s="45" t="b">
        <f t="shared" si="13"/>
        <v>1</v>
      </c>
      <c r="W50" s="45">
        <f t="shared" si="14"/>
        <v>4.0791067700363861</v>
      </c>
      <c r="X50" s="45">
        <f t="shared" si="15"/>
        <v>4.0796668371343312</v>
      </c>
      <c r="Y50" s="45">
        <f t="shared" si="16"/>
        <v>4.0793206966342277</v>
      </c>
      <c r="Z50" s="45">
        <f t="shared" si="17"/>
        <v>4.0794529105364896</v>
      </c>
      <c r="AA50" s="45">
        <f t="shared" si="3"/>
        <v>1.7389999999999193</v>
      </c>
      <c r="AB50" s="46">
        <f t="shared" si="1"/>
        <v>1.7389999999999193</v>
      </c>
    </row>
    <row r="51" spans="10:28" x14ac:dyDescent="0.25">
      <c r="J51" s="44" t="str">
        <f t="shared" si="4"/>
        <v/>
      </c>
      <c r="K51" s="45" t="str">
        <f t="shared" si="5"/>
        <v/>
      </c>
      <c r="L51" s="45" t="b">
        <f t="shared" si="6"/>
        <v>1</v>
      </c>
      <c r="M51" s="45">
        <f t="shared" si="7"/>
        <v>4.8481707546872759</v>
      </c>
      <c r="N51" s="45">
        <f t="shared" si="8"/>
        <v>4.848730821785221</v>
      </c>
      <c r="O51" s="45">
        <f t="shared" si="9"/>
        <v>4.8483846812851175</v>
      </c>
      <c r="P51" s="45">
        <f t="shared" si="10"/>
        <v>4.8485168951873794</v>
      </c>
      <c r="Q51" s="45">
        <f t="shared" si="2"/>
        <v>1.7819999999999145</v>
      </c>
      <c r="R51" s="46">
        <f t="shared" si="0"/>
        <v>1.7819999999999145</v>
      </c>
      <c r="T51" s="44" t="str">
        <f t="shared" si="11"/>
        <v/>
      </c>
      <c r="U51" s="45" t="str">
        <f t="shared" si="12"/>
        <v/>
      </c>
      <c r="V51" s="45" t="b">
        <f t="shared" si="13"/>
        <v>1</v>
      </c>
      <c r="W51" s="45">
        <f t="shared" si="14"/>
        <v>4.0793206966342277</v>
      </c>
      <c r="X51" s="45">
        <f t="shared" si="15"/>
        <v>4.0796668371343312</v>
      </c>
      <c r="Y51" s="45">
        <f t="shared" si="16"/>
        <v>4.079452910541872</v>
      </c>
      <c r="Z51" s="45">
        <f t="shared" si="17"/>
        <v>4.0795346232266869</v>
      </c>
      <c r="AA51" s="45">
        <f t="shared" si="3"/>
        <v>1.7389999999999193</v>
      </c>
      <c r="AB51" s="46">
        <f t="shared" si="1"/>
        <v>1.7399999999999192</v>
      </c>
    </row>
    <row r="52" spans="10:28" x14ac:dyDescent="0.25">
      <c r="J52" s="44" t="str">
        <f t="shared" si="4"/>
        <v/>
      </c>
      <c r="K52" s="45" t="str">
        <f t="shared" si="5"/>
        <v/>
      </c>
      <c r="L52" s="45" t="b">
        <f t="shared" si="6"/>
        <v>1</v>
      </c>
      <c r="M52" s="45">
        <f t="shared" si="7"/>
        <v>4.8483846812851175</v>
      </c>
      <c r="N52" s="45">
        <f t="shared" si="8"/>
        <v>4.848730821785221</v>
      </c>
      <c r="O52" s="45">
        <f t="shared" si="9"/>
        <v>4.8485168951927617</v>
      </c>
      <c r="P52" s="45">
        <f t="shared" si="10"/>
        <v>4.8485986078775767</v>
      </c>
      <c r="Q52" s="45">
        <f t="shared" si="2"/>
        <v>1.7819999999999145</v>
      </c>
      <c r="R52" s="46">
        <f t="shared" si="0"/>
        <v>1.7829999999999144</v>
      </c>
      <c r="T52" s="44" t="str">
        <f t="shared" si="11"/>
        <v/>
      </c>
      <c r="U52" s="45" t="str">
        <f t="shared" si="12"/>
        <v/>
      </c>
      <c r="V52" s="45" t="b">
        <f t="shared" si="13"/>
        <v>1</v>
      </c>
      <c r="W52" s="45">
        <f t="shared" si="14"/>
        <v>4.0793206966342277</v>
      </c>
      <c r="X52" s="45">
        <f t="shared" si="15"/>
        <v>4.0795346232266869</v>
      </c>
      <c r="Y52" s="45">
        <f t="shared" si="16"/>
        <v>4.0794024093223689</v>
      </c>
      <c r="Z52" s="45">
        <f t="shared" si="17"/>
        <v>4.0794529105385458</v>
      </c>
      <c r="AA52" s="45">
        <f t="shared" si="3"/>
        <v>1.7389999999999193</v>
      </c>
      <c r="AB52" s="46">
        <f t="shared" si="1"/>
        <v>1.7389999999999193</v>
      </c>
    </row>
    <row r="53" spans="10:28" x14ac:dyDescent="0.25">
      <c r="J53" s="44" t="str">
        <f t="shared" si="4"/>
        <v/>
      </c>
      <c r="K53" s="45" t="str">
        <f t="shared" si="5"/>
        <v/>
      </c>
      <c r="L53" s="45" t="b">
        <f t="shared" si="6"/>
        <v>1</v>
      </c>
      <c r="M53" s="45">
        <f t="shared" si="7"/>
        <v>4.8483846812851175</v>
      </c>
      <c r="N53" s="45">
        <f t="shared" si="8"/>
        <v>4.8485986078775767</v>
      </c>
      <c r="O53" s="45">
        <f t="shared" si="9"/>
        <v>4.8484663939732586</v>
      </c>
      <c r="P53" s="45">
        <f t="shared" si="10"/>
        <v>4.8485168951894355</v>
      </c>
      <c r="Q53" s="45">
        <f t="shared" si="2"/>
        <v>1.7819999999999145</v>
      </c>
      <c r="R53" s="46">
        <f t="shared" si="0"/>
        <v>1.7819999999999145</v>
      </c>
      <c r="T53" s="44" t="str">
        <f t="shared" si="11"/>
        <v/>
      </c>
      <c r="U53" s="45" t="str">
        <f t="shared" si="12"/>
        <v/>
      </c>
      <c r="V53" s="45" t="b">
        <f t="shared" si="13"/>
        <v>1</v>
      </c>
      <c r="W53" s="45">
        <f t="shared" si="14"/>
        <v>4.0794024093223689</v>
      </c>
      <c r="X53" s="45">
        <f t="shared" si="15"/>
        <v>4.0795346232266869</v>
      </c>
      <c r="Y53" s="45">
        <f t="shared" si="16"/>
        <v>4.079452910540601</v>
      </c>
      <c r="Z53" s="45">
        <f t="shared" si="17"/>
        <v>4.0794841220084548</v>
      </c>
      <c r="AA53" s="45">
        <f t="shared" si="3"/>
        <v>1.7389999999999193</v>
      </c>
      <c r="AB53" s="46">
        <f t="shared" si="1"/>
        <v>1.7389999999999193</v>
      </c>
    </row>
    <row r="54" spans="10:28" x14ac:dyDescent="0.25">
      <c r="J54" s="44" t="str">
        <f t="shared" si="4"/>
        <v/>
      </c>
      <c r="K54" s="45" t="str">
        <f t="shared" si="5"/>
        <v/>
      </c>
      <c r="L54" s="45" t="b">
        <f t="shared" si="6"/>
        <v>1</v>
      </c>
      <c r="M54" s="45">
        <f t="shared" si="7"/>
        <v>4.8484663939732586</v>
      </c>
      <c r="N54" s="45">
        <f t="shared" si="8"/>
        <v>4.8485986078775767</v>
      </c>
      <c r="O54" s="45">
        <f t="shared" si="9"/>
        <v>4.8485168951914908</v>
      </c>
      <c r="P54" s="45">
        <f t="shared" si="10"/>
        <v>4.8485481066593445</v>
      </c>
      <c r="Q54" s="45">
        <f t="shared" si="2"/>
        <v>1.7819999999999145</v>
      </c>
      <c r="R54" s="46">
        <f t="shared" si="0"/>
        <v>1.7819999999999145</v>
      </c>
      <c r="T54" s="44" t="str">
        <f t="shared" si="11"/>
        <v/>
      </c>
      <c r="U54" s="45" t="str">
        <f t="shared" si="12"/>
        <v/>
      </c>
      <c r="V54" s="45" t="b">
        <f t="shared" si="13"/>
        <v>1</v>
      </c>
      <c r="W54" s="45">
        <f t="shared" si="14"/>
        <v>4.079452910540601</v>
      </c>
      <c r="X54" s="45">
        <f t="shared" si="15"/>
        <v>4.0795346232266869</v>
      </c>
      <c r="Y54" s="45">
        <f t="shared" si="16"/>
        <v>4.0794841220097249</v>
      </c>
      <c r="Z54" s="45">
        <f t="shared" si="17"/>
        <v>4.079503411757563</v>
      </c>
      <c r="AA54" s="45">
        <f t="shared" si="3"/>
        <v>1.7389999999999193</v>
      </c>
      <c r="AB54" s="46">
        <f t="shared" si="1"/>
        <v>1.7389999999999193</v>
      </c>
    </row>
    <row r="55" spans="10:28" x14ac:dyDescent="0.25">
      <c r="J55" s="44" t="str">
        <f t="shared" si="4"/>
        <v/>
      </c>
      <c r="K55" s="45" t="str">
        <f t="shared" si="5"/>
        <v/>
      </c>
      <c r="L55" s="45" t="b">
        <f t="shared" si="6"/>
        <v>1</v>
      </c>
      <c r="M55" s="45">
        <f t="shared" si="7"/>
        <v>4.8485168951914908</v>
      </c>
      <c r="N55" s="45">
        <f t="shared" si="8"/>
        <v>4.8485986078775767</v>
      </c>
      <c r="O55" s="45">
        <f t="shared" si="9"/>
        <v>4.8485481066606146</v>
      </c>
      <c r="P55" s="45">
        <f t="shared" si="10"/>
        <v>4.8485673964084528</v>
      </c>
      <c r="Q55" s="45">
        <f t="shared" si="2"/>
        <v>1.7819999999999145</v>
      </c>
      <c r="R55" s="46">
        <f t="shared" si="0"/>
        <v>1.7819999999999145</v>
      </c>
      <c r="T55" s="44" t="str">
        <f t="shared" si="11"/>
        <v/>
      </c>
      <c r="U55" s="45" t="str">
        <f t="shared" si="12"/>
        <v/>
      </c>
      <c r="V55" s="45" t="b">
        <f t="shared" si="13"/>
        <v>1</v>
      </c>
      <c r="W55" s="45">
        <f t="shared" si="14"/>
        <v>4.0794841220097249</v>
      </c>
      <c r="X55" s="45">
        <f t="shared" si="15"/>
        <v>4.0795346232266869</v>
      </c>
      <c r="Y55" s="45">
        <f t="shared" si="16"/>
        <v>4.0795034117583482</v>
      </c>
      <c r="Z55" s="45">
        <f t="shared" si="17"/>
        <v>4.0795153334780636</v>
      </c>
      <c r="AA55" s="45">
        <f t="shared" si="3"/>
        <v>1.7389999999999193</v>
      </c>
      <c r="AB55" s="46">
        <f t="shared" si="1"/>
        <v>1.7389999999999193</v>
      </c>
    </row>
    <row r="56" spans="10:28" x14ac:dyDescent="0.25">
      <c r="J56" s="44" t="str">
        <f t="shared" si="4"/>
        <v/>
      </c>
      <c r="K56" s="45" t="str">
        <f t="shared" si="5"/>
        <v/>
      </c>
      <c r="L56" s="45" t="b">
        <f t="shared" si="6"/>
        <v>1</v>
      </c>
      <c r="M56" s="45">
        <f t="shared" si="7"/>
        <v>4.8485481066606146</v>
      </c>
      <c r="N56" s="45">
        <f t="shared" si="8"/>
        <v>4.8485986078775767</v>
      </c>
      <c r="O56" s="45">
        <f t="shared" si="9"/>
        <v>4.848567396409238</v>
      </c>
      <c r="P56" s="45">
        <f t="shared" si="10"/>
        <v>4.8485793181289534</v>
      </c>
      <c r="Q56" s="45">
        <f t="shared" si="2"/>
        <v>1.7819999999999145</v>
      </c>
      <c r="R56" s="46">
        <f t="shared" si="0"/>
        <v>1.7829999999999144</v>
      </c>
      <c r="T56" s="44" t="str">
        <f t="shared" si="11"/>
        <v/>
      </c>
      <c r="U56" s="45" t="str">
        <f t="shared" si="12"/>
        <v/>
      </c>
      <c r="V56" s="45" t="b">
        <f t="shared" si="13"/>
        <v>1</v>
      </c>
      <c r="W56" s="45">
        <f t="shared" si="14"/>
        <v>4.0795034117583482</v>
      </c>
      <c r="X56" s="45">
        <f t="shared" si="15"/>
        <v>4.0795346232266869</v>
      </c>
      <c r="Y56" s="45">
        <f t="shared" si="16"/>
        <v>4.0795153334785486</v>
      </c>
      <c r="Z56" s="45">
        <f t="shared" si="17"/>
        <v>4.0795227015064865</v>
      </c>
      <c r="AA56" s="45">
        <f t="shared" si="3"/>
        <v>1.7389999999999193</v>
      </c>
      <c r="AB56" s="46">
        <f t="shared" si="1"/>
        <v>1.7389999999999193</v>
      </c>
    </row>
    <row r="57" spans="10:28" x14ac:dyDescent="0.25">
      <c r="J57" s="44" t="str">
        <f t="shared" si="4"/>
        <v/>
      </c>
      <c r="K57" s="45" t="str">
        <f t="shared" si="5"/>
        <v/>
      </c>
      <c r="L57" s="45" t="b">
        <f t="shared" si="6"/>
        <v>1</v>
      </c>
      <c r="M57" s="45">
        <f t="shared" si="7"/>
        <v>4.8485481066606146</v>
      </c>
      <c r="N57" s="45">
        <f t="shared" si="8"/>
        <v>4.8485793181289534</v>
      </c>
      <c r="O57" s="45">
        <f t="shared" si="9"/>
        <v>4.848560028380815</v>
      </c>
      <c r="P57" s="45">
        <f t="shared" si="10"/>
        <v>4.848567396408753</v>
      </c>
      <c r="Q57" s="45">
        <f t="shared" si="2"/>
        <v>1.7819999999999145</v>
      </c>
      <c r="R57" s="46">
        <f t="shared" si="0"/>
        <v>1.7819999999999145</v>
      </c>
      <c r="T57" s="44" t="str">
        <f t="shared" si="11"/>
        <v/>
      </c>
      <c r="U57" s="45" t="str">
        <f t="shared" si="12"/>
        <v/>
      </c>
      <c r="V57" s="45" t="b">
        <f t="shared" si="13"/>
        <v>1</v>
      </c>
      <c r="W57" s="45">
        <f t="shared" si="14"/>
        <v>4.0795153334785486</v>
      </c>
      <c r="X57" s="45">
        <f t="shared" si="15"/>
        <v>4.0795346232266869</v>
      </c>
      <c r="Y57" s="45">
        <f t="shared" si="16"/>
        <v>4.0795227015067859</v>
      </c>
      <c r="Z57" s="45">
        <f t="shared" si="17"/>
        <v>4.0795272551984496</v>
      </c>
      <c r="AA57" s="45">
        <f t="shared" si="3"/>
        <v>1.7389999999999193</v>
      </c>
      <c r="AB57" s="46">
        <f t="shared" si="1"/>
        <v>1.7389999999999193</v>
      </c>
    </row>
    <row r="58" spans="10:28" x14ac:dyDescent="0.25">
      <c r="J58" s="44" t="str">
        <f t="shared" si="4"/>
        <v/>
      </c>
      <c r="K58" s="45" t="str">
        <f t="shared" si="5"/>
        <v/>
      </c>
      <c r="L58" s="45" t="b">
        <f t="shared" si="6"/>
        <v>1</v>
      </c>
      <c r="M58" s="45">
        <f t="shared" si="7"/>
        <v>4.848560028380815</v>
      </c>
      <c r="N58" s="45">
        <f t="shared" si="8"/>
        <v>4.8485793181289534</v>
      </c>
      <c r="O58" s="45">
        <f t="shared" si="9"/>
        <v>4.8485673964090523</v>
      </c>
      <c r="P58" s="45">
        <f t="shared" si="10"/>
        <v>4.8485719501007161</v>
      </c>
      <c r="Q58" s="45">
        <f t="shared" si="2"/>
        <v>1.7819999999999145</v>
      </c>
      <c r="R58" s="46">
        <f t="shared" si="0"/>
        <v>1.7819999999999145</v>
      </c>
      <c r="T58" s="44" t="str">
        <f t="shared" si="11"/>
        <v/>
      </c>
      <c r="U58" s="45" t="str">
        <f t="shared" si="12"/>
        <v/>
      </c>
      <c r="V58" s="45" t="b">
        <f t="shared" si="13"/>
        <v>1</v>
      </c>
      <c r="W58" s="45">
        <f t="shared" si="14"/>
        <v>4.0795227015067859</v>
      </c>
      <c r="X58" s="45">
        <f t="shared" si="15"/>
        <v>4.0795346232266869</v>
      </c>
      <c r="Y58" s="45">
        <f t="shared" si="16"/>
        <v>4.0795272551986352</v>
      </c>
      <c r="Z58" s="45">
        <f t="shared" si="17"/>
        <v>4.0795300695348375</v>
      </c>
      <c r="AA58" s="45">
        <f t="shared" si="3"/>
        <v>1.7389999999999193</v>
      </c>
      <c r="AB58" s="46">
        <f t="shared" si="1"/>
        <v>1.7389999999999193</v>
      </c>
    </row>
    <row r="59" spans="10:28" x14ac:dyDescent="0.25">
      <c r="J59" s="44" t="str">
        <f t="shared" si="4"/>
        <v/>
      </c>
      <c r="K59" s="45" t="str">
        <f t="shared" si="5"/>
        <v/>
      </c>
      <c r="L59" s="45" t="b">
        <f t="shared" si="6"/>
        <v>1</v>
      </c>
      <c r="M59" s="45">
        <f t="shared" si="7"/>
        <v>4.8485673964090523</v>
      </c>
      <c r="N59" s="45">
        <f t="shared" si="8"/>
        <v>4.8485793181289534</v>
      </c>
      <c r="O59" s="45">
        <f t="shared" si="9"/>
        <v>4.8485719501009017</v>
      </c>
      <c r="P59" s="45">
        <f t="shared" si="10"/>
        <v>4.848574764437104</v>
      </c>
      <c r="Q59" s="45">
        <f t="shared" si="2"/>
        <v>1.7819999999999145</v>
      </c>
      <c r="R59" s="46">
        <f t="shared" si="0"/>
        <v>1.7819999999999145</v>
      </c>
      <c r="T59" s="44" t="str">
        <f t="shared" si="11"/>
        <v/>
      </c>
      <c r="U59" s="45" t="str">
        <f t="shared" si="12"/>
        <v/>
      </c>
      <c r="V59" s="45" t="b">
        <f t="shared" si="13"/>
        <v>1</v>
      </c>
      <c r="W59" s="45">
        <f t="shared" si="14"/>
        <v>4.0795272551986352</v>
      </c>
      <c r="X59" s="45">
        <f t="shared" si="15"/>
        <v>4.0795346232266869</v>
      </c>
      <c r="Y59" s="45">
        <f t="shared" si="16"/>
        <v>4.079530069534953</v>
      </c>
      <c r="Z59" s="45">
        <f t="shared" si="17"/>
        <v>4.0795318088903691</v>
      </c>
      <c r="AA59" s="45">
        <f t="shared" si="3"/>
        <v>1.7389999999999193</v>
      </c>
      <c r="AB59" s="46">
        <f t="shared" si="1"/>
        <v>1.7399999999999192</v>
      </c>
    </row>
    <row r="60" spans="10:28" x14ac:dyDescent="0.25">
      <c r="J60" s="44" t="str">
        <f t="shared" si="4"/>
        <v/>
      </c>
      <c r="K60" s="45" t="str">
        <f t="shared" si="5"/>
        <v/>
      </c>
      <c r="L60" s="45" t="b">
        <f t="shared" si="6"/>
        <v>1</v>
      </c>
      <c r="M60" s="45">
        <f t="shared" si="7"/>
        <v>4.8485719501009017</v>
      </c>
      <c r="N60" s="45">
        <f t="shared" si="8"/>
        <v>4.8485793181289534</v>
      </c>
      <c r="O60" s="45">
        <f t="shared" si="9"/>
        <v>4.8485747644372195</v>
      </c>
      <c r="P60" s="45">
        <f t="shared" si="10"/>
        <v>4.8485765037926356</v>
      </c>
      <c r="Q60" s="45">
        <f t="shared" si="2"/>
        <v>1.7819999999999145</v>
      </c>
      <c r="R60" s="46">
        <f t="shared" si="0"/>
        <v>1.7829999999999144</v>
      </c>
      <c r="T60" s="44" t="str">
        <f t="shared" si="11"/>
        <v/>
      </c>
      <c r="U60" s="45" t="str">
        <f t="shared" si="12"/>
        <v/>
      </c>
      <c r="V60" s="45" t="b">
        <f t="shared" si="13"/>
        <v>1</v>
      </c>
      <c r="W60" s="45">
        <f t="shared" si="14"/>
        <v>4.0795272551986352</v>
      </c>
      <c r="X60" s="45">
        <f t="shared" si="15"/>
        <v>4.0795318088903691</v>
      </c>
      <c r="Y60" s="45">
        <f t="shared" si="16"/>
        <v>4.0795289945541224</v>
      </c>
      <c r="Z60" s="45">
        <f t="shared" si="17"/>
        <v>4.079530069534882</v>
      </c>
      <c r="AA60" s="45">
        <f t="shared" si="3"/>
        <v>1.7389999999999193</v>
      </c>
      <c r="AB60" s="46">
        <f t="shared" si="1"/>
        <v>1.7389999999999193</v>
      </c>
    </row>
    <row r="61" spans="10:28" x14ac:dyDescent="0.25">
      <c r="J61" s="44" t="str">
        <f t="shared" si="4"/>
        <v/>
      </c>
      <c r="K61" s="45" t="str">
        <f t="shared" si="5"/>
        <v/>
      </c>
      <c r="L61" s="45" t="b">
        <f t="shared" si="6"/>
        <v>1</v>
      </c>
      <c r="M61" s="45">
        <f t="shared" si="7"/>
        <v>4.8485719501009017</v>
      </c>
      <c r="N61" s="45">
        <f t="shared" si="8"/>
        <v>4.8485765037926356</v>
      </c>
      <c r="O61" s="45">
        <f t="shared" si="9"/>
        <v>4.8485736894563889</v>
      </c>
      <c r="P61" s="45">
        <f t="shared" si="10"/>
        <v>4.8485747644371484</v>
      </c>
      <c r="Q61" s="45">
        <f t="shared" si="2"/>
        <v>1.7819999999999145</v>
      </c>
      <c r="R61" s="46">
        <f t="shared" si="0"/>
        <v>1.7819999999999145</v>
      </c>
      <c r="T61" s="44" t="str">
        <f t="shared" si="11"/>
        <v/>
      </c>
      <c r="U61" s="45" t="str">
        <f t="shared" si="12"/>
        <v/>
      </c>
      <c r="V61" s="45" t="b">
        <f t="shared" si="13"/>
        <v>1</v>
      </c>
      <c r="W61" s="45">
        <f t="shared" si="14"/>
        <v>4.0795289945541224</v>
      </c>
      <c r="X61" s="45">
        <f t="shared" si="15"/>
        <v>4.0795318088903691</v>
      </c>
      <c r="Y61" s="45">
        <f t="shared" si="16"/>
        <v>4.0795300695349246</v>
      </c>
      <c r="Z61" s="45">
        <f t="shared" si="17"/>
        <v>4.079530733909567</v>
      </c>
      <c r="AA61" s="45">
        <f t="shared" si="3"/>
        <v>1.7389999999999193</v>
      </c>
      <c r="AB61" s="46">
        <f t="shared" si="1"/>
        <v>1.7399999999999192</v>
      </c>
    </row>
    <row r="62" spans="10:28" x14ac:dyDescent="0.25">
      <c r="J62" s="44" t="str">
        <f t="shared" si="4"/>
        <v/>
      </c>
      <c r="K62" s="45" t="str">
        <f t="shared" si="5"/>
        <v/>
      </c>
      <c r="L62" s="45" t="b">
        <f t="shared" si="6"/>
        <v>1</v>
      </c>
      <c r="M62" s="45">
        <f t="shared" si="7"/>
        <v>4.8485736894563889</v>
      </c>
      <c r="N62" s="45">
        <f t="shared" si="8"/>
        <v>4.8485765037926356</v>
      </c>
      <c r="O62" s="45">
        <f t="shared" si="9"/>
        <v>4.848574764437191</v>
      </c>
      <c r="P62" s="45">
        <f t="shared" si="10"/>
        <v>4.8485754288118335</v>
      </c>
      <c r="Q62" s="45">
        <f t="shared" si="2"/>
        <v>1.7819999999999145</v>
      </c>
      <c r="R62" s="46">
        <f t="shared" si="0"/>
        <v>1.7819999999999145</v>
      </c>
      <c r="T62" s="44" t="str">
        <f t="shared" si="11"/>
        <v/>
      </c>
      <c r="U62" s="45" t="str">
        <f t="shared" si="12"/>
        <v/>
      </c>
      <c r="V62" s="45" t="b">
        <f t="shared" si="13"/>
        <v>1</v>
      </c>
      <c r="W62" s="45">
        <f t="shared" si="14"/>
        <v>4.0795289945541224</v>
      </c>
      <c r="X62" s="45">
        <f t="shared" si="15"/>
        <v>4.079530733909567</v>
      </c>
      <c r="Y62" s="45">
        <f t="shared" si="16"/>
        <v>4.0795296589287915</v>
      </c>
      <c r="Z62" s="45">
        <f t="shared" si="17"/>
        <v>4.0795300695348979</v>
      </c>
      <c r="AA62" s="45">
        <f t="shared" si="3"/>
        <v>1.7389999999999193</v>
      </c>
      <c r="AB62" s="46">
        <f t="shared" si="1"/>
        <v>1.7389999999999193</v>
      </c>
    </row>
    <row r="63" spans="10:28" x14ac:dyDescent="0.25">
      <c r="J63" s="44" t="str">
        <f t="shared" si="4"/>
        <v/>
      </c>
      <c r="K63" s="45" t="str">
        <f t="shared" si="5"/>
        <v/>
      </c>
      <c r="L63" s="45" t="b">
        <f t="shared" si="6"/>
        <v>1</v>
      </c>
      <c r="M63" s="45">
        <f t="shared" si="7"/>
        <v>4.848574764437191</v>
      </c>
      <c r="N63" s="45">
        <f t="shared" si="8"/>
        <v>4.8485765037926356</v>
      </c>
      <c r="O63" s="45">
        <f t="shared" si="9"/>
        <v>4.8485754288118601</v>
      </c>
      <c r="P63" s="45">
        <f t="shared" si="10"/>
        <v>4.8485758394179665</v>
      </c>
      <c r="Q63" s="45">
        <f t="shared" si="2"/>
        <v>1.7819999999999145</v>
      </c>
      <c r="R63" s="46">
        <f t="shared" si="0"/>
        <v>1.7829999999999144</v>
      </c>
      <c r="T63" s="44" t="str">
        <f t="shared" si="11"/>
        <v/>
      </c>
      <c r="U63" s="45" t="str">
        <f t="shared" si="12"/>
        <v/>
      </c>
      <c r="V63" s="45" t="b">
        <f t="shared" si="13"/>
        <v>1</v>
      </c>
      <c r="W63" s="45">
        <f t="shared" si="14"/>
        <v>4.0795296589287915</v>
      </c>
      <c r="X63" s="45">
        <f t="shared" si="15"/>
        <v>4.079530733909567</v>
      </c>
      <c r="Y63" s="45">
        <f t="shared" si="16"/>
        <v>4.0795300695349148</v>
      </c>
      <c r="Z63" s="45">
        <f t="shared" si="17"/>
        <v>4.0795303233034437</v>
      </c>
      <c r="AA63" s="45">
        <f t="shared" si="3"/>
        <v>1.7389999999999193</v>
      </c>
      <c r="AB63" s="46">
        <f t="shared" si="1"/>
        <v>1.7399999999999192</v>
      </c>
    </row>
    <row r="64" spans="10:28" x14ac:dyDescent="0.25">
      <c r="J64" s="44" t="str">
        <f t="shared" si="4"/>
        <v/>
      </c>
      <c r="K64" s="45" t="str">
        <f t="shared" si="5"/>
        <v/>
      </c>
      <c r="L64" s="45" t="b">
        <f t="shared" si="6"/>
        <v>1</v>
      </c>
      <c r="M64" s="45">
        <f t="shared" si="7"/>
        <v>4.848574764437191</v>
      </c>
      <c r="N64" s="45">
        <f t="shared" si="8"/>
        <v>4.8485758394179665</v>
      </c>
      <c r="O64" s="45">
        <f t="shared" si="9"/>
        <v>4.8485751750433144</v>
      </c>
      <c r="P64" s="45">
        <f t="shared" si="10"/>
        <v>4.8485754288118432</v>
      </c>
      <c r="Q64" s="45">
        <f t="shared" si="2"/>
        <v>1.7819999999999145</v>
      </c>
      <c r="R64" s="46">
        <f t="shared" si="0"/>
        <v>1.7819999999999145</v>
      </c>
      <c r="T64" s="44" t="str">
        <f t="shared" si="11"/>
        <v/>
      </c>
      <c r="U64" s="45" t="str">
        <f t="shared" si="12"/>
        <v/>
      </c>
      <c r="V64" s="45" t="b">
        <f t="shared" si="13"/>
        <v>1</v>
      </c>
      <c r="W64" s="45">
        <f t="shared" si="14"/>
        <v>4.0795296589287915</v>
      </c>
      <c r="X64" s="45">
        <f t="shared" si="15"/>
        <v>4.0795303233034437</v>
      </c>
      <c r="Y64" s="45">
        <f t="shared" si="16"/>
        <v>4.0795299126973301</v>
      </c>
      <c r="Z64" s="45">
        <f t="shared" si="17"/>
        <v>4.079530069534905</v>
      </c>
      <c r="AA64" s="45">
        <f t="shared" si="3"/>
        <v>1.7389999999999193</v>
      </c>
      <c r="AB64" s="46">
        <f t="shared" si="1"/>
        <v>1.7389999999999193</v>
      </c>
    </row>
    <row r="65" spans="10:28" x14ac:dyDescent="0.25">
      <c r="J65" s="44" t="str">
        <f t="shared" si="4"/>
        <v/>
      </c>
      <c r="K65" s="45" t="str">
        <f t="shared" si="5"/>
        <v/>
      </c>
      <c r="L65" s="45" t="b">
        <f t="shared" si="6"/>
        <v>1</v>
      </c>
      <c r="M65" s="45">
        <f t="shared" si="7"/>
        <v>4.8485751750433144</v>
      </c>
      <c r="N65" s="45">
        <f t="shared" si="8"/>
        <v>4.8485758394179665</v>
      </c>
      <c r="O65" s="45">
        <f t="shared" si="9"/>
        <v>4.848575428811853</v>
      </c>
      <c r="P65" s="45">
        <f t="shared" si="10"/>
        <v>4.8485755856494279</v>
      </c>
      <c r="Q65" s="45">
        <f t="shared" si="2"/>
        <v>1.7819999999999145</v>
      </c>
      <c r="R65" s="46">
        <f t="shared" si="0"/>
        <v>1.7819999999999145</v>
      </c>
      <c r="T65" s="44" t="str">
        <f t="shared" si="11"/>
        <v/>
      </c>
      <c r="U65" s="45" t="str">
        <f t="shared" si="12"/>
        <v/>
      </c>
      <c r="V65" s="45" t="b">
        <f t="shared" si="13"/>
        <v>1</v>
      </c>
      <c r="W65" s="45">
        <f t="shared" si="14"/>
        <v>4.0795299126973301</v>
      </c>
      <c r="X65" s="45">
        <f t="shared" si="15"/>
        <v>4.0795303233034437</v>
      </c>
      <c r="Y65" s="45">
        <f t="shared" si="16"/>
        <v>4.0795300695349113</v>
      </c>
      <c r="Z65" s="45">
        <f t="shared" si="17"/>
        <v>4.0795301664658625</v>
      </c>
      <c r="AA65" s="45">
        <f t="shared" si="3"/>
        <v>1.7389999999999193</v>
      </c>
      <c r="AB65" s="46">
        <f t="shared" si="1"/>
        <v>1.7389999999999193</v>
      </c>
    </row>
    <row r="66" spans="10:28" x14ac:dyDescent="0.25">
      <c r="J66" s="44" t="str">
        <f t="shared" si="4"/>
        <v/>
      </c>
      <c r="K66" s="45" t="str">
        <f t="shared" si="5"/>
        <v/>
      </c>
      <c r="L66" s="45" t="b">
        <f t="shared" si="6"/>
        <v>1</v>
      </c>
      <c r="M66" s="45">
        <f t="shared" si="7"/>
        <v>4.848575428811853</v>
      </c>
      <c r="N66" s="45">
        <f t="shared" si="8"/>
        <v>4.8485758394179665</v>
      </c>
      <c r="O66" s="45">
        <f t="shared" si="9"/>
        <v>4.8485755856494341</v>
      </c>
      <c r="P66" s="45">
        <f t="shared" si="10"/>
        <v>4.8485756825803854</v>
      </c>
      <c r="Q66" s="45">
        <f t="shared" si="2"/>
        <v>1.7819999999999145</v>
      </c>
      <c r="R66" s="46">
        <f t="shared" si="0"/>
        <v>1.7819999999999145</v>
      </c>
      <c r="T66" s="44" t="str">
        <f t="shared" si="11"/>
        <v/>
      </c>
      <c r="U66" s="45" t="str">
        <f t="shared" si="12"/>
        <v/>
      </c>
      <c r="V66" s="45" t="b">
        <f t="shared" si="13"/>
        <v>1</v>
      </c>
      <c r="W66" s="45">
        <f t="shared" si="14"/>
        <v>4.0795300695349113</v>
      </c>
      <c r="X66" s="45">
        <f t="shared" si="15"/>
        <v>4.0795303233034437</v>
      </c>
      <c r="Y66" s="45">
        <f t="shared" si="16"/>
        <v>4.0795301664658661</v>
      </c>
      <c r="Z66" s="45">
        <f t="shared" si="17"/>
        <v>4.0795302263724889</v>
      </c>
      <c r="AA66" s="45">
        <f t="shared" si="3"/>
        <v>1.7389999999999193</v>
      </c>
      <c r="AB66" s="46">
        <f t="shared" si="1"/>
        <v>1.7389999999999193</v>
      </c>
    </row>
    <row r="67" spans="10:28" x14ac:dyDescent="0.25">
      <c r="J67" s="47" t="str">
        <f t="shared" si="4"/>
        <v/>
      </c>
      <c r="K67" s="48" t="str">
        <f t="shared" si="5"/>
        <v/>
      </c>
      <c r="L67" s="48" t="b">
        <f t="shared" si="6"/>
        <v>1</v>
      </c>
      <c r="M67" s="48">
        <f t="shared" si="7"/>
        <v>4.8485755856494341</v>
      </c>
      <c r="N67" s="48">
        <f t="shared" si="8"/>
        <v>4.8485758394179665</v>
      </c>
      <c r="O67" s="48">
        <f t="shared" si="9"/>
        <v>4.848575682580389</v>
      </c>
      <c r="P67" s="48">
        <f t="shared" si="10"/>
        <v>4.8485757424870117</v>
      </c>
      <c r="Q67" s="48">
        <f t="shared" si="2"/>
        <v>1.7819999999999145</v>
      </c>
      <c r="R67" s="49">
        <f>IF($L67, SprintDist($G$27, $D$6, $D$5, $D$7, $D$13*$D$14, $D$15, P67, 0, $D$19/2, $D$17, $D$18, $D$21, $D$20, $H$3="Reverse Single"), 0)</f>
        <v>1.7829999999999144</v>
      </c>
      <c r="T67" s="47" t="str">
        <f t="shared" si="11"/>
        <v/>
      </c>
      <c r="U67" s="48" t="str">
        <f t="shared" si="12"/>
        <v/>
      </c>
      <c r="V67" s="48" t="b">
        <f t="shared" si="13"/>
        <v>1</v>
      </c>
      <c r="W67" s="48">
        <f t="shared" si="14"/>
        <v>4.0795301664658661</v>
      </c>
      <c r="X67" s="48">
        <f t="shared" si="15"/>
        <v>4.0795303233034437</v>
      </c>
      <c r="Y67" s="48">
        <f t="shared" si="16"/>
        <v>4.0795302263724906</v>
      </c>
      <c r="Z67" s="48">
        <f t="shared" si="17"/>
        <v>4.0795302633968191</v>
      </c>
      <c r="AA67" s="48">
        <f t="shared" si="3"/>
        <v>1.7389999999999193</v>
      </c>
      <c r="AB67" s="49">
        <f>IF($V67, SprintDist($G$34, $D$6, $D$5, $D$7, $D$13*$D$14, $D$15, Z67, Z67*$G$35, $D$19/2, $D$17, $D$18, $D$21, $D$20, $H$3="Reverse Shifting"), 0)</f>
        <v>1.7399999999999192</v>
      </c>
    </row>
    <row r="75" spans="10:28" x14ac:dyDescent="0.25">
      <c r="T75" s="53"/>
      <c r="U75" s="53"/>
      <c r="V75" s="52"/>
      <c r="W75" s="52"/>
    </row>
    <row r="76" spans="10:28" x14ac:dyDescent="0.25">
      <c r="T76" s="53"/>
      <c r="U76" s="53"/>
      <c r="V76" s="52"/>
      <c r="W76" s="52"/>
    </row>
    <row r="77" spans="10:28" x14ac:dyDescent="0.25">
      <c r="T77" s="53"/>
      <c r="U77" s="53"/>
      <c r="V77" s="52"/>
      <c r="W77" s="52"/>
    </row>
    <row r="78" spans="10:28" x14ac:dyDescent="0.25">
      <c r="T78" s="53"/>
      <c r="U78" s="53"/>
      <c r="V78" s="52"/>
      <c r="W78" s="52"/>
    </row>
    <row r="79" spans="10:28" x14ac:dyDescent="0.25">
      <c r="T79" s="53"/>
      <c r="U79" s="53"/>
      <c r="V79" s="52"/>
      <c r="W79" s="52"/>
    </row>
    <row r="80" spans="10:28" x14ac:dyDescent="0.25">
      <c r="T80" s="53"/>
      <c r="U80" s="53"/>
      <c r="V80" s="52"/>
      <c r="W80" s="52"/>
    </row>
    <row r="81" spans="20:23" x14ac:dyDescent="0.25">
      <c r="T81" s="53"/>
      <c r="U81" s="53"/>
      <c r="V81" s="52"/>
      <c r="W81" s="52"/>
    </row>
    <row r="82" spans="20:23" x14ac:dyDescent="0.25">
      <c r="T82" s="53"/>
      <c r="U82" s="53"/>
      <c r="V82" s="52"/>
      <c r="W82" s="52"/>
    </row>
    <row r="83" spans="20:23" x14ac:dyDescent="0.25">
      <c r="T83" s="53"/>
      <c r="U83" s="53"/>
      <c r="V83" s="52"/>
      <c r="W83" s="52"/>
    </row>
    <row r="84" spans="20:23" x14ac:dyDescent="0.25">
      <c r="T84" s="53"/>
      <c r="U84" s="53"/>
      <c r="V84" s="52"/>
      <c r="W84" s="52"/>
    </row>
    <row r="85" spans="20:23" x14ac:dyDescent="0.25">
      <c r="T85" s="53"/>
      <c r="U85" s="53"/>
      <c r="V85" s="52"/>
      <c r="W85" s="52"/>
    </row>
    <row r="86" spans="20:23" x14ac:dyDescent="0.25">
      <c r="T86" s="53"/>
      <c r="U86" s="53"/>
      <c r="V86" s="52"/>
      <c r="W86" s="52"/>
    </row>
    <row r="87" spans="20:23" x14ac:dyDescent="0.25">
      <c r="T87" s="53"/>
      <c r="U87" s="53"/>
      <c r="V87" s="52"/>
      <c r="W87" s="52"/>
    </row>
    <row r="88" spans="20:23" x14ac:dyDescent="0.25">
      <c r="T88" s="53"/>
      <c r="U88" s="53"/>
      <c r="V88" s="52"/>
      <c r="W88" s="52"/>
    </row>
    <row r="89" spans="20:23" x14ac:dyDescent="0.25">
      <c r="T89" s="53"/>
      <c r="U89" s="53"/>
      <c r="V89" s="52"/>
      <c r="W89" s="52"/>
    </row>
    <row r="90" spans="20:23" x14ac:dyDescent="0.25">
      <c r="T90" s="53"/>
      <c r="U90" s="53"/>
      <c r="V90" s="52"/>
      <c r="W90" s="52"/>
    </row>
    <row r="91" spans="20:23" x14ac:dyDescent="0.25">
      <c r="T91" s="53"/>
      <c r="U91" s="53"/>
      <c r="V91" s="52"/>
      <c r="W91" s="52"/>
    </row>
    <row r="92" spans="20:23" x14ac:dyDescent="0.25">
      <c r="T92" s="53"/>
      <c r="U92" s="53"/>
      <c r="V92" s="52"/>
      <c r="W92" s="52"/>
    </row>
    <row r="93" spans="20:23" x14ac:dyDescent="0.25">
      <c r="T93" s="53"/>
      <c r="U93" s="53"/>
      <c r="V93" s="52"/>
      <c r="W93" s="52"/>
    </row>
    <row r="94" spans="20:23" x14ac:dyDescent="0.25">
      <c r="T94" s="53"/>
      <c r="U94" s="53"/>
      <c r="V94" s="52"/>
      <c r="W94" s="52"/>
    </row>
    <row r="95" spans="20:23" x14ac:dyDescent="0.25">
      <c r="T95" s="53"/>
      <c r="U95" s="53"/>
      <c r="V95" s="52"/>
      <c r="W95" s="52"/>
    </row>
    <row r="96" spans="20:23" x14ac:dyDescent="0.25">
      <c r="T96" s="53"/>
      <c r="U96" s="53"/>
      <c r="V96" s="52"/>
      <c r="W96" s="52"/>
    </row>
    <row r="97" spans="15:23" x14ac:dyDescent="0.25">
      <c r="T97" s="53"/>
      <c r="U97" s="53"/>
      <c r="V97" s="52"/>
      <c r="W97" s="52"/>
    </row>
    <row r="98" spans="15:23" x14ac:dyDescent="0.25">
      <c r="O98" s="4"/>
      <c r="P98" s="4"/>
      <c r="Q98" s="4"/>
      <c r="R98" s="4"/>
      <c r="S98" s="4"/>
      <c r="T98" s="218"/>
      <c r="U98" s="218"/>
      <c r="V98" s="219"/>
      <c r="W98" s="52"/>
    </row>
    <row r="99" spans="15:23" x14ac:dyDescent="0.25">
      <c r="O99" s="4"/>
      <c r="P99" s="4"/>
      <c r="Q99" s="4"/>
      <c r="R99" s="4"/>
      <c r="S99" s="4"/>
      <c r="T99" s="218"/>
      <c r="U99" s="218"/>
      <c r="V99" s="219"/>
      <c r="W99" s="52"/>
    </row>
    <row r="100" spans="15:23" x14ac:dyDescent="0.25">
      <c r="O100" s="4"/>
      <c r="P100" s="5">
        <v>0</v>
      </c>
      <c r="Q100" s="5">
        <v>0</v>
      </c>
      <c r="R100" s="5">
        <v>0</v>
      </c>
      <c r="S100" s="5">
        <v>20.432548389989272</v>
      </c>
      <c r="T100" s="220">
        <v>20.432548389989272</v>
      </c>
      <c r="U100" s="218"/>
      <c r="V100" s="219"/>
      <c r="W100" s="52"/>
    </row>
    <row r="101" spans="15:23" x14ac:dyDescent="0.25">
      <c r="O101" s="4"/>
      <c r="P101" s="5">
        <v>0.05</v>
      </c>
      <c r="Q101" s="5">
        <v>2.5540685487486586E-2</v>
      </c>
      <c r="R101" s="5">
        <v>1.0216274194994635</v>
      </c>
      <c r="S101" s="5">
        <v>20.432548389989272</v>
      </c>
      <c r="T101" s="220">
        <v>20.432548389989272</v>
      </c>
      <c r="U101" s="218"/>
      <c r="V101" s="219"/>
      <c r="W101" s="52"/>
    </row>
    <row r="102" spans="15:23" x14ac:dyDescent="0.25">
      <c r="O102" s="4"/>
      <c r="P102" s="5">
        <v>0.1</v>
      </c>
      <c r="Q102" s="5">
        <v>0.10216274194994635</v>
      </c>
      <c r="R102" s="5">
        <v>2.0432548389989305</v>
      </c>
      <c r="S102" s="5">
        <v>20.432548389989272</v>
      </c>
      <c r="T102" s="220">
        <v>20.432548389989272</v>
      </c>
      <c r="U102" s="218"/>
      <c r="V102" s="219"/>
      <c r="W102" s="52"/>
    </row>
    <row r="103" spans="15:23" x14ac:dyDescent="0.25">
      <c r="O103" s="4"/>
      <c r="P103" s="5">
        <v>0.15</v>
      </c>
      <c r="Q103" s="5">
        <v>0.22986616938737944</v>
      </c>
      <c r="R103" s="5">
        <v>3.0648822584983875</v>
      </c>
      <c r="S103" s="5">
        <v>20.432548389989272</v>
      </c>
      <c r="T103" s="220">
        <v>20.432548389989272</v>
      </c>
      <c r="U103" s="218"/>
      <c r="V103" s="219"/>
      <c r="W103" s="52"/>
    </row>
    <row r="104" spans="15:23" x14ac:dyDescent="0.25">
      <c r="O104" s="4"/>
      <c r="P104" s="5">
        <v>0.2</v>
      </c>
      <c r="Q104" s="5">
        <v>0.40865096779978671</v>
      </c>
      <c r="R104" s="5">
        <v>4.0865096779978671</v>
      </c>
      <c r="S104" s="5">
        <v>20.432548389989272</v>
      </c>
      <c r="T104" s="220">
        <v>20.432548389989272</v>
      </c>
      <c r="U104" s="218"/>
      <c r="V104" s="219"/>
      <c r="W104" s="52"/>
    </row>
    <row r="105" spans="15:23" x14ac:dyDescent="0.25">
      <c r="O105" s="4"/>
      <c r="P105" s="5">
        <v>0.25</v>
      </c>
      <c r="Q105" s="5">
        <v>0.63851713718716563</v>
      </c>
      <c r="R105" s="5">
        <v>5.1081370974973508</v>
      </c>
      <c r="S105" s="5">
        <v>20.432548389989272</v>
      </c>
      <c r="T105" s="220">
        <v>20.432548389989272</v>
      </c>
      <c r="U105" s="218"/>
      <c r="V105" s="219"/>
      <c r="W105" s="52"/>
    </row>
    <row r="106" spans="15:23" x14ac:dyDescent="0.25">
      <c r="O106" s="4"/>
      <c r="P106" s="5">
        <v>0.3</v>
      </c>
      <c r="Q106" s="5">
        <v>0.91930222183302324</v>
      </c>
      <c r="R106" s="5">
        <v>6.1113784955881849</v>
      </c>
      <c r="S106" s="5">
        <v>19.051950799659849</v>
      </c>
      <c r="T106" s="220"/>
      <c r="U106" s="218"/>
      <c r="V106" s="219"/>
      <c r="W106" s="52"/>
    </row>
    <row r="107" spans="15:23" x14ac:dyDescent="0.25">
      <c r="O107" s="4"/>
      <c r="P107" s="5">
        <v>0.35</v>
      </c>
      <c r="Q107" s="5">
        <v>1.2476649319320168</v>
      </c>
      <c r="R107" s="5">
        <v>7.0033843390942865</v>
      </c>
      <c r="S107" s="5">
        <v>16.680833446941993</v>
      </c>
      <c r="T107" s="220"/>
      <c r="U107" s="218"/>
      <c r="V107" s="219"/>
      <c r="W107" s="52"/>
    </row>
    <row r="108" spans="15:23" x14ac:dyDescent="0.25">
      <c r="O108" s="4"/>
      <c r="P108" s="5">
        <v>0.4</v>
      </c>
      <c r="Q108" s="5">
        <v>1.6177911254997561</v>
      </c>
      <c r="R108" s="5">
        <v>7.7843752762265206</v>
      </c>
      <c r="S108" s="5">
        <v>14.604814352637648</v>
      </c>
      <c r="T108" s="220"/>
      <c r="U108" s="218"/>
      <c r="V108" s="219"/>
      <c r="W108" s="52"/>
    </row>
    <row r="109" spans="15:23" x14ac:dyDescent="0.25">
      <c r="O109" s="4"/>
      <c r="P109" s="5">
        <v>0.45</v>
      </c>
      <c r="Q109" s="5">
        <v>2.0244831132600063</v>
      </c>
      <c r="R109" s="5">
        <v>8.4681677068739187</v>
      </c>
      <c r="S109" s="5">
        <v>12.787166957422851</v>
      </c>
      <c r="T109" s="220"/>
      <c r="U109" s="218"/>
      <c r="V109" s="219"/>
      <c r="W109" s="52"/>
    </row>
    <row r="110" spans="15:23" x14ac:dyDescent="0.25">
      <c r="O110" s="4"/>
      <c r="P110" s="5">
        <v>0.5</v>
      </c>
      <c r="Q110" s="5">
        <v>2.4631900862149196</v>
      </c>
      <c r="R110" s="5">
        <v>9.0668585059343787</v>
      </c>
      <c r="S110" s="5">
        <v>11.195735519053438</v>
      </c>
      <c r="T110" s="220"/>
      <c r="U110" s="218"/>
      <c r="V110" s="219"/>
      <c r="W110" s="52"/>
    </row>
    <row r="111" spans="15:23" x14ac:dyDescent="0.25">
      <c r="O111" s="4"/>
      <c r="P111" s="5">
        <v>0.55000000000000004</v>
      </c>
      <c r="Q111" s="5">
        <v>2.9299276079285401</v>
      </c>
      <c r="R111" s="5">
        <v>9.5910390274126716</v>
      </c>
      <c r="S111" s="5">
        <v>9.80236624969017</v>
      </c>
      <c r="T111" s="220"/>
      <c r="U111" s="218"/>
      <c r="V111" s="219"/>
      <c r="W111" s="52"/>
    </row>
    <row r="112" spans="15:23" x14ac:dyDescent="0.25">
      <c r="O112" s="4"/>
      <c r="P112" s="5">
        <v>0.6</v>
      </c>
      <c r="Q112" s="5">
        <v>3.4212071264270181</v>
      </c>
      <c r="R112" s="5">
        <v>10.049982474561736</v>
      </c>
      <c r="S112" s="5">
        <v>8.5824092512314039</v>
      </c>
      <c r="T112" s="220"/>
      <c r="U112" s="218"/>
      <c r="V112" s="219"/>
      <c r="W112" s="52"/>
    </row>
    <row r="113" spans="15:23" x14ac:dyDescent="0.25">
      <c r="O113" s="4"/>
      <c r="P113" s="5">
        <v>0.65</v>
      </c>
      <c r="Q113" s="5">
        <v>3.9339742587204563</v>
      </c>
      <c r="R113" s="5">
        <v>10.451807950806183</v>
      </c>
      <c r="S113" s="5">
        <v>7.514282437462608</v>
      </c>
      <c r="T113" s="220"/>
      <c r="U113" s="218"/>
      <c r="V113" s="219"/>
      <c r="W113" s="52"/>
    </row>
    <row r="114" spans="15:23" x14ac:dyDescent="0.25">
      <c r="O114" s="4"/>
      <c r="P114" s="5">
        <v>0.70000000000000095</v>
      </c>
      <c r="Q114" s="5">
        <v>4.4655547561466618</v>
      </c>
      <c r="R114" s="5">
        <v>10.803624093649216</v>
      </c>
      <c r="S114" s="5">
        <v>6.5790897284299437</v>
      </c>
      <c r="T114" s="220"/>
      <c r="U114" s="218"/>
      <c r="V114" s="219"/>
      <c r="W114" s="52"/>
    </row>
    <row r="115" spans="15:23" x14ac:dyDescent="0.25">
      <c r="O115" s="4"/>
      <c r="P115" s="5">
        <v>0.750000000000001</v>
      </c>
      <c r="Q115" s="5">
        <v>5.0136071946174585</v>
      </c>
      <c r="R115" s="5">
        <v>11.111654832570457</v>
      </c>
      <c r="S115" s="5">
        <v>5.7602867625705612</v>
      </c>
      <c r="T115" s="220"/>
      <c r="U115" s="218"/>
      <c r="V115" s="219"/>
      <c r="W115" s="52"/>
    </row>
    <row r="116" spans="15:23" x14ac:dyDescent="0.25">
      <c r="O116" s="4"/>
      <c r="P116" s="5">
        <v>0.80000000000000104</v>
      </c>
      <c r="Q116" s="5">
        <v>5.5760815528172367</v>
      </c>
      <c r="R116" s="5">
        <v>11.381349495679464</v>
      </c>
      <c r="S116" s="5">
        <v>5.0433882127587584</v>
      </c>
      <c r="T116" s="220"/>
      <c r="U116" s="218"/>
      <c r="V116" s="219"/>
      <c r="W116" s="52"/>
    </row>
    <row r="117" spans="15:23" x14ac:dyDescent="0.25">
      <c r="O117" s="4"/>
      <c r="P117" s="5">
        <v>0.85000000000000098</v>
      </c>
      <c r="Q117" s="5">
        <v>6.1511829455665392</v>
      </c>
      <c r="R117" s="5">
        <v>11.617479213006414</v>
      </c>
      <c r="S117" s="5">
        <v>4.415711528438397</v>
      </c>
      <c r="T117" s="220"/>
      <c r="U117" s="218"/>
      <c r="V117" s="219"/>
      <c r="W117" s="52"/>
    </row>
    <row r="118" spans="15:23" x14ac:dyDescent="0.25">
      <c r="O118" s="4"/>
      <c r="P118" s="5">
        <v>0.90000000000000102</v>
      </c>
      <c r="Q118" s="5">
        <v>6.7373398707631678</v>
      </c>
      <c r="R118" s="5">
        <v>11.82422132188664</v>
      </c>
      <c r="S118" s="5">
        <v>3.8661525704201365</v>
      </c>
      <c r="T118" s="220"/>
      <c r="U118" s="218"/>
      <c r="V118" s="219"/>
      <c r="W118" s="52"/>
    </row>
    <row r="119" spans="15:23" x14ac:dyDescent="0.25">
      <c r="O119" s="4"/>
      <c r="P119" s="5">
        <v>0.95000000000000095</v>
      </c>
      <c r="Q119" s="5">
        <v>7.3331764081611741</v>
      </c>
      <c r="R119" s="5">
        <v>12.005233267642991</v>
      </c>
      <c r="S119" s="5">
        <v>3.3849891691299328</v>
      </c>
      <c r="T119" s="220"/>
      <c r="U119" s="218"/>
      <c r="V119" s="219"/>
      <c r="W119" s="52"/>
    </row>
    <row r="120" spans="15:23" x14ac:dyDescent="0.25">
      <c r="O120" s="4"/>
      <c r="P120" s="5">
        <v>1</v>
      </c>
      <c r="Q120" s="5">
        <v>7.9374878781611091</v>
      </c>
      <c r="R120" s="5">
        <v>12.163717306932163</v>
      </c>
      <c r="S120" s="5">
        <v>2.9637091310862984</v>
      </c>
      <c r="T120" s="220"/>
      <c r="U120" s="218"/>
      <c r="V120" s="219"/>
      <c r="W120" s="52"/>
    </row>
    <row r="121" spans="15:23" x14ac:dyDescent="0.25">
      <c r="O121" s="4"/>
      <c r="P121" s="5">
        <v>1.05</v>
      </c>
      <c r="Q121" s="5">
        <v>8.5492195299940441</v>
      </c>
      <c r="R121" s="5">
        <v>12.302477158413012</v>
      </c>
      <c r="S121" s="5">
        <v>2.5948596508927699</v>
      </c>
      <c r="T121" s="220"/>
      <c r="U121" s="218"/>
      <c r="V121" s="219"/>
      <c r="W121" s="52"/>
    </row>
    <row r="122" spans="15:23" x14ac:dyDescent="0.25">
      <c r="O122" s="4"/>
      <c r="P122" s="5">
        <v>1.0999999999999901</v>
      </c>
      <c r="Q122" s="5">
        <v>9.1674478822753258</v>
      </c>
      <c r="R122" s="5">
        <v>12.423967602935672</v>
      </c>
      <c r="S122" s="5">
        <v>2.2719154647147763</v>
      </c>
      <c r="T122" s="220"/>
      <c r="U122" s="218"/>
      <c r="V122" s="219"/>
      <c r="W122" s="52"/>
    </row>
    <row r="123" spans="15:23" x14ac:dyDescent="0.25">
      <c r="O123" s="4"/>
      <c r="P123" s="5">
        <v>1.1499999999999799</v>
      </c>
      <c r="Q123" s="5">
        <v>9.7913643858264514</v>
      </c>
      <c r="R123" s="5">
        <v>12.530337910721363</v>
      </c>
      <c r="S123" s="5">
        <v>1.9891634127627333</v>
      </c>
      <c r="T123" s="220"/>
      <c r="U123" s="218"/>
      <c r="V123" s="219"/>
      <c r="W123" s="52"/>
    </row>
    <row r="124" spans="15:23" x14ac:dyDescent="0.25">
      <c r="O124" s="4"/>
      <c r="P124" s="5"/>
      <c r="Q124" s="5"/>
      <c r="R124" s="5"/>
      <c r="S124" s="5"/>
      <c r="T124" s="220"/>
      <c r="U124" s="218"/>
      <c r="V124" s="219"/>
      <c r="W124" s="52"/>
    </row>
    <row r="125" spans="15:23" x14ac:dyDescent="0.25">
      <c r="O125" s="4"/>
      <c r="P125" s="5"/>
      <c r="Q125" s="5"/>
      <c r="R125" s="5"/>
      <c r="S125" s="5"/>
      <c r="T125" s="220"/>
      <c r="U125" s="218"/>
      <c r="V125" s="219"/>
      <c r="W125" s="52"/>
    </row>
    <row r="126" spans="15:23" x14ac:dyDescent="0.25">
      <c r="O126" s="4"/>
      <c r="P126" s="5"/>
      <c r="Q126" s="5"/>
      <c r="R126" s="5"/>
      <c r="S126" s="5"/>
      <c r="T126" s="220"/>
      <c r="U126" s="218"/>
      <c r="V126" s="219"/>
      <c r="W126" s="52"/>
    </row>
    <row r="127" spans="15:23" x14ac:dyDescent="0.25">
      <c r="O127" s="4"/>
      <c r="P127" s="5"/>
      <c r="Q127" s="5"/>
      <c r="R127" s="5"/>
      <c r="S127" s="5"/>
      <c r="T127" s="220"/>
      <c r="U127" s="218"/>
      <c r="V127" s="219"/>
      <c r="W127" s="52"/>
    </row>
    <row r="128" spans="15:23" x14ac:dyDescent="0.25">
      <c r="O128" s="4"/>
      <c r="P128" s="5"/>
      <c r="Q128" s="5"/>
      <c r="R128" s="5"/>
      <c r="S128" s="5"/>
      <c r="T128" s="220"/>
      <c r="U128" s="218"/>
      <c r="V128" s="219"/>
      <c r="W128" s="52"/>
    </row>
    <row r="129" spans="15:23" x14ac:dyDescent="0.25">
      <c r="O129" s="4"/>
      <c r="P129" s="5"/>
      <c r="Q129" s="5"/>
      <c r="R129" s="5"/>
      <c r="S129" s="5"/>
      <c r="T129" s="220"/>
      <c r="U129" s="218"/>
      <c r="V129" s="219"/>
      <c r="W129" s="52"/>
    </row>
    <row r="130" spans="15:23" x14ac:dyDescent="0.25">
      <c r="O130" s="4"/>
      <c r="P130" s="5"/>
      <c r="Q130" s="5"/>
      <c r="R130" s="5"/>
      <c r="S130" s="5"/>
      <c r="T130" s="220"/>
      <c r="U130" s="218"/>
      <c r="V130" s="219"/>
      <c r="W130" s="52"/>
    </row>
    <row r="131" spans="15:23" x14ac:dyDescent="0.25">
      <c r="O131" s="4"/>
      <c r="P131" s="5"/>
      <c r="Q131" s="5"/>
      <c r="R131" s="5"/>
      <c r="S131" s="5"/>
      <c r="T131" s="220"/>
      <c r="U131" s="218"/>
      <c r="V131" s="219"/>
      <c r="W131" s="52"/>
    </row>
    <row r="132" spans="15:23" x14ac:dyDescent="0.25">
      <c r="O132" s="4"/>
      <c r="P132" s="5"/>
      <c r="Q132" s="5"/>
      <c r="R132" s="5"/>
      <c r="S132" s="5"/>
      <c r="T132" s="220"/>
      <c r="U132" s="218"/>
      <c r="V132" s="219"/>
      <c r="W132" s="52"/>
    </row>
    <row r="133" spans="15:23" x14ac:dyDescent="0.25">
      <c r="O133" s="4"/>
      <c r="P133" s="5"/>
      <c r="Q133" s="5"/>
      <c r="R133" s="5"/>
      <c r="S133" s="5"/>
      <c r="T133" s="220"/>
      <c r="U133" s="218"/>
      <c r="V133" s="219"/>
      <c r="W133" s="52"/>
    </row>
    <row r="134" spans="15:23" x14ac:dyDescent="0.25">
      <c r="O134" s="4"/>
      <c r="P134" s="5"/>
      <c r="Q134" s="5"/>
      <c r="R134" s="5"/>
      <c r="S134" s="5"/>
      <c r="T134" s="220"/>
      <c r="U134" s="218"/>
      <c r="V134" s="219"/>
      <c r="W134" s="52"/>
    </row>
    <row r="135" spans="15:23" x14ac:dyDescent="0.25">
      <c r="O135" s="4"/>
      <c r="P135" s="5"/>
      <c r="Q135" s="5"/>
      <c r="R135" s="5"/>
      <c r="S135" s="5"/>
      <c r="T135" s="220"/>
      <c r="U135" s="218"/>
      <c r="V135" s="219"/>
      <c r="W135" s="52"/>
    </row>
    <row r="136" spans="15:23" x14ac:dyDescent="0.25">
      <c r="O136" s="4"/>
      <c r="P136" s="5"/>
      <c r="Q136" s="5"/>
      <c r="R136" s="5"/>
      <c r="S136" s="5"/>
      <c r="T136" s="220"/>
      <c r="U136" s="218"/>
      <c r="V136" s="219"/>
      <c r="W136" s="52"/>
    </row>
    <row r="137" spans="15:23" x14ac:dyDescent="0.25">
      <c r="O137" s="4"/>
      <c r="P137" s="5"/>
      <c r="Q137" s="5"/>
      <c r="R137" s="5"/>
      <c r="S137" s="5"/>
      <c r="T137" s="220"/>
      <c r="U137" s="218"/>
      <c r="V137" s="219"/>
      <c r="W137" s="52"/>
    </row>
    <row r="138" spans="15:23" x14ac:dyDescent="0.25">
      <c r="O138" s="4"/>
      <c r="P138" s="5"/>
      <c r="Q138" s="5"/>
      <c r="R138" s="5"/>
      <c r="S138" s="5"/>
      <c r="T138" s="220"/>
      <c r="U138" s="218"/>
      <c r="V138" s="219"/>
      <c r="W138" s="52"/>
    </row>
    <row r="139" spans="15:23" x14ac:dyDescent="0.25">
      <c r="O139" s="4"/>
      <c r="P139" s="5"/>
      <c r="Q139" s="5"/>
      <c r="R139" s="5"/>
      <c r="S139" s="5"/>
      <c r="T139" s="220"/>
      <c r="U139" s="218"/>
      <c r="V139" s="219"/>
      <c r="W139" s="52"/>
    </row>
    <row r="140" spans="15:23" x14ac:dyDescent="0.25">
      <c r="O140" s="4"/>
      <c r="P140" s="5"/>
      <c r="Q140" s="5"/>
      <c r="R140" s="5"/>
      <c r="S140" s="5"/>
      <c r="T140" s="220"/>
      <c r="U140" s="218"/>
      <c r="V140" s="219"/>
      <c r="W140" s="52"/>
    </row>
    <row r="141" spans="15:23" x14ac:dyDescent="0.25">
      <c r="O141" s="4"/>
      <c r="P141" s="5"/>
      <c r="Q141" s="5"/>
      <c r="R141" s="5"/>
      <c r="S141" s="5"/>
      <c r="T141" s="220"/>
      <c r="U141" s="218"/>
      <c r="V141" s="219"/>
      <c r="W141" s="52"/>
    </row>
    <row r="142" spans="15:23" x14ac:dyDescent="0.25">
      <c r="O142" s="4"/>
      <c r="P142" s="5"/>
      <c r="Q142" s="5"/>
      <c r="R142" s="5"/>
      <c r="S142" s="5"/>
      <c r="T142" s="220"/>
      <c r="U142" s="218"/>
      <c r="V142" s="219"/>
      <c r="W142" s="52"/>
    </row>
    <row r="143" spans="15:23" x14ac:dyDescent="0.25">
      <c r="O143" s="4"/>
      <c r="P143" s="5"/>
      <c r="Q143" s="5"/>
      <c r="R143" s="5"/>
      <c r="S143" s="5"/>
      <c r="T143" s="220"/>
      <c r="U143" s="218"/>
      <c r="V143" s="219"/>
      <c r="W143" s="52"/>
    </row>
    <row r="144" spans="15:23" x14ac:dyDescent="0.25">
      <c r="O144" s="4"/>
      <c r="P144" s="5"/>
      <c r="Q144" s="5"/>
      <c r="R144" s="5"/>
      <c r="S144" s="5"/>
      <c r="T144" s="220"/>
      <c r="U144" s="218"/>
      <c r="V144" s="219"/>
      <c r="W144" s="52"/>
    </row>
    <row r="145" spans="15:23" x14ac:dyDescent="0.25">
      <c r="O145" s="4"/>
      <c r="P145" s="5"/>
      <c r="Q145" s="5"/>
      <c r="R145" s="5"/>
      <c r="S145" s="5"/>
      <c r="T145" s="220"/>
      <c r="U145" s="218"/>
      <c r="V145" s="219"/>
      <c r="W145" s="52"/>
    </row>
    <row r="146" spans="15:23" x14ac:dyDescent="0.25">
      <c r="O146" s="4"/>
      <c r="P146" s="5"/>
      <c r="Q146" s="5"/>
      <c r="R146" s="5"/>
      <c r="S146" s="5"/>
      <c r="T146" s="220"/>
      <c r="U146" s="218"/>
      <c r="V146" s="219"/>
      <c r="W146" s="52"/>
    </row>
    <row r="147" spans="15:23" x14ac:dyDescent="0.25">
      <c r="O147" s="4"/>
      <c r="P147" s="5"/>
      <c r="Q147" s="5"/>
      <c r="R147" s="5"/>
      <c r="S147" s="5"/>
      <c r="T147" s="220"/>
      <c r="U147" s="218"/>
      <c r="V147" s="219"/>
      <c r="W147" s="52"/>
    </row>
    <row r="148" spans="15:23" x14ac:dyDescent="0.25">
      <c r="O148" s="4"/>
      <c r="P148" s="5"/>
      <c r="Q148" s="5"/>
      <c r="R148" s="5"/>
      <c r="S148" s="5"/>
      <c r="T148" s="220"/>
      <c r="U148" s="218"/>
      <c r="V148" s="219"/>
      <c r="W148" s="52"/>
    </row>
    <row r="149" spans="15:23" x14ac:dyDescent="0.25">
      <c r="O149" s="4"/>
      <c r="P149" s="5"/>
      <c r="Q149" s="5"/>
      <c r="R149" s="5"/>
      <c r="S149" s="5"/>
      <c r="T149" s="220"/>
      <c r="U149" s="218"/>
      <c r="V149" s="219"/>
      <c r="W149" s="52"/>
    </row>
    <row r="150" spans="15:23" x14ac:dyDescent="0.25">
      <c r="P150" s="5"/>
      <c r="Q150" s="5"/>
      <c r="R150" s="5"/>
      <c r="S150" s="5"/>
      <c r="T150" s="220"/>
      <c r="U150" s="53"/>
      <c r="V150" s="52"/>
      <c r="W150" s="52"/>
    </row>
    <row r="151" spans="15:23" x14ac:dyDescent="0.25">
      <c r="P151" s="5"/>
      <c r="Q151" s="5"/>
      <c r="R151" s="5"/>
      <c r="S151" s="5"/>
      <c r="T151" s="220"/>
      <c r="U151" s="53"/>
      <c r="V151" s="52"/>
      <c r="W151" s="52"/>
    </row>
    <row r="152" spans="15:23" x14ac:dyDescent="0.25">
      <c r="P152" s="5"/>
      <c r="Q152" s="5"/>
      <c r="R152" s="5"/>
      <c r="S152" s="5"/>
      <c r="T152" s="220"/>
      <c r="U152" s="53"/>
      <c r="V152" s="52"/>
      <c r="W152" s="52"/>
    </row>
    <row r="153" spans="15:23" x14ac:dyDescent="0.25">
      <c r="P153" s="5"/>
      <c r="Q153" s="5"/>
      <c r="R153" s="5"/>
      <c r="S153" s="5"/>
      <c r="T153" s="220"/>
      <c r="U153" s="53"/>
      <c r="V153" s="52"/>
      <c r="W153" s="52"/>
    </row>
    <row r="154" spans="15:23" x14ac:dyDescent="0.25">
      <c r="P154" s="5"/>
      <c r="Q154" s="5"/>
      <c r="R154" s="5"/>
      <c r="S154" s="5"/>
      <c r="T154" s="220"/>
      <c r="U154" s="53"/>
      <c r="V154" s="52"/>
      <c r="W154" s="52"/>
    </row>
    <row r="155" spans="15:23" x14ac:dyDescent="0.25">
      <c r="P155" s="5"/>
      <c r="Q155" s="5"/>
      <c r="R155" s="5"/>
      <c r="S155" s="5"/>
      <c r="T155" s="220"/>
      <c r="U155" s="53"/>
      <c r="V155" s="52"/>
      <c r="W155" s="52"/>
    </row>
    <row r="156" spans="15:23" x14ac:dyDescent="0.25">
      <c r="P156" s="5"/>
      <c r="Q156" s="5"/>
      <c r="R156" s="5"/>
      <c r="S156" s="5"/>
      <c r="T156" s="220"/>
      <c r="U156" s="53"/>
      <c r="V156" s="52"/>
      <c r="W156" s="52"/>
    </row>
    <row r="157" spans="15:23" x14ac:dyDescent="0.25">
      <c r="P157" s="5"/>
      <c r="Q157" s="5"/>
      <c r="R157" s="5"/>
      <c r="S157" s="5"/>
      <c r="T157" s="220"/>
      <c r="U157" s="53"/>
      <c r="V157" s="52"/>
      <c r="W157" s="52"/>
    </row>
    <row r="158" spans="15:23" x14ac:dyDescent="0.25">
      <c r="P158" s="5"/>
      <c r="Q158" s="5"/>
      <c r="R158" s="5"/>
      <c r="S158" s="5"/>
      <c r="T158" s="220"/>
      <c r="U158" s="53"/>
      <c r="V158" s="52"/>
      <c r="W158" s="52"/>
    </row>
    <row r="159" spans="15:23" x14ac:dyDescent="0.25">
      <c r="P159" s="5"/>
      <c r="Q159" s="5"/>
      <c r="R159" s="5"/>
      <c r="S159" s="5"/>
      <c r="T159" s="220"/>
      <c r="U159" s="53"/>
      <c r="V159" s="52"/>
      <c r="W159" s="52"/>
    </row>
    <row r="160" spans="15:23" x14ac:dyDescent="0.25">
      <c r="P160" s="5"/>
      <c r="Q160" s="5"/>
      <c r="R160" s="5"/>
      <c r="S160" s="5"/>
      <c r="T160" s="220"/>
      <c r="U160" s="53"/>
      <c r="V160" s="52"/>
      <c r="W160" s="52"/>
    </row>
    <row r="161" spans="16:23" x14ac:dyDescent="0.25">
      <c r="P161" s="5"/>
      <c r="Q161" s="5"/>
      <c r="R161" s="5"/>
      <c r="S161" s="5"/>
      <c r="T161" s="220"/>
      <c r="U161" s="53"/>
      <c r="V161" s="52"/>
      <c r="W161" s="52"/>
    </row>
    <row r="162" spans="16:23" x14ac:dyDescent="0.25">
      <c r="P162" s="5"/>
      <c r="Q162" s="5"/>
      <c r="R162" s="5"/>
      <c r="S162" s="5"/>
      <c r="T162" s="220"/>
      <c r="U162" s="53"/>
      <c r="V162" s="52"/>
      <c r="W162" s="52"/>
    </row>
    <row r="163" spans="16:23" x14ac:dyDescent="0.25">
      <c r="P163" s="5"/>
      <c r="Q163" s="5"/>
      <c r="R163" s="5"/>
      <c r="S163" s="5"/>
      <c r="T163" s="220"/>
      <c r="U163" s="53"/>
      <c r="V163" s="52"/>
      <c r="W163" s="52"/>
    </row>
    <row r="164" spans="16:23" x14ac:dyDescent="0.25">
      <c r="P164" s="5"/>
      <c r="Q164" s="5"/>
      <c r="R164" s="5"/>
      <c r="S164" s="5"/>
      <c r="T164" s="220"/>
      <c r="U164" s="53"/>
      <c r="V164" s="52"/>
      <c r="W164" s="52"/>
    </row>
    <row r="165" spans="16:23" x14ac:dyDescent="0.25">
      <c r="P165" s="5"/>
      <c r="Q165" s="5"/>
      <c r="R165" s="5"/>
      <c r="S165" s="5"/>
      <c r="T165" s="220"/>
      <c r="U165" s="53"/>
      <c r="V165" s="52"/>
      <c r="W165" s="52"/>
    </row>
    <row r="166" spans="16:23" x14ac:dyDescent="0.25">
      <c r="P166" s="5"/>
      <c r="Q166" s="5"/>
      <c r="R166" s="5"/>
      <c r="S166" s="5"/>
      <c r="T166" s="220"/>
      <c r="U166" s="53"/>
      <c r="V166" s="52"/>
      <c r="W166" s="52"/>
    </row>
    <row r="167" spans="16:23" x14ac:dyDescent="0.25">
      <c r="P167" s="5"/>
      <c r="Q167" s="5"/>
      <c r="R167" s="5"/>
      <c r="S167" s="5"/>
      <c r="T167" s="220"/>
      <c r="U167" s="53"/>
      <c r="V167" s="52"/>
      <c r="W167" s="52"/>
    </row>
    <row r="168" spans="16:23" x14ac:dyDescent="0.25">
      <c r="P168" s="5"/>
      <c r="Q168" s="5"/>
      <c r="R168" s="5"/>
      <c r="S168" s="5"/>
      <c r="T168" s="220"/>
      <c r="U168" s="53"/>
      <c r="V168" s="52"/>
      <c r="W168" s="52"/>
    </row>
    <row r="169" spans="16:23" x14ac:dyDescent="0.25">
      <c r="P169" s="5"/>
      <c r="Q169" s="5"/>
      <c r="R169" s="5"/>
      <c r="S169" s="5"/>
      <c r="T169" s="220"/>
      <c r="U169" s="53"/>
      <c r="V169" s="52"/>
      <c r="W169" s="52"/>
    </row>
    <row r="170" spans="16:23" x14ac:dyDescent="0.25">
      <c r="P170" s="5"/>
      <c r="Q170" s="5"/>
      <c r="R170" s="5"/>
      <c r="S170" s="5"/>
      <c r="T170" s="220"/>
      <c r="U170" s="53"/>
      <c r="V170" s="52"/>
      <c r="W170" s="52"/>
    </row>
    <row r="171" spans="16:23" x14ac:dyDescent="0.25">
      <c r="P171" s="5"/>
      <c r="Q171" s="5"/>
      <c r="R171" s="5"/>
      <c r="S171" s="5"/>
      <c r="T171" s="220"/>
      <c r="U171" s="53"/>
      <c r="V171" s="52"/>
      <c r="W171" s="52"/>
    </row>
    <row r="172" spans="16:23" x14ac:dyDescent="0.25">
      <c r="P172" s="5"/>
      <c r="Q172" s="5"/>
      <c r="R172" s="5"/>
      <c r="S172" s="5"/>
      <c r="T172" s="220"/>
      <c r="U172" s="53"/>
      <c r="V172" s="52"/>
      <c r="W172" s="52"/>
    </row>
    <row r="173" spans="16:23" x14ac:dyDescent="0.25">
      <c r="P173" s="5"/>
      <c r="Q173" s="5"/>
      <c r="R173" s="5"/>
      <c r="S173" s="5"/>
      <c r="T173" s="220"/>
      <c r="U173" s="53"/>
      <c r="V173" s="52"/>
      <c r="W173" s="52"/>
    </row>
    <row r="174" spans="16:23" x14ac:dyDescent="0.25">
      <c r="P174" s="5"/>
      <c r="Q174" s="5"/>
      <c r="R174" s="5"/>
      <c r="S174" s="5"/>
      <c r="T174" s="220"/>
      <c r="U174" s="53"/>
      <c r="V174" s="52"/>
      <c r="W174" s="52"/>
    </row>
    <row r="175" spans="16:23" x14ac:dyDescent="0.25">
      <c r="P175" s="5"/>
      <c r="Q175" s="5"/>
      <c r="R175" s="5"/>
      <c r="S175" s="5"/>
      <c r="T175" s="220"/>
      <c r="U175" s="53"/>
      <c r="V175" s="52"/>
      <c r="W175" s="52"/>
    </row>
    <row r="176" spans="16:23" x14ac:dyDescent="0.25">
      <c r="P176" s="5"/>
      <c r="Q176" s="5"/>
      <c r="R176" s="5"/>
      <c r="S176" s="5"/>
      <c r="T176" s="220"/>
      <c r="U176" s="53"/>
      <c r="V176" s="52"/>
      <c r="W176" s="52"/>
    </row>
    <row r="177" spans="16:23" x14ac:dyDescent="0.25">
      <c r="P177" s="5"/>
      <c r="Q177" s="5"/>
      <c r="R177" s="5"/>
      <c r="S177" s="5"/>
      <c r="T177" s="220"/>
      <c r="U177" s="53"/>
      <c r="V177" s="52"/>
      <c r="W177" s="52"/>
    </row>
    <row r="178" spans="16:23" x14ac:dyDescent="0.25">
      <c r="P178" s="5"/>
      <c r="Q178" s="5"/>
      <c r="R178" s="5"/>
      <c r="S178" s="5"/>
      <c r="T178" s="220"/>
      <c r="U178" s="53"/>
      <c r="V178" s="52"/>
      <c r="W178" s="52"/>
    </row>
    <row r="179" spans="16:23" x14ac:dyDescent="0.25">
      <c r="P179" s="5"/>
      <c r="Q179" s="5"/>
      <c r="R179" s="5"/>
      <c r="S179" s="5"/>
      <c r="T179" s="220"/>
      <c r="U179" s="53"/>
      <c r="V179" s="52"/>
      <c r="W179" s="52"/>
    </row>
    <row r="180" spans="16:23" x14ac:dyDescent="0.25">
      <c r="P180" s="5"/>
      <c r="Q180" s="5"/>
      <c r="R180" s="5"/>
      <c r="S180" s="5"/>
      <c r="T180" s="220"/>
      <c r="U180" s="53"/>
      <c r="V180" s="52"/>
      <c r="W180" s="52"/>
    </row>
    <row r="181" spans="16:23" x14ac:dyDescent="0.25">
      <c r="P181" s="5"/>
      <c r="Q181" s="5"/>
      <c r="R181" s="5"/>
      <c r="S181" s="5"/>
      <c r="T181" s="220"/>
      <c r="U181" s="53"/>
      <c r="V181" s="52"/>
      <c r="W181" s="52"/>
    </row>
    <row r="182" spans="16:23" x14ac:dyDescent="0.25">
      <c r="P182" s="5"/>
      <c r="Q182" s="5"/>
      <c r="R182" s="5"/>
      <c r="S182" s="5"/>
      <c r="T182" s="220"/>
      <c r="U182" s="53"/>
      <c r="V182" s="52"/>
      <c r="W182" s="52"/>
    </row>
    <row r="183" spans="16:23" x14ac:dyDescent="0.25">
      <c r="P183" s="5"/>
      <c r="Q183" s="5"/>
      <c r="R183" s="5"/>
      <c r="S183" s="5"/>
      <c r="T183" s="220"/>
      <c r="U183" s="53"/>
      <c r="V183" s="52"/>
      <c r="W183" s="52"/>
    </row>
    <row r="184" spans="16:23" x14ac:dyDescent="0.25">
      <c r="P184" s="5"/>
      <c r="Q184" s="5"/>
      <c r="R184" s="5"/>
      <c r="S184" s="5"/>
      <c r="T184" s="220"/>
      <c r="U184" s="53"/>
      <c r="V184" s="52"/>
      <c r="W184" s="52"/>
    </row>
    <row r="185" spans="16:23" x14ac:dyDescent="0.25">
      <c r="P185" s="5"/>
      <c r="Q185" s="5"/>
      <c r="R185" s="5"/>
      <c r="S185" s="5"/>
      <c r="T185" s="220"/>
      <c r="U185" s="53"/>
      <c r="V185" s="52"/>
      <c r="W185" s="52"/>
    </row>
    <row r="186" spans="16:23" x14ac:dyDescent="0.25">
      <c r="P186" s="5"/>
      <c r="Q186" s="5"/>
      <c r="R186" s="5"/>
      <c r="S186" s="5"/>
      <c r="T186" s="220"/>
      <c r="U186" s="53"/>
      <c r="V186" s="52"/>
      <c r="W186" s="52"/>
    </row>
    <row r="187" spans="16:23" x14ac:dyDescent="0.25">
      <c r="P187" s="5"/>
      <c r="Q187" s="5"/>
      <c r="R187" s="5"/>
      <c r="S187" s="5"/>
      <c r="T187" s="220"/>
      <c r="U187" s="53"/>
      <c r="V187" s="52"/>
      <c r="W187" s="52"/>
    </row>
    <row r="188" spans="16:23" x14ac:dyDescent="0.25">
      <c r="P188" s="5"/>
      <c r="Q188" s="5"/>
      <c r="R188" s="5"/>
      <c r="S188" s="5"/>
      <c r="T188" s="220"/>
      <c r="U188" s="53"/>
      <c r="V188" s="52"/>
      <c r="W188" s="52"/>
    </row>
    <row r="189" spans="16:23" x14ac:dyDescent="0.25">
      <c r="P189" s="5"/>
      <c r="Q189" s="5"/>
      <c r="R189" s="5"/>
      <c r="S189" s="5"/>
      <c r="T189" s="220"/>
      <c r="U189" s="53"/>
      <c r="V189" s="52"/>
      <c r="W189" s="52"/>
    </row>
    <row r="190" spans="16:23" x14ac:dyDescent="0.25">
      <c r="P190" s="5"/>
      <c r="Q190" s="5"/>
      <c r="R190" s="5"/>
      <c r="S190" s="5"/>
      <c r="T190" s="220"/>
      <c r="U190" s="53"/>
      <c r="V190" s="52"/>
      <c r="W190" s="52"/>
    </row>
    <row r="191" spans="16:23" x14ac:dyDescent="0.25">
      <c r="P191" s="5"/>
      <c r="Q191" s="5"/>
      <c r="R191" s="5"/>
      <c r="S191" s="5"/>
      <c r="T191" s="220"/>
      <c r="U191" s="53"/>
      <c r="V191" s="52"/>
      <c r="W191" s="52"/>
    </row>
    <row r="192" spans="16:23" x14ac:dyDescent="0.25">
      <c r="P192" s="5"/>
      <c r="Q192" s="5"/>
      <c r="R192" s="5"/>
      <c r="S192" s="5"/>
      <c r="T192" s="220"/>
      <c r="U192" s="53"/>
      <c r="V192" s="52"/>
      <c r="W192" s="52"/>
    </row>
    <row r="193" spans="16:23" x14ac:dyDescent="0.25">
      <c r="P193" s="5"/>
      <c r="Q193" s="5"/>
      <c r="R193" s="5"/>
      <c r="S193" s="5"/>
      <c r="T193" s="220"/>
      <c r="U193" s="53"/>
      <c r="V193" s="52"/>
      <c r="W193" s="52"/>
    </row>
    <row r="194" spans="16:23" x14ac:dyDescent="0.25">
      <c r="P194" s="5"/>
      <c r="Q194" s="5"/>
      <c r="R194" s="5"/>
      <c r="S194" s="5"/>
      <c r="T194" s="220"/>
      <c r="U194" s="53"/>
      <c r="V194" s="52"/>
      <c r="W194" s="52"/>
    </row>
    <row r="195" spans="16:23" x14ac:dyDescent="0.25">
      <c r="P195" s="5"/>
      <c r="Q195" s="5"/>
      <c r="R195" s="5"/>
      <c r="S195" s="5"/>
      <c r="T195" s="220"/>
      <c r="U195" s="53"/>
      <c r="V195" s="52"/>
      <c r="W195" s="52"/>
    </row>
    <row r="196" spans="16:23" x14ac:dyDescent="0.25">
      <c r="P196" s="5"/>
      <c r="Q196" s="5"/>
      <c r="R196" s="5"/>
      <c r="S196" s="5"/>
      <c r="T196" s="220"/>
      <c r="U196" s="53"/>
      <c r="V196" s="52"/>
      <c r="W196" s="52"/>
    </row>
    <row r="197" spans="16:23" x14ac:dyDescent="0.25">
      <c r="P197" s="5"/>
      <c r="Q197" s="5"/>
      <c r="R197" s="5"/>
      <c r="S197" s="5"/>
      <c r="T197" s="220"/>
      <c r="U197" s="53"/>
      <c r="V197" s="52"/>
      <c r="W197" s="52"/>
    </row>
    <row r="198" spans="16:23" x14ac:dyDescent="0.25">
      <c r="P198" s="5"/>
      <c r="Q198" s="5"/>
      <c r="R198" s="5"/>
      <c r="S198" s="5"/>
      <c r="T198" s="220"/>
      <c r="U198" s="53"/>
      <c r="V198" s="52"/>
      <c r="W198" s="52"/>
    </row>
    <row r="199" spans="16:23" x14ac:dyDescent="0.25">
      <c r="P199" s="5"/>
      <c r="Q199" s="5"/>
      <c r="R199" s="5"/>
      <c r="S199" s="5"/>
      <c r="T199" s="220"/>
      <c r="U199" s="53"/>
      <c r="V199" s="52"/>
      <c r="W199" s="52"/>
    </row>
    <row r="200" spans="16:23" x14ac:dyDescent="0.25">
      <c r="P200" s="5"/>
      <c r="Q200" s="5"/>
      <c r="R200" s="5"/>
      <c r="S200" s="5"/>
      <c r="T200" s="220"/>
      <c r="U200" s="53"/>
      <c r="V200" s="52"/>
      <c r="W200" s="52"/>
    </row>
    <row r="201" spans="16:23" x14ac:dyDescent="0.25">
      <c r="P201" s="5"/>
      <c r="Q201" s="5"/>
      <c r="R201" s="5"/>
      <c r="S201" s="5"/>
      <c r="T201" s="220"/>
      <c r="U201" s="53"/>
      <c r="V201" s="52"/>
      <c r="W201" s="52"/>
    </row>
    <row r="202" spans="16:23" x14ac:dyDescent="0.25">
      <c r="P202" s="5"/>
      <c r="Q202" s="5"/>
      <c r="R202" s="5"/>
      <c r="S202" s="5"/>
      <c r="T202" s="220"/>
      <c r="U202" s="53"/>
      <c r="V202" s="52"/>
      <c r="W202" s="52"/>
    </row>
    <row r="203" spans="16:23" x14ac:dyDescent="0.25">
      <c r="P203" s="5"/>
      <c r="Q203" s="5"/>
      <c r="R203" s="5"/>
      <c r="S203" s="5"/>
      <c r="T203" s="220"/>
      <c r="U203" s="53"/>
      <c r="V203" s="52"/>
      <c r="W203" s="52"/>
    </row>
    <row r="204" spans="16:23" x14ac:dyDescent="0.25">
      <c r="P204" s="5"/>
      <c r="Q204" s="5"/>
      <c r="R204" s="5"/>
      <c r="S204" s="5"/>
      <c r="T204" s="220"/>
      <c r="U204" s="53"/>
      <c r="V204" s="52"/>
      <c r="W204" s="52"/>
    </row>
    <row r="205" spans="16:23" x14ac:dyDescent="0.25">
      <c r="P205" s="5"/>
      <c r="Q205" s="5"/>
      <c r="R205" s="5"/>
      <c r="S205" s="5"/>
      <c r="T205" s="220"/>
      <c r="U205" s="53"/>
      <c r="V205" s="52"/>
      <c r="W205" s="52"/>
    </row>
    <row r="206" spans="16:23" x14ac:dyDescent="0.25">
      <c r="P206" s="5"/>
      <c r="Q206" s="5"/>
      <c r="R206" s="5"/>
      <c r="S206" s="5"/>
      <c r="T206" s="220"/>
      <c r="U206" s="53"/>
      <c r="V206" s="52"/>
      <c r="W206" s="52"/>
    </row>
    <row r="207" spans="16:23" x14ac:dyDescent="0.25">
      <c r="P207" s="5"/>
      <c r="Q207" s="5"/>
      <c r="R207" s="5"/>
      <c r="S207" s="5"/>
      <c r="T207" s="220"/>
      <c r="U207" s="53"/>
      <c r="V207" s="52"/>
      <c r="W207" s="52"/>
    </row>
    <row r="208" spans="16:23" x14ac:dyDescent="0.25">
      <c r="P208" s="5"/>
      <c r="Q208" s="5"/>
      <c r="R208" s="5"/>
      <c r="S208" s="5"/>
      <c r="T208" s="220"/>
      <c r="U208" s="53"/>
      <c r="V208" s="52"/>
      <c r="W208" s="52"/>
    </row>
    <row r="209" spans="16:23" x14ac:dyDescent="0.25">
      <c r="P209" s="5"/>
      <c r="Q209" s="5"/>
      <c r="R209" s="5"/>
      <c r="S209" s="5"/>
      <c r="T209" s="220"/>
      <c r="U209" s="53"/>
      <c r="V209" s="52"/>
      <c r="W209" s="52"/>
    </row>
    <row r="210" spans="16:23" x14ac:dyDescent="0.25">
      <c r="P210" s="5"/>
      <c r="Q210" s="5"/>
      <c r="R210" s="5"/>
      <c r="S210" s="5"/>
      <c r="T210" s="220"/>
      <c r="U210" s="53"/>
      <c r="V210" s="52"/>
      <c r="W210" s="52"/>
    </row>
    <row r="211" spans="16:23" x14ac:dyDescent="0.25">
      <c r="P211" s="5"/>
      <c r="Q211" s="5"/>
      <c r="R211" s="5"/>
      <c r="S211" s="5"/>
      <c r="T211" s="220"/>
      <c r="U211" s="53"/>
      <c r="V211" s="52"/>
      <c r="W211" s="52"/>
    </row>
    <row r="212" spans="16:23" x14ac:dyDescent="0.25">
      <c r="P212" s="5"/>
      <c r="Q212" s="5"/>
      <c r="R212" s="5"/>
      <c r="S212" s="5"/>
      <c r="T212" s="220"/>
      <c r="U212" s="53"/>
      <c r="V212" s="52"/>
      <c r="W212" s="52"/>
    </row>
    <row r="213" spans="16:23" x14ac:dyDescent="0.25">
      <c r="P213" s="5"/>
      <c r="Q213" s="5"/>
      <c r="R213" s="5"/>
      <c r="S213" s="5"/>
      <c r="T213" s="220"/>
      <c r="U213" s="53"/>
      <c r="V213" s="52"/>
      <c r="W213" s="52"/>
    </row>
    <row r="214" spans="16:23" x14ac:dyDescent="0.25">
      <c r="P214" s="5"/>
      <c r="Q214" s="5"/>
      <c r="R214" s="5"/>
      <c r="S214" s="5"/>
      <c r="T214" s="220"/>
      <c r="U214" s="53"/>
      <c r="V214" s="52"/>
      <c r="W214" s="52"/>
    </row>
    <row r="215" spans="16:23" x14ac:dyDescent="0.25">
      <c r="P215" s="5"/>
      <c r="Q215" s="5"/>
      <c r="R215" s="5"/>
      <c r="S215" s="5"/>
      <c r="T215" s="220"/>
      <c r="U215" s="53"/>
      <c r="V215" s="52"/>
      <c r="W215" s="52"/>
    </row>
    <row r="216" spans="16:23" x14ac:dyDescent="0.25">
      <c r="P216" s="5"/>
      <c r="Q216" s="5"/>
      <c r="R216" s="5"/>
      <c r="S216" s="5"/>
      <c r="T216" s="220"/>
      <c r="U216" s="53"/>
      <c r="V216" s="52"/>
      <c r="W216" s="52"/>
    </row>
    <row r="217" spans="16:23" x14ac:dyDescent="0.25">
      <c r="P217" s="5"/>
      <c r="Q217" s="5"/>
      <c r="R217" s="5"/>
      <c r="S217" s="5"/>
      <c r="T217" s="220"/>
      <c r="U217" s="53"/>
      <c r="V217" s="52"/>
      <c r="W217" s="52"/>
    </row>
    <row r="218" spans="16:23" x14ac:dyDescent="0.25">
      <c r="P218" s="5"/>
      <c r="Q218" s="5"/>
      <c r="R218" s="5"/>
      <c r="S218" s="5"/>
      <c r="T218" s="220"/>
      <c r="U218" s="53"/>
      <c r="V218" s="52"/>
      <c r="W218" s="52"/>
    </row>
    <row r="219" spans="16:23" x14ac:dyDescent="0.25">
      <c r="P219" s="5"/>
      <c r="Q219" s="5"/>
      <c r="R219" s="5"/>
      <c r="S219" s="5"/>
      <c r="T219" s="220"/>
      <c r="U219" s="53"/>
      <c r="V219" s="52"/>
      <c r="W219" s="52"/>
    </row>
    <row r="220" spans="16:23" x14ac:dyDescent="0.25">
      <c r="P220" s="5"/>
      <c r="Q220" s="5"/>
      <c r="R220" s="5"/>
      <c r="S220" s="5"/>
      <c r="T220" s="220"/>
      <c r="U220" s="53"/>
      <c r="V220" s="52"/>
      <c r="W220" s="52"/>
    </row>
    <row r="221" spans="16:23" x14ac:dyDescent="0.25">
      <c r="P221" s="5"/>
      <c r="Q221" s="5"/>
      <c r="R221" s="5"/>
      <c r="S221" s="5"/>
      <c r="T221" s="220"/>
      <c r="U221" s="53"/>
      <c r="V221" s="52"/>
      <c r="W221" s="52"/>
    </row>
    <row r="222" spans="16:23" x14ac:dyDescent="0.25">
      <c r="P222" s="5"/>
      <c r="Q222" s="5"/>
      <c r="R222" s="5"/>
      <c r="S222" s="5"/>
      <c r="T222" s="220"/>
      <c r="U222" s="53"/>
      <c r="V222" s="52"/>
      <c r="W222" s="52"/>
    </row>
    <row r="223" spans="16:23" x14ac:dyDescent="0.25">
      <c r="P223" s="5"/>
      <c r="Q223" s="5"/>
      <c r="R223" s="5"/>
      <c r="S223" s="5"/>
      <c r="T223" s="220"/>
      <c r="U223" s="53"/>
      <c r="V223" s="52"/>
      <c r="W223" s="52"/>
    </row>
    <row r="224" spans="16:23" x14ac:dyDescent="0.25">
      <c r="P224" s="5"/>
      <c r="Q224" s="5"/>
      <c r="R224" s="5"/>
      <c r="S224" s="5"/>
      <c r="T224" s="220"/>
      <c r="U224" s="53"/>
      <c r="V224" s="52"/>
      <c r="W224" s="52"/>
    </row>
    <row r="225" spans="16:23" x14ac:dyDescent="0.25">
      <c r="P225" s="5"/>
      <c r="Q225" s="5"/>
      <c r="R225" s="5"/>
      <c r="S225" s="5"/>
      <c r="T225" s="220"/>
      <c r="U225" s="53"/>
      <c r="V225" s="52"/>
      <c r="W225" s="52"/>
    </row>
    <row r="226" spans="16:23" x14ac:dyDescent="0.25">
      <c r="P226" s="5"/>
      <c r="Q226" s="5"/>
      <c r="R226" s="5"/>
      <c r="S226" s="5"/>
      <c r="T226" s="220"/>
      <c r="U226" s="53"/>
      <c r="V226" s="52"/>
      <c r="W226" s="52"/>
    </row>
    <row r="227" spans="16:23" x14ac:dyDescent="0.25">
      <c r="P227" s="5"/>
      <c r="Q227" s="5"/>
      <c r="R227" s="5"/>
      <c r="S227" s="5"/>
      <c r="T227" s="220"/>
      <c r="U227" s="53"/>
      <c r="V227" s="52"/>
      <c r="W227" s="52"/>
    </row>
    <row r="228" spans="16:23" x14ac:dyDescent="0.25">
      <c r="P228" s="5"/>
      <c r="Q228" s="5"/>
      <c r="R228" s="5"/>
      <c r="S228" s="5"/>
      <c r="T228" s="220"/>
      <c r="U228" s="53"/>
      <c r="V228" s="52"/>
      <c r="W228" s="52"/>
    </row>
    <row r="229" spans="16:23" x14ac:dyDescent="0.25">
      <c r="P229" s="5"/>
      <c r="Q229" s="5"/>
      <c r="R229" s="5"/>
      <c r="S229" s="5"/>
      <c r="T229" s="220"/>
      <c r="U229" s="53"/>
      <c r="V229" s="52"/>
      <c r="W229" s="52"/>
    </row>
    <row r="230" spans="16:23" x14ac:dyDescent="0.25">
      <c r="P230" s="5"/>
      <c r="Q230" s="5"/>
      <c r="R230" s="5"/>
      <c r="S230" s="5"/>
      <c r="T230" s="220"/>
      <c r="U230" s="53"/>
      <c r="V230" s="52"/>
      <c r="W230" s="52"/>
    </row>
    <row r="231" spans="16:23" x14ac:dyDescent="0.25">
      <c r="P231" s="5"/>
      <c r="Q231" s="5"/>
      <c r="R231" s="5"/>
      <c r="S231" s="5"/>
      <c r="T231" s="220"/>
      <c r="U231" s="53"/>
      <c r="V231" s="52"/>
      <c r="W231" s="52"/>
    </row>
    <row r="232" spans="16:23" x14ac:dyDescent="0.25">
      <c r="P232" s="5"/>
      <c r="Q232" s="5"/>
      <c r="R232" s="5"/>
      <c r="S232" s="5"/>
      <c r="T232" s="220"/>
      <c r="U232" s="53"/>
      <c r="V232" s="52"/>
      <c r="W232" s="52"/>
    </row>
    <row r="233" spans="16:23" x14ac:dyDescent="0.25">
      <c r="P233" s="5"/>
      <c r="Q233" s="5"/>
      <c r="R233" s="5"/>
      <c r="S233" s="5"/>
      <c r="T233" s="220"/>
      <c r="U233" s="53"/>
      <c r="V233" s="52"/>
      <c r="W233" s="52"/>
    </row>
    <row r="234" spans="16:23" x14ac:dyDescent="0.25">
      <c r="P234" s="5"/>
      <c r="Q234" s="5"/>
      <c r="R234" s="5"/>
      <c r="S234" s="5"/>
      <c r="T234" s="220"/>
      <c r="U234" s="53"/>
      <c r="V234" s="52"/>
      <c r="W234" s="52"/>
    </row>
    <row r="235" spans="16:23" x14ac:dyDescent="0.25">
      <c r="P235" s="5"/>
      <c r="Q235" s="5"/>
      <c r="R235" s="5"/>
      <c r="S235" s="5"/>
      <c r="T235" s="220"/>
      <c r="U235" s="53"/>
      <c r="V235" s="52"/>
      <c r="W235" s="52"/>
    </row>
    <row r="236" spans="16:23" x14ac:dyDescent="0.25">
      <c r="P236" s="5"/>
      <c r="Q236" s="5"/>
      <c r="R236" s="5"/>
      <c r="S236" s="5"/>
      <c r="T236" s="220"/>
      <c r="U236" s="53"/>
      <c r="V236" s="52"/>
      <c r="W236" s="52"/>
    </row>
    <row r="237" spans="16:23" x14ac:dyDescent="0.25">
      <c r="P237" s="5"/>
      <c r="Q237" s="5"/>
      <c r="R237" s="5"/>
      <c r="S237" s="5"/>
      <c r="T237" s="220"/>
      <c r="U237" s="53"/>
      <c r="V237" s="52"/>
      <c r="W237" s="52"/>
    </row>
    <row r="238" spans="16:23" x14ac:dyDescent="0.25">
      <c r="P238" s="5"/>
      <c r="Q238" s="5"/>
      <c r="R238" s="5"/>
      <c r="S238" s="5"/>
      <c r="T238" s="220"/>
      <c r="U238" s="53"/>
      <c r="V238" s="52"/>
      <c r="W238" s="52"/>
    </row>
    <row r="239" spans="16:23" x14ac:dyDescent="0.25">
      <c r="P239" s="5"/>
      <c r="Q239" s="5"/>
      <c r="R239" s="5"/>
      <c r="S239" s="5"/>
      <c r="T239" s="220"/>
      <c r="U239" s="53"/>
      <c r="V239" s="52"/>
      <c r="W239" s="52"/>
    </row>
    <row r="240" spans="16:23" x14ac:dyDescent="0.25">
      <c r="P240" s="5"/>
      <c r="Q240" s="5"/>
      <c r="R240" s="5"/>
      <c r="S240" s="5"/>
      <c r="T240" s="220"/>
      <c r="U240" s="53"/>
      <c r="V240" s="52"/>
      <c r="W240" s="52"/>
    </row>
    <row r="241" spans="16:23" x14ac:dyDescent="0.25">
      <c r="P241" s="5"/>
      <c r="Q241" s="5"/>
      <c r="R241" s="5"/>
      <c r="S241" s="5"/>
      <c r="T241" s="220"/>
      <c r="U241" s="53"/>
      <c r="V241" s="52"/>
      <c r="W241" s="52"/>
    </row>
    <row r="242" spans="16:23" x14ac:dyDescent="0.25">
      <c r="P242" s="5"/>
      <c r="Q242" s="5"/>
      <c r="R242" s="5"/>
      <c r="S242" s="5"/>
      <c r="T242" s="220"/>
      <c r="U242" s="53"/>
      <c r="V242" s="52"/>
      <c r="W242" s="52"/>
    </row>
    <row r="243" spans="16:23" x14ac:dyDescent="0.25">
      <c r="P243" s="5"/>
      <c r="Q243" s="5"/>
      <c r="R243" s="5"/>
      <c r="S243" s="5"/>
      <c r="T243" s="220"/>
      <c r="U243" s="53"/>
      <c r="V243" s="52"/>
      <c r="W243" s="52"/>
    </row>
    <row r="244" spans="16:23" x14ac:dyDescent="0.25">
      <c r="P244" s="5"/>
      <c r="Q244" s="5"/>
      <c r="R244" s="5"/>
      <c r="S244" s="5"/>
      <c r="T244" s="220"/>
      <c r="U244" s="53"/>
      <c r="V244" s="52"/>
      <c r="W244" s="52"/>
    </row>
    <row r="245" spans="16:23" x14ac:dyDescent="0.25">
      <c r="P245" s="5"/>
      <c r="Q245" s="5"/>
      <c r="R245" s="5"/>
      <c r="S245" s="5"/>
      <c r="T245" s="220"/>
      <c r="U245" s="53"/>
      <c r="V245" s="52"/>
      <c r="W245" s="52"/>
    </row>
    <row r="246" spans="16:23" x14ac:dyDescent="0.25">
      <c r="P246" s="5"/>
      <c r="Q246" s="5"/>
      <c r="R246" s="5"/>
      <c r="S246" s="5"/>
      <c r="T246" s="220"/>
      <c r="U246" s="53"/>
      <c r="V246" s="52"/>
      <c r="W246" s="52"/>
    </row>
    <row r="247" spans="16:23" x14ac:dyDescent="0.25">
      <c r="P247" s="5"/>
      <c r="Q247" s="5"/>
      <c r="R247" s="5"/>
      <c r="S247" s="5"/>
      <c r="T247" s="220"/>
      <c r="U247" s="53"/>
      <c r="V247" s="52"/>
      <c r="W247" s="52"/>
    </row>
    <row r="248" spans="16:23" x14ac:dyDescent="0.25">
      <c r="P248" s="5"/>
      <c r="Q248" s="5"/>
      <c r="R248" s="5"/>
      <c r="S248" s="5"/>
      <c r="T248" s="220"/>
      <c r="U248" s="53"/>
      <c r="V248" s="52"/>
      <c r="W248" s="52"/>
    </row>
    <row r="249" spans="16:23" x14ac:dyDescent="0.25">
      <c r="P249" s="5"/>
      <c r="Q249" s="5"/>
      <c r="R249" s="5"/>
      <c r="S249" s="5"/>
      <c r="T249" s="220"/>
      <c r="U249" s="53"/>
      <c r="V249" s="52"/>
      <c r="W249" s="52"/>
    </row>
    <row r="250" spans="16:23" x14ac:dyDescent="0.25">
      <c r="P250" s="5"/>
      <c r="Q250" s="5"/>
      <c r="R250" s="5"/>
      <c r="S250" s="5"/>
      <c r="T250" s="220"/>
      <c r="U250" s="53"/>
      <c r="V250" s="52"/>
      <c r="W250" s="52"/>
    </row>
    <row r="251" spans="16:23" x14ac:dyDescent="0.25">
      <c r="P251" s="5"/>
      <c r="Q251" s="5"/>
      <c r="R251" s="5"/>
      <c r="S251" s="5"/>
      <c r="T251" s="220"/>
      <c r="U251" s="53"/>
      <c r="V251" s="52"/>
      <c r="W251" s="52"/>
    </row>
    <row r="252" spans="16:23" x14ac:dyDescent="0.25">
      <c r="P252" s="5"/>
      <c r="Q252" s="5"/>
      <c r="R252" s="5"/>
      <c r="S252" s="5"/>
      <c r="T252" s="220"/>
      <c r="U252" s="53"/>
      <c r="V252" s="52"/>
      <c r="W252" s="52"/>
    </row>
    <row r="253" spans="16:23" x14ac:dyDescent="0.25">
      <c r="P253" s="5"/>
      <c r="Q253" s="5"/>
      <c r="R253" s="5"/>
      <c r="S253" s="5"/>
      <c r="T253" s="220"/>
      <c r="U253" s="53"/>
      <c r="V253" s="52"/>
      <c r="W253" s="52"/>
    </row>
    <row r="254" spans="16:23" x14ac:dyDescent="0.25">
      <c r="P254" s="5"/>
      <c r="Q254" s="5"/>
      <c r="R254" s="5"/>
      <c r="S254" s="5"/>
      <c r="T254" s="220"/>
      <c r="U254" s="53"/>
      <c r="V254" s="52"/>
      <c r="W254" s="52"/>
    </row>
    <row r="255" spans="16:23" x14ac:dyDescent="0.25">
      <c r="P255" s="5"/>
      <c r="Q255" s="5"/>
      <c r="R255" s="5"/>
      <c r="S255" s="5"/>
      <c r="T255" s="220"/>
      <c r="U255" s="53"/>
      <c r="V255" s="52"/>
      <c r="W255" s="52"/>
    </row>
    <row r="256" spans="16:23" x14ac:dyDescent="0.25">
      <c r="P256" s="5"/>
      <c r="Q256" s="5"/>
      <c r="R256" s="5"/>
      <c r="S256" s="5"/>
      <c r="T256" s="220"/>
      <c r="U256" s="53"/>
      <c r="V256" s="52"/>
      <c r="W256" s="52"/>
    </row>
    <row r="257" spans="16:23" x14ac:dyDescent="0.25">
      <c r="P257" s="5"/>
      <c r="Q257" s="5"/>
      <c r="R257" s="5"/>
      <c r="S257" s="5"/>
      <c r="T257" s="220"/>
      <c r="U257" s="53"/>
      <c r="V257" s="52"/>
      <c r="W257" s="52"/>
    </row>
    <row r="258" spans="16:23" x14ac:dyDescent="0.25">
      <c r="P258" s="5"/>
      <c r="Q258" s="5"/>
      <c r="R258" s="5"/>
      <c r="S258" s="5"/>
      <c r="T258" s="220"/>
      <c r="U258" s="53"/>
      <c r="V258" s="52"/>
      <c r="W258" s="52"/>
    </row>
    <row r="259" spans="16:23" x14ac:dyDescent="0.25">
      <c r="P259" s="5"/>
      <c r="Q259" s="5"/>
      <c r="R259" s="5"/>
      <c r="S259" s="5"/>
      <c r="T259" s="220"/>
      <c r="U259" s="53"/>
      <c r="V259" s="52"/>
      <c r="W259" s="52"/>
    </row>
    <row r="260" spans="16:23" x14ac:dyDescent="0.25">
      <c r="P260" s="5"/>
      <c r="Q260" s="5"/>
      <c r="R260" s="5"/>
      <c r="S260" s="5"/>
      <c r="T260" s="220"/>
      <c r="U260" s="53"/>
      <c r="V260" s="52"/>
      <c r="W260" s="52"/>
    </row>
    <row r="261" spans="16:23" x14ac:dyDescent="0.25">
      <c r="P261" s="5"/>
      <c r="Q261" s="5"/>
      <c r="R261" s="5"/>
      <c r="S261" s="5"/>
      <c r="T261" s="220"/>
      <c r="U261" s="53"/>
      <c r="V261" s="52"/>
      <c r="W261" s="52"/>
    </row>
    <row r="262" spans="16:23" x14ac:dyDescent="0.25">
      <c r="P262" s="5"/>
      <c r="Q262" s="5"/>
      <c r="R262" s="5"/>
      <c r="S262" s="5"/>
      <c r="T262" s="220"/>
      <c r="U262" s="53"/>
      <c r="V262" s="52"/>
      <c r="W262" s="52"/>
    </row>
    <row r="263" spans="16:23" x14ac:dyDescent="0.25">
      <c r="P263" s="5"/>
      <c r="Q263" s="5"/>
      <c r="R263" s="5"/>
      <c r="S263" s="5"/>
      <c r="T263" s="220"/>
      <c r="U263" s="53"/>
      <c r="V263" s="52"/>
      <c r="W263" s="52"/>
    </row>
    <row r="264" spans="16:23" x14ac:dyDescent="0.25">
      <c r="P264" s="5"/>
      <c r="Q264" s="5"/>
      <c r="R264" s="5"/>
      <c r="S264" s="5"/>
      <c r="T264" s="220"/>
      <c r="U264" s="53"/>
      <c r="V264" s="52"/>
      <c r="W264" s="52"/>
    </row>
    <row r="265" spans="16:23" x14ac:dyDescent="0.25">
      <c r="P265" s="5"/>
      <c r="Q265" s="5"/>
      <c r="R265" s="5"/>
      <c r="S265" s="5"/>
      <c r="T265" s="220"/>
      <c r="U265" s="53"/>
      <c r="V265" s="52"/>
      <c r="W265" s="52"/>
    </row>
    <row r="266" spans="16:23" x14ac:dyDescent="0.25">
      <c r="P266" s="5"/>
      <c r="Q266" s="5"/>
      <c r="R266" s="5"/>
      <c r="S266" s="5"/>
      <c r="T266" s="220"/>
      <c r="U266" s="53"/>
      <c r="V266" s="52"/>
      <c r="W266" s="52"/>
    </row>
    <row r="267" spans="16:23" x14ac:dyDescent="0.25">
      <c r="P267" s="5"/>
      <c r="Q267" s="5"/>
      <c r="R267" s="5"/>
      <c r="S267" s="5"/>
      <c r="T267" s="220"/>
      <c r="U267" s="53"/>
      <c r="V267" s="52"/>
      <c r="W267" s="52"/>
    </row>
    <row r="268" spans="16:23" x14ac:dyDescent="0.25">
      <c r="P268" s="5"/>
      <c r="Q268" s="5"/>
      <c r="R268" s="5"/>
      <c r="S268" s="5"/>
      <c r="T268" s="220"/>
      <c r="U268" s="53"/>
      <c r="V268" s="52"/>
      <c r="W268" s="52"/>
    </row>
    <row r="269" spans="16:23" x14ac:dyDescent="0.25">
      <c r="P269" s="5"/>
      <c r="Q269" s="5"/>
      <c r="R269" s="5"/>
      <c r="S269" s="5"/>
      <c r="T269" s="220"/>
      <c r="U269" s="53"/>
      <c r="V269" s="52"/>
      <c r="W269" s="52"/>
    </row>
    <row r="270" spans="16:23" x14ac:dyDescent="0.25">
      <c r="P270" s="5"/>
      <c r="Q270" s="5"/>
      <c r="R270" s="5"/>
      <c r="S270" s="5"/>
      <c r="T270" s="220"/>
      <c r="U270" s="53"/>
      <c r="V270" s="52"/>
      <c r="W270" s="52"/>
    </row>
    <row r="271" spans="16:23" x14ac:dyDescent="0.25">
      <c r="P271" s="5"/>
      <c r="Q271" s="5"/>
      <c r="R271" s="5"/>
      <c r="S271" s="5"/>
      <c r="T271" s="220"/>
      <c r="U271" s="53"/>
      <c r="V271" s="52"/>
      <c r="W271" s="52"/>
    </row>
    <row r="272" spans="16:23" x14ac:dyDescent="0.25">
      <c r="P272" s="5"/>
      <c r="Q272" s="5"/>
      <c r="R272" s="5"/>
      <c r="S272" s="5"/>
      <c r="T272" s="220"/>
      <c r="U272" s="53"/>
      <c r="V272" s="52"/>
      <c r="W272" s="52"/>
    </row>
    <row r="273" spans="16:23" x14ac:dyDescent="0.25">
      <c r="P273" s="5"/>
      <c r="Q273" s="5"/>
      <c r="R273" s="5"/>
      <c r="S273" s="5"/>
      <c r="T273" s="220"/>
      <c r="U273" s="53"/>
      <c r="V273" s="52"/>
      <c r="W273" s="52"/>
    </row>
    <row r="274" spans="16:23" x14ac:dyDescent="0.25">
      <c r="P274" s="5"/>
      <c r="Q274" s="5"/>
      <c r="R274" s="5"/>
      <c r="S274" s="5"/>
      <c r="T274" s="220"/>
      <c r="U274" s="53"/>
      <c r="V274" s="52"/>
      <c r="W274" s="52"/>
    </row>
    <row r="275" spans="16:23" x14ac:dyDescent="0.25">
      <c r="P275" s="5"/>
      <c r="Q275" s="5"/>
      <c r="R275" s="5"/>
      <c r="S275" s="5"/>
      <c r="T275" s="220"/>
      <c r="U275" s="53"/>
      <c r="V275" s="52"/>
      <c r="W275" s="52"/>
    </row>
    <row r="276" spans="16:23" x14ac:dyDescent="0.25">
      <c r="P276" s="5"/>
      <c r="Q276" s="5"/>
      <c r="R276" s="5"/>
      <c r="S276" s="5"/>
      <c r="T276" s="220"/>
      <c r="U276" s="53"/>
      <c r="V276" s="52"/>
      <c r="W276" s="52"/>
    </row>
    <row r="277" spans="16:23" x14ac:dyDescent="0.25">
      <c r="P277" s="5"/>
      <c r="Q277" s="5"/>
      <c r="R277" s="5"/>
      <c r="S277" s="5"/>
      <c r="T277" s="220"/>
      <c r="U277" s="53"/>
      <c r="V277" s="52"/>
      <c r="W277" s="52"/>
    </row>
    <row r="278" spans="16:23" x14ac:dyDescent="0.25">
      <c r="P278" s="5"/>
      <c r="Q278" s="5"/>
      <c r="R278" s="5"/>
      <c r="S278" s="5"/>
      <c r="T278" s="220"/>
      <c r="U278" s="53"/>
      <c r="V278" s="52"/>
      <c r="W278" s="52"/>
    </row>
    <row r="279" spans="16:23" x14ac:dyDescent="0.25">
      <c r="P279" s="5"/>
      <c r="Q279" s="5"/>
      <c r="R279" s="5"/>
      <c r="S279" s="5"/>
      <c r="T279" s="220"/>
      <c r="U279" s="53"/>
      <c r="V279" s="52"/>
      <c r="W279" s="52"/>
    </row>
    <row r="280" spans="16:23" x14ac:dyDescent="0.25">
      <c r="P280" s="5"/>
      <c r="Q280" s="5"/>
      <c r="R280" s="5"/>
      <c r="S280" s="5"/>
      <c r="T280" s="220"/>
      <c r="U280" s="53"/>
      <c r="V280" s="52"/>
      <c r="W280" s="52"/>
    </row>
    <row r="281" spans="16:23" x14ac:dyDescent="0.25">
      <c r="P281" s="5"/>
      <c r="Q281" s="5"/>
      <c r="R281" s="5"/>
      <c r="S281" s="5"/>
      <c r="T281" s="220"/>
      <c r="U281" s="53"/>
      <c r="V281" s="52"/>
      <c r="W281" s="52"/>
    </row>
    <row r="282" spans="16:23" x14ac:dyDescent="0.25">
      <c r="P282" s="5"/>
      <c r="Q282" s="5"/>
      <c r="R282" s="5"/>
      <c r="S282" s="5"/>
      <c r="T282" s="220"/>
      <c r="U282" s="53"/>
      <c r="V282" s="52"/>
      <c r="W282" s="52"/>
    </row>
    <row r="283" spans="16:23" x14ac:dyDescent="0.25">
      <c r="P283" s="5"/>
      <c r="Q283" s="5"/>
      <c r="R283" s="5"/>
      <c r="S283" s="5"/>
      <c r="T283" s="220"/>
      <c r="U283" s="53"/>
      <c r="V283" s="52"/>
      <c r="W283" s="52"/>
    </row>
    <row r="284" spans="16:23" x14ac:dyDescent="0.25">
      <c r="P284" s="5"/>
      <c r="Q284" s="5"/>
      <c r="R284" s="5"/>
      <c r="S284" s="5"/>
      <c r="T284" s="220"/>
      <c r="U284" s="53"/>
      <c r="V284" s="52"/>
      <c r="W284" s="52"/>
    </row>
    <row r="285" spans="16:23" x14ac:dyDescent="0.25">
      <c r="P285" s="5"/>
      <c r="Q285" s="5"/>
      <c r="R285" s="5"/>
      <c r="S285" s="5"/>
      <c r="T285" s="220"/>
      <c r="U285" s="53"/>
      <c r="V285" s="52"/>
      <c r="W285" s="52"/>
    </row>
    <row r="286" spans="16:23" x14ac:dyDescent="0.25">
      <c r="P286" s="5"/>
      <c r="Q286" s="5"/>
      <c r="R286" s="5"/>
      <c r="S286" s="5"/>
      <c r="T286" s="220"/>
      <c r="U286" s="53"/>
      <c r="V286" s="52"/>
      <c r="W286" s="52"/>
    </row>
    <row r="287" spans="16:23" x14ac:dyDescent="0.25">
      <c r="P287" s="5"/>
      <c r="Q287" s="5"/>
      <c r="R287" s="5"/>
      <c r="S287" s="5"/>
      <c r="T287" s="220"/>
      <c r="U287" s="53"/>
      <c r="V287" s="52"/>
      <c r="W287" s="52"/>
    </row>
    <row r="288" spans="16:23" x14ac:dyDescent="0.25">
      <c r="P288" s="5"/>
      <c r="Q288" s="5"/>
      <c r="R288" s="5"/>
      <c r="S288" s="5"/>
      <c r="T288" s="220"/>
      <c r="U288" s="53"/>
      <c r="V288" s="52"/>
      <c r="W288" s="52"/>
    </row>
    <row r="289" spans="16:23" x14ac:dyDescent="0.25">
      <c r="P289" s="5"/>
      <c r="Q289" s="5"/>
      <c r="R289" s="5"/>
      <c r="S289" s="5"/>
      <c r="T289" s="220"/>
      <c r="U289" s="53"/>
      <c r="V289" s="52"/>
      <c r="W289" s="52"/>
    </row>
    <row r="290" spans="16:23" x14ac:dyDescent="0.25">
      <c r="P290" s="5"/>
      <c r="Q290" s="5"/>
      <c r="R290" s="5"/>
      <c r="S290" s="5"/>
      <c r="T290" s="220"/>
      <c r="U290" s="53"/>
      <c r="V290" s="52"/>
      <c r="W290" s="52"/>
    </row>
    <row r="291" spans="16:23" x14ac:dyDescent="0.25">
      <c r="P291" s="5"/>
      <c r="Q291" s="5"/>
      <c r="R291" s="5"/>
      <c r="S291" s="5"/>
      <c r="T291" s="220"/>
      <c r="U291" s="53"/>
      <c r="V291" s="52"/>
      <c r="W291" s="52"/>
    </row>
    <row r="292" spans="16:23" x14ac:dyDescent="0.25">
      <c r="P292" s="5"/>
      <c r="Q292" s="5"/>
      <c r="R292" s="5"/>
      <c r="S292" s="5"/>
      <c r="T292" s="220"/>
      <c r="U292" s="53"/>
      <c r="V292" s="52"/>
      <c r="W292" s="52"/>
    </row>
    <row r="293" spans="16:23" x14ac:dyDescent="0.25">
      <c r="P293" s="5"/>
      <c r="Q293" s="5"/>
      <c r="R293" s="5"/>
      <c r="S293" s="5"/>
      <c r="T293" s="220"/>
      <c r="U293" s="53"/>
      <c r="V293" s="52"/>
      <c r="W293" s="52"/>
    </row>
    <row r="294" spans="16:23" x14ac:dyDescent="0.25">
      <c r="P294" s="5"/>
      <c r="Q294" s="5"/>
      <c r="R294" s="5"/>
      <c r="S294" s="5"/>
      <c r="T294" s="220"/>
      <c r="U294" s="53"/>
      <c r="V294" s="52"/>
      <c r="W294" s="52"/>
    </row>
    <row r="295" spans="16:23" x14ac:dyDescent="0.25">
      <c r="P295" s="5"/>
      <c r="Q295" s="5"/>
      <c r="R295" s="5"/>
      <c r="S295" s="5"/>
      <c r="T295" s="220"/>
      <c r="U295" s="53"/>
      <c r="V295" s="52"/>
      <c r="W295" s="52"/>
    </row>
    <row r="296" spans="16:23" x14ac:dyDescent="0.25">
      <c r="P296" s="5"/>
      <c r="Q296" s="5"/>
      <c r="R296" s="5"/>
      <c r="S296" s="5"/>
      <c r="T296" s="220"/>
      <c r="U296" s="53"/>
      <c r="V296" s="52"/>
      <c r="W296" s="52"/>
    </row>
    <row r="297" spans="16:23" x14ac:dyDescent="0.25">
      <c r="P297" s="5"/>
      <c r="Q297" s="5"/>
      <c r="R297" s="5"/>
      <c r="S297" s="5"/>
      <c r="T297" s="5"/>
    </row>
    <row r="298" spans="16:23" x14ac:dyDescent="0.25">
      <c r="P298" s="5"/>
      <c r="Q298" s="5"/>
      <c r="R298" s="5"/>
      <c r="S298" s="5"/>
      <c r="T298" s="5"/>
    </row>
    <row r="299" spans="16:23" x14ac:dyDescent="0.25">
      <c r="P299" s="5"/>
      <c r="Q299" s="5"/>
      <c r="R299" s="5"/>
      <c r="S299" s="5"/>
      <c r="T299" s="5"/>
    </row>
    <row r="300" spans="16:23" x14ac:dyDescent="0.25">
      <c r="P300" s="5"/>
      <c r="Q300" s="5"/>
      <c r="R300" s="5"/>
      <c r="S300" s="5"/>
      <c r="T300" s="5"/>
    </row>
    <row r="301" spans="16:23" x14ac:dyDescent="0.25">
      <c r="P301" s="5"/>
      <c r="Q301" s="5"/>
      <c r="R301" s="5"/>
      <c r="S301" s="5"/>
      <c r="T301" s="5"/>
    </row>
    <row r="302" spans="16:23" x14ac:dyDescent="0.25">
      <c r="P302" s="5"/>
      <c r="Q302" s="5"/>
      <c r="R302" s="5"/>
      <c r="S302" s="5"/>
      <c r="T302" s="5"/>
    </row>
    <row r="303" spans="16:23" x14ac:dyDescent="0.25">
      <c r="P303" s="5"/>
      <c r="Q303" s="5"/>
      <c r="R303" s="5"/>
      <c r="S303" s="5"/>
      <c r="T303" s="5"/>
    </row>
    <row r="304" spans="16:23" x14ac:dyDescent="0.25">
      <c r="P304" s="5"/>
      <c r="Q304" s="5"/>
      <c r="R304" s="5"/>
      <c r="S304" s="5"/>
      <c r="T304" s="5"/>
    </row>
    <row r="305" spans="16:20" x14ac:dyDescent="0.25">
      <c r="P305" s="5"/>
      <c r="Q305" s="5"/>
      <c r="R305" s="5"/>
      <c r="S305" s="5"/>
      <c r="T305" s="5"/>
    </row>
    <row r="306" spans="16:20" x14ac:dyDescent="0.25">
      <c r="P306" s="5"/>
      <c r="Q306" s="5"/>
      <c r="R306" s="5"/>
      <c r="S306" s="5"/>
      <c r="T306" s="5"/>
    </row>
    <row r="307" spans="16:20" x14ac:dyDescent="0.25">
      <c r="P307" s="5"/>
      <c r="Q307" s="5"/>
      <c r="R307" s="5"/>
      <c r="S307" s="5"/>
      <c r="T307" s="5"/>
    </row>
    <row r="308" spans="16:20" x14ac:dyDescent="0.25">
      <c r="P308" s="5"/>
      <c r="Q308" s="5"/>
      <c r="R308" s="5"/>
      <c r="S308" s="5"/>
      <c r="T308" s="5"/>
    </row>
    <row r="309" spans="16:20" x14ac:dyDescent="0.25">
      <c r="P309" s="5"/>
      <c r="Q309" s="5"/>
      <c r="R309" s="5"/>
      <c r="S309" s="5"/>
      <c r="T309" s="5"/>
    </row>
    <row r="310" spans="16:20" x14ac:dyDescent="0.25">
      <c r="P310" s="5"/>
      <c r="Q310" s="5"/>
      <c r="R310" s="5"/>
      <c r="S310" s="5"/>
      <c r="T310" s="5"/>
    </row>
    <row r="311" spans="16:20" x14ac:dyDescent="0.25">
      <c r="P311" s="5"/>
      <c r="Q311" s="5"/>
      <c r="R311" s="5"/>
      <c r="S311" s="5"/>
      <c r="T311" s="5"/>
    </row>
    <row r="312" spans="16:20" x14ac:dyDescent="0.25">
      <c r="P312" s="5"/>
      <c r="Q312" s="5"/>
      <c r="R312" s="5"/>
      <c r="S312" s="5"/>
      <c r="T312" s="5"/>
    </row>
    <row r="313" spans="16:20" x14ac:dyDescent="0.25">
      <c r="P313" s="5"/>
      <c r="Q313" s="5"/>
      <c r="R313" s="5"/>
      <c r="S313" s="5"/>
      <c r="T313" s="5"/>
    </row>
    <row r="314" spans="16:20" x14ac:dyDescent="0.25">
      <c r="P314" s="5"/>
      <c r="Q314" s="5"/>
      <c r="R314" s="5"/>
      <c r="S314" s="5"/>
      <c r="T314" s="5"/>
    </row>
    <row r="315" spans="16:20" x14ac:dyDescent="0.25">
      <c r="P315" s="5"/>
      <c r="Q315" s="5"/>
      <c r="R315" s="5"/>
      <c r="S315" s="5"/>
      <c r="T315" s="5"/>
    </row>
    <row r="316" spans="16:20" x14ac:dyDescent="0.25">
      <c r="P316" s="5"/>
      <c r="Q316" s="5"/>
      <c r="R316" s="5"/>
      <c r="S316" s="5"/>
      <c r="T316" s="5"/>
    </row>
    <row r="317" spans="16:20" x14ac:dyDescent="0.25">
      <c r="P317" s="5"/>
      <c r="Q317" s="5"/>
      <c r="R317" s="5"/>
      <c r="S317" s="5"/>
      <c r="T317" s="5"/>
    </row>
    <row r="318" spans="16:20" x14ac:dyDescent="0.25">
      <c r="P318" s="5"/>
      <c r="Q318" s="5"/>
      <c r="R318" s="5"/>
      <c r="S318" s="5"/>
      <c r="T318" s="5"/>
    </row>
    <row r="319" spans="16:20" x14ac:dyDescent="0.25">
      <c r="P319" s="5"/>
      <c r="Q319" s="5"/>
      <c r="R319" s="5"/>
      <c r="S319" s="5"/>
      <c r="T319" s="5"/>
    </row>
    <row r="320" spans="16:20" x14ac:dyDescent="0.25">
      <c r="P320" s="5"/>
      <c r="Q320" s="5"/>
      <c r="R320" s="5"/>
      <c r="S320" s="5"/>
      <c r="T320" s="5"/>
    </row>
    <row r="321" spans="16:20" x14ac:dyDescent="0.25">
      <c r="P321" s="5"/>
      <c r="Q321" s="5"/>
      <c r="R321" s="5"/>
      <c r="S321" s="5"/>
      <c r="T321" s="5"/>
    </row>
    <row r="322" spans="16:20" x14ac:dyDescent="0.25">
      <c r="P322" s="5"/>
      <c r="Q322" s="5"/>
      <c r="R322" s="5"/>
      <c r="S322" s="5"/>
      <c r="T322" s="5"/>
    </row>
    <row r="323" spans="16:20" x14ac:dyDescent="0.25">
      <c r="P323" s="5"/>
      <c r="Q323" s="5"/>
      <c r="R323" s="5"/>
      <c r="S323" s="5"/>
      <c r="T323" s="5"/>
    </row>
    <row r="324" spans="16:20" x14ac:dyDescent="0.25">
      <c r="P324" s="5"/>
      <c r="Q324" s="5"/>
      <c r="R324" s="5"/>
      <c r="S324" s="5"/>
      <c r="T324" s="5"/>
    </row>
    <row r="325" spans="16:20" x14ac:dyDescent="0.25">
      <c r="P325" s="5"/>
      <c r="Q325" s="5"/>
      <c r="R325" s="5"/>
      <c r="S325" s="5"/>
      <c r="T325" s="5"/>
    </row>
    <row r="326" spans="16:20" x14ac:dyDescent="0.25">
      <c r="P326" s="5"/>
      <c r="Q326" s="5"/>
      <c r="R326" s="5"/>
      <c r="S326" s="5"/>
      <c r="T326" s="5"/>
    </row>
    <row r="327" spans="16:20" x14ac:dyDescent="0.25">
      <c r="P327" s="5"/>
      <c r="Q327" s="5"/>
      <c r="R327" s="5"/>
      <c r="S327" s="5"/>
      <c r="T327" s="5"/>
    </row>
    <row r="328" spans="16:20" x14ac:dyDescent="0.25">
      <c r="P328" s="5"/>
      <c r="Q328" s="5"/>
      <c r="R328" s="5"/>
      <c r="S328" s="5"/>
      <c r="T328" s="5"/>
    </row>
    <row r="329" spans="16:20" x14ac:dyDescent="0.25">
      <c r="P329" s="5"/>
      <c r="Q329" s="5"/>
      <c r="R329" s="5"/>
      <c r="S329" s="5"/>
      <c r="T329" s="5"/>
    </row>
    <row r="330" spans="16:20" x14ac:dyDescent="0.25">
      <c r="P330" s="5"/>
      <c r="Q330" s="5"/>
      <c r="R330" s="5"/>
      <c r="S330" s="5"/>
      <c r="T330" s="5"/>
    </row>
    <row r="331" spans="16:20" x14ac:dyDescent="0.25">
      <c r="P331" s="5"/>
      <c r="Q331" s="5"/>
      <c r="R331" s="5"/>
      <c r="S331" s="5"/>
      <c r="T331" s="5"/>
    </row>
    <row r="332" spans="16:20" x14ac:dyDescent="0.25">
      <c r="P332" s="5"/>
      <c r="Q332" s="5"/>
      <c r="R332" s="5"/>
      <c r="S332" s="5"/>
      <c r="T332" s="5"/>
    </row>
    <row r="333" spans="16:20" x14ac:dyDescent="0.25">
      <c r="P333" s="5"/>
      <c r="Q333" s="5"/>
      <c r="R333" s="5"/>
      <c r="S333" s="5"/>
      <c r="T333" s="5"/>
    </row>
    <row r="334" spans="16:20" x14ac:dyDescent="0.25">
      <c r="P334" s="5"/>
      <c r="Q334" s="5"/>
      <c r="R334" s="5"/>
      <c r="S334" s="5"/>
      <c r="T334" s="5"/>
    </row>
    <row r="335" spans="16:20" x14ac:dyDescent="0.25">
      <c r="P335" s="5"/>
      <c r="Q335" s="5"/>
      <c r="R335" s="5"/>
      <c r="S335" s="5"/>
      <c r="T335" s="5"/>
    </row>
    <row r="336" spans="16:20" x14ac:dyDescent="0.25">
      <c r="P336" s="5"/>
      <c r="Q336" s="5"/>
      <c r="R336" s="5"/>
      <c r="S336" s="5"/>
      <c r="T336" s="5"/>
    </row>
    <row r="337" spans="16:20" x14ac:dyDescent="0.25">
      <c r="P337" s="5"/>
      <c r="Q337" s="5"/>
      <c r="R337" s="5"/>
      <c r="S337" s="5"/>
      <c r="T337" s="5"/>
    </row>
    <row r="338" spans="16:20" x14ac:dyDescent="0.25">
      <c r="P338" s="5"/>
      <c r="Q338" s="5"/>
      <c r="R338" s="5"/>
      <c r="S338" s="5"/>
      <c r="T338" s="5"/>
    </row>
    <row r="339" spans="16:20" x14ac:dyDescent="0.25">
      <c r="P339" s="5"/>
      <c r="Q339" s="5"/>
      <c r="R339" s="5"/>
      <c r="S339" s="5"/>
      <c r="T339" s="5"/>
    </row>
    <row r="340" spans="16:20" x14ac:dyDescent="0.25">
      <c r="P340" s="5"/>
      <c r="Q340" s="5"/>
      <c r="R340" s="5"/>
      <c r="S340" s="5"/>
      <c r="T340" s="5"/>
    </row>
    <row r="341" spans="16:20" x14ac:dyDescent="0.25">
      <c r="P341" s="5"/>
      <c r="Q341" s="5"/>
      <c r="R341" s="5"/>
      <c r="S341" s="5"/>
      <c r="T341" s="5"/>
    </row>
    <row r="342" spans="16:20" x14ac:dyDescent="0.25">
      <c r="P342" s="5"/>
      <c r="Q342" s="5"/>
      <c r="R342" s="5"/>
      <c r="S342" s="5"/>
      <c r="T342" s="5"/>
    </row>
    <row r="343" spans="16:20" x14ac:dyDescent="0.25">
      <c r="P343" s="5"/>
      <c r="Q343" s="5"/>
      <c r="R343" s="5"/>
      <c r="S343" s="5"/>
      <c r="T343" s="5"/>
    </row>
    <row r="344" spans="16:20" x14ac:dyDescent="0.25">
      <c r="P344" s="5"/>
      <c r="Q344" s="5"/>
      <c r="R344" s="5"/>
      <c r="S344" s="5"/>
      <c r="T344" s="5"/>
    </row>
    <row r="345" spans="16:20" x14ac:dyDescent="0.25">
      <c r="P345" s="5"/>
      <c r="Q345" s="5"/>
      <c r="R345" s="5"/>
      <c r="S345" s="5"/>
      <c r="T345" s="5"/>
    </row>
    <row r="346" spans="16:20" x14ac:dyDescent="0.25">
      <c r="P346" s="5"/>
      <c r="Q346" s="5"/>
      <c r="R346" s="5"/>
      <c r="S346" s="5"/>
      <c r="T346" s="5"/>
    </row>
    <row r="347" spans="16:20" x14ac:dyDescent="0.25">
      <c r="P347" s="5"/>
      <c r="Q347" s="5"/>
      <c r="R347" s="5"/>
      <c r="S347" s="5"/>
      <c r="T347" s="5"/>
    </row>
    <row r="348" spans="16:20" x14ac:dyDescent="0.25">
      <c r="P348" s="5"/>
      <c r="Q348" s="5"/>
      <c r="R348" s="5"/>
      <c r="S348" s="5"/>
      <c r="T348" s="5"/>
    </row>
    <row r="349" spans="16:20" x14ac:dyDescent="0.25">
      <c r="P349" s="5"/>
      <c r="Q349" s="5"/>
      <c r="R349" s="5"/>
      <c r="S349" s="5"/>
      <c r="T349" s="5"/>
    </row>
    <row r="350" spans="16:20" x14ac:dyDescent="0.25">
      <c r="P350" s="5"/>
      <c r="Q350" s="5"/>
      <c r="R350" s="5"/>
      <c r="S350" s="5"/>
      <c r="T350" s="5"/>
    </row>
    <row r="351" spans="16:20" x14ac:dyDescent="0.25">
      <c r="P351" s="5"/>
      <c r="Q351" s="5"/>
      <c r="R351" s="5"/>
      <c r="S351" s="5"/>
      <c r="T351" s="5"/>
    </row>
    <row r="352" spans="16:20" x14ac:dyDescent="0.25">
      <c r="P352" s="5"/>
      <c r="Q352" s="5"/>
      <c r="R352" s="5"/>
      <c r="S352" s="5"/>
      <c r="T352" s="5"/>
    </row>
    <row r="353" spans="16:20" x14ac:dyDescent="0.25">
      <c r="P353" s="5"/>
      <c r="Q353" s="5"/>
      <c r="R353" s="5"/>
      <c r="S353" s="5"/>
      <c r="T353" s="5"/>
    </row>
    <row r="354" spans="16:20" x14ac:dyDescent="0.25">
      <c r="P354" s="5"/>
      <c r="Q354" s="5"/>
      <c r="R354" s="5"/>
      <c r="S354" s="5"/>
      <c r="T354" s="5"/>
    </row>
    <row r="355" spans="16:20" x14ac:dyDescent="0.25">
      <c r="P355" s="5"/>
      <c r="Q355" s="5"/>
      <c r="R355" s="5"/>
      <c r="S355" s="5"/>
      <c r="T355" s="5"/>
    </row>
    <row r="356" spans="16:20" x14ac:dyDescent="0.25">
      <c r="P356" s="5"/>
      <c r="Q356" s="5"/>
      <c r="R356" s="5"/>
      <c r="S356" s="5"/>
      <c r="T356" s="5"/>
    </row>
    <row r="357" spans="16:20" x14ac:dyDescent="0.25">
      <c r="P357" s="5"/>
      <c r="Q357" s="5"/>
      <c r="R357" s="5"/>
      <c r="S357" s="5"/>
      <c r="T357" s="5"/>
    </row>
    <row r="358" spans="16:20" x14ac:dyDescent="0.25">
      <c r="P358" s="5"/>
      <c r="Q358" s="5"/>
      <c r="R358" s="5"/>
      <c r="S358" s="5"/>
      <c r="T358" s="5"/>
    </row>
    <row r="359" spans="16:20" x14ac:dyDescent="0.25">
      <c r="P359" s="5"/>
      <c r="Q359" s="5"/>
      <c r="R359" s="5"/>
      <c r="S359" s="5"/>
      <c r="T359" s="5"/>
    </row>
    <row r="360" spans="16:20" x14ac:dyDescent="0.25">
      <c r="P360" s="5"/>
      <c r="Q360" s="5"/>
      <c r="R360" s="5"/>
      <c r="S360" s="5"/>
      <c r="T360" s="5"/>
    </row>
    <row r="361" spans="16:20" x14ac:dyDescent="0.25">
      <c r="P361" s="5"/>
      <c r="Q361" s="5"/>
      <c r="R361" s="5"/>
      <c r="S361" s="5"/>
      <c r="T361" s="5"/>
    </row>
    <row r="362" spans="16:20" x14ac:dyDescent="0.25">
      <c r="P362" s="5"/>
      <c r="Q362" s="5"/>
      <c r="R362" s="5"/>
      <c r="S362" s="5"/>
      <c r="T362" s="5"/>
    </row>
    <row r="363" spans="16:20" x14ac:dyDescent="0.25">
      <c r="P363" s="5"/>
      <c r="Q363" s="5"/>
      <c r="R363" s="5"/>
      <c r="S363" s="5"/>
      <c r="T363" s="5"/>
    </row>
    <row r="364" spans="16:20" x14ac:dyDescent="0.25">
      <c r="P364" s="5"/>
      <c r="Q364" s="5"/>
      <c r="R364" s="5"/>
      <c r="S364" s="5"/>
      <c r="T364" s="5"/>
    </row>
    <row r="365" spans="16:20" x14ac:dyDescent="0.25">
      <c r="P365" s="5"/>
      <c r="Q365" s="5"/>
      <c r="R365" s="5"/>
      <c r="S365" s="5"/>
      <c r="T365" s="5"/>
    </row>
    <row r="366" spans="16:20" x14ac:dyDescent="0.25">
      <c r="P366" s="5"/>
      <c r="Q366" s="5"/>
      <c r="R366" s="5"/>
      <c r="S366" s="5"/>
      <c r="T366" s="5"/>
    </row>
    <row r="367" spans="16:20" x14ac:dyDescent="0.25">
      <c r="P367" s="5"/>
      <c r="Q367" s="5"/>
      <c r="R367" s="5"/>
      <c r="S367" s="5"/>
      <c r="T367" s="5"/>
    </row>
    <row r="368" spans="16:20" x14ac:dyDescent="0.25">
      <c r="P368" s="5"/>
      <c r="Q368" s="5"/>
      <c r="R368" s="5"/>
      <c r="S368" s="5"/>
      <c r="T368" s="5"/>
    </row>
    <row r="369" spans="16:20" x14ac:dyDescent="0.25">
      <c r="P369" s="5"/>
      <c r="Q369" s="5"/>
      <c r="R369" s="5"/>
      <c r="S369" s="5"/>
      <c r="T369" s="5"/>
    </row>
    <row r="370" spans="16:20" x14ac:dyDescent="0.25">
      <c r="P370" s="5"/>
      <c r="Q370" s="5"/>
      <c r="R370" s="5"/>
      <c r="S370" s="5"/>
      <c r="T370" s="5"/>
    </row>
    <row r="371" spans="16:20" x14ac:dyDescent="0.25">
      <c r="P371" s="5"/>
      <c r="Q371" s="5"/>
      <c r="R371" s="5"/>
      <c r="S371" s="5"/>
      <c r="T371" s="5"/>
    </row>
    <row r="372" spans="16:20" x14ac:dyDescent="0.25">
      <c r="P372" s="5"/>
      <c r="Q372" s="5"/>
      <c r="R372" s="5"/>
      <c r="S372" s="5"/>
      <c r="T372" s="5"/>
    </row>
    <row r="373" spans="16:20" x14ac:dyDescent="0.25">
      <c r="P373" s="5"/>
      <c r="Q373" s="5"/>
      <c r="R373" s="5"/>
      <c r="S373" s="5"/>
      <c r="T373" s="5"/>
    </row>
    <row r="374" spans="16:20" x14ac:dyDescent="0.25">
      <c r="P374" s="5"/>
      <c r="Q374" s="5"/>
      <c r="R374" s="5"/>
      <c r="S374" s="5"/>
      <c r="T374" s="5"/>
    </row>
    <row r="375" spans="16:20" x14ac:dyDescent="0.25">
      <c r="P375" s="5"/>
      <c r="Q375" s="5"/>
      <c r="R375" s="5"/>
      <c r="S375" s="5"/>
      <c r="T375" s="5"/>
    </row>
    <row r="376" spans="16:20" x14ac:dyDescent="0.25">
      <c r="P376" s="5"/>
      <c r="Q376" s="5"/>
      <c r="R376" s="5"/>
      <c r="S376" s="5"/>
      <c r="T376" s="5"/>
    </row>
    <row r="377" spans="16:20" x14ac:dyDescent="0.25">
      <c r="P377" s="5"/>
      <c r="Q377" s="5"/>
      <c r="R377" s="5"/>
      <c r="S377" s="5"/>
      <c r="T377" s="5"/>
    </row>
    <row r="378" spans="16:20" x14ac:dyDescent="0.25">
      <c r="P378" s="5"/>
      <c r="Q378" s="5"/>
      <c r="R378" s="5"/>
      <c r="S378" s="5"/>
      <c r="T378" s="5"/>
    </row>
    <row r="379" spans="16:20" x14ac:dyDescent="0.25">
      <c r="P379" s="5"/>
      <c r="Q379" s="5"/>
      <c r="R379" s="5"/>
      <c r="S379" s="5"/>
      <c r="T379" s="5"/>
    </row>
    <row r="380" spans="16:20" x14ac:dyDescent="0.25">
      <c r="P380" s="5"/>
      <c r="Q380" s="5"/>
      <c r="R380" s="5"/>
      <c r="S380" s="5"/>
      <c r="T380" s="5"/>
    </row>
    <row r="381" spans="16:20" x14ac:dyDescent="0.25">
      <c r="P381" s="5"/>
      <c r="Q381" s="5"/>
      <c r="R381" s="5"/>
      <c r="S381" s="5"/>
      <c r="T381" s="5"/>
    </row>
    <row r="382" spans="16:20" x14ac:dyDescent="0.25">
      <c r="P382" s="5"/>
      <c r="Q382" s="5"/>
      <c r="R382" s="5"/>
      <c r="S382" s="5"/>
      <c r="T382" s="5"/>
    </row>
    <row r="383" spans="16:20" x14ac:dyDescent="0.25">
      <c r="P383" s="5"/>
      <c r="Q383" s="5"/>
      <c r="R383" s="5"/>
      <c r="S383" s="5"/>
      <c r="T383" s="5"/>
    </row>
    <row r="384" spans="16:20" x14ac:dyDescent="0.25">
      <c r="P384" s="5"/>
      <c r="Q384" s="5"/>
      <c r="R384" s="5"/>
      <c r="S384" s="5"/>
      <c r="T384" s="5"/>
    </row>
    <row r="385" spans="16:20" x14ac:dyDescent="0.25">
      <c r="P385" s="5"/>
      <c r="Q385" s="5"/>
      <c r="R385" s="5"/>
      <c r="S385" s="5"/>
      <c r="T385" s="5"/>
    </row>
    <row r="386" spans="16:20" x14ac:dyDescent="0.25">
      <c r="P386" s="5"/>
      <c r="Q386" s="5"/>
      <c r="R386" s="5"/>
      <c r="S386" s="5"/>
      <c r="T386" s="5"/>
    </row>
    <row r="387" spans="16:20" x14ac:dyDescent="0.25">
      <c r="P387" s="5"/>
      <c r="Q387" s="5"/>
      <c r="R387" s="5"/>
      <c r="S387" s="5"/>
      <c r="T387" s="5"/>
    </row>
    <row r="388" spans="16:20" x14ac:dyDescent="0.25">
      <c r="P388" s="5"/>
      <c r="Q388" s="5"/>
      <c r="R388" s="5"/>
      <c r="S388" s="5"/>
      <c r="T388" s="5"/>
    </row>
    <row r="389" spans="16:20" x14ac:dyDescent="0.25">
      <c r="P389" s="5"/>
      <c r="Q389" s="5"/>
      <c r="R389" s="5"/>
      <c r="S389" s="5"/>
      <c r="T389" s="5"/>
    </row>
    <row r="390" spans="16:20" x14ac:dyDescent="0.25">
      <c r="P390" s="5"/>
      <c r="Q390" s="5"/>
      <c r="R390" s="5"/>
      <c r="S390" s="5"/>
      <c r="T390" s="5"/>
    </row>
    <row r="391" spans="16:20" x14ac:dyDescent="0.25">
      <c r="P391" s="5"/>
      <c r="Q391" s="5"/>
      <c r="R391" s="5"/>
      <c r="S391" s="5"/>
      <c r="T391" s="5"/>
    </row>
    <row r="392" spans="16:20" x14ac:dyDescent="0.25">
      <c r="P392" s="5"/>
      <c r="Q392" s="5"/>
      <c r="R392" s="5"/>
      <c r="S392" s="5"/>
      <c r="T392" s="5"/>
    </row>
    <row r="393" spans="16:20" x14ac:dyDescent="0.25">
      <c r="P393" s="5"/>
      <c r="Q393" s="5"/>
      <c r="R393" s="5"/>
      <c r="S393" s="5"/>
      <c r="T393" s="5"/>
    </row>
    <row r="394" spans="16:20" x14ac:dyDescent="0.25">
      <c r="P394" s="5"/>
      <c r="Q394" s="5"/>
      <c r="R394" s="5"/>
      <c r="S394" s="5"/>
      <c r="T394" s="5"/>
    </row>
    <row r="395" spans="16:20" x14ac:dyDescent="0.25">
      <c r="P395" s="5"/>
      <c r="Q395" s="5"/>
      <c r="R395" s="5"/>
      <c r="S395" s="5"/>
      <c r="T395" s="5"/>
    </row>
    <row r="396" spans="16:20" x14ac:dyDescent="0.25">
      <c r="P396" s="5"/>
      <c r="Q396" s="5"/>
      <c r="R396" s="5"/>
      <c r="S396" s="5"/>
      <c r="T396" s="5"/>
    </row>
    <row r="397" spans="16:20" x14ac:dyDescent="0.25">
      <c r="P397" s="5"/>
      <c r="Q397" s="5"/>
      <c r="R397" s="5"/>
      <c r="S397" s="5"/>
      <c r="T397" s="5"/>
    </row>
    <row r="398" spans="16:20" x14ac:dyDescent="0.25">
      <c r="P398" s="5"/>
      <c r="Q398" s="5"/>
      <c r="R398" s="5"/>
      <c r="S398" s="5"/>
      <c r="T398" s="5"/>
    </row>
    <row r="399" spans="16:20" x14ac:dyDescent="0.25">
      <c r="P399" s="5"/>
      <c r="Q399" s="5"/>
      <c r="R399" s="5"/>
      <c r="S399" s="5"/>
      <c r="T399" s="5"/>
    </row>
    <row r="400" spans="16:20" x14ac:dyDescent="0.25">
      <c r="P400" s="5"/>
      <c r="Q400" s="5"/>
      <c r="R400" s="5"/>
      <c r="S400" s="5"/>
      <c r="T400" s="5"/>
    </row>
    <row r="401" spans="16:20" x14ac:dyDescent="0.25">
      <c r="P401" s="5"/>
      <c r="Q401" s="5"/>
      <c r="R401" s="5"/>
      <c r="S401" s="5"/>
      <c r="T401" s="5"/>
    </row>
    <row r="402" spans="16:20" x14ac:dyDescent="0.25">
      <c r="P402" s="5"/>
      <c r="Q402" s="5"/>
      <c r="R402" s="5"/>
      <c r="S402" s="5"/>
      <c r="T402" s="5"/>
    </row>
    <row r="403" spans="16:20" x14ac:dyDescent="0.25">
      <c r="P403" s="5"/>
      <c r="Q403" s="5"/>
      <c r="R403" s="5"/>
      <c r="S403" s="5"/>
      <c r="T403" s="5"/>
    </row>
    <row r="404" spans="16:20" x14ac:dyDescent="0.25">
      <c r="P404" s="5"/>
      <c r="Q404" s="5"/>
      <c r="R404" s="5"/>
      <c r="S404" s="5"/>
      <c r="T404" s="5"/>
    </row>
    <row r="405" spans="16:20" x14ac:dyDescent="0.25">
      <c r="P405" s="5"/>
      <c r="Q405" s="5"/>
      <c r="R405" s="5"/>
      <c r="S405" s="5"/>
      <c r="T405" s="5"/>
    </row>
    <row r="406" spans="16:20" x14ac:dyDescent="0.25">
      <c r="P406" s="5"/>
      <c r="Q406" s="5"/>
      <c r="R406" s="5"/>
      <c r="S406" s="5"/>
      <c r="T406" s="5"/>
    </row>
    <row r="407" spans="16:20" x14ac:dyDescent="0.25">
      <c r="P407" s="5"/>
      <c r="Q407" s="5"/>
      <c r="R407" s="5"/>
      <c r="S407" s="5"/>
      <c r="T407" s="5"/>
    </row>
    <row r="408" spans="16:20" x14ac:dyDescent="0.25">
      <c r="P408" s="5"/>
      <c r="Q408" s="5"/>
      <c r="R408" s="5"/>
      <c r="S408" s="5"/>
      <c r="T408" s="5"/>
    </row>
    <row r="409" spans="16:20" x14ac:dyDescent="0.25">
      <c r="P409" s="5"/>
      <c r="Q409" s="5"/>
      <c r="R409" s="5"/>
      <c r="S409" s="5"/>
      <c r="T409" s="5"/>
    </row>
    <row r="410" spans="16:20" x14ac:dyDescent="0.25">
      <c r="P410" s="5"/>
      <c r="Q410" s="5"/>
      <c r="R410" s="5"/>
      <c r="S410" s="5"/>
      <c r="T410" s="5"/>
    </row>
    <row r="411" spans="16:20" x14ac:dyDescent="0.25">
      <c r="P411" s="5"/>
      <c r="Q411" s="5"/>
      <c r="R411" s="5"/>
      <c r="S411" s="5"/>
      <c r="T411" s="5"/>
    </row>
    <row r="412" spans="16:20" x14ac:dyDescent="0.25">
      <c r="P412" s="5"/>
      <c r="Q412" s="5"/>
      <c r="R412" s="5"/>
      <c r="S412" s="5"/>
      <c r="T412" s="5"/>
    </row>
    <row r="413" spans="16:20" x14ac:dyDescent="0.25">
      <c r="P413" s="5"/>
      <c r="Q413" s="5"/>
      <c r="R413" s="5"/>
      <c r="S413" s="5"/>
      <c r="T413" s="5"/>
    </row>
    <row r="414" spans="16:20" x14ac:dyDescent="0.25">
      <c r="P414" s="5"/>
      <c r="Q414" s="5"/>
      <c r="R414" s="5"/>
      <c r="S414" s="5"/>
      <c r="T414" s="5"/>
    </row>
    <row r="415" spans="16:20" x14ac:dyDescent="0.25">
      <c r="P415" s="5"/>
      <c r="Q415" s="5"/>
      <c r="R415" s="5"/>
      <c r="S415" s="5"/>
      <c r="T415" s="5"/>
    </row>
    <row r="416" spans="16:20" x14ac:dyDescent="0.25">
      <c r="P416" s="5"/>
      <c r="Q416" s="5"/>
      <c r="R416" s="5"/>
      <c r="S416" s="5"/>
      <c r="T416" s="5"/>
    </row>
    <row r="417" spans="16:20" x14ac:dyDescent="0.25">
      <c r="P417" s="5"/>
      <c r="Q417" s="5"/>
      <c r="R417" s="5"/>
      <c r="S417" s="5"/>
      <c r="T417" s="5"/>
    </row>
    <row r="418" spans="16:20" x14ac:dyDescent="0.25">
      <c r="P418" s="5"/>
      <c r="Q418" s="5"/>
      <c r="R418" s="5"/>
      <c r="S418" s="5"/>
      <c r="T418" s="5"/>
    </row>
    <row r="419" spans="16:20" x14ac:dyDescent="0.25">
      <c r="P419" s="5"/>
      <c r="Q419" s="5"/>
      <c r="R419" s="5"/>
      <c r="S419" s="5"/>
      <c r="T419" s="5"/>
    </row>
    <row r="420" spans="16:20" x14ac:dyDescent="0.25">
      <c r="P420" s="5"/>
      <c r="Q420" s="5"/>
      <c r="R420" s="5"/>
      <c r="S420" s="5"/>
      <c r="T420" s="5"/>
    </row>
    <row r="421" spans="16:20" x14ac:dyDescent="0.25">
      <c r="P421" s="5"/>
      <c r="Q421" s="5"/>
      <c r="R421" s="5"/>
      <c r="S421" s="5"/>
      <c r="T421" s="5"/>
    </row>
    <row r="422" spans="16:20" x14ac:dyDescent="0.25">
      <c r="P422" s="5"/>
      <c r="Q422" s="5"/>
      <c r="R422" s="5"/>
      <c r="S422" s="5"/>
      <c r="T422" s="5"/>
    </row>
    <row r="423" spans="16:20" x14ac:dyDescent="0.25">
      <c r="P423" s="5"/>
      <c r="Q423" s="5"/>
      <c r="R423" s="5"/>
      <c r="S423" s="5"/>
      <c r="T423" s="5"/>
    </row>
    <row r="424" spans="16:20" x14ac:dyDescent="0.25">
      <c r="P424" s="5"/>
      <c r="Q424" s="5"/>
      <c r="R424" s="5"/>
      <c r="S424" s="5"/>
      <c r="T424" s="5"/>
    </row>
    <row r="425" spans="16:20" x14ac:dyDescent="0.25">
      <c r="P425" s="5"/>
      <c r="Q425" s="5"/>
      <c r="R425" s="5"/>
      <c r="S425" s="5"/>
      <c r="T425" s="5"/>
    </row>
    <row r="426" spans="16:20" x14ac:dyDescent="0.25">
      <c r="P426" s="5"/>
      <c r="Q426" s="5"/>
      <c r="R426" s="5"/>
      <c r="S426" s="5"/>
      <c r="T426" s="5"/>
    </row>
    <row r="427" spans="16:20" x14ac:dyDescent="0.25">
      <c r="P427" s="5"/>
      <c r="Q427" s="5"/>
      <c r="R427" s="5"/>
      <c r="S427" s="5"/>
      <c r="T427" s="5"/>
    </row>
    <row r="428" spans="16:20" x14ac:dyDescent="0.25">
      <c r="P428" s="5"/>
      <c r="Q428" s="5"/>
      <c r="R428" s="5"/>
      <c r="S428" s="5"/>
      <c r="T428" s="5"/>
    </row>
    <row r="429" spans="16:20" x14ac:dyDescent="0.25">
      <c r="P429" s="5"/>
      <c r="Q429" s="5"/>
      <c r="R429" s="5"/>
      <c r="S429" s="5"/>
      <c r="T429" s="5"/>
    </row>
    <row r="430" spans="16:20" x14ac:dyDescent="0.25">
      <c r="P430" s="5"/>
      <c r="Q430" s="5"/>
      <c r="R430" s="5"/>
      <c r="S430" s="5"/>
      <c r="T430" s="5"/>
    </row>
    <row r="431" spans="16:20" x14ac:dyDescent="0.25">
      <c r="P431" s="5"/>
      <c r="Q431" s="5"/>
      <c r="R431" s="5"/>
      <c r="S431" s="5"/>
      <c r="T431" s="5"/>
    </row>
    <row r="432" spans="16:20" x14ac:dyDescent="0.25">
      <c r="P432" s="5"/>
      <c r="Q432" s="5"/>
      <c r="R432" s="5"/>
      <c r="S432" s="5"/>
      <c r="T432" s="5"/>
    </row>
    <row r="433" spans="16:20" x14ac:dyDescent="0.25">
      <c r="P433" s="5"/>
      <c r="Q433" s="5"/>
      <c r="R433" s="5"/>
      <c r="S433" s="5"/>
      <c r="T433" s="5"/>
    </row>
    <row r="434" spans="16:20" x14ac:dyDescent="0.25">
      <c r="P434" s="5"/>
      <c r="Q434" s="5"/>
      <c r="R434" s="5"/>
      <c r="S434" s="5"/>
      <c r="T434" s="5"/>
    </row>
    <row r="435" spans="16:20" x14ac:dyDescent="0.25">
      <c r="P435" s="5"/>
      <c r="Q435" s="5"/>
      <c r="R435" s="5"/>
      <c r="S435" s="5"/>
      <c r="T435" s="5"/>
    </row>
    <row r="436" spans="16:20" x14ac:dyDescent="0.25">
      <c r="P436" s="5"/>
      <c r="Q436" s="5"/>
      <c r="R436" s="5"/>
      <c r="S436" s="5"/>
      <c r="T436" s="5"/>
    </row>
    <row r="437" spans="16:20" x14ac:dyDescent="0.25">
      <c r="P437" s="5"/>
      <c r="Q437" s="5"/>
      <c r="R437" s="5"/>
      <c r="S437" s="5"/>
      <c r="T437" s="5"/>
    </row>
    <row r="438" spans="16:20" x14ac:dyDescent="0.25">
      <c r="P438" s="5"/>
      <c r="Q438" s="5"/>
      <c r="R438" s="5"/>
      <c r="S438" s="5"/>
      <c r="T438" s="5"/>
    </row>
    <row r="439" spans="16:20" x14ac:dyDescent="0.25">
      <c r="P439" s="5"/>
      <c r="Q439" s="5"/>
      <c r="R439" s="5"/>
      <c r="S439" s="5"/>
      <c r="T439" s="5"/>
    </row>
    <row r="440" spans="16:20" x14ac:dyDescent="0.25">
      <c r="P440" s="5"/>
      <c r="Q440" s="5"/>
      <c r="R440" s="5"/>
      <c r="S440" s="5"/>
      <c r="T440" s="5"/>
    </row>
    <row r="441" spans="16:20" x14ac:dyDescent="0.25">
      <c r="P441" s="5"/>
      <c r="Q441" s="5"/>
      <c r="R441" s="5"/>
      <c r="S441" s="5"/>
      <c r="T441" s="5"/>
    </row>
    <row r="442" spans="16:20" x14ac:dyDescent="0.25">
      <c r="P442" s="5"/>
      <c r="Q442" s="5"/>
      <c r="R442" s="5"/>
      <c r="S442" s="5"/>
      <c r="T442" s="5"/>
    </row>
    <row r="443" spans="16:20" x14ac:dyDescent="0.25">
      <c r="P443" s="5"/>
      <c r="Q443" s="5"/>
      <c r="R443" s="5"/>
      <c r="S443" s="5"/>
      <c r="T443" s="5"/>
    </row>
    <row r="444" spans="16:20" x14ac:dyDescent="0.25">
      <c r="P444" s="5"/>
      <c r="Q444" s="5"/>
      <c r="R444" s="5"/>
      <c r="S444" s="5"/>
      <c r="T444" s="5"/>
    </row>
    <row r="445" spans="16:20" x14ac:dyDescent="0.25">
      <c r="P445" s="5"/>
      <c r="Q445" s="5"/>
      <c r="R445" s="5"/>
      <c r="S445" s="5"/>
      <c r="T445" s="5"/>
    </row>
    <row r="446" spans="16:20" x14ac:dyDescent="0.25">
      <c r="P446" s="5"/>
      <c r="Q446" s="5"/>
      <c r="R446" s="5"/>
      <c r="S446" s="5"/>
      <c r="T446" s="5"/>
    </row>
    <row r="447" spans="16:20" x14ac:dyDescent="0.25">
      <c r="P447" s="5"/>
      <c r="Q447" s="5"/>
      <c r="R447" s="5"/>
      <c r="S447" s="5"/>
      <c r="T447" s="5"/>
    </row>
    <row r="448" spans="16:20" x14ac:dyDescent="0.25">
      <c r="P448" s="5"/>
      <c r="Q448" s="5"/>
      <c r="R448" s="5"/>
      <c r="S448" s="5"/>
      <c r="T448" s="5"/>
    </row>
    <row r="449" spans="16:20" x14ac:dyDescent="0.25">
      <c r="P449" s="5"/>
      <c r="Q449" s="5"/>
      <c r="R449" s="5"/>
      <c r="S449" s="5"/>
      <c r="T449" s="5"/>
    </row>
    <row r="450" spans="16:20" x14ac:dyDescent="0.25">
      <c r="P450" s="5"/>
      <c r="Q450" s="5"/>
      <c r="R450" s="5"/>
      <c r="S450" s="5"/>
      <c r="T450" s="5"/>
    </row>
    <row r="451" spans="16:20" x14ac:dyDescent="0.25">
      <c r="P451" s="5"/>
      <c r="Q451" s="5"/>
      <c r="R451" s="5"/>
      <c r="S451" s="5"/>
      <c r="T451" s="5"/>
    </row>
    <row r="452" spans="16:20" x14ac:dyDescent="0.25">
      <c r="P452" s="5"/>
      <c r="Q452" s="5"/>
      <c r="R452" s="5"/>
      <c r="S452" s="5"/>
      <c r="T452" s="5"/>
    </row>
    <row r="453" spans="16:20" x14ac:dyDescent="0.25">
      <c r="P453" s="5"/>
      <c r="Q453" s="5"/>
      <c r="R453" s="5"/>
      <c r="S453" s="5"/>
      <c r="T453" s="5"/>
    </row>
    <row r="454" spans="16:20" x14ac:dyDescent="0.25">
      <c r="P454" s="5"/>
      <c r="Q454" s="5"/>
      <c r="R454" s="5"/>
      <c r="S454" s="5"/>
      <c r="T454" s="5"/>
    </row>
    <row r="455" spans="16:20" x14ac:dyDescent="0.25">
      <c r="P455" s="5"/>
      <c r="Q455" s="5"/>
      <c r="R455" s="5"/>
      <c r="S455" s="5"/>
      <c r="T455" s="5"/>
    </row>
    <row r="456" spans="16:20" x14ac:dyDescent="0.25">
      <c r="P456" s="5"/>
      <c r="Q456" s="5"/>
      <c r="R456" s="5"/>
      <c r="S456" s="5"/>
      <c r="T456" s="5"/>
    </row>
    <row r="457" spans="16:20" x14ac:dyDescent="0.25">
      <c r="P457" s="5"/>
      <c r="Q457" s="5"/>
      <c r="R457" s="5"/>
      <c r="S457" s="5"/>
      <c r="T457" s="5"/>
    </row>
    <row r="458" spans="16:20" x14ac:dyDescent="0.25">
      <c r="P458" s="5"/>
      <c r="Q458" s="5"/>
      <c r="R458" s="5"/>
      <c r="S458" s="5"/>
      <c r="T458" s="5"/>
    </row>
    <row r="459" spans="16:20" x14ac:dyDescent="0.25">
      <c r="P459" s="5"/>
      <c r="Q459" s="5"/>
      <c r="R459" s="5"/>
      <c r="S459" s="5"/>
      <c r="T459" s="5"/>
    </row>
    <row r="460" spans="16:20" x14ac:dyDescent="0.25">
      <c r="P460" s="5"/>
      <c r="Q460" s="5"/>
      <c r="R460" s="5"/>
      <c r="S460" s="5"/>
      <c r="T460" s="5"/>
    </row>
    <row r="461" spans="16:20" x14ac:dyDescent="0.25">
      <c r="P461" s="5"/>
      <c r="Q461" s="5"/>
      <c r="R461" s="5"/>
      <c r="S461" s="5"/>
      <c r="T461" s="5"/>
    </row>
    <row r="462" spans="16:20" x14ac:dyDescent="0.25">
      <c r="P462" s="5"/>
      <c r="Q462" s="5"/>
      <c r="R462" s="5"/>
      <c r="S462" s="5"/>
      <c r="T462" s="5"/>
    </row>
    <row r="463" spans="16:20" x14ac:dyDescent="0.25">
      <c r="P463" s="5"/>
      <c r="Q463" s="5"/>
      <c r="R463" s="5"/>
      <c r="S463" s="5"/>
      <c r="T463" s="5"/>
    </row>
    <row r="464" spans="16:20" x14ac:dyDescent="0.25">
      <c r="P464" s="5"/>
      <c r="Q464" s="5"/>
      <c r="R464" s="5"/>
      <c r="S464" s="5"/>
      <c r="T464" s="5"/>
    </row>
    <row r="465" spans="16:20" x14ac:dyDescent="0.25">
      <c r="P465" s="5"/>
      <c r="Q465" s="5"/>
      <c r="R465" s="5"/>
      <c r="S465" s="5"/>
      <c r="T465" s="5"/>
    </row>
    <row r="466" spans="16:20" x14ac:dyDescent="0.25">
      <c r="P466" s="5"/>
      <c r="Q466" s="5"/>
      <c r="R466" s="5"/>
      <c r="S466" s="5"/>
      <c r="T466" s="5"/>
    </row>
    <row r="467" spans="16:20" x14ac:dyDescent="0.25">
      <c r="P467" s="5"/>
      <c r="Q467" s="5"/>
      <c r="R467" s="5"/>
      <c r="S467" s="5"/>
      <c r="T467" s="5"/>
    </row>
    <row r="468" spans="16:20" x14ac:dyDescent="0.25">
      <c r="P468" s="5"/>
      <c r="Q468" s="5"/>
      <c r="R468" s="5"/>
      <c r="S468" s="5"/>
      <c r="T468" s="5"/>
    </row>
    <row r="469" spans="16:20" x14ac:dyDescent="0.25">
      <c r="P469" s="5"/>
      <c r="Q469" s="5"/>
      <c r="R469" s="5"/>
      <c r="S469" s="5"/>
      <c r="T469" s="5"/>
    </row>
    <row r="470" spans="16:20" x14ac:dyDescent="0.25">
      <c r="P470" s="5"/>
      <c r="Q470" s="5"/>
      <c r="R470" s="5"/>
      <c r="S470" s="5"/>
      <c r="T470" s="5"/>
    </row>
    <row r="471" spans="16:20" x14ac:dyDescent="0.25">
      <c r="P471" s="5"/>
      <c r="Q471" s="5"/>
      <c r="R471" s="5"/>
      <c r="S471" s="5"/>
      <c r="T471" s="5"/>
    </row>
    <row r="472" spans="16:20" x14ac:dyDescent="0.25">
      <c r="P472" s="5"/>
      <c r="Q472" s="5"/>
      <c r="R472" s="5"/>
      <c r="S472" s="5"/>
      <c r="T472" s="5"/>
    </row>
    <row r="473" spans="16:20" x14ac:dyDescent="0.25">
      <c r="P473" s="5"/>
      <c r="Q473" s="5"/>
      <c r="R473" s="5"/>
      <c r="S473" s="5"/>
      <c r="T473" s="5"/>
    </row>
    <row r="474" spans="16:20" x14ac:dyDescent="0.25">
      <c r="P474" s="5"/>
      <c r="Q474" s="5"/>
      <c r="R474" s="5"/>
      <c r="S474" s="5"/>
      <c r="T474" s="5"/>
    </row>
    <row r="475" spans="16:20" x14ac:dyDescent="0.25">
      <c r="P475" s="5"/>
      <c r="Q475" s="5"/>
      <c r="R475" s="5"/>
      <c r="S475" s="5"/>
      <c r="T475" s="5"/>
    </row>
    <row r="476" spans="16:20" x14ac:dyDescent="0.25">
      <c r="P476" s="5"/>
      <c r="Q476" s="5"/>
      <c r="R476" s="5"/>
      <c r="S476" s="5"/>
      <c r="T476" s="5"/>
    </row>
    <row r="477" spans="16:20" x14ac:dyDescent="0.25">
      <c r="P477" s="5"/>
      <c r="Q477" s="5"/>
      <c r="R477" s="5"/>
      <c r="S477" s="5"/>
      <c r="T477" s="5"/>
    </row>
    <row r="478" spans="16:20" x14ac:dyDescent="0.25">
      <c r="P478" s="5"/>
      <c r="Q478" s="5"/>
      <c r="R478" s="5"/>
      <c r="S478" s="5"/>
      <c r="T478" s="5"/>
    </row>
    <row r="479" spans="16:20" x14ac:dyDescent="0.25">
      <c r="P479" s="5"/>
      <c r="Q479" s="5"/>
      <c r="R479" s="5"/>
      <c r="S479" s="5"/>
      <c r="T479" s="5"/>
    </row>
    <row r="480" spans="16:20" x14ac:dyDescent="0.25">
      <c r="P480" s="5"/>
      <c r="Q480" s="5"/>
      <c r="R480" s="5"/>
      <c r="S480" s="5"/>
      <c r="T480" s="5"/>
    </row>
    <row r="481" spans="16:20" x14ac:dyDescent="0.25">
      <c r="P481" s="5"/>
      <c r="Q481" s="5"/>
      <c r="R481" s="5"/>
      <c r="S481" s="5"/>
      <c r="T481" s="5"/>
    </row>
    <row r="482" spans="16:20" x14ac:dyDescent="0.25">
      <c r="P482" s="5"/>
      <c r="Q482" s="5"/>
      <c r="R482" s="5"/>
      <c r="S482" s="5"/>
      <c r="T482" s="5"/>
    </row>
    <row r="483" spans="16:20" x14ac:dyDescent="0.25">
      <c r="P483" s="5"/>
      <c r="Q483" s="5"/>
      <c r="R483" s="5"/>
      <c r="S483" s="5"/>
      <c r="T483" s="5"/>
    </row>
    <row r="484" spans="16:20" x14ac:dyDescent="0.25">
      <c r="P484" s="5"/>
      <c r="Q484" s="5"/>
      <c r="R484" s="5"/>
      <c r="S484" s="5"/>
      <c r="T484" s="5"/>
    </row>
    <row r="485" spans="16:20" x14ac:dyDescent="0.25">
      <c r="P485" s="5"/>
      <c r="Q485" s="5"/>
      <c r="R485" s="5"/>
      <c r="S485" s="5"/>
      <c r="T485" s="5"/>
    </row>
    <row r="486" spans="16:20" x14ac:dyDescent="0.25">
      <c r="P486" s="5"/>
      <c r="Q486" s="5"/>
      <c r="R486" s="5"/>
      <c r="S486" s="5"/>
      <c r="T486" s="5"/>
    </row>
    <row r="487" spans="16:20" x14ac:dyDescent="0.25">
      <c r="P487" s="5"/>
      <c r="Q487" s="5"/>
      <c r="R487" s="5"/>
      <c r="S487" s="5"/>
      <c r="T487" s="5"/>
    </row>
    <row r="488" spans="16:20" x14ac:dyDescent="0.25">
      <c r="P488" s="5"/>
      <c r="Q488" s="5"/>
      <c r="R488" s="5"/>
      <c r="S488" s="5"/>
      <c r="T488" s="5"/>
    </row>
    <row r="489" spans="16:20" x14ac:dyDescent="0.25">
      <c r="P489" s="5"/>
      <c r="Q489" s="5"/>
      <c r="R489" s="5"/>
      <c r="S489" s="5"/>
      <c r="T489" s="5"/>
    </row>
    <row r="490" spans="16:20" x14ac:dyDescent="0.25">
      <c r="P490" s="5"/>
      <c r="Q490" s="5"/>
      <c r="R490" s="5"/>
      <c r="S490" s="5"/>
      <c r="T490" s="5"/>
    </row>
    <row r="491" spans="16:20" x14ac:dyDescent="0.25">
      <c r="P491" s="5"/>
      <c r="Q491" s="5"/>
      <c r="R491" s="5"/>
      <c r="S491" s="5"/>
      <c r="T491" s="5"/>
    </row>
    <row r="492" spans="16:20" x14ac:dyDescent="0.25">
      <c r="P492" s="5"/>
      <c r="Q492" s="5"/>
      <c r="R492" s="5"/>
      <c r="S492" s="5"/>
      <c r="T492" s="5"/>
    </row>
    <row r="493" spans="16:20" x14ac:dyDescent="0.25">
      <c r="P493" s="5"/>
      <c r="Q493" s="5"/>
      <c r="R493" s="5"/>
      <c r="S493" s="5"/>
      <c r="T493" s="5"/>
    </row>
    <row r="494" spans="16:20" x14ac:dyDescent="0.25">
      <c r="P494" s="5"/>
      <c r="Q494" s="5"/>
      <c r="R494" s="5"/>
      <c r="S494" s="5"/>
      <c r="T494" s="5"/>
    </row>
    <row r="495" spans="16:20" x14ac:dyDescent="0.25">
      <c r="P495" s="5"/>
      <c r="Q495" s="5"/>
      <c r="R495" s="5"/>
      <c r="S495" s="5"/>
      <c r="T495" s="5"/>
    </row>
    <row r="496" spans="16:20" x14ac:dyDescent="0.25">
      <c r="P496" s="5"/>
      <c r="Q496" s="5"/>
      <c r="R496" s="5"/>
      <c r="S496" s="5"/>
      <c r="T496" s="5"/>
    </row>
    <row r="497" spans="16:20" x14ac:dyDescent="0.25">
      <c r="P497" s="5"/>
      <c r="Q497" s="5"/>
      <c r="R497" s="5"/>
      <c r="S497" s="5"/>
      <c r="T497" s="5"/>
    </row>
    <row r="498" spans="16:20" x14ac:dyDescent="0.25">
      <c r="P498" s="5"/>
      <c r="Q498" s="5"/>
      <c r="R498" s="5"/>
      <c r="S498" s="5"/>
      <c r="T498" s="5"/>
    </row>
    <row r="499" spans="16:20" x14ac:dyDescent="0.25">
      <c r="P499" s="5"/>
      <c r="Q499" s="5"/>
      <c r="R499" s="5"/>
      <c r="S499" s="5"/>
      <c r="T499" s="5"/>
    </row>
    <row r="500" spans="16:20" x14ac:dyDescent="0.25">
      <c r="P500" s="5"/>
      <c r="Q500" s="5"/>
      <c r="R500" s="5"/>
      <c r="S500" s="5"/>
      <c r="T500" s="5"/>
    </row>
    <row r="501" spans="16:20" x14ac:dyDescent="0.25">
      <c r="P501" s="5"/>
      <c r="Q501" s="5"/>
      <c r="R501" s="5"/>
      <c r="S501" s="5"/>
    </row>
  </sheetData>
  <mergeCells count="1">
    <mergeCell ref="C4:D4"/>
  </mergeCells>
  <conditionalFormatting sqref="D13">
    <cfRule type="expression" dxfId="46" priority="16">
      <formula>$D$13&lt;=0</formula>
    </cfRule>
  </conditionalFormatting>
  <conditionalFormatting sqref="D14">
    <cfRule type="expression" dxfId="45" priority="15">
      <formula>$D$14&lt;=0</formula>
    </cfRule>
  </conditionalFormatting>
  <conditionalFormatting sqref="D15">
    <cfRule type="expression" dxfId="44" priority="14">
      <formula>OR($D$15&lt;=0, $D$15&gt;1)</formula>
    </cfRule>
  </conditionalFormatting>
  <conditionalFormatting sqref="D17">
    <cfRule type="expression" dxfId="43" priority="13">
      <formula>$D$17&lt;=0</formula>
    </cfRule>
  </conditionalFormatting>
  <conditionalFormatting sqref="D18">
    <cfRule type="expression" dxfId="42" priority="12">
      <formula>OR($D$18&lt;=0, $D$18&gt;1)</formula>
    </cfRule>
  </conditionalFormatting>
  <conditionalFormatting sqref="D19:D20">
    <cfRule type="expression" dxfId="41" priority="11">
      <formula>$D$19&lt;=0</formula>
    </cfRule>
  </conditionalFormatting>
  <conditionalFormatting sqref="D21">
    <cfRule type="expression" dxfId="40" priority="10">
      <formula>$D$21&lt;=0</formula>
    </cfRule>
  </conditionalFormatting>
  <conditionalFormatting sqref="D28">
    <cfRule type="expression" dxfId="39" priority="9">
      <formula>$D$28&lt;=0</formula>
    </cfRule>
  </conditionalFormatting>
  <conditionalFormatting sqref="D27">
    <cfRule type="expression" dxfId="38" priority="8">
      <formula>$D$27&lt;=0</formula>
    </cfRule>
  </conditionalFormatting>
  <conditionalFormatting sqref="G27">
    <cfRule type="expression" dxfId="37" priority="7">
      <formula>$G$27&lt;=0</formula>
    </cfRule>
  </conditionalFormatting>
  <conditionalFormatting sqref="G34">
    <cfRule type="expression" dxfId="36" priority="5">
      <formula>$G$34&lt;=0</formula>
    </cfRule>
  </conditionalFormatting>
  <conditionalFormatting sqref="D35">
    <cfRule type="expression" dxfId="35" priority="4">
      <formula>$D$35&lt;=0</formula>
    </cfRule>
  </conditionalFormatting>
  <conditionalFormatting sqref="D36">
    <cfRule type="expression" dxfId="34" priority="3">
      <formula>$D$36&lt;=0</formula>
    </cfRule>
  </conditionalFormatting>
  <conditionalFormatting sqref="G35">
    <cfRule type="expression" dxfId="33" priority="2">
      <formula>$G$35&lt;=1</formula>
    </cfRule>
  </conditionalFormatting>
  <conditionalFormatting sqref="D34">
    <cfRule type="expression" dxfId="32" priority="1">
      <formula>$D$34&lt;=0</formula>
    </cfRule>
  </conditionalFormatting>
  <dataValidations count="3">
    <dataValidation type="list" allowBlank="1" showInputMessage="1" showErrorMessage="1" sqref="H3">
      <formula1>"None,Forward Single,Reverse Single,Forward Shifting,Reverse Shifting"</formula1>
    </dataValidation>
    <dataValidation type="list" allowBlank="1" showInputMessage="1" showErrorMessage="1" sqref="C4:D4">
      <formula1>Motors</formula1>
    </dataValidation>
    <dataValidation type="list" allowBlank="1" showInputMessage="1" showErrorMessage="1" sqref="D11">
      <formula1>"Imperial,Metric"</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sheetPr>
  <dimension ref="B2:O18"/>
  <sheetViews>
    <sheetView workbookViewId="0">
      <selection activeCell="S13" sqref="S13"/>
    </sheetView>
  </sheetViews>
  <sheetFormatPr defaultRowHeight="15" x14ac:dyDescent="0.25"/>
  <cols>
    <col min="1" max="1" width="9.140625" style="57"/>
    <col min="2" max="2" width="19.28515625" style="57" customWidth="1"/>
    <col min="3" max="3" width="16.5703125" style="57" customWidth="1"/>
    <col min="4" max="4" width="9.140625" style="57"/>
    <col min="5" max="5" width="24.140625" style="57" customWidth="1"/>
    <col min="6" max="6" width="9.140625" style="57"/>
    <col min="7" max="7" width="15.7109375" style="57" customWidth="1"/>
    <col min="8" max="8" width="23.7109375" style="57" customWidth="1"/>
    <col min="9" max="9" width="9.140625" style="57"/>
    <col min="10" max="10" width="15.7109375" style="57" customWidth="1"/>
    <col min="11" max="11" width="16.140625" style="57" customWidth="1"/>
    <col min="12" max="12" width="9.140625" style="57"/>
    <col min="13" max="13" width="15.7109375" style="57" customWidth="1"/>
    <col min="14" max="14" width="23.140625" style="57" customWidth="1"/>
    <col min="15" max="16384" width="9.140625" style="57"/>
  </cols>
  <sheetData>
    <row r="2" spans="2:15" ht="31.5" x14ac:dyDescent="0.25">
      <c r="B2" s="58" t="s">
        <v>367</v>
      </c>
    </row>
    <row r="4" spans="2:15" ht="18.75" x14ac:dyDescent="0.3">
      <c r="E4" s="273" t="s">
        <v>365</v>
      </c>
      <c r="F4" s="273"/>
      <c r="H4" s="273" t="s">
        <v>369</v>
      </c>
      <c r="I4" s="273"/>
      <c r="K4" s="274" t="s">
        <v>366</v>
      </c>
      <c r="L4" s="274"/>
      <c r="N4" s="102" t="s">
        <v>370</v>
      </c>
    </row>
    <row r="5" spans="2:15" x14ac:dyDescent="0.25">
      <c r="B5" s="59" t="s">
        <v>317</v>
      </c>
      <c r="C5" s="262" t="s">
        <v>316</v>
      </c>
    </row>
    <row r="6" spans="2:15" x14ac:dyDescent="0.25">
      <c r="E6" s="59" t="str">
        <f>"Load Force "  &amp; IF($C$5="Imperial", "(lbs)", "(N)")</f>
        <v>Load Force (N)</v>
      </c>
      <c r="F6" s="262">
        <v>160</v>
      </c>
      <c r="H6" s="59" t="str">
        <f>"Load Force "  &amp; IF($C$5="Imperial", "(lbs)", "(N)")</f>
        <v>Load Force (N)</v>
      </c>
      <c r="I6" s="262">
        <v>46.64</v>
      </c>
      <c r="K6" s="59" t="str">
        <f>"Length " &amp; IF($C$5="Imperial", "(in)", "(mm)")</f>
        <v>Length (mm)</v>
      </c>
      <c r="L6" s="262">
        <v>23</v>
      </c>
      <c r="N6" s="59" t="str">
        <f>"Torque " &amp; IF($C$5="Imperial", "(in-lbs)", "(Nmm)")</f>
        <v>Torque (Nmm)</v>
      </c>
      <c r="O6" s="262">
        <v>1440</v>
      </c>
    </row>
    <row r="7" spans="2:15" x14ac:dyDescent="0.25">
      <c r="B7" s="59" t="s">
        <v>372</v>
      </c>
      <c r="C7" s="262" t="s">
        <v>374</v>
      </c>
      <c r="E7" s="59" t="str">
        <f>"Dist. To One Support " &amp; IF($C$5="Imperial", "(in)", "(mm)")</f>
        <v>Dist. To One Support (mm)</v>
      </c>
      <c r="F7" s="262">
        <v>10</v>
      </c>
      <c r="H7" s="59" t="str">
        <f>"Dist. To Support " &amp; IF($C$5="Imperial", "(in)", "(mm)")</f>
        <v>Dist. To Support (mm)</v>
      </c>
      <c r="I7" s="262">
        <v>550</v>
      </c>
      <c r="K7" s="59" t="s">
        <v>368</v>
      </c>
      <c r="L7" s="262">
        <v>2.1</v>
      </c>
      <c r="N7" s="59" t="str">
        <f>"Length Btwn. Loads " &amp; IF($C$5="Imperial", "(in)", "(mm)")</f>
        <v>Length Btwn. Loads (mm)</v>
      </c>
      <c r="O7" s="262">
        <v>5</v>
      </c>
    </row>
    <row r="8" spans="2:15" x14ac:dyDescent="0.25">
      <c r="B8" s="59" t="str">
        <f>IF($C$7="Hex", "Size", IF($C$7="Round", "Diameter", IF($C$7="Round Tube", "Outside Diam.", IF($C$7="Square", "Size", "║ Size")))) &amp; " " &amp; IF($C$5="Imperial", "(in)", "(mm)")</f>
        <v>Diameter (mm)</v>
      </c>
      <c r="C8" s="262">
        <v>10</v>
      </c>
      <c r="E8" s="59" t="str">
        <f>"Dist. Btwn. Supports " &amp; IF($C$5="Imperial", "(in)", "(mm)")</f>
        <v>Dist. Btwn. Supports (mm)</v>
      </c>
      <c r="F8" s="262">
        <v>20</v>
      </c>
      <c r="H8" s="59" t="str">
        <f>"Dist. Btwn. Supports " &amp; IF($C$5="Imperial", "(in)", "(mm)")</f>
        <v>Dist. Btwn. Supports (mm)</v>
      </c>
      <c r="I8" s="262">
        <v>90</v>
      </c>
    </row>
    <row r="9" spans="2:15" x14ac:dyDescent="0.25">
      <c r="B9" s="59" t="str">
        <f>IF($C$7="Round Tube", "Wall Thickness " &amp; IF($C$5="Imperial", "(in)", "(mm)"), IF($C$7="Rectangular Tube", "┴ Size " &amp; IF($C$5="Imperial", "(in)", "(mm)"), ""))</f>
        <v/>
      </c>
      <c r="C9" s="262">
        <v>2</v>
      </c>
    </row>
    <row r="10" spans="2:15" x14ac:dyDescent="0.25">
      <c r="B10" s="59" t="str">
        <f>IF($C$7="Rectangular Tube", "Wall Thickness " &amp; IF($C$5="Imperial", "(in)", "(mm)"), "")</f>
        <v/>
      </c>
      <c r="C10" s="262">
        <v>0.1</v>
      </c>
      <c r="E10" s="59" t="str">
        <f>"Displacement " &amp; IF($C$5="Imperial", "(in)", "(mm)")</f>
        <v>Displacement (mm)</v>
      </c>
      <c r="F10" s="140">
        <f>F7^(3/2)*(F8-F7)*(2*F8-F7)^(3/2)*F6/(9*SQRT(3)*C16*C14*F8)</f>
        <v>2.6371304486424085E-4</v>
      </c>
      <c r="H10" s="59" t="str">
        <f>"Displacement " &amp; IF($C$5="Imperial", "(in)", "(mm)")</f>
        <v>Displacement (mm)</v>
      </c>
      <c r="I10" s="140">
        <f>I6*I7^2*(I8+I7)/(3*C16*C14)</f>
        <v>29.764974918173024</v>
      </c>
      <c r="K10" s="59" t="str">
        <f>"Max. Force " &amp; IF($C$5="Imperial", "(lbs)", "(N)")</f>
        <v>Max. Force (N)</v>
      </c>
      <c r="L10" s="65">
        <f>PI()^2*C16*C14/(L6*L7)^2</f>
        <v>427801.79547563335</v>
      </c>
      <c r="N10" s="59" t="s">
        <v>371</v>
      </c>
      <c r="O10" s="65">
        <f>DEGREES(O6*O7/(C17*C15))</f>
        <v>5.2524901600187893E-3</v>
      </c>
    </row>
    <row r="12" spans="2:15" x14ac:dyDescent="0.25">
      <c r="B12" s="59" t="s">
        <v>364</v>
      </c>
      <c r="C12" s="262" t="s">
        <v>344</v>
      </c>
    </row>
    <row r="13" spans="2:15" x14ac:dyDescent="0.25">
      <c r="B13" s="66"/>
    </row>
    <row r="14" spans="2:15" x14ac:dyDescent="0.25">
      <c r="B14" s="66"/>
      <c r="C14" s="263">
        <f>IF($C$7="Hex", 0.0601*$C$8^5, IF($C$7="Round", PI()/64*$C$8^4, IF($C$7="Round Tube", PI()*$C$8^3*$C$9,  IF($C$7="Square", $C$8^4/12, $C$9*$C$8^2*$C$10/3))))</f>
        <v>490.87385212340519</v>
      </c>
    </row>
    <row r="15" spans="2:15" x14ac:dyDescent="0.25">
      <c r="B15" s="66"/>
      <c r="C15" s="263">
        <f>IF($C$7="Hex", 0.1154*$C$8^5, IF($C$7="Round", PI()/32*$C$8^4, IF($C$7="Round Tube", PI()/4*$C$8^3*$C$9,  IF($C$7="Square", 9/64*$C$8^4, (2*$C$10^2*($C$9-$C$10)^2*($C$8-$C$10)^2)/($C$8*$C$10+$C$9*$C$10-2*$C$10^2)))))</f>
        <v>981.74770424681037</v>
      </c>
    </row>
    <row r="16" spans="2:15" x14ac:dyDescent="0.25">
      <c r="B16" s="66"/>
      <c r="C16" s="264">
        <f>IF($C$12="6061 Al", 68900, IF($C$12="7075 Al", 71700, IF($C$12="Steel", 206000, 193000)))*IF($C$5="Imperial", 145, 1)</f>
        <v>206000</v>
      </c>
    </row>
    <row r="17" spans="3:11" x14ac:dyDescent="0.25">
      <c r="C17" s="264">
        <f>IF($C$12="6061 Al", 26000, IF($C$12="7075 Al", 26900, IF($C$12="Steel", 80000, 77000)))*IF($C$5="Imperial", 145, 1)</f>
        <v>80000</v>
      </c>
    </row>
    <row r="18" spans="3:11" x14ac:dyDescent="0.25">
      <c r="K18" s="84"/>
    </row>
  </sheetData>
  <mergeCells count="3">
    <mergeCell ref="H4:I4"/>
    <mergeCell ref="E4:F4"/>
    <mergeCell ref="K4:L4"/>
  </mergeCells>
  <conditionalFormatting sqref="B9:C9">
    <cfRule type="expression" dxfId="31" priority="3">
      <formula>NOT(OR($C$7="Round Tube", $C$7="Rectangular Tube"))</formula>
    </cfRule>
  </conditionalFormatting>
  <conditionalFormatting sqref="B10:C10">
    <cfRule type="expression" dxfId="30" priority="2">
      <formula>NOT($C$7="Rectangular Tube")</formula>
    </cfRule>
  </conditionalFormatting>
  <dataValidations count="3">
    <dataValidation type="list" allowBlank="1" showInputMessage="1" showErrorMessage="1" sqref="C12">
      <formula1>"6061 Al,7075 Al,Steel,Stainless"</formula1>
    </dataValidation>
    <dataValidation type="list" allowBlank="1" showInputMessage="1" showErrorMessage="1" sqref="C5">
      <formula1>"Imperial,Metric"</formula1>
    </dataValidation>
    <dataValidation type="list" allowBlank="1" showInputMessage="1" showErrorMessage="1" sqref="C7">
      <formula1>"Hex,Round,Round Tube,Square,Rectangular Tube"</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C2:J183"/>
  <sheetViews>
    <sheetView workbookViewId="0">
      <selection activeCell="D10" sqref="D10"/>
    </sheetView>
  </sheetViews>
  <sheetFormatPr defaultColWidth="9.140625" defaultRowHeight="15" x14ac:dyDescent="0.25"/>
  <cols>
    <col min="1" max="1" width="9.140625" style="99"/>
    <col min="2" max="2" width="2.7109375" style="99" customWidth="1"/>
    <col min="3" max="3" width="26" style="99" customWidth="1"/>
    <col min="4" max="4" width="8.28515625" style="99" customWidth="1"/>
    <col min="5" max="5" width="9.42578125" style="99" customWidth="1"/>
    <col min="6" max="6" width="9.140625" style="99"/>
    <col min="7" max="7" width="26.140625" style="99" customWidth="1"/>
    <col min="8" max="9" width="9.140625" style="99"/>
    <col min="10" max="10" width="9.42578125" style="99" customWidth="1"/>
    <col min="11" max="16384" width="9.140625" style="99"/>
  </cols>
  <sheetData>
    <row r="2" spans="3:10" ht="31.5" x14ac:dyDescent="0.25">
      <c r="C2" s="100" t="s">
        <v>218</v>
      </c>
    </row>
    <row r="4" spans="3:10" x14ac:dyDescent="0.25">
      <c r="C4" s="103" t="s">
        <v>317</v>
      </c>
      <c r="D4" s="101" t="s">
        <v>316</v>
      </c>
      <c r="E4" s="67">
        <f>IF($D$4="Imperial", 32.174, 9.807)</f>
        <v>9.8070000000000004</v>
      </c>
      <c r="J4" s="101" t="s">
        <v>169</v>
      </c>
    </row>
    <row r="6" spans="3:10" ht="18.75" x14ac:dyDescent="0.25">
      <c r="C6" s="102" t="s">
        <v>169</v>
      </c>
      <c r="G6" s="102" t="s">
        <v>170</v>
      </c>
    </row>
    <row r="7" spans="3:10" x14ac:dyDescent="0.25">
      <c r="C7" s="103" t="str">
        <f>IF($D$4="Imperial","Distance to Target (ft)", "Distance to Target (m)")</f>
        <v>Distance to Target (m)</v>
      </c>
      <c r="D7" s="104">
        <v>1</v>
      </c>
      <c r="G7" s="103" t="str">
        <f>IF($D$4="Imperial","Distance to Target (ft)", "Distance to Target (m)")</f>
        <v>Distance to Target (m)</v>
      </c>
      <c r="H7" s="104">
        <v>1</v>
      </c>
    </row>
    <row r="8" spans="3:10" x14ac:dyDescent="0.25">
      <c r="C8" s="103" t="str">
        <f>IF($D$4="Imperial", "Release Height (ft)", "Release Height (m)")</f>
        <v>Release Height (m)</v>
      </c>
      <c r="D8" s="105">
        <v>0.5</v>
      </c>
      <c r="G8" s="103" t="str">
        <f>IF($D$4="Imperial", "Target Height (ft)", "Target Height (m)")</f>
        <v>Target Height (m)</v>
      </c>
      <c r="H8" s="104">
        <v>2.5</v>
      </c>
      <c r="I8" s="106">
        <f>H8-H9</f>
        <v>2</v>
      </c>
    </row>
    <row r="9" spans="3:10" x14ac:dyDescent="0.25">
      <c r="C9" s="103" t="str">
        <f>IF($D$4="Imperial", "Release Velocity (ft/s)", "Release Velocity (m/s)")</f>
        <v>Release Velocity (m/s)</v>
      </c>
      <c r="D9" s="107">
        <v>7.3</v>
      </c>
      <c r="G9" s="103" t="str">
        <f>IF($D$4="Imperial", "Release Height (ft)", "Release Height (m)")</f>
        <v>Release Height (m)</v>
      </c>
      <c r="H9" s="105">
        <v>0.5</v>
      </c>
    </row>
    <row r="10" spans="3:10" x14ac:dyDescent="0.25">
      <c r="C10" s="103" t="s">
        <v>167</v>
      </c>
      <c r="D10" s="108">
        <v>83</v>
      </c>
      <c r="G10" s="103" t="s">
        <v>168</v>
      </c>
      <c r="H10" s="101">
        <v>-80</v>
      </c>
    </row>
    <row r="13" spans="3:10" x14ac:dyDescent="0.25">
      <c r="C13" s="103" t="str">
        <f>IF($D$4="Imperial", "Target Height (ft)", "Target Height (m)")</f>
        <v>Target Height (m)</v>
      </c>
      <c r="D13" s="109">
        <f>$D$7*TAN(RADIANS($D$10))-($E$4*$D$7^2)/(2*$D$9^2*COS(RADIANS($D$10))^2)+$D$8</f>
        <v>2.448915537638463</v>
      </c>
      <c r="G13" s="103" t="str">
        <f>IF($D$4="Imperial", "Release Velocity (ft/s)", "Release Velocity (m/s)")</f>
        <v>Release Velocity (m/s)</v>
      </c>
      <c r="H13" s="110">
        <f>SQRT(($E$4*$H$7)/(ABS(TAN(RADIANS($H$14))-TAN(RADIANS($H$10)))))/COS(RADIANS($H$14))</f>
        <v>7.773425323611403</v>
      </c>
    </row>
    <row r="14" spans="3:10" x14ac:dyDescent="0.25">
      <c r="C14" s="103" t="s">
        <v>168</v>
      </c>
      <c r="D14" s="110">
        <f>IF($D$7=0, $D$10, DEGREES(ATAN(2*($D$13-$D$8)/$D$7-TAN(RADIANS($D$10)))))</f>
        <v>-76.748998205977173</v>
      </c>
      <c r="G14" s="103" t="s">
        <v>167</v>
      </c>
      <c r="H14" s="111">
        <f>DEGREES(ATAN(2*$I$8/$H$7-TAN(RADIANS($H$10))))</f>
        <v>84.096657398485178</v>
      </c>
    </row>
    <row r="17" spans="3:3" x14ac:dyDescent="0.25">
      <c r="C17" s="97" t="s">
        <v>314</v>
      </c>
    </row>
    <row r="18" spans="3:3" x14ac:dyDescent="0.25">
      <c r="C18" s="97" t="s">
        <v>315</v>
      </c>
    </row>
    <row r="80" spans="4:6" x14ac:dyDescent="0.25">
      <c r="D80" s="112" t="s">
        <v>172</v>
      </c>
      <c r="E80" s="113"/>
      <c r="F80" s="114"/>
    </row>
    <row r="81" spans="4:6" x14ac:dyDescent="0.25">
      <c r="D81" s="115" t="s">
        <v>171</v>
      </c>
      <c r="E81" s="116" t="s">
        <v>165</v>
      </c>
      <c r="F81" s="117" t="s">
        <v>9</v>
      </c>
    </row>
    <row r="82" spans="4:6" x14ac:dyDescent="0.25">
      <c r="D82" s="118">
        <v>0</v>
      </c>
      <c r="E82" s="98">
        <f>IF($J$4="Forward", $D$7, $H$7)/100*D82</f>
        <v>0</v>
      </c>
      <c r="F82" s="119">
        <f t="shared" ref="F82:F113" si="0">IF(E82*TAN(RADIANS(IF($J$4="Forward", $D$10, $H$14))) - ($E$4*E82^2)/(2*IF($J$4="Forward", $D$9, $H$13)^2 * COS(RADIANS(IF($J$4="Forward", $D$10, $H$14)))^2) + IF($J$4="Forward", $D$8, $H$9)&gt;=0, E82*TAN(RADIANS(IF($J$4="Forward", $D$10, $H$14))) - ($E$4*E82^2)/(2*IF($J$4="Forward", $D$9, $H$13)^2 * COS(RADIANS(IF($J$4="Forward", $D$10, $H$14)))^2) + IF($J$4="Forward", $D$8, $H$9), 0)</f>
        <v>0.5</v>
      </c>
    </row>
    <row r="83" spans="4:6" x14ac:dyDescent="0.25">
      <c r="D83" s="118">
        <v>1</v>
      </c>
      <c r="E83" s="98">
        <f t="shared" ref="E83:E146" si="1">IF($J$4="Forward", $D$7, $H$7)/100*D83</f>
        <v>0.01</v>
      </c>
      <c r="F83" s="119">
        <f t="shared" si="0"/>
        <v>0.58082392119071236</v>
      </c>
    </row>
    <row r="84" spans="4:6" x14ac:dyDescent="0.25">
      <c r="D84" s="118">
        <v>2</v>
      </c>
      <c r="E84" s="98">
        <f t="shared" si="1"/>
        <v>0.02</v>
      </c>
      <c r="F84" s="119">
        <f t="shared" si="0"/>
        <v>0.66040875620335737</v>
      </c>
    </row>
    <row r="85" spans="4:6" x14ac:dyDescent="0.25">
      <c r="D85" s="118">
        <v>3</v>
      </c>
      <c r="E85" s="98">
        <f t="shared" si="1"/>
        <v>0.03</v>
      </c>
      <c r="F85" s="119">
        <f t="shared" si="0"/>
        <v>0.73875450503793527</v>
      </c>
    </row>
    <row r="86" spans="4:6" x14ac:dyDescent="0.25">
      <c r="D86" s="118">
        <v>4</v>
      </c>
      <c r="E86" s="98">
        <f t="shared" si="1"/>
        <v>0.04</v>
      </c>
      <c r="F86" s="119">
        <f t="shared" si="0"/>
        <v>0.81586116769444583</v>
      </c>
    </row>
    <row r="87" spans="4:6" x14ac:dyDescent="0.25">
      <c r="D87" s="118">
        <v>5</v>
      </c>
      <c r="E87" s="98">
        <f t="shared" si="1"/>
        <v>0.05</v>
      </c>
      <c r="F87" s="119">
        <f t="shared" si="0"/>
        <v>0.89172874417288939</v>
      </c>
    </row>
    <row r="88" spans="4:6" x14ac:dyDescent="0.25">
      <c r="D88" s="118">
        <v>6</v>
      </c>
      <c r="E88" s="98">
        <f t="shared" si="1"/>
        <v>0.06</v>
      </c>
      <c r="F88" s="119">
        <f t="shared" si="0"/>
        <v>0.9663572344732656</v>
      </c>
    </row>
    <row r="89" spans="4:6" x14ac:dyDescent="0.25">
      <c r="D89" s="118">
        <v>7</v>
      </c>
      <c r="E89" s="98">
        <f t="shared" si="1"/>
        <v>7.0000000000000007E-2</v>
      </c>
      <c r="F89" s="119">
        <f t="shared" si="0"/>
        <v>1.0397466385955747</v>
      </c>
    </row>
    <row r="90" spans="4:6" x14ac:dyDescent="0.25">
      <c r="D90" s="118">
        <v>8</v>
      </c>
      <c r="E90" s="98">
        <f t="shared" si="1"/>
        <v>0.08</v>
      </c>
      <c r="F90" s="119">
        <f t="shared" si="0"/>
        <v>1.1118969565398162</v>
      </c>
    </row>
    <row r="91" spans="4:6" x14ac:dyDescent="0.25">
      <c r="D91" s="118">
        <v>9</v>
      </c>
      <c r="E91" s="98">
        <f t="shared" si="1"/>
        <v>0.09</v>
      </c>
      <c r="F91" s="119">
        <f t="shared" si="0"/>
        <v>1.1828081883059907</v>
      </c>
    </row>
    <row r="92" spans="4:6" x14ac:dyDescent="0.25">
      <c r="D92" s="118">
        <v>10</v>
      </c>
      <c r="E92" s="98">
        <f t="shared" si="1"/>
        <v>0.1</v>
      </c>
      <c r="F92" s="119">
        <f t="shared" si="0"/>
        <v>1.252480333894098</v>
      </c>
    </row>
    <row r="93" spans="4:6" x14ac:dyDescent="0.25">
      <c r="D93" s="118">
        <v>11</v>
      </c>
      <c r="E93" s="98">
        <f t="shared" si="1"/>
        <v>0.11</v>
      </c>
      <c r="F93" s="119">
        <f t="shared" si="0"/>
        <v>1.3209133933041382</v>
      </c>
    </row>
    <row r="94" spans="4:6" x14ac:dyDescent="0.25">
      <c r="D94" s="118">
        <v>12</v>
      </c>
      <c r="E94" s="98">
        <f t="shared" si="1"/>
        <v>0.12</v>
      </c>
      <c r="F94" s="119">
        <f t="shared" si="0"/>
        <v>1.388107366536111</v>
      </c>
    </row>
    <row r="95" spans="4:6" x14ac:dyDescent="0.25">
      <c r="D95" s="118">
        <v>13</v>
      </c>
      <c r="E95" s="98">
        <f t="shared" si="1"/>
        <v>0.13</v>
      </c>
      <c r="F95" s="119">
        <f t="shared" si="0"/>
        <v>1.4540622535900165</v>
      </c>
    </row>
    <row r="96" spans="4:6" x14ac:dyDescent="0.25">
      <c r="D96" s="118">
        <v>14</v>
      </c>
      <c r="E96" s="98">
        <f t="shared" si="1"/>
        <v>0.14000000000000001</v>
      </c>
      <c r="F96" s="119">
        <f t="shared" si="0"/>
        <v>1.5187780544658551</v>
      </c>
    </row>
    <row r="97" spans="4:6" x14ac:dyDescent="0.25">
      <c r="D97" s="118">
        <v>15</v>
      </c>
      <c r="E97" s="98">
        <f t="shared" si="1"/>
        <v>0.15</v>
      </c>
      <c r="F97" s="119">
        <f t="shared" si="0"/>
        <v>1.582254769163626</v>
      </c>
    </row>
    <row r="98" spans="4:6" x14ac:dyDescent="0.25">
      <c r="D98" s="118">
        <v>16</v>
      </c>
      <c r="E98" s="98">
        <f t="shared" si="1"/>
        <v>0.16</v>
      </c>
      <c r="F98" s="119">
        <f t="shared" si="0"/>
        <v>1.6444923976833299</v>
      </c>
    </row>
    <row r="99" spans="4:6" x14ac:dyDescent="0.25">
      <c r="D99" s="118">
        <v>17</v>
      </c>
      <c r="E99" s="98">
        <f t="shared" si="1"/>
        <v>0.17</v>
      </c>
      <c r="F99" s="119">
        <f t="shared" si="0"/>
        <v>1.7054909400249667</v>
      </c>
    </row>
    <row r="100" spans="4:6" x14ac:dyDescent="0.25">
      <c r="D100" s="118">
        <v>18</v>
      </c>
      <c r="E100" s="98">
        <f t="shared" si="1"/>
        <v>0.18</v>
      </c>
      <c r="F100" s="119">
        <f t="shared" si="0"/>
        <v>1.765250396188536</v>
      </c>
    </row>
    <row r="101" spans="4:6" x14ac:dyDescent="0.25">
      <c r="D101" s="118">
        <v>19</v>
      </c>
      <c r="E101" s="98">
        <f t="shared" si="1"/>
        <v>0.19</v>
      </c>
      <c r="F101" s="119">
        <f t="shared" si="0"/>
        <v>1.8237707661740385</v>
      </c>
    </row>
    <row r="102" spans="4:6" x14ac:dyDescent="0.25">
      <c r="D102" s="118">
        <v>20</v>
      </c>
      <c r="E102" s="98">
        <f t="shared" si="1"/>
        <v>0.2</v>
      </c>
      <c r="F102" s="119">
        <f t="shared" si="0"/>
        <v>1.8810520499814736</v>
      </c>
    </row>
    <row r="103" spans="4:6" x14ac:dyDescent="0.25">
      <c r="D103" s="118">
        <v>21</v>
      </c>
      <c r="E103" s="98">
        <f t="shared" si="1"/>
        <v>0.21</v>
      </c>
      <c r="F103" s="119">
        <f t="shared" si="0"/>
        <v>1.937094247610841</v>
      </c>
    </row>
    <row r="104" spans="4:6" x14ac:dyDescent="0.25">
      <c r="D104" s="118">
        <v>22</v>
      </c>
      <c r="E104" s="98">
        <f t="shared" si="1"/>
        <v>0.22</v>
      </c>
      <c r="F104" s="119">
        <f t="shared" si="0"/>
        <v>1.9918973590621418</v>
      </c>
    </row>
    <row r="105" spans="4:6" x14ac:dyDescent="0.25">
      <c r="D105" s="118">
        <v>23</v>
      </c>
      <c r="E105" s="98">
        <f t="shared" si="1"/>
        <v>0.23</v>
      </c>
      <c r="F105" s="119">
        <f t="shared" si="0"/>
        <v>2.0454613843353751</v>
      </c>
    </row>
    <row r="106" spans="4:6" x14ac:dyDescent="0.25">
      <c r="D106" s="118">
        <v>24</v>
      </c>
      <c r="E106" s="98">
        <f t="shared" si="1"/>
        <v>0.24</v>
      </c>
      <c r="F106" s="119">
        <f t="shared" si="0"/>
        <v>2.0977863234305412</v>
      </c>
    </row>
    <row r="107" spans="4:6" x14ac:dyDescent="0.25">
      <c r="D107" s="118">
        <v>25</v>
      </c>
      <c r="E107" s="98">
        <f t="shared" si="1"/>
        <v>0.25</v>
      </c>
      <c r="F107" s="119">
        <f t="shared" si="0"/>
        <v>2.1488721763476404</v>
      </c>
    </row>
    <row r="108" spans="4:6" x14ac:dyDescent="0.25">
      <c r="D108" s="118">
        <v>26</v>
      </c>
      <c r="E108" s="98">
        <f t="shared" si="1"/>
        <v>0.26</v>
      </c>
      <c r="F108" s="119">
        <f t="shared" si="0"/>
        <v>2.1987189430866718</v>
      </c>
    </row>
    <row r="109" spans="4:6" x14ac:dyDescent="0.25">
      <c r="D109" s="118">
        <v>27</v>
      </c>
      <c r="E109" s="98">
        <f t="shared" si="1"/>
        <v>0.27</v>
      </c>
      <c r="F109" s="119">
        <f t="shared" si="0"/>
        <v>2.2473266236476359</v>
      </c>
    </row>
    <row r="110" spans="4:6" x14ac:dyDescent="0.25">
      <c r="D110" s="118">
        <v>28</v>
      </c>
      <c r="E110" s="98">
        <f t="shared" si="1"/>
        <v>0.28000000000000003</v>
      </c>
      <c r="F110" s="119">
        <f t="shared" si="0"/>
        <v>2.294695218030534</v>
      </c>
    </row>
    <row r="111" spans="4:6" x14ac:dyDescent="0.25">
      <c r="D111" s="118">
        <v>29</v>
      </c>
      <c r="E111" s="98">
        <f t="shared" si="1"/>
        <v>0.28999999999999998</v>
      </c>
      <c r="F111" s="119">
        <f t="shared" si="0"/>
        <v>2.3408247262353634</v>
      </c>
    </row>
    <row r="112" spans="4:6" x14ac:dyDescent="0.25">
      <c r="D112" s="118">
        <v>30</v>
      </c>
      <c r="E112" s="98">
        <f t="shared" si="1"/>
        <v>0.3</v>
      </c>
      <c r="F112" s="119">
        <f t="shared" si="0"/>
        <v>2.3857151482621264</v>
      </c>
    </row>
    <row r="113" spans="4:6" x14ac:dyDescent="0.25">
      <c r="D113" s="118">
        <v>31</v>
      </c>
      <c r="E113" s="98">
        <f t="shared" si="1"/>
        <v>0.31</v>
      </c>
      <c r="F113" s="119">
        <f t="shared" si="0"/>
        <v>2.4293664841108216</v>
      </c>
    </row>
    <row r="114" spans="4:6" x14ac:dyDescent="0.25">
      <c r="D114" s="118">
        <v>32</v>
      </c>
      <c r="E114" s="98">
        <f t="shared" si="1"/>
        <v>0.32</v>
      </c>
      <c r="F114" s="119">
        <f t="shared" ref="F114:F145" si="2">IF(E114*TAN(RADIANS(IF($J$4="Forward", $D$10, $H$14))) - ($E$4*E114^2)/(2*IF($J$4="Forward", $D$9, $H$13)^2 * COS(RADIANS(IF($J$4="Forward", $D$10, $H$14)))^2) + IF($J$4="Forward", $D$8, $H$9)&gt;=0, E114*TAN(RADIANS(IF($J$4="Forward", $D$10, $H$14))) - ($E$4*E114^2)/(2*IF($J$4="Forward", $D$9, $H$13)^2 * COS(RADIANS(IF($J$4="Forward", $D$10, $H$14)))^2) + IF($J$4="Forward", $D$8, $H$9), 0)</f>
        <v>2.4717787337814499</v>
      </c>
    </row>
    <row r="115" spans="4:6" x14ac:dyDescent="0.25">
      <c r="D115" s="118">
        <v>33</v>
      </c>
      <c r="E115" s="98">
        <f t="shared" si="1"/>
        <v>0.33</v>
      </c>
      <c r="F115" s="119">
        <f t="shared" si="2"/>
        <v>2.5129518972740112</v>
      </c>
    </row>
    <row r="116" spans="4:6" x14ac:dyDescent="0.25">
      <c r="D116" s="118">
        <v>34</v>
      </c>
      <c r="E116" s="98">
        <f t="shared" si="1"/>
        <v>0.34</v>
      </c>
      <c r="F116" s="119">
        <f t="shared" si="2"/>
        <v>2.5528859745885049</v>
      </c>
    </row>
    <row r="117" spans="4:6" x14ac:dyDescent="0.25">
      <c r="D117" s="118">
        <v>35</v>
      </c>
      <c r="E117" s="98">
        <f t="shared" si="1"/>
        <v>0.35000000000000003</v>
      </c>
      <c r="F117" s="119">
        <f t="shared" si="2"/>
        <v>2.5915809657249316</v>
      </c>
    </row>
    <row r="118" spans="4:6" x14ac:dyDescent="0.25">
      <c r="D118" s="118">
        <v>36</v>
      </c>
      <c r="E118" s="98">
        <f t="shared" si="1"/>
        <v>0.36</v>
      </c>
      <c r="F118" s="119">
        <f t="shared" si="2"/>
        <v>2.6290368706832909</v>
      </c>
    </row>
    <row r="119" spans="4:6" x14ac:dyDescent="0.25">
      <c r="D119" s="118">
        <v>37</v>
      </c>
      <c r="E119" s="98">
        <f t="shared" si="1"/>
        <v>0.37</v>
      </c>
      <c r="F119" s="119">
        <f t="shared" si="2"/>
        <v>2.665253689463583</v>
      </c>
    </row>
    <row r="120" spans="4:6" x14ac:dyDescent="0.25">
      <c r="D120" s="118">
        <v>38</v>
      </c>
      <c r="E120" s="98">
        <f t="shared" si="1"/>
        <v>0.38</v>
      </c>
      <c r="F120" s="119">
        <f t="shared" si="2"/>
        <v>2.7002314220658086</v>
      </c>
    </row>
    <row r="121" spans="4:6" x14ac:dyDescent="0.25">
      <c r="D121" s="118">
        <v>39</v>
      </c>
      <c r="E121" s="98">
        <f t="shared" si="1"/>
        <v>0.39</v>
      </c>
      <c r="F121" s="119">
        <f t="shared" si="2"/>
        <v>2.7339700684899659</v>
      </c>
    </row>
    <row r="122" spans="4:6" x14ac:dyDescent="0.25">
      <c r="D122" s="118">
        <v>40</v>
      </c>
      <c r="E122" s="98">
        <f t="shared" si="1"/>
        <v>0.4</v>
      </c>
      <c r="F122" s="119">
        <f t="shared" si="2"/>
        <v>2.7664696287360564</v>
      </c>
    </row>
    <row r="123" spans="4:6" x14ac:dyDescent="0.25">
      <c r="D123" s="118">
        <v>41</v>
      </c>
      <c r="E123" s="98">
        <f t="shared" si="1"/>
        <v>0.41000000000000003</v>
      </c>
      <c r="F123" s="119">
        <f t="shared" si="2"/>
        <v>2.7977301028040795</v>
      </c>
    </row>
    <row r="124" spans="4:6" x14ac:dyDescent="0.25">
      <c r="D124" s="118">
        <v>42</v>
      </c>
      <c r="E124" s="98">
        <f t="shared" si="1"/>
        <v>0.42</v>
      </c>
      <c r="F124" s="119">
        <f t="shared" si="2"/>
        <v>2.8277514906940358</v>
      </c>
    </row>
    <row r="125" spans="4:6" x14ac:dyDescent="0.25">
      <c r="D125" s="118">
        <v>43</v>
      </c>
      <c r="E125" s="98">
        <f t="shared" si="1"/>
        <v>0.43</v>
      </c>
      <c r="F125" s="119">
        <f t="shared" si="2"/>
        <v>2.8565337924059246</v>
      </c>
    </row>
    <row r="126" spans="4:6" x14ac:dyDescent="0.25">
      <c r="D126" s="118">
        <v>44</v>
      </c>
      <c r="E126" s="98">
        <f t="shared" si="1"/>
        <v>0.44</v>
      </c>
      <c r="F126" s="119">
        <f t="shared" si="2"/>
        <v>2.8840770079397462</v>
      </c>
    </row>
    <row r="127" spans="4:6" x14ac:dyDescent="0.25">
      <c r="D127" s="118">
        <v>45</v>
      </c>
      <c r="E127" s="98">
        <f t="shared" si="1"/>
        <v>0.45</v>
      </c>
      <c r="F127" s="119">
        <f t="shared" si="2"/>
        <v>2.9103811372955004</v>
      </c>
    </row>
    <row r="128" spans="4:6" x14ac:dyDescent="0.25">
      <c r="D128" s="118">
        <v>46</v>
      </c>
      <c r="E128" s="98">
        <f t="shared" si="1"/>
        <v>0.46</v>
      </c>
      <c r="F128" s="119">
        <f t="shared" si="2"/>
        <v>2.9354461804731877</v>
      </c>
    </row>
    <row r="129" spans="4:6" x14ac:dyDescent="0.25">
      <c r="D129" s="118">
        <v>47</v>
      </c>
      <c r="E129" s="98">
        <f t="shared" si="1"/>
        <v>0.47000000000000003</v>
      </c>
      <c r="F129" s="119">
        <f t="shared" si="2"/>
        <v>2.9592721374728077</v>
      </c>
    </row>
    <row r="130" spans="4:6" x14ac:dyDescent="0.25">
      <c r="D130" s="118">
        <v>48</v>
      </c>
      <c r="E130" s="98">
        <f t="shared" si="1"/>
        <v>0.48</v>
      </c>
      <c r="F130" s="119">
        <f t="shared" si="2"/>
        <v>2.9818590082943603</v>
      </c>
    </row>
    <row r="131" spans="4:6" x14ac:dyDescent="0.25">
      <c r="D131" s="118">
        <v>49</v>
      </c>
      <c r="E131" s="98">
        <f t="shared" si="1"/>
        <v>0.49</v>
      </c>
      <c r="F131" s="119">
        <f t="shared" si="2"/>
        <v>3.0032067929378456</v>
      </c>
    </row>
    <row r="132" spans="4:6" x14ac:dyDescent="0.25">
      <c r="D132" s="118">
        <v>50</v>
      </c>
      <c r="E132" s="98">
        <f t="shared" si="1"/>
        <v>0.5</v>
      </c>
      <c r="F132" s="119">
        <f t="shared" si="2"/>
        <v>3.0233154914032641</v>
      </c>
    </row>
    <row r="133" spans="4:6" x14ac:dyDescent="0.25">
      <c r="D133" s="118">
        <v>51</v>
      </c>
      <c r="E133" s="98">
        <f t="shared" si="1"/>
        <v>0.51</v>
      </c>
      <c r="F133" s="119">
        <f t="shared" si="2"/>
        <v>3.0421851036906156</v>
      </c>
    </row>
    <row r="134" spans="4:6" x14ac:dyDescent="0.25">
      <c r="D134" s="118">
        <v>52</v>
      </c>
      <c r="E134" s="98">
        <f t="shared" si="1"/>
        <v>0.52</v>
      </c>
      <c r="F134" s="119">
        <f t="shared" si="2"/>
        <v>3.0598156297998984</v>
      </c>
    </row>
    <row r="135" spans="4:6" x14ac:dyDescent="0.25">
      <c r="D135" s="118">
        <v>53</v>
      </c>
      <c r="E135" s="98">
        <f t="shared" si="1"/>
        <v>0.53</v>
      </c>
      <c r="F135" s="119">
        <f t="shared" si="2"/>
        <v>3.0762070697311152</v>
      </c>
    </row>
    <row r="136" spans="4:6" x14ac:dyDescent="0.25">
      <c r="D136" s="118">
        <v>54</v>
      </c>
      <c r="E136" s="98">
        <f t="shared" si="1"/>
        <v>0.54</v>
      </c>
      <c r="F136" s="119">
        <f t="shared" si="2"/>
        <v>3.0913594234842643</v>
      </c>
    </row>
    <row r="137" spans="4:6" x14ac:dyDescent="0.25">
      <c r="D137" s="118">
        <v>55</v>
      </c>
      <c r="E137" s="98">
        <f t="shared" si="1"/>
        <v>0.55000000000000004</v>
      </c>
      <c r="F137" s="119">
        <f t="shared" si="2"/>
        <v>3.1052726910593469</v>
      </c>
    </row>
    <row r="138" spans="4:6" x14ac:dyDescent="0.25">
      <c r="D138" s="118">
        <v>56</v>
      </c>
      <c r="E138" s="98">
        <f t="shared" si="1"/>
        <v>0.56000000000000005</v>
      </c>
      <c r="F138" s="119">
        <f t="shared" si="2"/>
        <v>3.1179468724563622</v>
      </c>
    </row>
    <row r="139" spans="4:6" x14ac:dyDescent="0.25">
      <c r="D139" s="118">
        <v>57</v>
      </c>
      <c r="E139" s="98">
        <f t="shared" si="1"/>
        <v>0.57000000000000006</v>
      </c>
      <c r="F139" s="119">
        <f t="shared" si="2"/>
        <v>3.1293819676753092</v>
      </c>
    </row>
    <row r="140" spans="4:6" x14ac:dyDescent="0.25">
      <c r="D140" s="118">
        <v>58</v>
      </c>
      <c r="E140" s="98">
        <f t="shared" si="1"/>
        <v>0.57999999999999996</v>
      </c>
      <c r="F140" s="119">
        <f t="shared" si="2"/>
        <v>3.1395779767161898</v>
      </c>
    </row>
    <row r="141" spans="4:6" x14ac:dyDescent="0.25">
      <c r="D141" s="118">
        <v>59</v>
      </c>
      <c r="E141" s="98">
        <f t="shared" si="1"/>
        <v>0.59</v>
      </c>
      <c r="F141" s="119">
        <f t="shared" si="2"/>
        <v>3.1485348995790026</v>
      </c>
    </row>
    <row r="142" spans="4:6" x14ac:dyDescent="0.25">
      <c r="D142" s="118">
        <v>60</v>
      </c>
      <c r="E142" s="98">
        <f t="shared" si="1"/>
        <v>0.6</v>
      </c>
      <c r="F142" s="119">
        <f t="shared" si="2"/>
        <v>3.1562527362637489</v>
      </c>
    </row>
    <row r="143" spans="4:6" x14ac:dyDescent="0.25">
      <c r="D143" s="118">
        <v>61</v>
      </c>
      <c r="E143" s="98">
        <f t="shared" si="1"/>
        <v>0.61</v>
      </c>
      <c r="F143" s="119">
        <f t="shared" si="2"/>
        <v>3.1627314867704279</v>
      </c>
    </row>
    <row r="144" spans="4:6" x14ac:dyDescent="0.25">
      <c r="D144" s="118">
        <v>62</v>
      </c>
      <c r="E144" s="98">
        <f t="shared" si="1"/>
        <v>0.62</v>
      </c>
      <c r="F144" s="119">
        <f t="shared" si="2"/>
        <v>3.1679711510990392</v>
      </c>
    </row>
    <row r="145" spans="4:6" x14ac:dyDescent="0.25">
      <c r="D145" s="118">
        <v>63</v>
      </c>
      <c r="E145" s="98">
        <f t="shared" si="1"/>
        <v>0.63</v>
      </c>
      <c r="F145" s="119">
        <f t="shared" si="2"/>
        <v>3.1719717292495835</v>
      </c>
    </row>
    <row r="146" spans="4:6" x14ac:dyDescent="0.25">
      <c r="D146" s="118">
        <v>64</v>
      </c>
      <c r="E146" s="98">
        <f t="shared" si="1"/>
        <v>0.64</v>
      </c>
      <c r="F146" s="119">
        <f t="shared" ref="F146:F177" si="3">IF(E146*TAN(RADIANS(IF($J$4="Forward", $D$10, $H$14))) - ($E$4*E146^2)/(2*IF($J$4="Forward", $D$9, $H$13)^2 * COS(RADIANS(IF($J$4="Forward", $D$10, $H$14)))^2) + IF($J$4="Forward", $D$8, $H$9)&gt;=0, E146*TAN(RADIANS(IF($J$4="Forward", $D$10, $H$14))) - ($E$4*E146^2)/(2*IF($J$4="Forward", $D$9, $H$13)^2 * COS(RADIANS(IF($J$4="Forward", $D$10, $H$14)))^2) + IF($J$4="Forward", $D$8, $H$9), 0)</f>
        <v>3.17473322122206</v>
      </c>
    </row>
    <row r="147" spans="4:6" x14ac:dyDescent="0.25">
      <c r="D147" s="118">
        <v>65</v>
      </c>
      <c r="E147" s="98">
        <f t="shared" ref="E147:E182" si="4">IF($J$4="Forward", $D$7, $H$7)/100*D147</f>
        <v>0.65</v>
      </c>
      <c r="F147" s="119">
        <f t="shared" si="3"/>
        <v>3.1762556270164706</v>
      </c>
    </row>
    <row r="148" spans="4:6" x14ac:dyDescent="0.25">
      <c r="D148" s="118">
        <v>66</v>
      </c>
      <c r="E148" s="98">
        <f t="shared" si="4"/>
        <v>0.66</v>
      </c>
      <c r="F148" s="119">
        <f t="shared" si="3"/>
        <v>3.1765389466328133</v>
      </c>
    </row>
    <row r="149" spans="4:6" x14ac:dyDescent="0.25">
      <c r="D149" s="118">
        <v>67</v>
      </c>
      <c r="E149" s="98">
        <f t="shared" si="4"/>
        <v>0.67</v>
      </c>
      <c r="F149" s="119">
        <f t="shared" si="3"/>
        <v>3.1755831800710883</v>
      </c>
    </row>
    <row r="150" spans="4:6" x14ac:dyDescent="0.25">
      <c r="D150" s="118">
        <v>68</v>
      </c>
      <c r="E150" s="98">
        <f t="shared" si="4"/>
        <v>0.68</v>
      </c>
      <c r="F150" s="119">
        <f t="shared" si="3"/>
        <v>3.1733883273312964</v>
      </c>
    </row>
    <row r="151" spans="4:6" x14ac:dyDescent="0.25">
      <c r="D151" s="118">
        <v>69</v>
      </c>
      <c r="E151" s="98">
        <f t="shared" si="4"/>
        <v>0.69000000000000006</v>
      </c>
      <c r="F151" s="119">
        <f t="shared" si="3"/>
        <v>3.1699543884134371</v>
      </c>
    </row>
    <row r="152" spans="4:6" x14ac:dyDescent="0.25">
      <c r="D152" s="118">
        <v>70</v>
      </c>
      <c r="E152" s="98">
        <f t="shared" si="4"/>
        <v>0.70000000000000007</v>
      </c>
      <c r="F152" s="119">
        <f t="shared" si="3"/>
        <v>3.165281363317511</v>
      </c>
    </row>
    <row r="153" spans="4:6" x14ac:dyDescent="0.25">
      <c r="D153" s="118">
        <v>71</v>
      </c>
      <c r="E153" s="98">
        <f t="shared" si="4"/>
        <v>0.71</v>
      </c>
      <c r="F153" s="119">
        <f t="shared" si="3"/>
        <v>3.1593692520435179</v>
      </c>
    </row>
    <row r="154" spans="4:6" x14ac:dyDescent="0.25">
      <c r="D154" s="118">
        <v>72</v>
      </c>
      <c r="E154" s="98">
        <f t="shared" si="4"/>
        <v>0.72</v>
      </c>
      <c r="F154" s="119">
        <f t="shared" si="3"/>
        <v>3.1522180545914567</v>
      </c>
    </row>
    <row r="155" spans="4:6" x14ac:dyDescent="0.25">
      <c r="D155" s="118">
        <v>73</v>
      </c>
      <c r="E155" s="98">
        <f t="shared" si="4"/>
        <v>0.73</v>
      </c>
      <c r="F155" s="119">
        <f t="shared" si="3"/>
        <v>3.1438277709613294</v>
      </c>
    </row>
    <row r="156" spans="4:6" x14ac:dyDescent="0.25">
      <c r="D156" s="118">
        <v>74</v>
      </c>
      <c r="E156" s="98">
        <f t="shared" si="4"/>
        <v>0.74</v>
      </c>
      <c r="F156" s="119">
        <f t="shared" si="3"/>
        <v>3.1341984011531334</v>
      </c>
    </row>
    <row r="157" spans="4:6" x14ac:dyDescent="0.25">
      <c r="D157" s="118">
        <v>75</v>
      </c>
      <c r="E157" s="98">
        <f t="shared" si="4"/>
        <v>0.75</v>
      </c>
      <c r="F157" s="119">
        <f t="shared" si="3"/>
        <v>3.1233299451668715</v>
      </c>
    </row>
    <row r="158" spans="4:6" x14ac:dyDescent="0.25">
      <c r="D158" s="118">
        <v>76</v>
      </c>
      <c r="E158" s="98">
        <f t="shared" si="4"/>
        <v>0.76</v>
      </c>
      <c r="F158" s="119">
        <f t="shared" si="3"/>
        <v>3.1112224030025422</v>
      </c>
    </row>
    <row r="159" spans="4:6" x14ac:dyDescent="0.25">
      <c r="D159" s="118">
        <v>77</v>
      </c>
      <c r="E159" s="98">
        <f t="shared" si="4"/>
        <v>0.77</v>
      </c>
      <c r="F159" s="119">
        <f t="shared" si="3"/>
        <v>3.0978757746601451</v>
      </c>
    </row>
    <row r="160" spans="4:6" x14ac:dyDescent="0.25">
      <c r="D160" s="118">
        <v>78</v>
      </c>
      <c r="E160" s="98">
        <f t="shared" si="4"/>
        <v>0.78</v>
      </c>
      <c r="F160" s="119">
        <f t="shared" si="3"/>
        <v>3.0832900601396811</v>
      </c>
    </row>
    <row r="161" spans="4:6" x14ac:dyDescent="0.25">
      <c r="D161" s="118">
        <v>79</v>
      </c>
      <c r="E161" s="98">
        <f t="shared" si="4"/>
        <v>0.79</v>
      </c>
      <c r="F161" s="119">
        <f t="shared" si="3"/>
        <v>3.0674652594411489</v>
      </c>
    </row>
    <row r="162" spans="4:6" x14ac:dyDescent="0.25">
      <c r="D162" s="118">
        <v>80</v>
      </c>
      <c r="E162" s="98">
        <f t="shared" si="4"/>
        <v>0.8</v>
      </c>
      <c r="F162" s="119">
        <f t="shared" si="3"/>
        <v>3.0504013725645507</v>
      </c>
    </row>
    <row r="163" spans="4:6" x14ac:dyDescent="0.25">
      <c r="D163" s="118">
        <v>81</v>
      </c>
      <c r="E163" s="98">
        <f t="shared" si="4"/>
        <v>0.81</v>
      </c>
      <c r="F163" s="119">
        <f t="shared" si="3"/>
        <v>3.0320983995098851</v>
      </c>
    </row>
    <row r="164" spans="4:6" x14ac:dyDescent="0.25">
      <c r="D164" s="118">
        <v>82</v>
      </c>
      <c r="E164" s="98">
        <f t="shared" si="4"/>
        <v>0.82000000000000006</v>
      </c>
      <c r="F164" s="119">
        <f t="shared" si="3"/>
        <v>3.0125563402771522</v>
      </c>
    </row>
    <row r="165" spans="4:6" x14ac:dyDescent="0.25">
      <c r="D165" s="118">
        <v>83</v>
      </c>
      <c r="E165" s="98">
        <f t="shared" si="4"/>
        <v>0.83000000000000007</v>
      </c>
      <c r="F165" s="119">
        <f t="shared" si="3"/>
        <v>2.9917751948663529</v>
      </c>
    </row>
    <row r="166" spans="4:6" x14ac:dyDescent="0.25">
      <c r="D166" s="118">
        <v>84</v>
      </c>
      <c r="E166" s="98">
        <f t="shared" si="4"/>
        <v>0.84</v>
      </c>
      <c r="F166" s="119">
        <f t="shared" si="3"/>
        <v>2.9697549632774844</v>
      </c>
    </row>
    <row r="167" spans="4:6" x14ac:dyDescent="0.25">
      <c r="D167" s="118">
        <v>85</v>
      </c>
      <c r="E167" s="98">
        <f t="shared" si="4"/>
        <v>0.85</v>
      </c>
      <c r="F167" s="119">
        <f t="shared" si="3"/>
        <v>2.9464956455105504</v>
      </c>
    </row>
    <row r="168" spans="4:6" x14ac:dyDescent="0.25">
      <c r="D168" s="118">
        <v>86</v>
      </c>
      <c r="E168" s="98">
        <f t="shared" si="4"/>
        <v>0.86</v>
      </c>
      <c r="F168" s="119">
        <f t="shared" si="3"/>
        <v>2.9219972415655491</v>
      </c>
    </row>
    <row r="169" spans="4:6" x14ac:dyDescent="0.25">
      <c r="D169" s="118">
        <v>87</v>
      </c>
      <c r="E169" s="98">
        <f t="shared" si="4"/>
        <v>0.87</v>
      </c>
      <c r="F169" s="119">
        <f t="shared" si="3"/>
        <v>2.8962597514424786</v>
      </c>
    </row>
    <row r="170" spans="4:6" x14ac:dyDescent="0.25">
      <c r="D170" s="118">
        <v>88</v>
      </c>
      <c r="E170" s="98">
        <f t="shared" si="4"/>
        <v>0.88</v>
      </c>
      <c r="F170" s="119">
        <f t="shared" si="3"/>
        <v>2.8692831751413435</v>
      </c>
    </row>
    <row r="171" spans="4:6" x14ac:dyDescent="0.25">
      <c r="D171" s="118">
        <v>89</v>
      </c>
      <c r="E171" s="98">
        <f t="shared" si="4"/>
        <v>0.89</v>
      </c>
      <c r="F171" s="119">
        <f t="shared" si="3"/>
        <v>2.8410675126621383</v>
      </c>
    </row>
    <row r="172" spans="4:6" x14ac:dyDescent="0.25">
      <c r="D172" s="118">
        <v>90</v>
      </c>
      <c r="E172" s="98">
        <f t="shared" si="4"/>
        <v>0.9</v>
      </c>
      <c r="F172" s="119">
        <f t="shared" si="3"/>
        <v>2.8116127640048676</v>
      </c>
    </row>
    <row r="173" spans="4:6" x14ac:dyDescent="0.25">
      <c r="D173" s="118">
        <v>91</v>
      </c>
      <c r="E173" s="98">
        <f t="shared" si="4"/>
        <v>0.91</v>
      </c>
      <c r="F173" s="119">
        <f t="shared" si="3"/>
        <v>2.7809189291695304</v>
      </c>
    </row>
    <row r="174" spans="4:6" x14ac:dyDescent="0.25">
      <c r="D174" s="118">
        <v>92</v>
      </c>
      <c r="E174" s="98">
        <f t="shared" si="4"/>
        <v>0.92</v>
      </c>
      <c r="F174" s="119">
        <f t="shared" si="3"/>
        <v>2.748986008156125</v>
      </c>
    </row>
    <row r="175" spans="4:6" x14ac:dyDescent="0.25">
      <c r="D175" s="118">
        <v>93</v>
      </c>
      <c r="E175" s="98">
        <f t="shared" si="4"/>
        <v>0.93</v>
      </c>
      <c r="F175" s="119">
        <f t="shared" si="3"/>
        <v>2.7158140009646523</v>
      </c>
    </row>
    <row r="176" spans="4:6" x14ac:dyDescent="0.25">
      <c r="D176" s="118">
        <v>94</v>
      </c>
      <c r="E176" s="98">
        <f t="shared" si="4"/>
        <v>0.94000000000000006</v>
      </c>
      <c r="F176" s="119">
        <f t="shared" si="3"/>
        <v>2.6814029075951122</v>
      </c>
    </row>
    <row r="177" spans="4:6" x14ac:dyDescent="0.25">
      <c r="D177" s="118">
        <v>95</v>
      </c>
      <c r="E177" s="98">
        <f t="shared" si="4"/>
        <v>0.95000000000000007</v>
      </c>
      <c r="F177" s="119">
        <f t="shared" si="3"/>
        <v>2.6457527280475057</v>
      </c>
    </row>
    <row r="178" spans="4:6" x14ac:dyDescent="0.25">
      <c r="D178" s="118">
        <v>96</v>
      </c>
      <c r="E178" s="98">
        <f t="shared" si="4"/>
        <v>0.96</v>
      </c>
      <c r="F178" s="119">
        <f t="shared" ref="F178:F182" si="5">IF(E178*TAN(RADIANS(IF($J$4="Forward", $D$10, $H$14))) - ($E$4*E178^2)/(2*IF($J$4="Forward", $D$9, $H$13)^2 * COS(RADIANS(IF($J$4="Forward", $D$10, $H$14)))^2) + IF($J$4="Forward", $D$8, $H$9)&gt;=0, E178*TAN(RADIANS(IF($J$4="Forward", $D$10, $H$14))) - ($E$4*E178^2)/(2*IF($J$4="Forward", $D$9, $H$13)^2 * COS(RADIANS(IF($J$4="Forward", $D$10, $H$14)))^2) + IF($J$4="Forward", $D$8, $H$9), 0)</f>
        <v>2.6088634623218319</v>
      </c>
    </row>
    <row r="179" spans="4:6" x14ac:dyDescent="0.25">
      <c r="D179" s="118">
        <v>97</v>
      </c>
      <c r="E179" s="98">
        <f t="shared" si="4"/>
        <v>0.97</v>
      </c>
      <c r="F179" s="119">
        <f t="shared" si="5"/>
        <v>2.5707351104180898</v>
      </c>
    </row>
    <row r="180" spans="4:6" x14ac:dyDescent="0.25">
      <c r="D180" s="118">
        <v>98</v>
      </c>
      <c r="E180" s="98">
        <f t="shared" si="4"/>
        <v>0.98</v>
      </c>
      <c r="F180" s="119">
        <f t="shared" si="5"/>
        <v>2.5313676723362821</v>
      </c>
    </row>
    <row r="181" spans="4:6" x14ac:dyDescent="0.25">
      <c r="D181" s="118">
        <v>99</v>
      </c>
      <c r="E181" s="98">
        <f t="shared" si="4"/>
        <v>0.99</v>
      </c>
      <c r="F181" s="119">
        <f t="shared" si="5"/>
        <v>2.4907611480764063</v>
      </c>
    </row>
    <row r="182" spans="4:6" x14ac:dyDescent="0.25">
      <c r="D182" s="118">
        <v>100</v>
      </c>
      <c r="E182" s="98">
        <f t="shared" si="4"/>
        <v>1</v>
      </c>
      <c r="F182" s="119">
        <f t="shared" si="5"/>
        <v>2.448915537638463</v>
      </c>
    </row>
    <row r="183" spans="4:6" x14ac:dyDescent="0.25">
      <c r="D183" s="120"/>
      <c r="E183" s="121">
        <f>MAX(MAX(E82:E182), MAX(F82:F182))*1</f>
        <v>3.1765389466328133</v>
      </c>
      <c r="F183" s="122"/>
    </row>
  </sheetData>
  <conditionalFormatting sqref="H7">
    <cfRule type="expression" dxfId="29" priority="22">
      <formula>$H$7&lt;0</formula>
    </cfRule>
  </conditionalFormatting>
  <conditionalFormatting sqref="H8">
    <cfRule type="expression" dxfId="28" priority="21">
      <formula>$H$8&lt;=0</formula>
    </cfRule>
  </conditionalFormatting>
  <conditionalFormatting sqref="H9">
    <cfRule type="expression" dxfId="27" priority="20">
      <formula>$H$9&lt;0</formula>
    </cfRule>
  </conditionalFormatting>
  <conditionalFormatting sqref="H10">
    <cfRule type="expression" dxfId="26" priority="19">
      <formula>OR($H$10&gt;=90, $H$10&lt;=-90)</formula>
    </cfRule>
  </conditionalFormatting>
  <conditionalFormatting sqref="D7">
    <cfRule type="expression" dxfId="25" priority="8">
      <formula>$D$7&lt;0</formula>
    </cfRule>
  </conditionalFormatting>
  <conditionalFormatting sqref="D8">
    <cfRule type="expression" dxfId="24" priority="7">
      <formula>$D$8&lt;0</formula>
    </cfRule>
  </conditionalFormatting>
  <conditionalFormatting sqref="D10">
    <cfRule type="expression" dxfId="23" priority="6">
      <formula>OR($D$10&gt;=90, $D$10&lt;=-90)</formula>
    </cfRule>
  </conditionalFormatting>
  <conditionalFormatting sqref="D9">
    <cfRule type="expression" dxfId="22" priority="5">
      <formula>$D$9&lt;=0</formula>
    </cfRule>
  </conditionalFormatting>
  <conditionalFormatting sqref="D13:D14">
    <cfRule type="expression" dxfId="21" priority="3">
      <formula>$D$13&lt;=0</formula>
    </cfRule>
  </conditionalFormatting>
  <conditionalFormatting sqref="H13:H14">
    <cfRule type="expression" dxfId="20" priority="37">
      <formula>OR($H$13&lt;=0, OR(ABS(($H$7*TAN(RADIANS($H$14))-($E$4*$H$7^2)/(2*$H$13^2*COS(RADIANS($H$14))^2)+$H$9)/$H$8-1)&gt;0.05), ABS(DEGREES(ATAN(2*$I$8/$H$7-TAN(RADIANS($H$14))))/$H$10-1)&gt;0.05)</formula>
    </cfRule>
  </conditionalFormatting>
  <dataValidations count="2">
    <dataValidation type="list" allowBlank="1" showInputMessage="1" showErrorMessage="1" sqref="J4">
      <formula1>"Forward,Reverse"</formula1>
    </dataValidation>
    <dataValidation type="list" allowBlank="1" showInputMessage="1" showErrorMessage="1" sqref="D4">
      <formula1>"Imperial,Metric"</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sheetPr>
  <dimension ref="C2:T44"/>
  <sheetViews>
    <sheetView workbookViewId="0">
      <selection activeCell="D16" sqref="D16"/>
    </sheetView>
  </sheetViews>
  <sheetFormatPr defaultColWidth="9.140625" defaultRowHeight="15" x14ac:dyDescent="0.25"/>
  <cols>
    <col min="1" max="2" width="9.140625" style="69"/>
    <col min="3" max="3" width="9.140625" style="69" customWidth="1"/>
    <col min="4" max="4" width="18.85546875" style="69" customWidth="1"/>
    <col min="5" max="5" width="8.140625" style="69" customWidth="1"/>
    <col min="6" max="6" width="14.140625" style="69" customWidth="1"/>
    <col min="7" max="7" width="9.7109375" style="69" customWidth="1"/>
    <col min="8" max="8" width="15.85546875" style="69" customWidth="1"/>
    <col min="9" max="9" width="8" style="69" customWidth="1"/>
    <col min="10" max="14" width="9.140625" style="69" customWidth="1"/>
    <col min="15" max="16" width="9.28515625" style="69" customWidth="1"/>
    <col min="17" max="17" width="9" style="69" customWidth="1"/>
    <col min="18" max="18" width="9.140625" style="69" customWidth="1"/>
    <col min="19" max="21" width="9.28515625" style="69" customWidth="1"/>
    <col min="22" max="22" width="9" style="69" customWidth="1"/>
    <col min="23" max="16384" width="9.140625" style="69"/>
  </cols>
  <sheetData>
    <row r="2" spans="3:20" ht="31.5" x14ac:dyDescent="0.25">
      <c r="C2" s="58" t="s">
        <v>12</v>
      </c>
    </row>
    <row r="3" spans="3:20" x14ac:dyDescent="0.25">
      <c r="N3" s="84" t="s">
        <v>324</v>
      </c>
    </row>
    <row r="4" spans="3:20" x14ac:dyDescent="0.25">
      <c r="E4" s="123"/>
      <c r="F4" s="71" t="s">
        <v>274</v>
      </c>
      <c r="G4" s="74" t="s">
        <v>49</v>
      </c>
      <c r="J4" s="195"/>
      <c r="N4" s="128" t="s">
        <v>11</v>
      </c>
      <c r="O4" s="129" t="s">
        <v>6</v>
      </c>
      <c r="P4" s="130" t="s">
        <v>7</v>
      </c>
      <c r="Q4" s="130" t="s">
        <v>10</v>
      </c>
      <c r="R4" s="130" t="s">
        <v>8</v>
      </c>
      <c r="S4" s="130" t="s">
        <v>9</v>
      </c>
      <c r="T4" s="131" t="s">
        <v>161</v>
      </c>
    </row>
    <row r="5" spans="3:20" x14ac:dyDescent="0.25">
      <c r="E5" s="123"/>
      <c r="F5" s="71" t="s">
        <v>317</v>
      </c>
      <c r="G5" s="74" t="s">
        <v>316</v>
      </c>
      <c r="J5" s="84" t="s">
        <v>45</v>
      </c>
      <c r="N5" s="132">
        <f>E17-K9</f>
        <v>400.03</v>
      </c>
      <c r="O5" s="133">
        <f t="shared" ref="O5:O11" si="0">ACOS((G$11-G$8)/(2*N5))</f>
        <v>1.5707963267948966</v>
      </c>
      <c r="P5" s="133">
        <f t="shared" ref="P5:P11" si="1">SQRT(N5^2-(G$8/2-G$11/2)^2)</f>
        <v>400.03</v>
      </c>
      <c r="Q5" s="133">
        <f t="shared" ref="Q5:Q11" si="2">(2*P5+G$7*$K$6*O5/PI()+G$10*$K$6*(PI()-O5)/PI())/$K$6</f>
        <v>175.012</v>
      </c>
      <c r="R5" s="133">
        <f>IF(E18="Nearest", MROUND(Q5, E19), IF(E18="Up",CEILING(Q5, E19),FLOOR(Q5, E19)))</f>
        <v>176</v>
      </c>
      <c r="S5" s="133">
        <f t="shared" ref="S5:S11" si="3">Q5-R5</f>
        <v>-0.98799999999999955</v>
      </c>
      <c r="T5" s="134"/>
    </row>
    <row r="6" spans="3:20" x14ac:dyDescent="0.25">
      <c r="E6" s="123"/>
      <c r="J6" s="192" t="s">
        <v>0</v>
      </c>
      <c r="K6" s="237">
        <f>VLOOKUP(G4, UsefulValues!B5:C8, 2, FALSE)/IF($G$5="Imperial", 25.4, 1)</f>
        <v>5</v>
      </c>
      <c r="N6" s="132">
        <f>IF(R5&gt;Q5, N5+$K$6/10, N5-$K$6/10)</f>
        <v>400.53</v>
      </c>
      <c r="O6" s="133">
        <f t="shared" si="0"/>
        <v>1.5707963267948966</v>
      </c>
      <c r="P6" s="133">
        <f t="shared" si="1"/>
        <v>400.53</v>
      </c>
      <c r="Q6" s="133">
        <f t="shared" si="2"/>
        <v>175.21199999999999</v>
      </c>
      <c r="R6" s="133">
        <f t="shared" ref="R6:R11" si="4">R5</f>
        <v>176</v>
      </c>
      <c r="S6" s="133">
        <f t="shared" si="3"/>
        <v>-0.78800000000001091</v>
      </c>
      <c r="T6" s="134">
        <f t="shared" ref="T6:T11" si="5">(S6-S5)/(N6-N5)</f>
        <v>0.39999999999997726</v>
      </c>
    </row>
    <row r="7" spans="3:20" x14ac:dyDescent="0.25">
      <c r="E7" s="123"/>
      <c r="F7" s="241" t="s">
        <v>1</v>
      </c>
      <c r="G7" s="74">
        <v>15</v>
      </c>
      <c r="J7" s="194" t="s">
        <v>275</v>
      </c>
      <c r="K7" s="238">
        <f>VLOOKUP($G$4, UsefulValues!$B$5:$F$8, 4, FALSE)/IF($G$5="Imperial", 25.4, 1)</f>
        <v>3</v>
      </c>
      <c r="N7" s="132">
        <f>IF(ABS(S6)&lt;0.000000000001,N6,N6-S6/T6)</f>
        <v>402.50000000000011</v>
      </c>
      <c r="O7" s="133">
        <f t="shared" si="0"/>
        <v>1.5707963267948966</v>
      </c>
      <c r="P7" s="133">
        <f t="shared" si="1"/>
        <v>402.50000000000011</v>
      </c>
      <c r="Q7" s="133">
        <f t="shared" si="2"/>
        <v>176.00000000000006</v>
      </c>
      <c r="R7" s="133">
        <f t="shared" si="4"/>
        <v>176</v>
      </c>
      <c r="S7" s="133">
        <f t="shared" si="3"/>
        <v>0</v>
      </c>
      <c r="T7" s="134">
        <f t="shared" si="5"/>
        <v>0.39999999999997693</v>
      </c>
    </row>
    <row r="8" spans="3:20" x14ac:dyDescent="0.25">
      <c r="E8" s="123"/>
      <c r="F8" s="71" t="str">
        <f>IF($G$5="Imperial", "Pitch Dia. (in)", "Pitch Dia. (mm)")</f>
        <v>Pitch Dia. (mm)</v>
      </c>
      <c r="G8" s="240">
        <f>G7*K6/PI()/IF($G$5="Imperial", 25.4, 1)</f>
        <v>23.8732414637843</v>
      </c>
      <c r="J8" s="194" t="s">
        <v>47</v>
      </c>
      <c r="K8" s="238">
        <f>VLOOKUP($G$4, UsefulValues!$B$5:$F$8, 3, FALSE)/IF($G$5="Imperial", 25.4, 1)</f>
        <v>15</v>
      </c>
      <c r="N8" s="132">
        <f>IF(ABS(S7)&lt;0.000000000001,N7,N7-S7/T7)</f>
        <v>402.50000000000011</v>
      </c>
      <c r="O8" s="133">
        <f t="shared" si="0"/>
        <v>1.5707963267948966</v>
      </c>
      <c r="P8" s="133">
        <f t="shared" si="1"/>
        <v>402.50000000000011</v>
      </c>
      <c r="Q8" s="133">
        <f t="shared" si="2"/>
        <v>176.00000000000006</v>
      </c>
      <c r="R8" s="133">
        <f t="shared" si="4"/>
        <v>176</v>
      </c>
      <c r="S8" s="133">
        <f t="shared" si="3"/>
        <v>0</v>
      </c>
      <c r="T8" s="134" t="e">
        <f t="shared" si="5"/>
        <v>#DIV/0!</v>
      </c>
    </row>
    <row r="9" spans="3:20" x14ac:dyDescent="0.25">
      <c r="E9" s="123"/>
      <c r="J9" s="193" t="s">
        <v>273</v>
      </c>
      <c r="K9" s="239">
        <f>VLOOKUP($G$4, UsefulValues!$B$5:$F$8, 5, FALSE)/IF($G$5="Imperial", 25.4, 1)</f>
        <v>-0.03</v>
      </c>
      <c r="N9" s="132">
        <f>IF(ABS(S8)&lt;0.000000000001,N8,N8-S8/T8)</f>
        <v>402.50000000000011</v>
      </c>
      <c r="O9" s="133">
        <f t="shared" si="0"/>
        <v>1.5707963267948966</v>
      </c>
      <c r="P9" s="133">
        <f t="shared" si="1"/>
        <v>402.50000000000011</v>
      </c>
      <c r="Q9" s="133">
        <f t="shared" si="2"/>
        <v>176.00000000000006</v>
      </c>
      <c r="R9" s="133">
        <f t="shared" si="4"/>
        <v>176</v>
      </c>
      <c r="S9" s="133">
        <f t="shared" si="3"/>
        <v>0</v>
      </c>
      <c r="T9" s="134" t="e">
        <f t="shared" si="5"/>
        <v>#DIV/0!</v>
      </c>
    </row>
    <row r="10" spans="3:20" x14ac:dyDescent="0.25">
      <c r="E10" s="123"/>
      <c r="F10" s="71" t="s">
        <v>2</v>
      </c>
      <c r="G10" s="74">
        <v>15</v>
      </c>
      <c r="N10" s="132">
        <f>IF(ABS(S9)&lt;0.000000000001,N9,N9-S9/T9)</f>
        <v>402.50000000000011</v>
      </c>
      <c r="O10" s="133">
        <f t="shared" si="0"/>
        <v>1.5707963267948966</v>
      </c>
      <c r="P10" s="133">
        <f t="shared" si="1"/>
        <v>402.50000000000011</v>
      </c>
      <c r="Q10" s="133">
        <f t="shared" si="2"/>
        <v>176.00000000000006</v>
      </c>
      <c r="R10" s="133">
        <f t="shared" si="4"/>
        <v>176</v>
      </c>
      <c r="S10" s="133">
        <f t="shared" si="3"/>
        <v>0</v>
      </c>
      <c r="T10" s="134" t="e">
        <f t="shared" si="5"/>
        <v>#DIV/0!</v>
      </c>
    </row>
    <row r="11" spans="3:20" x14ac:dyDescent="0.25">
      <c r="E11" s="123"/>
      <c r="F11" s="71" t="str">
        <f>IF($G$5="Imperial", "Pitch Dia. (in)", "Pitch Dia. (mm)")</f>
        <v>Pitch Dia. (mm)</v>
      </c>
      <c r="G11" s="75">
        <f>G10*K6/PI()/IF($G$5="Imperial", 25.4, 1)</f>
        <v>23.8732414637843</v>
      </c>
      <c r="N11" s="135">
        <f>IF(ABS(S10)&lt;0.000000000001,N10,N10-S10/T10)</f>
        <v>402.50000000000011</v>
      </c>
      <c r="O11" s="136">
        <f t="shared" si="0"/>
        <v>1.5707963267948966</v>
      </c>
      <c r="P11" s="136">
        <f t="shared" si="1"/>
        <v>402.50000000000011</v>
      </c>
      <c r="Q11" s="136">
        <f t="shared" si="2"/>
        <v>176.00000000000006</v>
      </c>
      <c r="R11" s="136">
        <f t="shared" si="4"/>
        <v>176</v>
      </c>
      <c r="S11" s="136">
        <f t="shared" si="3"/>
        <v>0</v>
      </c>
      <c r="T11" s="137" t="e">
        <f t="shared" si="5"/>
        <v>#DIV/0!</v>
      </c>
    </row>
    <row r="13" spans="3:20" x14ac:dyDescent="0.25">
      <c r="N13" s="128" t="s">
        <v>11</v>
      </c>
      <c r="O13" s="129" t="s">
        <v>6</v>
      </c>
      <c r="P13" s="130" t="s">
        <v>7</v>
      </c>
      <c r="Q13" s="130" t="s">
        <v>10</v>
      </c>
      <c r="R13" s="130" t="s">
        <v>8</v>
      </c>
      <c r="S13" s="130" t="s">
        <v>9</v>
      </c>
      <c r="T13" s="131" t="s">
        <v>161</v>
      </c>
    </row>
    <row r="14" spans="3:20" x14ac:dyDescent="0.25">
      <c r="N14" s="132">
        <f>I17*$K$6/2</f>
        <v>250</v>
      </c>
      <c r="O14" s="133">
        <f t="shared" ref="O14:O20" si="6">ACOS((G$11-G$8)/(2*N14))</f>
        <v>1.5707963267948966</v>
      </c>
      <c r="P14" s="133">
        <f t="shared" ref="P14:P20" si="7">SQRT(N14^2-(G$8/2-G$11/2)^2)</f>
        <v>250</v>
      </c>
      <c r="Q14" s="133">
        <f t="shared" ref="Q14:Q20" si="8">(2*P14+G$7*$K$6*O14/PI()+G$10*$K$6*(PI()-O14)/PI())/$K$6</f>
        <v>115</v>
      </c>
      <c r="R14" s="133">
        <f>I17</f>
        <v>100</v>
      </c>
      <c r="S14" s="133">
        <f t="shared" ref="S14:S20" si="9">Q14-R14</f>
        <v>15</v>
      </c>
      <c r="T14" s="134"/>
    </row>
    <row r="15" spans="3:20" x14ac:dyDescent="0.25">
      <c r="J15" s="124"/>
      <c r="K15" s="125"/>
      <c r="N15" s="132">
        <f>IF(R14&gt;Q14, N14+$K$6/10, N14-$K$6/10)</f>
        <v>249.5</v>
      </c>
      <c r="O15" s="133">
        <f t="shared" si="6"/>
        <v>1.5707963267948966</v>
      </c>
      <c r="P15" s="133">
        <f t="shared" si="7"/>
        <v>249.5</v>
      </c>
      <c r="Q15" s="133">
        <f t="shared" si="8"/>
        <v>114.8</v>
      </c>
      <c r="R15" s="133">
        <f t="shared" ref="R15:R20" si="10">R14</f>
        <v>100</v>
      </c>
      <c r="S15" s="133">
        <f t="shared" si="9"/>
        <v>14.799999999999997</v>
      </c>
      <c r="T15" s="134">
        <f t="shared" ref="T15:T20" si="11">(S15-S14)/(N15-N14)</f>
        <v>0.40000000000000568</v>
      </c>
    </row>
    <row r="16" spans="3:20" ht="18.75" x14ac:dyDescent="0.25">
      <c r="D16" s="102" t="s">
        <v>170</v>
      </c>
      <c r="H16" s="102" t="s">
        <v>169</v>
      </c>
      <c r="N16" s="132">
        <f>IF(ABS(S15)&lt;0.000000000001,N15,N15-S15/T15)</f>
        <v>212.50000000000054</v>
      </c>
      <c r="O16" s="133">
        <f t="shared" si="6"/>
        <v>1.5707963267948966</v>
      </c>
      <c r="P16" s="133">
        <f t="shared" si="7"/>
        <v>212.50000000000054</v>
      </c>
      <c r="Q16" s="133">
        <f t="shared" si="8"/>
        <v>100.00000000000021</v>
      </c>
      <c r="R16" s="133">
        <f t="shared" si="10"/>
        <v>100</v>
      </c>
      <c r="S16" s="133">
        <f t="shared" si="9"/>
        <v>2.1316282072803006E-13</v>
      </c>
      <c r="T16" s="134">
        <f t="shared" si="11"/>
        <v>0.4</v>
      </c>
    </row>
    <row r="17" spans="4:20" x14ac:dyDescent="0.25">
      <c r="D17" s="71" t="str">
        <f>IF($G$5="Imperial", "Estimated Dist (in)", "Estimated Dist (mm)")</f>
        <v>Estimated Dist (mm)</v>
      </c>
      <c r="E17" s="74">
        <v>400</v>
      </c>
      <c r="H17" s="71" t="s">
        <v>5</v>
      </c>
      <c r="I17" s="74">
        <v>100</v>
      </c>
      <c r="N17" s="132">
        <f>IF(ABS(S16)&lt;0.000000000001,N16,N16-S16/T16)</f>
        <v>212.50000000000054</v>
      </c>
      <c r="O17" s="133">
        <f t="shared" si="6"/>
        <v>1.5707963267948966</v>
      </c>
      <c r="P17" s="133">
        <f t="shared" si="7"/>
        <v>212.50000000000054</v>
      </c>
      <c r="Q17" s="133">
        <f t="shared" si="8"/>
        <v>100.00000000000021</v>
      </c>
      <c r="R17" s="133">
        <f t="shared" si="10"/>
        <v>100</v>
      </c>
      <c r="S17" s="133">
        <f t="shared" si="9"/>
        <v>2.1316282072803006E-13</v>
      </c>
      <c r="T17" s="134" t="e">
        <f t="shared" si="11"/>
        <v>#DIV/0!</v>
      </c>
    </row>
    <row r="18" spans="4:20" x14ac:dyDescent="0.25">
      <c r="D18" s="71" t="s">
        <v>3</v>
      </c>
      <c r="E18" s="127" t="s">
        <v>195</v>
      </c>
      <c r="N18" s="132">
        <f>IF(ABS(S17)&lt;0.000000000001,N17,N17-S17/T17)</f>
        <v>212.50000000000054</v>
      </c>
      <c r="O18" s="133">
        <f t="shared" si="6"/>
        <v>1.5707963267948966</v>
      </c>
      <c r="P18" s="133">
        <f t="shared" si="7"/>
        <v>212.50000000000054</v>
      </c>
      <c r="Q18" s="133">
        <f t="shared" si="8"/>
        <v>100.00000000000021</v>
      </c>
      <c r="R18" s="133">
        <f t="shared" si="10"/>
        <v>100</v>
      </c>
      <c r="S18" s="133">
        <f t="shared" si="9"/>
        <v>2.1316282072803006E-13</v>
      </c>
      <c r="T18" s="134" t="e">
        <f t="shared" si="11"/>
        <v>#DIV/0!</v>
      </c>
    </row>
    <row r="19" spans="4:20" x14ac:dyDescent="0.25">
      <c r="D19" s="71" t="s">
        <v>4</v>
      </c>
      <c r="E19" s="74">
        <v>2</v>
      </c>
      <c r="N19" s="132">
        <f>IF(ABS(S18)&lt;0.000000000001,N18,N18-S18/T18)</f>
        <v>212.50000000000054</v>
      </c>
      <c r="O19" s="133">
        <f t="shared" si="6"/>
        <v>1.5707963267948966</v>
      </c>
      <c r="P19" s="133">
        <f t="shared" si="7"/>
        <v>212.50000000000054</v>
      </c>
      <c r="Q19" s="133">
        <f t="shared" si="8"/>
        <v>100.00000000000021</v>
      </c>
      <c r="R19" s="133">
        <f t="shared" si="10"/>
        <v>100</v>
      </c>
      <c r="S19" s="133">
        <f t="shared" si="9"/>
        <v>2.1316282072803006E-13</v>
      </c>
      <c r="T19" s="134" t="e">
        <f t="shared" si="11"/>
        <v>#DIV/0!</v>
      </c>
    </row>
    <row r="20" spans="4:20" x14ac:dyDescent="0.25">
      <c r="N20" s="135">
        <f>IF(ABS(S19)&lt;0.000000000001,N19,N19-S19/T19)</f>
        <v>212.50000000000054</v>
      </c>
      <c r="O20" s="136">
        <f t="shared" si="6"/>
        <v>1.5707963267948966</v>
      </c>
      <c r="P20" s="136">
        <f t="shared" si="7"/>
        <v>212.50000000000054</v>
      </c>
      <c r="Q20" s="136">
        <f t="shared" si="8"/>
        <v>100.00000000000021</v>
      </c>
      <c r="R20" s="136">
        <f t="shared" si="10"/>
        <v>100</v>
      </c>
      <c r="S20" s="136">
        <f t="shared" si="9"/>
        <v>2.1316282072803006E-13</v>
      </c>
      <c r="T20" s="137" t="e">
        <f t="shared" si="11"/>
        <v>#DIV/0!</v>
      </c>
    </row>
    <row r="21" spans="4:20" x14ac:dyDescent="0.25">
      <c r="D21" s="71" t="str">
        <f>IF($G$5="Imperial", "Actual Dist (in)", "Actual Dist (mm)")</f>
        <v>Actual Dist (mm)</v>
      </c>
      <c r="E21" s="75">
        <f>N11+K9</f>
        <v>402.47000000000014</v>
      </c>
      <c r="H21" s="71" t="str">
        <f>IF($G$5="Imperial", "Actual Dist (in)", "Actual Dist (mm)")</f>
        <v>Actual Dist (mm)</v>
      </c>
      <c r="I21" s="75">
        <f>N20+K9</f>
        <v>212.47000000000054</v>
      </c>
    </row>
    <row r="22" spans="4:20" x14ac:dyDescent="0.25">
      <c r="D22" s="71" t="str">
        <f>IF($G$5="Imperial", "Chain Length (in)", "Chain Length (mm)")</f>
        <v>Chain Length (mm)</v>
      </c>
      <c r="E22" s="75">
        <f>Q11*K6</f>
        <v>880.00000000000023</v>
      </c>
      <c r="H22" s="71" t="str">
        <f>IF($G$5="Imperial", "Chain Length (in)", "Chain Length (mm)")</f>
        <v>Chain Length (mm)</v>
      </c>
      <c r="I22" s="75">
        <f>I17*K6</f>
        <v>500</v>
      </c>
    </row>
    <row r="23" spans="4:20" x14ac:dyDescent="0.25">
      <c r="D23" s="71" t="s">
        <v>5</v>
      </c>
      <c r="E23" s="83">
        <f>Q11</f>
        <v>176.00000000000006</v>
      </c>
      <c r="H23" s="71" t="str">
        <f>IF($G$5="Imperial", "Clearance (in)", "Clearance (mm)")</f>
        <v>Clearance (mm)</v>
      </c>
      <c r="I23" s="95">
        <f>I21-(G8+G11)/2</f>
        <v>188.59675853621624</v>
      </c>
    </row>
    <row r="24" spans="4:20" x14ac:dyDescent="0.25">
      <c r="D24" s="71" t="str">
        <f>IF($G$5="Imperial", "Clearance (in)", "Clearance (mm)")</f>
        <v>Clearance (mm)</v>
      </c>
      <c r="E24" s="95">
        <f>E21-(G8+G11)/2</f>
        <v>378.59675853621582</v>
      </c>
    </row>
    <row r="26" spans="4:20" x14ac:dyDescent="0.25">
      <c r="D26" s="84" t="s">
        <v>294</v>
      </c>
    </row>
    <row r="27" spans="4:20" x14ac:dyDescent="0.25">
      <c r="D27" s="69" t="s">
        <v>328</v>
      </c>
    </row>
    <row r="28" spans="4:20" x14ac:dyDescent="0.25">
      <c r="D28" s="69" t="s">
        <v>325</v>
      </c>
    </row>
    <row r="29" spans="4:20" x14ac:dyDescent="0.25">
      <c r="D29" s="69" t="s">
        <v>326</v>
      </c>
    </row>
    <row r="30" spans="4:20" x14ac:dyDescent="0.25">
      <c r="D30" s="69" t="s">
        <v>327</v>
      </c>
    </row>
    <row r="31" spans="4:20" x14ac:dyDescent="0.25">
      <c r="D31" s="69" t="s">
        <v>329</v>
      </c>
    </row>
    <row r="32" spans="4:20" x14ac:dyDescent="0.25">
      <c r="D32" s="69" t="s">
        <v>330</v>
      </c>
    </row>
    <row r="37" spans="4:6" x14ac:dyDescent="0.25">
      <c r="D37" s="123"/>
      <c r="F37" s="126"/>
    </row>
    <row r="38" spans="4:6" x14ac:dyDescent="0.25">
      <c r="D38" s="123"/>
    </row>
    <row r="39" spans="4:6" x14ac:dyDescent="0.25">
      <c r="D39" s="123"/>
    </row>
    <row r="40" spans="4:6" x14ac:dyDescent="0.25">
      <c r="D40" s="123"/>
    </row>
    <row r="41" spans="4:6" x14ac:dyDescent="0.25">
      <c r="D41" s="123"/>
      <c r="F41" s="126"/>
    </row>
    <row r="42" spans="4:6" x14ac:dyDescent="0.25">
      <c r="D42" s="123"/>
      <c r="F42" s="126"/>
    </row>
    <row r="43" spans="4:6" x14ac:dyDescent="0.25">
      <c r="D43" s="123"/>
      <c r="F43" s="126"/>
    </row>
    <row r="44" spans="4:6" x14ac:dyDescent="0.25">
      <c r="D44" s="123"/>
    </row>
  </sheetData>
  <dataConsolidate/>
  <conditionalFormatting sqref="G7">
    <cfRule type="expression" dxfId="19" priority="7">
      <formula>$G$7&lt;=0</formula>
    </cfRule>
  </conditionalFormatting>
  <conditionalFormatting sqref="G10">
    <cfRule type="expression" dxfId="18" priority="6">
      <formula>$G$10&lt;=0</formula>
    </cfRule>
  </conditionalFormatting>
  <conditionalFormatting sqref="E17">
    <cfRule type="expression" dxfId="17" priority="5">
      <formula>$E$17&lt;=0</formula>
    </cfRule>
  </conditionalFormatting>
  <conditionalFormatting sqref="E19">
    <cfRule type="expression" dxfId="16" priority="4">
      <formula>OR($E$19&lt;=0, NOT(INT($E$19)=$E$19))</formula>
    </cfRule>
  </conditionalFormatting>
  <conditionalFormatting sqref="E24">
    <cfRule type="expression" dxfId="15" priority="3">
      <formula>$E$24&lt;=0</formula>
    </cfRule>
  </conditionalFormatting>
  <conditionalFormatting sqref="I17">
    <cfRule type="expression" dxfId="14" priority="2">
      <formula>$I$17&lt;=0</formula>
    </cfRule>
  </conditionalFormatting>
  <conditionalFormatting sqref="I23">
    <cfRule type="expression" dxfId="13" priority="1">
      <formula>$I$23&lt;=0</formula>
    </cfRule>
  </conditionalFormatting>
  <dataValidations count="2">
    <dataValidation type="list" allowBlank="1" showInputMessage="1" showErrorMessage="1" sqref="E18">
      <formula1>"Nearest, Up, Down"</formula1>
    </dataValidation>
    <dataValidation type="list" allowBlank="1" showInputMessage="1" showErrorMessage="1" sqref="G5">
      <formula1>"Imperial,Metric"</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UsefulValues!$B$5:$B$10</xm:f>
          </x14:formula1>
          <xm:sqref>G4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499984740745262"/>
  </sheetPr>
  <dimension ref="C2:M20"/>
  <sheetViews>
    <sheetView workbookViewId="0">
      <selection activeCell="H35" sqref="H35"/>
    </sheetView>
  </sheetViews>
  <sheetFormatPr defaultRowHeight="15" x14ac:dyDescent="0.25"/>
  <cols>
    <col min="1" max="1" width="9.140625" style="57"/>
    <col min="2" max="2" width="2.7109375" style="57" customWidth="1"/>
    <col min="3" max="3" width="21" style="57" customWidth="1"/>
    <col min="4" max="4" width="9.140625" style="57"/>
    <col min="5" max="5" width="7.28515625" style="57" customWidth="1"/>
    <col min="6" max="6" width="9.140625" style="57" customWidth="1"/>
    <col min="7" max="7" width="9.7109375" style="57" customWidth="1"/>
    <col min="8" max="8" width="9.140625" style="57"/>
    <col min="9" max="9" width="19.140625" style="57" customWidth="1"/>
    <col min="10" max="10" width="9.5703125" style="57" customWidth="1"/>
    <col min="11" max="11" width="9.140625" style="57"/>
    <col min="12" max="12" width="14.7109375" style="57" customWidth="1"/>
    <col min="13" max="13" width="9.140625" style="57"/>
    <col min="14" max="14" width="4.5703125" style="57" customWidth="1"/>
    <col min="15" max="16384" width="9.140625" style="57"/>
  </cols>
  <sheetData>
    <row r="2" spans="3:13" x14ac:dyDescent="0.25">
      <c r="C2" s="103" t="s">
        <v>317</v>
      </c>
      <c r="D2" s="60" t="s">
        <v>322</v>
      </c>
    </row>
    <row r="4" spans="3:13" ht="31.5" x14ac:dyDescent="0.25">
      <c r="C4" s="58" t="s">
        <v>150</v>
      </c>
      <c r="I4" s="58" t="s">
        <v>149</v>
      </c>
    </row>
    <row r="5" spans="3:13" x14ac:dyDescent="0.25">
      <c r="E5" s="68"/>
    </row>
    <row r="6" spans="3:13" x14ac:dyDescent="0.25">
      <c r="C6" s="59" t="s">
        <v>196</v>
      </c>
      <c r="D6" s="60">
        <v>20</v>
      </c>
      <c r="I6" s="59" t="s">
        <v>139</v>
      </c>
      <c r="J6" s="60">
        <v>100</v>
      </c>
    </row>
    <row r="7" spans="3:13" x14ac:dyDescent="0.25">
      <c r="I7" s="59" t="s">
        <v>140</v>
      </c>
      <c r="J7" s="60">
        <v>32</v>
      </c>
    </row>
    <row r="8" spans="3:13" x14ac:dyDescent="0.25">
      <c r="C8" s="59" t="s">
        <v>35</v>
      </c>
      <c r="D8" s="138">
        <v>3</v>
      </c>
      <c r="E8" s="68"/>
    </row>
    <row r="9" spans="3:13" x14ac:dyDescent="0.25">
      <c r="C9" s="64" t="str">
        <f>IF($D$2="Imperial", "Desired Distance (in)", "Desired Distance (mm)")</f>
        <v>Desired Distance (in)</v>
      </c>
      <c r="D9" s="60">
        <v>2.9</v>
      </c>
      <c r="I9" s="59" t="s">
        <v>141</v>
      </c>
      <c r="J9" s="60">
        <v>30</v>
      </c>
    </row>
    <row r="10" spans="3:13" x14ac:dyDescent="0.25">
      <c r="I10" s="59" t="s">
        <v>142</v>
      </c>
      <c r="J10" s="60">
        <v>60</v>
      </c>
    </row>
    <row r="11" spans="3:13" x14ac:dyDescent="0.25">
      <c r="C11" s="59" t="s">
        <v>197</v>
      </c>
      <c r="D11" s="139">
        <f>2*IF($D$2="Imperial",D9,D9/25.4)*D6/(D8+1)</f>
        <v>29</v>
      </c>
      <c r="I11" s="59" t="s">
        <v>143</v>
      </c>
      <c r="J11" s="60">
        <v>20</v>
      </c>
    </row>
    <row r="12" spans="3:13" x14ac:dyDescent="0.25">
      <c r="C12" s="64" t="str">
        <f>IF($D$2="Imperial", "Pitch Diameter (in)", "Pitch Diameter (mm)")</f>
        <v>Pitch Diameter (in)</v>
      </c>
      <c r="D12" s="140">
        <f>D11/$D$6*IF($D$2="Imperial",1,25.4)</f>
        <v>1.45</v>
      </c>
    </row>
    <row r="13" spans="3:13" x14ac:dyDescent="0.25">
      <c r="C13" s="64" t="str">
        <f>IF($D$2="Imperial", "Outer Diameter (in)", "Outer Diameter (mm)")</f>
        <v>Outer Diameter (in)</v>
      </c>
      <c r="D13" s="140">
        <f>(D11+2)/$D$6*IF($D$2="Imperial",1,25.4)</f>
        <v>1.55</v>
      </c>
    </row>
    <row r="15" spans="3:13" x14ac:dyDescent="0.25">
      <c r="C15" s="59" t="s">
        <v>197</v>
      </c>
      <c r="D15" s="139">
        <f>D11*D8</f>
        <v>87</v>
      </c>
    </row>
    <row r="16" spans="3:13" x14ac:dyDescent="0.25">
      <c r="C16" s="64" t="str">
        <f>IF($D$2="Imperial", "Pitch Diameter (in)", "Pitch Diameter (mm)")</f>
        <v>Pitch Diameter (in)</v>
      </c>
      <c r="D16" s="140">
        <f>D15/D$6*IF($D$2="Imperial",1,25.4)</f>
        <v>4.3499999999999996</v>
      </c>
      <c r="I16" s="59" t="s">
        <v>146</v>
      </c>
      <c r="J16" s="141" t="s">
        <v>147</v>
      </c>
      <c r="L16" s="59" t="s">
        <v>144</v>
      </c>
      <c r="M16" s="60">
        <v>20</v>
      </c>
    </row>
    <row r="17" spans="3:13" x14ac:dyDescent="0.25">
      <c r="C17" s="64" t="str">
        <f>IF($D$2="Imperial", "Outer Diameter (in)", "Outer Diameter (mm)")</f>
        <v>Outer Diameter (in)</v>
      </c>
      <c r="D17" s="140">
        <f>(D15+2)/D$6*IF($D$2="Imperial",1,25.4)</f>
        <v>4.45</v>
      </c>
      <c r="I17" s="64" t="str">
        <f>IF($D$2="Imperial", "Custom Diam. (in)", "Custom Diam. (mm)")</f>
        <v>Custom Diam. (in)</v>
      </c>
      <c r="J17" s="60"/>
      <c r="L17" s="59" t="s">
        <v>145</v>
      </c>
      <c r="M17" s="60">
        <v>20</v>
      </c>
    </row>
    <row r="19" spans="3:13" x14ac:dyDescent="0.25">
      <c r="I19" s="59" t="str">
        <f>IF($D$2="Imperial", "Axle Clearance (in)", "Axle Clearance (mm)")</f>
        <v>Axle Clearance (in)</v>
      </c>
      <c r="J19" s="140">
        <f>((J9+J10)/(2*J11) - (J6+2)/(2*J7) - IF(J16="1/2 Hex", 0.577, IF(J16="1/2 Round", 0.5, IF(J16="3/8 Hex", 0.433, IF(J16="1/4 Round", 0.25, J17/IF($D$2="Imperial", 1, 25.4)))))/2)*IF($D$2="Imperial", 1, 25.4)</f>
        <v>0.36775000000000002</v>
      </c>
      <c r="L19" s="59" t="str">
        <f>IF($D$2="Imperial", "Clearance (in)", "Clearance (mm)")</f>
        <v>Clearance (in)</v>
      </c>
      <c r="M19" s="140">
        <f>((J9+J10)/(2*J11) - (J6+2)/(2*J7) - (M16+2)/(2*M17))*IF($D$2="Imperial", 1, 25.4)</f>
        <v>0.10624999999999996</v>
      </c>
    </row>
    <row r="20" spans="3:13" x14ac:dyDescent="0.25">
      <c r="I20" s="59" t="s">
        <v>148</v>
      </c>
      <c r="J20" s="63" t="b">
        <f>J19&gt;0</f>
        <v>1</v>
      </c>
      <c r="L20" s="59" t="s">
        <v>157</v>
      </c>
      <c r="M20" s="63" t="b">
        <f>M19&gt;0</f>
        <v>1</v>
      </c>
    </row>
  </sheetData>
  <conditionalFormatting sqref="D6">
    <cfRule type="expression" dxfId="12" priority="10">
      <formula>$D$6&lt;=0</formula>
    </cfRule>
  </conditionalFormatting>
  <conditionalFormatting sqref="D8">
    <cfRule type="expression" dxfId="11" priority="9">
      <formula>$D$8&lt;=0</formula>
    </cfRule>
  </conditionalFormatting>
  <conditionalFormatting sqref="D9">
    <cfRule type="expression" dxfId="10" priority="8">
      <formula>$D$9&lt;=0</formula>
    </cfRule>
  </conditionalFormatting>
  <conditionalFormatting sqref="J6">
    <cfRule type="expression" dxfId="9" priority="7">
      <formula>$J$6&lt;=0</formula>
    </cfRule>
  </conditionalFormatting>
  <conditionalFormatting sqref="J7">
    <cfRule type="expression" dxfId="8" priority="6">
      <formula>$J$7&lt;=0</formula>
    </cfRule>
  </conditionalFormatting>
  <conditionalFormatting sqref="J9">
    <cfRule type="expression" dxfId="7" priority="5">
      <formula>J9&lt;=0</formula>
    </cfRule>
  </conditionalFormatting>
  <conditionalFormatting sqref="J10:J11">
    <cfRule type="expression" dxfId="6" priority="4">
      <formula>J10&lt;=0</formula>
    </cfRule>
  </conditionalFormatting>
  <conditionalFormatting sqref="M16:M17">
    <cfRule type="expression" dxfId="5" priority="3">
      <formula>M16&lt;=0</formula>
    </cfRule>
  </conditionalFormatting>
  <conditionalFormatting sqref="J19:J20">
    <cfRule type="expression" dxfId="4" priority="2">
      <formula>$J$19&lt;=0</formula>
    </cfRule>
  </conditionalFormatting>
  <conditionalFormatting sqref="M19:M20">
    <cfRule type="expression" dxfId="3" priority="1">
      <formula>$M$19&lt;=0</formula>
    </cfRule>
  </conditionalFormatting>
  <dataValidations count="2">
    <dataValidation type="list" allowBlank="1" showInputMessage="1" showErrorMessage="1" sqref="J16">
      <formula1>"1/2 Hex, 1/2 Round, 3/8 Hex, 1/4 Round, Custom"</formula1>
    </dataValidation>
    <dataValidation type="list" allowBlank="1" showInputMessage="1" showErrorMessage="1" sqref="D2">
      <formula1>"Imperial,Metric"</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sheetPr>
  <dimension ref="A2:AD172"/>
  <sheetViews>
    <sheetView workbookViewId="0">
      <selection activeCell="C9" sqref="C9"/>
    </sheetView>
  </sheetViews>
  <sheetFormatPr defaultRowHeight="15" x14ac:dyDescent="0.25"/>
  <cols>
    <col min="1" max="1" width="9.140625" style="57"/>
    <col min="2" max="2" width="19.140625" style="57" customWidth="1"/>
    <col min="3" max="10" width="7.85546875" style="57" customWidth="1"/>
    <col min="11" max="11" width="9.140625" style="57"/>
    <col min="12" max="12" width="19.7109375" style="57" customWidth="1"/>
    <col min="13" max="14" width="9.140625" style="57"/>
    <col min="15" max="15" width="9.140625" style="57" customWidth="1"/>
    <col min="16" max="17" width="9.140625" style="57"/>
    <col min="18" max="18" width="9.140625" style="57" customWidth="1"/>
    <col min="19" max="16384" width="9.140625" style="57"/>
  </cols>
  <sheetData>
    <row r="2" spans="1:30" ht="31.5" x14ac:dyDescent="0.25">
      <c r="B2" s="58" t="s">
        <v>173</v>
      </c>
    </row>
    <row r="3" spans="1:30" x14ac:dyDescent="0.25">
      <c r="T3" s="260" t="s">
        <v>261</v>
      </c>
      <c r="U3" s="260" t="s">
        <v>262</v>
      </c>
      <c r="V3" s="260" t="s">
        <v>263</v>
      </c>
      <c r="W3" s="260" t="s">
        <v>264</v>
      </c>
      <c r="X3" s="260" t="s">
        <v>265</v>
      </c>
      <c r="Y3" s="260" t="s">
        <v>266</v>
      </c>
      <c r="Z3" s="260" t="s">
        <v>267</v>
      </c>
      <c r="AA3" s="260" t="s">
        <v>268</v>
      </c>
      <c r="AB3" s="260" t="s">
        <v>269</v>
      </c>
      <c r="AC3" s="260" t="s">
        <v>270</v>
      </c>
      <c r="AD3" s="260" t="s">
        <v>271</v>
      </c>
    </row>
    <row r="4" spans="1:30" x14ac:dyDescent="0.25">
      <c r="C4" s="59" t="s">
        <v>174</v>
      </c>
      <c r="D4" s="59" t="s">
        <v>175</v>
      </c>
      <c r="E4" s="59" t="s">
        <v>176</v>
      </c>
      <c r="F4" s="59" t="s">
        <v>177</v>
      </c>
      <c r="G4" s="59" t="s">
        <v>178</v>
      </c>
      <c r="H4" s="59" t="s">
        <v>179</v>
      </c>
      <c r="I4" s="59" t="s">
        <v>180</v>
      </c>
      <c r="J4" s="59" t="s">
        <v>181</v>
      </c>
      <c r="M4" s="59" t="s">
        <v>182</v>
      </c>
      <c r="N4" s="59" t="s">
        <v>183</v>
      </c>
      <c r="O4" s="59" t="s">
        <v>184</v>
      </c>
      <c r="P4" s="59" t="s">
        <v>185</v>
      </c>
      <c r="T4" s="97">
        <v>0</v>
      </c>
      <c r="U4" s="97">
        <f>MAX((M11*$M$7+V4-SUM(W4:AD4))/$M$7, 0)</f>
        <v>119.79383298210816</v>
      </c>
      <c r="V4" s="97">
        <f>IF(M11&gt;=120, 0, $O$9*M11^3+$P$9*M11^2+$Q$9*M11+$R$9)*12^3/60*14.7</f>
        <v>0</v>
      </c>
      <c r="W4" s="97">
        <f>IFERROR(IF(AND($T4&gt;=C$13, $T4&lt;=C$14), IF(C$12&gt;1, IF(MOD($T4-C$13, C$12)&lt;1, 1, 0), 1/C$12)*PI()*C$7/4*(C$5^2*C$8+(C$5^2-C$6^2)*C$10), 0), 0)</f>
        <v>0</v>
      </c>
      <c r="X4" s="97">
        <f t="shared" ref="X4:X67" si="0">IFERROR(IF(AND($T4&gt;=D$13, $T4&lt;=D$14), IF(D$12&gt;1, IF(MOD($T4-D$13, D$12)&lt;1, 1, 0), 1/D$12)*PI()*D$7/4*(D$5^2*D$8+(D$5^2-D$6^2)*D$10), 0), 0)</f>
        <v>36.07922813107028</v>
      </c>
      <c r="Y4" s="97">
        <f t="shared" ref="Y4:Y67" si="1">IFERROR(IF(AND($T4&gt;=E$13, $T4&lt;=E$14), IF(E$12&gt;1, IF(MOD($T4-E$13, E$12)&lt;1, 1, 0), 1/E$12)*PI()*E$7/4*(E$5^2*E$8+(E$5^2-E$6^2)*E$10), 0), 0)</f>
        <v>0</v>
      </c>
      <c r="Z4" s="97">
        <f t="shared" ref="Z4:Z67" si="2">IFERROR(IF(AND($T4&gt;=F$13, $T4&lt;=F$14), IF(F$12&gt;1, IF(MOD($T4-F$13, F$12)&lt;1, 1, 0), 1/F$12)*PI()*F$7/4*(F$5^2*F$8+(F$5^2-F$6^2)*F$10), 0), 0)</f>
        <v>0</v>
      </c>
      <c r="AA4" s="97">
        <f t="shared" ref="AA4:AA67" si="3">IFERROR(IF(AND($T4&gt;=G$13, $T4&lt;=G$14), IF(G$12&gt;1, IF(MOD($T4-G$13, G$12)&lt;1, 1, 0), 1/G$12)*PI()*G$7/4*(G$5^2*G$8+(G$5^2-G$6^2)*G$10), 0), 0)</f>
        <v>0</v>
      </c>
      <c r="AB4" s="97">
        <f t="shared" ref="AB4:AB67" si="4">IFERROR(IF(AND($T4&gt;=H$13, $T4&lt;=H$14), IF(H$12&gt;1, IF(MOD($T4-H$13, H$12)&lt;1, 1, 0), 1/H$12)*PI()*H$7/4*(H$5^2*H$8+(H$5^2-H$6^2)*H$10), 0), 0)</f>
        <v>0</v>
      </c>
      <c r="AC4" s="97">
        <f t="shared" ref="AC4:AC67" si="5">IFERROR(IF(AND($T4&gt;=I$13, $T4&lt;=I$14), IF(I$12&gt;1, IF(MOD($T4-I$13, I$12)&lt;1, 1, 0), 1/I$12)*PI()*I$7/4*(I$5^2*I$8+(I$5^2-I$6^2)*I$10), 0), 0)</f>
        <v>0</v>
      </c>
      <c r="AD4" s="97">
        <f t="shared" ref="AD4:AD67" si="6">IFERROR(IF(AND($T4&gt;=J$13, $T4&lt;=J$14), IF(J$12&gt;1, IF(MOD($T4-J$13, J$12)&lt;1, 1, 0), 1/J$12)*PI()*J$7/4*(J$5^2*J$8+(J$5^2-J$6^2)*J$10), 0), 0)</f>
        <v>0</v>
      </c>
    </row>
    <row r="5" spans="1:30" x14ac:dyDescent="0.25">
      <c r="B5" s="59" t="s">
        <v>186</v>
      </c>
      <c r="C5" s="60">
        <v>1</v>
      </c>
      <c r="D5" s="60">
        <v>0.625</v>
      </c>
      <c r="E5" s="60"/>
      <c r="F5" s="60"/>
      <c r="G5" s="60"/>
      <c r="H5" s="60"/>
      <c r="I5" s="60"/>
      <c r="J5" s="60"/>
      <c r="L5" s="59" t="s">
        <v>187</v>
      </c>
      <c r="M5" s="61">
        <v>35</v>
      </c>
      <c r="N5" s="60"/>
      <c r="O5" s="60"/>
      <c r="P5" s="60"/>
      <c r="T5" s="97">
        <v>1</v>
      </c>
      <c r="U5" s="97">
        <f t="shared" ref="U5:U68" si="7">MAX((U4*$M$7+V5-SUM(W5:AD5))/$M$7, 0)</f>
        <v>120.40577371581095</v>
      </c>
      <c r="V5" s="97">
        <f t="shared" ref="V5:V68" si="8">IF(U4&gt;=120, 0, $O$9*U4^3+$P$9*U4^2+$Q$9*U4+$R$9)*12^3/60*14.7</f>
        <v>143.16885652906146</v>
      </c>
      <c r="W5" s="97">
        <f t="shared" ref="W5:W68" si="9">IFERROR(IF(AND($T5&gt;=C$13, $T5&lt;=C$14), IF(C$12&gt;1, IF(MOD($T5-C$13, C$12)&lt;1, 1, 0), 1/C$12)*PI()*C$7/4*(C$5^2*C$8+(C$5^2-C$6^2)*C$10), 0), 0)</f>
        <v>0</v>
      </c>
      <c r="X5" s="97">
        <f t="shared" si="0"/>
        <v>36.07922813107028</v>
      </c>
      <c r="Y5" s="97">
        <f t="shared" si="1"/>
        <v>0</v>
      </c>
      <c r="Z5" s="97">
        <f t="shared" si="2"/>
        <v>0</v>
      </c>
      <c r="AA5" s="97">
        <f t="shared" si="3"/>
        <v>0</v>
      </c>
      <c r="AB5" s="97">
        <f t="shared" si="4"/>
        <v>0</v>
      </c>
      <c r="AC5" s="97">
        <f t="shared" si="5"/>
        <v>0</v>
      </c>
      <c r="AD5" s="97">
        <f t="shared" si="6"/>
        <v>0</v>
      </c>
    </row>
    <row r="6" spans="1:30" x14ac:dyDescent="0.25">
      <c r="A6" s="62"/>
      <c r="B6" s="59" t="s">
        <v>188</v>
      </c>
      <c r="C6" s="60">
        <v>0.375</v>
      </c>
      <c r="D6" s="60">
        <v>0.125</v>
      </c>
      <c r="E6" s="60"/>
      <c r="F6" s="60"/>
      <c r="G6" s="60"/>
      <c r="H6" s="60"/>
      <c r="I6" s="60"/>
      <c r="J6" s="60"/>
      <c r="L6" s="59" t="s">
        <v>189</v>
      </c>
      <c r="M6" s="61">
        <v>5</v>
      </c>
      <c r="N6" s="60"/>
      <c r="O6" s="60"/>
      <c r="P6" s="60"/>
      <c r="T6" s="97">
        <v>2</v>
      </c>
      <c r="U6" s="97">
        <f t="shared" si="7"/>
        <v>120.19960669791912</v>
      </c>
      <c r="V6" s="97">
        <f t="shared" si="8"/>
        <v>0</v>
      </c>
      <c r="W6" s="97">
        <f t="shared" si="9"/>
        <v>0</v>
      </c>
      <c r="X6" s="97">
        <f t="shared" si="0"/>
        <v>36.07922813107028</v>
      </c>
      <c r="Y6" s="97">
        <f t="shared" si="1"/>
        <v>0</v>
      </c>
      <c r="Z6" s="97">
        <f t="shared" si="2"/>
        <v>0</v>
      </c>
      <c r="AA6" s="97">
        <f t="shared" si="3"/>
        <v>0</v>
      </c>
      <c r="AB6" s="97">
        <f t="shared" si="4"/>
        <v>0</v>
      </c>
      <c r="AC6" s="97">
        <f t="shared" si="5"/>
        <v>0</v>
      </c>
      <c r="AD6" s="97">
        <f t="shared" si="6"/>
        <v>0</v>
      </c>
    </row>
    <row r="7" spans="1:30" x14ac:dyDescent="0.25">
      <c r="B7" s="59" t="s">
        <v>190</v>
      </c>
      <c r="C7" s="60">
        <v>12</v>
      </c>
      <c r="D7" s="60">
        <v>2</v>
      </c>
      <c r="E7" s="60"/>
      <c r="F7" s="60"/>
      <c r="G7" s="60"/>
      <c r="H7" s="60"/>
      <c r="I7" s="60"/>
      <c r="J7" s="60"/>
      <c r="L7" s="59" t="s">
        <v>191</v>
      </c>
      <c r="M7" s="63">
        <f>SUMPRODUCT(M5:P5,M6:P6)</f>
        <v>175</v>
      </c>
      <c r="T7" s="97">
        <v>3</v>
      </c>
      <c r="U7" s="97">
        <f t="shared" si="7"/>
        <v>119.99343968002728</v>
      </c>
      <c r="V7" s="97">
        <f t="shared" si="8"/>
        <v>0</v>
      </c>
      <c r="W7" s="97">
        <f t="shared" si="9"/>
        <v>0</v>
      </c>
      <c r="X7" s="97">
        <f t="shared" si="0"/>
        <v>36.07922813107028</v>
      </c>
      <c r="Y7" s="97">
        <f t="shared" si="1"/>
        <v>0</v>
      </c>
      <c r="Z7" s="97">
        <f t="shared" si="2"/>
        <v>0</v>
      </c>
      <c r="AA7" s="97">
        <f t="shared" si="3"/>
        <v>0</v>
      </c>
      <c r="AB7" s="97">
        <f t="shared" si="4"/>
        <v>0</v>
      </c>
      <c r="AC7" s="97">
        <f t="shared" si="5"/>
        <v>0</v>
      </c>
      <c r="AD7" s="97">
        <f t="shared" si="6"/>
        <v>0</v>
      </c>
    </row>
    <row r="8" spans="1:30" x14ac:dyDescent="0.25">
      <c r="B8" s="59" t="s">
        <v>192</v>
      </c>
      <c r="C8" s="60">
        <v>50</v>
      </c>
      <c r="D8" s="60">
        <v>30</v>
      </c>
      <c r="E8" s="60"/>
      <c r="F8" s="60"/>
      <c r="G8" s="60"/>
      <c r="H8" s="60"/>
      <c r="I8" s="60"/>
      <c r="J8" s="60"/>
      <c r="T8" s="97">
        <v>4</v>
      </c>
      <c r="U8" s="97">
        <f t="shared" si="7"/>
        <v>120.60705514283323</v>
      </c>
      <c r="V8" s="97">
        <f t="shared" si="8"/>
        <v>143.46193412211176</v>
      </c>
      <c r="W8" s="97">
        <f t="shared" si="9"/>
        <v>0</v>
      </c>
      <c r="X8" s="97">
        <f t="shared" si="0"/>
        <v>36.07922813107028</v>
      </c>
      <c r="Y8" s="97">
        <f t="shared" si="1"/>
        <v>0</v>
      </c>
      <c r="Z8" s="97">
        <f t="shared" si="2"/>
        <v>0</v>
      </c>
      <c r="AA8" s="97">
        <f t="shared" si="3"/>
        <v>0</v>
      </c>
      <c r="AB8" s="97">
        <f t="shared" si="4"/>
        <v>0</v>
      </c>
      <c r="AC8" s="97">
        <f t="shared" si="5"/>
        <v>0</v>
      </c>
      <c r="AD8" s="97">
        <f t="shared" si="6"/>
        <v>0</v>
      </c>
    </row>
    <row r="9" spans="1:30" x14ac:dyDescent="0.25">
      <c r="A9" s="62"/>
      <c r="B9" s="64" t="s">
        <v>239</v>
      </c>
      <c r="C9" s="65">
        <f t="shared" ref="C9:J9" si="10">(C5/2)^2*PI()*C8</f>
        <v>39.269908169872416</v>
      </c>
      <c r="D9" s="65">
        <f t="shared" si="10"/>
        <v>9.2038847273138469</v>
      </c>
      <c r="E9" s="65">
        <f t="shared" si="10"/>
        <v>0</v>
      </c>
      <c r="F9" s="65">
        <f t="shared" si="10"/>
        <v>0</v>
      </c>
      <c r="G9" s="65">
        <f t="shared" si="10"/>
        <v>0</v>
      </c>
      <c r="H9" s="65">
        <f t="shared" si="10"/>
        <v>0</v>
      </c>
      <c r="I9" s="65">
        <f t="shared" si="10"/>
        <v>0</v>
      </c>
      <c r="J9" s="65">
        <f t="shared" si="10"/>
        <v>0</v>
      </c>
      <c r="L9" s="59" t="s">
        <v>237</v>
      </c>
      <c r="M9" s="275" t="s">
        <v>238</v>
      </c>
      <c r="N9" s="276"/>
      <c r="O9" s="67">
        <f>IF($M$9="1.1 Pump", 0.0000003865, IF($M$9="Viair 90C", -0.000000437, 0))</f>
        <v>3.8650000000000003E-7</v>
      </c>
      <c r="P9" s="67">
        <f>IF($M$9="1.1 Pump", -0.00003916, IF($M$9="Viair 90C", 0.000123, 0))</f>
        <v>-3.9159999999999998E-5</v>
      </c>
      <c r="Q9" s="67">
        <f>IF($M$9="1.1 Pump", -0.003809, IF($M$9="Viair 90C", -0.01186, 0))</f>
        <v>-3.8089999999999999E-3</v>
      </c>
      <c r="R9" s="67">
        <f>IF($M$9="1.1 Pump", 0.692, IF($M$9="Viair 90C", 0.6123, 0))</f>
        <v>0.69199999999999995</v>
      </c>
      <c r="T9" s="97">
        <v>5</v>
      </c>
      <c r="U9" s="97">
        <f t="shared" si="7"/>
        <v>120.40088812494139</v>
      </c>
      <c r="V9" s="97">
        <f t="shared" si="8"/>
        <v>0</v>
      </c>
      <c r="W9" s="97">
        <f t="shared" si="9"/>
        <v>0</v>
      </c>
      <c r="X9" s="97">
        <f t="shared" si="0"/>
        <v>36.07922813107028</v>
      </c>
      <c r="Y9" s="97">
        <f t="shared" si="1"/>
        <v>0</v>
      </c>
      <c r="Z9" s="97">
        <f t="shared" si="2"/>
        <v>0</v>
      </c>
      <c r="AA9" s="97">
        <f t="shared" si="3"/>
        <v>0</v>
      </c>
      <c r="AB9" s="97">
        <f t="shared" si="4"/>
        <v>0</v>
      </c>
      <c r="AC9" s="97">
        <f t="shared" si="5"/>
        <v>0</v>
      </c>
      <c r="AD9" s="97">
        <f t="shared" si="6"/>
        <v>0</v>
      </c>
    </row>
    <row r="10" spans="1:30" x14ac:dyDescent="0.25">
      <c r="A10" s="62"/>
      <c r="B10" s="59" t="s">
        <v>193</v>
      </c>
      <c r="C10" s="60">
        <v>15</v>
      </c>
      <c r="D10" s="60">
        <v>30</v>
      </c>
      <c r="E10" s="60"/>
      <c r="F10" s="60"/>
      <c r="G10" s="60"/>
      <c r="H10" s="60"/>
      <c r="I10" s="60"/>
      <c r="J10" s="60"/>
      <c r="T10" s="97">
        <v>6</v>
      </c>
      <c r="U10" s="97">
        <f t="shared" si="7"/>
        <v>120.19472110704956</v>
      </c>
      <c r="V10" s="97">
        <f t="shared" si="8"/>
        <v>0</v>
      </c>
      <c r="W10" s="97">
        <f t="shared" si="9"/>
        <v>0</v>
      </c>
      <c r="X10" s="97">
        <f t="shared" si="0"/>
        <v>36.07922813107028</v>
      </c>
      <c r="Y10" s="97">
        <f t="shared" si="1"/>
        <v>0</v>
      </c>
      <c r="Z10" s="97">
        <f t="shared" si="2"/>
        <v>0</v>
      </c>
      <c r="AA10" s="97">
        <f t="shared" si="3"/>
        <v>0</v>
      </c>
      <c r="AB10" s="97">
        <f t="shared" si="4"/>
        <v>0</v>
      </c>
      <c r="AC10" s="97">
        <f t="shared" si="5"/>
        <v>0</v>
      </c>
      <c r="AD10" s="97">
        <f t="shared" si="6"/>
        <v>0</v>
      </c>
    </row>
    <row r="11" spans="1:30" x14ac:dyDescent="0.25">
      <c r="B11" s="64" t="s">
        <v>240</v>
      </c>
      <c r="C11" s="65">
        <f t="shared" ref="C11:J11" si="11">((C5/2)^2-(C6/2)^2)*PI()*C10</f>
        <v>10.124273200045232</v>
      </c>
      <c r="D11" s="65">
        <f t="shared" si="11"/>
        <v>8.8357293382212934</v>
      </c>
      <c r="E11" s="65">
        <f t="shared" si="11"/>
        <v>0</v>
      </c>
      <c r="F11" s="65">
        <f t="shared" si="11"/>
        <v>0</v>
      </c>
      <c r="G11" s="65">
        <f t="shared" si="11"/>
        <v>0</v>
      </c>
      <c r="H11" s="65">
        <f t="shared" si="11"/>
        <v>0</v>
      </c>
      <c r="I11" s="65">
        <f t="shared" si="11"/>
        <v>0</v>
      </c>
      <c r="J11" s="65">
        <f t="shared" si="11"/>
        <v>0</v>
      </c>
      <c r="L11" s="59" t="s">
        <v>243</v>
      </c>
      <c r="M11" s="60">
        <v>120</v>
      </c>
      <c r="T11" s="97">
        <v>7</v>
      </c>
      <c r="U11" s="97">
        <f t="shared" si="7"/>
        <v>119.98855408915772</v>
      </c>
      <c r="V11" s="97">
        <f t="shared" si="8"/>
        <v>0</v>
      </c>
      <c r="W11" s="97">
        <f t="shared" si="9"/>
        <v>0</v>
      </c>
      <c r="X11" s="97">
        <f t="shared" si="0"/>
        <v>36.07922813107028</v>
      </c>
      <c r="Y11" s="97">
        <f t="shared" si="1"/>
        <v>0</v>
      </c>
      <c r="Z11" s="97">
        <f t="shared" si="2"/>
        <v>0</v>
      </c>
      <c r="AA11" s="97">
        <f t="shared" si="3"/>
        <v>0</v>
      </c>
      <c r="AB11" s="97">
        <f t="shared" si="4"/>
        <v>0</v>
      </c>
      <c r="AC11" s="97">
        <f t="shared" si="5"/>
        <v>0</v>
      </c>
      <c r="AD11" s="97">
        <f t="shared" si="6"/>
        <v>0</v>
      </c>
    </row>
    <row r="12" spans="1:30" x14ac:dyDescent="0.25">
      <c r="A12" s="62"/>
      <c r="B12" s="59" t="s">
        <v>272</v>
      </c>
      <c r="C12" s="60">
        <v>3.5</v>
      </c>
      <c r="D12" s="60">
        <v>1</v>
      </c>
      <c r="E12" s="60"/>
      <c r="F12" s="60"/>
      <c r="G12" s="60"/>
      <c r="H12" s="60"/>
      <c r="I12" s="60"/>
      <c r="J12" s="60"/>
      <c r="L12" s="59" t="s">
        <v>244</v>
      </c>
      <c r="M12" s="65">
        <f>MIN(U4:U154)</f>
        <v>71.952141884520046</v>
      </c>
      <c r="T12" s="97">
        <v>8</v>
      </c>
      <c r="U12" s="97">
        <f t="shared" si="7"/>
        <v>120.60212833124896</v>
      </c>
      <c r="V12" s="97">
        <f t="shared" si="8"/>
        <v>143.45472049704006</v>
      </c>
      <c r="W12" s="97">
        <f t="shared" si="9"/>
        <v>0</v>
      </c>
      <c r="X12" s="97">
        <f t="shared" si="0"/>
        <v>36.07922813107028</v>
      </c>
      <c r="Y12" s="97">
        <f t="shared" si="1"/>
        <v>0</v>
      </c>
      <c r="Z12" s="97">
        <f t="shared" si="2"/>
        <v>0</v>
      </c>
      <c r="AA12" s="97">
        <f t="shared" si="3"/>
        <v>0</v>
      </c>
      <c r="AB12" s="97">
        <f t="shared" si="4"/>
        <v>0</v>
      </c>
      <c r="AC12" s="97">
        <f t="shared" si="5"/>
        <v>0</v>
      </c>
      <c r="AD12" s="97">
        <f t="shared" si="6"/>
        <v>0</v>
      </c>
    </row>
    <row r="13" spans="1:30" x14ac:dyDescent="0.25">
      <c r="A13" s="68"/>
      <c r="B13" s="59" t="s">
        <v>241</v>
      </c>
      <c r="C13" s="60">
        <v>15</v>
      </c>
      <c r="D13" s="60">
        <v>0</v>
      </c>
      <c r="E13" s="60">
        <v>0</v>
      </c>
      <c r="F13" s="60">
        <v>0</v>
      </c>
      <c r="G13" s="60">
        <v>0</v>
      </c>
      <c r="H13" s="60">
        <v>0</v>
      </c>
      <c r="I13" s="60">
        <v>0</v>
      </c>
      <c r="J13" s="60">
        <v>0</v>
      </c>
      <c r="L13" s="59" t="s">
        <v>194</v>
      </c>
      <c r="M13" s="65">
        <f>U154</f>
        <v>86.043296085551816</v>
      </c>
      <c r="T13" s="97">
        <v>9</v>
      </c>
      <c r="U13" s="97">
        <f t="shared" si="7"/>
        <v>120.39596131335713</v>
      </c>
      <c r="V13" s="97">
        <f t="shared" si="8"/>
        <v>0</v>
      </c>
      <c r="W13" s="97">
        <f t="shared" si="9"/>
        <v>0</v>
      </c>
      <c r="X13" s="97">
        <f t="shared" si="0"/>
        <v>36.07922813107028</v>
      </c>
      <c r="Y13" s="97">
        <f t="shared" si="1"/>
        <v>0</v>
      </c>
      <c r="Z13" s="97">
        <f t="shared" si="2"/>
        <v>0</v>
      </c>
      <c r="AA13" s="97">
        <f t="shared" si="3"/>
        <v>0</v>
      </c>
      <c r="AB13" s="97">
        <f t="shared" si="4"/>
        <v>0</v>
      </c>
      <c r="AC13" s="97">
        <f t="shared" si="5"/>
        <v>0</v>
      </c>
      <c r="AD13" s="97">
        <f t="shared" si="6"/>
        <v>0</v>
      </c>
    </row>
    <row r="14" spans="1:30" x14ac:dyDescent="0.25">
      <c r="B14" s="59" t="s">
        <v>242</v>
      </c>
      <c r="C14" s="60">
        <v>130</v>
      </c>
      <c r="D14" s="60">
        <v>150</v>
      </c>
      <c r="E14" s="60">
        <v>150</v>
      </c>
      <c r="F14" s="60">
        <v>150</v>
      </c>
      <c r="G14" s="60">
        <v>150</v>
      </c>
      <c r="H14" s="60">
        <v>150</v>
      </c>
      <c r="I14" s="60">
        <v>150</v>
      </c>
      <c r="J14" s="60">
        <v>150</v>
      </c>
      <c r="T14" s="97">
        <v>10</v>
      </c>
      <c r="U14" s="97">
        <f t="shared" si="7"/>
        <v>120.18979429546529</v>
      </c>
      <c r="V14" s="97">
        <f t="shared" si="8"/>
        <v>0</v>
      </c>
      <c r="W14" s="97">
        <f t="shared" si="9"/>
        <v>0</v>
      </c>
      <c r="X14" s="97">
        <f t="shared" si="0"/>
        <v>36.07922813107028</v>
      </c>
      <c r="Y14" s="97">
        <f t="shared" si="1"/>
        <v>0</v>
      </c>
      <c r="Z14" s="97">
        <f t="shared" si="2"/>
        <v>0</v>
      </c>
      <c r="AA14" s="97">
        <f t="shared" si="3"/>
        <v>0</v>
      </c>
      <c r="AB14" s="97">
        <f t="shared" si="4"/>
        <v>0</v>
      </c>
      <c r="AC14" s="97">
        <f t="shared" si="5"/>
        <v>0</v>
      </c>
      <c r="AD14" s="97">
        <f t="shared" si="6"/>
        <v>0</v>
      </c>
    </row>
    <row r="15" spans="1:30" x14ac:dyDescent="0.25">
      <c r="T15" s="97">
        <v>11</v>
      </c>
      <c r="U15" s="97">
        <f t="shared" si="7"/>
        <v>119.98362727757346</v>
      </c>
      <c r="V15" s="97">
        <f t="shared" si="8"/>
        <v>0</v>
      </c>
      <c r="W15" s="97">
        <f t="shared" si="9"/>
        <v>0</v>
      </c>
      <c r="X15" s="97">
        <f t="shared" si="0"/>
        <v>36.07922813107028</v>
      </c>
      <c r="Y15" s="97">
        <f t="shared" si="1"/>
        <v>0</v>
      </c>
      <c r="Z15" s="97">
        <f t="shared" si="2"/>
        <v>0</v>
      </c>
      <c r="AA15" s="97">
        <f t="shared" si="3"/>
        <v>0</v>
      </c>
      <c r="AB15" s="97">
        <f t="shared" si="4"/>
        <v>0</v>
      </c>
      <c r="AC15" s="97">
        <f t="shared" si="5"/>
        <v>0</v>
      </c>
      <c r="AD15" s="97">
        <f t="shared" si="6"/>
        <v>0</v>
      </c>
    </row>
    <row r="16" spans="1:30" x14ac:dyDescent="0.25">
      <c r="A16" s="99"/>
      <c r="B16" s="99"/>
      <c r="C16" s="99"/>
      <c r="D16" s="99"/>
      <c r="E16" s="99"/>
      <c r="F16" s="99"/>
      <c r="G16" s="99"/>
      <c r="H16" s="99"/>
      <c r="I16" s="99"/>
      <c r="J16" s="99"/>
      <c r="K16" s="99"/>
      <c r="L16" s="99"/>
      <c r="M16" s="99"/>
      <c r="N16" s="99"/>
      <c r="O16" s="99"/>
      <c r="T16" s="97">
        <v>12</v>
      </c>
      <c r="U16" s="97">
        <f t="shared" si="7"/>
        <v>120.59715996285399</v>
      </c>
      <c r="V16" s="97">
        <f t="shared" si="8"/>
        <v>143.4474480551643</v>
      </c>
      <c r="W16" s="97">
        <f t="shared" si="9"/>
        <v>0</v>
      </c>
      <c r="X16" s="97">
        <f t="shared" si="0"/>
        <v>36.07922813107028</v>
      </c>
      <c r="Y16" s="97">
        <f t="shared" si="1"/>
        <v>0</v>
      </c>
      <c r="Z16" s="97">
        <f t="shared" si="2"/>
        <v>0</v>
      </c>
      <c r="AA16" s="97">
        <f t="shared" si="3"/>
        <v>0</v>
      </c>
      <c r="AB16" s="97">
        <f t="shared" si="4"/>
        <v>0</v>
      </c>
      <c r="AC16" s="97">
        <f t="shared" si="5"/>
        <v>0</v>
      </c>
      <c r="AD16" s="97">
        <f t="shared" si="6"/>
        <v>0</v>
      </c>
    </row>
    <row r="17" spans="1:30" x14ac:dyDescent="0.25">
      <c r="A17" s="99"/>
      <c r="B17" s="99"/>
      <c r="N17" s="99"/>
      <c r="O17" s="99"/>
      <c r="T17" s="97">
        <v>13</v>
      </c>
      <c r="U17" s="97">
        <f t="shared" si="7"/>
        <v>120.39099294496216</v>
      </c>
      <c r="V17" s="97">
        <f t="shared" si="8"/>
        <v>0</v>
      </c>
      <c r="W17" s="97">
        <f t="shared" si="9"/>
        <v>0</v>
      </c>
      <c r="X17" s="97">
        <f t="shared" si="0"/>
        <v>36.07922813107028</v>
      </c>
      <c r="Y17" s="97">
        <f t="shared" si="1"/>
        <v>0</v>
      </c>
      <c r="Z17" s="97">
        <f t="shared" si="2"/>
        <v>0</v>
      </c>
      <c r="AA17" s="97">
        <f t="shared" si="3"/>
        <v>0</v>
      </c>
      <c r="AB17" s="97">
        <f t="shared" si="4"/>
        <v>0</v>
      </c>
      <c r="AC17" s="97">
        <f t="shared" si="5"/>
        <v>0</v>
      </c>
      <c r="AD17" s="97">
        <f t="shared" si="6"/>
        <v>0</v>
      </c>
    </row>
    <row r="18" spans="1:30" s="66" customFormat="1" x14ac:dyDescent="0.25">
      <c r="A18" s="206"/>
      <c r="B18" s="206"/>
      <c r="N18" s="206"/>
      <c r="O18" s="206"/>
      <c r="T18" s="97">
        <v>14</v>
      </c>
      <c r="U18" s="97">
        <f t="shared" si="7"/>
        <v>120.18482592707032</v>
      </c>
      <c r="V18" s="97">
        <f t="shared" si="8"/>
        <v>0</v>
      </c>
      <c r="W18" s="97">
        <f t="shared" si="9"/>
        <v>0</v>
      </c>
      <c r="X18" s="97">
        <f t="shared" si="0"/>
        <v>36.07922813107028</v>
      </c>
      <c r="Y18" s="97">
        <f t="shared" si="1"/>
        <v>0</v>
      </c>
      <c r="Z18" s="97">
        <f t="shared" si="2"/>
        <v>0</v>
      </c>
      <c r="AA18" s="97">
        <f t="shared" si="3"/>
        <v>0</v>
      </c>
      <c r="AB18" s="97">
        <f t="shared" si="4"/>
        <v>0</v>
      </c>
      <c r="AC18" s="97">
        <f t="shared" si="5"/>
        <v>0</v>
      </c>
      <c r="AD18" s="97">
        <f t="shared" si="6"/>
        <v>0</v>
      </c>
    </row>
    <row r="19" spans="1:30" x14ac:dyDescent="0.25">
      <c r="A19" s="99"/>
      <c r="B19" s="99"/>
      <c r="N19" s="99"/>
      <c r="O19" s="99"/>
      <c r="T19" s="97">
        <v>15</v>
      </c>
      <c r="U19" s="97">
        <f t="shared" si="7"/>
        <v>116.591629329527</v>
      </c>
      <c r="V19" s="97">
        <f t="shared" si="8"/>
        <v>0</v>
      </c>
      <c r="W19" s="97">
        <f t="shared" si="9"/>
        <v>592.73017643901176</v>
      </c>
      <c r="X19" s="97">
        <f t="shared" si="0"/>
        <v>36.07922813107028</v>
      </c>
      <c r="Y19" s="97">
        <f t="shared" si="1"/>
        <v>0</v>
      </c>
      <c r="Z19" s="97">
        <f t="shared" si="2"/>
        <v>0</v>
      </c>
      <c r="AA19" s="97">
        <f t="shared" si="3"/>
        <v>0</v>
      </c>
      <c r="AB19" s="97">
        <f t="shared" si="4"/>
        <v>0</v>
      </c>
      <c r="AC19" s="97">
        <f t="shared" si="5"/>
        <v>0</v>
      </c>
      <c r="AD19" s="97">
        <f t="shared" si="6"/>
        <v>0</v>
      </c>
    </row>
    <row r="20" spans="1:30" x14ac:dyDescent="0.25">
      <c r="A20" s="99"/>
      <c r="B20" s="99"/>
      <c r="N20" s="99"/>
      <c r="O20" s="99"/>
      <c r="T20" s="97">
        <v>16</v>
      </c>
      <c r="U20" s="97">
        <f t="shared" si="7"/>
        <v>117.17930100585363</v>
      </c>
      <c r="V20" s="97">
        <f t="shared" si="8"/>
        <v>138.92177148823177</v>
      </c>
      <c r="W20" s="97">
        <f t="shared" si="9"/>
        <v>0</v>
      </c>
      <c r="X20" s="97">
        <f t="shared" si="0"/>
        <v>36.07922813107028</v>
      </c>
      <c r="Y20" s="97">
        <f t="shared" si="1"/>
        <v>0</v>
      </c>
      <c r="Z20" s="97">
        <f t="shared" si="2"/>
        <v>0</v>
      </c>
      <c r="AA20" s="97">
        <f t="shared" si="3"/>
        <v>0</v>
      </c>
      <c r="AB20" s="97">
        <f t="shared" si="4"/>
        <v>0</v>
      </c>
      <c r="AC20" s="97">
        <f t="shared" si="5"/>
        <v>0</v>
      </c>
      <c r="AD20" s="97">
        <f t="shared" si="6"/>
        <v>0</v>
      </c>
    </row>
    <row r="21" spans="1:30" x14ac:dyDescent="0.25">
      <c r="A21" s="99"/>
      <c r="B21" s="99"/>
      <c r="N21" s="99"/>
      <c r="O21" s="99"/>
      <c r="T21" s="97">
        <v>17</v>
      </c>
      <c r="U21" s="97">
        <f t="shared" si="7"/>
        <v>117.77106417702804</v>
      </c>
      <c r="V21" s="97">
        <f t="shared" si="8"/>
        <v>139.63778308659195</v>
      </c>
      <c r="W21" s="97">
        <f t="shared" si="9"/>
        <v>0</v>
      </c>
      <c r="X21" s="97">
        <f t="shared" si="0"/>
        <v>36.07922813107028</v>
      </c>
      <c r="Y21" s="97">
        <f t="shared" si="1"/>
        <v>0</v>
      </c>
      <c r="Z21" s="97">
        <f t="shared" si="2"/>
        <v>0</v>
      </c>
      <c r="AA21" s="97">
        <f t="shared" si="3"/>
        <v>0</v>
      </c>
      <c r="AB21" s="97">
        <f t="shared" si="4"/>
        <v>0</v>
      </c>
      <c r="AC21" s="97">
        <f t="shared" si="5"/>
        <v>0</v>
      </c>
      <c r="AD21" s="97">
        <f t="shared" si="6"/>
        <v>0</v>
      </c>
    </row>
    <row r="22" spans="1:30" x14ac:dyDescent="0.25">
      <c r="A22" s="99"/>
      <c r="B22" s="99"/>
      <c r="N22" s="99"/>
      <c r="O22" s="99"/>
      <c r="T22" s="97">
        <v>18</v>
      </c>
      <c r="U22" s="97">
        <f t="shared" si="7"/>
        <v>118.36711062261284</v>
      </c>
      <c r="V22" s="97">
        <f t="shared" si="8"/>
        <v>140.38735610840931</v>
      </c>
      <c r="W22" s="97">
        <f t="shared" si="9"/>
        <v>0</v>
      </c>
      <c r="X22" s="97">
        <f t="shared" si="0"/>
        <v>36.07922813107028</v>
      </c>
      <c r="Y22" s="97">
        <f t="shared" si="1"/>
        <v>0</v>
      </c>
      <c r="Z22" s="97">
        <f t="shared" si="2"/>
        <v>0</v>
      </c>
      <c r="AA22" s="97">
        <f t="shared" si="3"/>
        <v>0</v>
      </c>
      <c r="AB22" s="97">
        <f t="shared" si="4"/>
        <v>0</v>
      </c>
      <c r="AC22" s="97">
        <f t="shared" si="5"/>
        <v>0</v>
      </c>
      <c r="AD22" s="97">
        <f t="shared" si="6"/>
        <v>0</v>
      </c>
    </row>
    <row r="23" spans="1:30" x14ac:dyDescent="0.25">
      <c r="A23" s="99"/>
      <c r="B23" s="99"/>
      <c r="N23" s="99"/>
      <c r="O23" s="99"/>
      <c r="T23" s="97">
        <v>19</v>
      </c>
      <c r="U23" s="97">
        <f t="shared" si="7"/>
        <v>115.58060858484825</v>
      </c>
      <c r="V23" s="97">
        <f t="shared" si="8"/>
        <v>141.17154796127906</v>
      </c>
      <c r="W23" s="97">
        <f t="shared" si="9"/>
        <v>592.73017643901176</v>
      </c>
      <c r="X23" s="97">
        <f t="shared" si="0"/>
        <v>36.07922813107028</v>
      </c>
      <c r="Y23" s="97">
        <f t="shared" si="1"/>
        <v>0</v>
      </c>
      <c r="Z23" s="97">
        <f t="shared" si="2"/>
        <v>0</v>
      </c>
      <c r="AA23" s="97">
        <f t="shared" si="3"/>
        <v>0</v>
      </c>
      <c r="AB23" s="97">
        <f t="shared" si="4"/>
        <v>0</v>
      </c>
      <c r="AC23" s="97">
        <f t="shared" si="5"/>
        <v>0</v>
      </c>
      <c r="AD23" s="97">
        <f t="shared" si="6"/>
        <v>0</v>
      </c>
    </row>
    <row r="24" spans="1:30" x14ac:dyDescent="0.25">
      <c r="A24" s="99"/>
      <c r="B24" s="99"/>
      <c r="N24" s="99"/>
      <c r="O24" s="99"/>
      <c r="T24" s="97">
        <v>20</v>
      </c>
      <c r="U24" s="97">
        <f t="shared" si="7"/>
        <v>116.16161616727388</v>
      </c>
      <c r="V24" s="97">
        <f t="shared" si="8"/>
        <v>137.75555505555405</v>
      </c>
      <c r="W24" s="97">
        <f t="shared" si="9"/>
        <v>0</v>
      </c>
      <c r="X24" s="97">
        <f t="shared" si="0"/>
        <v>36.07922813107028</v>
      </c>
      <c r="Y24" s="97">
        <f t="shared" si="1"/>
        <v>0</v>
      </c>
      <c r="Z24" s="97">
        <f t="shared" si="2"/>
        <v>0</v>
      </c>
      <c r="AA24" s="97">
        <f t="shared" si="3"/>
        <v>0</v>
      </c>
      <c r="AB24" s="97">
        <f t="shared" si="4"/>
        <v>0</v>
      </c>
      <c r="AC24" s="97">
        <f t="shared" si="5"/>
        <v>0</v>
      </c>
      <c r="AD24" s="97">
        <f t="shared" si="6"/>
        <v>0</v>
      </c>
    </row>
    <row r="25" spans="1:30" x14ac:dyDescent="0.25">
      <c r="A25" s="99"/>
      <c r="B25" s="99"/>
      <c r="N25" s="99"/>
      <c r="O25" s="99"/>
      <c r="T25" s="97">
        <v>21</v>
      </c>
      <c r="U25" s="97">
        <f t="shared" si="7"/>
        <v>116.74639572868881</v>
      </c>
      <c r="V25" s="97">
        <f t="shared" si="8"/>
        <v>138.41565137868395</v>
      </c>
      <c r="W25" s="97">
        <f t="shared" si="9"/>
        <v>0</v>
      </c>
      <c r="X25" s="97">
        <f t="shared" si="0"/>
        <v>36.07922813107028</v>
      </c>
      <c r="Y25" s="97">
        <f t="shared" si="1"/>
        <v>0</v>
      </c>
      <c r="Z25" s="97">
        <f t="shared" si="2"/>
        <v>0</v>
      </c>
      <c r="AA25" s="97">
        <f t="shared" si="3"/>
        <v>0</v>
      </c>
      <c r="AB25" s="97">
        <f t="shared" si="4"/>
        <v>0</v>
      </c>
      <c r="AC25" s="97">
        <f t="shared" si="5"/>
        <v>0</v>
      </c>
      <c r="AD25" s="97">
        <f t="shared" si="6"/>
        <v>0</v>
      </c>
    </row>
    <row r="26" spans="1:30" x14ac:dyDescent="0.25">
      <c r="A26" s="99"/>
      <c r="B26" s="99"/>
      <c r="N26" s="99"/>
      <c r="O26" s="99"/>
      <c r="T26" s="97">
        <v>22</v>
      </c>
      <c r="U26" s="97">
        <f t="shared" si="7"/>
        <v>113.94809973070433</v>
      </c>
      <c r="V26" s="97">
        <f t="shared" si="8"/>
        <v>139.10760492279965</v>
      </c>
      <c r="W26" s="97">
        <f t="shared" si="9"/>
        <v>592.73017643901176</v>
      </c>
      <c r="X26" s="97">
        <f t="shared" si="0"/>
        <v>36.07922813107028</v>
      </c>
      <c r="Y26" s="97">
        <f t="shared" si="1"/>
        <v>0</v>
      </c>
      <c r="Z26" s="97">
        <f t="shared" si="2"/>
        <v>0</v>
      </c>
      <c r="AA26" s="97">
        <f t="shared" si="3"/>
        <v>0</v>
      </c>
      <c r="AB26" s="97">
        <f t="shared" si="4"/>
        <v>0</v>
      </c>
      <c r="AC26" s="97">
        <f t="shared" si="5"/>
        <v>0</v>
      </c>
      <c r="AD26" s="97">
        <f t="shared" si="6"/>
        <v>0</v>
      </c>
    </row>
    <row r="27" spans="1:30" x14ac:dyDescent="0.25">
      <c r="A27" s="99"/>
      <c r="B27" s="99"/>
      <c r="N27" s="99"/>
      <c r="O27" s="99"/>
      <c r="T27" s="97">
        <v>23</v>
      </c>
      <c r="U27" s="97">
        <f t="shared" si="7"/>
        <v>114.51933452162831</v>
      </c>
      <c r="V27" s="97">
        <f t="shared" si="8"/>
        <v>136.0453165427665</v>
      </c>
      <c r="W27" s="97">
        <f t="shared" si="9"/>
        <v>0</v>
      </c>
      <c r="X27" s="97">
        <f t="shared" si="0"/>
        <v>36.07922813107028</v>
      </c>
      <c r="Y27" s="97">
        <f t="shared" si="1"/>
        <v>0</v>
      </c>
      <c r="Z27" s="97">
        <f t="shared" si="2"/>
        <v>0</v>
      </c>
      <c r="AA27" s="97">
        <f t="shared" si="3"/>
        <v>0</v>
      </c>
      <c r="AB27" s="97">
        <f t="shared" si="4"/>
        <v>0</v>
      </c>
      <c r="AC27" s="97">
        <f t="shared" si="5"/>
        <v>0</v>
      </c>
      <c r="AD27" s="97">
        <f t="shared" si="6"/>
        <v>0</v>
      </c>
    </row>
    <row r="28" spans="1:30" x14ac:dyDescent="0.25">
      <c r="A28" s="99"/>
      <c r="B28" s="99"/>
      <c r="N28" s="99"/>
      <c r="O28" s="99"/>
      <c r="T28" s="97">
        <v>24</v>
      </c>
      <c r="U28" s="97">
        <f t="shared" si="7"/>
        <v>115.09385134251096</v>
      </c>
      <c r="V28" s="97">
        <f t="shared" si="8"/>
        <v>136.61967178553351</v>
      </c>
      <c r="W28" s="97">
        <f t="shared" si="9"/>
        <v>0</v>
      </c>
      <c r="X28" s="97">
        <f t="shared" si="0"/>
        <v>36.07922813107028</v>
      </c>
      <c r="Y28" s="97">
        <f t="shared" si="1"/>
        <v>0</v>
      </c>
      <c r="Z28" s="97">
        <f t="shared" si="2"/>
        <v>0</v>
      </c>
      <c r="AA28" s="97">
        <f t="shared" si="3"/>
        <v>0</v>
      </c>
      <c r="AB28" s="97">
        <f t="shared" si="4"/>
        <v>0</v>
      </c>
      <c r="AC28" s="97">
        <f t="shared" si="5"/>
        <v>0</v>
      </c>
      <c r="AD28" s="97">
        <f t="shared" si="6"/>
        <v>0</v>
      </c>
    </row>
    <row r="29" spans="1:30" x14ac:dyDescent="0.25">
      <c r="A29" s="99"/>
      <c r="B29" s="99"/>
      <c r="N29" s="99"/>
      <c r="O29" s="99"/>
      <c r="T29" s="97">
        <v>25</v>
      </c>
      <c r="U29" s="97">
        <f t="shared" si="7"/>
        <v>115.67181814540083</v>
      </c>
      <c r="V29" s="97">
        <f t="shared" si="8"/>
        <v>137.22341863680023</v>
      </c>
      <c r="W29" s="97">
        <f t="shared" si="9"/>
        <v>0</v>
      </c>
      <c r="X29" s="97">
        <f t="shared" si="0"/>
        <v>36.07922813107028</v>
      </c>
      <c r="Y29" s="97">
        <f t="shared" si="1"/>
        <v>0</v>
      </c>
      <c r="Z29" s="97">
        <f t="shared" si="2"/>
        <v>0</v>
      </c>
      <c r="AA29" s="97">
        <f t="shared" si="3"/>
        <v>0</v>
      </c>
      <c r="AB29" s="97">
        <f t="shared" si="4"/>
        <v>0</v>
      </c>
      <c r="AC29" s="97">
        <f t="shared" si="5"/>
        <v>0</v>
      </c>
      <c r="AD29" s="97">
        <f t="shared" si="6"/>
        <v>0</v>
      </c>
    </row>
    <row r="30" spans="1:30" x14ac:dyDescent="0.25">
      <c r="A30" s="99"/>
      <c r="B30" s="99"/>
      <c r="N30" s="99"/>
      <c r="O30" s="99"/>
      <c r="T30" s="97">
        <v>26</v>
      </c>
      <c r="U30" s="97">
        <f t="shared" si="7"/>
        <v>112.86637801314647</v>
      </c>
      <c r="V30" s="97">
        <f t="shared" si="8"/>
        <v>137.85738142556835</v>
      </c>
      <c r="W30" s="97">
        <f t="shared" si="9"/>
        <v>592.73017643901176</v>
      </c>
      <c r="X30" s="97">
        <f t="shared" si="0"/>
        <v>36.07922813107028</v>
      </c>
      <c r="Y30" s="97">
        <f t="shared" si="1"/>
        <v>0</v>
      </c>
      <c r="Z30" s="97">
        <f t="shared" si="2"/>
        <v>0</v>
      </c>
      <c r="AA30" s="97">
        <f t="shared" si="3"/>
        <v>0</v>
      </c>
      <c r="AB30" s="97">
        <f t="shared" si="4"/>
        <v>0</v>
      </c>
      <c r="AC30" s="97">
        <f t="shared" si="5"/>
        <v>0</v>
      </c>
      <c r="AD30" s="97">
        <f t="shared" si="6"/>
        <v>0</v>
      </c>
    </row>
    <row r="31" spans="1:30" x14ac:dyDescent="0.25">
      <c r="A31" s="99"/>
      <c r="B31" s="99"/>
      <c r="N31" s="99"/>
      <c r="O31" s="99"/>
      <c r="T31" s="97">
        <v>27</v>
      </c>
      <c r="U31" s="97">
        <f t="shared" si="7"/>
        <v>113.43179903979484</v>
      </c>
      <c r="V31" s="97">
        <f t="shared" si="8"/>
        <v>135.02790779453318</v>
      </c>
      <c r="W31" s="97">
        <f t="shared" si="9"/>
        <v>0</v>
      </c>
      <c r="X31" s="97">
        <f t="shared" si="0"/>
        <v>36.07922813107028</v>
      </c>
      <c r="Y31" s="97">
        <f t="shared" si="1"/>
        <v>0</v>
      </c>
      <c r="Z31" s="97">
        <f t="shared" si="2"/>
        <v>0</v>
      </c>
      <c r="AA31" s="97">
        <f t="shared" si="3"/>
        <v>0</v>
      </c>
      <c r="AB31" s="97">
        <f t="shared" si="4"/>
        <v>0</v>
      </c>
      <c r="AC31" s="97">
        <f t="shared" si="5"/>
        <v>0</v>
      </c>
      <c r="AD31" s="97">
        <f t="shared" si="6"/>
        <v>0</v>
      </c>
    </row>
    <row r="32" spans="1:30" x14ac:dyDescent="0.25">
      <c r="A32" s="99"/>
      <c r="B32" s="99"/>
      <c r="N32" s="99"/>
      <c r="O32" s="99"/>
      <c r="T32" s="97">
        <v>28</v>
      </c>
      <c r="U32" s="97">
        <f t="shared" si="7"/>
        <v>114.00019373137732</v>
      </c>
      <c r="V32" s="97">
        <f t="shared" si="8"/>
        <v>135.54829915800732</v>
      </c>
      <c r="W32" s="97">
        <f t="shared" si="9"/>
        <v>0</v>
      </c>
      <c r="X32" s="97">
        <f t="shared" si="0"/>
        <v>36.07922813107028</v>
      </c>
      <c r="Y32" s="97">
        <f t="shared" si="1"/>
        <v>0</v>
      </c>
      <c r="Z32" s="97">
        <f t="shared" si="2"/>
        <v>0</v>
      </c>
      <c r="AA32" s="97">
        <f t="shared" si="3"/>
        <v>0</v>
      </c>
      <c r="AB32" s="97">
        <f t="shared" si="4"/>
        <v>0</v>
      </c>
      <c r="AC32" s="97">
        <f t="shared" si="5"/>
        <v>0</v>
      </c>
      <c r="AD32" s="97">
        <f t="shared" si="6"/>
        <v>0</v>
      </c>
    </row>
    <row r="33" spans="1:30" x14ac:dyDescent="0.25">
      <c r="A33" s="99"/>
      <c r="B33" s="99"/>
      <c r="N33" s="99"/>
      <c r="O33" s="99"/>
      <c r="T33" s="97">
        <v>29</v>
      </c>
      <c r="U33" s="97">
        <f t="shared" si="7"/>
        <v>111.18469215090599</v>
      </c>
      <c r="V33" s="97">
        <f t="shared" si="8"/>
        <v>136.0966279875972</v>
      </c>
      <c r="W33" s="97">
        <f t="shared" si="9"/>
        <v>592.73017643901176</v>
      </c>
      <c r="X33" s="97">
        <f t="shared" si="0"/>
        <v>36.07922813107028</v>
      </c>
      <c r="Y33" s="97">
        <f t="shared" si="1"/>
        <v>0</v>
      </c>
      <c r="Z33" s="97">
        <f t="shared" si="2"/>
        <v>0</v>
      </c>
      <c r="AA33" s="97">
        <f t="shared" si="3"/>
        <v>0</v>
      </c>
      <c r="AB33" s="97">
        <f t="shared" si="4"/>
        <v>0</v>
      </c>
      <c r="AC33" s="97">
        <f t="shared" si="5"/>
        <v>0</v>
      </c>
      <c r="AD33" s="97">
        <f t="shared" si="6"/>
        <v>0</v>
      </c>
    </row>
    <row r="34" spans="1:30" x14ac:dyDescent="0.25">
      <c r="A34" s="99"/>
      <c r="B34" s="99"/>
      <c r="N34" s="99"/>
      <c r="O34" s="99"/>
      <c r="T34" s="97">
        <v>30</v>
      </c>
      <c r="U34" s="97">
        <f t="shared" si="7"/>
        <v>111.74210330122519</v>
      </c>
      <c r="V34" s="97">
        <f t="shared" si="8"/>
        <v>133.6261794369301</v>
      </c>
      <c r="W34" s="97">
        <f t="shared" si="9"/>
        <v>0</v>
      </c>
      <c r="X34" s="97">
        <f t="shared" si="0"/>
        <v>36.07922813107028</v>
      </c>
      <c r="Y34" s="97">
        <f t="shared" si="1"/>
        <v>0</v>
      </c>
      <c r="Z34" s="97">
        <f t="shared" si="2"/>
        <v>0</v>
      </c>
      <c r="AA34" s="97">
        <f t="shared" si="3"/>
        <v>0</v>
      </c>
      <c r="AB34" s="97">
        <f t="shared" si="4"/>
        <v>0</v>
      </c>
      <c r="AC34" s="97">
        <f t="shared" si="5"/>
        <v>0</v>
      </c>
      <c r="AD34" s="97">
        <f t="shared" si="6"/>
        <v>0</v>
      </c>
    </row>
    <row r="35" spans="1:30" x14ac:dyDescent="0.25">
      <c r="A35" s="99"/>
      <c r="B35" s="99"/>
      <c r="N35" s="99"/>
      <c r="O35" s="99"/>
      <c r="T35" s="97">
        <v>31</v>
      </c>
      <c r="U35" s="97">
        <f t="shared" si="7"/>
        <v>112.30203201041488</v>
      </c>
      <c r="V35" s="97">
        <f t="shared" si="8"/>
        <v>134.06675223927024</v>
      </c>
      <c r="W35" s="97">
        <f t="shared" si="9"/>
        <v>0</v>
      </c>
      <c r="X35" s="97">
        <f t="shared" si="0"/>
        <v>36.07922813107028</v>
      </c>
      <c r="Y35" s="97">
        <f t="shared" si="1"/>
        <v>0</v>
      </c>
      <c r="Z35" s="97">
        <f t="shared" si="2"/>
        <v>0</v>
      </c>
      <c r="AA35" s="97">
        <f t="shared" si="3"/>
        <v>0</v>
      </c>
      <c r="AB35" s="97">
        <f t="shared" si="4"/>
        <v>0</v>
      </c>
      <c r="AC35" s="97">
        <f t="shared" si="5"/>
        <v>0</v>
      </c>
      <c r="AD35" s="97">
        <f t="shared" si="6"/>
        <v>0</v>
      </c>
    </row>
    <row r="36" spans="1:30" x14ac:dyDescent="0.25">
      <c r="A36" s="99"/>
      <c r="B36" s="99"/>
      <c r="N36" s="99"/>
      <c r="O36" s="99"/>
      <c r="T36" s="97">
        <v>32</v>
      </c>
      <c r="U36" s="97">
        <f t="shared" si="7"/>
        <v>112.86462648079814</v>
      </c>
      <c r="V36" s="97">
        <f t="shared" si="8"/>
        <v>134.53326044814054</v>
      </c>
      <c r="W36" s="97">
        <f t="shared" si="9"/>
        <v>0</v>
      </c>
      <c r="X36" s="97">
        <f t="shared" si="0"/>
        <v>36.07922813107028</v>
      </c>
      <c r="Y36" s="97">
        <f t="shared" si="1"/>
        <v>0</v>
      </c>
      <c r="Z36" s="97">
        <f t="shared" si="2"/>
        <v>0</v>
      </c>
      <c r="AA36" s="97">
        <f t="shared" si="3"/>
        <v>0</v>
      </c>
      <c r="AB36" s="97">
        <f t="shared" si="4"/>
        <v>0</v>
      </c>
      <c r="AC36" s="97">
        <f t="shared" si="5"/>
        <v>0</v>
      </c>
      <c r="AD36" s="97">
        <f t="shared" si="6"/>
        <v>0</v>
      </c>
    </row>
    <row r="37" spans="1:30" x14ac:dyDescent="0.25">
      <c r="A37" s="99"/>
      <c r="B37" s="99"/>
      <c r="N37" s="99"/>
      <c r="O37" s="99"/>
      <c r="T37" s="97">
        <v>33</v>
      </c>
      <c r="U37" s="97">
        <f t="shared" si="7"/>
        <v>110.04300893705313</v>
      </c>
      <c r="V37" s="97">
        <f t="shared" si="8"/>
        <v>135.02633441470581</v>
      </c>
      <c r="W37" s="97">
        <f t="shared" si="9"/>
        <v>592.73017643901176</v>
      </c>
      <c r="X37" s="97">
        <f t="shared" si="0"/>
        <v>36.07922813107028</v>
      </c>
      <c r="Y37" s="97">
        <f t="shared" si="1"/>
        <v>0</v>
      </c>
      <c r="Z37" s="97">
        <f t="shared" si="2"/>
        <v>0</v>
      </c>
      <c r="AA37" s="97">
        <f t="shared" si="3"/>
        <v>0</v>
      </c>
      <c r="AB37" s="97">
        <f t="shared" si="4"/>
        <v>0</v>
      </c>
      <c r="AC37" s="97">
        <f t="shared" si="5"/>
        <v>0</v>
      </c>
      <c r="AD37" s="97">
        <f t="shared" si="6"/>
        <v>0</v>
      </c>
    </row>
    <row r="38" spans="1:30" x14ac:dyDescent="0.25">
      <c r="A38" s="99"/>
      <c r="B38" s="99"/>
      <c r="N38" s="99"/>
      <c r="O38" s="99"/>
      <c r="T38" s="97">
        <v>34</v>
      </c>
      <c r="U38" s="97">
        <f t="shared" si="7"/>
        <v>110.5956838141794</v>
      </c>
      <c r="V38" s="97">
        <f t="shared" si="8"/>
        <v>132.79733162816865</v>
      </c>
      <c r="W38" s="97">
        <f t="shared" si="9"/>
        <v>0</v>
      </c>
      <c r="X38" s="97">
        <f t="shared" si="0"/>
        <v>36.07922813107028</v>
      </c>
      <c r="Y38" s="97">
        <f t="shared" si="1"/>
        <v>0</v>
      </c>
      <c r="Z38" s="97">
        <f t="shared" si="2"/>
        <v>0</v>
      </c>
      <c r="AA38" s="97">
        <f t="shared" si="3"/>
        <v>0</v>
      </c>
      <c r="AB38" s="97">
        <f t="shared" si="4"/>
        <v>0</v>
      </c>
      <c r="AC38" s="97">
        <f t="shared" si="5"/>
        <v>0</v>
      </c>
      <c r="AD38" s="97">
        <f t="shared" si="6"/>
        <v>0</v>
      </c>
    </row>
    <row r="39" spans="1:30" x14ac:dyDescent="0.25">
      <c r="A39" s="99"/>
      <c r="B39" s="99"/>
      <c r="N39" s="99"/>
      <c r="O39" s="99"/>
      <c r="T39" s="97">
        <v>35</v>
      </c>
      <c r="U39" s="97">
        <f t="shared" si="7"/>
        <v>111.15058130304924</v>
      </c>
      <c r="V39" s="97">
        <f t="shared" si="8"/>
        <v>133.18628868329202</v>
      </c>
      <c r="W39" s="97">
        <f t="shared" si="9"/>
        <v>0</v>
      </c>
      <c r="X39" s="97">
        <f t="shared" si="0"/>
        <v>36.07922813107028</v>
      </c>
      <c r="Y39" s="97">
        <f t="shared" si="1"/>
        <v>0</v>
      </c>
      <c r="Z39" s="97">
        <f t="shared" si="2"/>
        <v>0</v>
      </c>
      <c r="AA39" s="97">
        <f t="shared" si="3"/>
        <v>0</v>
      </c>
      <c r="AB39" s="97">
        <f t="shared" si="4"/>
        <v>0</v>
      </c>
      <c r="AC39" s="97">
        <f t="shared" si="5"/>
        <v>0</v>
      </c>
      <c r="AD39" s="97">
        <f t="shared" si="6"/>
        <v>0</v>
      </c>
    </row>
    <row r="40" spans="1:30" x14ac:dyDescent="0.25">
      <c r="A40" s="99"/>
      <c r="B40" s="99"/>
      <c r="N40" s="99"/>
      <c r="O40" s="99"/>
      <c r="T40" s="97">
        <v>36</v>
      </c>
      <c r="U40" s="97">
        <f t="shared" si="7"/>
        <v>108.32081320263292</v>
      </c>
      <c r="V40" s="97">
        <f t="shared" si="8"/>
        <v>133.59998699722567</v>
      </c>
      <c r="W40" s="97">
        <f t="shared" si="9"/>
        <v>592.73017643901176</v>
      </c>
      <c r="X40" s="97">
        <f t="shared" si="0"/>
        <v>36.07922813107028</v>
      </c>
      <c r="Y40" s="97">
        <f t="shared" si="1"/>
        <v>0</v>
      </c>
      <c r="Z40" s="97">
        <f t="shared" si="2"/>
        <v>0</v>
      </c>
      <c r="AA40" s="97">
        <f t="shared" si="3"/>
        <v>0</v>
      </c>
      <c r="AB40" s="97">
        <f t="shared" si="4"/>
        <v>0</v>
      </c>
      <c r="AC40" s="97">
        <f t="shared" si="5"/>
        <v>0</v>
      </c>
      <c r="AD40" s="97">
        <f t="shared" si="6"/>
        <v>0</v>
      </c>
    </row>
    <row r="41" spans="1:30" x14ac:dyDescent="0.25">
      <c r="A41" s="99"/>
      <c r="B41" s="99"/>
      <c r="N41" s="99"/>
      <c r="O41" s="99"/>
      <c r="T41" s="97">
        <v>37</v>
      </c>
      <c r="U41" s="97">
        <f t="shared" si="7"/>
        <v>108.86739606744433</v>
      </c>
      <c r="V41" s="97">
        <f t="shared" si="8"/>
        <v>131.73122947306925</v>
      </c>
      <c r="W41" s="97">
        <f t="shared" si="9"/>
        <v>0</v>
      </c>
      <c r="X41" s="97">
        <f t="shared" si="0"/>
        <v>36.07922813107028</v>
      </c>
      <c r="Y41" s="97">
        <f t="shared" si="1"/>
        <v>0</v>
      </c>
      <c r="Z41" s="97">
        <f t="shared" si="2"/>
        <v>0</v>
      </c>
      <c r="AA41" s="97">
        <f t="shared" si="3"/>
        <v>0</v>
      </c>
      <c r="AB41" s="97">
        <f t="shared" si="4"/>
        <v>0</v>
      </c>
      <c r="AC41" s="97">
        <f t="shared" si="5"/>
        <v>0</v>
      </c>
      <c r="AD41" s="97">
        <f t="shared" si="6"/>
        <v>0</v>
      </c>
    </row>
    <row r="42" spans="1:30" x14ac:dyDescent="0.25">
      <c r="A42" s="99"/>
      <c r="B42" s="99"/>
      <c r="N42" s="99"/>
      <c r="O42" s="99"/>
      <c r="T42" s="97">
        <v>38</v>
      </c>
      <c r="U42" s="97">
        <f t="shared" si="7"/>
        <v>109.41577665678498</v>
      </c>
      <c r="V42" s="97">
        <f t="shared" si="8"/>
        <v>132.04583126568474</v>
      </c>
      <c r="W42" s="97">
        <f t="shared" si="9"/>
        <v>0</v>
      </c>
      <c r="X42" s="97">
        <f t="shared" si="0"/>
        <v>36.07922813107028</v>
      </c>
      <c r="Y42" s="97">
        <f t="shared" si="1"/>
        <v>0</v>
      </c>
      <c r="Z42" s="97">
        <f t="shared" si="2"/>
        <v>0</v>
      </c>
      <c r="AA42" s="97">
        <f t="shared" si="3"/>
        <v>0</v>
      </c>
      <c r="AB42" s="97">
        <f t="shared" si="4"/>
        <v>0</v>
      </c>
      <c r="AC42" s="97">
        <f t="shared" si="5"/>
        <v>0</v>
      </c>
      <c r="AD42" s="97">
        <f t="shared" si="6"/>
        <v>0</v>
      </c>
    </row>
    <row r="43" spans="1:30" x14ac:dyDescent="0.25">
      <c r="A43" s="99"/>
      <c r="B43" s="99"/>
      <c r="N43" s="99"/>
      <c r="O43" s="99"/>
      <c r="T43" s="97">
        <v>39</v>
      </c>
      <c r="U43" s="97">
        <f t="shared" si="7"/>
        <v>109.96608736700688</v>
      </c>
      <c r="V43" s="97">
        <f t="shared" si="8"/>
        <v>132.38360241990546</v>
      </c>
      <c r="W43" s="97">
        <f t="shared" si="9"/>
        <v>0</v>
      </c>
      <c r="X43" s="97">
        <f t="shared" si="0"/>
        <v>36.07922813107028</v>
      </c>
      <c r="Y43" s="97">
        <f t="shared" si="1"/>
        <v>0</v>
      </c>
      <c r="Z43" s="97">
        <f t="shared" si="2"/>
        <v>0</v>
      </c>
      <c r="AA43" s="97">
        <f t="shared" si="3"/>
        <v>0</v>
      </c>
      <c r="AB43" s="97">
        <f t="shared" si="4"/>
        <v>0</v>
      </c>
      <c r="AC43" s="97">
        <f t="shared" si="5"/>
        <v>0</v>
      </c>
      <c r="AD43" s="97">
        <f t="shared" si="6"/>
        <v>0</v>
      </c>
    </row>
    <row r="44" spans="1:30" x14ac:dyDescent="0.25">
      <c r="A44" s="99"/>
      <c r="B44" s="99"/>
      <c r="N44" s="99"/>
      <c r="O44" s="99"/>
      <c r="T44" s="97">
        <v>40</v>
      </c>
      <c r="U44" s="97">
        <f t="shared" si="7"/>
        <v>107.13143370289042</v>
      </c>
      <c r="V44" s="97">
        <f t="shared" si="8"/>
        <v>132.74501334970071</v>
      </c>
      <c r="W44" s="97">
        <f t="shared" si="9"/>
        <v>592.73017643901176</v>
      </c>
      <c r="X44" s="97">
        <f t="shared" si="0"/>
        <v>36.07922813107028</v>
      </c>
      <c r="Y44" s="97">
        <f t="shared" si="1"/>
        <v>0</v>
      </c>
      <c r="Z44" s="97">
        <f t="shared" si="2"/>
        <v>0</v>
      </c>
      <c r="AA44" s="97">
        <f t="shared" si="3"/>
        <v>0</v>
      </c>
      <c r="AB44" s="97">
        <f t="shared" si="4"/>
        <v>0</v>
      </c>
      <c r="AC44" s="97">
        <f t="shared" si="5"/>
        <v>0</v>
      </c>
      <c r="AD44" s="97">
        <f t="shared" si="6"/>
        <v>0</v>
      </c>
    </row>
    <row r="45" spans="1:30" x14ac:dyDescent="0.25">
      <c r="A45" s="99"/>
      <c r="B45" s="99"/>
      <c r="N45" s="99"/>
      <c r="O45" s="99"/>
      <c r="T45" s="97">
        <v>41</v>
      </c>
      <c r="U45" s="97">
        <f t="shared" si="7"/>
        <v>107.67453518300296</v>
      </c>
      <c r="V45" s="97">
        <f t="shared" si="8"/>
        <v>131.12198715076559</v>
      </c>
      <c r="W45" s="97">
        <f t="shared" si="9"/>
        <v>0</v>
      </c>
      <c r="X45" s="97">
        <f t="shared" si="0"/>
        <v>36.07922813107028</v>
      </c>
      <c r="Y45" s="97">
        <f t="shared" si="1"/>
        <v>0</v>
      </c>
      <c r="Z45" s="97">
        <f t="shared" si="2"/>
        <v>0</v>
      </c>
      <c r="AA45" s="97">
        <f t="shared" si="3"/>
        <v>0</v>
      </c>
      <c r="AB45" s="97">
        <f t="shared" si="4"/>
        <v>0</v>
      </c>
      <c r="AC45" s="97">
        <f t="shared" si="5"/>
        <v>0</v>
      </c>
      <c r="AD45" s="97">
        <f t="shared" si="6"/>
        <v>0</v>
      </c>
    </row>
    <row r="46" spans="1:30" x14ac:dyDescent="0.25">
      <c r="A46" s="99"/>
      <c r="B46" s="99"/>
      <c r="N46" s="99"/>
      <c r="O46" s="99"/>
      <c r="T46" s="97">
        <v>42</v>
      </c>
      <c r="U46" s="97">
        <f t="shared" si="7"/>
        <v>108.21915355922351</v>
      </c>
      <c r="V46" s="97">
        <f t="shared" si="8"/>
        <v>131.38744396966652</v>
      </c>
      <c r="W46" s="97">
        <f t="shared" si="9"/>
        <v>0</v>
      </c>
      <c r="X46" s="97">
        <f t="shared" si="0"/>
        <v>36.07922813107028</v>
      </c>
      <c r="Y46" s="97">
        <f t="shared" si="1"/>
        <v>0</v>
      </c>
      <c r="Z46" s="97">
        <f t="shared" si="2"/>
        <v>0</v>
      </c>
      <c r="AA46" s="97">
        <f t="shared" si="3"/>
        <v>0</v>
      </c>
      <c r="AB46" s="97">
        <f t="shared" si="4"/>
        <v>0</v>
      </c>
      <c r="AC46" s="97">
        <f t="shared" si="5"/>
        <v>0</v>
      </c>
      <c r="AD46" s="97">
        <f t="shared" si="6"/>
        <v>0</v>
      </c>
    </row>
    <row r="47" spans="1:30" x14ac:dyDescent="0.25">
      <c r="A47" s="99"/>
      <c r="B47" s="99"/>
      <c r="N47" s="99"/>
      <c r="O47" s="99"/>
      <c r="T47" s="97">
        <v>43</v>
      </c>
      <c r="U47" s="97">
        <f t="shared" si="7"/>
        <v>105.37838629114408</v>
      </c>
      <c r="V47" s="97">
        <f t="shared" si="8"/>
        <v>131.67513265618405</v>
      </c>
      <c r="W47" s="97">
        <f t="shared" si="9"/>
        <v>592.73017643901176</v>
      </c>
      <c r="X47" s="97">
        <f t="shared" si="0"/>
        <v>36.07922813107028</v>
      </c>
      <c r="Y47" s="97">
        <f t="shared" si="1"/>
        <v>0</v>
      </c>
      <c r="Z47" s="97">
        <f t="shared" si="2"/>
        <v>0</v>
      </c>
      <c r="AA47" s="97">
        <f t="shared" si="3"/>
        <v>0</v>
      </c>
      <c r="AB47" s="97">
        <f t="shared" si="4"/>
        <v>0</v>
      </c>
      <c r="AC47" s="97">
        <f t="shared" si="5"/>
        <v>0</v>
      </c>
      <c r="AD47" s="97">
        <f t="shared" si="6"/>
        <v>0</v>
      </c>
    </row>
    <row r="48" spans="1:30" x14ac:dyDescent="0.25">
      <c r="A48" s="99"/>
      <c r="B48" s="99"/>
      <c r="N48" s="99"/>
      <c r="O48" s="99"/>
      <c r="T48" s="97">
        <v>44</v>
      </c>
      <c r="U48" s="97">
        <f t="shared" si="7"/>
        <v>105.91741520718831</v>
      </c>
      <c r="V48" s="97">
        <f t="shared" si="8"/>
        <v>130.40928843881053</v>
      </c>
      <c r="W48" s="97">
        <f t="shared" si="9"/>
        <v>0</v>
      </c>
      <c r="X48" s="97">
        <f t="shared" si="0"/>
        <v>36.07922813107028</v>
      </c>
      <c r="Y48" s="97">
        <f t="shared" si="1"/>
        <v>0</v>
      </c>
      <c r="Z48" s="97">
        <f t="shared" si="2"/>
        <v>0</v>
      </c>
      <c r="AA48" s="97">
        <f t="shared" si="3"/>
        <v>0</v>
      </c>
      <c r="AB48" s="97">
        <f t="shared" si="4"/>
        <v>0</v>
      </c>
      <c r="AC48" s="97">
        <f t="shared" si="5"/>
        <v>0</v>
      </c>
      <c r="AD48" s="97">
        <f t="shared" si="6"/>
        <v>0</v>
      </c>
    </row>
    <row r="49" spans="1:30" x14ac:dyDescent="0.25">
      <c r="A49" s="99"/>
      <c r="B49" s="99"/>
      <c r="N49" s="99"/>
      <c r="O49" s="99"/>
      <c r="T49" s="97">
        <v>45</v>
      </c>
      <c r="U49" s="97">
        <f t="shared" si="7"/>
        <v>106.45756351811184</v>
      </c>
      <c r="V49" s="97">
        <f t="shared" si="8"/>
        <v>130.60518254268734</v>
      </c>
      <c r="W49" s="97">
        <f t="shared" si="9"/>
        <v>0</v>
      </c>
      <c r="X49" s="97">
        <f t="shared" si="0"/>
        <v>36.07922813107028</v>
      </c>
      <c r="Y49" s="97">
        <f t="shared" si="1"/>
        <v>0</v>
      </c>
      <c r="Z49" s="97">
        <f t="shared" si="2"/>
        <v>0</v>
      </c>
      <c r="AA49" s="97">
        <f t="shared" si="3"/>
        <v>0</v>
      </c>
      <c r="AB49" s="97">
        <f t="shared" si="4"/>
        <v>0</v>
      </c>
      <c r="AC49" s="97">
        <f t="shared" si="5"/>
        <v>0</v>
      </c>
      <c r="AD49" s="97">
        <f t="shared" si="6"/>
        <v>0</v>
      </c>
    </row>
    <row r="50" spans="1:30" x14ac:dyDescent="0.25">
      <c r="A50" s="99"/>
      <c r="B50" s="99"/>
      <c r="N50" s="99"/>
      <c r="O50" s="99"/>
      <c r="T50" s="97">
        <v>46</v>
      </c>
      <c r="U50" s="97">
        <f t="shared" si="7"/>
        <v>106.99895151328802</v>
      </c>
      <c r="V50" s="97">
        <f t="shared" si="8"/>
        <v>130.82212728690433</v>
      </c>
      <c r="W50" s="97">
        <f t="shared" si="9"/>
        <v>0</v>
      </c>
      <c r="X50" s="97">
        <f t="shared" si="0"/>
        <v>36.07922813107028</v>
      </c>
      <c r="Y50" s="97">
        <f t="shared" si="1"/>
        <v>0</v>
      </c>
      <c r="Z50" s="97">
        <f t="shared" si="2"/>
        <v>0</v>
      </c>
      <c r="AA50" s="97">
        <f t="shared" si="3"/>
        <v>0</v>
      </c>
      <c r="AB50" s="97">
        <f t="shared" si="4"/>
        <v>0</v>
      </c>
      <c r="AC50" s="97">
        <f t="shared" si="5"/>
        <v>0</v>
      </c>
      <c r="AD50" s="97">
        <f t="shared" si="6"/>
        <v>0</v>
      </c>
    </row>
    <row r="51" spans="1:30" x14ac:dyDescent="0.25">
      <c r="A51" s="99"/>
      <c r="B51" s="99"/>
      <c r="N51" s="99"/>
      <c r="O51" s="99"/>
      <c r="T51" s="97">
        <v>47</v>
      </c>
      <c r="U51" s="97">
        <f t="shared" si="7"/>
        <v>104.15467183941472</v>
      </c>
      <c r="V51" s="97">
        <f t="shared" si="8"/>
        <v>131.06046164225498</v>
      </c>
      <c r="W51" s="97">
        <f t="shared" si="9"/>
        <v>592.73017643901176</v>
      </c>
      <c r="X51" s="97">
        <f t="shared" si="0"/>
        <v>36.07922813107028</v>
      </c>
      <c r="Y51" s="97">
        <f t="shared" si="1"/>
        <v>0</v>
      </c>
      <c r="Z51" s="97">
        <f t="shared" si="2"/>
        <v>0</v>
      </c>
      <c r="AA51" s="97">
        <f t="shared" si="3"/>
        <v>0</v>
      </c>
      <c r="AB51" s="97">
        <f t="shared" si="4"/>
        <v>0</v>
      </c>
      <c r="AC51" s="97">
        <f t="shared" si="5"/>
        <v>0</v>
      </c>
      <c r="AD51" s="97">
        <f t="shared" si="6"/>
        <v>0</v>
      </c>
    </row>
    <row r="52" spans="1:30" x14ac:dyDescent="0.25">
      <c r="A52" s="99"/>
      <c r="B52" s="99"/>
      <c r="N52" s="99"/>
      <c r="O52" s="99"/>
      <c r="T52" s="97">
        <v>48</v>
      </c>
      <c r="U52" s="97">
        <f t="shared" si="7"/>
        <v>104.69159136908846</v>
      </c>
      <c r="V52" s="97">
        <f t="shared" si="8"/>
        <v>130.04014582397596</v>
      </c>
      <c r="W52" s="97">
        <f t="shared" si="9"/>
        <v>0</v>
      </c>
      <c r="X52" s="97">
        <f t="shared" si="0"/>
        <v>36.07922813107028</v>
      </c>
      <c r="Y52" s="97">
        <f t="shared" si="1"/>
        <v>0</v>
      </c>
      <c r="Z52" s="97">
        <f t="shared" si="2"/>
        <v>0</v>
      </c>
      <c r="AA52" s="97">
        <f t="shared" si="3"/>
        <v>0</v>
      </c>
      <c r="AB52" s="97">
        <f t="shared" si="4"/>
        <v>0</v>
      </c>
      <c r="AC52" s="97">
        <f t="shared" si="5"/>
        <v>0</v>
      </c>
      <c r="AD52" s="97">
        <f t="shared" si="6"/>
        <v>0</v>
      </c>
    </row>
    <row r="53" spans="1:30" x14ac:dyDescent="0.25">
      <c r="A53" s="99"/>
      <c r="B53" s="99"/>
      <c r="N53" s="99"/>
      <c r="O53" s="99"/>
      <c r="T53" s="97">
        <v>49</v>
      </c>
      <c r="U53" s="97">
        <f t="shared" si="7"/>
        <v>105.22936300952526</v>
      </c>
      <c r="V53" s="97">
        <f t="shared" si="8"/>
        <v>130.18926520751037</v>
      </c>
      <c r="W53" s="97">
        <f t="shared" si="9"/>
        <v>0</v>
      </c>
      <c r="X53" s="97">
        <f t="shared" si="0"/>
        <v>36.07922813107028</v>
      </c>
      <c r="Y53" s="97">
        <f t="shared" si="1"/>
        <v>0</v>
      </c>
      <c r="Z53" s="97">
        <f t="shared" si="2"/>
        <v>0</v>
      </c>
      <c r="AA53" s="97">
        <f t="shared" si="3"/>
        <v>0</v>
      </c>
      <c r="AB53" s="97">
        <f t="shared" si="4"/>
        <v>0</v>
      </c>
      <c r="AC53" s="97">
        <f t="shared" si="5"/>
        <v>0</v>
      </c>
      <c r="AD53" s="97">
        <f t="shared" si="6"/>
        <v>0</v>
      </c>
    </row>
    <row r="54" spans="1:30" x14ac:dyDescent="0.25">
      <c r="A54" s="99"/>
      <c r="B54" s="99"/>
      <c r="N54" s="99"/>
      <c r="O54" s="99"/>
      <c r="T54" s="97">
        <v>50</v>
      </c>
      <c r="U54" s="97">
        <f t="shared" si="7"/>
        <v>102.3810735034894</v>
      </c>
      <c r="V54" s="97">
        <f t="shared" si="8"/>
        <v>130.35874101380594</v>
      </c>
      <c r="W54" s="97">
        <f t="shared" si="9"/>
        <v>592.73017643901176</v>
      </c>
      <c r="X54" s="97">
        <f t="shared" si="0"/>
        <v>36.07922813107028</v>
      </c>
      <c r="Y54" s="97">
        <f t="shared" si="1"/>
        <v>0</v>
      </c>
      <c r="Z54" s="97">
        <f t="shared" si="2"/>
        <v>0</v>
      </c>
      <c r="AA54" s="97">
        <f t="shared" si="3"/>
        <v>0</v>
      </c>
      <c r="AB54" s="97">
        <f t="shared" si="4"/>
        <v>0</v>
      </c>
      <c r="AC54" s="97">
        <f t="shared" si="5"/>
        <v>0</v>
      </c>
      <c r="AD54" s="97">
        <f t="shared" si="6"/>
        <v>0</v>
      </c>
    </row>
    <row r="55" spans="1:30" x14ac:dyDescent="0.25">
      <c r="A55" s="99"/>
      <c r="B55" s="99"/>
      <c r="N55" s="99"/>
      <c r="O55" s="99"/>
      <c r="T55" s="97">
        <v>51</v>
      </c>
      <c r="U55" s="97">
        <f t="shared" si="7"/>
        <v>102.91598256160322</v>
      </c>
      <c r="V55" s="97">
        <f t="shared" si="8"/>
        <v>129.68831330098959</v>
      </c>
      <c r="W55" s="97">
        <f t="shared" si="9"/>
        <v>0</v>
      </c>
      <c r="X55" s="97">
        <f t="shared" si="0"/>
        <v>36.07922813107028</v>
      </c>
      <c r="Y55" s="97">
        <f t="shared" si="1"/>
        <v>0</v>
      </c>
      <c r="Z55" s="97">
        <f t="shared" si="2"/>
        <v>0</v>
      </c>
      <c r="AA55" s="97">
        <f t="shared" si="3"/>
        <v>0</v>
      </c>
      <c r="AB55" s="97">
        <f t="shared" si="4"/>
        <v>0</v>
      </c>
      <c r="AC55" s="97">
        <f t="shared" si="5"/>
        <v>0</v>
      </c>
      <c r="AD55" s="97">
        <f t="shared" si="6"/>
        <v>0</v>
      </c>
    </row>
    <row r="56" spans="1:30" x14ac:dyDescent="0.25">
      <c r="A56" s="99"/>
      <c r="B56" s="99"/>
      <c r="N56" s="99"/>
      <c r="O56" s="99"/>
      <c r="T56" s="97">
        <v>52</v>
      </c>
      <c r="U56" s="97">
        <f t="shared" si="7"/>
        <v>103.45136902413198</v>
      </c>
      <c r="V56" s="97">
        <f t="shared" si="8"/>
        <v>129.77185907360223</v>
      </c>
      <c r="W56" s="97">
        <f t="shared" si="9"/>
        <v>0</v>
      </c>
      <c r="X56" s="97">
        <f t="shared" si="0"/>
        <v>36.07922813107028</v>
      </c>
      <c r="Y56" s="97">
        <f t="shared" si="1"/>
        <v>0</v>
      </c>
      <c r="Z56" s="97">
        <f t="shared" si="2"/>
        <v>0</v>
      </c>
      <c r="AA56" s="97">
        <f t="shared" si="3"/>
        <v>0</v>
      </c>
      <c r="AB56" s="97">
        <f t="shared" si="4"/>
        <v>0</v>
      </c>
      <c r="AC56" s="97">
        <f t="shared" si="5"/>
        <v>0</v>
      </c>
      <c r="AD56" s="97">
        <f t="shared" si="6"/>
        <v>0</v>
      </c>
    </row>
    <row r="57" spans="1:30" x14ac:dyDescent="0.25">
      <c r="A57" s="99"/>
      <c r="B57" s="99"/>
      <c r="N57" s="99"/>
      <c r="O57" s="99"/>
      <c r="T57" s="97">
        <v>53</v>
      </c>
      <c r="U57" s="97">
        <f t="shared" si="7"/>
        <v>103.98734445491006</v>
      </c>
      <c r="V57" s="97">
        <f t="shared" si="8"/>
        <v>129.87492851723462</v>
      </c>
      <c r="W57" s="97">
        <f t="shared" si="9"/>
        <v>0</v>
      </c>
      <c r="X57" s="97">
        <f t="shared" si="0"/>
        <v>36.07922813107028</v>
      </c>
      <c r="Y57" s="97">
        <f t="shared" si="1"/>
        <v>0</v>
      </c>
      <c r="Z57" s="97">
        <f t="shared" si="2"/>
        <v>0</v>
      </c>
      <c r="AA57" s="97">
        <f t="shared" si="3"/>
        <v>0</v>
      </c>
      <c r="AB57" s="97">
        <f t="shared" si="4"/>
        <v>0</v>
      </c>
      <c r="AC57" s="97">
        <f t="shared" si="5"/>
        <v>0</v>
      </c>
      <c r="AD57" s="97">
        <f t="shared" si="6"/>
        <v>0</v>
      </c>
    </row>
    <row r="58" spans="1:30" x14ac:dyDescent="0.25">
      <c r="A58" s="99"/>
      <c r="B58" s="99"/>
      <c r="N58" s="99"/>
      <c r="O58" s="99"/>
      <c r="T58" s="97">
        <v>54</v>
      </c>
      <c r="U58" s="97">
        <f t="shared" si="7"/>
        <v>101.13699215548851</v>
      </c>
      <c r="V58" s="97">
        <f t="shared" si="8"/>
        <v>129.99775217131244</v>
      </c>
      <c r="W58" s="97">
        <f t="shared" si="9"/>
        <v>592.73017643901176</v>
      </c>
      <c r="X58" s="97">
        <f t="shared" si="0"/>
        <v>36.07922813107028</v>
      </c>
      <c r="Y58" s="97">
        <f t="shared" si="1"/>
        <v>0</v>
      </c>
      <c r="Z58" s="97">
        <f t="shared" si="2"/>
        <v>0</v>
      </c>
      <c r="AA58" s="97">
        <f t="shared" si="3"/>
        <v>0</v>
      </c>
      <c r="AB58" s="97">
        <f t="shared" si="4"/>
        <v>0</v>
      </c>
      <c r="AC58" s="97">
        <f t="shared" si="5"/>
        <v>0</v>
      </c>
      <c r="AD58" s="97">
        <f t="shared" si="6"/>
        <v>0</v>
      </c>
    </row>
    <row r="59" spans="1:30" x14ac:dyDescent="0.25">
      <c r="A59" s="99"/>
      <c r="B59" s="99"/>
      <c r="N59" s="99"/>
      <c r="O59" s="99"/>
      <c r="T59" s="97">
        <v>55</v>
      </c>
      <c r="U59" s="97">
        <f t="shared" si="7"/>
        <v>101.67121533866866</v>
      </c>
      <c r="V59" s="97">
        <f t="shared" si="8"/>
        <v>129.56828518759653</v>
      </c>
      <c r="W59" s="97">
        <f t="shared" si="9"/>
        <v>0</v>
      </c>
      <c r="X59" s="97">
        <f t="shared" si="0"/>
        <v>36.07922813107028</v>
      </c>
      <c r="Y59" s="97">
        <f t="shared" si="1"/>
        <v>0</v>
      </c>
      <c r="Z59" s="97">
        <f t="shared" si="2"/>
        <v>0</v>
      </c>
      <c r="AA59" s="97">
        <f t="shared" si="3"/>
        <v>0</v>
      </c>
      <c r="AB59" s="97">
        <f t="shared" si="4"/>
        <v>0</v>
      </c>
      <c r="AC59" s="97">
        <f t="shared" si="5"/>
        <v>0</v>
      </c>
      <c r="AD59" s="97">
        <f t="shared" si="6"/>
        <v>0</v>
      </c>
    </row>
    <row r="60" spans="1:30" x14ac:dyDescent="0.25">
      <c r="A60" s="99"/>
      <c r="B60" s="99"/>
      <c r="N60" s="99"/>
      <c r="O60" s="99"/>
      <c r="T60" s="97">
        <v>56</v>
      </c>
      <c r="U60" s="97">
        <f t="shared" si="7"/>
        <v>102.20566075626395</v>
      </c>
      <c r="V60" s="97">
        <f t="shared" si="8"/>
        <v>129.60717621024921</v>
      </c>
      <c r="W60" s="97">
        <f t="shared" si="9"/>
        <v>0</v>
      </c>
      <c r="X60" s="97">
        <f t="shared" si="0"/>
        <v>36.07922813107028</v>
      </c>
      <c r="Y60" s="97">
        <f t="shared" si="1"/>
        <v>0</v>
      </c>
      <c r="Z60" s="97">
        <f t="shared" si="2"/>
        <v>0</v>
      </c>
      <c r="AA60" s="97">
        <f t="shared" si="3"/>
        <v>0</v>
      </c>
      <c r="AB60" s="97">
        <f t="shared" si="4"/>
        <v>0</v>
      </c>
      <c r="AC60" s="97">
        <f t="shared" si="5"/>
        <v>0</v>
      </c>
      <c r="AD60" s="97">
        <f t="shared" si="6"/>
        <v>0</v>
      </c>
    </row>
    <row r="61" spans="1:30" x14ac:dyDescent="0.25">
      <c r="A61" s="99"/>
      <c r="B61" s="99"/>
      <c r="N61" s="99"/>
      <c r="O61" s="99"/>
      <c r="T61" s="97">
        <v>57</v>
      </c>
      <c r="U61" s="97">
        <f t="shared" si="7"/>
        <v>99.353407700463592</v>
      </c>
      <c r="V61" s="97">
        <f t="shared" si="8"/>
        <v>129.66511980502094</v>
      </c>
      <c r="W61" s="97">
        <f t="shared" si="9"/>
        <v>592.73017643901176</v>
      </c>
      <c r="X61" s="97">
        <f t="shared" si="0"/>
        <v>36.07922813107028</v>
      </c>
      <c r="Y61" s="97">
        <f t="shared" si="1"/>
        <v>0</v>
      </c>
      <c r="Z61" s="97">
        <f t="shared" si="2"/>
        <v>0</v>
      </c>
      <c r="AA61" s="97">
        <f t="shared" si="3"/>
        <v>0</v>
      </c>
      <c r="AB61" s="97">
        <f t="shared" si="4"/>
        <v>0</v>
      </c>
      <c r="AC61" s="97">
        <f t="shared" si="5"/>
        <v>0</v>
      </c>
      <c r="AD61" s="97">
        <f t="shared" si="6"/>
        <v>0</v>
      </c>
    </row>
    <row r="62" spans="1:30" x14ac:dyDescent="0.25">
      <c r="A62" s="99"/>
      <c r="B62" s="99"/>
      <c r="N62" s="99"/>
      <c r="O62" s="99"/>
      <c r="T62" s="97">
        <v>58</v>
      </c>
      <c r="U62" s="97">
        <f t="shared" si="7"/>
        <v>99.88766525184235</v>
      </c>
      <c r="V62" s="97">
        <f t="shared" si="8"/>
        <v>129.57429962235273</v>
      </c>
      <c r="W62" s="97">
        <f t="shared" si="9"/>
        <v>0</v>
      </c>
      <c r="X62" s="97">
        <f t="shared" si="0"/>
        <v>36.07922813107028</v>
      </c>
      <c r="Y62" s="97">
        <f t="shared" si="1"/>
        <v>0</v>
      </c>
      <c r="Z62" s="97">
        <f t="shared" si="2"/>
        <v>0</v>
      </c>
      <c r="AA62" s="97">
        <f t="shared" si="3"/>
        <v>0</v>
      </c>
      <c r="AB62" s="97">
        <f t="shared" si="4"/>
        <v>0</v>
      </c>
      <c r="AC62" s="97">
        <f t="shared" si="5"/>
        <v>0</v>
      </c>
      <c r="AD62" s="97">
        <f t="shared" si="6"/>
        <v>0</v>
      </c>
    </row>
    <row r="63" spans="1:30" x14ac:dyDescent="0.25">
      <c r="A63" s="99"/>
      <c r="B63" s="99"/>
      <c r="N63" s="99"/>
      <c r="O63" s="99"/>
      <c r="T63" s="97">
        <v>59</v>
      </c>
      <c r="U63" s="97">
        <f t="shared" si="7"/>
        <v>100.42178827784934</v>
      </c>
      <c r="V63" s="97">
        <f t="shared" si="8"/>
        <v>129.55075768229642</v>
      </c>
      <c r="W63" s="97">
        <f t="shared" si="9"/>
        <v>0</v>
      </c>
      <c r="X63" s="97">
        <f t="shared" si="0"/>
        <v>36.07922813107028</v>
      </c>
      <c r="Y63" s="97">
        <f t="shared" si="1"/>
        <v>0</v>
      </c>
      <c r="Z63" s="97">
        <f t="shared" si="2"/>
        <v>0</v>
      </c>
      <c r="AA63" s="97">
        <f t="shared" si="3"/>
        <v>0</v>
      </c>
      <c r="AB63" s="97">
        <f t="shared" si="4"/>
        <v>0</v>
      </c>
      <c r="AC63" s="97">
        <f t="shared" si="5"/>
        <v>0</v>
      </c>
      <c r="AD63" s="97">
        <f t="shared" si="6"/>
        <v>0</v>
      </c>
    </row>
    <row r="64" spans="1:30" x14ac:dyDescent="0.25">
      <c r="A64" s="99"/>
      <c r="B64" s="99"/>
      <c r="N64" s="99"/>
      <c r="O64" s="99"/>
      <c r="T64" s="97">
        <v>60</v>
      </c>
      <c r="U64" s="97">
        <f t="shared" si="7"/>
        <v>100.95588264171327</v>
      </c>
      <c r="V64" s="97">
        <f t="shared" si="8"/>
        <v>129.54574180725825</v>
      </c>
      <c r="W64" s="97">
        <f t="shared" si="9"/>
        <v>0</v>
      </c>
      <c r="X64" s="97">
        <f t="shared" si="0"/>
        <v>36.07922813107028</v>
      </c>
      <c r="Y64" s="97">
        <f t="shared" si="1"/>
        <v>0</v>
      </c>
      <c r="Z64" s="97">
        <f t="shared" si="2"/>
        <v>0</v>
      </c>
      <c r="AA64" s="97">
        <f t="shared" si="3"/>
        <v>0</v>
      </c>
      <c r="AB64" s="97">
        <f t="shared" si="4"/>
        <v>0</v>
      </c>
      <c r="AC64" s="97">
        <f t="shared" si="5"/>
        <v>0</v>
      </c>
      <c r="AD64" s="97">
        <f t="shared" si="6"/>
        <v>0</v>
      </c>
    </row>
    <row r="65" spans="1:30" x14ac:dyDescent="0.25">
      <c r="A65" s="99"/>
      <c r="B65" s="99"/>
      <c r="N65" s="99"/>
      <c r="O65" s="99"/>
      <c r="T65" s="97">
        <v>61</v>
      </c>
      <c r="U65" s="97">
        <f t="shared" si="7"/>
        <v>98.103025427683704</v>
      </c>
      <c r="V65" s="97">
        <f t="shared" si="8"/>
        <v>129.55939211490718</v>
      </c>
      <c r="W65" s="97">
        <f t="shared" si="9"/>
        <v>592.73017643901176</v>
      </c>
      <c r="X65" s="97">
        <f t="shared" si="0"/>
        <v>36.07922813107028</v>
      </c>
      <c r="Y65" s="97">
        <f t="shared" si="1"/>
        <v>0</v>
      </c>
      <c r="Z65" s="97">
        <f t="shared" si="2"/>
        <v>0</v>
      </c>
      <c r="AA65" s="97">
        <f t="shared" si="3"/>
        <v>0</v>
      </c>
      <c r="AB65" s="97">
        <f t="shared" si="4"/>
        <v>0</v>
      </c>
      <c r="AC65" s="97">
        <f t="shared" si="5"/>
        <v>0</v>
      </c>
      <c r="AD65" s="97">
        <f t="shared" si="6"/>
        <v>0</v>
      </c>
    </row>
    <row r="66" spans="1:30" x14ac:dyDescent="0.25">
      <c r="A66" s="99"/>
      <c r="B66" s="99"/>
      <c r="N66" s="99"/>
      <c r="O66" s="99"/>
      <c r="T66" s="97">
        <v>62</v>
      </c>
      <c r="U66" s="97">
        <f t="shared" si="7"/>
        <v>98.638006825469077</v>
      </c>
      <c r="V66" s="97">
        <f t="shared" si="8"/>
        <v>129.70097274350945</v>
      </c>
      <c r="W66" s="97">
        <f t="shared" si="9"/>
        <v>0</v>
      </c>
      <c r="X66" s="97">
        <f t="shared" si="0"/>
        <v>36.07922813107028</v>
      </c>
      <c r="Y66" s="97">
        <f t="shared" si="1"/>
        <v>0</v>
      </c>
      <c r="Z66" s="97">
        <f t="shared" si="2"/>
        <v>0</v>
      </c>
      <c r="AA66" s="97">
        <f t="shared" si="3"/>
        <v>0</v>
      </c>
      <c r="AB66" s="97">
        <f t="shared" si="4"/>
        <v>0</v>
      </c>
      <c r="AC66" s="97">
        <f t="shared" si="5"/>
        <v>0</v>
      </c>
      <c r="AD66" s="97">
        <f t="shared" si="6"/>
        <v>0</v>
      </c>
    </row>
    <row r="67" spans="1:30" x14ac:dyDescent="0.25">
      <c r="A67" s="99"/>
      <c r="B67" s="99"/>
      <c r="N67" s="99"/>
      <c r="O67" s="99"/>
      <c r="T67" s="97">
        <v>63</v>
      </c>
      <c r="U67" s="97">
        <f t="shared" si="7"/>
        <v>99.172608820928744</v>
      </c>
      <c r="V67" s="97">
        <f t="shared" si="8"/>
        <v>129.63457733651521</v>
      </c>
      <c r="W67" s="97">
        <f t="shared" si="9"/>
        <v>0</v>
      </c>
      <c r="X67" s="97">
        <f t="shared" si="0"/>
        <v>36.07922813107028</v>
      </c>
      <c r="Y67" s="97">
        <f t="shared" si="1"/>
        <v>0</v>
      </c>
      <c r="Z67" s="97">
        <f t="shared" si="2"/>
        <v>0</v>
      </c>
      <c r="AA67" s="97">
        <f t="shared" si="3"/>
        <v>0</v>
      </c>
      <c r="AB67" s="97">
        <f t="shared" si="4"/>
        <v>0</v>
      </c>
      <c r="AC67" s="97">
        <f t="shared" si="5"/>
        <v>0</v>
      </c>
      <c r="AD67" s="97">
        <f t="shared" si="6"/>
        <v>0</v>
      </c>
    </row>
    <row r="68" spans="1:30" x14ac:dyDescent="0.25">
      <c r="A68" s="99"/>
      <c r="B68" s="99"/>
      <c r="N68" s="99"/>
      <c r="O68" s="99"/>
      <c r="T68" s="97">
        <v>64</v>
      </c>
      <c r="U68" s="97">
        <f t="shared" si="7"/>
        <v>96.319906142481983</v>
      </c>
      <c r="V68" s="97">
        <f t="shared" si="8"/>
        <v>129.5864358418979</v>
      </c>
      <c r="W68" s="97">
        <f t="shared" si="9"/>
        <v>592.73017643901176</v>
      </c>
      <c r="X68" s="97">
        <f t="shared" ref="X68:X131" si="12">IFERROR(IF(AND($T68&gt;=D$13, $T68&lt;=D$14), IF(D$12&gt;1, IF(MOD($T68-D$13, D$12)&lt;1, 1, 0), 1/D$12)*PI()*D$7/4*(D$5^2*D$8+(D$5^2-D$6^2)*D$10), 0), 0)</f>
        <v>36.07922813107028</v>
      </c>
      <c r="Y68" s="97">
        <f t="shared" ref="Y68:Y131" si="13">IFERROR(IF(AND($T68&gt;=E$13, $T68&lt;=E$14), IF(E$12&gt;1, IF(MOD($T68-E$13, E$12)&lt;1, 1, 0), 1/E$12)*PI()*E$7/4*(E$5^2*E$8+(E$5^2-E$6^2)*E$10), 0), 0)</f>
        <v>0</v>
      </c>
      <c r="Z68" s="97">
        <f t="shared" ref="Z68:Z131" si="14">IFERROR(IF(AND($T68&gt;=F$13, $T68&lt;=F$14), IF(F$12&gt;1, IF(MOD($T68-F$13, F$12)&lt;1, 1, 0), 1/F$12)*PI()*F$7/4*(F$5^2*F$8+(F$5^2-F$6^2)*F$10), 0), 0)</f>
        <v>0</v>
      </c>
      <c r="AA68" s="97">
        <f t="shared" ref="AA68:AA131" si="15">IFERROR(IF(AND($T68&gt;=G$13, $T68&lt;=G$14), IF(G$12&gt;1, IF(MOD($T68-G$13, G$12)&lt;1, 1, 0), 1/G$12)*PI()*G$7/4*(G$5^2*G$8+(G$5^2-G$6^2)*G$10), 0), 0)</f>
        <v>0</v>
      </c>
      <c r="AB68" s="97">
        <f t="shared" ref="AB68:AB131" si="16">IFERROR(IF(AND($T68&gt;=H$13, $T68&lt;=H$14), IF(H$12&gt;1, IF(MOD($T68-H$13, H$12)&lt;1, 1, 0), 1/H$12)*PI()*H$7/4*(H$5^2*H$8+(H$5^2-H$6^2)*H$10), 0), 0)</f>
        <v>0</v>
      </c>
      <c r="AC68" s="97">
        <f t="shared" ref="AC68:AC131" si="17">IFERROR(IF(AND($T68&gt;=I$13, $T68&lt;=I$14), IF(I$12&gt;1, IF(MOD($T68-I$13, I$12)&lt;1, 1, 0), 1/I$12)*PI()*I$7/4*(I$5^2*I$8+(I$5^2-I$6^2)*I$10), 0), 0)</f>
        <v>0</v>
      </c>
      <c r="AD68" s="97">
        <f t="shared" ref="AD68:AD131" si="18">IFERROR(IF(AND($T68&gt;=J$13, $T68&lt;=J$14), IF(J$12&gt;1, IF(MOD($T68-J$13, J$12)&lt;1, 1, 0), 1/J$12)*PI()*J$7/4*(J$5^2*J$8+(J$5^2-J$6^2)*J$10), 0), 0)</f>
        <v>0</v>
      </c>
    </row>
    <row r="69" spans="1:30" x14ac:dyDescent="0.25">
      <c r="A69" s="99"/>
      <c r="B69" s="99"/>
      <c r="N69" s="99"/>
      <c r="O69" s="99"/>
      <c r="T69" s="97">
        <v>65</v>
      </c>
      <c r="U69" s="97">
        <f t="shared" ref="U69:U132" si="19">MAX((U68*$M$7+V69-SUM(W69:AD69))/$M$7, 0)</f>
        <v>96.856893160880716</v>
      </c>
      <c r="V69" s="97">
        <f t="shared" ref="V69:V132" si="20">IF(U68&gt;=120, 0, $O$9*U68^3+$P$9*U68^2+$Q$9*U68+$R$9)*12^3/60*14.7</f>
        <v>130.05195635085022</v>
      </c>
      <c r="W69" s="97">
        <f t="shared" ref="W69:W132" si="21">IFERROR(IF(AND($T69&gt;=C$13, $T69&lt;=C$14), IF(C$12&gt;1, IF(MOD($T69-C$13, C$12)&lt;1, 1, 0), 1/C$12)*PI()*C$7/4*(C$5^2*C$8+(C$5^2-C$6^2)*C$10), 0), 0)</f>
        <v>0</v>
      </c>
      <c r="X69" s="97">
        <f t="shared" si="12"/>
        <v>36.07922813107028</v>
      </c>
      <c r="Y69" s="97">
        <f t="shared" si="13"/>
        <v>0</v>
      </c>
      <c r="Z69" s="97">
        <f t="shared" si="14"/>
        <v>0</v>
      </c>
      <c r="AA69" s="97">
        <f t="shared" si="15"/>
        <v>0</v>
      </c>
      <c r="AB69" s="97">
        <f t="shared" si="16"/>
        <v>0</v>
      </c>
      <c r="AC69" s="97">
        <f t="shared" si="17"/>
        <v>0</v>
      </c>
      <c r="AD69" s="97">
        <f t="shared" si="18"/>
        <v>0</v>
      </c>
    </row>
    <row r="70" spans="1:30" x14ac:dyDescent="0.25">
      <c r="A70" s="99"/>
      <c r="B70" s="99"/>
      <c r="N70" s="99"/>
      <c r="O70" s="99"/>
      <c r="T70" s="97">
        <v>66</v>
      </c>
      <c r="U70" s="97">
        <f t="shared" si="19"/>
        <v>97.393157332391809</v>
      </c>
      <c r="V70" s="97">
        <f t="shared" si="20"/>
        <v>129.92545814551238</v>
      </c>
      <c r="W70" s="97">
        <f t="shared" si="21"/>
        <v>0</v>
      </c>
      <c r="X70" s="97">
        <f t="shared" si="12"/>
        <v>36.07922813107028</v>
      </c>
      <c r="Y70" s="97">
        <f t="shared" si="13"/>
        <v>0</v>
      </c>
      <c r="Z70" s="97">
        <f t="shared" si="14"/>
        <v>0</v>
      </c>
      <c r="AA70" s="97">
        <f t="shared" si="15"/>
        <v>0</v>
      </c>
      <c r="AB70" s="97">
        <f t="shared" si="16"/>
        <v>0</v>
      </c>
      <c r="AC70" s="97">
        <f t="shared" si="17"/>
        <v>0</v>
      </c>
      <c r="AD70" s="97">
        <f t="shared" si="18"/>
        <v>0</v>
      </c>
    </row>
    <row r="71" spans="1:30" x14ac:dyDescent="0.25">
      <c r="A71" s="99"/>
      <c r="B71" s="99"/>
      <c r="N71" s="99"/>
      <c r="O71" s="99"/>
      <c r="T71" s="97">
        <v>67</v>
      </c>
      <c r="U71" s="97">
        <f t="shared" si="19"/>
        <v>97.928801474717602</v>
      </c>
      <c r="V71" s="97">
        <f t="shared" si="20"/>
        <v>129.8169530380832</v>
      </c>
      <c r="W71" s="97">
        <f t="shared" si="21"/>
        <v>0</v>
      </c>
      <c r="X71" s="97">
        <f t="shared" si="12"/>
        <v>36.07922813107028</v>
      </c>
      <c r="Y71" s="97">
        <f t="shared" si="13"/>
        <v>0</v>
      </c>
      <c r="Z71" s="97">
        <f t="shared" si="14"/>
        <v>0</v>
      </c>
      <c r="AA71" s="97">
        <f t="shared" si="15"/>
        <v>0</v>
      </c>
      <c r="AB71" s="97">
        <f t="shared" si="16"/>
        <v>0</v>
      </c>
      <c r="AC71" s="97">
        <f t="shared" si="17"/>
        <v>0</v>
      </c>
      <c r="AD71" s="97">
        <f t="shared" si="18"/>
        <v>0</v>
      </c>
    </row>
    <row r="72" spans="1:30" x14ac:dyDescent="0.25">
      <c r="A72" s="99"/>
      <c r="B72" s="99"/>
      <c r="N72" s="99"/>
      <c r="O72" s="99"/>
      <c r="T72" s="97">
        <v>68</v>
      </c>
      <c r="U72" s="97">
        <f t="shared" si="19"/>
        <v>95.076899188455599</v>
      </c>
      <c r="V72" s="97">
        <f t="shared" si="20"/>
        <v>129.72650447423024</v>
      </c>
      <c r="W72" s="97">
        <f t="shared" si="21"/>
        <v>592.73017643901176</v>
      </c>
      <c r="X72" s="97">
        <f t="shared" si="12"/>
        <v>36.07922813107028</v>
      </c>
      <c r="Y72" s="97">
        <f t="shared" si="13"/>
        <v>0</v>
      </c>
      <c r="Z72" s="97">
        <f t="shared" si="14"/>
        <v>0</v>
      </c>
      <c r="AA72" s="97">
        <f t="shared" si="15"/>
        <v>0</v>
      </c>
      <c r="AB72" s="97">
        <f t="shared" si="16"/>
        <v>0</v>
      </c>
      <c r="AC72" s="97">
        <f t="shared" si="17"/>
        <v>0</v>
      </c>
      <c r="AD72" s="97">
        <f t="shared" si="18"/>
        <v>0</v>
      </c>
    </row>
    <row r="73" spans="1:30" x14ac:dyDescent="0.25">
      <c r="A73" s="99"/>
      <c r="B73" s="99"/>
      <c r="N73" s="99"/>
      <c r="O73" s="99"/>
      <c r="T73" s="97">
        <v>69</v>
      </c>
      <c r="U73" s="97">
        <f t="shared" si="19"/>
        <v>95.6159461633832</v>
      </c>
      <c r="V73" s="97">
        <f t="shared" si="20"/>
        <v>130.41244874340185</v>
      </c>
      <c r="W73" s="97">
        <f t="shared" si="21"/>
        <v>0</v>
      </c>
      <c r="X73" s="97">
        <f t="shared" si="12"/>
        <v>36.07922813107028</v>
      </c>
      <c r="Y73" s="97">
        <f t="shared" si="13"/>
        <v>0</v>
      </c>
      <c r="Z73" s="97">
        <f t="shared" si="14"/>
        <v>0</v>
      </c>
      <c r="AA73" s="97">
        <f t="shared" si="15"/>
        <v>0</v>
      </c>
      <c r="AB73" s="97">
        <f t="shared" si="16"/>
        <v>0</v>
      </c>
      <c r="AC73" s="97">
        <f t="shared" si="17"/>
        <v>0</v>
      </c>
      <c r="AD73" s="97">
        <f t="shared" si="18"/>
        <v>0</v>
      </c>
    </row>
    <row r="74" spans="1:30" x14ac:dyDescent="0.25">
      <c r="A74" s="99"/>
      <c r="B74" s="99"/>
      <c r="N74" s="99"/>
      <c r="O74" s="99"/>
      <c r="T74" s="97">
        <v>70</v>
      </c>
      <c r="U74" s="97">
        <f t="shared" si="19"/>
        <v>96.154033924162675</v>
      </c>
      <c r="V74" s="97">
        <f t="shared" si="20"/>
        <v>130.2445862674808</v>
      </c>
      <c r="W74" s="97">
        <f t="shared" si="21"/>
        <v>0</v>
      </c>
      <c r="X74" s="97">
        <f t="shared" si="12"/>
        <v>36.07922813107028</v>
      </c>
      <c r="Y74" s="97">
        <f t="shared" si="13"/>
        <v>0</v>
      </c>
      <c r="Z74" s="97">
        <f t="shared" si="14"/>
        <v>0</v>
      </c>
      <c r="AA74" s="97">
        <f t="shared" si="15"/>
        <v>0</v>
      </c>
      <c r="AB74" s="97">
        <f t="shared" si="16"/>
        <v>0</v>
      </c>
      <c r="AC74" s="97">
        <f t="shared" si="17"/>
        <v>0</v>
      </c>
      <c r="AD74" s="97">
        <f t="shared" si="18"/>
        <v>0</v>
      </c>
    </row>
    <row r="75" spans="1:30" x14ac:dyDescent="0.25">
      <c r="A75" s="99"/>
      <c r="B75" s="99"/>
      <c r="N75" s="99"/>
      <c r="O75" s="99"/>
      <c r="T75" s="97">
        <v>71</v>
      </c>
      <c r="U75" s="97">
        <f t="shared" si="19"/>
        <v>93.30423514114608</v>
      </c>
      <c r="V75" s="97">
        <f t="shared" si="20"/>
        <v>130.09461754217702</v>
      </c>
      <c r="W75" s="97">
        <f t="shared" si="21"/>
        <v>592.73017643901176</v>
      </c>
      <c r="X75" s="97">
        <f t="shared" si="12"/>
        <v>36.07922813107028</v>
      </c>
      <c r="Y75" s="97">
        <f t="shared" si="13"/>
        <v>0</v>
      </c>
      <c r="Z75" s="97">
        <f t="shared" si="14"/>
        <v>0</v>
      </c>
      <c r="AA75" s="97">
        <f t="shared" si="15"/>
        <v>0</v>
      </c>
      <c r="AB75" s="97">
        <f t="shared" si="16"/>
        <v>0</v>
      </c>
      <c r="AC75" s="97">
        <f t="shared" si="17"/>
        <v>0</v>
      </c>
      <c r="AD75" s="97">
        <f t="shared" si="18"/>
        <v>0</v>
      </c>
    </row>
    <row r="76" spans="1:30" x14ac:dyDescent="0.25">
      <c r="A76" s="99"/>
      <c r="B76" s="99"/>
      <c r="N76" s="99"/>
      <c r="O76" s="99"/>
      <c r="T76" s="97">
        <v>72</v>
      </c>
      <c r="U76" s="97">
        <f t="shared" si="19"/>
        <v>93.847136455199688</v>
      </c>
      <c r="V76" s="97">
        <f t="shared" si="20"/>
        <v>131.08695809045392</v>
      </c>
      <c r="W76" s="97">
        <f t="shared" si="21"/>
        <v>0</v>
      </c>
      <c r="X76" s="97">
        <f t="shared" si="12"/>
        <v>36.07922813107028</v>
      </c>
      <c r="Y76" s="97">
        <f t="shared" si="13"/>
        <v>0</v>
      </c>
      <c r="Z76" s="97">
        <f t="shared" si="14"/>
        <v>0</v>
      </c>
      <c r="AA76" s="97">
        <f t="shared" si="15"/>
        <v>0</v>
      </c>
      <c r="AB76" s="97">
        <f t="shared" si="16"/>
        <v>0</v>
      </c>
      <c r="AC76" s="97">
        <f t="shared" si="17"/>
        <v>0</v>
      </c>
      <c r="AD76" s="97">
        <f t="shared" si="18"/>
        <v>0</v>
      </c>
    </row>
    <row r="77" spans="1:30" x14ac:dyDescent="0.25">
      <c r="A77" s="99"/>
      <c r="B77" s="99"/>
      <c r="N77" s="99"/>
      <c r="O77" s="99"/>
      <c r="T77" s="97">
        <v>73</v>
      </c>
      <c r="U77" s="97">
        <f t="shared" si="19"/>
        <v>94.388744394432408</v>
      </c>
      <c r="V77" s="97">
        <f t="shared" si="20"/>
        <v>130.86061749679774</v>
      </c>
      <c r="W77" s="97">
        <f t="shared" si="21"/>
        <v>0</v>
      </c>
      <c r="X77" s="97">
        <f t="shared" si="12"/>
        <v>36.07922813107028</v>
      </c>
      <c r="Y77" s="97">
        <f t="shared" si="13"/>
        <v>0</v>
      </c>
      <c r="Z77" s="97">
        <f t="shared" si="14"/>
        <v>0</v>
      </c>
      <c r="AA77" s="97">
        <f t="shared" si="15"/>
        <v>0</v>
      </c>
      <c r="AB77" s="97">
        <f t="shared" si="16"/>
        <v>0</v>
      </c>
      <c r="AC77" s="97">
        <f t="shared" si="17"/>
        <v>0</v>
      </c>
      <c r="AD77" s="97">
        <f t="shared" si="18"/>
        <v>0</v>
      </c>
    </row>
    <row r="78" spans="1:30" x14ac:dyDescent="0.25">
      <c r="A78" s="99"/>
      <c r="B78" s="99"/>
      <c r="N78" s="99"/>
      <c r="O78" s="99"/>
      <c r="T78" s="97">
        <v>74</v>
      </c>
      <c r="U78" s="97">
        <f t="shared" si="19"/>
        <v>94.929161019302001</v>
      </c>
      <c r="V78" s="97">
        <f t="shared" si="20"/>
        <v>130.65213748324837</v>
      </c>
      <c r="W78" s="97">
        <f t="shared" si="21"/>
        <v>0</v>
      </c>
      <c r="X78" s="97">
        <f t="shared" si="12"/>
        <v>36.07922813107028</v>
      </c>
      <c r="Y78" s="97">
        <f t="shared" si="13"/>
        <v>0</v>
      </c>
      <c r="Z78" s="97">
        <f t="shared" si="14"/>
        <v>0</v>
      </c>
      <c r="AA78" s="97">
        <f t="shared" si="15"/>
        <v>0</v>
      </c>
      <c r="AB78" s="97">
        <f t="shared" si="16"/>
        <v>0</v>
      </c>
      <c r="AC78" s="97">
        <f t="shared" si="17"/>
        <v>0</v>
      </c>
      <c r="AD78" s="97">
        <f t="shared" si="18"/>
        <v>0</v>
      </c>
    </row>
    <row r="79" spans="1:30" x14ac:dyDescent="0.25">
      <c r="A79" s="99"/>
      <c r="B79" s="99"/>
      <c r="N79" s="99"/>
      <c r="O79" s="99"/>
      <c r="T79" s="97">
        <v>75</v>
      </c>
      <c r="U79" s="97">
        <f t="shared" si="19"/>
        <v>92.081458794200216</v>
      </c>
      <c r="V79" s="97">
        <f t="shared" si="20"/>
        <v>130.46151517727094</v>
      </c>
      <c r="W79" s="97">
        <f t="shared" si="21"/>
        <v>592.73017643901176</v>
      </c>
      <c r="X79" s="97">
        <f t="shared" si="12"/>
        <v>36.07922813107028</v>
      </c>
      <c r="Y79" s="97">
        <f t="shared" si="13"/>
        <v>0</v>
      </c>
      <c r="Z79" s="97">
        <f t="shared" si="14"/>
        <v>0</v>
      </c>
      <c r="AA79" s="97">
        <f t="shared" si="15"/>
        <v>0</v>
      </c>
      <c r="AB79" s="97">
        <f t="shared" si="16"/>
        <v>0</v>
      </c>
      <c r="AC79" s="97">
        <f t="shared" si="17"/>
        <v>0</v>
      </c>
      <c r="AD79" s="97">
        <f t="shared" si="18"/>
        <v>0</v>
      </c>
    </row>
    <row r="80" spans="1:30" x14ac:dyDescent="0.25">
      <c r="A80" s="99"/>
      <c r="B80" s="99"/>
      <c r="N80" s="99"/>
      <c r="O80" s="99"/>
      <c r="T80" s="97">
        <v>76</v>
      </c>
      <c r="U80" s="97">
        <f t="shared" si="19"/>
        <v>92.627632335827229</v>
      </c>
      <c r="V80" s="97">
        <f t="shared" si="20"/>
        <v>131.65959791579721</v>
      </c>
      <c r="W80" s="97">
        <f t="shared" si="21"/>
        <v>0</v>
      </c>
      <c r="X80" s="97">
        <f t="shared" si="12"/>
        <v>36.07922813107028</v>
      </c>
      <c r="Y80" s="97">
        <f t="shared" si="13"/>
        <v>0</v>
      </c>
      <c r="Z80" s="97">
        <f t="shared" si="14"/>
        <v>0</v>
      </c>
      <c r="AA80" s="97">
        <f t="shared" si="15"/>
        <v>0</v>
      </c>
      <c r="AB80" s="97">
        <f t="shared" si="16"/>
        <v>0</v>
      </c>
      <c r="AC80" s="97">
        <f t="shared" si="17"/>
        <v>0</v>
      </c>
      <c r="AD80" s="97">
        <f t="shared" si="18"/>
        <v>0</v>
      </c>
    </row>
    <row r="81" spans="1:30" x14ac:dyDescent="0.25">
      <c r="A81" s="99"/>
      <c r="B81" s="99"/>
      <c r="N81" s="99"/>
      <c r="O81" s="99"/>
      <c r="T81" s="97">
        <v>77</v>
      </c>
      <c r="U81" s="97">
        <f t="shared" si="19"/>
        <v>93.172283229185197</v>
      </c>
      <c r="V81" s="97">
        <f t="shared" si="20"/>
        <v>131.39313446871265</v>
      </c>
      <c r="W81" s="97">
        <f t="shared" si="21"/>
        <v>0</v>
      </c>
      <c r="X81" s="97">
        <f t="shared" si="12"/>
        <v>36.07922813107028</v>
      </c>
      <c r="Y81" s="97">
        <f t="shared" si="13"/>
        <v>0</v>
      </c>
      <c r="Z81" s="97">
        <f t="shared" si="14"/>
        <v>0</v>
      </c>
      <c r="AA81" s="97">
        <f t="shared" si="15"/>
        <v>0</v>
      </c>
      <c r="AB81" s="97">
        <f t="shared" si="16"/>
        <v>0</v>
      </c>
      <c r="AC81" s="97">
        <f t="shared" si="17"/>
        <v>0</v>
      </c>
      <c r="AD81" s="97">
        <f t="shared" si="18"/>
        <v>0</v>
      </c>
    </row>
    <row r="82" spans="1:30" x14ac:dyDescent="0.25">
      <c r="A82" s="99"/>
      <c r="B82" s="99"/>
      <c r="N82" s="99"/>
      <c r="O82" s="99"/>
      <c r="T82" s="97">
        <v>78</v>
      </c>
      <c r="U82" s="97">
        <f t="shared" si="19"/>
        <v>90.328484221958377</v>
      </c>
      <c r="V82" s="97">
        <f t="shared" si="20"/>
        <v>131.14457830538748</v>
      </c>
      <c r="W82" s="97">
        <f t="shared" si="21"/>
        <v>592.73017643901176</v>
      </c>
      <c r="X82" s="97">
        <f t="shared" si="12"/>
        <v>36.07922813107028</v>
      </c>
      <c r="Y82" s="97">
        <f t="shared" si="13"/>
        <v>0</v>
      </c>
      <c r="Z82" s="97">
        <f t="shared" si="14"/>
        <v>0</v>
      </c>
      <c r="AA82" s="97">
        <f t="shared" si="15"/>
        <v>0</v>
      </c>
      <c r="AB82" s="97">
        <f t="shared" si="16"/>
        <v>0</v>
      </c>
      <c r="AC82" s="97">
        <f t="shared" si="17"/>
        <v>0</v>
      </c>
      <c r="AD82" s="97">
        <f t="shared" si="18"/>
        <v>0</v>
      </c>
    </row>
    <row r="83" spans="1:30" x14ac:dyDescent="0.25">
      <c r="A83" s="99"/>
      <c r="B83" s="99"/>
      <c r="N83" s="99"/>
      <c r="O83" s="99"/>
      <c r="T83" s="97">
        <v>79</v>
      </c>
      <c r="U83" s="97">
        <f t="shared" si="19"/>
        <v>90.880199437867745</v>
      </c>
      <c r="V83" s="97">
        <f t="shared" si="20"/>
        <v>132.62939091520943</v>
      </c>
      <c r="W83" s="97">
        <f t="shared" si="21"/>
        <v>0</v>
      </c>
      <c r="X83" s="97">
        <f t="shared" si="12"/>
        <v>36.07922813107028</v>
      </c>
      <c r="Y83" s="97">
        <f t="shared" si="13"/>
        <v>0</v>
      </c>
      <c r="Z83" s="97">
        <f t="shared" si="14"/>
        <v>0</v>
      </c>
      <c r="AA83" s="97">
        <f t="shared" si="15"/>
        <v>0</v>
      </c>
      <c r="AB83" s="97">
        <f t="shared" si="16"/>
        <v>0</v>
      </c>
      <c r="AC83" s="97">
        <f t="shared" si="17"/>
        <v>0</v>
      </c>
      <c r="AD83" s="97">
        <f t="shared" si="18"/>
        <v>0</v>
      </c>
    </row>
    <row r="84" spans="1:30" x14ac:dyDescent="0.25">
      <c r="A84" s="99"/>
      <c r="B84" s="99"/>
      <c r="N84" s="99"/>
      <c r="O84" s="99"/>
      <c r="T84" s="97">
        <v>80</v>
      </c>
      <c r="U84" s="97">
        <f t="shared" si="19"/>
        <v>91.430063949692041</v>
      </c>
      <c r="V84" s="97">
        <f t="shared" si="20"/>
        <v>132.30551770032042</v>
      </c>
      <c r="W84" s="97">
        <f t="shared" si="21"/>
        <v>0</v>
      </c>
      <c r="X84" s="97">
        <f t="shared" si="12"/>
        <v>36.07922813107028</v>
      </c>
      <c r="Y84" s="97">
        <f t="shared" si="13"/>
        <v>0</v>
      </c>
      <c r="Z84" s="97">
        <f t="shared" si="14"/>
        <v>0</v>
      </c>
      <c r="AA84" s="97">
        <f t="shared" si="15"/>
        <v>0</v>
      </c>
      <c r="AB84" s="97">
        <f t="shared" si="16"/>
        <v>0</v>
      </c>
      <c r="AC84" s="97">
        <f t="shared" si="17"/>
        <v>0</v>
      </c>
      <c r="AD84" s="97">
        <f t="shared" si="18"/>
        <v>0</v>
      </c>
    </row>
    <row r="85" spans="1:30" x14ac:dyDescent="0.25">
      <c r="A85" s="99"/>
      <c r="B85" s="99"/>
      <c r="N85" s="99"/>
      <c r="O85" s="99"/>
      <c r="T85" s="97">
        <v>81</v>
      </c>
      <c r="U85" s="97">
        <f t="shared" si="19"/>
        <v>91.978180993957892</v>
      </c>
      <c r="V85" s="97">
        <f t="shared" si="20"/>
        <v>131.99971087759565</v>
      </c>
      <c r="W85" s="97">
        <f t="shared" si="21"/>
        <v>0</v>
      </c>
      <c r="X85" s="97">
        <f t="shared" si="12"/>
        <v>36.07922813107028</v>
      </c>
      <c r="Y85" s="97">
        <f t="shared" si="13"/>
        <v>0</v>
      </c>
      <c r="Z85" s="97">
        <f t="shared" si="14"/>
        <v>0</v>
      </c>
      <c r="AA85" s="97">
        <f t="shared" si="15"/>
        <v>0</v>
      </c>
      <c r="AB85" s="97">
        <f t="shared" si="16"/>
        <v>0</v>
      </c>
      <c r="AC85" s="97">
        <f t="shared" si="17"/>
        <v>0</v>
      </c>
      <c r="AD85" s="97">
        <f t="shared" si="18"/>
        <v>0</v>
      </c>
    </row>
    <row r="86" spans="1:30" x14ac:dyDescent="0.25">
      <c r="A86" s="99"/>
      <c r="B86" s="99"/>
      <c r="N86" s="99"/>
      <c r="O86" s="99"/>
      <c r="T86" s="97">
        <v>82</v>
      </c>
      <c r="U86" s="97">
        <f t="shared" si="19"/>
        <v>89.137623876913764</v>
      </c>
      <c r="V86" s="97">
        <f t="shared" si="20"/>
        <v>131.71190908736006</v>
      </c>
      <c r="W86" s="97">
        <f t="shared" si="21"/>
        <v>592.73017643901176</v>
      </c>
      <c r="X86" s="97">
        <f t="shared" si="12"/>
        <v>36.07922813107028</v>
      </c>
      <c r="Y86" s="97">
        <f t="shared" si="13"/>
        <v>0</v>
      </c>
      <c r="Z86" s="97">
        <f t="shared" si="14"/>
        <v>0</v>
      </c>
      <c r="AA86" s="97">
        <f t="shared" si="15"/>
        <v>0</v>
      </c>
      <c r="AB86" s="97">
        <f t="shared" si="16"/>
        <v>0</v>
      </c>
      <c r="AC86" s="97">
        <f t="shared" si="17"/>
        <v>0</v>
      </c>
      <c r="AD86" s="97">
        <f t="shared" si="18"/>
        <v>0</v>
      </c>
    </row>
    <row r="87" spans="1:30" x14ac:dyDescent="0.25">
      <c r="A87" s="99"/>
      <c r="B87" s="99"/>
      <c r="N87" s="99"/>
      <c r="O87" s="99"/>
      <c r="T87" s="97">
        <v>83</v>
      </c>
      <c r="U87" s="97">
        <f t="shared" si="19"/>
        <v>89.693661747041745</v>
      </c>
      <c r="V87" s="97">
        <f t="shared" si="20"/>
        <v>133.38585540346685</v>
      </c>
      <c r="W87" s="97">
        <f t="shared" si="21"/>
        <v>0</v>
      </c>
      <c r="X87" s="97">
        <f t="shared" si="12"/>
        <v>36.07922813107028</v>
      </c>
      <c r="Y87" s="97">
        <f t="shared" si="13"/>
        <v>0</v>
      </c>
      <c r="Z87" s="97">
        <f t="shared" si="14"/>
        <v>0</v>
      </c>
      <c r="AA87" s="97">
        <f t="shared" si="15"/>
        <v>0</v>
      </c>
      <c r="AB87" s="97">
        <f t="shared" si="16"/>
        <v>0</v>
      </c>
      <c r="AC87" s="97">
        <f t="shared" si="17"/>
        <v>0</v>
      </c>
      <c r="AD87" s="97">
        <f t="shared" si="18"/>
        <v>0</v>
      </c>
    </row>
    <row r="88" spans="1:30" x14ac:dyDescent="0.25">
      <c r="A88" s="99"/>
      <c r="B88" s="99"/>
      <c r="N88" s="99"/>
      <c r="O88" s="99"/>
      <c r="T88" s="97">
        <v>84</v>
      </c>
      <c r="U88" s="97">
        <f t="shared" si="19"/>
        <v>90.247625883093136</v>
      </c>
      <c r="V88" s="97">
        <f t="shared" si="20"/>
        <v>133.02295194006166</v>
      </c>
      <c r="W88" s="97">
        <f t="shared" si="21"/>
        <v>0</v>
      </c>
      <c r="X88" s="97">
        <f t="shared" si="12"/>
        <v>36.07922813107028</v>
      </c>
      <c r="Y88" s="97">
        <f t="shared" si="13"/>
        <v>0</v>
      </c>
      <c r="Z88" s="97">
        <f t="shared" si="14"/>
        <v>0</v>
      </c>
      <c r="AA88" s="97">
        <f t="shared" si="15"/>
        <v>0</v>
      </c>
      <c r="AB88" s="97">
        <f t="shared" si="16"/>
        <v>0</v>
      </c>
      <c r="AC88" s="97">
        <f t="shared" si="17"/>
        <v>0</v>
      </c>
      <c r="AD88" s="97">
        <f t="shared" si="18"/>
        <v>0</v>
      </c>
    </row>
    <row r="89" spans="1:30" x14ac:dyDescent="0.25">
      <c r="A89" s="99"/>
      <c r="B89" s="99"/>
      <c r="N89" s="99"/>
      <c r="O89" s="99"/>
      <c r="T89" s="97">
        <v>85</v>
      </c>
      <c r="U89" s="97">
        <f t="shared" si="19"/>
        <v>87.412590891873805</v>
      </c>
      <c r="V89" s="97">
        <f t="shared" si="20"/>
        <v>132.67828110669799</v>
      </c>
      <c r="W89" s="97">
        <f t="shared" si="21"/>
        <v>592.73017643901176</v>
      </c>
      <c r="X89" s="97">
        <f t="shared" si="12"/>
        <v>36.07922813107028</v>
      </c>
      <c r="Y89" s="97">
        <f t="shared" si="13"/>
        <v>0</v>
      </c>
      <c r="Z89" s="97">
        <f t="shared" si="14"/>
        <v>0</v>
      </c>
      <c r="AA89" s="97">
        <f t="shared" si="15"/>
        <v>0</v>
      </c>
      <c r="AB89" s="97">
        <f t="shared" si="16"/>
        <v>0</v>
      </c>
      <c r="AC89" s="97">
        <f t="shared" si="17"/>
        <v>0</v>
      </c>
      <c r="AD89" s="97">
        <f t="shared" si="18"/>
        <v>0</v>
      </c>
    </row>
    <row r="90" spans="1:30" x14ac:dyDescent="0.25">
      <c r="A90" s="99"/>
      <c r="B90" s="99"/>
      <c r="N90" s="99"/>
      <c r="O90" s="99"/>
      <c r="T90" s="97">
        <v>86</v>
      </c>
      <c r="U90" s="97">
        <f t="shared" si="19"/>
        <v>87.975669039407194</v>
      </c>
      <c r="V90" s="97">
        <f t="shared" si="20"/>
        <v>134.6179039494132</v>
      </c>
      <c r="W90" s="97">
        <f t="shared" si="21"/>
        <v>0</v>
      </c>
      <c r="X90" s="97">
        <f t="shared" si="12"/>
        <v>36.07922813107028</v>
      </c>
      <c r="Y90" s="97">
        <f t="shared" si="13"/>
        <v>0</v>
      </c>
      <c r="Z90" s="97">
        <f t="shared" si="14"/>
        <v>0</v>
      </c>
      <c r="AA90" s="97">
        <f t="shared" si="15"/>
        <v>0</v>
      </c>
      <c r="AB90" s="97">
        <f t="shared" si="16"/>
        <v>0</v>
      </c>
      <c r="AC90" s="97">
        <f t="shared" si="17"/>
        <v>0</v>
      </c>
      <c r="AD90" s="97">
        <f t="shared" si="18"/>
        <v>0</v>
      </c>
    </row>
    <row r="91" spans="1:30" x14ac:dyDescent="0.25">
      <c r="A91" s="99"/>
      <c r="B91" s="99"/>
      <c r="N91" s="99"/>
      <c r="O91" s="99"/>
      <c r="T91" s="97">
        <v>87</v>
      </c>
      <c r="U91" s="97">
        <f t="shared" si="19"/>
        <v>88.536349285962729</v>
      </c>
      <c r="V91" s="97">
        <f t="shared" si="20"/>
        <v>134.1982712782883</v>
      </c>
      <c r="W91" s="97">
        <f t="shared" si="21"/>
        <v>0</v>
      </c>
      <c r="X91" s="97">
        <f t="shared" si="12"/>
        <v>36.07922813107028</v>
      </c>
      <c r="Y91" s="97">
        <f t="shared" si="13"/>
        <v>0</v>
      </c>
      <c r="Z91" s="97">
        <f t="shared" si="14"/>
        <v>0</v>
      </c>
      <c r="AA91" s="97">
        <f t="shared" si="15"/>
        <v>0</v>
      </c>
      <c r="AB91" s="97">
        <f t="shared" si="16"/>
        <v>0</v>
      </c>
      <c r="AC91" s="97">
        <f t="shared" si="17"/>
        <v>0</v>
      </c>
      <c r="AD91" s="97">
        <f t="shared" si="18"/>
        <v>0</v>
      </c>
    </row>
    <row r="92" spans="1:30" x14ac:dyDescent="0.25">
      <c r="A92" s="99"/>
      <c r="B92" s="99"/>
      <c r="N92" s="99"/>
      <c r="O92" s="99"/>
      <c r="T92" s="97">
        <v>88</v>
      </c>
      <c r="U92" s="97">
        <f t="shared" si="19"/>
        <v>89.094737638302078</v>
      </c>
      <c r="V92" s="97">
        <f t="shared" si="20"/>
        <v>133.79718979045586</v>
      </c>
      <c r="W92" s="97">
        <f t="shared" si="21"/>
        <v>0</v>
      </c>
      <c r="X92" s="97">
        <f t="shared" si="12"/>
        <v>36.07922813107028</v>
      </c>
      <c r="Y92" s="97">
        <f t="shared" si="13"/>
        <v>0</v>
      </c>
      <c r="Z92" s="97">
        <f t="shared" si="14"/>
        <v>0</v>
      </c>
      <c r="AA92" s="97">
        <f t="shared" si="15"/>
        <v>0</v>
      </c>
      <c r="AB92" s="97">
        <f t="shared" si="16"/>
        <v>0</v>
      </c>
      <c r="AC92" s="97">
        <f t="shared" si="17"/>
        <v>0</v>
      </c>
      <c r="AD92" s="97">
        <f t="shared" si="18"/>
        <v>0</v>
      </c>
    </row>
    <row r="93" spans="1:30" x14ac:dyDescent="0.25">
      <c r="A93" s="99"/>
      <c r="B93" s="99"/>
      <c r="N93" s="99"/>
      <c r="O93" s="99"/>
      <c r="T93" s="97">
        <v>89</v>
      </c>
      <c r="U93" s="97">
        <f t="shared" si="19"/>
        <v>86.263909873615759</v>
      </c>
      <c r="V93" s="97">
        <f t="shared" si="20"/>
        <v>133.41454574997707</v>
      </c>
      <c r="W93" s="97">
        <f t="shared" si="21"/>
        <v>592.73017643901176</v>
      </c>
      <c r="X93" s="97">
        <f t="shared" si="12"/>
        <v>36.07922813107028</v>
      </c>
      <c r="Y93" s="97">
        <f t="shared" si="13"/>
        <v>0</v>
      </c>
      <c r="Z93" s="97">
        <f t="shared" si="14"/>
        <v>0</v>
      </c>
      <c r="AA93" s="97">
        <f t="shared" si="15"/>
        <v>0</v>
      </c>
      <c r="AB93" s="97">
        <f t="shared" si="16"/>
        <v>0</v>
      </c>
      <c r="AC93" s="97">
        <f t="shared" si="17"/>
        <v>0</v>
      </c>
      <c r="AD93" s="97">
        <f t="shared" si="18"/>
        <v>0</v>
      </c>
    </row>
    <row r="94" spans="1:30" x14ac:dyDescent="0.25">
      <c r="A94" s="99"/>
      <c r="B94" s="99"/>
      <c r="N94" s="99"/>
      <c r="O94" s="99"/>
      <c r="T94" s="97">
        <v>90</v>
      </c>
      <c r="U94" s="97">
        <f t="shared" si="19"/>
        <v>86.83217451732304</v>
      </c>
      <c r="V94" s="97">
        <f t="shared" si="20"/>
        <v>135.52554077984414</v>
      </c>
      <c r="W94" s="97">
        <f t="shared" si="21"/>
        <v>0</v>
      </c>
      <c r="X94" s="97">
        <f t="shared" si="12"/>
        <v>36.07922813107028</v>
      </c>
      <c r="Y94" s="97">
        <f t="shared" si="13"/>
        <v>0</v>
      </c>
      <c r="Z94" s="97">
        <f t="shared" si="14"/>
        <v>0</v>
      </c>
      <c r="AA94" s="97">
        <f t="shared" si="15"/>
        <v>0</v>
      </c>
      <c r="AB94" s="97">
        <f t="shared" si="16"/>
        <v>0</v>
      </c>
      <c r="AC94" s="97">
        <f t="shared" si="17"/>
        <v>0</v>
      </c>
      <c r="AD94" s="97">
        <f t="shared" si="18"/>
        <v>0</v>
      </c>
    </row>
    <row r="95" spans="1:30" x14ac:dyDescent="0.25">
      <c r="A95" s="99"/>
      <c r="B95" s="99"/>
      <c r="N95" s="99"/>
      <c r="O95" s="99"/>
      <c r="T95" s="97">
        <v>91</v>
      </c>
      <c r="U95" s="97">
        <f t="shared" si="19"/>
        <v>87.397824252926952</v>
      </c>
      <c r="V95" s="97">
        <f t="shared" si="20"/>
        <v>135.06793186175341</v>
      </c>
      <c r="W95" s="97">
        <f t="shared" si="21"/>
        <v>0</v>
      </c>
      <c r="X95" s="97">
        <f t="shared" si="12"/>
        <v>36.07922813107028</v>
      </c>
      <c r="Y95" s="97">
        <f t="shared" si="13"/>
        <v>0</v>
      </c>
      <c r="Z95" s="97">
        <f t="shared" si="14"/>
        <v>0</v>
      </c>
      <c r="AA95" s="97">
        <f t="shared" si="15"/>
        <v>0</v>
      </c>
      <c r="AB95" s="97">
        <f t="shared" si="16"/>
        <v>0</v>
      </c>
      <c r="AC95" s="97">
        <f t="shared" si="17"/>
        <v>0</v>
      </c>
      <c r="AD95" s="97">
        <f t="shared" si="18"/>
        <v>0</v>
      </c>
    </row>
    <row r="96" spans="1:30" x14ac:dyDescent="0.25">
      <c r="A96" s="99"/>
      <c r="B96" s="99"/>
      <c r="N96" s="99"/>
      <c r="O96" s="99"/>
      <c r="T96" s="97">
        <v>92</v>
      </c>
      <c r="U96" s="97">
        <f t="shared" si="19"/>
        <v>84.573936993637744</v>
      </c>
      <c r="V96" s="97">
        <f t="shared" si="20"/>
        <v>134.62913419447057</v>
      </c>
      <c r="W96" s="97">
        <f t="shared" si="21"/>
        <v>592.73017643901176</v>
      </c>
      <c r="X96" s="97">
        <f t="shared" si="12"/>
        <v>36.07922813107028</v>
      </c>
      <c r="Y96" s="97">
        <f t="shared" si="13"/>
        <v>0</v>
      </c>
      <c r="Z96" s="97">
        <f t="shared" si="14"/>
        <v>0</v>
      </c>
      <c r="AA96" s="97">
        <f t="shared" si="15"/>
        <v>0</v>
      </c>
      <c r="AB96" s="97">
        <f t="shared" si="16"/>
        <v>0</v>
      </c>
      <c r="AC96" s="97">
        <f t="shared" si="17"/>
        <v>0</v>
      </c>
      <c r="AD96" s="97">
        <f t="shared" si="18"/>
        <v>0</v>
      </c>
    </row>
    <row r="97" spans="1:30" x14ac:dyDescent="0.25">
      <c r="A97" s="99"/>
      <c r="B97" s="99"/>
      <c r="N97" s="99"/>
      <c r="O97" s="99"/>
      <c r="T97" s="97">
        <v>93</v>
      </c>
      <c r="U97" s="97">
        <f t="shared" si="19"/>
        <v>85.150536078935986</v>
      </c>
      <c r="V97" s="97">
        <f t="shared" si="20"/>
        <v>136.98406805826207</v>
      </c>
      <c r="W97" s="97">
        <f t="shared" si="21"/>
        <v>0</v>
      </c>
      <c r="X97" s="97">
        <f t="shared" si="12"/>
        <v>36.07922813107028</v>
      </c>
      <c r="Y97" s="97">
        <f t="shared" si="13"/>
        <v>0</v>
      </c>
      <c r="Z97" s="97">
        <f t="shared" si="14"/>
        <v>0</v>
      </c>
      <c r="AA97" s="97">
        <f t="shared" si="15"/>
        <v>0</v>
      </c>
      <c r="AB97" s="97">
        <f t="shared" si="16"/>
        <v>0</v>
      </c>
      <c r="AC97" s="97">
        <f t="shared" si="17"/>
        <v>0</v>
      </c>
      <c r="AD97" s="97">
        <f t="shared" si="18"/>
        <v>0</v>
      </c>
    </row>
    <row r="98" spans="1:30" x14ac:dyDescent="0.25">
      <c r="A98" s="99"/>
      <c r="B98" s="99"/>
      <c r="N98" s="99"/>
      <c r="O98" s="99"/>
      <c r="T98" s="97">
        <v>94</v>
      </c>
      <c r="U98" s="97">
        <f t="shared" si="19"/>
        <v>85.724198708885623</v>
      </c>
      <c r="V98" s="97">
        <f t="shared" si="20"/>
        <v>136.47018837225579</v>
      </c>
      <c r="W98" s="97">
        <f t="shared" si="21"/>
        <v>0</v>
      </c>
      <c r="X98" s="97">
        <f t="shared" si="12"/>
        <v>36.07922813107028</v>
      </c>
      <c r="Y98" s="97">
        <f t="shared" si="13"/>
        <v>0</v>
      </c>
      <c r="Z98" s="97">
        <f t="shared" si="14"/>
        <v>0</v>
      </c>
      <c r="AA98" s="97">
        <f t="shared" si="15"/>
        <v>0</v>
      </c>
      <c r="AB98" s="97">
        <f t="shared" si="16"/>
        <v>0</v>
      </c>
      <c r="AC98" s="97">
        <f t="shared" si="17"/>
        <v>0</v>
      </c>
      <c r="AD98" s="97">
        <f t="shared" si="18"/>
        <v>0</v>
      </c>
    </row>
    <row r="99" spans="1:30" x14ac:dyDescent="0.25">
      <c r="A99" s="99"/>
      <c r="B99" s="99"/>
      <c r="N99" s="99"/>
      <c r="O99" s="99"/>
      <c r="T99" s="97">
        <v>95</v>
      </c>
      <c r="U99" s="97">
        <f t="shared" si="19"/>
        <v>86.295034933361663</v>
      </c>
      <c r="V99" s="97">
        <f t="shared" si="20"/>
        <v>135.97556741437626</v>
      </c>
      <c r="W99" s="97">
        <f t="shared" si="21"/>
        <v>0</v>
      </c>
      <c r="X99" s="97">
        <f t="shared" si="12"/>
        <v>36.07922813107028</v>
      </c>
      <c r="Y99" s="97">
        <f t="shared" si="13"/>
        <v>0</v>
      </c>
      <c r="Z99" s="97">
        <f t="shared" si="14"/>
        <v>0</v>
      </c>
      <c r="AA99" s="97">
        <f t="shared" si="15"/>
        <v>0</v>
      </c>
      <c r="AB99" s="97">
        <f t="shared" si="16"/>
        <v>0</v>
      </c>
      <c r="AC99" s="97">
        <f t="shared" si="17"/>
        <v>0</v>
      </c>
      <c r="AD99" s="97">
        <f t="shared" si="18"/>
        <v>0</v>
      </c>
    </row>
    <row r="100" spans="1:30" x14ac:dyDescent="0.25">
      <c r="A100" s="99"/>
      <c r="B100" s="99"/>
      <c r="N100" s="99"/>
      <c r="O100" s="99"/>
      <c r="T100" s="97">
        <v>96</v>
      </c>
      <c r="U100" s="97">
        <f t="shared" si="19"/>
        <v>83.476124302356553</v>
      </c>
      <c r="V100" s="97">
        <f t="shared" si="20"/>
        <v>135.5000441441872</v>
      </c>
      <c r="W100" s="97">
        <f t="shared" si="21"/>
        <v>592.73017643901176</v>
      </c>
      <c r="X100" s="97">
        <f t="shared" si="12"/>
        <v>36.07922813107028</v>
      </c>
      <c r="Y100" s="97">
        <f t="shared" si="13"/>
        <v>0</v>
      </c>
      <c r="Z100" s="97">
        <f t="shared" si="14"/>
        <v>0</v>
      </c>
      <c r="AA100" s="97">
        <f t="shared" si="15"/>
        <v>0</v>
      </c>
      <c r="AB100" s="97">
        <f t="shared" si="16"/>
        <v>0</v>
      </c>
      <c r="AC100" s="97">
        <f t="shared" si="17"/>
        <v>0</v>
      </c>
      <c r="AD100" s="97">
        <f t="shared" si="18"/>
        <v>0</v>
      </c>
    </row>
    <row r="101" spans="1:30" x14ac:dyDescent="0.25">
      <c r="A101" s="99"/>
      <c r="B101" s="99"/>
      <c r="N101" s="99"/>
      <c r="O101" s="99"/>
      <c r="T101" s="97">
        <v>97</v>
      </c>
      <c r="U101" s="97">
        <f t="shared" si="19"/>
        <v>84.058575280861973</v>
      </c>
      <c r="V101" s="97">
        <f t="shared" si="20"/>
        <v>138.00814936951946</v>
      </c>
      <c r="W101" s="97">
        <f t="shared" si="21"/>
        <v>0</v>
      </c>
      <c r="X101" s="97">
        <f t="shared" si="12"/>
        <v>36.07922813107028</v>
      </c>
      <c r="Y101" s="97">
        <f t="shared" si="13"/>
        <v>0</v>
      </c>
      <c r="Z101" s="97">
        <f t="shared" si="14"/>
        <v>0</v>
      </c>
      <c r="AA101" s="97">
        <f t="shared" si="15"/>
        <v>0</v>
      </c>
      <c r="AB101" s="97">
        <f t="shared" si="16"/>
        <v>0</v>
      </c>
      <c r="AC101" s="97">
        <f t="shared" si="17"/>
        <v>0</v>
      </c>
      <c r="AD101" s="97">
        <f t="shared" si="18"/>
        <v>0</v>
      </c>
    </row>
    <row r="102" spans="1:30" x14ac:dyDescent="0.25">
      <c r="A102" s="99"/>
      <c r="B102" s="99"/>
      <c r="N102" s="99"/>
      <c r="O102" s="99"/>
      <c r="T102" s="97">
        <v>98</v>
      </c>
      <c r="U102" s="97">
        <f t="shared" si="19"/>
        <v>84.637879181350925</v>
      </c>
      <c r="V102" s="97">
        <f t="shared" si="20"/>
        <v>137.4574107166363</v>
      </c>
      <c r="W102" s="97">
        <f t="shared" si="21"/>
        <v>0</v>
      </c>
      <c r="X102" s="97">
        <f t="shared" si="12"/>
        <v>36.07922813107028</v>
      </c>
      <c r="Y102" s="97">
        <f t="shared" si="13"/>
        <v>0</v>
      </c>
      <c r="Z102" s="97">
        <f t="shared" si="14"/>
        <v>0</v>
      </c>
      <c r="AA102" s="97">
        <f t="shared" si="15"/>
        <v>0</v>
      </c>
      <c r="AB102" s="97">
        <f t="shared" si="16"/>
        <v>0</v>
      </c>
      <c r="AC102" s="97">
        <f t="shared" si="17"/>
        <v>0</v>
      </c>
      <c r="AD102" s="97">
        <f t="shared" si="18"/>
        <v>0</v>
      </c>
    </row>
    <row r="103" spans="1:30" x14ac:dyDescent="0.25">
      <c r="A103" s="99"/>
      <c r="B103" s="99"/>
      <c r="N103" s="99"/>
      <c r="O103" s="99"/>
      <c r="T103" s="97">
        <v>99</v>
      </c>
      <c r="U103" s="97">
        <f t="shared" si="19"/>
        <v>81.827118356782179</v>
      </c>
      <c r="V103" s="97">
        <f t="shared" si="20"/>
        <v>136.92626027055073</v>
      </c>
      <c r="W103" s="97">
        <f t="shared" si="21"/>
        <v>592.73017643901176</v>
      </c>
      <c r="X103" s="97">
        <f t="shared" si="12"/>
        <v>36.07922813107028</v>
      </c>
      <c r="Y103" s="97">
        <f t="shared" si="13"/>
        <v>0</v>
      </c>
      <c r="Z103" s="97">
        <f t="shared" si="14"/>
        <v>0</v>
      </c>
      <c r="AA103" s="97">
        <f t="shared" si="15"/>
        <v>0</v>
      </c>
      <c r="AB103" s="97">
        <f t="shared" si="16"/>
        <v>0</v>
      </c>
      <c r="AC103" s="97">
        <f t="shared" si="17"/>
        <v>0</v>
      </c>
      <c r="AD103" s="97">
        <f t="shared" si="18"/>
        <v>0</v>
      </c>
    </row>
    <row r="104" spans="1:30" x14ac:dyDescent="0.25">
      <c r="A104" s="99"/>
      <c r="B104" s="99"/>
      <c r="N104" s="99"/>
      <c r="O104" s="99"/>
      <c r="T104" s="97">
        <v>100</v>
      </c>
      <c r="U104" s="97">
        <f t="shared" si="19"/>
        <v>82.418988536165486</v>
      </c>
      <c r="V104" s="97">
        <f t="shared" si="20"/>
        <v>139.65650952314991</v>
      </c>
      <c r="W104" s="97">
        <f t="shared" si="21"/>
        <v>0</v>
      </c>
      <c r="X104" s="97">
        <f t="shared" si="12"/>
        <v>36.07922813107028</v>
      </c>
      <c r="Y104" s="97">
        <f t="shared" si="13"/>
        <v>0</v>
      </c>
      <c r="Z104" s="97">
        <f t="shared" si="14"/>
        <v>0</v>
      </c>
      <c r="AA104" s="97">
        <f t="shared" si="15"/>
        <v>0</v>
      </c>
      <c r="AB104" s="97">
        <f t="shared" si="16"/>
        <v>0</v>
      </c>
      <c r="AC104" s="97">
        <f t="shared" si="17"/>
        <v>0</v>
      </c>
      <c r="AD104" s="97">
        <f t="shared" si="18"/>
        <v>0</v>
      </c>
    </row>
    <row r="105" spans="1:30" x14ac:dyDescent="0.25">
      <c r="A105" s="99"/>
      <c r="B105" s="99"/>
      <c r="N105" s="99"/>
      <c r="O105" s="99"/>
      <c r="T105" s="97">
        <v>101</v>
      </c>
      <c r="U105" s="97">
        <f t="shared" si="19"/>
        <v>83.007392274718001</v>
      </c>
      <c r="V105" s="97">
        <f t="shared" si="20"/>
        <v>139.04988237775876</v>
      </c>
      <c r="W105" s="97">
        <f t="shared" si="21"/>
        <v>0</v>
      </c>
      <c r="X105" s="97">
        <f t="shared" si="12"/>
        <v>36.07922813107028</v>
      </c>
      <c r="Y105" s="97">
        <f t="shared" si="13"/>
        <v>0</v>
      </c>
      <c r="Z105" s="97">
        <f t="shared" si="14"/>
        <v>0</v>
      </c>
      <c r="AA105" s="97">
        <f t="shared" si="15"/>
        <v>0</v>
      </c>
      <c r="AB105" s="97">
        <f t="shared" si="16"/>
        <v>0</v>
      </c>
      <c r="AC105" s="97">
        <f t="shared" si="17"/>
        <v>0</v>
      </c>
      <c r="AD105" s="97">
        <f t="shared" si="18"/>
        <v>0</v>
      </c>
    </row>
    <row r="106" spans="1:30" x14ac:dyDescent="0.25">
      <c r="A106" s="99"/>
      <c r="B106" s="99"/>
      <c r="N106" s="99"/>
      <c r="O106" s="99"/>
      <c r="T106" s="97">
        <v>102</v>
      </c>
      <c r="U106" s="97">
        <f t="shared" si="19"/>
        <v>83.592444636911509</v>
      </c>
      <c r="V106" s="97">
        <f t="shared" si="20"/>
        <v>138.4633915149339</v>
      </c>
      <c r="W106" s="97">
        <f t="shared" si="21"/>
        <v>0</v>
      </c>
      <c r="X106" s="97">
        <f t="shared" si="12"/>
        <v>36.07922813107028</v>
      </c>
      <c r="Y106" s="97">
        <f t="shared" si="13"/>
        <v>0</v>
      </c>
      <c r="Z106" s="97">
        <f t="shared" si="14"/>
        <v>0</v>
      </c>
      <c r="AA106" s="97">
        <f t="shared" si="15"/>
        <v>0</v>
      </c>
      <c r="AB106" s="97">
        <f t="shared" si="16"/>
        <v>0</v>
      </c>
      <c r="AC106" s="97">
        <f t="shared" si="17"/>
        <v>0</v>
      </c>
      <c r="AD106" s="97">
        <f t="shared" si="18"/>
        <v>0</v>
      </c>
    </row>
    <row r="107" spans="1:30" x14ac:dyDescent="0.25">
      <c r="A107" s="99"/>
      <c r="B107" s="99"/>
      <c r="N107" s="99"/>
      <c r="O107" s="99"/>
      <c r="T107" s="97">
        <v>103</v>
      </c>
      <c r="U107" s="97">
        <f t="shared" si="19"/>
        <v>80.787229943112962</v>
      </c>
      <c r="V107" s="97">
        <f t="shared" si="20"/>
        <v>137.89683315533458</v>
      </c>
      <c r="W107" s="97">
        <f t="shared" si="21"/>
        <v>592.73017643901176</v>
      </c>
      <c r="X107" s="97">
        <f t="shared" si="12"/>
        <v>36.07922813107028</v>
      </c>
      <c r="Y107" s="97">
        <f t="shared" si="13"/>
        <v>0</v>
      </c>
      <c r="Z107" s="97">
        <f t="shared" si="14"/>
        <v>0</v>
      </c>
      <c r="AA107" s="97">
        <f t="shared" si="15"/>
        <v>0</v>
      </c>
      <c r="AB107" s="97">
        <f t="shared" si="16"/>
        <v>0</v>
      </c>
      <c r="AC107" s="97">
        <f t="shared" si="17"/>
        <v>0</v>
      </c>
      <c r="AD107" s="97">
        <f t="shared" si="18"/>
        <v>0</v>
      </c>
    </row>
    <row r="108" spans="1:30" x14ac:dyDescent="0.25">
      <c r="A108" s="99"/>
      <c r="B108" s="99"/>
      <c r="N108" s="99"/>
      <c r="O108" s="99"/>
      <c r="T108" s="97">
        <v>104</v>
      </c>
      <c r="U108" s="97">
        <f t="shared" si="19"/>
        <v>81.385418512490631</v>
      </c>
      <c r="V108" s="97">
        <f t="shared" si="20"/>
        <v>140.76222777216196</v>
      </c>
      <c r="W108" s="97">
        <f t="shared" si="21"/>
        <v>0</v>
      </c>
      <c r="X108" s="97">
        <f t="shared" si="12"/>
        <v>36.07922813107028</v>
      </c>
      <c r="Y108" s="97">
        <f t="shared" si="13"/>
        <v>0</v>
      </c>
      <c r="Z108" s="97">
        <f t="shared" si="14"/>
        <v>0</v>
      </c>
      <c r="AA108" s="97">
        <f t="shared" si="15"/>
        <v>0</v>
      </c>
      <c r="AB108" s="97">
        <f t="shared" si="16"/>
        <v>0</v>
      </c>
      <c r="AC108" s="97">
        <f t="shared" si="17"/>
        <v>0</v>
      </c>
      <c r="AD108" s="97">
        <f t="shared" si="18"/>
        <v>0</v>
      </c>
    </row>
    <row r="109" spans="1:30" x14ac:dyDescent="0.25">
      <c r="A109" s="99"/>
      <c r="B109" s="99"/>
      <c r="N109" s="99"/>
      <c r="O109" s="99"/>
      <c r="T109" s="97">
        <v>105</v>
      </c>
      <c r="U109" s="97">
        <f t="shared" si="19"/>
        <v>81.979937222722938</v>
      </c>
      <c r="V109" s="97">
        <f t="shared" si="20"/>
        <v>140.12000242172309</v>
      </c>
      <c r="W109" s="97">
        <f t="shared" si="21"/>
        <v>0</v>
      </c>
      <c r="X109" s="97">
        <f t="shared" si="12"/>
        <v>36.07922813107028</v>
      </c>
      <c r="Y109" s="97">
        <f t="shared" si="13"/>
        <v>0</v>
      </c>
      <c r="Z109" s="97">
        <f t="shared" si="14"/>
        <v>0</v>
      </c>
      <c r="AA109" s="97">
        <f t="shared" si="15"/>
        <v>0</v>
      </c>
      <c r="AB109" s="97">
        <f t="shared" si="16"/>
        <v>0</v>
      </c>
      <c r="AC109" s="97">
        <f t="shared" si="17"/>
        <v>0</v>
      </c>
      <c r="AD109" s="97">
        <f t="shared" si="18"/>
        <v>0</v>
      </c>
    </row>
    <row r="110" spans="1:30" x14ac:dyDescent="0.25">
      <c r="A110" s="99"/>
      <c r="B110" s="99"/>
      <c r="N110" s="99"/>
      <c r="O110" s="99"/>
      <c r="T110" s="97">
        <v>106</v>
      </c>
      <c r="U110" s="97">
        <f t="shared" si="19"/>
        <v>79.183873708444224</v>
      </c>
      <c r="V110" s="97">
        <f t="shared" si="20"/>
        <v>139.49828957130708</v>
      </c>
      <c r="W110" s="97">
        <f t="shared" si="21"/>
        <v>592.73017643901176</v>
      </c>
      <c r="X110" s="97">
        <f t="shared" si="12"/>
        <v>36.07922813107028</v>
      </c>
      <c r="Y110" s="97">
        <f t="shared" si="13"/>
        <v>0</v>
      </c>
      <c r="Z110" s="97">
        <f t="shared" si="14"/>
        <v>0</v>
      </c>
      <c r="AA110" s="97">
        <f t="shared" si="15"/>
        <v>0</v>
      </c>
      <c r="AB110" s="97">
        <f t="shared" si="16"/>
        <v>0</v>
      </c>
      <c r="AC110" s="97">
        <f t="shared" si="17"/>
        <v>0</v>
      </c>
      <c r="AD110" s="97">
        <f t="shared" si="18"/>
        <v>0</v>
      </c>
    </row>
    <row r="111" spans="1:30" x14ac:dyDescent="0.25">
      <c r="A111" s="99"/>
      <c r="B111" s="99"/>
      <c r="N111" s="99"/>
      <c r="O111" s="99"/>
      <c r="T111" s="97">
        <v>107</v>
      </c>
      <c r="U111" s="97">
        <f t="shared" si="19"/>
        <v>79.792360985109497</v>
      </c>
      <c r="V111" s="97">
        <f t="shared" si="20"/>
        <v>142.5645015474928</v>
      </c>
      <c r="W111" s="97">
        <f t="shared" si="21"/>
        <v>0</v>
      </c>
      <c r="X111" s="97">
        <f t="shared" si="12"/>
        <v>36.07922813107028</v>
      </c>
      <c r="Y111" s="97">
        <f t="shared" si="13"/>
        <v>0</v>
      </c>
      <c r="Z111" s="97">
        <f t="shared" si="14"/>
        <v>0</v>
      </c>
      <c r="AA111" s="97">
        <f t="shared" si="15"/>
        <v>0</v>
      </c>
      <c r="AB111" s="97">
        <f t="shared" si="16"/>
        <v>0</v>
      </c>
      <c r="AC111" s="97">
        <f t="shared" si="17"/>
        <v>0</v>
      </c>
      <c r="AD111" s="97">
        <f t="shared" si="18"/>
        <v>0</v>
      </c>
    </row>
    <row r="112" spans="1:30" x14ac:dyDescent="0.25">
      <c r="A112" s="99"/>
      <c r="B112" s="99"/>
      <c r="N112" s="99"/>
      <c r="O112" s="99"/>
      <c r="T112" s="97">
        <v>108</v>
      </c>
      <c r="U112" s="97">
        <f t="shared" si="19"/>
        <v>80.396861451821493</v>
      </c>
      <c r="V112" s="97">
        <f t="shared" si="20"/>
        <v>141.86680980566859</v>
      </c>
      <c r="W112" s="97">
        <f t="shared" si="21"/>
        <v>0</v>
      </c>
      <c r="X112" s="97">
        <f t="shared" si="12"/>
        <v>36.07922813107028</v>
      </c>
      <c r="Y112" s="97">
        <f t="shared" si="13"/>
        <v>0</v>
      </c>
      <c r="Z112" s="97">
        <f t="shared" si="14"/>
        <v>0</v>
      </c>
      <c r="AA112" s="97">
        <f t="shared" si="15"/>
        <v>0</v>
      </c>
      <c r="AB112" s="97">
        <f t="shared" si="16"/>
        <v>0</v>
      </c>
      <c r="AC112" s="97">
        <f t="shared" si="17"/>
        <v>0</v>
      </c>
      <c r="AD112" s="97">
        <f t="shared" si="18"/>
        <v>0</v>
      </c>
    </row>
    <row r="113" spans="1:30" x14ac:dyDescent="0.25">
      <c r="A113" s="99"/>
      <c r="B113" s="99"/>
      <c r="N113" s="99"/>
      <c r="O113" s="99"/>
      <c r="T113" s="97">
        <v>109</v>
      </c>
      <c r="U113" s="97">
        <f t="shared" si="19"/>
        <v>80.997495880455986</v>
      </c>
      <c r="V113" s="97">
        <f t="shared" si="20"/>
        <v>141.19025314210543</v>
      </c>
      <c r="W113" s="97">
        <f t="shared" si="21"/>
        <v>0</v>
      </c>
      <c r="X113" s="97">
        <f t="shared" si="12"/>
        <v>36.07922813107028</v>
      </c>
      <c r="Y113" s="97">
        <f t="shared" si="13"/>
        <v>0</v>
      </c>
      <c r="Z113" s="97">
        <f t="shared" si="14"/>
        <v>0</v>
      </c>
      <c r="AA113" s="97">
        <f t="shared" si="15"/>
        <v>0</v>
      </c>
      <c r="AB113" s="97">
        <f t="shared" si="16"/>
        <v>0</v>
      </c>
      <c r="AC113" s="97">
        <f t="shared" si="17"/>
        <v>0</v>
      </c>
      <c r="AD113" s="97">
        <f t="shared" si="18"/>
        <v>0</v>
      </c>
    </row>
    <row r="114" spans="1:30" x14ac:dyDescent="0.25">
      <c r="A114" s="99"/>
      <c r="B114" s="99"/>
      <c r="N114" s="99"/>
      <c r="O114" s="99"/>
      <c r="T114" s="97">
        <v>110</v>
      </c>
      <c r="U114" s="97">
        <f t="shared" si="19"/>
        <v>78.207354079916144</v>
      </c>
      <c r="V114" s="97">
        <f t="shared" si="20"/>
        <v>140.53458947561006</v>
      </c>
      <c r="W114" s="97">
        <f t="shared" si="21"/>
        <v>592.73017643901176</v>
      </c>
      <c r="X114" s="97">
        <f t="shared" si="12"/>
        <v>36.07922813107028</v>
      </c>
      <c r="Y114" s="97">
        <f t="shared" si="13"/>
        <v>0</v>
      </c>
      <c r="Z114" s="97">
        <f t="shared" si="14"/>
        <v>0</v>
      </c>
      <c r="AA114" s="97">
        <f t="shared" si="15"/>
        <v>0</v>
      </c>
      <c r="AB114" s="97">
        <f t="shared" si="16"/>
        <v>0</v>
      </c>
      <c r="AC114" s="97">
        <f t="shared" si="17"/>
        <v>0</v>
      </c>
      <c r="AD114" s="97">
        <f t="shared" si="18"/>
        <v>0</v>
      </c>
    </row>
    <row r="115" spans="1:30" x14ac:dyDescent="0.25">
      <c r="A115" s="99"/>
      <c r="B115" s="99"/>
      <c r="N115" s="99"/>
      <c r="O115" s="99"/>
      <c r="T115" s="97">
        <v>111</v>
      </c>
      <c r="U115" s="97">
        <f t="shared" si="19"/>
        <v>78.822436139957702</v>
      </c>
      <c r="V115" s="97">
        <f t="shared" si="20"/>
        <v>143.71858863834348</v>
      </c>
      <c r="W115" s="97">
        <f t="shared" si="21"/>
        <v>0</v>
      </c>
      <c r="X115" s="97">
        <f t="shared" si="12"/>
        <v>36.07922813107028</v>
      </c>
      <c r="Y115" s="97">
        <f t="shared" si="13"/>
        <v>0</v>
      </c>
      <c r="Z115" s="97">
        <f t="shared" si="14"/>
        <v>0</v>
      </c>
      <c r="AA115" s="97">
        <f t="shared" si="15"/>
        <v>0</v>
      </c>
      <c r="AB115" s="97">
        <f t="shared" si="16"/>
        <v>0</v>
      </c>
      <c r="AC115" s="97">
        <f t="shared" si="17"/>
        <v>0</v>
      </c>
      <c r="AD115" s="97">
        <f t="shared" si="18"/>
        <v>0</v>
      </c>
    </row>
    <row r="116" spans="1:30" x14ac:dyDescent="0.25">
      <c r="A116" s="99"/>
      <c r="B116" s="99"/>
      <c r="N116" s="99"/>
      <c r="O116" s="99"/>
      <c r="T116" s="97">
        <v>112</v>
      </c>
      <c r="U116" s="97">
        <f t="shared" si="19"/>
        <v>79.433336292535529</v>
      </c>
      <c r="V116" s="97">
        <f t="shared" si="20"/>
        <v>142.98675483218636</v>
      </c>
      <c r="W116" s="97">
        <f t="shared" si="21"/>
        <v>0</v>
      </c>
      <c r="X116" s="97">
        <f t="shared" si="12"/>
        <v>36.07922813107028</v>
      </c>
      <c r="Y116" s="97">
        <f t="shared" si="13"/>
        <v>0</v>
      </c>
      <c r="Z116" s="97">
        <f t="shared" si="14"/>
        <v>0</v>
      </c>
      <c r="AA116" s="97">
        <f t="shared" si="15"/>
        <v>0</v>
      </c>
      <c r="AB116" s="97">
        <f t="shared" si="16"/>
        <v>0</v>
      </c>
      <c r="AC116" s="97">
        <f t="shared" si="17"/>
        <v>0</v>
      </c>
      <c r="AD116" s="97">
        <f t="shared" si="18"/>
        <v>0</v>
      </c>
    </row>
    <row r="117" spans="1:30" x14ac:dyDescent="0.25">
      <c r="A117" s="99"/>
      <c r="B117" s="99"/>
      <c r="N117" s="99"/>
      <c r="O117" s="99"/>
      <c r="T117" s="97">
        <v>113</v>
      </c>
      <c r="U117" s="97">
        <f t="shared" si="19"/>
        <v>76.653148029761738</v>
      </c>
      <c r="V117" s="97">
        <f t="shared" si="20"/>
        <v>142.27645858466909</v>
      </c>
      <c r="W117" s="97">
        <f t="shared" si="21"/>
        <v>592.73017643901176</v>
      </c>
      <c r="X117" s="97">
        <f t="shared" si="12"/>
        <v>36.07922813107028</v>
      </c>
      <c r="Y117" s="97">
        <f t="shared" si="13"/>
        <v>0</v>
      </c>
      <c r="Z117" s="97">
        <f t="shared" si="14"/>
        <v>0</v>
      </c>
      <c r="AA117" s="97">
        <f t="shared" si="15"/>
        <v>0</v>
      </c>
      <c r="AB117" s="97">
        <f t="shared" si="16"/>
        <v>0</v>
      </c>
      <c r="AC117" s="97">
        <f t="shared" si="17"/>
        <v>0</v>
      </c>
      <c r="AD117" s="97">
        <f t="shared" si="18"/>
        <v>0</v>
      </c>
    </row>
    <row r="118" spans="1:30" x14ac:dyDescent="0.25">
      <c r="A118" s="99"/>
      <c r="B118" s="99"/>
      <c r="N118" s="99"/>
      <c r="O118" s="99"/>
      <c r="T118" s="97">
        <v>114</v>
      </c>
      <c r="U118" s="97">
        <f t="shared" si="19"/>
        <v>77.27921431508301</v>
      </c>
      <c r="V118" s="97">
        <f t="shared" si="20"/>
        <v>145.64082806229206</v>
      </c>
      <c r="W118" s="97">
        <f t="shared" si="21"/>
        <v>0</v>
      </c>
      <c r="X118" s="97">
        <f t="shared" si="12"/>
        <v>36.07922813107028</v>
      </c>
      <c r="Y118" s="97">
        <f t="shared" si="13"/>
        <v>0</v>
      </c>
      <c r="Z118" s="97">
        <f t="shared" si="14"/>
        <v>0</v>
      </c>
      <c r="AA118" s="97">
        <f t="shared" si="15"/>
        <v>0</v>
      </c>
      <c r="AB118" s="97">
        <f t="shared" si="16"/>
        <v>0</v>
      </c>
      <c r="AC118" s="97">
        <f t="shared" si="17"/>
        <v>0</v>
      </c>
      <c r="AD118" s="97">
        <f t="shared" si="18"/>
        <v>0</v>
      </c>
    </row>
    <row r="119" spans="1:30" x14ac:dyDescent="0.25">
      <c r="A119" s="99"/>
      <c r="B119" s="99"/>
      <c r="N119" s="99"/>
      <c r="O119" s="99"/>
      <c r="T119" s="97">
        <v>115</v>
      </c>
      <c r="U119" s="97">
        <f t="shared" si="19"/>
        <v>77.900784850577011</v>
      </c>
      <c r="V119" s="97">
        <f t="shared" si="20"/>
        <v>144.85407184252082</v>
      </c>
      <c r="W119" s="97">
        <f t="shared" si="21"/>
        <v>0</v>
      </c>
      <c r="X119" s="97">
        <f t="shared" si="12"/>
        <v>36.07922813107028</v>
      </c>
      <c r="Y119" s="97">
        <f t="shared" si="13"/>
        <v>0</v>
      </c>
      <c r="Z119" s="97">
        <f t="shared" si="14"/>
        <v>0</v>
      </c>
      <c r="AA119" s="97">
        <f t="shared" si="15"/>
        <v>0</v>
      </c>
      <c r="AB119" s="97">
        <f t="shared" si="16"/>
        <v>0</v>
      </c>
      <c r="AC119" s="97">
        <f t="shared" si="17"/>
        <v>0</v>
      </c>
      <c r="AD119" s="97">
        <f t="shared" si="18"/>
        <v>0</v>
      </c>
    </row>
    <row r="120" spans="1:30" x14ac:dyDescent="0.25">
      <c r="A120" s="99"/>
      <c r="B120" s="99"/>
      <c r="N120" s="99"/>
      <c r="O120" s="99"/>
      <c r="T120" s="97">
        <v>116</v>
      </c>
      <c r="U120" s="97">
        <f t="shared" si="19"/>
        <v>78.517986555842171</v>
      </c>
      <c r="V120" s="97">
        <f t="shared" si="20"/>
        <v>144.08952655247435</v>
      </c>
      <c r="W120" s="97">
        <f t="shared" si="21"/>
        <v>0</v>
      </c>
      <c r="X120" s="97">
        <f t="shared" si="12"/>
        <v>36.07922813107028</v>
      </c>
      <c r="Y120" s="97">
        <f t="shared" si="13"/>
        <v>0</v>
      </c>
      <c r="Z120" s="97">
        <f t="shared" si="14"/>
        <v>0</v>
      </c>
      <c r="AA120" s="97">
        <f t="shared" si="15"/>
        <v>0</v>
      </c>
      <c r="AB120" s="97">
        <f t="shared" si="16"/>
        <v>0</v>
      </c>
      <c r="AC120" s="97">
        <f t="shared" si="17"/>
        <v>0</v>
      </c>
      <c r="AD120" s="97">
        <f t="shared" si="18"/>
        <v>0</v>
      </c>
    </row>
    <row r="121" spans="1:30" x14ac:dyDescent="0.25">
      <c r="A121" s="99"/>
      <c r="B121" s="99"/>
      <c r="N121" s="99"/>
      <c r="O121" s="99"/>
      <c r="T121" s="97">
        <v>117</v>
      </c>
      <c r="U121" s="97">
        <f t="shared" si="19"/>
        <v>75.743915194574697</v>
      </c>
      <c r="V121" s="97">
        <f t="shared" si="20"/>
        <v>143.34691634827243</v>
      </c>
      <c r="W121" s="97">
        <f t="shared" si="21"/>
        <v>592.73017643901176</v>
      </c>
      <c r="X121" s="97">
        <f t="shared" si="12"/>
        <v>36.07922813107028</v>
      </c>
      <c r="Y121" s="97">
        <f t="shared" si="13"/>
        <v>0</v>
      </c>
      <c r="Z121" s="97">
        <f t="shared" si="14"/>
        <v>0</v>
      </c>
      <c r="AA121" s="97">
        <f t="shared" si="15"/>
        <v>0</v>
      </c>
      <c r="AB121" s="97">
        <f t="shared" si="16"/>
        <v>0</v>
      </c>
      <c r="AC121" s="97">
        <f t="shared" si="17"/>
        <v>0</v>
      </c>
      <c r="AD121" s="97">
        <f t="shared" si="18"/>
        <v>0</v>
      </c>
    </row>
    <row r="122" spans="1:30" x14ac:dyDescent="0.25">
      <c r="A122" s="99"/>
      <c r="B122" s="99"/>
      <c r="N122" s="99"/>
      <c r="O122" s="99"/>
      <c r="T122" s="97">
        <v>118</v>
      </c>
      <c r="U122" s="97">
        <f t="shared" si="19"/>
        <v>76.3766781701421</v>
      </c>
      <c r="V122" s="97">
        <f t="shared" si="20"/>
        <v>146.8127488553653</v>
      </c>
      <c r="W122" s="97">
        <f t="shared" si="21"/>
        <v>0</v>
      </c>
      <c r="X122" s="97">
        <f t="shared" si="12"/>
        <v>36.07922813107028</v>
      </c>
      <c r="Y122" s="97">
        <f t="shared" si="13"/>
        <v>0</v>
      </c>
      <c r="Z122" s="97">
        <f t="shared" si="14"/>
        <v>0</v>
      </c>
      <c r="AA122" s="97">
        <f t="shared" si="15"/>
        <v>0</v>
      </c>
      <c r="AB122" s="97">
        <f t="shared" si="16"/>
        <v>0</v>
      </c>
      <c r="AC122" s="97">
        <f t="shared" si="17"/>
        <v>0</v>
      </c>
      <c r="AD122" s="97">
        <f t="shared" si="18"/>
        <v>0</v>
      </c>
    </row>
    <row r="123" spans="1:30" x14ac:dyDescent="0.25">
      <c r="A123" s="99"/>
      <c r="B123" s="99"/>
      <c r="N123" s="99"/>
      <c r="O123" s="99"/>
      <c r="T123" s="97">
        <v>119</v>
      </c>
      <c r="U123" s="97">
        <f t="shared" si="19"/>
        <v>77.004759865883585</v>
      </c>
      <c r="V123" s="97">
        <f t="shared" si="20"/>
        <v>145.99352488583003</v>
      </c>
      <c r="W123" s="97">
        <f t="shared" si="21"/>
        <v>0</v>
      </c>
      <c r="X123" s="97">
        <f t="shared" si="12"/>
        <v>36.07922813107028</v>
      </c>
      <c r="Y123" s="97">
        <f t="shared" si="13"/>
        <v>0</v>
      </c>
      <c r="Z123" s="97">
        <f t="shared" si="14"/>
        <v>0</v>
      </c>
      <c r="AA123" s="97">
        <f t="shared" si="15"/>
        <v>0</v>
      </c>
      <c r="AB123" s="97">
        <f t="shared" si="16"/>
        <v>0</v>
      </c>
      <c r="AC123" s="97">
        <f t="shared" si="17"/>
        <v>0</v>
      </c>
      <c r="AD123" s="97">
        <f t="shared" si="18"/>
        <v>0</v>
      </c>
    </row>
    <row r="124" spans="1:30" x14ac:dyDescent="0.25">
      <c r="A124" s="99"/>
      <c r="B124" s="99"/>
      <c r="N124" s="99"/>
      <c r="O124" s="99"/>
      <c r="T124" s="97">
        <v>120</v>
      </c>
      <c r="U124" s="97">
        <f t="shared" si="19"/>
        <v>74.241259969519447</v>
      </c>
      <c r="V124" s="97">
        <f t="shared" si="20"/>
        <v>145.19692270635673</v>
      </c>
      <c r="W124" s="97">
        <f t="shared" si="21"/>
        <v>592.73017643901176</v>
      </c>
      <c r="X124" s="97">
        <f t="shared" si="12"/>
        <v>36.07922813107028</v>
      </c>
      <c r="Y124" s="97">
        <f t="shared" si="13"/>
        <v>0</v>
      </c>
      <c r="Z124" s="97">
        <f t="shared" si="14"/>
        <v>0</v>
      </c>
      <c r="AA124" s="97">
        <f t="shared" si="15"/>
        <v>0</v>
      </c>
      <c r="AB124" s="97">
        <f t="shared" si="16"/>
        <v>0</v>
      </c>
      <c r="AC124" s="97">
        <f t="shared" si="17"/>
        <v>0</v>
      </c>
      <c r="AD124" s="97">
        <f t="shared" si="18"/>
        <v>0</v>
      </c>
    </row>
    <row r="125" spans="1:30" x14ac:dyDescent="0.25">
      <c r="A125" s="99"/>
      <c r="B125" s="99"/>
      <c r="N125" s="99"/>
      <c r="O125" s="99"/>
      <c r="T125" s="97">
        <v>121</v>
      </c>
      <c r="U125" s="97">
        <f t="shared" si="19"/>
        <v>74.885514987831073</v>
      </c>
      <c r="V125" s="97">
        <f t="shared" si="20"/>
        <v>148.82385633560497</v>
      </c>
      <c r="W125" s="97">
        <f t="shared" si="21"/>
        <v>0</v>
      </c>
      <c r="X125" s="97">
        <f t="shared" si="12"/>
        <v>36.07922813107028</v>
      </c>
      <c r="Y125" s="97">
        <f t="shared" si="13"/>
        <v>0</v>
      </c>
      <c r="Z125" s="97">
        <f t="shared" si="14"/>
        <v>0</v>
      </c>
      <c r="AA125" s="97">
        <f t="shared" si="15"/>
        <v>0</v>
      </c>
      <c r="AB125" s="97">
        <f t="shared" si="16"/>
        <v>0</v>
      </c>
      <c r="AC125" s="97">
        <f t="shared" si="17"/>
        <v>0</v>
      </c>
      <c r="AD125" s="97">
        <f t="shared" si="18"/>
        <v>0</v>
      </c>
    </row>
    <row r="126" spans="1:30" x14ac:dyDescent="0.25">
      <c r="A126" s="99"/>
      <c r="B126" s="99"/>
      <c r="N126" s="99"/>
      <c r="O126" s="99"/>
      <c r="T126" s="97">
        <v>122</v>
      </c>
      <c r="U126" s="97">
        <f t="shared" si="19"/>
        <v>75.524778969657248</v>
      </c>
      <c r="V126" s="97">
        <f t="shared" si="20"/>
        <v>147.95042495065039</v>
      </c>
      <c r="W126" s="97">
        <f t="shared" si="21"/>
        <v>0</v>
      </c>
      <c r="X126" s="97">
        <f t="shared" si="12"/>
        <v>36.07922813107028</v>
      </c>
      <c r="Y126" s="97">
        <f t="shared" si="13"/>
        <v>0</v>
      </c>
      <c r="Z126" s="97">
        <f t="shared" si="14"/>
        <v>0</v>
      </c>
      <c r="AA126" s="97">
        <f t="shared" si="15"/>
        <v>0</v>
      </c>
      <c r="AB126" s="97">
        <f t="shared" si="16"/>
        <v>0</v>
      </c>
      <c r="AC126" s="97">
        <f t="shared" si="17"/>
        <v>0</v>
      </c>
      <c r="AD126" s="97">
        <f t="shared" si="18"/>
        <v>0</v>
      </c>
    </row>
    <row r="127" spans="1:30" x14ac:dyDescent="0.25">
      <c r="A127" s="99"/>
      <c r="B127" s="99"/>
      <c r="N127" s="99"/>
      <c r="O127" s="99"/>
      <c r="T127" s="97">
        <v>123</v>
      </c>
      <c r="U127" s="97">
        <f t="shared" si="19"/>
        <v>76.159185199785369</v>
      </c>
      <c r="V127" s="97">
        <f t="shared" si="20"/>
        <v>147.10031840349023</v>
      </c>
      <c r="W127" s="97">
        <f t="shared" si="21"/>
        <v>0</v>
      </c>
      <c r="X127" s="97">
        <f t="shared" si="12"/>
        <v>36.07922813107028</v>
      </c>
      <c r="Y127" s="97">
        <f t="shared" si="13"/>
        <v>0</v>
      </c>
      <c r="Z127" s="97">
        <f t="shared" si="14"/>
        <v>0</v>
      </c>
      <c r="AA127" s="97">
        <f t="shared" si="15"/>
        <v>0</v>
      </c>
      <c r="AB127" s="97">
        <f t="shared" si="16"/>
        <v>0</v>
      </c>
      <c r="AC127" s="97">
        <f t="shared" si="17"/>
        <v>0</v>
      </c>
      <c r="AD127" s="97">
        <f t="shared" si="18"/>
        <v>0</v>
      </c>
    </row>
    <row r="128" spans="1:30" x14ac:dyDescent="0.25">
      <c r="A128" s="99"/>
      <c r="B128" s="99"/>
      <c r="N128" s="99"/>
      <c r="O128" s="99"/>
      <c r="T128" s="97">
        <v>124</v>
      </c>
      <c r="U128" s="97">
        <f t="shared" si="19"/>
        <v>73.401835641284038</v>
      </c>
      <c r="V128" s="97">
        <f t="shared" si="20"/>
        <v>146.27323183234938</v>
      </c>
      <c r="W128" s="97">
        <f t="shared" si="21"/>
        <v>592.73017643901176</v>
      </c>
      <c r="X128" s="97">
        <f t="shared" si="12"/>
        <v>36.07922813107028</v>
      </c>
      <c r="Y128" s="97">
        <f t="shared" si="13"/>
        <v>0</v>
      </c>
      <c r="Z128" s="97">
        <f t="shared" si="14"/>
        <v>0</v>
      </c>
      <c r="AA128" s="97">
        <f t="shared" si="15"/>
        <v>0</v>
      </c>
      <c r="AB128" s="97">
        <f t="shared" si="16"/>
        <v>0</v>
      </c>
      <c r="AC128" s="97">
        <f t="shared" si="17"/>
        <v>0</v>
      </c>
      <c r="AD128" s="97">
        <f t="shared" si="18"/>
        <v>0</v>
      </c>
    </row>
    <row r="129" spans="1:30" x14ac:dyDescent="0.25">
      <c r="A129" s="99"/>
      <c r="B129" s="99"/>
      <c r="N129" s="99"/>
      <c r="O129" s="99"/>
      <c r="T129" s="97">
        <v>125</v>
      </c>
      <c r="U129" s="97">
        <f t="shared" si="19"/>
        <v>74.052734819630302</v>
      </c>
      <c r="V129" s="97">
        <f t="shared" si="20"/>
        <v>149.98658434166506</v>
      </c>
      <c r="W129" s="97">
        <f t="shared" si="21"/>
        <v>0</v>
      </c>
      <c r="X129" s="97">
        <f t="shared" si="12"/>
        <v>36.07922813107028</v>
      </c>
      <c r="Y129" s="97">
        <f t="shared" si="13"/>
        <v>0</v>
      </c>
      <c r="Z129" s="97">
        <f t="shared" si="14"/>
        <v>0</v>
      </c>
      <c r="AA129" s="97">
        <f t="shared" si="15"/>
        <v>0</v>
      </c>
      <c r="AB129" s="97">
        <f t="shared" si="16"/>
        <v>0</v>
      </c>
      <c r="AC129" s="97">
        <f t="shared" si="17"/>
        <v>0</v>
      </c>
      <c r="AD129" s="97">
        <f t="shared" si="18"/>
        <v>0</v>
      </c>
    </row>
    <row r="130" spans="1:30" x14ac:dyDescent="0.25">
      <c r="A130" s="99"/>
      <c r="B130" s="99"/>
      <c r="N130" s="99"/>
      <c r="O130" s="99"/>
      <c r="T130" s="97">
        <v>126</v>
      </c>
      <c r="U130" s="97">
        <f t="shared" si="19"/>
        <v>74.698468229022097</v>
      </c>
      <c r="V130" s="97">
        <f t="shared" si="20"/>
        <v>149.08257477463533</v>
      </c>
      <c r="W130" s="97">
        <f t="shared" si="21"/>
        <v>0</v>
      </c>
      <c r="X130" s="97">
        <f t="shared" si="12"/>
        <v>36.07922813107028</v>
      </c>
      <c r="Y130" s="97">
        <f t="shared" si="13"/>
        <v>0</v>
      </c>
      <c r="Z130" s="97">
        <f t="shared" si="14"/>
        <v>0</v>
      </c>
      <c r="AA130" s="97">
        <f t="shared" si="15"/>
        <v>0</v>
      </c>
      <c r="AB130" s="97">
        <f t="shared" si="16"/>
        <v>0</v>
      </c>
      <c r="AC130" s="97">
        <f t="shared" si="17"/>
        <v>0</v>
      </c>
      <c r="AD130" s="97">
        <f t="shared" si="18"/>
        <v>0</v>
      </c>
    </row>
    <row r="131" spans="1:30" x14ac:dyDescent="0.25">
      <c r="A131" s="99"/>
      <c r="B131" s="99"/>
      <c r="N131" s="99"/>
      <c r="O131" s="99"/>
      <c r="T131" s="97">
        <v>127</v>
      </c>
      <c r="U131" s="97">
        <f t="shared" si="19"/>
        <v>71.952141884520046</v>
      </c>
      <c r="V131" s="97">
        <f t="shared" si="20"/>
        <v>148.20229428222146</v>
      </c>
      <c r="W131" s="97">
        <f t="shared" si="21"/>
        <v>592.73017643901176</v>
      </c>
      <c r="X131" s="97">
        <f t="shared" si="12"/>
        <v>36.07922813107028</v>
      </c>
      <c r="Y131" s="97">
        <f t="shared" si="13"/>
        <v>0</v>
      </c>
      <c r="Z131" s="97">
        <f t="shared" si="14"/>
        <v>0</v>
      </c>
      <c r="AA131" s="97">
        <f t="shared" si="15"/>
        <v>0</v>
      </c>
      <c r="AB131" s="97">
        <f t="shared" si="16"/>
        <v>0</v>
      </c>
      <c r="AC131" s="97">
        <f t="shared" si="17"/>
        <v>0</v>
      </c>
      <c r="AD131" s="97">
        <f t="shared" si="18"/>
        <v>0</v>
      </c>
    </row>
    <row r="132" spans="1:30" x14ac:dyDescent="0.25">
      <c r="A132" s="99"/>
      <c r="B132" s="99"/>
      <c r="N132" s="99"/>
      <c r="O132" s="99"/>
      <c r="T132" s="97">
        <v>128</v>
      </c>
      <c r="U132" s="97">
        <f t="shared" si="19"/>
        <v>72.614882586061071</v>
      </c>
      <c r="V132" s="97">
        <f t="shared" si="20"/>
        <v>152.05885090074983</v>
      </c>
      <c r="W132" s="97">
        <f t="shared" si="21"/>
        <v>0</v>
      </c>
      <c r="X132" s="97">
        <f t="shared" ref="X132:X154" si="22">IFERROR(IF(AND($T132&gt;=D$13, $T132&lt;=D$14), IF(D$12&gt;1, IF(MOD($T132-D$13, D$12)&lt;1, 1, 0), 1/D$12)*PI()*D$7/4*(D$5^2*D$8+(D$5^2-D$6^2)*D$10), 0), 0)</f>
        <v>36.07922813107028</v>
      </c>
      <c r="Y132" s="97">
        <f t="shared" ref="Y132:Y154" si="23">IFERROR(IF(AND($T132&gt;=E$13, $T132&lt;=E$14), IF(E$12&gt;1, IF(MOD($T132-E$13, E$12)&lt;1, 1, 0), 1/E$12)*PI()*E$7/4*(E$5^2*E$8+(E$5^2-E$6^2)*E$10), 0), 0)</f>
        <v>0</v>
      </c>
      <c r="Z132" s="97">
        <f t="shared" ref="Z132:Z154" si="24">IFERROR(IF(AND($T132&gt;=F$13, $T132&lt;=F$14), IF(F$12&gt;1, IF(MOD($T132-F$13, F$12)&lt;1, 1, 0), 1/F$12)*PI()*F$7/4*(F$5^2*F$8+(F$5^2-F$6^2)*F$10), 0), 0)</f>
        <v>0</v>
      </c>
      <c r="AA132" s="97">
        <f t="shared" ref="AA132:AA154" si="25">IFERROR(IF(AND($T132&gt;=G$13, $T132&lt;=G$14), IF(G$12&gt;1, IF(MOD($T132-G$13, G$12)&lt;1, 1, 0), 1/G$12)*PI()*G$7/4*(G$5^2*G$8+(G$5^2-G$6^2)*G$10), 0), 0)</f>
        <v>0</v>
      </c>
      <c r="AB132" s="97">
        <f t="shared" ref="AB132:AB154" si="26">IFERROR(IF(AND($T132&gt;=H$13, $T132&lt;=H$14), IF(H$12&gt;1, IF(MOD($T132-H$13, H$12)&lt;1, 1, 0), 1/H$12)*PI()*H$7/4*(H$5^2*H$8+(H$5^2-H$6^2)*H$10), 0), 0)</f>
        <v>0</v>
      </c>
      <c r="AC132" s="97">
        <f t="shared" ref="AC132:AC154" si="27">IFERROR(IF(AND($T132&gt;=I$13, $T132&lt;=I$14), IF(I$12&gt;1, IF(MOD($T132-I$13, I$12)&lt;1, 1, 0), 1/I$12)*PI()*I$7/4*(I$5^2*I$8+(I$5^2-I$6^2)*I$10), 0), 0)</f>
        <v>0</v>
      </c>
      <c r="AD132" s="97">
        <f t="shared" ref="AD132:AD154" si="28">IFERROR(IF(AND($T132&gt;=J$13, $T132&lt;=J$14), IF(J$12&gt;1, IF(MOD($T132-J$13, J$12)&lt;1, 1, 0), 1/J$12)*PI()*J$7/4*(J$5^2*J$8+(J$5^2-J$6^2)*J$10), 0), 0)</f>
        <v>0</v>
      </c>
    </row>
    <row r="133" spans="1:30" x14ac:dyDescent="0.25">
      <c r="A133" s="99"/>
      <c r="B133" s="99"/>
      <c r="N133" s="99"/>
      <c r="O133" s="99"/>
      <c r="T133" s="97">
        <v>129</v>
      </c>
      <c r="U133" s="97">
        <f t="shared" ref="U133:U154" si="29">MAX((U132*$M$7+V133-SUM(W133:AD133))/$M$7, 0)</f>
        <v>73.272152942681174</v>
      </c>
      <c r="V133" s="97">
        <f t="shared" ref="V133:V154" si="30">IF(U132&gt;=120, 0, $O$9*U132^3+$P$9*U132^2+$Q$9*U132+$R$9)*12^3/60*14.7</f>
        <v>151.10154053958792</v>
      </c>
      <c r="W133" s="97">
        <f t="shared" ref="W133:W154" si="31">IFERROR(IF(AND($T133&gt;=C$13, $T133&lt;=C$14), IF(C$12&gt;1, IF(MOD($T133-C$13, C$12)&lt;1, 1, 0), 1/C$12)*PI()*C$7/4*(C$5^2*C$8+(C$5^2-C$6^2)*C$10), 0), 0)</f>
        <v>0</v>
      </c>
      <c r="X133" s="97">
        <f t="shared" si="22"/>
        <v>36.07922813107028</v>
      </c>
      <c r="Y133" s="97">
        <f t="shared" si="23"/>
        <v>0</v>
      </c>
      <c r="Z133" s="97">
        <f t="shared" si="24"/>
        <v>0</v>
      </c>
      <c r="AA133" s="97">
        <f t="shared" si="25"/>
        <v>0</v>
      </c>
      <c r="AB133" s="97">
        <f t="shared" si="26"/>
        <v>0</v>
      </c>
      <c r="AC133" s="97">
        <f t="shared" si="27"/>
        <v>0</v>
      </c>
      <c r="AD133" s="97">
        <f t="shared" si="28"/>
        <v>0</v>
      </c>
    </row>
    <row r="134" spans="1:30" x14ac:dyDescent="0.25">
      <c r="A134" s="99"/>
      <c r="B134" s="99"/>
      <c r="N134" s="99"/>
      <c r="O134" s="99"/>
      <c r="T134" s="97">
        <v>130</v>
      </c>
      <c r="U134" s="97">
        <f t="shared" si="29"/>
        <v>73.924092631281113</v>
      </c>
      <c r="V134" s="97">
        <f t="shared" si="30"/>
        <v>150.1686736360582</v>
      </c>
      <c r="W134" s="97">
        <f t="shared" si="31"/>
        <v>0</v>
      </c>
      <c r="X134" s="97">
        <f t="shared" si="22"/>
        <v>36.07922813107028</v>
      </c>
      <c r="Y134" s="97">
        <f t="shared" si="23"/>
        <v>0</v>
      </c>
      <c r="Z134" s="97">
        <f t="shared" si="24"/>
        <v>0</v>
      </c>
      <c r="AA134" s="97">
        <f t="shared" si="25"/>
        <v>0</v>
      </c>
      <c r="AB134" s="97">
        <f t="shared" si="26"/>
        <v>0</v>
      </c>
      <c r="AC134" s="97">
        <f t="shared" si="27"/>
        <v>0</v>
      </c>
      <c r="AD134" s="97">
        <f t="shared" si="28"/>
        <v>0</v>
      </c>
    </row>
    <row r="135" spans="1:30" x14ac:dyDescent="0.25">
      <c r="A135" s="99"/>
      <c r="B135" s="99"/>
      <c r="N135" s="99"/>
      <c r="O135" s="99"/>
      <c r="T135" s="97">
        <v>131</v>
      </c>
      <c r="U135" s="97">
        <f t="shared" si="29"/>
        <v>74.570839449185542</v>
      </c>
      <c r="V135" s="97">
        <f t="shared" si="30"/>
        <v>149.25992126434386</v>
      </c>
      <c r="W135" s="97">
        <f t="shared" si="31"/>
        <v>0</v>
      </c>
      <c r="X135" s="97">
        <f t="shared" si="22"/>
        <v>36.07922813107028</v>
      </c>
      <c r="Y135" s="97">
        <f t="shared" si="23"/>
        <v>0</v>
      </c>
      <c r="Z135" s="97">
        <f t="shared" si="24"/>
        <v>0</v>
      </c>
      <c r="AA135" s="97">
        <f t="shared" si="25"/>
        <v>0</v>
      </c>
      <c r="AB135" s="97">
        <f t="shared" si="26"/>
        <v>0</v>
      </c>
      <c r="AC135" s="97">
        <f t="shared" si="27"/>
        <v>0</v>
      </c>
      <c r="AD135" s="97">
        <f t="shared" si="28"/>
        <v>0</v>
      </c>
    </row>
    <row r="136" spans="1:30" x14ac:dyDescent="0.25">
      <c r="A136" s="99"/>
      <c r="B136" s="99"/>
      <c r="N136" s="99"/>
      <c r="O136" s="99"/>
      <c r="T136" s="97">
        <v>132</v>
      </c>
      <c r="U136" s="97">
        <f t="shared" si="29"/>
        <v>75.212529351727142</v>
      </c>
      <c r="V136" s="97">
        <f t="shared" si="30"/>
        <v>148.37496107584775</v>
      </c>
      <c r="W136" s="97">
        <f t="shared" si="31"/>
        <v>0</v>
      </c>
      <c r="X136" s="97">
        <f t="shared" si="22"/>
        <v>36.07922813107028</v>
      </c>
      <c r="Y136" s="97">
        <f t="shared" si="23"/>
        <v>0</v>
      </c>
      <c r="Z136" s="97">
        <f t="shared" si="24"/>
        <v>0</v>
      </c>
      <c r="AA136" s="97">
        <f t="shared" si="25"/>
        <v>0</v>
      </c>
      <c r="AB136" s="97">
        <f t="shared" si="26"/>
        <v>0</v>
      </c>
      <c r="AC136" s="97">
        <f t="shared" si="27"/>
        <v>0</v>
      </c>
      <c r="AD136" s="97">
        <f t="shared" si="28"/>
        <v>0</v>
      </c>
    </row>
    <row r="137" spans="1:30" x14ac:dyDescent="0.25">
      <c r="A137" s="99"/>
      <c r="B137" s="99"/>
      <c r="N137" s="99"/>
      <c r="O137" s="99"/>
      <c r="T137" s="97">
        <v>133</v>
      </c>
      <c r="U137" s="97">
        <f t="shared" si="29"/>
        <v>75.849296491362594</v>
      </c>
      <c r="V137" s="97">
        <f t="shared" si="30"/>
        <v>147.51347756727424</v>
      </c>
      <c r="W137" s="97">
        <f t="shared" si="31"/>
        <v>0</v>
      </c>
      <c r="X137" s="97">
        <f t="shared" si="22"/>
        <v>36.07922813107028</v>
      </c>
      <c r="Y137" s="97">
        <f t="shared" si="23"/>
        <v>0</v>
      </c>
      <c r="Z137" s="97">
        <f t="shared" si="24"/>
        <v>0</v>
      </c>
      <c r="AA137" s="97">
        <f t="shared" si="25"/>
        <v>0</v>
      </c>
      <c r="AB137" s="97">
        <f t="shared" si="26"/>
        <v>0</v>
      </c>
      <c r="AC137" s="97">
        <f t="shared" si="27"/>
        <v>0</v>
      </c>
      <c r="AD137" s="97">
        <f t="shared" si="28"/>
        <v>0</v>
      </c>
    </row>
    <row r="138" spans="1:30" x14ac:dyDescent="0.25">
      <c r="A138" s="99"/>
      <c r="B138" s="99"/>
      <c r="N138" s="99"/>
      <c r="O138" s="99"/>
      <c r="T138" s="97">
        <v>134</v>
      </c>
      <c r="U138" s="97">
        <f t="shared" si="29"/>
        <v>76.481273258184018</v>
      </c>
      <c r="V138" s="97">
        <f t="shared" si="30"/>
        <v>146.67516232482063</v>
      </c>
      <c r="W138" s="97">
        <f t="shared" si="31"/>
        <v>0</v>
      </c>
      <c r="X138" s="97">
        <f t="shared" si="22"/>
        <v>36.07922813107028</v>
      </c>
      <c r="Y138" s="97">
        <f t="shared" si="23"/>
        <v>0</v>
      </c>
      <c r="Z138" s="97">
        <f t="shared" si="24"/>
        <v>0</v>
      </c>
      <c r="AA138" s="97">
        <f t="shared" si="25"/>
        <v>0</v>
      </c>
      <c r="AB138" s="97">
        <f t="shared" si="26"/>
        <v>0</v>
      </c>
      <c r="AC138" s="97">
        <f t="shared" si="27"/>
        <v>0</v>
      </c>
      <c r="AD138" s="97">
        <f t="shared" si="28"/>
        <v>0</v>
      </c>
    </row>
    <row r="139" spans="1:30" x14ac:dyDescent="0.25">
      <c r="A139" s="99"/>
      <c r="B139" s="99"/>
      <c r="N139" s="99"/>
      <c r="O139" s="99"/>
      <c r="T139" s="97">
        <v>135</v>
      </c>
      <c r="U139" s="97">
        <f t="shared" si="29"/>
        <v>77.108590321701158</v>
      </c>
      <c r="V139" s="97">
        <f t="shared" si="30"/>
        <v>145.85971424656842</v>
      </c>
      <c r="W139" s="97">
        <f t="shared" si="31"/>
        <v>0</v>
      </c>
      <c r="X139" s="97">
        <f t="shared" si="22"/>
        <v>36.07922813107028</v>
      </c>
      <c r="Y139" s="97">
        <f t="shared" si="23"/>
        <v>0</v>
      </c>
      <c r="Z139" s="97">
        <f t="shared" si="24"/>
        <v>0</v>
      </c>
      <c r="AA139" s="97">
        <f t="shared" si="25"/>
        <v>0</v>
      </c>
      <c r="AB139" s="97">
        <f t="shared" si="26"/>
        <v>0</v>
      </c>
      <c r="AC139" s="97">
        <f t="shared" si="27"/>
        <v>0</v>
      </c>
      <c r="AD139" s="97">
        <f t="shared" si="28"/>
        <v>0</v>
      </c>
    </row>
    <row r="140" spans="1:30" x14ac:dyDescent="0.25">
      <c r="A140" s="99"/>
      <c r="B140" s="99"/>
      <c r="N140" s="99"/>
      <c r="O140" s="99"/>
      <c r="T140" s="97">
        <v>136</v>
      </c>
      <c r="U140" s="97">
        <f t="shared" si="29"/>
        <v>77.731376673781014</v>
      </c>
      <c r="V140" s="97">
        <f t="shared" si="30"/>
        <v>145.06683974504432</v>
      </c>
      <c r="W140" s="97">
        <f t="shared" si="31"/>
        <v>0</v>
      </c>
      <c r="X140" s="97">
        <f t="shared" si="22"/>
        <v>36.07922813107028</v>
      </c>
      <c r="Y140" s="97">
        <f t="shared" si="23"/>
        <v>0</v>
      </c>
      <c r="Z140" s="97">
        <f t="shared" si="24"/>
        <v>0</v>
      </c>
      <c r="AA140" s="97">
        <f t="shared" si="25"/>
        <v>0</v>
      </c>
      <c r="AB140" s="97">
        <f t="shared" si="26"/>
        <v>0</v>
      </c>
      <c r="AC140" s="97">
        <f t="shared" si="27"/>
        <v>0</v>
      </c>
      <c r="AD140" s="97">
        <f t="shared" si="28"/>
        <v>0</v>
      </c>
    </row>
    <row r="141" spans="1:30" x14ac:dyDescent="0.25">
      <c r="A141" s="99"/>
      <c r="B141" s="99"/>
      <c r="N141" s="99"/>
      <c r="O141" s="99"/>
      <c r="T141" s="97">
        <v>137</v>
      </c>
      <c r="U141" s="97">
        <f t="shared" si="29"/>
        <v>78.349759672642392</v>
      </c>
      <c r="V141" s="97">
        <f t="shared" si="30"/>
        <v>144.29625293181147</v>
      </c>
      <c r="W141" s="97">
        <f t="shared" si="31"/>
        <v>0</v>
      </c>
      <c r="X141" s="97">
        <f t="shared" si="22"/>
        <v>36.07922813107028</v>
      </c>
      <c r="Y141" s="97">
        <f t="shared" si="23"/>
        <v>0</v>
      </c>
      <c r="Z141" s="97">
        <f t="shared" si="24"/>
        <v>0</v>
      </c>
      <c r="AA141" s="97">
        <f t="shared" si="25"/>
        <v>0</v>
      </c>
      <c r="AB141" s="97">
        <f t="shared" si="26"/>
        <v>0</v>
      </c>
      <c r="AC141" s="97">
        <f t="shared" si="27"/>
        <v>0</v>
      </c>
      <c r="AD141" s="97">
        <f t="shared" si="28"/>
        <v>0</v>
      </c>
    </row>
    <row r="142" spans="1:30" x14ac:dyDescent="0.25">
      <c r="A142" s="99"/>
      <c r="B142" s="99"/>
      <c r="N142" s="99"/>
      <c r="O142" s="99"/>
      <c r="T142" s="97">
        <v>138</v>
      </c>
      <c r="U142" s="97">
        <f t="shared" si="29"/>
        <v>78.963865087812536</v>
      </c>
      <c r="V142" s="97">
        <f t="shared" si="30"/>
        <v>143.5476757858456</v>
      </c>
      <c r="W142" s="97">
        <f t="shared" si="31"/>
        <v>0</v>
      </c>
      <c r="X142" s="97">
        <f t="shared" si="22"/>
        <v>36.07922813107028</v>
      </c>
      <c r="Y142" s="97">
        <f t="shared" si="23"/>
        <v>0</v>
      </c>
      <c r="Z142" s="97">
        <f t="shared" si="24"/>
        <v>0</v>
      </c>
      <c r="AA142" s="97">
        <f t="shared" si="25"/>
        <v>0</v>
      </c>
      <c r="AB142" s="97">
        <f t="shared" si="26"/>
        <v>0</v>
      </c>
      <c r="AC142" s="97">
        <f t="shared" si="27"/>
        <v>0</v>
      </c>
      <c r="AD142" s="97">
        <f t="shared" si="28"/>
        <v>0</v>
      </c>
    </row>
    <row r="143" spans="1:30" x14ac:dyDescent="0.25">
      <c r="A143" s="99"/>
      <c r="B143" s="99"/>
      <c r="N143" s="99"/>
      <c r="O143" s="99"/>
      <c r="T143" s="97">
        <v>139</v>
      </c>
      <c r="U143" s="97">
        <f t="shared" si="29"/>
        <v>79.573817145962735</v>
      </c>
      <c r="V143" s="97">
        <f t="shared" si="30"/>
        <v>142.82083830735354</v>
      </c>
      <c r="W143" s="97">
        <f t="shared" si="31"/>
        <v>0</v>
      </c>
      <c r="X143" s="97">
        <f t="shared" si="22"/>
        <v>36.07922813107028</v>
      </c>
      <c r="Y143" s="97">
        <f t="shared" si="23"/>
        <v>0</v>
      </c>
      <c r="Z143" s="97">
        <f t="shared" si="24"/>
        <v>0</v>
      </c>
      <c r="AA143" s="97">
        <f t="shared" si="25"/>
        <v>0</v>
      </c>
      <c r="AB143" s="97">
        <f t="shared" si="26"/>
        <v>0</v>
      </c>
      <c r="AC143" s="97">
        <f t="shared" si="27"/>
        <v>0</v>
      </c>
      <c r="AD143" s="97">
        <f t="shared" si="28"/>
        <v>0</v>
      </c>
    </row>
    <row r="144" spans="1:30" x14ac:dyDescent="0.25">
      <c r="A144" s="99"/>
      <c r="B144" s="99"/>
      <c r="N144" s="99"/>
      <c r="O144" s="99"/>
      <c r="T144" s="97">
        <v>140</v>
      </c>
      <c r="U144" s="97">
        <f t="shared" si="29"/>
        <v>80.179738577548619</v>
      </c>
      <c r="V144" s="97">
        <f t="shared" si="30"/>
        <v>142.11547865859853</v>
      </c>
      <c r="W144" s="97">
        <f t="shared" si="31"/>
        <v>0</v>
      </c>
      <c r="X144" s="97">
        <f t="shared" si="22"/>
        <v>36.07922813107028</v>
      </c>
      <c r="Y144" s="97">
        <f t="shared" si="23"/>
        <v>0</v>
      </c>
      <c r="Z144" s="97">
        <f t="shared" si="24"/>
        <v>0</v>
      </c>
      <c r="AA144" s="97">
        <f t="shared" si="25"/>
        <v>0</v>
      </c>
      <c r="AB144" s="97">
        <f t="shared" si="26"/>
        <v>0</v>
      </c>
      <c r="AC144" s="97">
        <f t="shared" si="27"/>
        <v>0</v>
      </c>
      <c r="AD144" s="97">
        <f t="shared" si="28"/>
        <v>0</v>
      </c>
    </row>
    <row r="145" spans="1:30" x14ac:dyDescent="0.25">
      <c r="A145" s="99"/>
      <c r="B145" s="99"/>
      <c r="N145" s="99"/>
      <c r="O145" s="99"/>
      <c r="T145" s="97">
        <v>141</v>
      </c>
      <c r="U145" s="97">
        <f t="shared" si="29"/>
        <v>80.781750664189445</v>
      </c>
      <c r="V145" s="97">
        <f t="shared" si="30"/>
        <v>141.43134329321316</v>
      </c>
      <c r="W145" s="97">
        <f t="shared" si="31"/>
        <v>0</v>
      </c>
      <c r="X145" s="97">
        <f t="shared" si="22"/>
        <v>36.07922813107028</v>
      </c>
      <c r="Y145" s="97">
        <f t="shared" si="23"/>
        <v>0</v>
      </c>
      <c r="Z145" s="97">
        <f t="shared" si="24"/>
        <v>0</v>
      </c>
      <c r="AA145" s="97">
        <f t="shared" si="25"/>
        <v>0</v>
      </c>
      <c r="AB145" s="97">
        <f t="shared" si="26"/>
        <v>0</v>
      </c>
      <c r="AC145" s="97">
        <f t="shared" si="27"/>
        <v>0</v>
      </c>
      <c r="AD145" s="97">
        <f t="shared" si="28"/>
        <v>0</v>
      </c>
    </row>
    <row r="146" spans="1:30" x14ac:dyDescent="0.25">
      <c r="A146" s="99"/>
      <c r="B146" s="99"/>
      <c r="N146" s="99"/>
      <c r="O146" s="99"/>
      <c r="T146" s="97">
        <v>142</v>
      </c>
      <c r="U146" s="97">
        <f t="shared" si="29"/>
        <v>81.379973286728458</v>
      </c>
      <c r="V146" s="97">
        <f t="shared" si="30"/>
        <v>140.7681870753959</v>
      </c>
      <c r="W146" s="97">
        <f t="shared" si="31"/>
        <v>0</v>
      </c>
      <c r="X146" s="97">
        <f t="shared" si="22"/>
        <v>36.07922813107028</v>
      </c>
      <c r="Y146" s="97">
        <f t="shared" si="23"/>
        <v>0</v>
      </c>
      <c r="Z146" s="97">
        <f t="shared" si="24"/>
        <v>0</v>
      </c>
      <c r="AA146" s="97">
        <f t="shared" si="25"/>
        <v>0</v>
      </c>
      <c r="AB146" s="97">
        <f t="shared" si="26"/>
        <v>0</v>
      </c>
      <c r="AC146" s="97">
        <f t="shared" si="27"/>
        <v>0</v>
      </c>
      <c r="AD146" s="97">
        <f t="shared" si="28"/>
        <v>0</v>
      </c>
    </row>
    <row r="147" spans="1:30" x14ac:dyDescent="0.25">
      <c r="A147" s="99"/>
      <c r="B147" s="99"/>
      <c r="N147" s="99"/>
      <c r="O147" s="99"/>
      <c r="T147" s="97">
        <v>143</v>
      </c>
      <c r="U147" s="97">
        <f t="shared" si="29"/>
        <v>81.974524973924161</v>
      </c>
      <c r="V147" s="97">
        <f t="shared" si="30"/>
        <v>140.12577339031807</v>
      </c>
      <c r="W147" s="97">
        <f t="shared" si="31"/>
        <v>0</v>
      </c>
      <c r="X147" s="97">
        <f t="shared" si="22"/>
        <v>36.07922813107028</v>
      </c>
      <c r="Y147" s="97">
        <f t="shared" si="23"/>
        <v>0</v>
      </c>
      <c r="Z147" s="97">
        <f t="shared" si="24"/>
        <v>0</v>
      </c>
      <c r="AA147" s="97">
        <f t="shared" si="25"/>
        <v>0</v>
      </c>
      <c r="AB147" s="97">
        <f t="shared" si="26"/>
        <v>0</v>
      </c>
      <c r="AC147" s="97">
        <f t="shared" si="27"/>
        <v>0</v>
      </c>
      <c r="AD147" s="97">
        <f t="shared" si="28"/>
        <v>0</v>
      </c>
    </row>
    <row r="148" spans="1:30" x14ac:dyDescent="0.25">
      <c r="A148" s="99"/>
      <c r="B148" s="99"/>
      <c r="N148" s="99"/>
      <c r="O148" s="99"/>
      <c r="T148" s="97">
        <v>144</v>
      </c>
      <c r="U148" s="97">
        <f t="shared" si="29"/>
        <v>82.565522951729449</v>
      </c>
      <c r="V148" s="97">
        <f t="shared" si="30"/>
        <v>139.50387424699505</v>
      </c>
      <c r="W148" s="97">
        <f t="shared" si="31"/>
        <v>0</v>
      </c>
      <c r="X148" s="97">
        <f t="shared" si="22"/>
        <v>36.07922813107028</v>
      </c>
      <c r="Y148" s="97">
        <f t="shared" si="23"/>
        <v>0</v>
      </c>
      <c r="Z148" s="97">
        <f t="shared" si="24"/>
        <v>0</v>
      </c>
      <c r="AA148" s="97">
        <f t="shared" si="25"/>
        <v>0</v>
      </c>
      <c r="AB148" s="97">
        <f t="shared" si="26"/>
        <v>0</v>
      </c>
      <c r="AC148" s="97">
        <f t="shared" si="27"/>
        <v>0</v>
      </c>
      <c r="AD148" s="97">
        <f t="shared" si="28"/>
        <v>0</v>
      </c>
    </row>
    <row r="149" spans="1:30" x14ac:dyDescent="0.25">
      <c r="A149" s="99"/>
      <c r="B149" s="99"/>
      <c r="N149" s="99"/>
      <c r="O149" s="99"/>
      <c r="T149" s="97">
        <v>145</v>
      </c>
      <c r="U149" s="97">
        <f t="shared" si="29"/>
        <v>83.153083193122256</v>
      </c>
      <c r="V149" s="97">
        <f t="shared" si="30"/>
        <v>138.9022703748127</v>
      </c>
      <c r="W149" s="97">
        <f t="shared" si="31"/>
        <v>0</v>
      </c>
      <c r="X149" s="97">
        <f t="shared" si="22"/>
        <v>36.07922813107028</v>
      </c>
      <c r="Y149" s="97">
        <f t="shared" si="23"/>
        <v>0</v>
      </c>
      <c r="Z149" s="97">
        <f t="shared" si="24"/>
        <v>0</v>
      </c>
      <c r="AA149" s="97">
        <f t="shared" si="25"/>
        <v>0</v>
      </c>
      <c r="AB149" s="97">
        <f t="shared" si="26"/>
        <v>0</v>
      </c>
      <c r="AC149" s="97">
        <f t="shared" si="27"/>
        <v>0</v>
      </c>
      <c r="AD149" s="97">
        <f t="shared" si="28"/>
        <v>0</v>
      </c>
    </row>
    <row r="150" spans="1:30" x14ac:dyDescent="0.25">
      <c r="A150" s="99"/>
      <c r="B150" s="99"/>
      <c r="N150" s="99"/>
      <c r="O150" s="99"/>
      <c r="T150" s="97">
        <v>146</v>
      </c>
      <c r="U150" s="97">
        <f t="shared" si="29"/>
        <v>83.737320468458094</v>
      </c>
      <c r="V150" s="97">
        <f t="shared" si="30"/>
        <v>138.32075131484123</v>
      </c>
      <c r="W150" s="97">
        <f t="shared" si="31"/>
        <v>0</v>
      </c>
      <c r="X150" s="97">
        <f t="shared" si="22"/>
        <v>36.07922813107028</v>
      </c>
      <c r="Y150" s="97">
        <f t="shared" si="23"/>
        <v>0</v>
      </c>
      <c r="Z150" s="97">
        <f t="shared" si="24"/>
        <v>0</v>
      </c>
      <c r="AA150" s="97">
        <f t="shared" si="25"/>
        <v>0</v>
      </c>
      <c r="AB150" s="97">
        <f t="shared" si="26"/>
        <v>0</v>
      </c>
      <c r="AC150" s="97">
        <f t="shared" si="27"/>
        <v>0</v>
      </c>
      <c r="AD150" s="97">
        <f t="shared" si="28"/>
        <v>0</v>
      </c>
    </row>
    <row r="151" spans="1:30" x14ac:dyDescent="0.25">
      <c r="A151" s="99"/>
      <c r="B151" s="99"/>
      <c r="N151" s="99"/>
      <c r="O151" s="99"/>
      <c r="T151" s="97">
        <v>147</v>
      </c>
      <c r="U151" s="97">
        <f t="shared" si="29"/>
        <v>84.318348396320644</v>
      </c>
      <c r="V151" s="97">
        <f t="shared" si="30"/>
        <v>137.75911550701437</v>
      </c>
      <c r="W151" s="97">
        <f t="shared" si="31"/>
        <v>0</v>
      </c>
      <c r="X151" s="97">
        <f t="shared" si="22"/>
        <v>36.07922813107028</v>
      </c>
      <c r="Y151" s="97">
        <f t="shared" si="23"/>
        <v>0</v>
      </c>
      <c r="Z151" s="97">
        <f t="shared" si="24"/>
        <v>0</v>
      </c>
      <c r="AA151" s="97">
        <f t="shared" si="25"/>
        <v>0</v>
      </c>
      <c r="AB151" s="97">
        <f t="shared" si="26"/>
        <v>0</v>
      </c>
      <c r="AC151" s="97">
        <f t="shared" si="27"/>
        <v>0</v>
      </c>
      <c r="AD151" s="97">
        <f t="shared" si="28"/>
        <v>0</v>
      </c>
    </row>
    <row r="152" spans="1:30" x14ac:dyDescent="0.25">
      <c r="A152" s="99"/>
      <c r="B152" s="99"/>
      <c r="N152" s="99"/>
      <c r="O152" s="99"/>
      <c r="T152" s="97">
        <v>148</v>
      </c>
      <c r="U152" s="97">
        <f t="shared" si="29"/>
        <v>84.896279494852834</v>
      </c>
      <c r="V152" s="97">
        <f t="shared" si="30"/>
        <v>137.21717037420214</v>
      </c>
      <c r="W152" s="97">
        <f t="shared" si="31"/>
        <v>0</v>
      </c>
      <c r="X152" s="97">
        <f t="shared" si="22"/>
        <v>36.07922813107028</v>
      </c>
      <c r="Y152" s="97">
        <f t="shared" si="23"/>
        <v>0</v>
      </c>
      <c r="Z152" s="97">
        <f t="shared" si="24"/>
        <v>0</v>
      </c>
      <c r="AA152" s="97">
        <f t="shared" si="25"/>
        <v>0</v>
      </c>
      <c r="AB152" s="97">
        <f t="shared" si="26"/>
        <v>0</v>
      </c>
      <c r="AC152" s="97">
        <f t="shared" si="27"/>
        <v>0</v>
      </c>
      <c r="AD152" s="97">
        <f t="shared" si="28"/>
        <v>0</v>
      </c>
    </row>
    <row r="153" spans="1:30" x14ac:dyDescent="0.25">
      <c r="A153" s="99"/>
      <c r="B153" s="99"/>
      <c r="N153" s="99"/>
      <c r="O153" s="99"/>
      <c r="T153" s="97">
        <v>149</v>
      </c>
      <c r="U153" s="97">
        <f t="shared" si="29"/>
        <v>85.471225233556211</v>
      </c>
      <c r="V153" s="97">
        <f t="shared" si="30"/>
        <v>136.69473240416056</v>
      </c>
      <c r="W153" s="97">
        <f t="shared" si="31"/>
        <v>0</v>
      </c>
      <c r="X153" s="97">
        <f t="shared" si="22"/>
        <v>36.07922813107028</v>
      </c>
      <c r="Y153" s="97">
        <f t="shared" si="23"/>
        <v>0</v>
      </c>
      <c r="Z153" s="97">
        <f t="shared" si="24"/>
        <v>0</v>
      </c>
      <c r="AA153" s="97">
        <f t="shared" si="25"/>
        <v>0</v>
      </c>
      <c r="AB153" s="97">
        <f t="shared" si="26"/>
        <v>0</v>
      </c>
      <c r="AC153" s="97">
        <f t="shared" si="27"/>
        <v>0</v>
      </c>
      <c r="AD153" s="97">
        <f t="shared" si="28"/>
        <v>0</v>
      </c>
    </row>
    <row r="154" spans="1:30" x14ac:dyDescent="0.25">
      <c r="A154" s="99"/>
      <c r="B154" s="99"/>
      <c r="N154" s="99"/>
      <c r="O154" s="99"/>
      <c r="T154" s="97">
        <v>150</v>
      </c>
      <c r="U154" s="97">
        <f t="shared" si="29"/>
        <v>86.043296085551816</v>
      </c>
      <c r="V154" s="97">
        <f t="shared" si="30"/>
        <v>136.19162723030126</v>
      </c>
      <c r="W154" s="97">
        <f t="shared" si="31"/>
        <v>0</v>
      </c>
      <c r="X154" s="97">
        <f t="shared" si="22"/>
        <v>36.07922813107028</v>
      </c>
      <c r="Y154" s="97">
        <f t="shared" si="23"/>
        <v>0</v>
      </c>
      <c r="Z154" s="97">
        <f t="shared" si="24"/>
        <v>0</v>
      </c>
      <c r="AA154" s="97">
        <f t="shared" si="25"/>
        <v>0</v>
      </c>
      <c r="AB154" s="97">
        <f t="shared" si="26"/>
        <v>0</v>
      </c>
      <c r="AC154" s="97">
        <f t="shared" si="27"/>
        <v>0</v>
      </c>
      <c r="AD154" s="97">
        <f t="shared" si="28"/>
        <v>0</v>
      </c>
    </row>
    <row r="155" spans="1:30" x14ac:dyDescent="0.25">
      <c r="A155" s="99"/>
      <c r="B155" s="99"/>
      <c r="N155" s="99"/>
      <c r="O155" s="99"/>
    </row>
    <row r="156" spans="1:30" x14ac:dyDescent="0.25">
      <c r="A156" s="99"/>
      <c r="B156" s="99"/>
      <c r="N156" s="99"/>
      <c r="O156" s="99"/>
    </row>
    <row r="157" spans="1:30" x14ac:dyDescent="0.25">
      <c r="A157" s="99"/>
      <c r="B157" s="99"/>
      <c r="N157" s="99"/>
      <c r="O157" s="99"/>
    </row>
    <row r="158" spans="1:30" x14ac:dyDescent="0.25">
      <c r="A158" s="99"/>
      <c r="B158" s="99"/>
      <c r="N158" s="99"/>
      <c r="O158" s="99"/>
    </row>
    <row r="159" spans="1:30" x14ac:dyDescent="0.25">
      <c r="A159" s="99"/>
      <c r="B159" s="99"/>
      <c r="N159" s="99"/>
      <c r="O159" s="99"/>
    </row>
    <row r="160" spans="1:30" x14ac:dyDescent="0.25">
      <c r="A160" s="99"/>
      <c r="B160" s="99"/>
      <c r="N160" s="99"/>
      <c r="O160" s="99"/>
    </row>
    <row r="161" spans="1:15" x14ac:dyDescent="0.25">
      <c r="A161" s="99"/>
      <c r="B161" s="99"/>
      <c r="N161" s="99"/>
      <c r="O161" s="99"/>
    </row>
    <row r="162" spans="1:15" x14ac:dyDescent="0.25">
      <c r="A162" s="99"/>
      <c r="B162" s="99"/>
      <c r="N162" s="99"/>
      <c r="O162" s="99"/>
    </row>
    <row r="163" spans="1:15" x14ac:dyDescent="0.25">
      <c r="A163" s="99"/>
      <c r="B163" s="99"/>
      <c r="N163" s="99"/>
      <c r="O163" s="99"/>
    </row>
    <row r="164" spans="1:15" x14ac:dyDescent="0.25">
      <c r="A164" s="99"/>
      <c r="B164" s="99"/>
      <c r="N164" s="99"/>
      <c r="O164" s="99"/>
    </row>
    <row r="165" spans="1:15" x14ac:dyDescent="0.25">
      <c r="A165" s="99"/>
      <c r="B165" s="99"/>
      <c r="N165" s="99"/>
      <c r="O165" s="99"/>
    </row>
    <row r="166" spans="1:15" x14ac:dyDescent="0.25">
      <c r="A166" s="99"/>
      <c r="B166" s="99"/>
      <c r="N166" s="99"/>
      <c r="O166" s="99"/>
    </row>
    <row r="167" spans="1:15" x14ac:dyDescent="0.25">
      <c r="A167" s="99"/>
      <c r="B167" s="99"/>
      <c r="N167" s="99"/>
      <c r="O167" s="99"/>
    </row>
    <row r="168" spans="1:15" x14ac:dyDescent="0.25">
      <c r="A168" s="99"/>
      <c r="B168" s="99"/>
      <c r="N168" s="99"/>
      <c r="O168" s="99"/>
    </row>
    <row r="169" spans="1:15" x14ac:dyDescent="0.25">
      <c r="A169" s="99"/>
      <c r="B169" s="99"/>
      <c r="C169" s="99"/>
      <c r="D169" s="99"/>
      <c r="E169" s="99"/>
      <c r="F169" s="99"/>
      <c r="G169" s="99"/>
      <c r="H169" s="99"/>
      <c r="I169" s="99"/>
      <c r="J169" s="99"/>
      <c r="K169" s="99"/>
      <c r="L169" s="99"/>
      <c r="M169" s="99"/>
      <c r="N169" s="99"/>
      <c r="O169" s="99"/>
    </row>
    <row r="170" spans="1:15" x14ac:dyDescent="0.25">
      <c r="A170" s="99"/>
      <c r="B170" s="99"/>
      <c r="C170" s="99"/>
      <c r="D170" s="99"/>
      <c r="E170" s="99"/>
      <c r="F170" s="99"/>
      <c r="G170" s="99"/>
      <c r="H170" s="99"/>
      <c r="I170" s="99"/>
      <c r="J170" s="99"/>
      <c r="K170" s="99"/>
      <c r="L170" s="99"/>
      <c r="M170" s="99"/>
      <c r="N170" s="99"/>
      <c r="O170" s="99"/>
    </row>
    <row r="171" spans="1:15" x14ac:dyDescent="0.25">
      <c r="A171" s="99"/>
      <c r="B171" s="99"/>
      <c r="C171" s="99"/>
      <c r="D171" s="99"/>
      <c r="E171" s="99"/>
      <c r="F171" s="99"/>
      <c r="G171" s="99"/>
      <c r="H171" s="99"/>
      <c r="I171" s="99"/>
      <c r="J171" s="99"/>
      <c r="K171" s="99"/>
      <c r="L171" s="99"/>
      <c r="M171" s="99"/>
      <c r="N171" s="99"/>
      <c r="O171" s="99"/>
    </row>
    <row r="172" spans="1:15" x14ac:dyDescent="0.25">
      <c r="A172" s="99"/>
      <c r="B172" s="99"/>
      <c r="C172" s="99"/>
      <c r="D172" s="99"/>
      <c r="E172" s="99"/>
      <c r="F172" s="99"/>
      <c r="G172" s="99"/>
      <c r="H172" s="99"/>
      <c r="I172" s="99"/>
      <c r="J172" s="99"/>
      <c r="K172" s="99"/>
      <c r="L172" s="99"/>
      <c r="M172" s="99"/>
      <c r="N172" s="99"/>
      <c r="O172" s="99"/>
    </row>
  </sheetData>
  <mergeCells count="1">
    <mergeCell ref="M9:N9"/>
  </mergeCells>
  <conditionalFormatting sqref="M12">
    <cfRule type="cellIs" dxfId="2" priority="1" operator="equal">
      <formula>0</formula>
    </cfRule>
    <cfRule type="cellIs" dxfId="1" priority="2" operator="between">
      <formula>MAX($C$8:$J$8,$C$10:$J$10)</formula>
      <formula>0</formula>
    </cfRule>
  </conditionalFormatting>
  <dataValidations count="1">
    <dataValidation type="list" allowBlank="1" showInputMessage="1" showErrorMessage="1" sqref="M9:N9">
      <formula1>"No Compressor,1.1 Pump,Viair 90C"</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499984740745262"/>
  </sheetPr>
  <dimension ref="B2:P31"/>
  <sheetViews>
    <sheetView workbookViewId="0">
      <selection activeCell="B2" sqref="B2"/>
    </sheetView>
  </sheetViews>
  <sheetFormatPr defaultRowHeight="15" x14ac:dyDescent="0.25"/>
  <cols>
    <col min="2" max="2" width="11.85546875" customWidth="1"/>
    <col min="5" max="5" width="9.140625" customWidth="1"/>
    <col min="6" max="6" width="11.5703125" customWidth="1"/>
    <col min="10" max="10" width="10.5703125" customWidth="1"/>
  </cols>
  <sheetData>
    <row r="2" spans="2:16" ht="31.5" x14ac:dyDescent="0.25">
      <c r="B2" s="58" t="s">
        <v>349</v>
      </c>
    </row>
    <row r="4" spans="2:16" ht="18.75" x14ac:dyDescent="0.3">
      <c r="B4" s="32" t="s">
        <v>169</v>
      </c>
      <c r="F4" s="32" t="s">
        <v>170</v>
      </c>
    </row>
    <row r="5" spans="2:16" x14ac:dyDescent="0.25">
      <c r="J5" s="1" t="s">
        <v>360</v>
      </c>
      <c r="K5" s="2" t="s">
        <v>170</v>
      </c>
    </row>
    <row r="6" spans="2:16" x14ac:dyDescent="0.25">
      <c r="B6" s="1" t="s">
        <v>350</v>
      </c>
      <c r="C6" s="2">
        <v>40</v>
      </c>
      <c r="F6" s="1" t="s">
        <v>352</v>
      </c>
      <c r="G6" s="2">
        <v>100</v>
      </c>
    </row>
    <row r="7" spans="2:16" x14ac:dyDescent="0.25">
      <c r="B7" s="1" t="s">
        <v>351</v>
      </c>
      <c r="C7" s="2">
        <v>60</v>
      </c>
      <c r="F7" s="1" t="s">
        <v>355</v>
      </c>
      <c r="G7" s="2">
        <v>100</v>
      </c>
      <c r="O7">
        <v>0</v>
      </c>
      <c r="P7">
        <v>0</v>
      </c>
    </row>
    <row r="8" spans="2:16" x14ac:dyDescent="0.25">
      <c r="B8" s="1" t="s">
        <v>352</v>
      </c>
      <c r="C8" s="2">
        <v>100</v>
      </c>
      <c r="F8" s="1" t="s">
        <v>354</v>
      </c>
      <c r="G8" s="2">
        <v>50</v>
      </c>
      <c r="H8" s="5">
        <f>G8+G7</f>
        <v>150</v>
      </c>
      <c r="O8">
        <f>-IF($K$5="Forward", C6, G12)</f>
        <v>-49.834650587371613</v>
      </c>
      <c r="P8">
        <f>IF($K$5="Forward", C7, G13)</f>
        <v>8.4645381642103246</v>
      </c>
    </row>
    <row r="9" spans="2:16" x14ac:dyDescent="0.25">
      <c r="B9" s="1" t="s">
        <v>355</v>
      </c>
      <c r="C9" s="2">
        <v>80</v>
      </c>
      <c r="F9" s="1" t="s">
        <v>356</v>
      </c>
      <c r="G9" s="2">
        <v>95</v>
      </c>
      <c r="H9" s="5">
        <f>RADIANS(G9)</f>
        <v>1.6580627893946132</v>
      </c>
      <c r="O9">
        <f>IF($K$5="Forward", C8*COS(RADIANS(C12)), G6*COS(H9))</f>
        <v>-8.7155742747658227</v>
      </c>
      <c r="P9">
        <f>IF($K$5="Forward", C8*SIN(RADIANS(C12)), G6*SIN(H9))</f>
        <v>99.619469809174561</v>
      </c>
    </row>
    <row r="10" spans="2:16" x14ac:dyDescent="0.25">
      <c r="B10" s="1" t="s">
        <v>354</v>
      </c>
      <c r="C10" s="2">
        <v>50</v>
      </c>
      <c r="D10" s="5">
        <f>C10+C9</f>
        <v>130</v>
      </c>
      <c r="F10" s="1" t="s">
        <v>357</v>
      </c>
      <c r="G10" s="2">
        <v>-20</v>
      </c>
      <c r="H10" s="5">
        <f>RADIANS(G10)</f>
        <v>-0.3490658503988659</v>
      </c>
      <c r="O10">
        <f>IF($K$5="Forward", C8*COS(RADIANS(C13)), G6*COS(H10))</f>
        <v>93.969262078590845</v>
      </c>
      <c r="P10">
        <f>IF($K$5="Forward", C8*SIN(RADIANS(C13)), G6*SIN(H10))</f>
        <v>-34.202014332566868</v>
      </c>
    </row>
    <row r="12" spans="2:16" x14ac:dyDescent="0.25">
      <c r="B12" s="1" t="s">
        <v>356</v>
      </c>
      <c r="C12" s="258">
        <f>DEGREES(2*ATAN((2*C7*C8-SQRT(-(C6^2+C7^2-(C8-C9)^2)*(C6^2+C7^2-(C8+C9)^2)))/((C6-C8)^2+C7^2-C9^2)))</f>
        <v>71.291879222359697</v>
      </c>
      <c r="F12" s="1" t="s">
        <v>350</v>
      </c>
      <c r="G12" s="256">
        <f>(4*G7^2*G6*COS(H9) - 4*H8^2*G6*COS(H9) - 4*G6^3*COS(H9)^3 - 4*G7^2*G6*COS(H10) + 4*H8^2*G6*COS(H10) + 4*G6^3*COS(H9)^2*COS(H10) + 4*G6^3*COS(H9)*COS(H10)^2 - 4*G6^3*COS(H10)^3 - 4*G6^3*COS(H9)*SIN(H9)^2 - 4*G6^3*COS(H10)*SIN(H9)^2 + 8*G6^3*COS(H9)*SIN(H9)*SIN(H10) + 8*G6^3*COS(H10)*SIN(H9)*SIN(H10) - 4*G6^3*COS(H9)*SIN(H10)^2 - 4*G6^3*COS(H10)*SIN(H10)^2 + SQRT((-4*G7^2*G6*COS(H9) + 4*H8^2*G6*COS(H9) + 4*G6^3*COS(H9)^3 + 4*G7^2*G6*COS(H10) - 4*H8^2*G6*COS(H10) - 4*G6^3*COS(H9)^2*COS(H10) - 4*G6^3*COS(H9)*COS(H10)^2 + 4*G6^3*COS(H10)^3 + 4*G6^3*COS(H9)*SIN(H9)^2 + 4*G6^3*COS(H10)*SIN(H9)^2 - 8*G6^3*COS(H9)*SIN(H9)*SIN(H10) - 8*G6^3*COS(H10)*SIN(H9)*SIN(H10) + 4*G6^3*COS(H9)*SIN(H10)^2 + 4*G6^3*COS(H10)*SIN(H10)^2)^2 - 4*(4*G6^2*COS(H9)^2 - 8*G6^2*COS(H9)*COS(H10) + 4*G6^2*COS(H10)^2 + 4*G6^2*SIN(H9)^2 - 8*G6^2*SIN(H9)*SIN(H10) + 4*G6^2*SIN(H10)^2)*(G7^4 - 2*G7^2*H8^2 + H8^4 - 2*G7^2*G6^2*COS(H9)^2 + 2*H8^2*G6^2*COS(H9)^2 + G6^4*COS(H9)^4 + 2*G7^2*G6^2*COS(H10)^2 - 2*H8^2*G6^2*COS(H10)^2 - 2*G6^4*COS(H9)^2*COS(H10)^2 + G6^4*COS(H10)^4 - 2*G7^2*G6^2*SIN(H9)^2 - 2*H8^2*G6^2*SIN(H9)^2 + 2*G6^4*COS(H9)^2*SIN(H9)^2 + 2*G6^4*COS(H10)^2*SIN(H9)^2 + G6^4*SIN(H9)^4 + 4*G7^2*G6^2*SIN(H9)*SIN(H10) + 4*H8^2*G6^2*SIN(H9)*SIN(H10) - 4*G6^4*COS(H9)^2*SIN(H9)*SIN(H10) - 4*G6^4*COS(H10)^2*SIN(H9)*SIN(H10) - 4*G6^4*SIN(H9)^3*SIN(H10) - 2*G7^2*G6^2*SIN(H10)^2 - 2*H8^2*G6^2*SIN(H10)^2 + 2*G6^4*COS(H9)^2*SIN(H10)^2 + 2*G6^4*COS(H10)^2*SIN(H10)^2 + 6*G6^4*SIN(H9)^2*SIN(H10)^2 - 4*G6^4*SIN(H9)*SIN(H10)^3 + G6^4*SIN(H10)^4)))/(2*(4*G6^2*COS(H9)^2 - 8*G6^2*COS(H9)*COS(H10) + 4*G6^2*COS(H10)^2 + 4*G6^2*SIN(H9)^2 - 8*G6^2*SIN(H9)*SIN(H10) + 4*G6^2*SIN(H10)^2))</f>
        <v>49.834650587371613</v>
      </c>
      <c r="H12">
        <f>DEGREES(ATAN2($G$12+$G$6*COS(H9), $G$6*SIN(H9)-$G$13))</f>
        <v>65.720341346335303</v>
      </c>
      <c r="O12">
        <f>MAX(O7:P10)</f>
        <v>99.619469809174561</v>
      </c>
      <c r="P12">
        <f>MIN(O7:P10)</f>
        <v>-49.834650587371613</v>
      </c>
    </row>
    <row r="13" spans="2:16" x14ac:dyDescent="0.25">
      <c r="B13" s="1" t="s">
        <v>357</v>
      </c>
      <c r="C13" s="259">
        <f>DEGREES(2*ATAN((2*C7*C8-SQRT(-(C6^2+C7^2-(C8-D10)^2)*(C6^2+C7^2-(C8+D10)^2)))/((C6-C8)^2+C7^2-D10^2)))</f>
        <v>26.920658635456082</v>
      </c>
      <c r="F13" s="1" t="s">
        <v>351</v>
      </c>
      <c r="G13" s="256">
        <f>G6*SIN(H9)-SQRT(G7^2-(G12+G6*COS(H9))^2)</f>
        <v>8.4645381642103246</v>
      </c>
      <c r="H13">
        <f>DEGREES(ATAN2($G$12+$G$6*COS(H10), $G$6*SIN(H10)-$G$13))</f>
        <v>-16.525597741039942</v>
      </c>
    </row>
    <row r="30" spans="10:10" x14ac:dyDescent="0.25">
      <c r="J30" s="4" t="s">
        <v>358</v>
      </c>
    </row>
    <row r="31" spans="10:10" x14ac:dyDescent="0.25">
      <c r="J31" s="4" t="s">
        <v>359</v>
      </c>
    </row>
  </sheetData>
  <conditionalFormatting sqref="G12:G13">
    <cfRule type="expression" dxfId="0" priority="1">
      <formula>"OR(OR($G$12&lt;0, $G$13&lt;0), OR($H$12&gt;$G$9, $H$13&gt;$G$10))"</formula>
    </cfRule>
  </conditionalFormatting>
  <dataValidations disablePrompts="1" count="1">
    <dataValidation type="list" allowBlank="1" showInputMessage="1" showErrorMessage="1" sqref="K5">
      <formula1>"Forward,Reverse"</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2:AF37"/>
  <sheetViews>
    <sheetView zoomScaleNormal="100" workbookViewId="0">
      <selection activeCell="I33" sqref="I33"/>
    </sheetView>
  </sheetViews>
  <sheetFormatPr defaultRowHeight="15" x14ac:dyDescent="0.25"/>
  <cols>
    <col min="1" max="1" width="9.140625" style="57"/>
    <col min="2" max="2" width="9.85546875" style="57" customWidth="1"/>
    <col min="3" max="6" width="8.140625" style="57" customWidth="1"/>
    <col min="7" max="7" width="11.28515625" style="57" customWidth="1"/>
    <col min="8" max="8" width="17.140625" style="57" customWidth="1"/>
    <col min="9" max="12" width="18" style="57" customWidth="1"/>
    <col min="13" max="13" width="11.5703125" style="57" customWidth="1"/>
    <col min="14" max="17" width="11.28515625" style="57" customWidth="1"/>
    <col min="18" max="18" width="11.42578125" style="57" customWidth="1"/>
    <col min="19" max="19" width="11.28515625" style="57" customWidth="1"/>
    <col min="20" max="20" width="12.5703125" style="57" customWidth="1"/>
    <col min="21" max="21" width="11.28515625" style="57" customWidth="1"/>
    <col min="22" max="22" width="13" style="57" customWidth="1"/>
    <col min="23" max="23" width="12.42578125" style="57" customWidth="1"/>
    <col min="24" max="24" width="11.28515625" style="57" customWidth="1"/>
    <col min="25" max="28" width="9.28515625" style="57" customWidth="1"/>
    <col min="29" max="29" width="11.28515625" style="57" customWidth="1"/>
    <col min="30" max="32" width="10.5703125" style="57" customWidth="1"/>
    <col min="33" max="16384" width="9.140625" style="57"/>
  </cols>
  <sheetData>
    <row r="2" spans="1:32" ht="31.5" x14ac:dyDescent="0.25">
      <c r="B2" s="58" t="s">
        <v>45</v>
      </c>
      <c r="H2" s="58" t="s">
        <v>51</v>
      </c>
      <c r="O2" s="58" t="s">
        <v>280</v>
      </c>
      <c r="P2" s="58"/>
      <c r="Y2" s="58" t="s">
        <v>299</v>
      </c>
      <c r="AD2" s="58" t="s">
        <v>331</v>
      </c>
    </row>
    <row r="4" spans="1:32" ht="14.45" customHeight="1" x14ac:dyDescent="0.25">
      <c r="B4" s="181"/>
      <c r="C4" s="176" t="s">
        <v>0</v>
      </c>
      <c r="D4" s="177" t="s">
        <v>47</v>
      </c>
      <c r="E4" s="177" t="s">
        <v>276</v>
      </c>
      <c r="F4" s="170" t="s">
        <v>273</v>
      </c>
      <c r="H4" s="6"/>
      <c r="I4" s="26" t="s">
        <v>155</v>
      </c>
      <c r="J4" s="27" t="s">
        <v>156</v>
      </c>
      <c r="K4" s="27" t="s">
        <v>24</v>
      </c>
      <c r="L4" s="27" t="s">
        <v>26</v>
      </c>
      <c r="M4" s="28" t="s">
        <v>27</v>
      </c>
      <c r="O4" s="24" t="s">
        <v>54</v>
      </c>
      <c r="P4" s="24" t="s">
        <v>96</v>
      </c>
      <c r="Q4" s="142" t="s">
        <v>106</v>
      </c>
      <c r="R4" s="25" t="s">
        <v>103</v>
      </c>
      <c r="S4" s="24" t="s">
        <v>100</v>
      </c>
      <c r="T4" s="24" t="s">
        <v>101</v>
      </c>
      <c r="U4" s="24" t="s">
        <v>97</v>
      </c>
      <c r="V4" s="24" t="s">
        <v>281</v>
      </c>
      <c r="W4" s="24" t="s">
        <v>278</v>
      </c>
      <c r="X4" s="198"/>
      <c r="Y4" s="249" t="s">
        <v>307</v>
      </c>
      <c r="Z4" s="250" t="s">
        <v>300</v>
      </c>
      <c r="AA4" s="250" t="s">
        <v>308</v>
      </c>
      <c r="AB4" s="248" t="s">
        <v>301</v>
      </c>
      <c r="AC4" s="222"/>
      <c r="AD4" s="249" t="s">
        <v>332</v>
      </c>
      <c r="AE4" s="251" t="s">
        <v>333</v>
      </c>
      <c r="AF4" s="252" t="s">
        <v>334</v>
      </c>
    </row>
    <row r="5" spans="1:32" x14ac:dyDescent="0.25">
      <c r="B5" s="26" t="s">
        <v>46</v>
      </c>
      <c r="C5" s="178">
        <v>6.35</v>
      </c>
      <c r="D5" s="174">
        <v>9</v>
      </c>
      <c r="E5" s="173">
        <v>5.9</v>
      </c>
      <c r="F5" s="175">
        <v>0.31</v>
      </c>
      <c r="H5" s="18" t="s">
        <v>13</v>
      </c>
      <c r="I5" s="23">
        <v>5330</v>
      </c>
      <c r="J5" s="20">
        <v>2.41</v>
      </c>
      <c r="K5" s="20">
        <v>131</v>
      </c>
      <c r="L5" s="20">
        <v>2.7</v>
      </c>
      <c r="M5" s="21">
        <f t="shared" ref="M5:M21" si="0">I5/2*(1/60*2*PI())*J5/2</f>
        <v>336.28916760964142</v>
      </c>
      <c r="O5" s="143">
        <v>15.306122448979592</v>
      </c>
      <c r="P5" s="143" t="s">
        <v>78</v>
      </c>
      <c r="Q5" s="144" t="s">
        <v>110</v>
      </c>
      <c r="R5" s="160" t="s">
        <v>74</v>
      </c>
      <c r="S5" s="152">
        <v>5.95</v>
      </c>
      <c r="T5" s="201" t="s">
        <v>286</v>
      </c>
      <c r="U5" s="143">
        <v>4.7699999999999996</v>
      </c>
      <c r="V5" s="143">
        <v>4.7699999999999996</v>
      </c>
      <c r="W5" s="152">
        <v>4</v>
      </c>
      <c r="X5" s="198"/>
      <c r="Y5" s="234">
        <v>16</v>
      </c>
      <c r="Z5" s="233">
        <v>32</v>
      </c>
      <c r="AA5" s="229">
        <v>12</v>
      </c>
      <c r="AB5" s="68">
        <v>22</v>
      </c>
      <c r="AC5" s="222"/>
      <c r="AD5" s="242">
        <v>30</v>
      </c>
      <c r="AE5" s="246">
        <v>30</v>
      </c>
      <c r="AF5" s="62">
        <v>45</v>
      </c>
    </row>
    <row r="6" spans="1:32" x14ac:dyDescent="0.25">
      <c r="B6" s="26" t="s">
        <v>48</v>
      </c>
      <c r="C6" s="179">
        <v>9.5299999999999994</v>
      </c>
      <c r="D6" s="147">
        <v>11.76</v>
      </c>
      <c r="E6" s="147">
        <v>8.94</v>
      </c>
      <c r="F6" s="171">
        <v>0.41</v>
      </c>
      <c r="H6" s="19" t="s">
        <v>37</v>
      </c>
      <c r="I6" s="15">
        <v>5840</v>
      </c>
      <c r="J6" s="9">
        <v>1.41</v>
      </c>
      <c r="K6" s="9">
        <v>89</v>
      </c>
      <c r="L6" s="9">
        <v>3</v>
      </c>
      <c r="M6" s="22">
        <f t="shared" si="0"/>
        <v>215.57608788933157</v>
      </c>
      <c r="O6" s="146">
        <v>16.483516483516482</v>
      </c>
      <c r="P6" s="146" t="s">
        <v>77</v>
      </c>
      <c r="R6" s="160" t="s">
        <v>75</v>
      </c>
      <c r="S6" s="145">
        <v>6.94</v>
      </c>
      <c r="T6" s="202" t="s">
        <v>287</v>
      </c>
      <c r="U6" s="146">
        <v>6</v>
      </c>
      <c r="V6" s="146">
        <v>6</v>
      </c>
      <c r="W6" s="145">
        <v>12</v>
      </c>
      <c r="X6" s="198"/>
      <c r="Y6" s="235" t="s">
        <v>305</v>
      </c>
      <c r="Z6" s="232">
        <v>34</v>
      </c>
      <c r="AA6" s="230" t="s">
        <v>309</v>
      </c>
      <c r="AB6" s="68">
        <v>24</v>
      </c>
      <c r="AC6" s="222"/>
      <c r="AD6" s="243">
        <v>40</v>
      </c>
      <c r="AE6" s="247">
        <v>45</v>
      </c>
      <c r="AF6" s="62">
        <v>50</v>
      </c>
    </row>
    <row r="7" spans="1:32" x14ac:dyDescent="0.25">
      <c r="B7" s="26" t="s">
        <v>49</v>
      </c>
      <c r="C7" s="179">
        <v>5</v>
      </c>
      <c r="D7" s="191">
        <v>15</v>
      </c>
      <c r="E7" s="147">
        <v>3</v>
      </c>
      <c r="F7" s="148">
        <v>-0.03</v>
      </c>
      <c r="H7" s="19" t="s">
        <v>38</v>
      </c>
      <c r="I7" s="15">
        <v>13180</v>
      </c>
      <c r="J7" s="9">
        <v>0.43</v>
      </c>
      <c r="K7" s="9">
        <v>53</v>
      </c>
      <c r="L7" s="9">
        <v>1.8</v>
      </c>
      <c r="M7" s="22">
        <f t="shared" si="0"/>
        <v>148.37218504128995</v>
      </c>
      <c r="O7" s="146">
        <v>17.857142857142858</v>
      </c>
      <c r="P7" s="146" t="s">
        <v>80</v>
      </c>
      <c r="Q7" s="24" t="s">
        <v>55</v>
      </c>
      <c r="R7" s="160" t="s">
        <v>76</v>
      </c>
      <c r="S7" s="145">
        <v>8.4499999999999993</v>
      </c>
      <c r="T7" s="202" t="s">
        <v>288</v>
      </c>
      <c r="U7" s="146">
        <v>7.56</v>
      </c>
      <c r="V7" s="146">
        <v>7.56</v>
      </c>
      <c r="W7" s="145">
        <v>16</v>
      </c>
      <c r="X7" s="198"/>
      <c r="Y7" s="235" t="s">
        <v>302</v>
      </c>
      <c r="Z7" s="232">
        <v>36</v>
      </c>
      <c r="AA7" s="230">
        <v>15</v>
      </c>
      <c r="AB7" s="68">
        <v>26</v>
      </c>
      <c r="AC7" s="222"/>
      <c r="AD7" s="243">
        <v>45</v>
      </c>
      <c r="AE7" s="247">
        <v>55</v>
      </c>
      <c r="AF7" s="62">
        <v>55</v>
      </c>
    </row>
    <row r="8" spans="1:32" x14ac:dyDescent="0.25">
      <c r="B8" s="26" t="s">
        <v>50</v>
      </c>
      <c r="C8" s="180">
        <v>3</v>
      </c>
      <c r="D8" s="172">
        <v>9</v>
      </c>
      <c r="E8" s="150">
        <v>3</v>
      </c>
      <c r="F8" s="169">
        <v>0</v>
      </c>
      <c r="H8" s="19" t="s">
        <v>153</v>
      </c>
      <c r="I8" s="14">
        <v>18730</v>
      </c>
      <c r="J8" s="8">
        <v>0.71</v>
      </c>
      <c r="K8" s="8">
        <v>134</v>
      </c>
      <c r="L8" s="8">
        <v>0.7</v>
      </c>
      <c r="M8" s="22">
        <f t="shared" si="0"/>
        <v>348.14867987694288</v>
      </c>
      <c r="O8" s="146">
        <v>19.480519480519483</v>
      </c>
      <c r="P8" s="146" t="s">
        <v>79</v>
      </c>
      <c r="Q8" s="152">
        <v>5.33</v>
      </c>
      <c r="R8" s="160" t="s">
        <v>71</v>
      </c>
      <c r="S8" s="145">
        <v>9.8699999999999992</v>
      </c>
      <c r="T8" s="203" t="s">
        <v>289</v>
      </c>
      <c r="U8" s="146">
        <v>10.86</v>
      </c>
      <c r="V8" s="146">
        <v>10.86</v>
      </c>
      <c r="W8" s="145">
        <v>20</v>
      </c>
      <c r="X8" s="198"/>
      <c r="Y8" s="235">
        <v>18</v>
      </c>
      <c r="Z8" s="232">
        <v>38</v>
      </c>
      <c r="AA8" s="231" t="s">
        <v>310</v>
      </c>
      <c r="AB8" s="68">
        <v>28</v>
      </c>
      <c r="AC8" s="222"/>
      <c r="AD8" s="243">
        <v>48</v>
      </c>
      <c r="AE8" s="247">
        <v>60</v>
      </c>
      <c r="AF8" s="62">
        <v>60</v>
      </c>
    </row>
    <row r="9" spans="1:32" x14ac:dyDescent="0.25">
      <c r="H9" s="19" t="s">
        <v>245</v>
      </c>
      <c r="I9" s="182">
        <v>5676</v>
      </c>
      <c r="J9" s="185">
        <v>2.6</v>
      </c>
      <c r="K9" s="10">
        <v>105</v>
      </c>
      <c r="L9" s="10">
        <v>1.8</v>
      </c>
      <c r="M9" s="188">
        <f t="shared" si="0"/>
        <v>386.35306453847278</v>
      </c>
      <c r="O9" s="146">
        <v>9.6428571428571441</v>
      </c>
      <c r="P9" s="146" t="s">
        <v>81</v>
      </c>
      <c r="Q9" s="145">
        <v>6</v>
      </c>
      <c r="R9" s="160" t="s">
        <v>72</v>
      </c>
      <c r="S9" s="154">
        <v>10.71</v>
      </c>
      <c r="U9" s="155">
        <v>16.37</v>
      </c>
      <c r="V9" s="155">
        <v>16.37</v>
      </c>
      <c r="W9" s="145">
        <v>36</v>
      </c>
      <c r="X9" s="198"/>
      <c r="Y9" s="235" t="s">
        <v>303</v>
      </c>
      <c r="Z9" s="68">
        <v>40</v>
      </c>
      <c r="AA9" s="228"/>
      <c r="AB9" s="222">
        <v>30</v>
      </c>
      <c r="AC9" s="222"/>
      <c r="AD9" s="243">
        <v>55</v>
      </c>
      <c r="AE9" s="247">
        <v>70</v>
      </c>
      <c r="AF9" s="62">
        <v>70</v>
      </c>
    </row>
    <row r="10" spans="1:32" ht="14.45" customHeight="1" x14ac:dyDescent="0.25">
      <c r="A10" s="68"/>
      <c r="H10" s="19" t="s">
        <v>39</v>
      </c>
      <c r="I10" s="14">
        <v>5800</v>
      </c>
      <c r="J10" s="12">
        <v>0.28000000000000003</v>
      </c>
      <c r="K10" s="8">
        <v>18</v>
      </c>
      <c r="L10" s="8">
        <v>1.6</v>
      </c>
      <c r="M10" s="22">
        <f t="shared" si="0"/>
        <v>42.516220578581873</v>
      </c>
      <c r="O10" s="146">
        <v>10.384615384615385</v>
      </c>
      <c r="P10" s="146" t="s">
        <v>82</v>
      </c>
      <c r="Q10" s="156">
        <v>7</v>
      </c>
      <c r="R10" s="160" t="s">
        <v>73</v>
      </c>
      <c r="S10" s="154">
        <v>12.5</v>
      </c>
      <c r="T10" s="24" t="s">
        <v>277</v>
      </c>
      <c r="U10" s="155">
        <v>22.67</v>
      </c>
      <c r="V10" s="196">
        <v>22.67</v>
      </c>
      <c r="W10" s="145">
        <v>48</v>
      </c>
      <c r="X10" s="198"/>
      <c r="Y10" s="235">
        <v>22</v>
      </c>
      <c r="Z10" s="68">
        <v>42</v>
      </c>
      <c r="AA10" s="222"/>
      <c r="AB10" s="222">
        <v>32</v>
      </c>
      <c r="AC10" s="222"/>
      <c r="AD10" s="243">
        <v>60</v>
      </c>
      <c r="AE10" s="247">
        <v>80</v>
      </c>
      <c r="AF10" s="62">
        <v>85</v>
      </c>
    </row>
    <row r="11" spans="1:32" ht="14.45" customHeight="1" x14ac:dyDescent="0.25">
      <c r="H11" s="19" t="s">
        <v>40</v>
      </c>
      <c r="I11" s="16">
        <v>14270</v>
      </c>
      <c r="J11" s="10">
        <v>0.36</v>
      </c>
      <c r="K11" s="11">
        <v>71</v>
      </c>
      <c r="L11" s="10">
        <v>3.7</v>
      </c>
      <c r="M11" s="22">
        <f t="shared" si="0"/>
        <v>134.49158150017902</v>
      </c>
      <c r="O11" s="146">
        <v>11.250000000000002</v>
      </c>
      <c r="P11" s="146" t="s">
        <v>83</v>
      </c>
      <c r="R11" s="149" t="s">
        <v>68</v>
      </c>
      <c r="S11" s="146">
        <v>12.75</v>
      </c>
      <c r="T11" s="152">
        <v>5.95</v>
      </c>
      <c r="U11" s="157">
        <v>5.45</v>
      </c>
      <c r="W11" s="145">
        <v>64</v>
      </c>
      <c r="X11" s="198"/>
      <c r="Y11" s="235" t="s">
        <v>306</v>
      </c>
      <c r="Z11" s="68">
        <v>44</v>
      </c>
      <c r="AA11" s="224"/>
      <c r="AB11" s="225">
        <v>33</v>
      </c>
      <c r="AC11" s="222"/>
      <c r="AD11" s="243">
        <v>70</v>
      </c>
      <c r="AE11" s="247">
        <v>85</v>
      </c>
      <c r="AF11" s="62">
        <v>90</v>
      </c>
    </row>
    <row r="12" spans="1:32" ht="14.45" customHeight="1" x14ac:dyDescent="0.25">
      <c r="H12" s="19" t="s">
        <v>107</v>
      </c>
      <c r="I12" s="17">
        <v>5508</v>
      </c>
      <c r="J12" s="13">
        <v>3.82</v>
      </c>
      <c r="K12" s="10">
        <v>220</v>
      </c>
      <c r="L12" s="10">
        <v>8.16</v>
      </c>
      <c r="M12" s="22">
        <f t="shared" si="0"/>
        <v>550.84057269512709</v>
      </c>
      <c r="O12" s="146">
        <v>12.272727272727275</v>
      </c>
      <c r="P12" s="146" t="s">
        <v>84</v>
      </c>
      <c r="Q12" s="25" t="s">
        <v>56</v>
      </c>
      <c r="R12" s="149" t="s">
        <v>69</v>
      </c>
      <c r="S12" s="158">
        <v>14.88</v>
      </c>
      <c r="T12" s="145">
        <v>8.4499999999999993</v>
      </c>
      <c r="U12" s="155">
        <v>6.86</v>
      </c>
      <c r="V12" s="24" t="s">
        <v>282</v>
      </c>
      <c r="W12" s="62">
        <v>80</v>
      </c>
      <c r="X12" s="198"/>
      <c r="Y12" s="235">
        <v>24</v>
      </c>
      <c r="Z12" s="68">
        <v>48</v>
      </c>
      <c r="AA12" s="224"/>
      <c r="AB12" s="225">
        <v>36</v>
      </c>
      <c r="AC12" s="222"/>
      <c r="AD12" s="243">
        <v>80</v>
      </c>
      <c r="AE12" s="247">
        <v>90</v>
      </c>
      <c r="AF12" s="62">
        <v>100</v>
      </c>
    </row>
    <row r="13" spans="1:32" ht="14.45" customHeight="1" x14ac:dyDescent="0.25">
      <c r="H13" s="19" t="s">
        <v>108</v>
      </c>
      <c r="I13" s="17">
        <v>5593</v>
      </c>
      <c r="J13" s="10">
        <v>5.23</v>
      </c>
      <c r="K13" s="10">
        <v>309</v>
      </c>
      <c r="L13" s="10">
        <v>9.6199999999999992</v>
      </c>
      <c r="M13" s="22">
        <f t="shared" si="0"/>
        <v>765.79959942741618</v>
      </c>
      <c r="O13" s="146">
        <v>7.4404761904761916</v>
      </c>
      <c r="P13" s="146" t="s">
        <v>85</v>
      </c>
      <c r="Q13" s="145">
        <v>4.17</v>
      </c>
      <c r="R13" s="149" t="s">
        <v>70</v>
      </c>
      <c r="T13" s="154">
        <v>10.71</v>
      </c>
      <c r="U13" s="155">
        <v>8.6300000000000008</v>
      </c>
      <c r="V13" s="145">
        <v>13.58</v>
      </c>
      <c r="W13" s="151">
        <v>100</v>
      </c>
      <c r="X13" s="198"/>
      <c r="Y13" s="236" t="s">
        <v>304</v>
      </c>
      <c r="Z13" s="68">
        <v>54</v>
      </c>
      <c r="AA13" s="224"/>
      <c r="AB13" s="225">
        <v>42</v>
      </c>
      <c r="AC13" s="222"/>
      <c r="AD13" s="243">
        <v>90</v>
      </c>
      <c r="AE13" s="247">
        <v>100</v>
      </c>
      <c r="AF13" s="62">
        <v>105</v>
      </c>
    </row>
    <row r="14" spans="1:32" s="69" customFormat="1" ht="14.45" customHeight="1" x14ac:dyDescent="0.25">
      <c r="B14" s="57"/>
      <c r="C14" s="57"/>
      <c r="D14" s="57"/>
      <c r="E14" s="57"/>
      <c r="F14" s="57"/>
      <c r="H14" s="19" t="s">
        <v>109</v>
      </c>
      <c r="I14" s="17">
        <v>5437</v>
      </c>
      <c r="J14" s="10">
        <v>6.23</v>
      </c>
      <c r="K14" s="10">
        <v>351</v>
      </c>
      <c r="L14" s="10">
        <v>9.15</v>
      </c>
      <c r="M14" s="22">
        <f t="shared" si="0"/>
        <v>886.78023812205663</v>
      </c>
      <c r="O14" s="159">
        <v>8.0128205128205128</v>
      </c>
      <c r="P14" s="159" t="s">
        <v>86</v>
      </c>
      <c r="Q14" s="145">
        <v>5.67</v>
      </c>
      <c r="R14" s="149" t="s">
        <v>65</v>
      </c>
      <c r="S14" s="24" t="s">
        <v>99</v>
      </c>
      <c r="T14" s="163">
        <v>12.75</v>
      </c>
      <c r="U14" s="161">
        <v>12.41</v>
      </c>
      <c r="V14" s="197">
        <v>17.71</v>
      </c>
      <c r="Y14" s="226"/>
      <c r="Z14" s="223">
        <v>58</v>
      </c>
      <c r="AA14" s="224"/>
      <c r="AB14" s="225">
        <v>44</v>
      </c>
      <c r="AC14" s="223"/>
      <c r="AD14" s="243">
        <v>93</v>
      </c>
      <c r="AE14" s="247">
        <v>104</v>
      </c>
      <c r="AF14" s="119">
        <v>110</v>
      </c>
    </row>
    <row r="15" spans="1:32" ht="14.45" customHeight="1" x14ac:dyDescent="0.25">
      <c r="H15" s="19" t="s">
        <v>41</v>
      </c>
      <c r="I15" s="14">
        <v>13050</v>
      </c>
      <c r="J15" s="8">
        <v>0.72</v>
      </c>
      <c r="K15" s="8">
        <v>97</v>
      </c>
      <c r="L15" s="8">
        <v>2.7</v>
      </c>
      <c r="M15" s="22">
        <f t="shared" si="0"/>
        <v>245.98670477608078</v>
      </c>
      <c r="O15" s="146">
        <v>8.6805555555555571</v>
      </c>
      <c r="P15" s="146" t="s">
        <v>87</v>
      </c>
      <c r="Q15" s="162">
        <v>9.52</v>
      </c>
      <c r="R15" s="149" t="s">
        <v>66</v>
      </c>
      <c r="S15" s="152">
        <v>5.95</v>
      </c>
      <c r="U15" s="161">
        <v>18.71</v>
      </c>
      <c r="V15" s="145">
        <v>20.46</v>
      </c>
      <c r="Y15" s="68"/>
      <c r="Z15" s="222">
        <v>60</v>
      </c>
      <c r="AA15" s="222"/>
      <c r="AB15" s="222">
        <v>48</v>
      </c>
      <c r="AC15" s="222"/>
      <c r="AD15" s="243">
        <v>100</v>
      </c>
      <c r="AE15" s="247">
        <v>107</v>
      </c>
      <c r="AF15" s="62">
        <v>115</v>
      </c>
    </row>
    <row r="16" spans="1:32" ht="14.45" customHeight="1" x14ac:dyDescent="0.25">
      <c r="H16" s="19" t="s">
        <v>52</v>
      </c>
      <c r="I16" s="14">
        <v>100</v>
      </c>
      <c r="J16" s="8">
        <v>7.91</v>
      </c>
      <c r="K16" s="8">
        <v>24</v>
      </c>
      <c r="L16" s="8">
        <v>5</v>
      </c>
      <c r="M16" s="22">
        <f t="shared" si="0"/>
        <v>20.708331574912716</v>
      </c>
      <c r="O16" s="146">
        <v>9.4696969696969706</v>
      </c>
      <c r="P16" s="146" t="s">
        <v>88</v>
      </c>
      <c r="R16" s="149" t="s">
        <v>67</v>
      </c>
      <c r="S16" s="198">
        <v>8.4499999999999993</v>
      </c>
      <c r="T16" s="24" t="s">
        <v>290</v>
      </c>
      <c r="U16" s="164">
        <v>25.9</v>
      </c>
      <c r="V16" s="162">
        <v>28.33</v>
      </c>
      <c r="Y16" s="68"/>
      <c r="Z16" s="222">
        <v>64</v>
      </c>
      <c r="AA16" s="222"/>
      <c r="AB16" s="222">
        <v>54</v>
      </c>
      <c r="AC16" s="222"/>
      <c r="AD16" s="243">
        <v>104</v>
      </c>
      <c r="AE16" s="247">
        <v>110</v>
      </c>
      <c r="AF16" s="62">
        <v>120</v>
      </c>
    </row>
    <row r="17" spans="8:32" x14ac:dyDescent="0.25">
      <c r="H17" s="19" t="s">
        <v>42</v>
      </c>
      <c r="I17" s="17">
        <v>6600</v>
      </c>
      <c r="J17" s="10">
        <v>6.1800000000000001E-2</v>
      </c>
      <c r="K17" s="10">
        <v>11.5</v>
      </c>
      <c r="L17" s="10">
        <v>2</v>
      </c>
      <c r="M17" s="22">
        <f t="shared" si="0"/>
        <v>10.678273429551705</v>
      </c>
      <c r="O17" s="146">
        <v>5.2380952380952381</v>
      </c>
      <c r="P17" s="146" t="s">
        <v>89</v>
      </c>
      <c r="Q17" s="25" t="s">
        <v>102</v>
      </c>
      <c r="R17" s="149" t="s">
        <v>62</v>
      </c>
      <c r="S17" s="198">
        <v>10.71</v>
      </c>
      <c r="T17" s="152">
        <v>33.799999999999997</v>
      </c>
      <c r="U17" s="161">
        <v>9.5399999999999991</v>
      </c>
      <c r="Y17" s="68"/>
      <c r="Z17" s="222">
        <v>66</v>
      </c>
      <c r="AA17" s="222"/>
      <c r="AB17" s="222">
        <v>60</v>
      </c>
      <c r="AC17" s="222"/>
      <c r="AD17" s="243">
        <v>110</v>
      </c>
      <c r="AE17" s="247">
        <v>117</v>
      </c>
      <c r="AF17" s="62">
        <v>125</v>
      </c>
    </row>
    <row r="18" spans="8:32" x14ac:dyDescent="0.25">
      <c r="H18" s="165" t="s">
        <v>43</v>
      </c>
      <c r="I18" s="17">
        <v>5300</v>
      </c>
      <c r="J18" s="10">
        <v>0.13</v>
      </c>
      <c r="K18" s="10">
        <v>7</v>
      </c>
      <c r="L18" s="10">
        <v>1</v>
      </c>
      <c r="M18" s="22">
        <f t="shared" si="0"/>
        <v>18.037977819361398</v>
      </c>
      <c r="O18" s="146">
        <v>5.6410256410256405</v>
      </c>
      <c r="P18" s="146" t="s">
        <v>90</v>
      </c>
      <c r="Q18" s="149" t="s">
        <v>57</v>
      </c>
      <c r="R18" s="149" t="s">
        <v>63</v>
      </c>
      <c r="S18" s="204">
        <v>12.75</v>
      </c>
      <c r="T18" s="145">
        <v>42.8</v>
      </c>
      <c r="U18" s="161">
        <v>12</v>
      </c>
      <c r="V18" s="24" t="s">
        <v>283</v>
      </c>
      <c r="Y18" s="68"/>
      <c r="Z18" s="222">
        <v>72</v>
      </c>
      <c r="AA18" s="222"/>
      <c r="AB18" s="227"/>
      <c r="AD18" s="243">
        <v>120</v>
      </c>
      <c r="AE18" s="247">
        <v>120</v>
      </c>
      <c r="AF18" s="62">
        <v>140</v>
      </c>
    </row>
    <row r="19" spans="8:32" ht="15" customHeight="1" x14ac:dyDescent="0.25">
      <c r="H19" s="165" t="s">
        <v>44</v>
      </c>
      <c r="I19" s="17">
        <v>24</v>
      </c>
      <c r="J19" s="10">
        <v>22</v>
      </c>
      <c r="K19" s="10">
        <v>12</v>
      </c>
      <c r="L19" s="10">
        <v>3</v>
      </c>
      <c r="M19" s="22">
        <f t="shared" si="0"/>
        <v>13.82300767579509</v>
      </c>
      <c r="O19" s="146">
        <v>6.1111111111111107</v>
      </c>
      <c r="P19" s="146" t="s">
        <v>91</v>
      </c>
      <c r="Q19" s="149" t="s">
        <v>58</v>
      </c>
      <c r="R19" s="153" t="s">
        <v>64</v>
      </c>
      <c r="T19" s="162">
        <v>51</v>
      </c>
      <c r="U19" s="161">
        <v>15.11</v>
      </c>
      <c r="V19" s="152">
        <v>27</v>
      </c>
      <c r="W19" s="198"/>
      <c r="Z19" s="227"/>
      <c r="AD19" s="243">
        <v>130</v>
      </c>
      <c r="AE19" s="247">
        <v>130</v>
      </c>
      <c r="AF19" s="151">
        <v>180</v>
      </c>
    </row>
    <row r="20" spans="8:32" ht="15" customHeight="1" x14ac:dyDescent="0.25">
      <c r="H20" s="166" t="s">
        <v>154</v>
      </c>
      <c r="I20" s="17">
        <v>3084</v>
      </c>
      <c r="J20" s="10">
        <v>0.32</v>
      </c>
      <c r="K20" s="10">
        <v>6.5</v>
      </c>
      <c r="L20" s="10">
        <v>0.28000000000000003</v>
      </c>
      <c r="M20" s="22">
        <f t="shared" si="0"/>
        <v>25.836457983122461</v>
      </c>
      <c r="O20" s="146">
        <v>6.666666666666667</v>
      </c>
      <c r="P20" s="146" t="s">
        <v>92</v>
      </c>
      <c r="Q20" s="149" t="s">
        <v>59</v>
      </c>
      <c r="R20" s="167"/>
      <c r="S20" s="25" t="s">
        <v>98</v>
      </c>
      <c r="U20" s="161">
        <v>21.72</v>
      </c>
      <c r="V20" s="145">
        <v>71</v>
      </c>
      <c r="Y20" s="84" t="s">
        <v>294</v>
      </c>
      <c r="AD20" s="244">
        <v>140</v>
      </c>
      <c r="AE20" s="62">
        <v>131</v>
      </c>
    </row>
    <row r="21" spans="8:32" ht="15" customHeight="1" x14ac:dyDescent="0.25">
      <c r="H21" s="19" t="s">
        <v>159</v>
      </c>
      <c r="I21" s="17">
        <v>90</v>
      </c>
      <c r="J21" s="10">
        <v>9.24</v>
      </c>
      <c r="K21" s="10">
        <v>16.25</v>
      </c>
      <c r="L21" s="10">
        <v>1.5</v>
      </c>
      <c r="M21" s="22">
        <f t="shared" si="0"/>
        <v>21.771237089377266</v>
      </c>
      <c r="O21" s="146">
        <v>4.2016806722689077</v>
      </c>
      <c r="P21" s="146" t="s">
        <v>93</v>
      </c>
      <c r="Q21" s="199" t="s">
        <v>60</v>
      </c>
      <c r="R21" s="24" t="s">
        <v>285</v>
      </c>
      <c r="S21" s="145">
        <v>5.95</v>
      </c>
      <c r="T21" s="25" t="s">
        <v>104</v>
      </c>
      <c r="U21" s="161">
        <v>32.74</v>
      </c>
      <c r="V21" s="162">
        <v>188</v>
      </c>
      <c r="Y21" s="57" t="s">
        <v>311</v>
      </c>
      <c r="AD21" s="243">
        <v>150</v>
      </c>
      <c r="AE21" s="119">
        <v>140</v>
      </c>
    </row>
    <row r="22" spans="8:32" ht="14.45" customHeight="1" x14ac:dyDescent="0.25">
      <c r="H22" s="19"/>
      <c r="I22" s="184"/>
      <c r="J22" s="10"/>
      <c r="K22" s="13"/>
      <c r="L22" s="10"/>
      <c r="M22" s="22">
        <f t="shared" ref="M22" si="1">I22/2*(1/60*2*PI())*J22/2</f>
        <v>0</v>
      </c>
      <c r="O22" s="146">
        <v>4.5248868778280542</v>
      </c>
      <c r="P22" s="146" t="s">
        <v>94</v>
      </c>
      <c r="Q22" s="200" t="s">
        <v>61</v>
      </c>
      <c r="R22" s="152">
        <v>5</v>
      </c>
      <c r="S22" s="145">
        <v>7.31</v>
      </c>
      <c r="T22" s="145">
        <v>5.95</v>
      </c>
      <c r="U22" s="168">
        <v>45.33</v>
      </c>
      <c r="Y22" s="57" t="s">
        <v>312</v>
      </c>
      <c r="AD22" s="243">
        <v>160</v>
      </c>
      <c r="AE22" s="62">
        <v>150</v>
      </c>
    </row>
    <row r="23" spans="8:32" x14ac:dyDescent="0.25">
      <c r="H23" s="19"/>
      <c r="I23" s="184"/>
      <c r="J23" s="10"/>
      <c r="K23" s="13"/>
      <c r="L23" s="10"/>
      <c r="M23" s="22">
        <f t="shared" ref="M23:M24" si="2">I23/2*(1/60*2*PI())*J23/2</f>
        <v>0</v>
      </c>
      <c r="O23" s="146">
        <v>4.9019607843137258</v>
      </c>
      <c r="P23" s="146" t="s">
        <v>105</v>
      </c>
      <c r="R23" s="145">
        <v>5.38</v>
      </c>
      <c r="S23" s="145">
        <v>8.4499999999999993</v>
      </c>
      <c r="T23" s="145">
        <v>7.31</v>
      </c>
      <c r="V23" s="24" t="s">
        <v>279</v>
      </c>
      <c r="AD23" s="243">
        <v>170</v>
      </c>
      <c r="AE23" s="62">
        <v>151</v>
      </c>
    </row>
    <row r="24" spans="8:32" x14ac:dyDescent="0.25">
      <c r="H24" s="189"/>
      <c r="I24" s="183"/>
      <c r="J24" s="186"/>
      <c r="K24" s="186"/>
      <c r="L24" s="186"/>
      <c r="M24" s="187">
        <f t="shared" si="2"/>
        <v>0</v>
      </c>
      <c r="O24" s="158">
        <v>5.3475935828877015</v>
      </c>
      <c r="P24" s="158" t="s">
        <v>95</v>
      </c>
      <c r="R24" s="145">
        <v>6</v>
      </c>
      <c r="S24" s="145">
        <v>10.71</v>
      </c>
      <c r="T24" s="145">
        <v>8.4499999999999993</v>
      </c>
      <c r="U24" s="25" t="s">
        <v>284</v>
      </c>
      <c r="V24" s="205">
        <v>4.67</v>
      </c>
      <c r="AD24" s="243">
        <v>180</v>
      </c>
      <c r="AE24" s="62">
        <v>160</v>
      </c>
    </row>
    <row r="25" spans="8:32" x14ac:dyDescent="0.25">
      <c r="H25" s="190"/>
      <c r="R25" s="162">
        <v>6.55</v>
      </c>
      <c r="S25" s="163">
        <v>12.75</v>
      </c>
      <c r="T25" s="145">
        <v>10.71</v>
      </c>
      <c r="U25" s="145">
        <v>7.1</v>
      </c>
      <c r="AD25" s="243">
        <v>200</v>
      </c>
      <c r="AE25" s="62">
        <v>170</v>
      </c>
    </row>
    <row r="26" spans="8:32" x14ac:dyDescent="0.25">
      <c r="T26" s="163">
        <v>12.75</v>
      </c>
      <c r="U26" s="162">
        <v>14.2</v>
      </c>
      <c r="AD26" s="243">
        <v>225</v>
      </c>
      <c r="AE26" s="62">
        <v>180</v>
      </c>
    </row>
    <row r="27" spans="8:32" x14ac:dyDescent="0.25">
      <c r="AD27" s="245">
        <v>250</v>
      </c>
      <c r="AE27" s="62">
        <v>200</v>
      </c>
    </row>
    <row r="28" spans="8:32" x14ac:dyDescent="0.25">
      <c r="AE28" s="145">
        <v>225</v>
      </c>
    </row>
    <row r="29" spans="8:32" x14ac:dyDescent="0.25">
      <c r="AE29" s="162">
        <v>250</v>
      </c>
    </row>
    <row r="33" ht="15" customHeight="1" x14ac:dyDescent="0.25"/>
    <row r="34" ht="15" customHeight="1" x14ac:dyDescent="0.25"/>
    <row r="35" ht="15" customHeight="1" x14ac:dyDescent="0.25"/>
    <row r="36" ht="15" customHeight="1" x14ac:dyDescent="0.25"/>
    <row r="37" ht="15" customHeight="1" x14ac:dyDescent="0.25"/>
  </sheetData>
  <hyperlinks>
    <hyperlink ref="Q5" r:id="rId1"/>
  </hyperlink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README</vt:lpstr>
      <vt:lpstr>MechanismRatio</vt:lpstr>
      <vt:lpstr>Leadscrew</vt:lpstr>
      <vt:lpstr>Drivetrain</vt:lpstr>
      <vt:lpstr>SprintDistance</vt:lpstr>
      <vt:lpstr>BeamBend</vt:lpstr>
      <vt:lpstr>Projectile</vt:lpstr>
      <vt:lpstr>ChainBelt</vt:lpstr>
      <vt:lpstr>Gears</vt:lpstr>
      <vt:lpstr>Pneumatics</vt:lpstr>
      <vt:lpstr>PneuLinkage</vt:lpstr>
      <vt:lpstr>UsefulValues</vt:lpstr>
      <vt:lpstr>BeltChain</vt:lpstr>
      <vt:lpstr>Motors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2017-09-16T19:27:25Z</dcterms:created>
  <dcterms:modified xsi:type="dcterms:W3CDTF">2019-03-03T22:06:46Z</dcterms:modified>
</cp:coreProperties>
</file>