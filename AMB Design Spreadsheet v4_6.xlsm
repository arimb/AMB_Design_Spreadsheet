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2325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6" i="18" l="1"/>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Q15" i="19" l="1"/>
  <c r="Q14" i="19"/>
  <c r="P15" i="19"/>
  <c r="F16" i="19"/>
  <c r="F15" i="19"/>
  <c r="C16" i="19"/>
  <c r="C15" i="19"/>
  <c r="N11" i="7" l="1"/>
  <c r="D27" i="17"/>
  <c r="D23" i="17"/>
  <c r="C27" i="17"/>
  <c r="C23" i="17"/>
  <c r="M6" i="17"/>
  <c r="J6" i="17"/>
  <c r="E7" i="17"/>
  <c r="M14" i="7" l="1"/>
  <c r="G13" i="7"/>
  <c r="M13" i="7"/>
  <c r="G14" i="7"/>
  <c r="AT118" i="19" l="1"/>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T116" i="19"/>
  <c r="AS116" i="19"/>
  <c r="AR116" i="19"/>
  <c r="AQ116" i="19"/>
  <c r="AP116" i="19"/>
  <c r="AO116" i="19"/>
  <c r="AN116" i="19"/>
  <c r="AM116" i="19"/>
  <c r="AL116" i="19"/>
  <c r="AK116" i="19"/>
  <c r="AJ116" i="19"/>
  <c r="AI116" i="19"/>
  <c r="AH116" i="19"/>
  <c r="AG116" i="19"/>
  <c r="AF116" i="19"/>
  <c r="AE116" i="19"/>
  <c r="AD116" i="19"/>
  <c r="AC116" i="19"/>
  <c r="AB116" i="19"/>
  <c r="AA116" i="19"/>
  <c r="Z116" i="19"/>
  <c r="Y116" i="19"/>
  <c r="X116" i="19"/>
  <c r="W116" i="19"/>
  <c r="V116" i="19"/>
  <c r="U116" i="19"/>
  <c r="T116" i="19"/>
  <c r="AT112" i="19"/>
  <c r="AS112" i="19"/>
  <c r="AR112" i="19"/>
  <c r="AQ112" i="19"/>
  <c r="AP112" i="19"/>
  <c r="AO112" i="19"/>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R111" i="19"/>
  <c r="AQ111" i="19"/>
  <c r="AP111" i="19"/>
  <c r="AO111" i="19"/>
  <c r="AN111" i="19"/>
  <c r="AM111" i="19"/>
  <c r="AL111" i="19"/>
  <c r="AK111" i="19"/>
  <c r="AJ111" i="19"/>
  <c r="AI111" i="19"/>
  <c r="AH111" i="19"/>
  <c r="AG111" i="19"/>
  <c r="AF111" i="19"/>
  <c r="AE111" i="19"/>
  <c r="AD111" i="19"/>
  <c r="AC111" i="19"/>
  <c r="AB111" i="19"/>
  <c r="AA111" i="19"/>
  <c r="Z111" i="19"/>
  <c r="Y111" i="19"/>
  <c r="X111" i="19"/>
  <c r="W111" i="19"/>
  <c r="V111" i="19"/>
  <c r="U111" i="19"/>
  <c r="T111" i="19"/>
  <c r="AT110" i="19"/>
  <c r="AS110" i="19"/>
  <c r="AR110" i="19"/>
  <c r="AQ110" i="19"/>
  <c r="AP110" i="19"/>
  <c r="AO110" i="19"/>
  <c r="AN110" i="19"/>
  <c r="AM110" i="19"/>
  <c r="AL110" i="19"/>
  <c r="AK110" i="19"/>
  <c r="AJ110" i="19"/>
  <c r="AI110" i="19"/>
  <c r="AH110" i="19"/>
  <c r="AG110" i="19"/>
  <c r="AF110" i="19"/>
  <c r="AE110" i="19"/>
  <c r="AD110" i="19"/>
  <c r="AC110" i="19"/>
  <c r="AB110" i="19"/>
  <c r="AA110" i="19"/>
  <c r="Z110" i="19"/>
  <c r="Y110" i="19"/>
  <c r="X110" i="19"/>
  <c r="W110" i="19"/>
  <c r="V110" i="19"/>
  <c r="U110" i="19"/>
  <c r="T110" i="19"/>
  <c r="G20" i="19"/>
  <c r="G18" i="19" s="1"/>
  <c r="F19" i="19"/>
  <c r="C19" i="19"/>
  <c r="F18" i="19"/>
  <c r="D18" i="19"/>
  <c r="D20" i="19" s="1"/>
  <c r="C18" i="19"/>
  <c r="F11" i="19"/>
  <c r="F10" i="19"/>
  <c r="C10" i="19"/>
  <c r="F9" i="19"/>
  <c r="C9" i="19"/>
  <c r="ET8" i="19"/>
  <c r="EO8" i="19"/>
  <c r="EJ8" i="19"/>
  <c r="EK8" i="19" s="1"/>
  <c r="EE8" i="19"/>
  <c r="DZ8" i="19"/>
  <c r="DU8" i="19"/>
  <c r="DP8" i="19"/>
  <c r="DQ8" i="19" s="1"/>
  <c r="DK8" i="19"/>
  <c r="DF8" i="19"/>
  <c r="DA8" i="19"/>
  <c r="CV8" i="19"/>
  <c r="CW8" i="19" s="1"/>
  <c r="CQ8" i="19"/>
  <c r="CL8" i="19"/>
  <c r="CG8" i="19"/>
  <c r="CB8" i="19"/>
  <c r="CC8" i="19" s="1"/>
  <c r="BW8" i="19"/>
  <c r="BR8" i="19"/>
  <c r="BM8" i="19"/>
  <c r="BH8" i="19"/>
  <c r="BI8" i="19" s="1"/>
  <c r="BC8" i="19"/>
  <c r="AX8" i="19"/>
  <c r="AS8" i="19"/>
  <c r="AO8" i="19"/>
  <c r="AN8" i="19"/>
  <c r="AI8" i="19"/>
  <c r="AD8" i="19"/>
  <c r="Y8" i="19"/>
  <c r="T8" i="19"/>
  <c r="U8" i="19" s="1"/>
  <c r="F8" i="19"/>
  <c r="C8" i="19"/>
  <c r="EV7" i="19"/>
  <c r="EU7" i="19"/>
  <c r="ET7" i="19"/>
  <c r="EQ7" i="19"/>
  <c r="EP7" i="19"/>
  <c r="EO7" i="19"/>
  <c r="EL7" i="19"/>
  <c r="EK7" i="19"/>
  <c r="EJ7" i="19"/>
  <c r="EG7" i="19"/>
  <c r="EF7" i="19"/>
  <c r="EE7" i="19"/>
  <c r="EB7" i="19"/>
  <c r="EA7" i="19"/>
  <c r="DZ7" i="19"/>
  <c r="DW7" i="19"/>
  <c r="DV7" i="19"/>
  <c r="DU7" i="19"/>
  <c r="DR7" i="19"/>
  <c r="DQ7" i="19"/>
  <c r="DP7" i="19"/>
  <c r="DM7" i="19"/>
  <c r="DL7" i="19"/>
  <c r="DK7" i="19"/>
  <c r="DH7" i="19"/>
  <c r="DG7" i="19"/>
  <c r="DF7" i="19"/>
  <c r="DC7" i="19"/>
  <c r="DB7" i="19"/>
  <c r="DA7" i="19"/>
  <c r="CX7" i="19"/>
  <c r="CW7" i="19"/>
  <c r="CV7" i="19"/>
  <c r="CS7" i="19"/>
  <c r="CR7" i="19"/>
  <c r="CQ7" i="19"/>
  <c r="CN7" i="19"/>
  <c r="CM7" i="19"/>
  <c r="CL7" i="19"/>
  <c r="CI7" i="19"/>
  <c r="CH7" i="19"/>
  <c r="CG7" i="19"/>
  <c r="CD7" i="19"/>
  <c r="CC7" i="19"/>
  <c r="CB7" i="19"/>
  <c r="BY7" i="19"/>
  <c r="BX7" i="19"/>
  <c r="BW7" i="19"/>
  <c r="BT7" i="19"/>
  <c r="BS7" i="19"/>
  <c r="BR7" i="19"/>
  <c r="BO7" i="19"/>
  <c r="BN7" i="19"/>
  <c r="BM7" i="19"/>
  <c r="BJ7" i="19"/>
  <c r="BI7" i="19"/>
  <c r="BH7" i="19"/>
  <c r="BE7" i="19"/>
  <c r="BD7" i="19"/>
  <c r="BC7" i="19"/>
  <c r="AZ7" i="19"/>
  <c r="AY7" i="19"/>
  <c r="AX7" i="19"/>
  <c r="AU7" i="19"/>
  <c r="AT7" i="19"/>
  <c r="AS7" i="19"/>
  <c r="AP7" i="19"/>
  <c r="AO7" i="19"/>
  <c r="AN7" i="19"/>
  <c r="AK7" i="19"/>
  <c r="AJ7" i="19"/>
  <c r="AI7" i="19"/>
  <c r="AF7" i="19"/>
  <c r="AE7" i="19"/>
  <c r="AD7" i="19"/>
  <c r="AA7" i="19"/>
  <c r="Z7" i="19"/>
  <c r="Y7" i="19"/>
  <c r="V7" i="19"/>
  <c r="U7" i="19"/>
  <c r="T7" i="19"/>
  <c r="F7" i="19"/>
  <c r="C7" i="19"/>
  <c r="T5" i="19"/>
  <c r="DA9" i="19" l="1"/>
  <c r="DB9" i="19" s="1"/>
  <c r="Y9" i="19"/>
  <c r="Y10" i="19" s="1"/>
  <c r="DZ9" i="19"/>
  <c r="EA9" i="19" s="1"/>
  <c r="X113" i="19"/>
  <c r="X114" i="19" s="1"/>
  <c r="AF113" i="19"/>
  <c r="AF114" i="19" s="1"/>
  <c r="AJ113" i="19"/>
  <c r="AJ114" i="19" s="1"/>
  <c r="AR113" i="19"/>
  <c r="AR114" i="19" s="1"/>
  <c r="AG113" i="19"/>
  <c r="AG114" i="19" s="1"/>
  <c r="AO113" i="19"/>
  <c r="AO114" i="19" s="1"/>
  <c r="CL9" i="19"/>
  <c r="CM9" i="19" s="1"/>
  <c r="AQ113" i="19"/>
  <c r="AQ114" i="19" s="1"/>
  <c r="T113" i="19"/>
  <c r="T114" i="19" s="1"/>
  <c r="AB113" i="19"/>
  <c r="AB114" i="19" s="1"/>
  <c r="AN113" i="19"/>
  <c r="AN114" i="19" s="1"/>
  <c r="Y113" i="19"/>
  <c r="Y114" i="19" s="1"/>
  <c r="AX9" i="19"/>
  <c r="AX10" i="19" s="1"/>
  <c r="BW9" i="19"/>
  <c r="BX9" i="19" s="1"/>
  <c r="AI9" i="19"/>
  <c r="AJ9" i="19" s="1"/>
  <c r="BM9" i="19"/>
  <c r="BM10" i="19" s="1"/>
  <c r="DK9" i="19"/>
  <c r="DK10" i="19" s="1"/>
  <c r="EO9" i="19"/>
  <c r="EO10" i="19" s="1"/>
  <c r="BC9" i="19"/>
  <c r="BC10" i="19" s="1"/>
  <c r="EE9" i="19"/>
  <c r="EF9" i="19" s="1"/>
  <c r="AA113" i="19"/>
  <c r="AA114" i="19" s="1"/>
  <c r="BG7" i="19"/>
  <c r="BF7" i="19" s="1"/>
  <c r="CU7" i="19"/>
  <c r="CT7" i="19" s="1"/>
  <c r="EI7" i="19"/>
  <c r="EH7" i="19" s="1"/>
  <c r="EG9" i="19" s="1"/>
  <c r="CQ9" i="19"/>
  <c r="CQ10" i="19" s="1"/>
  <c r="AI113" i="19"/>
  <c r="AI114" i="19" s="1"/>
  <c r="AD9" i="19"/>
  <c r="AD10" i="19" s="1"/>
  <c r="BR9" i="19"/>
  <c r="BS9" i="19" s="1"/>
  <c r="DF9" i="19"/>
  <c r="DF10" i="19" s="1"/>
  <c r="ET9" i="19"/>
  <c r="EU9" i="19" s="1"/>
  <c r="AH7" i="19"/>
  <c r="AG7" i="19" s="1"/>
  <c r="AF8" i="19" s="1"/>
  <c r="BV7" i="19"/>
  <c r="DJ7" i="19"/>
  <c r="DI7" i="19" s="1"/>
  <c r="DH9" i="19" s="1"/>
  <c r="EX7" i="19"/>
  <c r="EW7" i="19" s="1"/>
  <c r="EV9" i="19" s="1"/>
  <c r="T9" i="19"/>
  <c r="U9" i="19" s="1"/>
  <c r="AE8" i="19"/>
  <c r="AS9" i="19"/>
  <c r="AS10" i="19" s="1"/>
  <c r="BH9" i="19"/>
  <c r="BI9" i="19" s="1"/>
  <c r="BS8" i="19"/>
  <c r="CG9" i="19"/>
  <c r="CH9" i="19" s="1"/>
  <c r="CV9" i="19"/>
  <c r="CW9" i="19" s="1"/>
  <c r="DG8" i="19"/>
  <c r="DU9" i="19"/>
  <c r="DV9" i="19" s="1"/>
  <c r="EJ9" i="19"/>
  <c r="EJ10" i="19" s="1"/>
  <c r="EU8" i="19"/>
  <c r="ED7" i="19"/>
  <c r="AR7" i="19"/>
  <c r="AQ7" i="19" s="1"/>
  <c r="AP8" i="19" s="1"/>
  <c r="CF7" i="19"/>
  <c r="CE7" i="19" s="1"/>
  <c r="DT7" i="19"/>
  <c r="EN7" i="19"/>
  <c r="EM7" i="19" s="1"/>
  <c r="EL8" i="19" s="1"/>
  <c r="AN9" i="19"/>
  <c r="AN10" i="19" s="1"/>
  <c r="AY8" i="19"/>
  <c r="CB9" i="19"/>
  <c r="CB10" i="19" s="1"/>
  <c r="CM8" i="19"/>
  <c r="DP9" i="19"/>
  <c r="DP10" i="19" s="1"/>
  <c r="EA8" i="19"/>
  <c r="U113" i="19"/>
  <c r="U114" i="19" s="1"/>
  <c r="AC113" i="19"/>
  <c r="AC114" i="19" s="1"/>
  <c r="AK113" i="19"/>
  <c r="AK114" i="19" s="1"/>
  <c r="AS113" i="19"/>
  <c r="AS114" i="19" s="1"/>
  <c r="W113" i="19"/>
  <c r="W114" i="19" s="1"/>
  <c r="AE113" i="19"/>
  <c r="AE114" i="19" s="1"/>
  <c r="AM113" i="19"/>
  <c r="AM114" i="19" s="1"/>
  <c r="BN9" i="19"/>
  <c r="DY7" i="19"/>
  <c r="DX7" i="19" s="1"/>
  <c r="Z8" i="19"/>
  <c r="AJ8" i="19"/>
  <c r="AT8" i="19"/>
  <c r="BD8" i="19"/>
  <c r="BN8" i="19"/>
  <c r="BX8" i="19"/>
  <c r="CH8" i="19"/>
  <c r="CR8" i="19"/>
  <c r="DB8" i="19"/>
  <c r="DL8" i="19"/>
  <c r="DV8" i="19"/>
  <c r="EF8" i="19"/>
  <c r="EP8" i="19"/>
  <c r="X7" i="19"/>
  <c r="CK7" i="19"/>
  <c r="CJ7" i="19" s="1"/>
  <c r="AW7" i="19"/>
  <c r="AV7" i="19" s="1"/>
  <c r="AC7" i="19"/>
  <c r="AB7" i="19" s="1"/>
  <c r="BQ7" i="19"/>
  <c r="DE7" i="19"/>
  <c r="DD7" i="19" s="1"/>
  <c r="ES7" i="19"/>
  <c r="ER7" i="19" s="1"/>
  <c r="BB7" i="19"/>
  <c r="CP7" i="19"/>
  <c r="AS120" i="19"/>
  <c r="AS119" i="19" s="1"/>
  <c r="AK120" i="19"/>
  <c r="AK119" i="19" s="1"/>
  <c r="AC120" i="19"/>
  <c r="AC119" i="19" s="1"/>
  <c r="U120" i="19"/>
  <c r="U119" i="19" s="1"/>
  <c r="AE120" i="19"/>
  <c r="AE119" i="19" s="1"/>
  <c r="Y120" i="19"/>
  <c r="Y119" i="19" s="1"/>
  <c r="AO120" i="19"/>
  <c r="AO119" i="19" s="1"/>
  <c r="AM120" i="19"/>
  <c r="AM119" i="19" s="1"/>
  <c r="AG120" i="19"/>
  <c r="AG119" i="19" s="1"/>
  <c r="W120" i="19"/>
  <c r="W119" i="19" s="1"/>
  <c r="BL7" i="19"/>
  <c r="CZ7" i="19"/>
  <c r="AM7" i="19"/>
  <c r="AL7" i="19" s="1"/>
  <c r="CA7" i="19"/>
  <c r="BZ7" i="19" s="1"/>
  <c r="DO7" i="19"/>
  <c r="DN7" i="19" s="1"/>
  <c r="T120" i="19"/>
  <c r="AB120" i="19"/>
  <c r="AB119" i="19" s="1"/>
  <c r="AJ120" i="19"/>
  <c r="AJ119" i="19" s="1"/>
  <c r="AR120" i="19"/>
  <c r="AR119" i="19" s="1"/>
  <c r="V120" i="19"/>
  <c r="V119" i="19" s="1"/>
  <c r="AD120" i="19"/>
  <c r="AL120" i="19"/>
  <c r="AL119" i="19" s="1"/>
  <c r="AT120" i="19"/>
  <c r="AT119" i="19" s="1"/>
  <c r="X120" i="19"/>
  <c r="X119" i="19" s="1"/>
  <c r="AF120" i="19"/>
  <c r="AF119" i="19" s="1"/>
  <c r="AN120" i="19"/>
  <c r="AN119" i="19" s="1"/>
  <c r="V113" i="19"/>
  <c r="AD113" i="19"/>
  <c r="AD114" i="19" s="1"/>
  <c r="AL113" i="19"/>
  <c r="AL114" i="19" s="1"/>
  <c r="AT113" i="19"/>
  <c r="AT114" i="19" s="1"/>
  <c r="Z120" i="19"/>
  <c r="Z119" i="19" s="1"/>
  <c r="AH120" i="19"/>
  <c r="AH119" i="19" s="1"/>
  <c r="AP120" i="19"/>
  <c r="AP119" i="19" s="1"/>
  <c r="Z113" i="19"/>
  <c r="Z114" i="19" s="1"/>
  <c r="AH113" i="19"/>
  <c r="AH114" i="19" s="1"/>
  <c r="AP113" i="19"/>
  <c r="AP114" i="19" s="1"/>
  <c r="AD119" i="19"/>
  <c r="AA120" i="19"/>
  <c r="AA119" i="19" s="1"/>
  <c r="AI120" i="19"/>
  <c r="AI119" i="19" s="1"/>
  <c r="AQ120" i="19"/>
  <c r="AQ119" i="19" s="1"/>
  <c r="DS7" i="19" l="1"/>
  <c r="DR8" i="19" s="1"/>
  <c r="DA10" i="19"/>
  <c r="DB10" i="19" s="1"/>
  <c r="Z9" i="19"/>
  <c r="BW10" i="19"/>
  <c r="BY10" i="19" s="1"/>
  <c r="ET10" i="19"/>
  <c r="EV10" i="19" s="1"/>
  <c r="EK9" i="19"/>
  <c r="CV10" i="19"/>
  <c r="CV11" i="19" s="1"/>
  <c r="EE10" i="19"/>
  <c r="EE11" i="19" s="1"/>
  <c r="AT9" i="19"/>
  <c r="DZ10" i="19"/>
  <c r="EA10" i="19" s="1"/>
  <c r="BE9" i="19"/>
  <c r="CC9" i="19"/>
  <c r="DG9" i="19"/>
  <c r="AY9" i="19"/>
  <c r="CR9" i="19"/>
  <c r="BH10" i="19"/>
  <c r="BI10" i="19" s="1"/>
  <c r="EP9" i="19"/>
  <c r="CS9" i="19"/>
  <c r="EG8" i="19"/>
  <c r="EC7" i="19"/>
  <c r="EB8" i="19" s="1"/>
  <c r="BD9" i="19"/>
  <c r="CL10" i="19"/>
  <c r="CM10" i="19" s="1"/>
  <c r="T10" i="19"/>
  <c r="T11" i="19" s="1"/>
  <c r="AI10" i="19"/>
  <c r="AJ10" i="19" s="1"/>
  <c r="AP9" i="19"/>
  <c r="EQ9" i="19"/>
  <c r="DM9" i="19"/>
  <c r="DL9" i="19"/>
  <c r="AF9" i="19"/>
  <c r="BE8" i="19"/>
  <c r="DQ9" i="19"/>
  <c r="CD9" i="19"/>
  <c r="CD8" i="19"/>
  <c r="EL9" i="19"/>
  <c r="DH8" i="19"/>
  <c r="AO9" i="19"/>
  <c r="DM8" i="19"/>
  <c r="AK8" i="19"/>
  <c r="DW8" i="19"/>
  <c r="CG10" i="19"/>
  <c r="CG11" i="19" s="1"/>
  <c r="BU7" i="19"/>
  <c r="BT9" i="19" s="1"/>
  <c r="AE9" i="19"/>
  <c r="BY9" i="19"/>
  <c r="DU10" i="19"/>
  <c r="DW10" i="19" s="1"/>
  <c r="BR10" i="19"/>
  <c r="BR11" i="19" s="1"/>
  <c r="BY8" i="19"/>
  <c r="CS8" i="19"/>
  <c r="DW9" i="19"/>
  <c r="V114" i="19"/>
  <c r="D21" i="19" s="1"/>
  <c r="D19" i="19"/>
  <c r="BE10" i="19"/>
  <c r="BD10" i="19"/>
  <c r="BC11" i="19"/>
  <c r="BN10" i="19"/>
  <c r="BM11" i="19"/>
  <c r="DM10" i="19"/>
  <c r="DL10" i="19"/>
  <c r="DK11" i="19"/>
  <c r="EQ8" i="19"/>
  <c r="EV8" i="19"/>
  <c r="EQ10" i="19"/>
  <c r="EP10" i="19"/>
  <c r="EO11" i="19"/>
  <c r="CO7" i="19"/>
  <c r="CN9" i="19" s="1"/>
  <c r="AD11" i="19"/>
  <c r="AF10" i="19"/>
  <c r="AE10" i="19"/>
  <c r="CB11" i="19"/>
  <c r="CD10" i="19"/>
  <c r="CC10" i="19"/>
  <c r="AN11" i="19"/>
  <c r="AP10" i="19"/>
  <c r="AO10" i="19"/>
  <c r="BA7" i="19"/>
  <c r="AZ9" i="19" s="1"/>
  <c r="AU8" i="19"/>
  <c r="CI9" i="19"/>
  <c r="AA10" i="19"/>
  <c r="Z10" i="19"/>
  <c r="Y11" i="19"/>
  <c r="DF11" i="19"/>
  <c r="DH10" i="19"/>
  <c r="DG10" i="19"/>
  <c r="AA9" i="19"/>
  <c r="AX11" i="19"/>
  <c r="AY10" i="19"/>
  <c r="CS10" i="19"/>
  <c r="CR10" i="19"/>
  <c r="CQ11" i="19"/>
  <c r="DP11" i="19"/>
  <c r="DR10" i="19"/>
  <c r="DQ10" i="19"/>
  <c r="T119" i="19"/>
  <c r="G19" i="19" s="1"/>
  <c r="G21" i="19"/>
  <c r="DC8" i="19"/>
  <c r="AA8" i="19"/>
  <c r="DC9" i="19"/>
  <c r="AK9" i="19"/>
  <c r="DC10" i="19"/>
  <c r="AU9" i="19"/>
  <c r="BP7" i="19"/>
  <c r="BO9" i="19" s="1"/>
  <c r="CY7" i="19"/>
  <c r="CX9" i="19" s="1"/>
  <c r="BK7" i="19"/>
  <c r="CI8" i="19"/>
  <c r="W7" i="19"/>
  <c r="V9" i="19" s="1"/>
  <c r="EJ11" i="19"/>
  <c r="EL10" i="19"/>
  <c r="EK10" i="19"/>
  <c r="AU10" i="19"/>
  <c r="AT10" i="19"/>
  <c r="AS11" i="19"/>
  <c r="DR9" i="19" l="1"/>
  <c r="DA11" i="19"/>
  <c r="DC11" i="19" s="1"/>
  <c r="BX10" i="19"/>
  <c r="DZ11" i="19"/>
  <c r="EA11" i="19" s="1"/>
  <c r="BW11" i="19"/>
  <c r="BW12" i="19" s="1"/>
  <c r="EU10" i="19"/>
  <c r="EG10" i="19"/>
  <c r="CW10" i="19"/>
  <c r="ET11" i="19"/>
  <c r="EV11" i="19" s="1"/>
  <c r="BH11" i="19"/>
  <c r="BI11" i="19" s="1"/>
  <c r="U10" i="19"/>
  <c r="EF10" i="19"/>
  <c r="AI11" i="19"/>
  <c r="AI12" i="19" s="1"/>
  <c r="AK10" i="19"/>
  <c r="BJ10" i="19"/>
  <c r="CL11" i="19"/>
  <c r="CL12" i="19" s="1"/>
  <c r="CH10" i="19"/>
  <c r="DV10" i="19"/>
  <c r="EB10" i="19"/>
  <c r="BJ9" i="19"/>
  <c r="EB9" i="19"/>
  <c r="BT10" i="19"/>
  <c r="BS10" i="19"/>
  <c r="CI10" i="19"/>
  <c r="DU11" i="19"/>
  <c r="DU12" i="19" s="1"/>
  <c r="BJ8" i="19"/>
  <c r="CN8" i="19"/>
  <c r="BT8" i="19"/>
  <c r="V8" i="19"/>
  <c r="CN10" i="19"/>
  <c r="CG12" i="19"/>
  <c r="CI11" i="19"/>
  <c r="CH11" i="19"/>
  <c r="BC12" i="19"/>
  <c r="BE11" i="19"/>
  <c r="BD11" i="19"/>
  <c r="DR11" i="19"/>
  <c r="DQ11" i="19"/>
  <c r="DP12" i="19"/>
  <c r="AZ10" i="19"/>
  <c r="V10" i="19"/>
  <c r="AZ8"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DA12" i="19"/>
  <c r="V11" i="19"/>
  <c r="U11" i="19"/>
  <c r="T12" i="19"/>
  <c r="AF11" i="19"/>
  <c r="AE11" i="19"/>
  <c r="AD12" i="19"/>
  <c r="BM12" i="19"/>
  <c r="BO11" i="19"/>
  <c r="BN11" i="19"/>
  <c r="EL11" i="19"/>
  <c r="EK11" i="19"/>
  <c r="EJ12" i="19"/>
  <c r="BO8" i="19"/>
  <c r="AS12" i="19"/>
  <c r="AU11" i="19"/>
  <c r="AT11" i="19"/>
  <c r="DK12" i="19"/>
  <c r="DM11" i="19"/>
  <c r="DL11" i="19"/>
  <c r="BT11" i="19"/>
  <c r="BS11" i="19"/>
  <c r="BR12" i="19"/>
  <c r="AZ11" i="19"/>
  <c r="AY11" i="19"/>
  <c r="AX12" i="19"/>
  <c r="CX10" i="19"/>
  <c r="DH11" i="19"/>
  <c r="DG11" i="19"/>
  <c r="DF12" i="19"/>
  <c r="DB11" i="19" l="1"/>
  <c r="BJ11" i="19"/>
  <c r="DZ12" i="19"/>
  <c r="DZ13" i="19" s="1"/>
  <c r="EB11" i="19"/>
  <c r="EU11" i="19"/>
  <c r="ET12" i="19"/>
  <c r="EV12" i="19" s="1"/>
  <c r="BX11" i="19"/>
  <c r="BY11" i="19"/>
  <c r="BH12" i="19"/>
  <c r="BH13" i="19" s="1"/>
  <c r="CN11" i="19"/>
  <c r="AJ11" i="19"/>
  <c r="AK11" i="19"/>
  <c r="CM11" i="19"/>
  <c r="DW11" i="19"/>
  <c r="DV11" i="19"/>
  <c r="AN13" i="19"/>
  <c r="AP12" i="19"/>
  <c r="AO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W12" i="19"/>
  <c r="DV12" i="19"/>
  <c r="DU13" i="19"/>
  <c r="AX13" i="19"/>
  <c r="AZ12" i="19"/>
  <c r="AY12" i="19"/>
  <c r="DM12" i="19"/>
  <c r="DL12" i="19"/>
  <c r="DK13" i="19"/>
  <c r="BO12" i="19"/>
  <c r="BN12" i="19"/>
  <c r="BM13" i="19"/>
  <c r="DP13" i="19"/>
  <c r="DR12" i="19"/>
  <c r="DQ12" i="19"/>
  <c r="CI12" i="19"/>
  <c r="CH12" i="19"/>
  <c r="CG13" i="19"/>
  <c r="BI12" i="19" l="1"/>
  <c r="EB12" i="19"/>
  <c r="EA12" i="19"/>
  <c r="ET13" i="19"/>
  <c r="EU13" i="19" s="1"/>
  <c r="EU12" i="19"/>
  <c r="BJ12" i="19"/>
  <c r="BT13" i="19"/>
  <c r="BS13" i="19"/>
  <c r="BR14" i="19"/>
  <c r="DR13" i="19"/>
  <c r="DQ13" i="19"/>
  <c r="DP14" i="19"/>
  <c r="CX13" i="19"/>
  <c r="CW13" i="19"/>
  <c r="CV14" i="19"/>
  <c r="CD13" i="19"/>
  <c r="CC13" i="19"/>
  <c r="CB14" i="19"/>
  <c r="DA14" i="19"/>
  <c r="DC13" i="19"/>
  <c r="DB13"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T14" i="19" l="1"/>
  <c r="EV14" i="19" s="1"/>
  <c r="EV13" i="19"/>
  <c r="EF14" i="19"/>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BN14" i="19"/>
  <c r="BM15" i="19"/>
  <c r="BO14" i="19"/>
  <c r="BH15" i="19"/>
  <c r="BJ14" i="19"/>
  <c r="BI14" i="19"/>
  <c r="CH14" i="19"/>
  <c r="CG15" i="19"/>
  <c r="CI14" i="19"/>
  <c r="AD15" i="19"/>
  <c r="AF14" i="19"/>
  <c r="AE14" i="19"/>
  <c r="CV15" i="19"/>
  <c r="CX14" i="19"/>
  <c r="CW14" i="19"/>
  <c r="ET15" i="19" l="1"/>
  <c r="ET16" i="19" s="1"/>
  <c r="EU14" i="19"/>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l="1"/>
  <c r="N14" i="19"/>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D21" i="17" l="1"/>
  <c r="D25" i="17"/>
  <c r="G29" i="3"/>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<sst xmlns="http://schemas.openxmlformats.org/spreadsheetml/2006/main" count="3021" uniqueCount="362">
  <si>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</si>
  <si>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</si>
  <si>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</si>
  <si>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</si>
  <si>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</si>
  <si>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</si>
  <si>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</si>
  <si>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</si>
  <si>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</si>
  <si>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</si>
  <si>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</si>
  <si>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</si>
  <si>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</si>
  <si>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</si>
  <si>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</si>
  <si>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</si>
  <si>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</si>
  <si>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</si>
  <si>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</si>
  <si>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</si>
  <si>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</si>
  <si>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</si>
  <si>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</si>
  <si>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</si>
  <si>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</si>
  <si>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</si>
  <si>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</si>
  <si>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</si>
  <si>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</si>
  <si>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</si>
  <si>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</si>
  <si>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</si>
  <si>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</si>
  <si>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</si>
  <si>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</si>
  <si>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</si>
  <si>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</si>
  <si>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</si>
  <si>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</si>
  <si>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</si>
  <si>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</si>
  <si>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</si>
  <si>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</si>
  <si>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</si>
  <si>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</si>
  <si>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</si>
  <si>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</si>
  <si>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</si>
  <si>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</si>
  <si>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</si>
  <si>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</si>
  <si>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</si>
  <si>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</si>
  <si>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</si>
  <si>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</si>
  <si>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</si>
  <si>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</si>
  <si>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</si>
  <si>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</si>
  <si>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</si>
  <si>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</si>
  <si>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</si>
  <si>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</si>
  <si>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</si>
  <si>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</si>
  <si>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</si>
  <si>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</si>
  <si>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</si>
  <si>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</si>
  <si>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</si>
  <si>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</si>
  <si>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</si>
  <si>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</si>
  <si>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</si>
  <si>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</si>
  <si>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</si>
  <si>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</si>
  <si>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</si>
  <si>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</si>
  <si>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</si>
  <si>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</si>
  <si>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</si>
  <si>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</si>
  <si>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</si>
  <si>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</si>
  <si>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</si>
  <si>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</si>
  <si>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</si>
  <si>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</si>
  <si>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</si>
  <si>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</si>
  <si>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</si>
  <si>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</si>
  <si>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</si>
  <si>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</si>
  <si>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</si>
  <si>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</si>
  <si>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</si>
  <si>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</si>
  <si>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</si>
  <si>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</si>
  <si>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</si>
  <si>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</si>
  <si>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</si>
  <si>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</si>
  <si>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</si>
  <si>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</si>
  <si>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</si>
  <si>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</si>
  <si>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</si>
  <si>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</si>
  <si>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</si>
  <si>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</si>
  <si>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</si>
  <si>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</si>
  <si>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</si>
  <si>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</si>
  <si>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</si>
  <si>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</si>
  <si>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</si>
  <si>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</si>
  <si>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</si>
  <si>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</si>
  <si>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</si>
  <si>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</si>
  <si>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</si>
  <si>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</si>
  <si>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</si>
  <si>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</si>
  <si>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</si>
  <si>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</si>
  <si>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</si>
  <si>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</si>
  <si>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</si>
  <si>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</si>
  <si>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</si>
  <si>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</si>
  <si>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</si>
  <si>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</si>
  <si>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</si>
  <si>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</si>
  <si>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</si>
  <si>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</si>
  <si>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</si>
  <si>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</si>
  <si>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</si>
  <si>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</si>
  <si>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</si>
  <si>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</si>
  <si>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</si>
  <si>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</si>
  <si>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</si>
  <si>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</si>
  <si>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</si>
  <si>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</si>
  <si>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</si>
  <si>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</si>
  <si>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</si>
  <si>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</si>
  <si>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</si>
  <si>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</si>
  <si>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</si>
  <si>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</si>
  <si>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</si>
  <si>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</si>
  <si>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</si>
  <si>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</si>
  <si>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</si>
  <si>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</si>
  <si>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</si>
  <si>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</si>
  <si>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</si>
  <si>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</si>
  <si>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</si>
  <si>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</si>
  <si>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</si>
  <si>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</si>
  <si>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</si>
  <si>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</si>
  <si>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</si>
  <si>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</si>
  <si>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</si>
  <si>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</si>
  <si>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</si>
  <si>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</si>
  <si>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</si>
  <si>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</si>
  <si>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</si>
  <si>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</si>
  <si>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</si>
  <si>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</si>
  <si>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</si>
  <si>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</si>
  <si>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</si>
  <si>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</si>
  <si>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</si>
  <si>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</si>
  <si>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</si>
  <si>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</si>
  <si>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</si>
  <si>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</si>
  <si>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</si>
  <si>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</si>
  <si>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</si>
  <si>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</si>
  <si>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</si>
  <si>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</si>
  <si>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</si>
  <si>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</si>
  <si>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</si>
  <si>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</si>
  <si>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</si>
  <si>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</si>
  <si>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</si>
  <si>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</si>
  <si>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</si>
  <si>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</si>
  <si>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</si>
  <si>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</si>
  <si>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</si>
  <si>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</si>
  <si>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</si>
  <si>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</si>
  <si>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</si>
  <si>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</si>
  <si>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</si>
  <si>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</si>
  <si>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</si>
  <si>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</si>
  <si>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</si>
  <si>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</si>
  <si>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</si>
  <si>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</si>
  <si>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</si>
  <si>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</si>
  <si>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</si>
  <si>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</si>
  <si>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</si>
  <si>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</si>
  <si>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</si>
  <si>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</si>
  <si>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</si>
  <si>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</si>
  <si>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</si>
  <si>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</si>
  <si>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</si>
  <si>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</si>
  <si>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</si>
  <si>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</si>
  <si>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</si>
  <si>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</si>
  <si>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</si>
  <si>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</si>
  <si>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</si>
  <si>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</si>
  <si>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</si>
  <si>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</si>
  <si>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</si>
  <si>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</si>
  <si>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</si>
  <si>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</si>
  <si>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</si>
  <si>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</si>
  <si>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</si>
  <si>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</si>
  <si>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</si>
  <si>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</si>
  <si>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</si>
  <si>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</si>
  <si>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</si>
  <si>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</si>
  <si>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</si>
  <si>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</si>
  <si>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</si>
  <si>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</si>
  <si>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</si>
  <si>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</si>
  <si>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</si>
  <si>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</si>
  <si>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</si>
  <si>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</si>
  <si>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</si>
  <si>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</si>
  <si>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</si>
  <si>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</si>
  <si>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</si>
  <si>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</si>
  <si>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</si>
  <si>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</si>
  <si>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</si>
  <si>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</si>
  <si>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</si>
  <si>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</si>
  <si>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</si>
  <si>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</si>
  <si>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</si>
  <si>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</si>
  <si>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</si>
  <si>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</si>
  <si>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</si>
  <si>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</si>
  <si>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</si>
  <si>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</si>
  <si>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</si>
  <si>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</si>
  <si>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</si>
  <si>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</si>
  <si>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</si>
  <si>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</si>
  <si>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</si>
  <si>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</si>
  <si>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</si>
  <si>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</si>
  <si>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</si>
  <si>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</si>
  <si>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</si>
  <si>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</si>
  <si>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</si>
  <si>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</si>
  <si>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</si>
  <si>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</si>
  <si>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</si>
  <si>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</si>
  <si>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</si>
  <si>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</si>
  <si>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</si>
  <si>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</si>
  <si>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</si>
  <si>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</si>
  <si>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</si>
  <si>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</si>
  <si>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</si>
  <si>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</si>
  <si>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</si>
  <si>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</si>
  <si>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</si>
  <si>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</si>
  <si>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</si>
  <si>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</si>
  <si>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</si>
  <si>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</si>
  <si>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</si>
  <si>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</si>
  <si>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</si>
  <si>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</si>
  <si>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</si>
  <si>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</si>
  <si>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</si>
  <si>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</si>
  <si>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</si>
  <si>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</si>
  <si>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</si>
  <si>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</si>
  <si>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</si>
  <si>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</si>
  <si>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</si>
  <si>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</si>
  <si>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</si>
  <si>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This calculator relies on standard projectile motion equation only. It does not account for air resistance, magnus effect, etc. Use these results as a starting place for prototyping, not as a replacement for it.</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</si>
  <si>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</si>
  <si>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</si>
  <si>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Version 4.6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</si>
</sst>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3">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1" fillId="0" borderId="0" xfId="0" applyFont="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90">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663300"/>
      <color rgb="FFFFCC66"/>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ser>
          <c:idx val="28"/>
          <c:order val="28"/>
          <c:spPr>
            <a:ln>
              <a:solidFill>
                <a:srgbClr val="C00000"/>
              </a:solidFill>
            </a:ln>
          </c:spPr>
          <c:marker>
            <c:symbol val="none"/>
          </c:marker>
          <c:xVal>
            <c:numRef>
              <c:f>´ÖÓÎÉÇØÍÐÉ!$Q$14:$Q$15</c:f>
              <c:numCache>
                <c:formatCode>General</c:formatCode>
                <c:ptCount val="2"/>
                <c:pt idx="0">
                  <c:v>0.99999999999999967</c:v>
                </c:pt>
                <c:pt idx="1">
                  <c:v>0.99999999999999967</c:v>
                </c:pt>
              </c:numCache>
            </c:numRef>
          </c:xVal>
          <c:yVal>
            <c:numRef>
              <c:f>´ÖÓÎÉÇØÍÐÉ!$P$14:$P$15</c:f>
              <c:numCache>
                <c:formatCode>General</c:formatCode>
                <c:ptCount val="2"/>
                <c:pt idx="0">
                  <c:v>0</c:v>
                </c:pt>
                <c:pt idx="1">
                  <c:v>1.9999999999999993</c:v>
                </c:pt>
              </c:numCache>
            </c:numRef>
          </c:yVal>
          <c:smooth val="1"/>
        </c:ser>
        <c:dLbls>
          <c:showLegendKey val="0"/>
          <c:showVal val="0"/>
          <c:showCatName val="0"/>
          <c:showSerName val="0"/>
          <c:showPercent val="0"/>
          <c:showBubbleSize val="0"/>
        </c:dLbls>
        <c:axId val="127928960"/>
        <c:axId val="127947136"/>
      </c:scatterChart>
      <c:valAx>
        <c:axId val="127928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47136"/>
        <c:crosses val="autoZero"/>
        <c:crossBetween val="midCat"/>
      </c:valAx>
      <c:valAx>
        <c:axId val="127947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28960"/>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27596032"/>
        <c:axId val="127597952"/>
      </c:scatterChart>
      <c:valAx>
        <c:axId val="12759603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7597952"/>
        <c:crosses val="autoZero"/>
        <c:crossBetween val="midCat"/>
      </c:valAx>
      <c:valAx>
        <c:axId val="12759795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759603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29651456"/>
        <c:axId val="129652992"/>
      </c:scatterChart>
      <c:valAx>
        <c:axId val="129651456"/>
        <c:scaling>
          <c:orientation val="minMax"/>
        </c:scaling>
        <c:delete val="1"/>
        <c:axPos val="b"/>
        <c:numFmt formatCode="General" sourceLinked="1"/>
        <c:majorTickMark val="out"/>
        <c:minorTickMark val="none"/>
        <c:tickLblPos val="nextTo"/>
        <c:crossAx val="129652992"/>
        <c:crosses val="autoZero"/>
        <c:crossBetween val="midCat"/>
      </c:valAx>
      <c:valAx>
        <c:axId val="129652992"/>
        <c:scaling>
          <c:orientation val="minMax"/>
        </c:scaling>
        <c:delete val="1"/>
        <c:axPos val="l"/>
        <c:numFmt formatCode="General" sourceLinked="1"/>
        <c:majorTickMark val="out"/>
        <c:minorTickMark val="none"/>
        <c:tickLblPos val="nextTo"/>
        <c:crossAx val="12965145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17145</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361</v>
      </c>
    </row>
    <row r="4" spans="2:5" ht="15.6" x14ac:dyDescent="0.3">
      <c r="C4" s="81" t="s">
        <v>180</v>
      </c>
    </row>
    <row r="5" spans="2:5" x14ac:dyDescent="0.25">
      <c r="D5" s="186" t="s">
        <v>212</v>
      </c>
      <c r="E5" s="187"/>
    </row>
    <row r="6" spans="2:5" ht="15" customHeight="1" x14ac:dyDescent="0.25">
      <c r="C6" s="82" t="s">
        <v>181</v>
      </c>
      <c r="D6" s="188"/>
      <c r="E6" s="189"/>
    </row>
    <row r="7" spans="2:5" ht="15" customHeight="1" x14ac:dyDescent="0.25">
      <c r="B7" s="83" t="s">
        <v>169</v>
      </c>
      <c r="C7" s="79" t="s">
        <v>182</v>
      </c>
      <c r="D7" s="188"/>
      <c r="E7" s="189"/>
    </row>
    <row r="8" spans="2:5" ht="15" customHeight="1" x14ac:dyDescent="0.25">
      <c r="B8" s="106" t="s">
        <v>169</v>
      </c>
      <c r="C8" s="79" t="s">
        <v>183</v>
      </c>
      <c r="D8" s="188"/>
      <c r="E8" s="189"/>
    </row>
    <row r="9" spans="2:5" ht="15" customHeight="1" x14ac:dyDescent="0.25">
      <c r="B9" s="107" t="s">
        <v>169</v>
      </c>
      <c r="C9" s="79" t="s">
        <v>184</v>
      </c>
      <c r="D9" s="188"/>
      <c r="E9" s="189"/>
    </row>
    <row r="10" spans="2:5" ht="15" customHeight="1" x14ac:dyDescent="0.25">
      <c r="B10" s="108" t="s">
        <v>169</v>
      </c>
      <c r="C10" s="84" t="s">
        <v>185</v>
      </c>
      <c r="D10" s="190"/>
      <c r="E10" s="191"/>
    </row>
    <row r="12" spans="2:5" ht="14.45" x14ac:dyDescent="0.3">
      <c r="C12" s="85" t="s">
        <v>187</v>
      </c>
    </row>
    <row r="13" spans="2:5" ht="60.75" customHeight="1" x14ac:dyDescent="0.3">
      <c r="C13" s="134" t="s">
        <v>203</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78" customHeight="1" x14ac:dyDescent="0.3">
      <c r="C19" s="134" t="s">
        <v>202</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332</v>
      </c>
    </row>
    <row r="26" spans="3:3" x14ac:dyDescent="0.25">
      <c r="C26" s="86"/>
    </row>
    <row r="27" spans="3:3" x14ac:dyDescent="0.25">
      <c r="C27" s="85" t="s">
        <v>188</v>
      </c>
    </row>
    <row r="28" spans="3:3" ht="90" x14ac:dyDescent="0.25">
      <c r="C28" s="134" t="s">
        <v>360</v>
      </c>
    </row>
    <row r="29" spans="3:3" x14ac:dyDescent="0.25">
      <c r="C29" s="86"/>
    </row>
    <row r="30" spans="3:3" x14ac:dyDescent="0.25">
      <c r="C30" s="85" t="s">
        <v>204</v>
      </c>
    </row>
    <row r="31" spans="3:3" ht="45" x14ac:dyDescent="0.25">
      <c r="C31" s="134" t="s">
        <v>205</v>
      </c>
    </row>
    <row r="32" spans="3:3" x14ac:dyDescent="0.25">
      <c r="C32" s="86"/>
    </row>
    <row r="33" spans="3:3" x14ac:dyDescent="0.25">
      <c r="C33" s="85" t="s">
        <v>211</v>
      </c>
    </row>
    <row r="34" spans="3:3" ht="33.75" customHeight="1" x14ac:dyDescent="0.25">
      <c r="C34" s="134" t="s">
        <v>206</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207</v>
      </c>
    </row>
    <row r="40" spans="3:3" ht="75" x14ac:dyDescent="0.25">
      <c r="C40" s="134" t="s">
        <v>208</v>
      </c>
    </row>
    <row r="41" spans="3:3" x14ac:dyDescent="0.25">
      <c r="C41" s="86"/>
    </row>
    <row r="42" spans="3:3" x14ac:dyDescent="0.25">
      <c r="C42" s="85" t="s">
        <v>321</v>
      </c>
    </row>
    <row r="43" spans="3:3" ht="47.25" customHeight="1" x14ac:dyDescent="0.25">
      <c r="C43" s="134" t="s">
        <v>359</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333</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201" t="s">
        <v>256</v>
      </c>
      <c r="D6" s="202"/>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5" t="s">
        <v>49</v>
      </c>
      <c r="E24" s="196"/>
      <c r="F24" s="196"/>
      <c r="G24" s="196"/>
      <c r="H24" s="196"/>
      <c r="I24" s="196"/>
      <c r="J24" s="196"/>
      <c r="K24" s="196"/>
      <c r="L24" s="196"/>
      <c r="M24" s="196"/>
      <c r="N24" s="196"/>
      <c r="O24" s="197"/>
    </row>
    <row r="25" spans="3:15" ht="75" customHeight="1" x14ac:dyDescent="0.3">
      <c r="D25" s="198" t="s">
        <v>50</v>
      </c>
      <c r="E25" s="199"/>
      <c r="F25" s="199"/>
      <c r="G25" s="199"/>
      <c r="H25" s="199"/>
      <c r="I25" s="199"/>
      <c r="J25" s="199"/>
      <c r="K25" s="199"/>
      <c r="L25" s="199"/>
      <c r="M25" s="199"/>
      <c r="N25" s="199"/>
      <c r="O25" s="200"/>
    </row>
    <row r="26" spans="3:15" ht="72" customHeight="1" x14ac:dyDescent="0.3">
      <c r="D26" s="198" t="s">
        <v>51</v>
      </c>
      <c r="E26" s="199"/>
      <c r="F26" s="199"/>
      <c r="G26" s="199"/>
      <c r="H26" s="199"/>
      <c r="I26" s="199"/>
      <c r="J26" s="199"/>
      <c r="K26" s="199"/>
      <c r="L26" s="199"/>
      <c r="M26" s="199"/>
      <c r="N26" s="199"/>
      <c r="O26" s="200"/>
    </row>
    <row r="27" spans="3:15" ht="73.5" customHeight="1" thickBot="1" x14ac:dyDescent="0.35">
      <c r="D27" s="192" t="s">
        <v>52</v>
      </c>
      <c r="E27" s="193"/>
      <c r="F27" s="193"/>
      <c r="G27" s="193"/>
      <c r="H27" s="193"/>
      <c r="I27" s="193"/>
      <c r="J27" s="193"/>
      <c r="K27" s="193"/>
      <c r="L27" s="193"/>
      <c r="M27" s="193"/>
      <c r="N27" s="193"/>
      <c r="O27" s="194"/>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9" priority="26">
      <formula>LEN(TRIM(D9))=0</formula>
    </cfRule>
  </conditionalFormatting>
  <conditionalFormatting sqref="H18:I21">
    <cfRule type="expression" dxfId="88" priority="18">
      <formula>$I$17=1</formula>
    </cfRule>
  </conditionalFormatting>
  <conditionalFormatting sqref="D14">
    <cfRule type="cellIs" dxfId="87" priority="17" operator="greaterThan">
      <formula>12</formula>
    </cfRule>
  </conditionalFormatting>
  <conditionalFormatting sqref="P14">
    <cfRule type="cellIs" dxfId="86" priority="16" operator="greaterThan">
      <formula>$D$14</formula>
    </cfRule>
  </conditionalFormatting>
  <conditionalFormatting sqref="D15">
    <cfRule type="cellIs" dxfId="85" priority="15" operator="greaterThan">
      <formula>1</formula>
    </cfRule>
  </conditionalFormatting>
  <conditionalFormatting sqref="D13:D15 D17:D18 L9 M11 N12 O13 P14">
    <cfRule type="cellIs" dxfId="84" priority="14" operator="lessThanOrEqual">
      <formula>0</formula>
    </cfRule>
  </conditionalFormatting>
  <conditionalFormatting sqref="D13:D15 D17:D18 H18:I21 L9 M11 N12 O13 P14">
    <cfRule type="expression" dxfId="83" priority="8">
      <formula>ISTEXT(D9)</formula>
    </cfRule>
  </conditionalFormatting>
  <conditionalFormatting sqref="P7:P13">
    <cfRule type="expression" dxfId="82" priority="7">
      <formula>ISERROR($P$7)</formula>
    </cfRule>
  </conditionalFormatting>
  <conditionalFormatting sqref="O7:O12 O14">
    <cfRule type="expression" dxfId="81" priority="6">
      <formula>ISERROR($O$8)</formula>
    </cfRule>
  </conditionalFormatting>
  <conditionalFormatting sqref="N7:N11 N13:N14">
    <cfRule type="expression" dxfId="80" priority="4">
      <formula>$N$9&lt;0</formula>
    </cfRule>
  </conditionalFormatting>
  <conditionalFormatting sqref="M7:M10 M12:M14">
    <cfRule type="expression" dxfId="79" priority="3">
      <formula>ISERROR($M$7)</formula>
    </cfRule>
  </conditionalFormatting>
  <conditionalFormatting sqref="L7:L8 L10:L14">
    <cfRule type="expression" dxfId="78" priority="2">
      <formula>ISERROR($L$7)</formula>
    </cfRule>
  </conditionalFormatting>
  <conditionalFormatting sqref="H7:H14">
    <cfRule type="expression" dxfId="77"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3" t="s">
        <v>65</v>
      </c>
      <c r="D19" s="204"/>
      <c r="E19" s="204"/>
      <c r="F19" s="204"/>
      <c r="G19" s="204"/>
      <c r="H19" s="204"/>
      <c r="I19" s="204"/>
      <c r="J19" s="205"/>
    </row>
    <row r="20" spans="3:10" ht="14.45" x14ac:dyDescent="0.3">
      <c r="C20" s="206" t="s">
        <v>66</v>
      </c>
      <c r="D20" s="207"/>
      <c r="E20" s="207"/>
      <c r="F20" s="207"/>
      <c r="G20" s="207"/>
      <c r="H20" s="207"/>
      <c r="I20" s="207"/>
      <c r="J20" s="208"/>
    </row>
    <row r="22" spans="3:10" ht="43.5" customHeight="1" x14ac:dyDescent="0.3">
      <c r="C22" s="203" t="s">
        <v>67</v>
      </c>
      <c r="D22" s="204"/>
      <c r="E22" s="204"/>
      <c r="F22" s="204"/>
      <c r="G22" s="204"/>
      <c r="H22" s="204"/>
      <c r="I22" s="204"/>
      <c r="J22" s="205"/>
    </row>
    <row r="23" spans="3:10" ht="29.25" customHeight="1" x14ac:dyDescent="0.3">
      <c r="C23" s="206" t="s">
        <v>68</v>
      </c>
      <c r="D23" s="207"/>
      <c r="E23" s="207"/>
      <c r="F23" s="207"/>
      <c r="G23" s="207"/>
      <c r="H23" s="207"/>
      <c r="I23" s="207"/>
      <c r="J23" s="208"/>
    </row>
  </sheetData>
  <sheetProtection sheet="1" objects="1" scenarios="1" formatCells="0" formatColumns="0" formatRows="0"/>
  <mergeCells count="4">
    <mergeCell ref="C19:J19"/>
    <mergeCell ref="C20:J20"/>
    <mergeCell ref="C22:J22"/>
    <mergeCell ref="C23:J23"/>
  </mergeCells>
  <conditionalFormatting sqref="J9:J10 J12:J13">
    <cfRule type="expression" dxfId="76" priority="6">
      <formula>$J$9&lt;0</formula>
    </cfRule>
  </conditionalFormatting>
  <conditionalFormatting sqref="I9 I11:I13">
    <cfRule type="expression" dxfId="75" priority="5">
      <formula>$I$9&lt;0</formula>
    </cfRule>
  </conditionalFormatting>
  <conditionalFormatting sqref="H9 I10 I16 H15 D6:D9">
    <cfRule type="cellIs" dxfId="74" priority="4" operator="lessThan">
      <formula>0</formula>
    </cfRule>
  </conditionalFormatting>
  <conditionalFormatting sqref="J11 I10 H9 I16 H15 D6:D9 D11:D13">
    <cfRule type="containsBlanks" dxfId="73" priority="3">
      <formula>LEN(TRIM(D6))=0</formula>
    </cfRule>
  </conditionalFormatting>
  <conditionalFormatting sqref="D9">
    <cfRule type="cellIs" dxfId="72" priority="2" operator="greaterThan">
      <formula>90</formula>
    </cfRule>
  </conditionalFormatting>
  <conditionalFormatting sqref="D6:D9 H9 I10 J11 H15 I16">
    <cfRule type="expression" dxfId="71"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1" t="s">
        <v>6</v>
      </c>
      <c r="D6" s="209"/>
      <c r="E6" s="22" t="s">
        <v>30</v>
      </c>
      <c r="G6" s="88" t="s">
        <v>75</v>
      </c>
      <c r="H6" s="89" t="s">
        <v>76</v>
      </c>
      <c r="I6" s="89" t="s">
        <v>77</v>
      </c>
      <c r="J6" s="23" t="str">
        <f>"C-C dist. (" &amp; IF($B$4, "mm", "in") &amp; ")"</f>
        <v>C-C dist. (in)</v>
      </c>
      <c r="M6" s="41" t="s">
        <v>352</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353</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355</v>
      </c>
      <c r="N8" s="11">
        <v>20</v>
      </c>
    </row>
    <row r="9" spans="2:14" x14ac:dyDescent="0.25">
      <c r="C9" s="30" t="s">
        <v>3</v>
      </c>
      <c r="D9" s="33">
        <f>VLOOKUP($C$6, MotorSpecs, 4, FALSE)</f>
        <v>2.7</v>
      </c>
      <c r="E9" s="34">
        <f>D9*D13*(D14/12)</f>
        <v>10.8</v>
      </c>
      <c r="G9" s="27"/>
      <c r="H9" s="28"/>
      <c r="I9" s="28"/>
      <c r="J9" s="29" t="str">
        <f t="shared" si="0"/>
        <v/>
      </c>
      <c r="M9" s="41" t="s">
        <v>354</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356</v>
      </c>
      <c r="N11" s="43">
        <f>(N7-N6)/((N8+N9/D13)/1000)</f>
        <v>281.48148148148141</v>
      </c>
    </row>
    <row r="12" spans="2:14" ht="14.45" x14ac:dyDescent="0.3">
      <c r="G12" s="212" t="s">
        <v>78</v>
      </c>
      <c r="H12" s="213"/>
      <c r="I12" s="40">
        <f>IF(COUNTBLANK($H$7:$H$10)&lt;4, PRODUCT($H$7:$H$10), 1)/IF(COUNTBLANK($G$7:$G$10)&lt;4, PRODUCT($G$7:$G$10), 1)</f>
        <v>12.5</v>
      </c>
      <c r="M12" s="159" t="s">
        <v>357</v>
      </c>
      <c r="N12" s="40">
        <f>(E10-E9)/E8*(D19/IF($B$4,1,2.205))*9.8*D17*D21*(D20/2*IF($B$4,0.001,0.0254))/(N11-E9)</f>
        <v>9.4027671677063012</v>
      </c>
    </row>
    <row r="13" spans="2:14" ht="14.45" x14ac:dyDescent="0.3">
      <c r="C13" s="41" t="s">
        <v>80</v>
      </c>
      <c r="D13" s="11">
        <v>4</v>
      </c>
      <c r="G13" s="212" t="str">
        <f>"Adjusted Speed (" &amp; IF($B$4, "m", "ft") &amp; "/s)"</f>
        <v>Adjusted Speed (ft/s)</v>
      </c>
      <c r="H13" s="213"/>
      <c r="I13" s="42">
        <f>I14*$D$16</f>
        <v>6.6234546981483993</v>
      </c>
      <c r="M13" s="159" t="str">
        <f>"Free Speed (" &amp; IF($B$4, "m", "ft") &amp; "/s)"</f>
        <v>Free Speed (ft/s)</v>
      </c>
      <c r="N13" s="42">
        <f>($E$7/60)/N12*((D20/IF($B$4,25.4,1))*PI()/12)/IF($B$4, 3.281, 1)</f>
        <v>9.8934757685795578</v>
      </c>
    </row>
    <row r="14" spans="2:14" ht="14.45" x14ac:dyDescent="0.3">
      <c r="C14" s="41" t="s">
        <v>32</v>
      </c>
      <c r="D14" s="11">
        <v>12</v>
      </c>
      <c r="G14" s="212" t="str">
        <f>"Free Speed (" &amp; IF($B$4, "m", "ft") &amp; "/s)"</f>
        <v>Free Speed (ft/s)</v>
      </c>
      <c r="H14" s="213"/>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12" t="s">
        <v>79</v>
      </c>
      <c r="H15" s="213"/>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10" t="s">
        <v>78</v>
      </c>
      <c r="K17" s="211"/>
      <c r="L17" s="40">
        <f>IF(COUNTBLANK($H$7:$H$10)&lt;4, PRODUCT($H$7:$H$10), 1)*IF(ISBLANK(H18), 1, H18) / (IF(COUNTBLANK($G$7:$G$10)&lt;4, PRODUCT($G$7:$G$10), 1)*IF(ISBLANK(G18), 1, G18))</f>
        <v>15.625</v>
      </c>
    </row>
    <row r="18" spans="3:12" ht="14.45" x14ac:dyDescent="0.3">
      <c r="D18" s="5"/>
      <c r="E18" s="3"/>
      <c r="G18" s="46">
        <v>12</v>
      </c>
      <c r="H18" s="47">
        <v>15</v>
      </c>
      <c r="J18" s="210" t="str">
        <f>"Adjusted Speed (" &amp; IF($B$4, "m", "ft") &amp; "/s)"</f>
        <v>Adjusted Speed (ft/s)</v>
      </c>
      <c r="K18" s="211"/>
      <c r="L18" s="42">
        <f>L19*$D$16</f>
        <v>5.2987637585187191</v>
      </c>
    </row>
    <row r="19" spans="3:12" ht="14.45" x14ac:dyDescent="0.3">
      <c r="C19" s="41" t="str">
        <f>"Robot Weight  (" &amp; IF($B$4, "kg", "lbs") &amp; ")"</f>
        <v>Robot Weight  (lbs)</v>
      </c>
      <c r="D19" s="48">
        <v>154</v>
      </c>
      <c r="G19" s="49" t="s">
        <v>77</v>
      </c>
      <c r="H19" s="50"/>
      <c r="J19" s="210" t="str">
        <f>"Free Speed (" &amp; IF($B$4, "m", "ft") &amp; "/s)"</f>
        <v>Free Speed (ft/s)</v>
      </c>
      <c r="K19" s="211"/>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10" t="s">
        <v>79</v>
      </c>
      <c r="K20" s="211"/>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14" t="s">
        <v>78</v>
      </c>
      <c r="K22" s="215"/>
      <c r="L22" s="40">
        <f>IF(COUNTBLANK($H$7:$H$10)&lt;4, PRODUCT($H$7:$H$10), 1)*IF(ISBLANK(H23), 1, H23) / (IF(COUNTBLANK($G$7:$G$10)&lt;4, PRODUCT($G$7:$G$10), 1)*IF(ISBLANK(G23), 1, G23))</f>
        <v>25</v>
      </c>
    </row>
    <row r="23" spans="3:12" ht="14.45" x14ac:dyDescent="0.3">
      <c r="C23" s="54" t="s">
        <v>74</v>
      </c>
      <c r="D23" s="8" t="b">
        <v>0</v>
      </c>
      <c r="G23" s="46"/>
      <c r="H23" s="47">
        <v>2</v>
      </c>
      <c r="J23" s="214" t="str">
        <f>"Adjusted Speed (" &amp; IF($B$4, "m", "ft") &amp; "/s)"</f>
        <v>Adjusted Speed (ft/s)</v>
      </c>
      <c r="K23" s="215"/>
      <c r="L23" s="42">
        <f>L24*$D$16</f>
        <v>3.3117273490741996</v>
      </c>
    </row>
    <row r="24" spans="3:12" ht="14.45" x14ac:dyDescent="0.3">
      <c r="C24" s="54" t="s">
        <v>214</v>
      </c>
      <c r="D24" s="8" t="b">
        <v>0</v>
      </c>
      <c r="G24" s="49" t="s">
        <v>77</v>
      </c>
      <c r="H24" s="50"/>
      <c r="J24" s="214" t="str">
        <f>"Free Speed (" &amp; IF($B$4, "m", "ft") &amp; "/s)"</f>
        <v>Free Speed (ft/s)</v>
      </c>
      <c r="K24" s="215"/>
      <c r="L24" s="42">
        <f>($E$7/60)/L22*((IF(D24,D26,D20)/IF($B$4,25.4,1))*PI()/12)/IF($B$4, 3.281, 1)</f>
        <v>3.7210419652519096</v>
      </c>
    </row>
    <row r="25" spans="3:12" ht="14.45" x14ac:dyDescent="0.3">
      <c r="G25" s="52" t="str">
        <f>"C-C (" &amp; IF($B$4, "mm", "in") &amp; ")"</f>
        <v>C-C (in)</v>
      </c>
      <c r="H25" s="53" t="str">
        <f>IF(COUNTBLANK(G23:H24)&gt;0, "", ((G23+H23)/(2*H24)+0.003)*IF($B$4, 25.4, 1))</f>
        <v/>
      </c>
      <c r="J25" s="214" t="s">
        <v>79</v>
      </c>
      <c r="K25" s="215"/>
      <c r="L25" s="43">
        <f>(($E$10-$E$9)/$E$8)*($D$19*IF($B$4,2.205,1))*$D$17*IF(D24,D27,D21)/$D$13*((IF(D24,D26,D20)/IF($B$4,25.4,1))/2)/L22*4.448*0.0254 + $E$9/$D$13</f>
        <v>28.171910709377585</v>
      </c>
    </row>
    <row r="26" spans="3:12" ht="14.45" x14ac:dyDescent="0.3">
      <c r="C26" s="87" t="str">
        <f>"2nd Wheel Diam. (" &amp; IF($B$4, "mm", "in") &amp; ")"</f>
        <v>2nd Wheel Diam. (in)</v>
      </c>
      <c r="D26" s="51">
        <v>5.9999999999999991</v>
      </c>
    </row>
    <row r="27" spans="3:12" ht="14.45" x14ac:dyDescent="0.3">
      <c r="C27" s="87"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70" priority="38" operator="greaterThan">
      <formula>12</formula>
    </cfRule>
  </conditionalFormatting>
  <conditionalFormatting sqref="D13:D17 D19:D21 N8:N9">
    <cfRule type="cellIs" dxfId="69" priority="35" operator="lessThanOrEqual">
      <formula>0</formula>
    </cfRule>
  </conditionalFormatting>
  <conditionalFormatting sqref="D15:D17">
    <cfRule type="cellIs" dxfId="68" priority="28" operator="greaterThan">
      <formula>1</formula>
    </cfRule>
  </conditionalFormatting>
  <conditionalFormatting sqref="D13:D17 D19:D21 N6:N9">
    <cfRule type="containsBlanks" dxfId="67" priority="24">
      <formula>LEN(TRIM(D6))=0</formula>
    </cfRule>
  </conditionalFormatting>
  <conditionalFormatting sqref="G7:I10 G18:H18 H19 D26:D27 G23:H23 H24">
    <cfRule type="cellIs" dxfId="66" priority="22" operator="lessThan">
      <formula>0</formula>
    </cfRule>
  </conditionalFormatting>
  <conditionalFormatting sqref="C26:D27">
    <cfRule type="expression" dxfId="65" priority="39">
      <formula>NOT($D$24)</formula>
    </cfRule>
  </conditionalFormatting>
  <conditionalFormatting sqref="G17:L25">
    <cfRule type="expression" dxfId="64" priority="40">
      <formula>NOT($D$23)</formula>
    </cfRule>
  </conditionalFormatting>
  <conditionalFormatting sqref="G12:I15">
    <cfRule type="expression" dxfId="63" priority="17">
      <formula>$D$23</formula>
    </cfRule>
  </conditionalFormatting>
  <conditionalFormatting sqref="D13:D17 D19:D21 G7:I10 G18:H18 H19 G23:H23 H24 N6:N9">
    <cfRule type="expression" dxfId="62" priority="16">
      <formula>ISTEXT(D6)</formula>
    </cfRule>
  </conditionalFormatting>
  <conditionalFormatting sqref="N11:N14">
    <cfRule type="expression" dxfId="61" priority="2">
      <formula>$N$6&gt;=$N$7</formula>
    </cfRule>
  </conditionalFormatting>
  <conditionalFormatting sqref="N6:N7">
    <cfRule type="expression" dxfId="60" priority="1">
      <formula>$N$6&gt;=$N$7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6" t="s">
        <v>86</v>
      </c>
      <c r="G6" s="216"/>
      <c r="I6" s="216" t="s">
        <v>85</v>
      </c>
      <c r="J6" s="216"/>
      <c r="L6" s="216" t="s">
        <v>87</v>
      </c>
      <c r="M6" s="216"/>
      <c r="O6" s="55" t="s">
        <v>88</v>
      </c>
      <c r="P6" s="55"/>
    </row>
    <row r="7" spans="2:16" ht="14.45" x14ac:dyDescent="0.3">
      <c r="D7" s="5"/>
    </row>
    <row r="8" spans="2:16" ht="14.45" x14ac:dyDescent="0.3">
      <c r="C8" s="88" t="s">
        <v>84</v>
      </c>
      <c r="D8" s="11" t="s">
        <v>220</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219</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7" t="s">
        <v>213</v>
      </c>
      <c r="D15" s="218"/>
    </row>
    <row r="16" spans="2:16" ht="15" customHeight="1" x14ac:dyDescent="0.25">
      <c r="C16" s="219"/>
      <c r="D16" s="220"/>
    </row>
    <row r="17" spans="3:4" ht="15" customHeight="1" x14ac:dyDescent="0.25">
      <c r="C17" s="219"/>
      <c r="D17" s="220"/>
    </row>
    <row r="18" spans="3:4" x14ac:dyDescent="0.25">
      <c r="C18" s="221"/>
      <c r="D18" s="222"/>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9" priority="4">
      <formula>NOT($D$10="Rect. Tube")</formula>
    </cfRule>
  </conditionalFormatting>
  <conditionalFormatting sqref="C12:D13">
    <cfRule type="expression" dxfId="58" priority="7">
      <formula>NOT(OR($D$10="Round Tube", $D$10="Rect. Tube"))</formula>
    </cfRule>
  </conditionalFormatting>
  <conditionalFormatting sqref="D11:D13 G8:G10 J8:J10 M8:M9 P8:P9">
    <cfRule type="cellIs" dxfId="57" priority="8" operator="lessThanOrEqual">
      <formula>0</formula>
    </cfRule>
  </conditionalFormatting>
  <conditionalFormatting sqref="G9">
    <cfRule type="cellIs" dxfId="56" priority="3" operator="greaterThanOrEqual">
      <formula>$G$10</formula>
    </cfRule>
  </conditionalFormatting>
  <conditionalFormatting sqref="D11 G8:G10 J8:J10 M8:M9 P8:P9">
    <cfRule type="expression" dxfId="55" priority="2">
      <formula>ISTEXT(D8)</formula>
    </cfRule>
  </conditionalFormatting>
  <conditionalFormatting sqref="D11">
    <cfRule type="containsBlanks" dxfId="54"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7" width="9.140625" style="160"/>
    <col min="18" max="18" width="9.140625" style="160" customWidth="1"/>
    <col min="19" max="19" width="9.140625" style="160"/>
    <col min="20" max="154" width="9.140625" style="162" hidden="1" customWidth="1"/>
    <col min="155" max="16384" width="9.140625" style="160"/>
  </cols>
  <sheetData>
    <row r="2" spans="2:156" ht="31.15" x14ac:dyDescent="0.3">
      <c r="C2" s="161" t="s">
        <v>94</v>
      </c>
    </row>
    <row r="3" spans="2:156" ht="14.45" x14ac:dyDescent="0.3">
      <c r="I3" s="201" t="s">
        <v>98</v>
      </c>
      <c r="J3" s="202"/>
    </row>
    <row r="4" spans="2:156" ht="14.45" x14ac:dyDescent="0.3">
      <c r="B4" s="8" t="b">
        <v>1</v>
      </c>
      <c r="C4" s="160" t="s">
        <v>0</v>
      </c>
      <c r="V4" s="163"/>
      <c r="W4" s="164"/>
      <c r="Y4" s="165"/>
      <c r="Z4" s="164"/>
    </row>
    <row r="5" spans="2:156" ht="14.45" x14ac:dyDescent="0.3">
      <c r="T5" s="162">
        <f>IF($I$3="Forward",D7,G7)</f>
        <v>0.29999999999999993</v>
      </c>
      <c r="V5" s="166">
        <f>MAX(CI8:CI108)*2</f>
        <v>9.5499370050354955</v>
      </c>
      <c r="W5" s="164"/>
      <c r="Y5" s="165"/>
    </row>
    <row r="6" spans="2:156" ht="18" x14ac:dyDescent="0.3">
      <c r="C6" s="232" t="s">
        <v>95</v>
      </c>
      <c r="D6" s="232"/>
      <c r="F6" s="232" t="s">
        <v>98</v>
      </c>
      <c r="G6" s="232"/>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2</v>
      </c>
      <c r="U7" s="163">
        <f>$G$10-$G$11</f>
        <v>2.5</v>
      </c>
      <c r="V7" s="163">
        <f>$G$12-$G$13</f>
        <v>-80</v>
      </c>
      <c r="W7" s="163">
        <f>IF($I$3="Forward", $D$10*(1-$D$11), SQRT((IF($B$4, 9.807, 32.174)*T7)/(ABS(TAN(RADIANS(X7))-TAN(RADIANS(V7)))))/COS(RADIANS(X7)))</f>
        <v>9.5489346835634272</v>
      </c>
      <c r="X7" s="164">
        <f>IF($I$3="Forward", $D$12-$D$13, DEGREES(ATAN(2*(U7-$T$5)/T7-TAN(RADIANS(V7)))))</f>
        <v>82.759695716411017</v>
      </c>
      <c r="Y7" s="163">
        <f>IF($I$3="Forward", $D$8, $G$8)</f>
        <v>2</v>
      </c>
      <c r="Z7" s="163">
        <f>$G$10-$G$11</f>
        <v>2.5</v>
      </c>
      <c r="AA7" s="163">
        <f>$G$12-$G$13</f>
        <v>-80</v>
      </c>
      <c r="AB7" s="163">
        <f>IF($I$3="Forward", $D$10*(1-$D$11), SQRT((IF($B$4, 9.807, 32.174)*Y7)/(ABS(TAN(RADIANS(AC7))-TAN(RADIANS(AA7)))))/COS(RADIANS(AC7)))</f>
        <v>9.5489346835634272</v>
      </c>
      <c r="AC7" s="164">
        <f>IF($I$3="Forward", $D$12-$D$13, DEGREES(ATAN(2*(Z7-$T$5)/Y7-TAN(RADIANS(AA7)))))</f>
        <v>82.759695716411017</v>
      </c>
      <c r="AD7" s="163">
        <f>IF($I$3="Forward", $D$8+$D$9, $G$8+$G$9)</f>
        <v>2</v>
      </c>
      <c r="AE7" s="163">
        <f>$G$10-$G$11</f>
        <v>2.5</v>
      </c>
      <c r="AF7" s="163">
        <f>$G$12-$G$13</f>
        <v>-80</v>
      </c>
      <c r="AG7" s="163">
        <f>IF($I$3="Forward", $D$10*(1-$D$11), SQRT((IF($B$4, 9.807, 32.174)*AD7)/(ABS(TAN(RADIANS(AH7))-TAN(RADIANS(AF7)))))/COS(RADIANS(AH7)))</f>
        <v>9.5489346835634272</v>
      </c>
      <c r="AH7" s="164">
        <f>IF($I$3="Forward", $D$12-$D$13, DEGREES(ATAN(2*(AE7-$T$5)/AD7-TAN(RADIANS(AF7)))))</f>
        <v>82.759695716411017</v>
      </c>
      <c r="AI7" s="163">
        <f>IF($I$3="Forward", $D$8-$D$9, $G$8-$G$9)</f>
        <v>2</v>
      </c>
      <c r="AJ7" s="163">
        <f>$G$10</f>
        <v>2.5</v>
      </c>
      <c r="AK7" s="163">
        <f>$G$12-$G$13</f>
        <v>-80</v>
      </c>
      <c r="AL7" s="163">
        <f>IF($I$3="Forward", $D$10, SQRT((IF($B$4, 9.807, 32.174)*AI7)/(ABS(TAN(RADIANS(AM7))-TAN(RADIANS(AK7)))))/COS(RADIANS(AM7)))</f>
        <v>9.5489346835634272</v>
      </c>
      <c r="AM7" s="164">
        <f>IF($I$3="Forward", $D$12-$D$13, DEGREES(ATAN(2*(AJ7-$T$5)/AI7-TAN(RADIANS(AK7)))))</f>
        <v>82.759695716411017</v>
      </c>
      <c r="AN7" s="163">
        <f>IF($I$3="Forward", $D$8, $G$8)</f>
        <v>2</v>
      </c>
      <c r="AO7" s="163">
        <f>$G$10</f>
        <v>2.5</v>
      </c>
      <c r="AP7" s="163">
        <f>$G$12-$G$13</f>
        <v>-80</v>
      </c>
      <c r="AQ7" s="163">
        <f>IF($I$3="Forward", $D$10, SQRT((IF($B$4, 9.807, 32.174)*AN7)/(ABS(TAN(RADIANS(AR7))-TAN(RADIANS(AP7)))))/COS(RADIANS(AR7)))</f>
        <v>9.5489346835634272</v>
      </c>
      <c r="AR7" s="164">
        <f>IF($I$3="Forward", $D$12-$D$13, DEGREES(ATAN(2*(AO7-$T$5)/AN7-TAN(RADIANS(AP7)))))</f>
        <v>82.759695716411017</v>
      </c>
      <c r="AS7" s="163">
        <f>IF($I$3="Forward", $D$8+$D$9, $G$8+$G$9)</f>
        <v>2</v>
      </c>
      <c r="AT7" s="163">
        <f>$G$10</f>
        <v>2.5</v>
      </c>
      <c r="AU7" s="163">
        <f>$G$12-$G$13</f>
        <v>-80</v>
      </c>
      <c r="AV7" s="163">
        <f>IF($I$3="Forward", $D$10, SQRT((IF($B$4, 9.807, 32.174)*AS7)/(ABS(TAN(RADIANS(AW7))-TAN(RADIANS(AU7)))))/COS(RADIANS(AW7)))</f>
        <v>9.5489346835634272</v>
      </c>
      <c r="AW7" s="164">
        <f>IF($I$3="Forward", $D$12-$D$13, DEGREES(ATAN(2*(AT7-$T$5)/AS7-TAN(RADIANS(AU7)))))</f>
        <v>82.759695716411017</v>
      </c>
      <c r="AX7" s="163">
        <f>IF($I$3="Forward", $D$8-$D$9, $G$8-$G$9)</f>
        <v>2</v>
      </c>
      <c r="AY7" s="163">
        <f>$G$10+$G$11</f>
        <v>2.5</v>
      </c>
      <c r="AZ7" s="163">
        <f>$G$12-$G$13</f>
        <v>-80</v>
      </c>
      <c r="BA7" s="163">
        <f>IF($I$3="Forward", $D$10*(1+$D$11), SQRT((IF($B$4, 9.807, 32.174)*AX7)/(ABS(TAN(RADIANS(BB7))-TAN(RADIANS(AZ7)))))/COS(RADIANS(BB7)))</f>
        <v>9.5489346835634272</v>
      </c>
      <c r="BB7" s="164">
        <f>IF($I$3="Forward", $D$12-$D$13, DEGREES(ATAN(2*(AY7-$T$5)/AX7-TAN(RADIANS(AZ7)))))</f>
        <v>82.759695716411017</v>
      </c>
      <c r="BC7" s="163">
        <f>IF($I$3="Forward", $D$8, $G$8)</f>
        <v>2</v>
      </c>
      <c r="BD7" s="163">
        <f>$G$10+$G$11</f>
        <v>2.5</v>
      </c>
      <c r="BE7" s="163">
        <f>$G$12-$G$13</f>
        <v>-80</v>
      </c>
      <c r="BF7" s="163">
        <f>IF($I$3="Forward", $D$10*(1+$D$11), SQRT((IF($B$4, 9.807, 32.174)*BC7)/(ABS(TAN(RADIANS(BG7))-TAN(RADIANS(BE7)))))/COS(RADIANS(BG7)))</f>
        <v>9.5489346835634272</v>
      </c>
      <c r="BG7" s="164">
        <f>IF($I$3="Forward", $D$12-$D$13, DEGREES(ATAN(2*(BD7-$T$5)/BC7-TAN(RADIANS(BE7)))))</f>
        <v>82.759695716411017</v>
      </c>
      <c r="BH7" s="163">
        <f>IF($I$3="Forward", $D$8+$D$9, $G$8+$G$9)</f>
        <v>2</v>
      </c>
      <c r="BI7" s="163">
        <f>$G$10+$G$11</f>
        <v>2.5</v>
      </c>
      <c r="BJ7" s="163">
        <f>$G$12-$G$13</f>
        <v>-80</v>
      </c>
      <c r="BK7" s="163">
        <f>IF($I$3="Forward", $D$10*(1+$D$11), SQRT((IF($B$4, 9.807, 32.174)*BH7)/(ABS(TAN(RADIANS(BL7))-TAN(RADIANS(BJ7)))))/COS(RADIANS(BL7)))</f>
        <v>9.5489346835634272</v>
      </c>
      <c r="BL7" s="164">
        <f>IF($I$3="Forward", $D$12-$D$13, DEGREES(ATAN(2*(BI7-$T$5)/BH7-TAN(RADIANS(BJ7)))))</f>
        <v>82.759695716411017</v>
      </c>
      <c r="BM7" s="163">
        <f>IF($I$3="Forward", $D$8-$D$9, $G$8-$G$9)</f>
        <v>2</v>
      </c>
      <c r="BN7" s="163">
        <f>$G$10-$G$11</f>
        <v>2.5</v>
      </c>
      <c r="BO7" s="163">
        <f>$G$12</f>
        <v>-80</v>
      </c>
      <c r="BP7" s="163">
        <f>IF($I$3="Forward", $D$10*(1-$D$11), SQRT((IF($B$4, 9.807, 32.174)*BM7)/(ABS(TAN(RADIANS(BQ7))-TAN(RADIANS(BO7)))))/COS(RADIANS(BQ7)))</f>
        <v>9.5489346835634272</v>
      </c>
      <c r="BQ7" s="164">
        <f>IF($I$3="Forward", $D$12, DEGREES(ATAN(2*(BN7-$T$5)/BM7-TAN(RADIANS(BO7)))))</f>
        <v>82.759695716411017</v>
      </c>
      <c r="BR7" s="163">
        <f>IF($I$3="Forward", $D$8, $G$8)</f>
        <v>2</v>
      </c>
      <c r="BS7" s="163">
        <f>$G$10-$G$11</f>
        <v>2.5</v>
      </c>
      <c r="BT7" s="163">
        <f>$G$12</f>
        <v>-80</v>
      </c>
      <c r="BU7" s="163">
        <f>IF($I$3="Forward", $D$10*(1-$D$11), SQRT((IF($B$4, 9.807, 32.174)*BR7)/(ABS(TAN(RADIANS(BV7))-TAN(RADIANS(BT7)))))/COS(RADIANS(BV7)))</f>
        <v>9.5489346835634272</v>
      </c>
      <c r="BV7" s="164">
        <f>IF($I$3="Forward", $D$12, DEGREES(ATAN(2*(BS7-$T$5)/BR7-TAN(RADIANS(BT7)))))</f>
        <v>82.759695716411017</v>
      </c>
      <c r="BW7" s="163">
        <f>IF($I$3="Forward", $D$8+$D$9, $G$8+$G$9)</f>
        <v>2</v>
      </c>
      <c r="BX7" s="163">
        <f>$G$10-$G$11</f>
        <v>2.5</v>
      </c>
      <c r="BY7" s="163">
        <f>$G$12</f>
        <v>-80</v>
      </c>
      <c r="BZ7" s="163">
        <f>IF($I$3="Forward", $D$10*(1-$D$11), SQRT((IF($B$4, 9.807, 32.174)*BW7)/(ABS(TAN(RADIANS(CA7))-TAN(RADIANS(BY7)))))/COS(RADIANS(CA7)))</f>
        <v>9.5489346835634272</v>
      </c>
      <c r="CA7" s="164">
        <f>IF($I$3="Forward", $D$12, DEGREES(ATAN(2*(BX7-$T$5)/BW7-TAN(RADIANS(BY7)))))</f>
        <v>82.759695716411017</v>
      </c>
      <c r="CB7" s="163">
        <f>IF($I$3="Forward", $D$8-$D$9, $G$8-$G$9)</f>
        <v>2</v>
      </c>
      <c r="CC7" s="163">
        <f>$G$10</f>
        <v>2.5</v>
      </c>
      <c r="CD7" s="163">
        <f>$G$12</f>
        <v>-80</v>
      </c>
      <c r="CE7" s="163">
        <f>IF($I$3="Forward", $D$10, SQRT((IF($B$4, 9.807, 32.174)*CB7)/(ABS(TAN(RADIANS(CF7))-TAN(RADIANS(CD7)))))/COS(RADIANS(CF7)))</f>
        <v>9.5489346835634272</v>
      </c>
      <c r="CF7" s="164">
        <f>IF($I$3="Forward", $D$12, DEGREES(ATAN(2*(CC7-$T$5)/CB7-TAN(RADIANS(CD7)))))</f>
        <v>82.759695716411017</v>
      </c>
      <c r="CG7" s="166">
        <f>IF($I$3="Forward", $D$8, $G$8)</f>
        <v>2</v>
      </c>
      <c r="CH7" s="166">
        <f>$G$10</f>
        <v>2.5</v>
      </c>
      <c r="CI7" s="166">
        <f>$G$12</f>
        <v>-80</v>
      </c>
      <c r="CJ7" s="166">
        <f>IF($I$3="Forward", $D$10, SQRT((IF($B$4, 9.807, 32.174)*CG7)/(ABS(TAN(RADIANS(CK7))-TAN(RADIANS(CI7)))))/COS(RADIANS(CK7)))</f>
        <v>9.5489346835634272</v>
      </c>
      <c r="CK7" s="168">
        <f>IF($I$3="Forward", $D$12, DEGREES(ATAN(2*(CH7-$T$5)/CG7-TAN(RADIANS(CI7)))))</f>
        <v>82.759695716411017</v>
      </c>
      <c r="CL7" s="163">
        <f>IF($I$3="Forward", $D$8+$D$9, $G$8+$G$9)</f>
        <v>2</v>
      </c>
      <c r="CM7" s="163">
        <f>$G$10</f>
        <v>2.5</v>
      </c>
      <c r="CN7" s="163">
        <f>$G$12</f>
        <v>-80</v>
      </c>
      <c r="CO7" s="163">
        <f>IF($I$3="Forward", $D$10, SQRT((IF($B$4, 9.807, 32.174)*CL7)/(ABS(TAN(RADIANS(CP7))-TAN(RADIANS(CN7)))))/COS(RADIANS(CP7)))</f>
        <v>9.5489346835634272</v>
      </c>
      <c r="CP7" s="164">
        <f>IF($I$3="Forward", $D$12, DEGREES(ATAN(2*(CM7-$T$5)/CL7-TAN(RADIANS(CN7)))))</f>
        <v>82.759695716411017</v>
      </c>
      <c r="CQ7" s="163">
        <f>IF($I$3="Forward", $D$8-$D$9, $G$8-$G$9)</f>
        <v>2</v>
      </c>
      <c r="CR7" s="163">
        <f>$G$10+$G$11</f>
        <v>2.5</v>
      </c>
      <c r="CS7" s="163">
        <f>$G$12</f>
        <v>-80</v>
      </c>
      <c r="CT7" s="163">
        <f>IF($I$3="Forward", $D$10*(1+$D$11), SQRT((IF($B$4, 9.807, 32.174)*CQ7)/(ABS(TAN(RADIANS(CU7))-TAN(RADIANS(CS7)))))/COS(RADIANS(CU7)))</f>
        <v>9.5489346835634272</v>
      </c>
      <c r="CU7" s="164">
        <f>IF($I$3="Forward", $D$12, DEGREES(ATAN(2*(CR7-$T$5)/CQ7-TAN(RADIANS(CS7)))))</f>
        <v>82.759695716411017</v>
      </c>
      <c r="CV7" s="163">
        <f>IF($I$3="Forward", $D$8, $G$8)</f>
        <v>2</v>
      </c>
      <c r="CW7" s="163">
        <f>$G$10+$G$11</f>
        <v>2.5</v>
      </c>
      <c r="CX7" s="163">
        <f>$G$12</f>
        <v>-80</v>
      </c>
      <c r="CY7" s="163">
        <f>IF($I$3="Forward", $D$10*(1+$D$11), SQRT((IF($B$4, 9.807, 32.174)*CV7)/(ABS(TAN(RADIANS(CZ7))-TAN(RADIANS(CX7)))))/COS(RADIANS(CZ7)))</f>
        <v>9.5489346835634272</v>
      </c>
      <c r="CZ7" s="164">
        <f>IF($I$3="Forward", $D$12, DEGREES(ATAN(2*(CW7-$T$5)/CV7-TAN(RADIANS(CX7)))))</f>
        <v>82.759695716411017</v>
      </c>
      <c r="DA7" s="163">
        <f>IF($I$3="Forward", $D$8+$D$9, $G$8+$G$9)</f>
        <v>2</v>
      </c>
      <c r="DB7" s="163">
        <f>$G$10+$G$11</f>
        <v>2.5</v>
      </c>
      <c r="DC7" s="163">
        <f>$G$12</f>
        <v>-80</v>
      </c>
      <c r="DD7" s="163">
        <f>IF($I$3="Forward", $D$10*(1+$D$11), SQRT((IF($B$4, 9.807, 32.174)*DA7)/(ABS(TAN(RADIANS(DE7))-TAN(RADIANS(DC7)))))/COS(RADIANS(DE7)))</f>
        <v>9.5489346835634272</v>
      </c>
      <c r="DE7" s="164">
        <f>IF($I$3="Forward", $D$12, DEGREES(ATAN(2*(DB7-$T$5)/DA7-TAN(RADIANS(DC7)))))</f>
        <v>82.759695716411017</v>
      </c>
      <c r="DF7" s="163">
        <f>IF($I$3="Forward", $D$8-$D$9, $G$8-$G$9)</f>
        <v>2</v>
      </c>
      <c r="DG7" s="163">
        <f>$G$10-$G$11</f>
        <v>2.5</v>
      </c>
      <c r="DH7" s="163">
        <f>$G$12+$G$13</f>
        <v>-80</v>
      </c>
      <c r="DI7" s="163">
        <f>IF($I$3="Forward", $D$10*(1-$D$11), SQRT((IF($B$4, 9.807, 32.174)*DF7)/(ABS(TAN(RADIANS(DJ7))-TAN(RADIANS(DH7)))))/COS(RADIANS(DJ7)))</f>
        <v>9.5489346835634272</v>
      </c>
      <c r="DJ7" s="164">
        <f>IF($I$3="Forward", $D$12+$D$13, DEGREES(ATAN(2*(DG7-$T$5)/DF7-TAN(RADIANS(DH7)))))</f>
        <v>82.759695716411017</v>
      </c>
      <c r="DK7" s="163">
        <f>IF($I$3="Forward", $D$8, $G$8)</f>
        <v>2</v>
      </c>
      <c r="DL7" s="163">
        <f>$G$10-$G$11</f>
        <v>2.5</v>
      </c>
      <c r="DM7" s="163">
        <f>$G$12+$G$13</f>
        <v>-80</v>
      </c>
      <c r="DN7" s="163">
        <f>IF($I$3="Forward", $D$10*(1-$D$11), SQRT((IF($B$4, 9.807, 32.174)*DK7)/(ABS(TAN(RADIANS(DO7))-TAN(RADIANS(DM7)))))/COS(RADIANS(DO7)))</f>
        <v>9.5489346835634272</v>
      </c>
      <c r="DO7" s="164">
        <f>IF($I$3="Forward", $D$12+$D$13, DEGREES(ATAN(2*(DL7-$T$5)/DK7-TAN(RADIANS(DM7)))))</f>
        <v>82.759695716411017</v>
      </c>
      <c r="DP7" s="163">
        <f>IF($I$3="Forward", $D$8+$D$9, $G$8+$G$9)</f>
        <v>2</v>
      </c>
      <c r="DQ7" s="163">
        <f>$G$10-$G$11</f>
        <v>2.5</v>
      </c>
      <c r="DR7" s="163">
        <f>$G$12+$G$13</f>
        <v>-80</v>
      </c>
      <c r="DS7" s="163">
        <f>IF($I$3="Forward", $D$10*(1-$D$11), SQRT((IF($B$4, 9.807, 32.174)*DP7)/(ABS(TAN(RADIANS(DT7))-TAN(RADIANS(DR7)))))/COS(RADIANS(DT7)))</f>
        <v>9.5489346835634272</v>
      </c>
      <c r="DT7" s="164">
        <f>IF($I$3="Forward", $D$12+$D$13, DEGREES(ATAN(2*(DQ7-$T$5)/DP7-TAN(RADIANS(DR7)))))</f>
        <v>82.759695716411017</v>
      </c>
      <c r="DU7" s="163">
        <f>IF($I$3="Forward", $D$8-$D$9, $G$8-$G$9)</f>
        <v>2</v>
      </c>
      <c r="DV7" s="163">
        <f>$G$10</f>
        <v>2.5</v>
      </c>
      <c r="DW7" s="163">
        <f>$G$12+$G$13</f>
        <v>-80</v>
      </c>
      <c r="DX7" s="163">
        <f>IF($I$3="Forward", $D$10, SQRT((IF($B$4, 9.807, 32.174)*DU7)/(ABS(TAN(RADIANS(DY7))-TAN(RADIANS(DW7)))))/COS(RADIANS(DY7)))</f>
        <v>9.5489346835634272</v>
      </c>
      <c r="DY7" s="164">
        <f>IF($I$3="Forward", $D$12+$D$13, DEGREES(ATAN(2*(DV7-$T$5)/DU7-TAN(RADIANS(DW7)))))</f>
        <v>82.759695716411017</v>
      </c>
      <c r="DZ7" s="163">
        <f>IF($I$3="Forward", $D$8, $G$8)</f>
        <v>2</v>
      </c>
      <c r="EA7" s="163">
        <f>$G$10</f>
        <v>2.5</v>
      </c>
      <c r="EB7" s="163">
        <f>$G$12+$G$13</f>
        <v>-80</v>
      </c>
      <c r="EC7" s="163">
        <f>IF($I$3="Forward", $D$10, SQRT((IF($B$4, 9.807, 32.174)*DZ7)/(ABS(TAN(RADIANS(ED7))-TAN(RADIANS(EB7)))))/COS(RADIANS(ED7)))</f>
        <v>9.5489346835634272</v>
      </c>
      <c r="ED7" s="164">
        <f>IF($I$3="Forward", $D$12+$D$13, DEGREES(ATAN(2*(EA7-$T$5)/DZ7-TAN(RADIANS(EB7)))))</f>
        <v>82.759695716411017</v>
      </c>
      <c r="EE7" s="163">
        <f>IF($I$3="Forward", $D$8+$D$9, $G$8+$G$9)</f>
        <v>2</v>
      </c>
      <c r="EF7" s="163">
        <f>$G$10</f>
        <v>2.5</v>
      </c>
      <c r="EG7" s="163">
        <f>$G$12+$G$13</f>
        <v>-80</v>
      </c>
      <c r="EH7" s="163">
        <f>IF($I$3="Forward", $D$10, SQRT((IF($B$4, 9.807, 32.174)*EE7)/(ABS(TAN(RADIANS(EI7))-TAN(RADIANS(EG7)))))/COS(RADIANS(EI7)))</f>
        <v>9.5489346835634272</v>
      </c>
      <c r="EI7" s="164">
        <f>IF($I$3="Forward", $D$12+$D$13, DEGREES(ATAN(2*(EF7-$T$5)/EE7-TAN(RADIANS(EG7)))))</f>
        <v>82.759695716411017</v>
      </c>
      <c r="EJ7" s="163">
        <f>IF($I$3="Forward", $D$8-$D$9, $G$8-$G$9)</f>
        <v>2</v>
      </c>
      <c r="EK7" s="163">
        <f>$G$10+$G$11</f>
        <v>2.5</v>
      </c>
      <c r="EL7" s="163">
        <f>$G$12+$G$13</f>
        <v>-80</v>
      </c>
      <c r="EM7" s="163">
        <f>IF($I$3="Forward", $D$10*(1+$D$11), SQRT((IF($B$4, 9.807, 32.174)*EJ7)/(ABS(TAN(RADIANS(EN7))-TAN(RADIANS(EL7)))))/COS(RADIANS(EN7)))</f>
        <v>9.5489346835634272</v>
      </c>
      <c r="EN7" s="164">
        <f>IF($I$3="Forward", $D$12+$D$13, DEGREES(ATAN(2*(EK7-$T$5)/EJ7-TAN(RADIANS(EL7)))))</f>
        <v>82.759695716411017</v>
      </c>
      <c r="EO7" s="163">
        <f>IF($I$3="Forward", $D$8, $G$8)</f>
        <v>2</v>
      </c>
      <c r="EP7" s="163">
        <f>$G$10+$G$11</f>
        <v>2.5</v>
      </c>
      <c r="EQ7" s="163">
        <f>$G$12+$G$13</f>
        <v>-80</v>
      </c>
      <c r="ER7" s="163">
        <f>IF($I$3="Forward", $D$10*(1+$D$11), SQRT((IF($B$4, 9.807, 32.174)*EO7)/(ABS(TAN(RADIANS(ES7))-TAN(RADIANS(EQ7)))))/COS(RADIANS(ES7)))</f>
        <v>9.5489346835634272</v>
      </c>
      <c r="ES7" s="164">
        <f>IF($I$3="Forward", $D$12+$D$13, DEGREES(ATAN(2*(EP7-$T$5)/EO7-TAN(RADIANS(EQ7)))))</f>
        <v>82.759695716411017</v>
      </c>
      <c r="ET7" s="163">
        <f>IF($I$3="Forward", $D$8+$D$9, $G$8+$G$9)</f>
        <v>2</v>
      </c>
      <c r="EU7" s="163">
        <f>$G$10+$G$11</f>
        <v>2.5</v>
      </c>
      <c r="EV7" s="163">
        <f>$G$12+$G$13</f>
        <v>-80</v>
      </c>
      <c r="EW7" s="163">
        <f>IF($I$3="Forward", $D$10*(1+$D$11), SQRT((IF($B$4, 9.807, 32.174)*ET7)/(ABS(TAN(RADIANS(EX7))-TAN(RADIANS(EV7)))))/COS(RADIANS(EX7)))</f>
        <v>9.5489346835634272</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2</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51">
        <v>0</v>
      </c>
      <c r="F9" s="167" t="str">
        <f>"     ^ Tolerance (" &amp; IF($B$4, "m", "ft") &amp; ")"</f>
        <v xml:space="preserve">     ^ Tolerance (m)</v>
      </c>
      <c r="G9" s="51">
        <v>0</v>
      </c>
      <c r="I9" s="169"/>
      <c r="J9" s="169">
        <v>0</v>
      </c>
      <c r="O9" s="169"/>
      <c r="P9" s="169"/>
      <c r="T9" s="162">
        <f t="shared" ref="T9:T72" si="27">T8+T$7/100</f>
        <v>0.02</v>
      </c>
      <c r="U9" s="170">
        <f t="shared" ref="U9:U72" si="28">T9+IF($I$3="Forward", $D$9, $G$9)</f>
        <v>0.02</v>
      </c>
      <c r="V9" s="162">
        <f t="shared" si="0"/>
        <v>0.3560713800284307</v>
      </c>
      <c r="W9" s="171">
        <f t="shared" ref="W9:W72" si="29">MIN($V$5,V9)</f>
        <v>0.3560713800284307</v>
      </c>
      <c r="Y9" s="162">
        <f t="shared" ref="Y9:Y72" si="30">Y8+Y$7/100</f>
        <v>0.02</v>
      </c>
      <c r="Z9" s="162">
        <f t="shared" ref="Z9:Z72" si="31">Y9</f>
        <v>0.02</v>
      </c>
      <c r="AA9" s="162">
        <f t="shared" si="1"/>
        <v>0.3560713800284307</v>
      </c>
      <c r="AB9" s="171">
        <f t="shared" ref="AB9:AB72" si="32">MIN($V$5,AA9)</f>
        <v>0.3560713800284307</v>
      </c>
      <c r="AD9" s="162">
        <f t="shared" ref="AD9:AD72" si="33">AD8+AD$7/100</f>
        <v>0.02</v>
      </c>
      <c r="AE9" s="170">
        <f t="shared" ref="AE9:AE72" si="34">AD9-IF($I$3="Forward", $D$9, $G$9)</f>
        <v>0.02</v>
      </c>
      <c r="AF9" s="162">
        <f t="shared" si="2"/>
        <v>0.3560713800284307</v>
      </c>
      <c r="AG9" s="171">
        <f t="shared" ref="AG9:AG72" si="35">MIN($V$5,AF9)</f>
        <v>0.3560713800284307</v>
      </c>
      <c r="AI9" s="162">
        <f t="shared" ref="AI9:AI72" si="36">AI8+AI$7/100</f>
        <v>0.02</v>
      </c>
      <c r="AJ9" s="170">
        <f t="shared" ref="AJ9:AJ72" si="37">AI9+IF($I$3="Forward", $D$9, $G$9)</f>
        <v>0.02</v>
      </c>
      <c r="AK9" s="162">
        <f t="shared" si="3"/>
        <v>0.3560713800284307</v>
      </c>
      <c r="AL9" s="171">
        <f t="shared" ref="AL9:AL72" si="38">MIN($V$5,AK9)</f>
        <v>0.3560713800284307</v>
      </c>
      <c r="AN9" s="162">
        <f t="shared" ref="AN9:AN72" si="39">AN8+AN$7/100</f>
        <v>0.02</v>
      </c>
      <c r="AO9" s="162">
        <f t="shared" ref="AO9:AO72" si="40">AN9</f>
        <v>0.02</v>
      </c>
      <c r="AP9" s="162">
        <f t="shared" si="4"/>
        <v>0.3560713800284307</v>
      </c>
      <c r="AQ9" s="171">
        <f t="shared" ref="AQ9:AQ72" si="41">MIN($V$5,AP9)</f>
        <v>0.3560713800284307</v>
      </c>
      <c r="AS9" s="162">
        <f t="shared" ref="AS9:AS72" si="42">AS8+AS$7/100</f>
        <v>0.02</v>
      </c>
      <c r="AT9" s="170">
        <f t="shared" ref="AT9:AT72" si="43">AS9-IF($I$3="Forward", $D$9, $G$9)</f>
        <v>0.02</v>
      </c>
      <c r="AU9" s="162">
        <f t="shared" si="5"/>
        <v>0.3560713800284307</v>
      </c>
      <c r="AV9" s="171">
        <f t="shared" ref="AV9:AV72" si="44">MIN($V$5,AU9)</f>
        <v>0.3560713800284307</v>
      </c>
      <c r="AX9" s="162">
        <f t="shared" ref="AX9:AX72" si="45">AX8+AX$7/100</f>
        <v>0.02</v>
      </c>
      <c r="AY9" s="170">
        <f t="shared" ref="AY9:AY72" si="46">AX9+IF($I$3="Forward", $D$9, $G$9)</f>
        <v>0.02</v>
      </c>
      <c r="AZ9" s="162">
        <f t="shared" si="6"/>
        <v>0.3560713800284307</v>
      </c>
      <c r="BA9" s="171">
        <f t="shared" ref="BA9:BA72" si="47">MIN($V$5,AZ9)</f>
        <v>0.3560713800284307</v>
      </c>
      <c r="BC9" s="162">
        <f t="shared" ref="BC9:BC72" si="48">BC8+BC$7/100</f>
        <v>0.02</v>
      </c>
      <c r="BD9" s="162">
        <f t="shared" ref="BD9:BD72" si="49">BC9</f>
        <v>0.02</v>
      </c>
      <c r="BE9" s="162">
        <f t="shared" si="7"/>
        <v>0.3560713800284307</v>
      </c>
      <c r="BF9" s="171">
        <f t="shared" ref="BF9:BF72" si="50">MIN($V$5,BE9)</f>
        <v>0.3560713800284307</v>
      </c>
      <c r="BH9" s="162">
        <f t="shared" ref="BH9:BH72" si="51">BH8+BH$7/100</f>
        <v>0.02</v>
      </c>
      <c r="BI9" s="170">
        <f t="shared" ref="BI9:BI72" si="52">BH9-IF($I$3="Forward", $D$9, $G$9)</f>
        <v>0.02</v>
      </c>
      <c r="BJ9" s="162">
        <f t="shared" si="8"/>
        <v>0.3560713800284307</v>
      </c>
      <c r="BK9" s="171">
        <f t="shared" ref="BK9:BK72" si="53">MIN($V$5,BJ9)</f>
        <v>0.3560713800284307</v>
      </c>
      <c r="BM9" s="162">
        <f t="shared" ref="BM9:BM72" si="54">BM8+BM$7/100</f>
        <v>0.02</v>
      </c>
      <c r="BN9" s="170">
        <f t="shared" ref="BN9:BN72" si="55">BM9+IF($I$3="Forward", $D$9, $G$9)</f>
        <v>0.02</v>
      </c>
      <c r="BO9" s="162">
        <f t="shared" si="9"/>
        <v>0.3560713800284307</v>
      </c>
      <c r="BP9" s="171">
        <f t="shared" ref="BP9:BP72" si="56">MIN($V$5,BO9)</f>
        <v>0.3560713800284307</v>
      </c>
      <c r="BR9" s="162">
        <f t="shared" ref="BR9:BR72" si="57">BR8+BR$7/100</f>
        <v>0.02</v>
      </c>
      <c r="BS9" s="162">
        <f t="shared" ref="BS9:BS72" si="58">BR9</f>
        <v>0.02</v>
      </c>
      <c r="BT9" s="162">
        <f t="shared" si="10"/>
        <v>0.3560713800284307</v>
      </c>
      <c r="BU9" s="171">
        <f t="shared" ref="BU9:BU72" si="59">MIN($V$5,BT9)</f>
        <v>0.3560713800284307</v>
      </c>
      <c r="BW9" s="162">
        <f t="shared" ref="BW9:BW72" si="60">BW8+BW$7/100</f>
        <v>0.02</v>
      </c>
      <c r="BX9" s="170">
        <f t="shared" ref="BX9:BX72" si="61">BW9-IF($I$3="Forward", $D$9, $G$9)</f>
        <v>0.02</v>
      </c>
      <c r="BY9" s="162">
        <f t="shared" si="11"/>
        <v>0.3560713800284307</v>
      </c>
      <c r="BZ9" s="171">
        <f t="shared" ref="BZ9:BZ72" si="62">MIN($V$5,BY9)</f>
        <v>0.3560713800284307</v>
      </c>
      <c r="CB9" s="162">
        <f t="shared" ref="CB9:CB72" si="63">CB8+CB$7/100</f>
        <v>0.02</v>
      </c>
      <c r="CC9" s="170">
        <f t="shared" ref="CC9:CC72" si="64">CB9+IF($I$3="Forward", $D$9, $G$9)</f>
        <v>0.02</v>
      </c>
      <c r="CD9" s="162">
        <f t="shared" si="12"/>
        <v>0.3560713800284307</v>
      </c>
      <c r="CE9" s="171">
        <f t="shared" ref="CE9:CE72" si="65">MIN($V$5,CD9)</f>
        <v>0.3560713800284307</v>
      </c>
      <c r="CG9" s="172">
        <f t="shared" ref="CG9:CG72" si="66">CG8+CG$7/100</f>
        <v>0.02</v>
      </c>
      <c r="CH9" s="172">
        <f t="shared" ref="CH9:CH72" si="67">CG9</f>
        <v>0.02</v>
      </c>
      <c r="CI9" s="172">
        <f t="shared" si="13"/>
        <v>0.3560713800284307</v>
      </c>
      <c r="CJ9" s="171">
        <f t="shared" ref="CJ9:CJ72" si="68">MIN($V$5,CI9)</f>
        <v>0.3560713800284307</v>
      </c>
      <c r="CK9" s="172"/>
      <c r="CL9" s="162">
        <f t="shared" ref="CL9:CL72" si="69">CL8+CL$7/100</f>
        <v>0.02</v>
      </c>
      <c r="CM9" s="170">
        <f t="shared" ref="CM9:CM72" si="70">CL9-IF($I$3="Forward", $D$9, $G$9)</f>
        <v>0.02</v>
      </c>
      <c r="CN9" s="162">
        <f t="shared" si="14"/>
        <v>0.3560713800284307</v>
      </c>
      <c r="CO9" s="171">
        <f t="shared" ref="CO9:CO72" si="71">MIN($V$5,CN9)</f>
        <v>0.3560713800284307</v>
      </c>
      <c r="CQ9" s="162">
        <f t="shared" ref="CQ9:CQ72" si="72">CQ8+CQ$7/100</f>
        <v>0.02</v>
      </c>
      <c r="CR9" s="170">
        <f t="shared" ref="CR9:CR72" si="73">CQ9+IF($I$3="Forward", $D$9, $G$9)</f>
        <v>0.02</v>
      </c>
      <c r="CS9" s="162">
        <f t="shared" si="15"/>
        <v>0.3560713800284307</v>
      </c>
      <c r="CT9" s="171">
        <f t="shared" ref="CT9:CT72" si="74">MIN($V$5,CS9)</f>
        <v>0.3560713800284307</v>
      </c>
      <c r="CV9" s="162">
        <f t="shared" ref="CV9:CV72" si="75">CV8+CV$7/100</f>
        <v>0.02</v>
      </c>
      <c r="CW9" s="162">
        <f t="shared" ref="CW9:CW72" si="76">CV9</f>
        <v>0.02</v>
      </c>
      <c r="CX9" s="162">
        <f t="shared" si="16"/>
        <v>0.3560713800284307</v>
      </c>
      <c r="CY9" s="171">
        <f t="shared" ref="CY9:CY72" si="77">MIN($V$5,CX9)</f>
        <v>0.3560713800284307</v>
      </c>
      <c r="DA9" s="162">
        <f t="shared" ref="DA9:DA72" si="78">DA8+DA$7/100</f>
        <v>0.02</v>
      </c>
      <c r="DB9" s="170">
        <f t="shared" ref="DB9:DB72" si="79">DA9-IF($I$3="Forward", $D$9, $G$9)</f>
        <v>0.02</v>
      </c>
      <c r="DC9" s="162">
        <f t="shared" si="17"/>
        <v>0.3560713800284307</v>
      </c>
      <c r="DD9" s="171">
        <f t="shared" ref="DD9:DD72" si="80">MIN($V$5,DC9)</f>
        <v>0.3560713800284307</v>
      </c>
      <c r="DF9" s="162">
        <f t="shared" ref="DF9:DF72" si="81">DF8+DF$7/100</f>
        <v>0.02</v>
      </c>
      <c r="DG9" s="170">
        <f t="shared" ref="DG9:DG72" si="82">DF9+IF($I$3="Forward", $D$9, $G$9)</f>
        <v>0.02</v>
      </c>
      <c r="DH9" s="162">
        <f t="shared" si="18"/>
        <v>0.3560713800284307</v>
      </c>
      <c r="DI9" s="171">
        <f t="shared" ref="DI9:DI72" si="83">MIN($V$5,DH9)</f>
        <v>0.3560713800284307</v>
      </c>
      <c r="DK9" s="162">
        <f t="shared" ref="DK9:DK72" si="84">DK8+DK$7/100</f>
        <v>0.02</v>
      </c>
      <c r="DL9" s="162">
        <f t="shared" ref="DL9:DL72" si="85">DK9</f>
        <v>0.02</v>
      </c>
      <c r="DM9" s="162">
        <f t="shared" si="19"/>
        <v>0.3560713800284307</v>
      </c>
      <c r="DN9" s="171">
        <f t="shared" ref="DN9:DN72" si="86">MIN($V$5,DM9)</f>
        <v>0.3560713800284307</v>
      </c>
      <c r="DP9" s="162">
        <f t="shared" ref="DP9:DP72" si="87">DP8+DP$7/100</f>
        <v>0.02</v>
      </c>
      <c r="DQ9" s="170">
        <f t="shared" ref="DQ9:DQ72" si="88">DP9-IF($I$3="Forward", $D$9, $G$9)</f>
        <v>0.02</v>
      </c>
      <c r="DR9" s="162">
        <f t="shared" si="20"/>
        <v>0.3560713800284307</v>
      </c>
      <c r="DS9" s="171">
        <f t="shared" ref="DS9:DS72" si="89">MIN($V$5,DR9)</f>
        <v>0.3560713800284307</v>
      </c>
      <c r="DU9" s="162">
        <f t="shared" ref="DU9:DU72" si="90">DU8+DU$7/100</f>
        <v>0.02</v>
      </c>
      <c r="DV9" s="170">
        <f t="shared" ref="DV9:DV72" si="91">DU9+IF($I$3="Forward", $D$9, $G$9)</f>
        <v>0.02</v>
      </c>
      <c r="DW9" s="162">
        <f t="shared" si="21"/>
        <v>0.3560713800284307</v>
      </c>
      <c r="DX9" s="171">
        <f t="shared" ref="DX9:DX72" si="92">MIN($V$5,DW9)</f>
        <v>0.3560713800284307</v>
      </c>
      <c r="DZ9" s="162">
        <f t="shared" ref="DZ9:DZ72" si="93">DZ8+DZ$7/100</f>
        <v>0.02</v>
      </c>
      <c r="EA9" s="162">
        <f t="shared" ref="EA9:EA72" si="94">DZ9</f>
        <v>0.02</v>
      </c>
      <c r="EB9" s="162">
        <f t="shared" si="22"/>
        <v>0.3560713800284307</v>
      </c>
      <c r="EC9" s="171">
        <f t="shared" ref="EC9:EC72" si="95">MIN($V$5,EB9)</f>
        <v>0.3560713800284307</v>
      </c>
      <c r="EE9" s="162">
        <f t="shared" ref="EE9:EE72" si="96">EE8+EE$7/100</f>
        <v>0.02</v>
      </c>
      <c r="EF9" s="170">
        <f t="shared" ref="EF9:EF72" si="97">EE9-IF($I$3="Forward", $D$9, $G$9)</f>
        <v>0.02</v>
      </c>
      <c r="EG9" s="162">
        <f t="shared" si="23"/>
        <v>0.3560713800284307</v>
      </c>
      <c r="EH9" s="171">
        <f t="shared" ref="EH9:EH72" si="98">MIN($V$5,EG9)</f>
        <v>0.3560713800284307</v>
      </c>
      <c r="EJ9" s="162">
        <f t="shared" ref="EJ9:EJ72" si="99">EJ8+EJ$7/100</f>
        <v>0.02</v>
      </c>
      <c r="EK9" s="170">
        <f t="shared" ref="EK9:EK72" si="100">EJ9+IF($I$3="Forward", $D$9, $G$9)</f>
        <v>0.02</v>
      </c>
      <c r="EL9" s="162">
        <f t="shared" si="24"/>
        <v>0.3560713800284307</v>
      </c>
      <c r="EM9" s="171">
        <f t="shared" ref="EM9:EM72" si="101">MIN($V$5,EL9)</f>
        <v>0.3560713800284307</v>
      </c>
      <c r="EO9" s="162">
        <f t="shared" ref="EO9:EO72" si="102">EO8+EO$7/100</f>
        <v>0.02</v>
      </c>
      <c r="EP9" s="162">
        <f t="shared" ref="EP9:EP72" si="103">EO9</f>
        <v>0.02</v>
      </c>
      <c r="EQ9" s="162">
        <f t="shared" si="25"/>
        <v>0.3560713800284307</v>
      </c>
      <c r="ER9" s="171">
        <f t="shared" ref="ER9:ER72" si="104">MIN($V$5,EQ9)</f>
        <v>0.3560713800284307</v>
      </c>
      <c r="ET9" s="162">
        <f t="shared" ref="ET9:ET72" si="105">ET8+ET$7/100</f>
        <v>0.02</v>
      </c>
      <c r="EU9" s="170">
        <f t="shared" ref="EU9:EU72" si="106">ET9-IF($I$3="Forward", $D$9, $G$9)</f>
        <v>0.02</v>
      </c>
      <c r="EV9" s="162">
        <f t="shared" si="26"/>
        <v>0.3560713800284307</v>
      </c>
      <c r="EW9" s="171">
        <f t="shared" ref="EW9:EW72" si="107">MIN($V$5,EV9)</f>
        <v>0.3560713800284307</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0.04</v>
      </c>
      <c r="U10" s="170">
        <f t="shared" si="28"/>
        <v>0.04</v>
      </c>
      <c r="V10" s="162">
        <f t="shared" si="0"/>
        <v>0.50943424732901432</v>
      </c>
      <c r="W10" s="171">
        <f t="shared" si="29"/>
        <v>0.50943424732901432</v>
      </c>
      <c r="Y10" s="162">
        <f t="shared" si="30"/>
        <v>0.04</v>
      </c>
      <c r="Z10" s="162">
        <f t="shared" si="31"/>
        <v>0.04</v>
      </c>
      <c r="AA10" s="162">
        <f t="shared" si="1"/>
        <v>0.50943424732901432</v>
      </c>
      <c r="AB10" s="171">
        <f t="shared" si="32"/>
        <v>0.50943424732901432</v>
      </c>
      <c r="AD10" s="162">
        <f t="shared" si="33"/>
        <v>0.04</v>
      </c>
      <c r="AE10" s="170">
        <f t="shared" si="34"/>
        <v>0.04</v>
      </c>
      <c r="AF10" s="162">
        <f t="shared" si="2"/>
        <v>0.50943424732901432</v>
      </c>
      <c r="AG10" s="171">
        <f t="shared" si="35"/>
        <v>0.50943424732901432</v>
      </c>
      <c r="AI10" s="162">
        <f t="shared" si="36"/>
        <v>0.04</v>
      </c>
      <c r="AJ10" s="170">
        <f t="shared" si="37"/>
        <v>0.04</v>
      </c>
      <c r="AK10" s="162">
        <f t="shared" si="3"/>
        <v>0.50943424732901432</v>
      </c>
      <c r="AL10" s="171">
        <f t="shared" si="38"/>
        <v>0.50943424732901432</v>
      </c>
      <c r="AN10" s="162">
        <f t="shared" si="39"/>
        <v>0.04</v>
      </c>
      <c r="AO10" s="162">
        <f t="shared" si="40"/>
        <v>0.04</v>
      </c>
      <c r="AP10" s="162">
        <f t="shared" si="4"/>
        <v>0.50943424732901432</v>
      </c>
      <c r="AQ10" s="171">
        <f t="shared" si="41"/>
        <v>0.50943424732901432</v>
      </c>
      <c r="AS10" s="162">
        <f t="shared" si="42"/>
        <v>0.04</v>
      </c>
      <c r="AT10" s="170">
        <f t="shared" si="43"/>
        <v>0.04</v>
      </c>
      <c r="AU10" s="162">
        <f t="shared" si="5"/>
        <v>0.50943424732901432</v>
      </c>
      <c r="AV10" s="171">
        <f t="shared" si="44"/>
        <v>0.50943424732901432</v>
      </c>
      <c r="AX10" s="162">
        <f t="shared" si="45"/>
        <v>0.04</v>
      </c>
      <c r="AY10" s="170">
        <f t="shared" si="46"/>
        <v>0.04</v>
      </c>
      <c r="AZ10" s="162">
        <f t="shared" si="6"/>
        <v>0.50943424732901432</v>
      </c>
      <c r="BA10" s="171">
        <f t="shared" si="47"/>
        <v>0.50943424732901432</v>
      </c>
      <c r="BC10" s="162">
        <f t="shared" si="48"/>
        <v>0.04</v>
      </c>
      <c r="BD10" s="162">
        <f t="shared" si="49"/>
        <v>0.04</v>
      </c>
      <c r="BE10" s="162">
        <f t="shared" si="7"/>
        <v>0.50943424732901432</v>
      </c>
      <c r="BF10" s="171">
        <f t="shared" si="50"/>
        <v>0.50943424732901432</v>
      </c>
      <c r="BH10" s="162">
        <f t="shared" si="51"/>
        <v>0.04</v>
      </c>
      <c r="BI10" s="170">
        <f t="shared" si="52"/>
        <v>0.04</v>
      </c>
      <c r="BJ10" s="162">
        <f t="shared" si="8"/>
        <v>0.50943424732901432</v>
      </c>
      <c r="BK10" s="171">
        <f t="shared" si="53"/>
        <v>0.50943424732901432</v>
      </c>
      <c r="BM10" s="162">
        <f t="shared" si="54"/>
        <v>0.04</v>
      </c>
      <c r="BN10" s="170">
        <f t="shared" si="55"/>
        <v>0.04</v>
      </c>
      <c r="BO10" s="162">
        <f t="shared" si="9"/>
        <v>0.50943424732901432</v>
      </c>
      <c r="BP10" s="171">
        <f t="shared" si="56"/>
        <v>0.50943424732901432</v>
      </c>
      <c r="BR10" s="162">
        <f t="shared" si="57"/>
        <v>0.04</v>
      </c>
      <c r="BS10" s="162">
        <f t="shared" si="58"/>
        <v>0.04</v>
      </c>
      <c r="BT10" s="162">
        <f t="shared" si="10"/>
        <v>0.50943424732901432</v>
      </c>
      <c r="BU10" s="171">
        <f t="shared" si="59"/>
        <v>0.50943424732901432</v>
      </c>
      <c r="BW10" s="162">
        <f t="shared" si="60"/>
        <v>0.04</v>
      </c>
      <c r="BX10" s="170">
        <f t="shared" si="61"/>
        <v>0.04</v>
      </c>
      <c r="BY10" s="162">
        <f t="shared" si="11"/>
        <v>0.50943424732901432</v>
      </c>
      <c r="BZ10" s="171">
        <f t="shared" si="62"/>
        <v>0.50943424732901432</v>
      </c>
      <c r="CB10" s="162">
        <f t="shared" si="63"/>
        <v>0.04</v>
      </c>
      <c r="CC10" s="170">
        <f t="shared" si="64"/>
        <v>0.04</v>
      </c>
      <c r="CD10" s="162">
        <f t="shared" si="12"/>
        <v>0.50943424732901432</v>
      </c>
      <c r="CE10" s="171">
        <f t="shared" si="65"/>
        <v>0.50943424732901432</v>
      </c>
      <c r="CG10" s="172">
        <f t="shared" si="66"/>
        <v>0.04</v>
      </c>
      <c r="CH10" s="172">
        <f t="shared" si="67"/>
        <v>0.04</v>
      </c>
      <c r="CI10" s="172">
        <f t="shared" si="13"/>
        <v>0.50943424732901432</v>
      </c>
      <c r="CJ10" s="171">
        <f t="shared" si="68"/>
        <v>0.50943424732901432</v>
      </c>
      <c r="CK10" s="172"/>
      <c r="CL10" s="162">
        <f t="shared" si="69"/>
        <v>0.04</v>
      </c>
      <c r="CM10" s="170">
        <f t="shared" si="70"/>
        <v>0.04</v>
      </c>
      <c r="CN10" s="162">
        <f t="shared" si="14"/>
        <v>0.50943424732901432</v>
      </c>
      <c r="CO10" s="171">
        <f t="shared" si="71"/>
        <v>0.50943424732901432</v>
      </c>
      <c r="CQ10" s="162">
        <f t="shared" si="72"/>
        <v>0.04</v>
      </c>
      <c r="CR10" s="170">
        <f t="shared" si="73"/>
        <v>0.04</v>
      </c>
      <c r="CS10" s="162">
        <f t="shared" si="15"/>
        <v>0.50943424732901432</v>
      </c>
      <c r="CT10" s="171">
        <f t="shared" si="74"/>
        <v>0.50943424732901432</v>
      </c>
      <c r="CV10" s="162">
        <f t="shared" si="75"/>
        <v>0.04</v>
      </c>
      <c r="CW10" s="162">
        <f t="shared" si="76"/>
        <v>0.04</v>
      </c>
      <c r="CX10" s="162">
        <f t="shared" si="16"/>
        <v>0.50943424732901432</v>
      </c>
      <c r="CY10" s="171">
        <f t="shared" si="77"/>
        <v>0.50943424732901432</v>
      </c>
      <c r="DA10" s="162">
        <f t="shared" si="78"/>
        <v>0.04</v>
      </c>
      <c r="DB10" s="170">
        <f t="shared" si="79"/>
        <v>0.04</v>
      </c>
      <c r="DC10" s="162">
        <f t="shared" si="17"/>
        <v>0.50943424732901432</v>
      </c>
      <c r="DD10" s="171">
        <f t="shared" si="80"/>
        <v>0.50943424732901432</v>
      </c>
      <c r="DF10" s="162">
        <f t="shared" si="81"/>
        <v>0.04</v>
      </c>
      <c r="DG10" s="170">
        <f t="shared" si="82"/>
        <v>0.04</v>
      </c>
      <c r="DH10" s="162">
        <f t="shared" si="18"/>
        <v>0.50943424732901432</v>
      </c>
      <c r="DI10" s="171">
        <f t="shared" si="83"/>
        <v>0.50943424732901432</v>
      </c>
      <c r="DK10" s="162">
        <f t="shared" si="84"/>
        <v>0.04</v>
      </c>
      <c r="DL10" s="162">
        <f t="shared" si="85"/>
        <v>0.04</v>
      </c>
      <c r="DM10" s="162">
        <f t="shared" si="19"/>
        <v>0.50943424732901432</v>
      </c>
      <c r="DN10" s="171">
        <f t="shared" si="86"/>
        <v>0.50943424732901432</v>
      </c>
      <c r="DP10" s="162">
        <f t="shared" si="87"/>
        <v>0.04</v>
      </c>
      <c r="DQ10" s="170">
        <f t="shared" si="88"/>
        <v>0.04</v>
      </c>
      <c r="DR10" s="162">
        <f t="shared" si="20"/>
        <v>0.50943424732901432</v>
      </c>
      <c r="DS10" s="171">
        <f t="shared" si="89"/>
        <v>0.50943424732901432</v>
      </c>
      <c r="DU10" s="162">
        <f t="shared" si="90"/>
        <v>0.04</v>
      </c>
      <c r="DV10" s="170">
        <f t="shared" si="91"/>
        <v>0.04</v>
      </c>
      <c r="DW10" s="162">
        <f t="shared" si="21"/>
        <v>0.50943424732901432</v>
      </c>
      <c r="DX10" s="171">
        <f t="shared" si="92"/>
        <v>0.50943424732901432</v>
      </c>
      <c r="DZ10" s="162">
        <f t="shared" si="93"/>
        <v>0.04</v>
      </c>
      <c r="EA10" s="162">
        <f t="shared" si="94"/>
        <v>0.04</v>
      </c>
      <c r="EB10" s="162">
        <f t="shared" si="22"/>
        <v>0.50943424732901432</v>
      </c>
      <c r="EC10" s="171">
        <f t="shared" si="95"/>
        <v>0.50943424732901432</v>
      </c>
      <c r="EE10" s="162">
        <f t="shared" si="96"/>
        <v>0.04</v>
      </c>
      <c r="EF10" s="170">
        <f t="shared" si="97"/>
        <v>0.04</v>
      </c>
      <c r="EG10" s="162">
        <f t="shared" si="23"/>
        <v>0.50943424732901432</v>
      </c>
      <c r="EH10" s="171">
        <f t="shared" si="98"/>
        <v>0.50943424732901432</v>
      </c>
      <c r="EJ10" s="162">
        <f t="shared" si="99"/>
        <v>0.04</v>
      </c>
      <c r="EK10" s="170">
        <f t="shared" si="100"/>
        <v>0.04</v>
      </c>
      <c r="EL10" s="162">
        <f t="shared" si="24"/>
        <v>0.50943424732901432</v>
      </c>
      <c r="EM10" s="171">
        <f t="shared" si="101"/>
        <v>0.50943424732901432</v>
      </c>
      <c r="EO10" s="162">
        <f t="shared" si="102"/>
        <v>0.04</v>
      </c>
      <c r="EP10" s="162">
        <f t="shared" si="103"/>
        <v>0.04</v>
      </c>
      <c r="EQ10" s="162">
        <f t="shared" si="25"/>
        <v>0.50943424732901432</v>
      </c>
      <c r="ER10" s="171">
        <f t="shared" si="104"/>
        <v>0.50943424732901432</v>
      </c>
      <c r="ET10" s="162">
        <f t="shared" si="105"/>
        <v>0.04</v>
      </c>
      <c r="EU10" s="170">
        <f t="shared" si="106"/>
        <v>0.04</v>
      </c>
      <c r="EV10" s="162">
        <f t="shared" si="26"/>
        <v>0.50943424732901432</v>
      </c>
      <c r="EW10" s="171">
        <f t="shared" si="107"/>
        <v>0.50943424732901432</v>
      </c>
    </row>
    <row r="11" spans="2:156" ht="14.45" x14ac:dyDescent="0.3">
      <c r="C11" s="167" t="s">
        <v>347</v>
      </c>
      <c r="D11" s="175">
        <v>0</v>
      </c>
      <c r="F11" s="167" t="str">
        <f>"     ^ Tolerance (" &amp; IF($B$4, "m", "ft") &amp; ")"</f>
        <v xml:space="preserve">     ^ Tolerance (m)</v>
      </c>
      <c r="G11" s="173">
        <v>0</v>
      </c>
      <c r="T11" s="162">
        <f t="shared" si="27"/>
        <v>0.06</v>
      </c>
      <c r="U11" s="170">
        <f t="shared" si="28"/>
        <v>0.06</v>
      </c>
      <c r="V11" s="162">
        <f t="shared" si="0"/>
        <v>0.66008860190175067</v>
      </c>
      <c r="W11" s="171">
        <f t="shared" si="29"/>
        <v>0.66008860190175067</v>
      </c>
      <c r="Y11" s="162">
        <f t="shared" si="30"/>
        <v>0.06</v>
      </c>
      <c r="Z11" s="162">
        <f t="shared" si="31"/>
        <v>0.06</v>
      </c>
      <c r="AA11" s="162">
        <f t="shared" si="1"/>
        <v>0.66008860190175067</v>
      </c>
      <c r="AB11" s="171">
        <f t="shared" si="32"/>
        <v>0.66008860190175067</v>
      </c>
      <c r="AD11" s="162">
        <f t="shared" si="33"/>
        <v>0.06</v>
      </c>
      <c r="AE11" s="170">
        <f t="shared" si="34"/>
        <v>0.06</v>
      </c>
      <c r="AF11" s="162">
        <f t="shared" si="2"/>
        <v>0.66008860190175067</v>
      </c>
      <c r="AG11" s="171">
        <f t="shared" si="35"/>
        <v>0.66008860190175067</v>
      </c>
      <c r="AI11" s="162">
        <f t="shared" si="36"/>
        <v>0.06</v>
      </c>
      <c r="AJ11" s="170">
        <f t="shared" si="37"/>
        <v>0.06</v>
      </c>
      <c r="AK11" s="162">
        <f t="shared" si="3"/>
        <v>0.66008860190175067</v>
      </c>
      <c r="AL11" s="171">
        <f t="shared" si="38"/>
        <v>0.66008860190175067</v>
      </c>
      <c r="AN11" s="162">
        <f t="shared" si="39"/>
        <v>0.06</v>
      </c>
      <c r="AO11" s="162">
        <f t="shared" si="40"/>
        <v>0.06</v>
      </c>
      <c r="AP11" s="162">
        <f t="shared" si="4"/>
        <v>0.66008860190175067</v>
      </c>
      <c r="AQ11" s="171">
        <f t="shared" si="41"/>
        <v>0.66008860190175067</v>
      </c>
      <c r="AS11" s="162">
        <f t="shared" si="42"/>
        <v>0.06</v>
      </c>
      <c r="AT11" s="170">
        <f t="shared" si="43"/>
        <v>0.06</v>
      </c>
      <c r="AU11" s="162">
        <f t="shared" si="5"/>
        <v>0.66008860190175067</v>
      </c>
      <c r="AV11" s="171">
        <f t="shared" si="44"/>
        <v>0.66008860190175067</v>
      </c>
      <c r="AX11" s="162">
        <f t="shared" si="45"/>
        <v>0.06</v>
      </c>
      <c r="AY11" s="170">
        <f t="shared" si="46"/>
        <v>0.06</v>
      </c>
      <c r="AZ11" s="162">
        <f t="shared" si="6"/>
        <v>0.66008860190175067</v>
      </c>
      <c r="BA11" s="171">
        <f t="shared" si="47"/>
        <v>0.66008860190175067</v>
      </c>
      <c r="BC11" s="162">
        <f t="shared" si="48"/>
        <v>0.06</v>
      </c>
      <c r="BD11" s="162">
        <f t="shared" si="49"/>
        <v>0.06</v>
      </c>
      <c r="BE11" s="162">
        <f t="shared" si="7"/>
        <v>0.66008860190175067</v>
      </c>
      <c r="BF11" s="171">
        <f t="shared" si="50"/>
        <v>0.66008860190175067</v>
      </c>
      <c r="BH11" s="162">
        <f t="shared" si="51"/>
        <v>0.06</v>
      </c>
      <c r="BI11" s="170">
        <f t="shared" si="52"/>
        <v>0.06</v>
      </c>
      <c r="BJ11" s="162">
        <f t="shared" si="8"/>
        <v>0.66008860190175067</v>
      </c>
      <c r="BK11" s="171">
        <f t="shared" si="53"/>
        <v>0.66008860190175067</v>
      </c>
      <c r="BM11" s="162">
        <f t="shared" si="54"/>
        <v>0.06</v>
      </c>
      <c r="BN11" s="170">
        <f t="shared" si="55"/>
        <v>0.06</v>
      </c>
      <c r="BO11" s="162">
        <f t="shared" si="9"/>
        <v>0.66008860190175067</v>
      </c>
      <c r="BP11" s="171">
        <f t="shared" si="56"/>
        <v>0.66008860190175067</v>
      </c>
      <c r="BR11" s="162">
        <f t="shared" si="57"/>
        <v>0.06</v>
      </c>
      <c r="BS11" s="162">
        <f t="shared" si="58"/>
        <v>0.06</v>
      </c>
      <c r="BT11" s="162">
        <f t="shared" si="10"/>
        <v>0.66008860190175067</v>
      </c>
      <c r="BU11" s="171">
        <f t="shared" si="59"/>
        <v>0.66008860190175067</v>
      </c>
      <c r="BW11" s="162">
        <f t="shared" si="60"/>
        <v>0.06</v>
      </c>
      <c r="BX11" s="170">
        <f t="shared" si="61"/>
        <v>0.06</v>
      </c>
      <c r="BY11" s="162">
        <f t="shared" si="11"/>
        <v>0.66008860190175067</v>
      </c>
      <c r="BZ11" s="171">
        <f t="shared" si="62"/>
        <v>0.66008860190175067</v>
      </c>
      <c r="CB11" s="162">
        <f t="shared" si="63"/>
        <v>0.06</v>
      </c>
      <c r="CC11" s="170">
        <f t="shared" si="64"/>
        <v>0.06</v>
      </c>
      <c r="CD11" s="162">
        <f t="shared" si="12"/>
        <v>0.66008860190175067</v>
      </c>
      <c r="CE11" s="171">
        <f t="shared" si="65"/>
        <v>0.66008860190175067</v>
      </c>
      <c r="CG11" s="172">
        <f t="shared" si="66"/>
        <v>0.06</v>
      </c>
      <c r="CH11" s="172">
        <f t="shared" si="67"/>
        <v>0.06</v>
      </c>
      <c r="CI11" s="172">
        <f t="shared" si="13"/>
        <v>0.66008860190175067</v>
      </c>
      <c r="CJ11" s="171">
        <f t="shared" si="68"/>
        <v>0.66008860190175067</v>
      </c>
      <c r="CK11" s="172"/>
      <c r="CL11" s="162">
        <f t="shared" si="69"/>
        <v>0.06</v>
      </c>
      <c r="CM11" s="170">
        <f t="shared" si="70"/>
        <v>0.06</v>
      </c>
      <c r="CN11" s="162">
        <f t="shared" si="14"/>
        <v>0.66008860190175067</v>
      </c>
      <c r="CO11" s="171">
        <f t="shared" si="71"/>
        <v>0.66008860190175067</v>
      </c>
      <c r="CQ11" s="162">
        <f t="shared" si="72"/>
        <v>0.06</v>
      </c>
      <c r="CR11" s="170">
        <f t="shared" si="73"/>
        <v>0.06</v>
      </c>
      <c r="CS11" s="162">
        <f t="shared" si="15"/>
        <v>0.66008860190175067</v>
      </c>
      <c r="CT11" s="171">
        <f t="shared" si="74"/>
        <v>0.66008860190175067</v>
      </c>
      <c r="CV11" s="162">
        <f t="shared" si="75"/>
        <v>0.06</v>
      </c>
      <c r="CW11" s="162">
        <f t="shared" si="76"/>
        <v>0.06</v>
      </c>
      <c r="CX11" s="162">
        <f t="shared" si="16"/>
        <v>0.66008860190175067</v>
      </c>
      <c r="CY11" s="171">
        <f t="shared" si="77"/>
        <v>0.66008860190175067</v>
      </c>
      <c r="DA11" s="162">
        <f t="shared" si="78"/>
        <v>0.06</v>
      </c>
      <c r="DB11" s="170">
        <f t="shared" si="79"/>
        <v>0.06</v>
      </c>
      <c r="DC11" s="162">
        <f t="shared" si="17"/>
        <v>0.66008860190175067</v>
      </c>
      <c r="DD11" s="171">
        <f t="shared" si="80"/>
        <v>0.66008860190175067</v>
      </c>
      <c r="DF11" s="162">
        <f t="shared" si="81"/>
        <v>0.06</v>
      </c>
      <c r="DG11" s="170">
        <f t="shared" si="82"/>
        <v>0.06</v>
      </c>
      <c r="DH11" s="162">
        <f t="shared" si="18"/>
        <v>0.66008860190175067</v>
      </c>
      <c r="DI11" s="171">
        <f t="shared" si="83"/>
        <v>0.66008860190175067</v>
      </c>
      <c r="DK11" s="162">
        <f t="shared" si="84"/>
        <v>0.06</v>
      </c>
      <c r="DL11" s="162">
        <f t="shared" si="85"/>
        <v>0.06</v>
      </c>
      <c r="DM11" s="162">
        <f t="shared" si="19"/>
        <v>0.66008860190175067</v>
      </c>
      <c r="DN11" s="171">
        <f t="shared" si="86"/>
        <v>0.66008860190175067</v>
      </c>
      <c r="DP11" s="162">
        <f t="shared" si="87"/>
        <v>0.06</v>
      </c>
      <c r="DQ11" s="170">
        <f t="shared" si="88"/>
        <v>0.06</v>
      </c>
      <c r="DR11" s="162">
        <f t="shared" si="20"/>
        <v>0.66008860190175067</v>
      </c>
      <c r="DS11" s="171">
        <f t="shared" si="89"/>
        <v>0.66008860190175067</v>
      </c>
      <c r="DU11" s="162">
        <f t="shared" si="90"/>
        <v>0.06</v>
      </c>
      <c r="DV11" s="170">
        <f t="shared" si="91"/>
        <v>0.06</v>
      </c>
      <c r="DW11" s="162">
        <f t="shared" si="21"/>
        <v>0.66008860190175067</v>
      </c>
      <c r="DX11" s="171">
        <f t="shared" si="92"/>
        <v>0.66008860190175067</v>
      </c>
      <c r="DZ11" s="162">
        <f t="shared" si="93"/>
        <v>0.06</v>
      </c>
      <c r="EA11" s="162">
        <f t="shared" si="94"/>
        <v>0.06</v>
      </c>
      <c r="EB11" s="162">
        <f t="shared" si="22"/>
        <v>0.66008860190175067</v>
      </c>
      <c r="EC11" s="171">
        <f t="shared" si="95"/>
        <v>0.66008860190175067</v>
      </c>
      <c r="EE11" s="162">
        <f t="shared" si="96"/>
        <v>0.06</v>
      </c>
      <c r="EF11" s="170">
        <f t="shared" si="97"/>
        <v>0.06</v>
      </c>
      <c r="EG11" s="162">
        <f t="shared" si="23"/>
        <v>0.66008860190175067</v>
      </c>
      <c r="EH11" s="171">
        <f t="shared" si="98"/>
        <v>0.66008860190175067</v>
      </c>
      <c r="EJ11" s="162">
        <f t="shared" si="99"/>
        <v>0.06</v>
      </c>
      <c r="EK11" s="170">
        <f t="shared" si="100"/>
        <v>0.06</v>
      </c>
      <c r="EL11" s="162">
        <f t="shared" si="24"/>
        <v>0.66008860190175067</v>
      </c>
      <c r="EM11" s="171">
        <f t="shared" si="101"/>
        <v>0.66008860190175067</v>
      </c>
      <c r="EO11" s="162">
        <f t="shared" si="102"/>
        <v>0.06</v>
      </c>
      <c r="EP11" s="162">
        <f t="shared" si="103"/>
        <v>0.06</v>
      </c>
      <c r="EQ11" s="162">
        <f t="shared" si="25"/>
        <v>0.66008860190175067</v>
      </c>
      <c r="ER11" s="171">
        <f t="shared" si="104"/>
        <v>0.66008860190175067</v>
      </c>
      <c r="ET11" s="162">
        <f t="shared" si="105"/>
        <v>0.06</v>
      </c>
      <c r="EU11" s="170">
        <f t="shared" si="106"/>
        <v>0.06</v>
      </c>
      <c r="EV11" s="162">
        <f t="shared" si="26"/>
        <v>0.66008860190175067</v>
      </c>
      <c r="EW11" s="171">
        <f t="shared" si="107"/>
        <v>0.66008860190175067</v>
      </c>
    </row>
    <row r="12" spans="2:156" x14ac:dyDescent="0.25">
      <c r="C12" s="167" t="s">
        <v>96</v>
      </c>
      <c r="D12" s="72">
        <v>80</v>
      </c>
      <c r="F12" s="167" t="s">
        <v>99</v>
      </c>
      <c r="G12" s="72">
        <v>-80</v>
      </c>
      <c r="T12" s="162">
        <f t="shared" si="27"/>
        <v>0.08</v>
      </c>
      <c r="U12" s="170">
        <f t="shared" si="28"/>
        <v>0.08</v>
      </c>
      <c r="V12" s="162">
        <f t="shared" si="0"/>
        <v>0.80803444374664024</v>
      </c>
      <c r="W12" s="171">
        <f t="shared" si="29"/>
        <v>0.80803444374664024</v>
      </c>
      <c r="Y12" s="162">
        <f t="shared" si="30"/>
        <v>0.08</v>
      </c>
      <c r="Z12" s="162">
        <f t="shared" si="31"/>
        <v>0.08</v>
      </c>
      <c r="AA12" s="162">
        <f t="shared" si="1"/>
        <v>0.80803444374664024</v>
      </c>
      <c r="AB12" s="171">
        <f t="shared" si="32"/>
        <v>0.80803444374664024</v>
      </c>
      <c r="AD12" s="162">
        <f t="shared" si="33"/>
        <v>0.08</v>
      </c>
      <c r="AE12" s="170">
        <f t="shared" si="34"/>
        <v>0.08</v>
      </c>
      <c r="AF12" s="162">
        <f t="shared" si="2"/>
        <v>0.80803444374664024</v>
      </c>
      <c r="AG12" s="171">
        <f t="shared" si="35"/>
        <v>0.80803444374664024</v>
      </c>
      <c r="AI12" s="162">
        <f t="shared" si="36"/>
        <v>0.08</v>
      </c>
      <c r="AJ12" s="170">
        <f t="shared" si="37"/>
        <v>0.08</v>
      </c>
      <c r="AK12" s="162">
        <f t="shared" si="3"/>
        <v>0.80803444374664024</v>
      </c>
      <c r="AL12" s="171">
        <f t="shared" si="38"/>
        <v>0.80803444374664024</v>
      </c>
      <c r="AN12" s="162">
        <f t="shared" si="39"/>
        <v>0.08</v>
      </c>
      <c r="AO12" s="162">
        <f t="shared" si="40"/>
        <v>0.08</v>
      </c>
      <c r="AP12" s="162">
        <f t="shared" si="4"/>
        <v>0.80803444374664024</v>
      </c>
      <c r="AQ12" s="171">
        <f t="shared" si="41"/>
        <v>0.80803444374664024</v>
      </c>
      <c r="AS12" s="162">
        <f t="shared" si="42"/>
        <v>0.08</v>
      </c>
      <c r="AT12" s="170">
        <f t="shared" si="43"/>
        <v>0.08</v>
      </c>
      <c r="AU12" s="162">
        <f t="shared" si="5"/>
        <v>0.80803444374664024</v>
      </c>
      <c r="AV12" s="171">
        <f t="shared" si="44"/>
        <v>0.80803444374664024</v>
      </c>
      <c r="AX12" s="162">
        <f t="shared" si="45"/>
        <v>0.08</v>
      </c>
      <c r="AY12" s="170">
        <f t="shared" si="46"/>
        <v>0.08</v>
      </c>
      <c r="AZ12" s="162">
        <f t="shared" si="6"/>
        <v>0.80803444374664024</v>
      </c>
      <c r="BA12" s="171">
        <f t="shared" si="47"/>
        <v>0.80803444374664024</v>
      </c>
      <c r="BC12" s="162">
        <f t="shared" si="48"/>
        <v>0.08</v>
      </c>
      <c r="BD12" s="162">
        <f t="shared" si="49"/>
        <v>0.08</v>
      </c>
      <c r="BE12" s="162">
        <f t="shared" si="7"/>
        <v>0.80803444374664024</v>
      </c>
      <c r="BF12" s="171">
        <f t="shared" si="50"/>
        <v>0.80803444374664024</v>
      </c>
      <c r="BH12" s="162">
        <f t="shared" si="51"/>
        <v>0.08</v>
      </c>
      <c r="BI12" s="170">
        <f t="shared" si="52"/>
        <v>0.08</v>
      </c>
      <c r="BJ12" s="162">
        <f t="shared" si="8"/>
        <v>0.80803444374664024</v>
      </c>
      <c r="BK12" s="171">
        <f t="shared" si="53"/>
        <v>0.80803444374664024</v>
      </c>
      <c r="BM12" s="162">
        <f t="shared" si="54"/>
        <v>0.08</v>
      </c>
      <c r="BN12" s="170">
        <f t="shared" si="55"/>
        <v>0.08</v>
      </c>
      <c r="BO12" s="162">
        <f t="shared" si="9"/>
        <v>0.80803444374664024</v>
      </c>
      <c r="BP12" s="171">
        <f t="shared" si="56"/>
        <v>0.80803444374664024</v>
      </c>
      <c r="BR12" s="162">
        <f t="shared" si="57"/>
        <v>0.08</v>
      </c>
      <c r="BS12" s="162">
        <f t="shared" si="58"/>
        <v>0.08</v>
      </c>
      <c r="BT12" s="162">
        <f t="shared" si="10"/>
        <v>0.80803444374664024</v>
      </c>
      <c r="BU12" s="171">
        <f t="shared" si="59"/>
        <v>0.80803444374664024</v>
      </c>
      <c r="BW12" s="162">
        <f t="shared" si="60"/>
        <v>0.08</v>
      </c>
      <c r="BX12" s="170">
        <f t="shared" si="61"/>
        <v>0.08</v>
      </c>
      <c r="BY12" s="162">
        <f t="shared" si="11"/>
        <v>0.80803444374664024</v>
      </c>
      <c r="BZ12" s="171">
        <f t="shared" si="62"/>
        <v>0.80803444374664024</v>
      </c>
      <c r="CB12" s="162">
        <f t="shared" si="63"/>
        <v>0.08</v>
      </c>
      <c r="CC12" s="170">
        <f t="shared" si="64"/>
        <v>0.08</v>
      </c>
      <c r="CD12" s="162">
        <f t="shared" si="12"/>
        <v>0.80803444374664024</v>
      </c>
      <c r="CE12" s="171">
        <f t="shared" si="65"/>
        <v>0.80803444374664024</v>
      </c>
      <c r="CG12" s="172">
        <f t="shared" si="66"/>
        <v>0.08</v>
      </c>
      <c r="CH12" s="172">
        <f t="shared" si="67"/>
        <v>0.08</v>
      </c>
      <c r="CI12" s="172">
        <f t="shared" si="13"/>
        <v>0.80803444374664024</v>
      </c>
      <c r="CJ12" s="171">
        <f t="shared" si="68"/>
        <v>0.80803444374664024</v>
      </c>
      <c r="CK12" s="172"/>
      <c r="CL12" s="162">
        <f t="shared" si="69"/>
        <v>0.08</v>
      </c>
      <c r="CM12" s="170">
        <f t="shared" si="70"/>
        <v>0.08</v>
      </c>
      <c r="CN12" s="162">
        <f t="shared" si="14"/>
        <v>0.80803444374664024</v>
      </c>
      <c r="CO12" s="171">
        <f t="shared" si="71"/>
        <v>0.80803444374664024</v>
      </c>
      <c r="CQ12" s="162">
        <f t="shared" si="72"/>
        <v>0.08</v>
      </c>
      <c r="CR12" s="170">
        <f t="shared" si="73"/>
        <v>0.08</v>
      </c>
      <c r="CS12" s="162">
        <f t="shared" si="15"/>
        <v>0.80803444374664024</v>
      </c>
      <c r="CT12" s="171">
        <f t="shared" si="74"/>
        <v>0.80803444374664024</v>
      </c>
      <c r="CV12" s="162">
        <f t="shared" si="75"/>
        <v>0.08</v>
      </c>
      <c r="CW12" s="162">
        <f t="shared" si="76"/>
        <v>0.08</v>
      </c>
      <c r="CX12" s="162">
        <f t="shared" si="16"/>
        <v>0.80803444374664024</v>
      </c>
      <c r="CY12" s="171">
        <f t="shared" si="77"/>
        <v>0.80803444374664024</v>
      </c>
      <c r="DA12" s="162">
        <f t="shared" si="78"/>
        <v>0.08</v>
      </c>
      <c r="DB12" s="170">
        <f t="shared" si="79"/>
        <v>0.08</v>
      </c>
      <c r="DC12" s="162">
        <f t="shared" si="17"/>
        <v>0.80803444374664024</v>
      </c>
      <c r="DD12" s="171">
        <f t="shared" si="80"/>
        <v>0.80803444374664024</v>
      </c>
      <c r="DF12" s="162">
        <f t="shared" si="81"/>
        <v>0.08</v>
      </c>
      <c r="DG12" s="170">
        <f t="shared" si="82"/>
        <v>0.08</v>
      </c>
      <c r="DH12" s="162">
        <f t="shared" si="18"/>
        <v>0.80803444374664024</v>
      </c>
      <c r="DI12" s="171">
        <f t="shared" si="83"/>
        <v>0.80803444374664024</v>
      </c>
      <c r="DK12" s="162">
        <f t="shared" si="84"/>
        <v>0.08</v>
      </c>
      <c r="DL12" s="162">
        <f t="shared" si="85"/>
        <v>0.08</v>
      </c>
      <c r="DM12" s="162">
        <f t="shared" si="19"/>
        <v>0.80803444374664024</v>
      </c>
      <c r="DN12" s="171">
        <f t="shared" si="86"/>
        <v>0.80803444374664024</v>
      </c>
      <c r="DP12" s="162">
        <f t="shared" si="87"/>
        <v>0.08</v>
      </c>
      <c r="DQ12" s="170">
        <f t="shared" si="88"/>
        <v>0.08</v>
      </c>
      <c r="DR12" s="162">
        <f t="shared" si="20"/>
        <v>0.80803444374664024</v>
      </c>
      <c r="DS12" s="171">
        <f t="shared" si="89"/>
        <v>0.80803444374664024</v>
      </c>
      <c r="DU12" s="162">
        <f t="shared" si="90"/>
        <v>0.08</v>
      </c>
      <c r="DV12" s="170">
        <f t="shared" si="91"/>
        <v>0.08</v>
      </c>
      <c r="DW12" s="162">
        <f t="shared" si="21"/>
        <v>0.80803444374664024</v>
      </c>
      <c r="DX12" s="171">
        <f t="shared" si="92"/>
        <v>0.80803444374664024</v>
      </c>
      <c r="DZ12" s="162">
        <f t="shared" si="93"/>
        <v>0.08</v>
      </c>
      <c r="EA12" s="162">
        <f t="shared" si="94"/>
        <v>0.08</v>
      </c>
      <c r="EB12" s="162">
        <f t="shared" si="22"/>
        <v>0.80803444374664024</v>
      </c>
      <c r="EC12" s="171">
        <f t="shared" si="95"/>
        <v>0.80803444374664024</v>
      </c>
      <c r="EE12" s="162">
        <f t="shared" si="96"/>
        <v>0.08</v>
      </c>
      <c r="EF12" s="170">
        <f t="shared" si="97"/>
        <v>0.08</v>
      </c>
      <c r="EG12" s="162">
        <f t="shared" si="23"/>
        <v>0.80803444374664024</v>
      </c>
      <c r="EH12" s="171">
        <f t="shared" si="98"/>
        <v>0.80803444374664024</v>
      </c>
      <c r="EJ12" s="162">
        <f t="shared" si="99"/>
        <v>0.08</v>
      </c>
      <c r="EK12" s="170">
        <f t="shared" si="100"/>
        <v>0.08</v>
      </c>
      <c r="EL12" s="162">
        <f t="shared" si="24"/>
        <v>0.80803444374664024</v>
      </c>
      <c r="EM12" s="171">
        <f t="shared" si="101"/>
        <v>0.80803444374664024</v>
      </c>
      <c r="EO12" s="162">
        <f t="shared" si="102"/>
        <v>0.08</v>
      </c>
      <c r="EP12" s="162">
        <f t="shared" si="103"/>
        <v>0.08</v>
      </c>
      <c r="EQ12" s="162">
        <f t="shared" si="25"/>
        <v>0.80803444374664024</v>
      </c>
      <c r="ER12" s="171">
        <f t="shared" si="104"/>
        <v>0.80803444374664024</v>
      </c>
      <c r="ET12" s="162">
        <f t="shared" si="105"/>
        <v>0.08</v>
      </c>
      <c r="EU12" s="170">
        <f t="shared" si="106"/>
        <v>0.08</v>
      </c>
      <c r="EV12" s="162">
        <f t="shared" si="26"/>
        <v>0.80803444374664024</v>
      </c>
      <c r="EW12" s="171">
        <f t="shared" si="107"/>
        <v>0.80803444374664024</v>
      </c>
    </row>
    <row r="13" spans="2:156" x14ac:dyDescent="0.25">
      <c r="C13" s="167" t="s">
        <v>348</v>
      </c>
      <c r="D13" s="176">
        <v>0</v>
      </c>
      <c r="F13" s="167" t="s">
        <v>348</v>
      </c>
      <c r="G13" s="176">
        <v>0</v>
      </c>
      <c r="T13" s="162">
        <f t="shared" si="27"/>
        <v>0.1</v>
      </c>
      <c r="U13" s="170">
        <f t="shared" si="28"/>
        <v>0.1</v>
      </c>
      <c r="V13" s="162">
        <f t="shared" si="0"/>
        <v>0.95327177286368259</v>
      </c>
      <c r="W13" s="171">
        <f t="shared" si="29"/>
        <v>0.95327177286368259</v>
      </c>
      <c r="Y13" s="162">
        <f t="shared" si="30"/>
        <v>0.1</v>
      </c>
      <c r="Z13" s="162">
        <f t="shared" si="31"/>
        <v>0.1</v>
      </c>
      <c r="AA13" s="162">
        <f t="shared" si="1"/>
        <v>0.95327177286368259</v>
      </c>
      <c r="AB13" s="171">
        <f t="shared" si="32"/>
        <v>0.95327177286368259</v>
      </c>
      <c r="AD13" s="162">
        <f t="shared" si="33"/>
        <v>0.1</v>
      </c>
      <c r="AE13" s="170">
        <f t="shared" si="34"/>
        <v>0.1</v>
      </c>
      <c r="AF13" s="162">
        <f t="shared" si="2"/>
        <v>0.95327177286368259</v>
      </c>
      <c r="AG13" s="171">
        <f t="shared" si="35"/>
        <v>0.95327177286368259</v>
      </c>
      <c r="AI13" s="162">
        <f t="shared" si="36"/>
        <v>0.1</v>
      </c>
      <c r="AJ13" s="170">
        <f t="shared" si="37"/>
        <v>0.1</v>
      </c>
      <c r="AK13" s="162">
        <f t="shared" si="3"/>
        <v>0.95327177286368259</v>
      </c>
      <c r="AL13" s="171">
        <f t="shared" si="38"/>
        <v>0.95327177286368259</v>
      </c>
      <c r="AN13" s="162">
        <f t="shared" si="39"/>
        <v>0.1</v>
      </c>
      <c r="AO13" s="162">
        <f t="shared" si="40"/>
        <v>0.1</v>
      </c>
      <c r="AP13" s="162">
        <f t="shared" si="4"/>
        <v>0.95327177286368259</v>
      </c>
      <c r="AQ13" s="171">
        <f t="shared" si="41"/>
        <v>0.95327177286368259</v>
      </c>
      <c r="AS13" s="162">
        <f t="shared" si="42"/>
        <v>0.1</v>
      </c>
      <c r="AT13" s="170">
        <f t="shared" si="43"/>
        <v>0.1</v>
      </c>
      <c r="AU13" s="162">
        <f t="shared" si="5"/>
        <v>0.95327177286368259</v>
      </c>
      <c r="AV13" s="171">
        <f t="shared" si="44"/>
        <v>0.95327177286368259</v>
      </c>
      <c r="AX13" s="162">
        <f t="shared" si="45"/>
        <v>0.1</v>
      </c>
      <c r="AY13" s="170">
        <f t="shared" si="46"/>
        <v>0.1</v>
      </c>
      <c r="AZ13" s="162">
        <f t="shared" si="6"/>
        <v>0.95327177286368259</v>
      </c>
      <c r="BA13" s="171">
        <f t="shared" si="47"/>
        <v>0.95327177286368259</v>
      </c>
      <c r="BC13" s="162">
        <f t="shared" si="48"/>
        <v>0.1</v>
      </c>
      <c r="BD13" s="162">
        <f t="shared" si="49"/>
        <v>0.1</v>
      </c>
      <c r="BE13" s="162">
        <f t="shared" si="7"/>
        <v>0.95327177286368259</v>
      </c>
      <c r="BF13" s="171">
        <f t="shared" si="50"/>
        <v>0.95327177286368259</v>
      </c>
      <c r="BH13" s="162">
        <f t="shared" si="51"/>
        <v>0.1</v>
      </c>
      <c r="BI13" s="170">
        <f t="shared" si="52"/>
        <v>0.1</v>
      </c>
      <c r="BJ13" s="162">
        <f t="shared" si="8"/>
        <v>0.95327177286368259</v>
      </c>
      <c r="BK13" s="171">
        <f t="shared" si="53"/>
        <v>0.95327177286368259</v>
      </c>
      <c r="BM13" s="162">
        <f t="shared" si="54"/>
        <v>0.1</v>
      </c>
      <c r="BN13" s="170">
        <f t="shared" si="55"/>
        <v>0.1</v>
      </c>
      <c r="BO13" s="162">
        <f t="shared" si="9"/>
        <v>0.95327177286368259</v>
      </c>
      <c r="BP13" s="171">
        <f t="shared" si="56"/>
        <v>0.95327177286368259</v>
      </c>
      <c r="BR13" s="162">
        <f t="shared" si="57"/>
        <v>0.1</v>
      </c>
      <c r="BS13" s="162">
        <f t="shared" si="58"/>
        <v>0.1</v>
      </c>
      <c r="BT13" s="162">
        <f t="shared" si="10"/>
        <v>0.95327177286368259</v>
      </c>
      <c r="BU13" s="171">
        <f t="shared" si="59"/>
        <v>0.95327177286368259</v>
      </c>
      <c r="BW13" s="162">
        <f t="shared" si="60"/>
        <v>0.1</v>
      </c>
      <c r="BX13" s="170">
        <f t="shared" si="61"/>
        <v>0.1</v>
      </c>
      <c r="BY13" s="162">
        <f t="shared" si="11"/>
        <v>0.95327177286368259</v>
      </c>
      <c r="BZ13" s="171">
        <f t="shared" si="62"/>
        <v>0.95327177286368259</v>
      </c>
      <c r="CB13" s="162">
        <f t="shared" si="63"/>
        <v>0.1</v>
      </c>
      <c r="CC13" s="170">
        <f t="shared" si="64"/>
        <v>0.1</v>
      </c>
      <c r="CD13" s="162">
        <f t="shared" si="12"/>
        <v>0.95327177286368259</v>
      </c>
      <c r="CE13" s="171">
        <f t="shared" si="65"/>
        <v>0.95327177286368259</v>
      </c>
      <c r="CG13" s="172">
        <f t="shared" si="66"/>
        <v>0.1</v>
      </c>
      <c r="CH13" s="172">
        <f t="shared" si="67"/>
        <v>0.1</v>
      </c>
      <c r="CI13" s="172">
        <f t="shared" si="13"/>
        <v>0.95327177286368259</v>
      </c>
      <c r="CJ13" s="171">
        <f t="shared" si="68"/>
        <v>0.95327177286368259</v>
      </c>
      <c r="CK13" s="172"/>
      <c r="CL13" s="162">
        <f t="shared" si="69"/>
        <v>0.1</v>
      </c>
      <c r="CM13" s="170">
        <f t="shared" si="70"/>
        <v>0.1</v>
      </c>
      <c r="CN13" s="162">
        <f t="shared" si="14"/>
        <v>0.95327177286368259</v>
      </c>
      <c r="CO13" s="171">
        <f t="shared" si="71"/>
        <v>0.95327177286368259</v>
      </c>
      <c r="CQ13" s="162">
        <f t="shared" si="72"/>
        <v>0.1</v>
      </c>
      <c r="CR13" s="170">
        <f t="shared" si="73"/>
        <v>0.1</v>
      </c>
      <c r="CS13" s="162">
        <f t="shared" si="15"/>
        <v>0.95327177286368259</v>
      </c>
      <c r="CT13" s="171">
        <f t="shared" si="74"/>
        <v>0.95327177286368259</v>
      </c>
      <c r="CV13" s="162">
        <f t="shared" si="75"/>
        <v>0.1</v>
      </c>
      <c r="CW13" s="162">
        <f t="shared" si="76"/>
        <v>0.1</v>
      </c>
      <c r="CX13" s="162">
        <f t="shared" si="16"/>
        <v>0.95327177286368259</v>
      </c>
      <c r="CY13" s="171">
        <f t="shared" si="77"/>
        <v>0.95327177286368259</v>
      </c>
      <c r="DA13" s="162">
        <f t="shared" si="78"/>
        <v>0.1</v>
      </c>
      <c r="DB13" s="170">
        <f t="shared" si="79"/>
        <v>0.1</v>
      </c>
      <c r="DC13" s="162">
        <f t="shared" si="17"/>
        <v>0.95327177286368259</v>
      </c>
      <c r="DD13" s="171">
        <f t="shared" si="80"/>
        <v>0.95327177286368259</v>
      </c>
      <c r="DF13" s="162">
        <f t="shared" si="81"/>
        <v>0.1</v>
      </c>
      <c r="DG13" s="170">
        <f t="shared" si="82"/>
        <v>0.1</v>
      </c>
      <c r="DH13" s="162">
        <f t="shared" si="18"/>
        <v>0.95327177286368259</v>
      </c>
      <c r="DI13" s="171">
        <f t="shared" si="83"/>
        <v>0.95327177286368259</v>
      </c>
      <c r="DK13" s="162">
        <f t="shared" si="84"/>
        <v>0.1</v>
      </c>
      <c r="DL13" s="162">
        <f t="shared" si="85"/>
        <v>0.1</v>
      </c>
      <c r="DM13" s="162">
        <f t="shared" si="19"/>
        <v>0.95327177286368259</v>
      </c>
      <c r="DN13" s="171">
        <f t="shared" si="86"/>
        <v>0.95327177286368259</v>
      </c>
      <c r="DP13" s="162">
        <f t="shared" si="87"/>
        <v>0.1</v>
      </c>
      <c r="DQ13" s="170">
        <f t="shared" si="88"/>
        <v>0.1</v>
      </c>
      <c r="DR13" s="162">
        <f t="shared" si="20"/>
        <v>0.95327177286368259</v>
      </c>
      <c r="DS13" s="171">
        <f t="shared" si="89"/>
        <v>0.95327177286368259</v>
      </c>
      <c r="DU13" s="162">
        <f t="shared" si="90"/>
        <v>0.1</v>
      </c>
      <c r="DV13" s="170">
        <f t="shared" si="91"/>
        <v>0.1</v>
      </c>
      <c r="DW13" s="162">
        <f t="shared" si="21"/>
        <v>0.95327177286368259</v>
      </c>
      <c r="DX13" s="171">
        <f t="shared" si="92"/>
        <v>0.95327177286368259</v>
      </c>
      <c r="DZ13" s="162">
        <f t="shared" si="93"/>
        <v>0.1</v>
      </c>
      <c r="EA13" s="162">
        <f t="shared" si="94"/>
        <v>0.1</v>
      </c>
      <c r="EB13" s="162">
        <f t="shared" si="22"/>
        <v>0.95327177286368259</v>
      </c>
      <c r="EC13" s="171">
        <f t="shared" si="95"/>
        <v>0.95327177286368259</v>
      </c>
      <c r="EE13" s="162">
        <f t="shared" si="96"/>
        <v>0.1</v>
      </c>
      <c r="EF13" s="170">
        <f t="shared" si="97"/>
        <v>0.1</v>
      </c>
      <c r="EG13" s="162">
        <f t="shared" si="23"/>
        <v>0.95327177286368259</v>
      </c>
      <c r="EH13" s="171">
        <f t="shared" si="98"/>
        <v>0.95327177286368259</v>
      </c>
      <c r="EJ13" s="162">
        <f t="shared" si="99"/>
        <v>0.1</v>
      </c>
      <c r="EK13" s="170">
        <f t="shared" si="100"/>
        <v>0.1</v>
      </c>
      <c r="EL13" s="162">
        <f t="shared" si="24"/>
        <v>0.95327177286368259</v>
      </c>
      <c r="EM13" s="171">
        <f t="shared" si="101"/>
        <v>0.95327177286368259</v>
      </c>
      <c r="EO13" s="162">
        <f t="shared" si="102"/>
        <v>0.1</v>
      </c>
      <c r="EP13" s="162">
        <f t="shared" si="103"/>
        <v>0.1</v>
      </c>
      <c r="EQ13" s="162">
        <f t="shared" si="25"/>
        <v>0.95327177286368259</v>
      </c>
      <c r="ER13" s="171">
        <f t="shared" si="104"/>
        <v>0.95327177286368259</v>
      </c>
      <c r="ET13" s="162">
        <f t="shared" si="105"/>
        <v>0.1</v>
      </c>
      <c r="EU13" s="170">
        <f t="shared" si="106"/>
        <v>0.1</v>
      </c>
      <c r="EV13" s="162">
        <f t="shared" si="26"/>
        <v>0.95327177286368259</v>
      </c>
      <c r="EW13" s="171">
        <f t="shared" si="107"/>
        <v>0.95327177286368259</v>
      </c>
    </row>
    <row r="14" spans="2:156" x14ac:dyDescent="0.25">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P14" s="160">
        <v>0</v>
      </c>
      <c r="Q14" s="160">
        <f>IF($I$3="Forward", IF(OR(ISBLANK(D15), ISBLANK(D16), D15=0, D16=0), 0, D15), IF(OR(ISBLANK(G15), ISBLANK(G16), G15=0, G16=0), 0, G15))</f>
        <v>0.99999999999999967</v>
      </c>
      <c r="T14" s="162">
        <f t="shared" si="27"/>
        <v>0.12000000000000001</v>
      </c>
      <c r="U14" s="170">
        <f t="shared" si="28"/>
        <v>0.12000000000000001</v>
      </c>
      <c r="V14" s="162">
        <f t="shared" si="0"/>
        <v>1.0958005892528777</v>
      </c>
      <c r="W14" s="171">
        <f t="shared" si="29"/>
        <v>1.0958005892528777</v>
      </c>
      <c r="Y14" s="162">
        <f t="shared" si="30"/>
        <v>0.12000000000000001</v>
      </c>
      <c r="Z14" s="162">
        <f t="shared" si="31"/>
        <v>0.12000000000000001</v>
      </c>
      <c r="AA14" s="162">
        <f t="shared" si="1"/>
        <v>1.0958005892528777</v>
      </c>
      <c r="AB14" s="171">
        <f t="shared" si="32"/>
        <v>1.0958005892528777</v>
      </c>
      <c r="AD14" s="162">
        <f t="shared" si="33"/>
        <v>0.12000000000000001</v>
      </c>
      <c r="AE14" s="170">
        <f t="shared" si="34"/>
        <v>0.12000000000000001</v>
      </c>
      <c r="AF14" s="162">
        <f t="shared" si="2"/>
        <v>1.0958005892528777</v>
      </c>
      <c r="AG14" s="171">
        <f t="shared" si="35"/>
        <v>1.0958005892528777</v>
      </c>
      <c r="AI14" s="162">
        <f t="shared" si="36"/>
        <v>0.12000000000000001</v>
      </c>
      <c r="AJ14" s="170">
        <f t="shared" si="37"/>
        <v>0.12000000000000001</v>
      </c>
      <c r="AK14" s="162">
        <f t="shared" si="3"/>
        <v>1.0958005892528777</v>
      </c>
      <c r="AL14" s="171">
        <f t="shared" si="38"/>
        <v>1.0958005892528777</v>
      </c>
      <c r="AN14" s="162">
        <f t="shared" si="39"/>
        <v>0.12000000000000001</v>
      </c>
      <c r="AO14" s="162">
        <f t="shared" si="40"/>
        <v>0.12000000000000001</v>
      </c>
      <c r="AP14" s="162">
        <f t="shared" si="4"/>
        <v>1.0958005892528777</v>
      </c>
      <c r="AQ14" s="171">
        <f t="shared" si="41"/>
        <v>1.0958005892528777</v>
      </c>
      <c r="AS14" s="162">
        <f t="shared" si="42"/>
        <v>0.12000000000000001</v>
      </c>
      <c r="AT14" s="170">
        <f t="shared" si="43"/>
        <v>0.12000000000000001</v>
      </c>
      <c r="AU14" s="162">
        <f t="shared" si="5"/>
        <v>1.0958005892528777</v>
      </c>
      <c r="AV14" s="171">
        <f t="shared" si="44"/>
        <v>1.0958005892528777</v>
      </c>
      <c r="AX14" s="162">
        <f t="shared" si="45"/>
        <v>0.12000000000000001</v>
      </c>
      <c r="AY14" s="170">
        <f t="shared" si="46"/>
        <v>0.12000000000000001</v>
      </c>
      <c r="AZ14" s="162">
        <f t="shared" si="6"/>
        <v>1.0958005892528777</v>
      </c>
      <c r="BA14" s="171">
        <f t="shared" si="47"/>
        <v>1.0958005892528777</v>
      </c>
      <c r="BC14" s="162">
        <f t="shared" si="48"/>
        <v>0.12000000000000001</v>
      </c>
      <c r="BD14" s="162">
        <f t="shared" si="49"/>
        <v>0.12000000000000001</v>
      </c>
      <c r="BE14" s="162">
        <f t="shared" si="7"/>
        <v>1.0958005892528777</v>
      </c>
      <c r="BF14" s="171">
        <f t="shared" si="50"/>
        <v>1.0958005892528777</v>
      </c>
      <c r="BH14" s="162">
        <f t="shared" si="51"/>
        <v>0.12000000000000001</v>
      </c>
      <c r="BI14" s="170">
        <f t="shared" si="52"/>
        <v>0.12000000000000001</v>
      </c>
      <c r="BJ14" s="162">
        <f t="shared" si="8"/>
        <v>1.0958005892528777</v>
      </c>
      <c r="BK14" s="171">
        <f t="shared" si="53"/>
        <v>1.0958005892528777</v>
      </c>
      <c r="BM14" s="162">
        <f t="shared" si="54"/>
        <v>0.12000000000000001</v>
      </c>
      <c r="BN14" s="170">
        <f t="shared" si="55"/>
        <v>0.12000000000000001</v>
      </c>
      <c r="BO14" s="162">
        <f t="shared" si="9"/>
        <v>1.0958005892528777</v>
      </c>
      <c r="BP14" s="171">
        <f t="shared" si="56"/>
        <v>1.0958005892528777</v>
      </c>
      <c r="BR14" s="162">
        <f t="shared" si="57"/>
        <v>0.12000000000000001</v>
      </c>
      <c r="BS14" s="162">
        <f t="shared" si="58"/>
        <v>0.12000000000000001</v>
      </c>
      <c r="BT14" s="162">
        <f t="shared" si="10"/>
        <v>1.0958005892528777</v>
      </c>
      <c r="BU14" s="171">
        <f t="shared" si="59"/>
        <v>1.0958005892528777</v>
      </c>
      <c r="BW14" s="162">
        <f t="shared" si="60"/>
        <v>0.12000000000000001</v>
      </c>
      <c r="BX14" s="170">
        <f t="shared" si="61"/>
        <v>0.12000000000000001</v>
      </c>
      <c r="BY14" s="162">
        <f t="shared" si="11"/>
        <v>1.0958005892528777</v>
      </c>
      <c r="BZ14" s="171">
        <f t="shared" si="62"/>
        <v>1.0958005892528777</v>
      </c>
      <c r="CB14" s="162">
        <f t="shared" si="63"/>
        <v>0.12000000000000001</v>
      </c>
      <c r="CC14" s="170">
        <f t="shared" si="64"/>
        <v>0.12000000000000001</v>
      </c>
      <c r="CD14" s="162">
        <f t="shared" si="12"/>
        <v>1.0958005892528777</v>
      </c>
      <c r="CE14" s="171">
        <f t="shared" si="65"/>
        <v>1.0958005892528777</v>
      </c>
      <c r="CG14" s="172">
        <f t="shared" si="66"/>
        <v>0.12000000000000001</v>
      </c>
      <c r="CH14" s="172">
        <f t="shared" si="67"/>
        <v>0.12000000000000001</v>
      </c>
      <c r="CI14" s="172">
        <f t="shared" si="13"/>
        <v>1.0958005892528777</v>
      </c>
      <c r="CJ14" s="171">
        <f t="shared" si="68"/>
        <v>1.0958005892528777</v>
      </c>
      <c r="CK14" s="172"/>
      <c r="CL14" s="162">
        <f t="shared" si="69"/>
        <v>0.12000000000000001</v>
      </c>
      <c r="CM14" s="170">
        <f t="shared" si="70"/>
        <v>0.12000000000000001</v>
      </c>
      <c r="CN14" s="162">
        <f t="shared" si="14"/>
        <v>1.0958005892528777</v>
      </c>
      <c r="CO14" s="171">
        <f t="shared" si="71"/>
        <v>1.0958005892528777</v>
      </c>
      <c r="CQ14" s="162">
        <f t="shared" si="72"/>
        <v>0.12000000000000001</v>
      </c>
      <c r="CR14" s="170">
        <f t="shared" si="73"/>
        <v>0.12000000000000001</v>
      </c>
      <c r="CS14" s="162">
        <f t="shared" si="15"/>
        <v>1.0958005892528777</v>
      </c>
      <c r="CT14" s="171">
        <f t="shared" si="74"/>
        <v>1.0958005892528777</v>
      </c>
      <c r="CV14" s="162">
        <f t="shared" si="75"/>
        <v>0.12000000000000001</v>
      </c>
      <c r="CW14" s="162">
        <f t="shared" si="76"/>
        <v>0.12000000000000001</v>
      </c>
      <c r="CX14" s="162">
        <f t="shared" si="16"/>
        <v>1.0958005892528777</v>
      </c>
      <c r="CY14" s="171">
        <f t="shared" si="77"/>
        <v>1.0958005892528777</v>
      </c>
      <c r="DA14" s="162">
        <f t="shared" si="78"/>
        <v>0.12000000000000001</v>
      </c>
      <c r="DB14" s="170">
        <f t="shared" si="79"/>
        <v>0.12000000000000001</v>
      </c>
      <c r="DC14" s="162">
        <f t="shared" si="17"/>
        <v>1.0958005892528777</v>
      </c>
      <c r="DD14" s="171">
        <f t="shared" si="80"/>
        <v>1.0958005892528777</v>
      </c>
      <c r="DF14" s="162">
        <f t="shared" si="81"/>
        <v>0.12000000000000001</v>
      </c>
      <c r="DG14" s="170">
        <f t="shared" si="82"/>
        <v>0.12000000000000001</v>
      </c>
      <c r="DH14" s="162">
        <f t="shared" si="18"/>
        <v>1.0958005892528777</v>
      </c>
      <c r="DI14" s="171">
        <f t="shared" si="83"/>
        <v>1.0958005892528777</v>
      </c>
      <c r="DK14" s="162">
        <f t="shared" si="84"/>
        <v>0.12000000000000001</v>
      </c>
      <c r="DL14" s="162">
        <f t="shared" si="85"/>
        <v>0.12000000000000001</v>
      </c>
      <c r="DM14" s="162">
        <f t="shared" si="19"/>
        <v>1.0958005892528777</v>
      </c>
      <c r="DN14" s="171">
        <f t="shared" si="86"/>
        <v>1.0958005892528777</v>
      </c>
      <c r="DP14" s="162">
        <f t="shared" si="87"/>
        <v>0.12000000000000001</v>
      </c>
      <c r="DQ14" s="170">
        <f t="shared" si="88"/>
        <v>0.12000000000000001</v>
      </c>
      <c r="DR14" s="162">
        <f t="shared" si="20"/>
        <v>1.0958005892528777</v>
      </c>
      <c r="DS14" s="171">
        <f t="shared" si="89"/>
        <v>1.0958005892528777</v>
      </c>
      <c r="DU14" s="162">
        <f t="shared" si="90"/>
        <v>0.12000000000000001</v>
      </c>
      <c r="DV14" s="170">
        <f t="shared" si="91"/>
        <v>0.12000000000000001</v>
      </c>
      <c r="DW14" s="162">
        <f t="shared" si="21"/>
        <v>1.0958005892528777</v>
      </c>
      <c r="DX14" s="171">
        <f t="shared" si="92"/>
        <v>1.0958005892528777</v>
      </c>
      <c r="DZ14" s="162">
        <f t="shared" si="93"/>
        <v>0.12000000000000001</v>
      </c>
      <c r="EA14" s="162">
        <f t="shared" si="94"/>
        <v>0.12000000000000001</v>
      </c>
      <c r="EB14" s="162">
        <f t="shared" si="22"/>
        <v>1.0958005892528777</v>
      </c>
      <c r="EC14" s="171">
        <f t="shared" si="95"/>
        <v>1.0958005892528777</v>
      </c>
      <c r="EE14" s="162">
        <f t="shared" si="96"/>
        <v>0.12000000000000001</v>
      </c>
      <c r="EF14" s="170">
        <f t="shared" si="97"/>
        <v>0.12000000000000001</v>
      </c>
      <c r="EG14" s="162">
        <f t="shared" si="23"/>
        <v>1.0958005892528777</v>
      </c>
      <c r="EH14" s="171">
        <f t="shared" si="98"/>
        <v>1.0958005892528777</v>
      </c>
      <c r="EJ14" s="162">
        <f t="shared" si="99"/>
        <v>0.12000000000000001</v>
      </c>
      <c r="EK14" s="170">
        <f t="shared" si="100"/>
        <v>0.12000000000000001</v>
      </c>
      <c r="EL14" s="162">
        <f t="shared" si="24"/>
        <v>1.0958005892528777</v>
      </c>
      <c r="EM14" s="171">
        <f t="shared" si="101"/>
        <v>1.0958005892528777</v>
      </c>
      <c r="EO14" s="162">
        <f t="shared" si="102"/>
        <v>0.12000000000000001</v>
      </c>
      <c r="EP14" s="162">
        <f t="shared" si="103"/>
        <v>0.12000000000000001</v>
      </c>
      <c r="EQ14" s="162">
        <f t="shared" si="25"/>
        <v>1.0958005892528777</v>
      </c>
      <c r="ER14" s="171">
        <f t="shared" si="104"/>
        <v>1.0958005892528777</v>
      </c>
      <c r="ET14" s="162">
        <f t="shared" si="105"/>
        <v>0.12000000000000001</v>
      </c>
      <c r="EU14" s="170">
        <f t="shared" si="106"/>
        <v>0.12000000000000001</v>
      </c>
      <c r="EV14" s="162">
        <f t="shared" si="26"/>
        <v>1.0958005892528777</v>
      </c>
      <c r="EW14" s="171">
        <f t="shared" si="107"/>
        <v>1.0958005892528777</v>
      </c>
    </row>
    <row r="15" spans="2:156" ht="14.45" customHeight="1" x14ac:dyDescent="0.25">
      <c r="C15" s="167" t="str">
        <f>"Obstacle Distance (" &amp; IF($B$4, "m", "ft") &amp; ")"</f>
        <v>Obstacle Distance (m)</v>
      </c>
      <c r="D15" s="51">
        <v>0</v>
      </c>
      <c r="F15" s="167" t="str">
        <f>"Obstacle Distance (" &amp; IF($B$4, "m", "ft") &amp; ")"</f>
        <v>Obstacle Distance (m)</v>
      </c>
      <c r="G15" s="51">
        <v>0.99999999999999967</v>
      </c>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P15" s="160">
        <f>IF($I$3="Forward", IF(OR(ISBLANK(D15), ISBLANK(D16), D15=0, D16=0), 0, D16), IF(OR(ISBLANK(G15), ISBLANK(G16), G15=0, G16=0), 0, G16))</f>
        <v>1.9999999999999993</v>
      </c>
      <c r="Q15" s="160">
        <f>IF($I$3="Forward", IF(OR(ISBLANK(D15), ISBLANK(D16), D15=0, D16=0), 0, D15), IF(OR(ISBLANK(G15), ISBLANK(G16), G15=0, G16=0), 0, G15))</f>
        <v>0.99999999999999967</v>
      </c>
      <c r="T15" s="162">
        <f t="shared" si="27"/>
        <v>0.14000000000000001</v>
      </c>
      <c r="U15" s="170">
        <f t="shared" si="28"/>
        <v>0.14000000000000001</v>
      </c>
      <c r="V15" s="162">
        <f t="shared" si="0"/>
        <v>1.2356208929142261</v>
      </c>
      <c r="W15" s="171">
        <f t="shared" si="29"/>
        <v>1.2356208929142261</v>
      </c>
      <c r="Y15" s="162">
        <f t="shared" si="30"/>
        <v>0.14000000000000001</v>
      </c>
      <c r="Z15" s="162">
        <f t="shared" si="31"/>
        <v>0.14000000000000001</v>
      </c>
      <c r="AA15" s="162">
        <f t="shared" si="1"/>
        <v>1.2356208929142261</v>
      </c>
      <c r="AB15" s="171">
        <f t="shared" si="32"/>
        <v>1.2356208929142261</v>
      </c>
      <c r="AD15" s="162">
        <f t="shared" si="33"/>
        <v>0.14000000000000001</v>
      </c>
      <c r="AE15" s="170">
        <f t="shared" si="34"/>
        <v>0.14000000000000001</v>
      </c>
      <c r="AF15" s="162">
        <f t="shared" si="2"/>
        <v>1.2356208929142261</v>
      </c>
      <c r="AG15" s="171">
        <f t="shared" si="35"/>
        <v>1.2356208929142261</v>
      </c>
      <c r="AI15" s="162">
        <f t="shared" si="36"/>
        <v>0.14000000000000001</v>
      </c>
      <c r="AJ15" s="170">
        <f t="shared" si="37"/>
        <v>0.14000000000000001</v>
      </c>
      <c r="AK15" s="162">
        <f t="shared" si="3"/>
        <v>1.2356208929142261</v>
      </c>
      <c r="AL15" s="171">
        <f t="shared" si="38"/>
        <v>1.2356208929142261</v>
      </c>
      <c r="AN15" s="162">
        <f t="shared" si="39"/>
        <v>0.14000000000000001</v>
      </c>
      <c r="AO15" s="162">
        <f t="shared" si="40"/>
        <v>0.14000000000000001</v>
      </c>
      <c r="AP15" s="162">
        <f t="shared" si="4"/>
        <v>1.2356208929142261</v>
      </c>
      <c r="AQ15" s="171">
        <f t="shared" si="41"/>
        <v>1.2356208929142261</v>
      </c>
      <c r="AS15" s="162">
        <f t="shared" si="42"/>
        <v>0.14000000000000001</v>
      </c>
      <c r="AT15" s="170">
        <f t="shared" si="43"/>
        <v>0.14000000000000001</v>
      </c>
      <c r="AU15" s="162">
        <f t="shared" si="5"/>
        <v>1.2356208929142261</v>
      </c>
      <c r="AV15" s="171">
        <f t="shared" si="44"/>
        <v>1.2356208929142261</v>
      </c>
      <c r="AX15" s="162">
        <f t="shared" si="45"/>
        <v>0.14000000000000001</v>
      </c>
      <c r="AY15" s="170">
        <f t="shared" si="46"/>
        <v>0.14000000000000001</v>
      </c>
      <c r="AZ15" s="162">
        <f t="shared" si="6"/>
        <v>1.2356208929142261</v>
      </c>
      <c r="BA15" s="171">
        <f t="shared" si="47"/>
        <v>1.2356208929142261</v>
      </c>
      <c r="BC15" s="162">
        <f t="shared" si="48"/>
        <v>0.14000000000000001</v>
      </c>
      <c r="BD15" s="162">
        <f t="shared" si="49"/>
        <v>0.14000000000000001</v>
      </c>
      <c r="BE15" s="162">
        <f t="shared" si="7"/>
        <v>1.2356208929142261</v>
      </c>
      <c r="BF15" s="171">
        <f t="shared" si="50"/>
        <v>1.2356208929142261</v>
      </c>
      <c r="BH15" s="162">
        <f t="shared" si="51"/>
        <v>0.14000000000000001</v>
      </c>
      <c r="BI15" s="170">
        <f t="shared" si="52"/>
        <v>0.14000000000000001</v>
      </c>
      <c r="BJ15" s="162">
        <f t="shared" si="8"/>
        <v>1.2356208929142261</v>
      </c>
      <c r="BK15" s="171">
        <f t="shared" si="53"/>
        <v>1.2356208929142261</v>
      </c>
      <c r="BM15" s="162">
        <f t="shared" si="54"/>
        <v>0.14000000000000001</v>
      </c>
      <c r="BN15" s="170">
        <f t="shared" si="55"/>
        <v>0.14000000000000001</v>
      </c>
      <c r="BO15" s="162">
        <f t="shared" si="9"/>
        <v>1.2356208929142261</v>
      </c>
      <c r="BP15" s="171">
        <f t="shared" si="56"/>
        <v>1.2356208929142261</v>
      </c>
      <c r="BR15" s="162">
        <f t="shared" si="57"/>
        <v>0.14000000000000001</v>
      </c>
      <c r="BS15" s="162">
        <f t="shared" si="58"/>
        <v>0.14000000000000001</v>
      </c>
      <c r="BT15" s="162">
        <f t="shared" si="10"/>
        <v>1.2356208929142261</v>
      </c>
      <c r="BU15" s="171">
        <f t="shared" si="59"/>
        <v>1.2356208929142261</v>
      </c>
      <c r="BW15" s="162">
        <f t="shared" si="60"/>
        <v>0.14000000000000001</v>
      </c>
      <c r="BX15" s="170">
        <f t="shared" si="61"/>
        <v>0.14000000000000001</v>
      </c>
      <c r="BY15" s="162">
        <f t="shared" si="11"/>
        <v>1.2356208929142261</v>
      </c>
      <c r="BZ15" s="171">
        <f t="shared" si="62"/>
        <v>1.2356208929142261</v>
      </c>
      <c r="CB15" s="162">
        <f t="shared" si="63"/>
        <v>0.14000000000000001</v>
      </c>
      <c r="CC15" s="170">
        <f t="shared" si="64"/>
        <v>0.14000000000000001</v>
      </c>
      <c r="CD15" s="162">
        <f t="shared" si="12"/>
        <v>1.2356208929142261</v>
      </c>
      <c r="CE15" s="171">
        <f t="shared" si="65"/>
        <v>1.2356208929142261</v>
      </c>
      <c r="CG15" s="172">
        <f t="shared" si="66"/>
        <v>0.14000000000000001</v>
      </c>
      <c r="CH15" s="172">
        <f t="shared" si="67"/>
        <v>0.14000000000000001</v>
      </c>
      <c r="CI15" s="172">
        <f t="shared" si="13"/>
        <v>1.2356208929142261</v>
      </c>
      <c r="CJ15" s="171">
        <f t="shared" si="68"/>
        <v>1.2356208929142261</v>
      </c>
      <c r="CK15" s="172"/>
      <c r="CL15" s="162">
        <f t="shared" si="69"/>
        <v>0.14000000000000001</v>
      </c>
      <c r="CM15" s="170">
        <f t="shared" si="70"/>
        <v>0.14000000000000001</v>
      </c>
      <c r="CN15" s="162">
        <f t="shared" si="14"/>
        <v>1.2356208929142261</v>
      </c>
      <c r="CO15" s="171">
        <f t="shared" si="71"/>
        <v>1.2356208929142261</v>
      </c>
      <c r="CQ15" s="162">
        <f t="shared" si="72"/>
        <v>0.14000000000000001</v>
      </c>
      <c r="CR15" s="170">
        <f t="shared" si="73"/>
        <v>0.14000000000000001</v>
      </c>
      <c r="CS15" s="162">
        <f t="shared" si="15"/>
        <v>1.2356208929142261</v>
      </c>
      <c r="CT15" s="171">
        <f t="shared" si="74"/>
        <v>1.2356208929142261</v>
      </c>
      <c r="CV15" s="162">
        <f t="shared" si="75"/>
        <v>0.14000000000000001</v>
      </c>
      <c r="CW15" s="162">
        <f t="shared" si="76"/>
        <v>0.14000000000000001</v>
      </c>
      <c r="CX15" s="162">
        <f t="shared" si="16"/>
        <v>1.2356208929142261</v>
      </c>
      <c r="CY15" s="171">
        <f t="shared" si="77"/>
        <v>1.2356208929142261</v>
      </c>
      <c r="DA15" s="162">
        <f t="shared" si="78"/>
        <v>0.14000000000000001</v>
      </c>
      <c r="DB15" s="170">
        <f t="shared" si="79"/>
        <v>0.14000000000000001</v>
      </c>
      <c r="DC15" s="162">
        <f t="shared" si="17"/>
        <v>1.2356208929142261</v>
      </c>
      <c r="DD15" s="171">
        <f t="shared" si="80"/>
        <v>1.2356208929142261</v>
      </c>
      <c r="DF15" s="162">
        <f t="shared" si="81"/>
        <v>0.14000000000000001</v>
      </c>
      <c r="DG15" s="170">
        <f t="shared" si="82"/>
        <v>0.14000000000000001</v>
      </c>
      <c r="DH15" s="162">
        <f t="shared" si="18"/>
        <v>1.2356208929142261</v>
      </c>
      <c r="DI15" s="171">
        <f t="shared" si="83"/>
        <v>1.2356208929142261</v>
      </c>
      <c r="DK15" s="162">
        <f t="shared" si="84"/>
        <v>0.14000000000000001</v>
      </c>
      <c r="DL15" s="162">
        <f t="shared" si="85"/>
        <v>0.14000000000000001</v>
      </c>
      <c r="DM15" s="162">
        <f t="shared" si="19"/>
        <v>1.2356208929142261</v>
      </c>
      <c r="DN15" s="171">
        <f t="shared" si="86"/>
        <v>1.2356208929142261</v>
      </c>
      <c r="DP15" s="162">
        <f t="shared" si="87"/>
        <v>0.14000000000000001</v>
      </c>
      <c r="DQ15" s="170">
        <f t="shared" si="88"/>
        <v>0.14000000000000001</v>
      </c>
      <c r="DR15" s="162">
        <f t="shared" si="20"/>
        <v>1.2356208929142261</v>
      </c>
      <c r="DS15" s="171">
        <f t="shared" si="89"/>
        <v>1.2356208929142261</v>
      </c>
      <c r="DU15" s="162">
        <f t="shared" si="90"/>
        <v>0.14000000000000001</v>
      </c>
      <c r="DV15" s="170">
        <f t="shared" si="91"/>
        <v>0.14000000000000001</v>
      </c>
      <c r="DW15" s="162">
        <f t="shared" si="21"/>
        <v>1.2356208929142261</v>
      </c>
      <c r="DX15" s="171">
        <f t="shared" si="92"/>
        <v>1.2356208929142261</v>
      </c>
      <c r="DZ15" s="162">
        <f t="shared" si="93"/>
        <v>0.14000000000000001</v>
      </c>
      <c r="EA15" s="162">
        <f t="shared" si="94"/>
        <v>0.14000000000000001</v>
      </c>
      <c r="EB15" s="162">
        <f t="shared" si="22"/>
        <v>1.2356208929142261</v>
      </c>
      <c r="EC15" s="171">
        <f t="shared" si="95"/>
        <v>1.2356208929142261</v>
      </c>
      <c r="EE15" s="162">
        <f t="shared" si="96"/>
        <v>0.14000000000000001</v>
      </c>
      <c r="EF15" s="170">
        <f t="shared" si="97"/>
        <v>0.14000000000000001</v>
      </c>
      <c r="EG15" s="162">
        <f t="shared" si="23"/>
        <v>1.2356208929142261</v>
      </c>
      <c r="EH15" s="171">
        <f t="shared" si="98"/>
        <v>1.2356208929142261</v>
      </c>
      <c r="EJ15" s="162">
        <f t="shared" si="99"/>
        <v>0.14000000000000001</v>
      </c>
      <c r="EK15" s="170">
        <f t="shared" si="100"/>
        <v>0.14000000000000001</v>
      </c>
      <c r="EL15" s="162">
        <f t="shared" si="24"/>
        <v>1.2356208929142261</v>
      </c>
      <c r="EM15" s="171">
        <f t="shared" si="101"/>
        <v>1.2356208929142261</v>
      </c>
      <c r="EO15" s="162">
        <f t="shared" si="102"/>
        <v>0.14000000000000001</v>
      </c>
      <c r="EP15" s="162">
        <f t="shared" si="103"/>
        <v>0.14000000000000001</v>
      </c>
      <c r="EQ15" s="162">
        <f t="shared" si="25"/>
        <v>1.2356208929142261</v>
      </c>
      <c r="ER15" s="171">
        <f t="shared" si="104"/>
        <v>1.2356208929142261</v>
      </c>
      <c r="ET15" s="162">
        <f t="shared" si="105"/>
        <v>0.14000000000000001</v>
      </c>
      <c r="EU15" s="170">
        <f t="shared" si="106"/>
        <v>0.14000000000000001</v>
      </c>
      <c r="EV15" s="162">
        <f t="shared" si="26"/>
        <v>1.2356208929142261</v>
      </c>
      <c r="EW15" s="171">
        <f t="shared" si="107"/>
        <v>1.2356208929142261</v>
      </c>
    </row>
    <row r="16" spans="2:156" x14ac:dyDescent="0.25">
      <c r="C16" s="167" t="str">
        <f>"Obstacle Height (" &amp; IF($B$4, "m", "ft") &amp; ")"</f>
        <v>Obstacle Height (m)</v>
      </c>
      <c r="D16" s="51">
        <v>0</v>
      </c>
      <c r="F16" s="167" t="str">
        <f>"Obstacle Height (" &amp; IF($B$4, "m", "ft") &amp; ")"</f>
        <v>Obstacle Height (m)</v>
      </c>
      <c r="G16" s="51">
        <v>1.9999999999999993</v>
      </c>
      <c r="T16" s="162">
        <f t="shared" si="27"/>
        <v>0.16</v>
      </c>
      <c r="U16" s="170">
        <f t="shared" si="28"/>
        <v>0.16</v>
      </c>
      <c r="V16" s="162">
        <f t="shared" si="0"/>
        <v>1.372732683847727</v>
      </c>
      <c r="W16" s="171">
        <f t="shared" si="29"/>
        <v>1.372732683847727</v>
      </c>
      <c r="Y16" s="162">
        <f t="shared" si="30"/>
        <v>0.16</v>
      </c>
      <c r="Z16" s="162">
        <f t="shared" si="31"/>
        <v>0.16</v>
      </c>
      <c r="AA16" s="162">
        <f t="shared" si="1"/>
        <v>1.372732683847727</v>
      </c>
      <c r="AB16" s="171">
        <f t="shared" si="32"/>
        <v>1.372732683847727</v>
      </c>
      <c r="AD16" s="162">
        <f t="shared" si="33"/>
        <v>0.16</v>
      </c>
      <c r="AE16" s="170">
        <f t="shared" si="34"/>
        <v>0.16</v>
      </c>
      <c r="AF16" s="162">
        <f t="shared" si="2"/>
        <v>1.372732683847727</v>
      </c>
      <c r="AG16" s="171">
        <f t="shared" si="35"/>
        <v>1.372732683847727</v>
      </c>
      <c r="AI16" s="162">
        <f t="shared" si="36"/>
        <v>0.16</v>
      </c>
      <c r="AJ16" s="170">
        <f t="shared" si="37"/>
        <v>0.16</v>
      </c>
      <c r="AK16" s="162">
        <f t="shared" si="3"/>
        <v>1.372732683847727</v>
      </c>
      <c r="AL16" s="171">
        <f t="shared" si="38"/>
        <v>1.372732683847727</v>
      </c>
      <c r="AN16" s="162">
        <f t="shared" si="39"/>
        <v>0.16</v>
      </c>
      <c r="AO16" s="162">
        <f t="shared" si="40"/>
        <v>0.16</v>
      </c>
      <c r="AP16" s="162">
        <f t="shared" si="4"/>
        <v>1.372732683847727</v>
      </c>
      <c r="AQ16" s="171">
        <f t="shared" si="41"/>
        <v>1.372732683847727</v>
      </c>
      <c r="AS16" s="162">
        <f t="shared" si="42"/>
        <v>0.16</v>
      </c>
      <c r="AT16" s="170">
        <f t="shared" si="43"/>
        <v>0.16</v>
      </c>
      <c r="AU16" s="162">
        <f t="shared" si="5"/>
        <v>1.372732683847727</v>
      </c>
      <c r="AV16" s="171">
        <f t="shared" si="44"/>
        <v>1.372732683847727</v>
      </c>
      <c r="AX16" s="162">
        <f t="shared" si="45"/>
        <v>0.16</v>
      </c>
      <c r="AY16" s="170">
        <f t="shared" si="46"/>
        <v>0.16</v>
      </c>
      <c r="AZ16" s="162">
        <f t="shared" si="6"/>
        <v>1.372732683847727</v>
      </c>
      <c r="BA16" s="171">
        <f t="shared" si="47"/>
        <v>1.372732683847727</v>
      </c>
      <c r="BC16" s="162">
        <f t="shared" si="48"/>
        <v>0.16</v>
      </c>
      <c r="BD16" s="162">
        <f t="shared" si="49"/>
        <v>0.16</v>
      </c>
      <c r="BE16" s="162">
        <f t="shared" si="7"/>
        <v>1.372732683847727</v>
      </c>
      <c r="BF16" s="171">
        <f t="shared" si="50"/>
        <v>1.372732683847727</v>
      </c>
      <c r="BH16" s="162">
        <f t="shared" si="51"/>
        <v>0.16</v>
      </c>
      <c r="BI16" s="170">
        <f t="shared" si="52"/>
        <v>0.16</v>
      </c>
      <c r="BJ16" s="162">
        <f t="shared" si="8"/>
        <v>1.372732683847727</v>
      </c>
      <c r="BK16" s="171">
        <f t="shared" si="53"/>
        <v>1.372732683847727</v>
      </c>
      <c r="BM16" s="162">
        <f t="shared" si="54"/>
        <v>0.16</v>
      </c>
      <c r="BN16" s="170">
        <f t="shared" si="55"/>
        <v>0.16</v>
      </c>
      <c r="BO16" s="162">
        <f t="shared" si="9"/>
        <v>1.372732683847727</v>
      </c>
      <c r="BP16" s="171">
        <f t="shared" si="56"/>
        <v>1.372732683847727</v>
      </c>
      <c r="BR16" s="162">
        <f t="shared" si="57"/>
        <v>0.16</v>
      </c>
      <c r="BS16" s="162">
        <f t="shared" si="58"/>
        <v>0.16</v>
      </c>
      <c r="BT16" s="162">
        <f t="shared" si="10"/>
        <v>1.372732683847727</v>
      </c>
      <c r="BU16" s="171">
        <f t="shared" si="59"/>
        <v>1.372732683847727</v>
      </c>
      <c r="BW16" s="162">
        <f t="shared" si="60"/>
        <v>0.16</v>
      </c>
      <c r="BX16" s="170">
        <f t="shared" si="61"/>
        <v>0.16</v>
      </c>
      <c r="BY16" s="162">
        <f t="shared" si="11"/>
        <v>1.372732683847727</v>
      </c>
      <c r="BZ16" s="171">
        <f t="shared" si="62"/>
        <v>1.372732683847727</v>
      </c>
      <c r="CB16" s="162">
        <f t="shared" si="63"/>
        <v>0.16</v>
      </c>
      <c r="CC16" s="170">
        <f t="shared" si="64"/>
        <v>0.16</v>
      </c>
      <c r="CD16" s="162">
        <f t="shared" si="12"/>
        <v>1.372732683847727</v>
      </c>
      <c r="CE16" s="171">
        <f t="shared" si="65"/>
        <v>1.372732683847727</v>
      </c>
      <c r="CG16" s="172">
        <f t="shared" si="66"/>
        <v>0.16</v>
      </c>
      <c r="CH16" s="172">
        <f t="shared" si="67"/>
        <v>0.16</v>
      </c>
      <c r="CI16" s="172">
        <f t="shared" si="13"/>
        <v>1.372732683847727</v>
      </c>
      <c r="CJ16" s="171">
        <f t="shared" si="68"/>
        <v>1.372732683847727</v>
      </c>
      <c r="CK16" s="172"/>
      <c r="CL16" s="162">
        <f t="shared" si="69"/>
        <v>0.16</v>
      </c>
      <c r="CM16" s="170">
        <f t="shared" si="70"/>
        <v>0.16</v>
      </c>
      <c r="CN16" s="162">
        <f t="shared" si="14"/>
        <v>1.372732683847727</v>
      </c>
      <c r="CO16" s="171">
        <f t="shared" si="71"/>
        <v>1.372732683847727</v>
      </c>
      <c r="CQ16" s="162">
        <f t="shared" si="72"/>
        <v>0.16</v>
      </c>
      <c r="CR16" s="170">
        <f t="shared" si="73"/>
        <v>0.16</v>
      </c>
      <c r="CS16" s="162">
        <f t="shared" si="15"/>
        <v>1.372732683847727</v>
      </c>
      <c r="CT16" s="171">
        <f t="shared" si="74"/>
        <v>1.372732683847727</v>
      </c>
      <c r="CV16" s="162">
        <f t="shared" si="75"/>
        <v>0.16</v>
      </c>
      <c r="CW16" s="162">
        <f t="shared" si="76"/>
        <v>0.16</v>
      </c>
      <c r="CX16" s="162">
        <f t="shared" si="16"/>
        <v>1.372732683847727</v>
      </c>
      <c r="CY16" s="171">
        <f t="shared" si="77"/>
        <v>1.372732683847727</v>
      </c>
      <c r="DA16" s="162">
        <f t="shared" si="78"/>
        <v>0.16</v>
      </c>
      <c r="DB16" s="170">
        <f t="shared" si="79"/>
        <v>0.16</v>
      </c>
      <c r="DC16" s="162">
        <f t="shared" si="17"/>
        <v>1.372732683847727</v>
      </c>
      <c r="DD16" s="171">
        <f t="shared" si="80"/>
        <v>1.372732683847727</v>
      </c>
      <c r="DF16" s="162">
        <f t="shared" si="81"/>
        <v>0.16</v>
      </c>
      <c r="DG16" s="170">
        <f t="shared" si="82"/>
        <v>0.16</v>
      </c>
      <c r="DH16" s="162">
        <f t="shared" si="18"/>
        <v>1.372732683847727</v>
      </c>
      <c r="DI16" s="171">
        <f t="shared" si="83"/>
        <v>1.372732683847727</v>
      </c>
      <c r="DK16" s="162">
        <f t="shared" si="84"/>
        <v>0.16</v>
      </c>
      <c r="DL16" s="162">
        <f t="shared" si="85"/>
        <v>0.16</v>
      </c>
      <c r="DM16" s="162">
        <f t="shared" si="19"/>
        <v>1.372732683847727</v>
      </c>
      <c r="DN16" s="171">
        <f t="shared" si="86"/>
        <v>1.372732683847727</v>
      </c>
      <c r="DP16" s="162">
        <f t="shared" si="87"/>
        <v>0.16</v>
      </c>
      <c r="DQ16" s="170">
        <f t="shared" si="88"/>
        <v>0.16</v>
      </c>
      <c r="DR16" s="162">
        <f t="shared" si="20"/>
        <v>1.372732683847727</v>
      </c>
      <c r="DS16" s="171">
        <f t="shared" si="89"/>
        <v>1.372732683847727</v>
      </c>
      <c r="DU16" s="162">
        <f t="shared" si="90"/>
        <v>0.16</v>
      </c>
      <c r="DV16" s="170">
        <f t="shared" si="91"/>
        <v>0.16</v>
      </c>
      <c r="DW16" s="162">
        <f t="shared" si="21"/>
        <v>1.372732683847727</v>
      </c>
      <c r="DX16" s="171">
        <f t="shared" si="92"/>
        <v>1.372732683847727</v>
      </c>
      <c r="DZ16" s="162">
        <f t="shared" si="93"/>
        <v>0.16</v>
      </c>
      <c r="EA16" s="162">
        <f t="shared" si="94"/>
        <v>0.16</v>
      </c>
      <c r="EB16" s="162">
        <f t="shared" si="22"/>
        <v>1.372732683847727</v>
      </c>
      <c r="EC16" s="171">
        <f t="shared" si="95"/>
        <v>1.372732683847727</v>
      </c>
      <c r="EE16" s="162">
        <f t="shared" si="96"/>
        <v>0.16</v>
      </c>
      <c r="EF16" s="170">
        <f t="shared" si="97"/>
        <v>0.16</v>
      </c>
      <c r="EG16" s="162">
        <f t="shared" si="23"/>
        <v>1.372732683847727</v>
      </c>
      <c r="EH16" s="171">
        <f t="shared" si="98"/>
        <v>1.372732683847727</v>
      </c>
      <c r="EJ16" s="162">
        <f t="shared" si="99"/>
        <v>0.16</v>
      </c>
      <c r="EK16" s="170">
        <f t="shared" si="100"/>
        <v>0.16</v>
      </c>
      <c r="EL16" s="162">
        <f t="shared" si="24"/>
        <v>1.372732683847727</v>
      </c>
      <c r="EM16" s="171">
        <f t="shared" si="101"/>
        <v>1.372732683847727</v>
      </c>
      <c r="EO16" s="162">
        <f t="shared" si="102"/>
        <v>0.16</v>
      </c>
      <c r="EP16" s="162">
        <f t="shared" si="103"/>
        <v>0.16</v>
      </c>
      <c r="EQ16" s="162">
        <f t="shared" si="25"/>
        <v>1.372732683847727</v>
      </c>
      <c r="ER16" s="171">
        <f t="shared" si="104"/>
        <v>1.372732683847727</v>
      </c>
      <c r="ET16" s="162">
        <f t="shared" si="105"/>
        <v>0.16</v>
      </c>
      <c r="EU16" s="170">
        <f t="shared" si="106"/>
        <v>0.16</v>
      </c>
      <c r="EV16" s="162">
        <f t="shared" si="26"/>
        <v>1.372732683847727</v>
      </c>
      <c r="EW16" s="171">
        <f t="shared" si="107"/>
        <v>1.372732683847727</v>
      </c>
    </row>
    <row r="17" spans="3:154" s="181" customFormat="1" x14ac:dyDescent="0.25">
      <c r="H17" s="160"/>
      <c r="I17" s="160"/>
      <c r="J17" s="160"/>
      <c r="K17" s="160"/>
      <c r="L17" s="160"/>
      <c r="M17" s="160"/>
      <c r="N17" s="160"/>
      <c r="O17" s="160"/>
      <c r="P17" s="160"/>
      <c r="Q17" s="160"/>
      <c r="R17" s="160"/>
      <c r="S17" s="160"/>
      <c r="T17" s="162">
        <f t="shared" si="27"/>
        <v>0.18</v>
      </c>
      <c r="U17" s="170">
        <f t="shared" si="28"/>
        <v>0.18</v>
      </c>
      <c r="V17" s="162">
        <f t="shared" si="0"/>
        <v>1.5071359620533809</v>
      </c>
      <c r="W17" s="171">
        <f t="shared" si="29"/>
        <v>1.5071359620533809</v>
      </c>
      <c r="X17" s="162"/>
      <c r="Y17" s="162">
        <f t="shared" si="30"/>
        <v>0.18</v>
      </c>
      <c r="Z17" s="162">
        <f t="shared" si="31"/>
        <v>0.18</v>
      </c>
      <c r="AA17" s="162">
        <f t="shared" si="1"/>
        <v>1.5071359620533809</v>
      </c>
      <c r="AB17" s="171">
        <f t="shared" si="32"/>
        <v>1.5071359620533809</v>
      </c>
      <c r="AC17" s="162"/>
      <c r="AD17" s="162">
        <f t="shared" si="33"/>
        <v>0.18</v>
      </c>
      <c r="AE17" s="170">
        <f t="shared" si="34"/>
        <v>0.18</v>
      </c>
      <c r="AF17" s="162">
        <f t="shared" si="2"/>
        <v>1.5071359620533809</v>
      </c>
      <c r="AG17" s="171">
        <f t="shared" si="35"/>
        <v>1.5071359620533809</v>
      </c>
      <c r="AH17" s="162"/>
      <c r="AI17" s="162">
        <f t="shared" si="36"/>
        <v>0.18</v>
      </c>
      <c r="AJ17" s="170">
        <f t="shared" si="37"/>
        <v>0.18</v>
      </c>
      <c r="AK17" s="162">
        <f t="shared" si="3"/>
        <v>1.5071359620533809</v>
      </c>
      <c r="AL17" s="171">
        <f t="shared" si="38"/>
        <v>1.5071359620533809</v>
      </c>
      <c r="AM17" s="162"/>
      <c r="AN17" s="162">
        <f t="shared" si="39"/>
        <v>0.18</v>
      </c>
      <c r="AO17" s="162">
        <f t="shared" si="40"/>
        <v>0.18</v>
      </c>
      <c r="AP17" s="162">
        <f t="shared" si="4"/>
        <v>1.5071359620533809</v>
      </c>
      <c r="AQ17" s="171">
        <f t="shared" si="41"/>
        <v>1.5071359620533809</v>
      </c>
      <c r="AR17" s="162"/>
      <c r="AS17" s="162">
        <f t="shared" si="42"/>
        <v>0.18</v>
      </c>
      <c r="AT17" s="170">
        <f t="shared" si="43"/>
        <v>0.18</v>
      </c>
      <c r="AU17" s="162">
        <f t="shared" si="5"/>
        <v>1.5071359620533809</v>
      </c>
      <c r="AV17" s="171">
        <f t="shared" si="44"/>
        <v>1.5071359620533809</v>
      </c>
      <c r="AW17" s="162"/>
      <c r="AX17" s="162">
        <f t="shared" si="45"/>
        <v>0.18</v>
      </c>
      <c r="AY17" s="170">
        <f t="shared" si="46"/>
        <v>0.18</v>
      </c>
      <c r="AZ17" s="162">
        <f t="shared" si="6"/>
        <v>1.5071359620533809</v>
      </c>
      <c r="BA17" s="171">
        <f t="shared" si="47"/>
        <v>1.5071359620533809</v>
      </c>
      <c r="BB17" s="162"/>
      <c r="BC17" s="162">
        <f t="shared" si="48"/>
        <v>0.18</v>
      </c>
      <c r="BD17" s="162">
        <f t="shared" si="49"/>
        <v>0.18</v>
      </c>
      <c r="BE17" s="162">
        <f t="shared" si="7"/>
        <v>1.5071359620533809</v>
      </c>
      <c r="BF17" s="171">
        <f t="shared" si="50"/>
        <v>1.5071359620533809</v>
      </c>
      <c r="BG17" s="162"/>
      <c r="BH17" s="162">
        <f t="shared" si="51"/>
        <v>0.18</v>
      </c>
      <c r="BI17" s="170">
        <f t="shared" si="52"/>
        <v>0.18</v>
      </c>
      <c r="BJ17" s="162">
        <f t="shared" si="8"/>
        <v>1.5071359620533809</v>
      </c>
      <c r="BK17" s="171">
        <f t="shared" si="53"/>
        <v>1.5071359620533809</v>
      </c>
      <c r="BL17" s="162"/>
      <c r="BM17" s="162">
        <f t="shared" si="54"/>
        <v>0.18</v>
      </c>
      <c r="BN17" s="170">
        <f t="shared" si="55"/>
        <v>0.18</v>
      </c>
      <c r="BO17" s="162">
        <f t="shared" si="9"/>
        <v>1.5071359620533809</v>
      </c>
      <c r="BP17" s="171">
        <f t="shared" si="56"/>
        <v>1.5071359620533809</v>
      </c>
      <c r="BQ17" s="162"/>
      <c r="BR17" s="162">
        <f t="shared" si="57"/>
        <v>0.18</v>
      </c>
      <c r="BS17" s="162">
        <f t="shared" si="58"/>
        <v>0.18</v>
      </c>
      <c r="BT17" s="162">
        <f t="shared" si="10"/>
        <v>1.5071359620533809</v>
      </c>
      <c r="BU17" s="171">
        <f t="shared" si="59"/>
        <v>1.5071359620533809</v>
      </c>
      <c r="BV17" s="162"/>
      <c r="BW17" s="162">
        <f t="shared" si="60"/>
        <v>0.18</v>
      </c>
      <c r="BX17" s="170">
        <f t="shared" si="61"/>
        <v>0.18</v>
      </c>
      <c r="BY17" s="162">
        <f t="shared" si="11"/>
        <v>1.5071359620533809</v>
      </c>
      <c r="BZ17" s="171">
        <f t="shared" si="62"/>
        <v>1.5071359620533809</v>
      </c>
      <c r="CA17" s="162"/>
      <c r="CB17" s="162">
        <f t="shared" si="63"/>
        <v>0.18</v>
      </c>
      <c r="CC17" s="170">
        <f t="shared" si="64"/>
        <v>0.18</v>
      </c>
      <c r="CD17" s="162">
        <f t="shared" si="12"/>
        <v>1.5071359620533809</v>
      </c>
      <c r="CE17" s="171">
        <f t="shared" si="65"/>
        <v>1.5071359620533809</v>
      </c>
      <c r="CF17" s="162"/>
      <c r="CG17" s="172">
        <f t="shared" si="66"/>
        <v>0.18</v>
      </c>
      <c r="CH17" s="172">
        <f t="shared" si="67"/>
        <v>0.18</v>
      </c>
      <c r="CI17" s="172">
        <f t="shared" si="13"/>
        <v>1.5071359620533809</v>
      </c>
      <c r="CJ17" s="171">
        <f t="shared" si="68"/>
        <v>1.5071359620533809</v>
      </c>
      <c r="CK17" s="172"/>
      <c r="CL17" s="162">
        <f t="shared" si="69"/>
        <v>0.18</v>
      </c>
      <c r="CM17" s="170">
        <f t="shared" si="70"/>
        <v>0.18</v>
      </c>
      <c r="CN17" s="162">
        <f t="shared" si="14"/>
        <v>1.5071359620533809</v>
      </c>
      <c r="CO17" s="171">
        <f t="shared" si="71"/>
        <v>1.5071359620533809</v>
      </c>
      <c r="CP17" s="162"/>
      <c r="CQ17" s="162">
        <f t="shared" si="72"/>
        <v>0.18</v>
      </c>
      <c r="CR17" s="170">
        <f t="shared" si="73"/>
        <v>0.18</v>
      </c>
      <c r="CS17" s="162">
        <f t="shared" si="15"/>
        <v>1.5071359620533809</v>
      </c>
      <c r="CT17" s="171">
        <f t="shared" si="74"/>
        <v>1.5071359620533809</v>
      </c>
      <c r="CU17" s="162"/>
      <c r="CV17" s="162">
        <f t="shared" si="75"/>
        <v>0.18</v>
      </c>
      <c r="CW17" s="162">
        <f t="shared" si="76"/>
        <v>0.18</v>
      </c>
      <c r="CX17" s="162">
        <f t="shared" si="16"/>
        <v>1.5071359620533809</v>
      </c>
      <c r="CY17" s="171">
        <f t="shared" si="77"/>
        <v>1.5071359620533809</v>
      </c>
      <c r="CZ17" s="162"/>
      <c r="DA17" s="162">
        <f t="shared" si="78"/>
        <v>0.18</v>
      </c>
      <c r="DB17" s="170">
        <f t="shared" si="79"/>
        <v>0.18</v>
      </c>
      <c r="DC17" s="162">
        <f t="shared" si="17"/>
        <v>1.5071359620533809</v>
      </c>
      <c r="DD17" s="171">
        <f t="shared" si="80"/>
        <v>1.5071359620533809</v>
      </c>
      <c r="DE17" s="162"/>
      <c r="DF17" s="162">
        <f t="shared" si="81"/>
        <v>0.18</v>
      </c>
      <c r="DG17" s="170">
        <f t="shared" si="82"/>
        <v>0.18</v>
      </c>
      <c r="DH17" s="162">
        <f t="shared" si="18"/>
        <v>1.5071359620533809</v>
      </c>
      <c r="DI17" s="171">
        <f t="shared" si="83"/>
        <v>1.5071359620533809</v>
      </c>
      <c r="DJ17" s="162"/>
      <c r="DK17" s="162">
        <f t="shared" si="84"/>
        <v>0.18</v>
      </c>
      <c r="DL17" s="162">
        <f t="shared" si="85"/>
        <v>0.18</v>
      </c>
      <c r="DM17" s="162">
        <f t="shared" si="19"/>
        <v>1.5071359620533809</v>
      </c>
      <c r="DN17" s="171">
        <f t="shared" si="86"/>
        <v>1.5071359620533809</v>
      </c>
      <c r="DO17" s="162"/>
      <c r="DP17" s="162">
        <f t="shared" si="87"/>
        <v>0.18</v>
      </c>
      <c r="DQ17" s="170">
        <f t="shared" si="88"/>
        <v>0.18</v>
      </c>
      <c r="DR17" s="162">
        <f t="shared" si="20"/>
        <v>1.5071359620533809</v>
      </c>
      <c r="DS17" s="171">
        <f t="shared" si="89"/>
        <v>1.5071359620533809</v>
      </c>
      <c r="DT17" s="162"/>
      <c r="DU17" s="162">
        <f t="shared" si="90"/>
        <v>0.18</v>
      </c>
      <c r="DV17" s="170">
        <f t="shared" si="91"/>
        <v>0.18</v>
      </c>
      <c r="DW17" s="162">
        <f t="shared" si="21"/>
        <v>1.5071359620533809</v>
      </c>
      <c r="DX17" s="171">
        <f t="shared" si="92"/>
        <v>1.5071359620533809</v>
      </c>
      <c r="DY17" s="162"/>
      <c r="DZ17" s="162">
        <f t="shared" si="93"/>
        <v>0.18</v>
      </c>
      <c r="EA17" s="162">
        <f t="shared" si="94"/>
        <v>0.18</v>
      </c>
      <c r="EB17" s="162">
        <f t="shared" si="22"/>
        <v>1.5071359620533809</v>
      </c>
      <c r="EC17" s="171">
        <f t="shared" si="95"/>
        <v>1.5071359620533809</v>
      </c>
      <c r="ED17" s="162"/>
      <c r="EE17" s="162">
        <f t="shared" si="96"/>
        <v>0.18</v>
      </c>
      <c r="EF17" s="170">
        <f t="shared" si="97"/>
        <v>0.18</v>
      </c>
      <c r="EG17" s="162">
        <f t="shared" si="23"/>
        <v>1.5071359620533809</v>
      </c>
      <c r="EH17" s="171">
        <f t="shared" si="98"/>
        <v>1.5071359620533809</v>
      </c>
      <c r="EI17" s="162"/>
      <c r="EJ17" s="162">
        <f t="shared" si="99"/>
        <v>0.18</v>
      </c>
      <c r="EK17" s="170">
        <f t="shared" si="100"/>
        <v>0.18</v>
      </c>
      <c r="EL17" s="162">
        <f t="shared" si="24"/>
        <v>1.5071359620533809</v>
      </c>
      <c r="EM17" s="171">
        <f t="shared" si="101"/>
        <v>1.5071359620533809</v>
      </c>
      <c r="EN17" s="162"/>
      <c r="EO17" s="162">
        <f t="shared" si="102"/>
        <v>0.18</v>
      </c>
      <c r="EP17" s="162">
        <f t="shared" si="103"/>
        <v>0.18</v>
      </c>
      <c r="EQ17" s="162">
        <f t="shared" si="25"/>
        <v>1.5071359620533809</v>
      </c>
      <c r="ER17" s="171">
        <f t="shared" si="104"/>
        <v>1.5071359620533809</v>
      </c>
      <c r="ES17" s="162"/>
      <c r="ET17" s="162">
        <f t="shared" si="105"/>
        <v>0.18</v>
      </c>
      <c r="EU17" s="170">
        <f t="shared" si="106"/>
        <v>0.18</v>
      </c>
      <c r="EV17" s="162">
        <f t="shared" si="26"/>
        <v>1.5071359620533809</v>
      </c>
      <c r="EW17" s="171">
        <f t="shared" si="107"/>
        <v>1.5071359620533809</v>
      </c>
      <c r="EX17" s="162"/>
    </row>
    <row r="18" spans="3:154" s="181" customFormat="1" x14ac:dyDescent="0.25">
      <c r="C18" s="167" t="str">
        <f>"Final Height (" &amp; IF($B$4, "m", "ft") &amp; ")"</f>
        <v>Final Height (m)</v>
      </c>
      <c r="D18" s="178">
        <f>$D$8*TAN(RADIANS($D$12))-(IF($B$4, 9.807, 32.174)*$D$8^2)/(2*$D$10^2*COS(RADIANS($D$12))^2)+$D$7</f>
        <v>16.258589278414473</v>
      </c>
      <c r="E18" s="160"/>
      <c r="F18" s="167" t="str">
        <f>"Release Velocity (" &amp; IF($B$4, "m", "ft") &amp; "/s)"</f>
        <v>Release Velocity (m/s)</v>
      </c>
      <c r="G18" s="178">
        <f>SQRT((IF($B$4, 9.807, 32.174)*G8)/(ABS(TAN(RADIANS(G20))-TAN(RADIANS(G12)))))/COS(RADIANS(G20))</f>
        <v>9.5489346835634272</v>
      </c>
      <c r="H18" s="160"/>
      <c r="I18" s="160"/>
      <c r="J18" s="160"/>
      <c r="K18" s="160"/>
      <c r="L18" s="160"/>
      <c r="M18" s="160"/>
      <c r="N18" s="160"/>
      <c r="O18" s="160"/>
      <c r="P18" s="160"/>
      <c r="Q18" s="160"/>
      <c r="R18" s="160"/>
      <c r="S18" s="160"/>
      <c r="T18" s="162">
        <f t="shared" si="27"/>
        <v>0.19999999999999998</v>
      </c>
      <c r="U18" s="170">
        <f t="shared" si="28"/>
        <v>0.19999999999999998</v>
      </c>
      <c r="V18" s="162">
        <f t="shared" si="0"/>
        <v>1.6388307275311875</v>
      </c>
      <c r="W18" s="171">
        <f t="shared" si="29"/>
        <v>1.6388307275311875</v>
      </c>
      <c r="X18" s="162"/>
      <c r="Y18" s="162">
        <f t="shared" si="30"/>
        <v>0.19999999999999998</v>
      </c>
      <c r="Z18" s="162">
        <f t="shared" si="31"/>
        <v>0.19999999999999998</v>
      </c>
      <c r="AA18" s="162">
        <f t="shared" si="1"/>
        <v>1.6388307275311875</v>
      </c>
      <c r="AB18" s="171">
        <f t="shared" si="32"/>
        <v>1.6388307275311875</v>
      </c>
      <c r="AC18" s="162"/>
      <c r="AD18" s="162">
        <f t="shared" si="33"/>
        <v>0.19999999999999998</v>
      </c>
      <c r="AE18" s="170">
        <f t="shared" si="34"/>
        <v>0.19999999999999998</v>
      </c>
      <c r="AF18" s="162">
        <f t="shared" si="2"/>
        <v>1.6388307275311875</v>
      </c>
      <c r="AG18" s="171">
        <f t="shared" si="35"/>
        <v>1.6388307275311875</v>
      </c>
      <c r="AH18" s="162"/>
      <c r="AI18" s="162">
        <f t="shared" si="36"/>
        <v>0.19999999999999998</v>
      </c>
      <c r="AJ18" s="170">
        <f t="shared" si="37"/>
        <v>0.19999999999999998</v>
      </c>
      <c r="AK18" s="162">
        <f t="shared" si="3"/>
        <v>1.6388307275311875</v>
      </c>
      <c r="AL18" s="171">
        <f t="shared" si="38"/>
        <v>1.6388307275311875</v>
      </c>
      <c r="AM18" s="162"/>
      <c r="AN18" s="162">
        <f t="shared" si="39"/>
        <v>0.19999999999999998</v>
      </c>
      <c r="AO18" s="162">
        <f t="shared" si="40"/>
        <v>0.19999999999999998</v>
      </c>
      <c r="AP18" s="162">
        <f t="shared" si="4"/>
        <v>1.6388307275311875</v>
      </c>
      <c r="AQ18" s="171">
        <f t="shared" si="41"/>
        <v>1.6388307275311875</v>
      </c>
      <c r="AR18" s="162"/>
      <c r="AS18" s="162">
        <f t="shared" si="42"/>
        <v>0.19999999999999998</v>
      </c>
      <c r="AT18" s="170">
        <f t="shared" si="43"/>
        <v>0.19999999999999998</v>
      </c>
      <c r="AU18" s="162">
        <f t="shared" si="5"/>
        <v>1.6388307275311875</v>
      </c>
      <c r="AV18" s="171">
        <f t="shared" si="44"/>
        <v>1.6388307275311875</v>
      </c>
      <c r="AW18" s="162"/>
      <c r="AX18" s="162">
        <f t="shared" si="45"/>
        <v>0.19999999999999998</v>
      </c>
      <c r="AY18" s="170">
        <f t="shared" si="46"/>
        <v>0.19999999999999998</v>
      </c>
      <c r="AZ18" s="162">
        <f t="shared" si="6"/>
        <v>1.6388307275311875</v>
      </c>
      <c r="BA18" s="171">
        <f t="shared" si="47"/>
        <v>1.6388307275311875</v>
      </c>
      <c r="BB18" s="162"/>
      <c r="BC18" s="162">
        <f t="shared" si="48"/>
        <v>0.19999999999999998</v>
      </c>
      <c r="BD18" s="162">
        <f t="shared" si="49"/>
        <v>0.19999999999999998</v>
      </c>
      <c r="BE18" s="162">
        <f t="shared" si="7"/>
        <v>1.6388307275311875</v>
      </c>
      <c r="BF18" s="171">
        <f t="shared" si="50"/>
        <v>1.6388307275311875</v>
      </c>
      <c r="BG18" s="162"/>
      <c r="BH18" s="162">
        <f t="shared" si="51"/>
        <v>0.19999999999999998</v>
      </c>
      <c r="BI18" s="170">
        <f t="shared" si="52"/>
        <v>0.19999999999999998</v>
      </c>
      <c r="BJ18" s="162">
        <f t="shared" si="8"/>
        <v>1.6388307275311875</v>
      </c>
      <c r="BK18" s="171">
        <f t="shared" si="53"/>
        <v>1.6388307275311875</v>
      </c>
      <c r="BL18" s="162"/>
      <c r="BM18" s="162">
        <f t="shared" si="54"/>
        <v>0.19999999999999998</v>
      </c>
      <c r="BN18" s="170">
        <f t="shared" si="55"/>
        <v>0.19999999999999998</v>
      </c>
      <c r="BO18" s="162">
        <f t="shared" si="9"/>
        <v>1.6388307275311875</v>
      </c>
      <c r="BP18" s="171">
        <f t="shared" si="56"/>
        <v>1.6388307275311875</v>
      </c>
      <c r="BQ18" s="162"/>
      <c r="BR18" s="162">
        <f t="shared" si="57"/>
        <v>0.19999999999999998</v>
      </c>
      <c r="BS18" s="162">
        <f t="shared" si="58"/>
        <v>0.19999999999999998</v>
      </c>
      <c r="BT18" s="162">
        <f t="shared" si="10"/>
        <v>1.6388307275311875</v>
      </c>
      <c r="BU18" s="171">
        <f t="shared" si="59"/>
        <v>1.6388307275311875</v>
      </c>
      <c r="BV18" s="162"/>
      <c r="BW18" s="162">
        <f t="shared" si="60"/>
        <v>0.19999999999999998</v>
      </c>
      <c r="BX18" s="170">
        <f t="shared" si="61"/>
        <v>0.19999999999999998</v>
      </c>
      <c r="BY18" s="162">
        <f t="shared" si="11"/>
        <v>1.6388307275311875</v>
      </c>
      <c r="BZ18" s="171">
        <f t="shared" si="62"/>
        <v>1.6388307275311875</v>
      </c>
      <c r="CA18" s="162"/>
      <c r="CB18" s="162">
        <f t="shared" si="63"/>
        <v>0.19999999999999998</v>
      </c>
      <c r="CC18" s="170">
        <f t="shared" si="64"/>
        <v>0.19999999999999998</v>
      </c>
      <c r="CD18" s="162">
        <f t="shared" si="12"/>
        <v>1.6388307275311875</v>
      </c>
      <c r="CE18" s="171">
        <f t="shared" si="65"/>
        <v>1.6388307275311875</v>
      </c>
      <c r="CF18" s="162"/>
      <c r="CG18" s="172">
        <f t="shared" si="66"/>
        <v>0.19999999999999998</v>
      </c>
      <c r="CH18" s="172">
        <f t="shared" si="67"/>
        <v>0.19999999999999998</v>
      </c>
      <c r="CI18" s="172">
        <f t="shared" si="13"/>
        <v>1.6388307275311875</v>
      </c>
      <c r="CJ18" s="171">
        <f t="shared" si="68"/>
        <v>1.6388307275311875</v>
      </c>
      <c r="CK18" s="172"/>
      <c r="CL18" s="162">
        <f t="shared" si="69"/>
        <v>0.19999999999999998</v>
      </c>
      <c r="CM18" s="170">
        <f t="shared" si="70"/>
        <v>0.19999999999999998</v>
      </c>
      <c r="CN18" s="162">
        <f t="shared" si="14"/>
        <v>1.6388307275311875</v>
      </c>
      <c r="CO18" s="171">
        <f t="shared" si="71"/>
        <v>1.6388307275311875</v>
      </c>
      <c r="CP18" s="162"/>
      <c r="CQ18" s="162">
        <f t="shared" si="72"/>
        <v>0.19999999999999998</v>
      </c>
      <c r="CR18" s="170">
        <f t="shared" si="73"/>
        <v>0.19999999999999998</v>
      </c>
      <c r="CS18" s="162">
        <f t="shared" si="15"/>
        <v>1.6388307275311875</v>
      </c>
      <c r="CT18" s="171">
        <f t="shared" si="74"/>
        <v>1.6388307275311875</v>
      </c>
      <c r="CU18" s="162"/>
      <c r="CV18" s="162">
        <f t="shared" si="75"/>
        <v>0.19999999999999998</v>
      </c>
      <c r="CW18" s="162">
        <f t="shared" si="76"/>
        <v>0.19999999999999998</v>
      </c>
      <c r="CX18" s="162">
        <f t="shared" si="16"/>
        <v>1.6388307275311875</v>
      </c>
      <c r="CY18" s="171">
        <f t="shared" si="77"/>
        <v>1.6388307275311875</v>
      </c>
      <c r="CZ18" s="162"/>
      <c r="DA18" s="162">
        <f t="shared" si="78"/>
        <v>0.19999999999999998</v>
      </c>
      <c r="DB18" s="170">
        <f t="shared" si="79"/>
        <v>0.19999999999999998</v>
      </c>
      <c r="DC18" s="162">
        <f t="shared" si="17"/>
        <v>1.6388307275311875</v>
      </c>
      <c r="DD18" s="171">
        <f t="shared" si="80"/>
        <v>1.6388307275311875</v>
      </c>
      <c r="DE18" s="162"/>
      <c r="DF18" s="162">
        <f t="shared" si="81"/>
        <v>0.19999999999999998</v>
      </c>
      <c r="DG18" s="170">
        <f t="shared" si="82"/>
        <v>0.19999999999999998</v>
      </c>
      <c r="DH18" s="162">
        <f t="shared" si="18"/>
        <v>1.6388307275311875</v>
      </c>
      <c r="DI18" s="171">
        <f t="shared" si="83"/>
        <v>1.6388307275311875</v>
      </c>
      <c r="DJ18" s="162"/>
      <c r="DK18" s="162">
        <f t="shared" si="84"/>
        <v>0.19999999999999998</v>
      </c>
      <c r="DL18" s="162">
        <f t="shared" si="85"/>
        <v>0.19999999999999998</v>
      </c>
      <c r="DM18" s="162">
        <f t="shared" si="19"/>
        <v>1.6388307275311875</v>
      </c>
      <c r="DN18" s="171">
        <f t="shared" si="86"/>
        <v>1.6388307275311875</v>
      </c>
      <c r="DO18" s="162"/>
      <c r="DP18" s="162">
        <f t="shared" si="87"/>
        <v>0.19999999999999998</v>
      </c>
      <c r="DQ18" s="170">
        <f t="shared" si="88"/>
        <v>0.19999999999999998</v>
      </c>
      <c r="DR18" s="162">
        <f t="shared" si="20"/>
        <v>1.6388307275311875</v>
      </c>
      <c r="DS18" s="171">
        <f t="shared" si="89"/>
        <v>1.6388307275311875</v>
      </c>
      <c r="DT18" s="162"/>
      <c r="DU18" s="162">
        <f t="shared" si="90"/>
        <v>0.19999999999999998</v>
      </c>
      <c r="DV18" s="170">
        <f t="shared" si="91"/>
        <v>0.19999999999999998</v>
      </c>
      <c r="DW18" s="162">
        <f t="shared" si="21"/>
        <v>1.6388307275311875</v>
      </c>
      <c r="DX18" s="171">
        <f t="shared" si="92"/>
        <v>1.6388307275311875</v>
      </c>
      <c r="DY18" s="162"/>
      <c r="DZ18" s="162">
        <f t="shared" si="93"/>
        <v>0.19999999999999998</v>
      </c>
      <c r="EA18" s="162">
        <f t="shared" si="94"/>
        <v>0.19999999999999998</v>
      </c>
      <c r="EB18" s="162">
        <f t="shared" si="22"/>
        <v>1.6388307275311875</v>
      </c>
      <c r="EC18" s="171">
        <f t="shared" si="95"/>
        <v>1.6388307275311875</v>
      </c>
      <c r="ED18" s="162"/>
      <c r="EE18" s="162">
        <f t="shared" si="96"/>
        <v>0.19999999999999998</v>
      </c>
      <c r="EF18" s="170">
        <f t="shared" si="97"/>
        <v>0.19999999999999998</v>
      </c>
      <c r="EG18" s="162">
        <f t="shared" si="23"/>
        <v>1.6388307275311875</v>
      </c>
      <c r="EH18" s="171">
        <f t="shared" si="98"/>
        <v>1.6388307275311875</v>
      </c>
      <c r="EI18" s="162"/>
      <c r="EJ18" s="162">
        <f t="shared" si="99"/>
        <v>0.19999999999999998</v>
      </c>
      <c r="EK18" s="170">
        <f t="shared" si="100"/>
        <v>0.19999999999999998</v>
      </c>
      <c r="EL18" s="162">
        <f t="shared" si="24"/>
        <v>1.6388307275311875</v>
      </c>
      <c r="EM18" s="171">
        <f t="shared" si="101"/>
        <v>1.6388307275311875</v>
      </c>
      <c r="EN18" s="162"/>
      <c r="EO18" s="162">
        <f t="shared" si="102"/>
        <v>0.19999999999999998</v>
      </c>
      <c r="EP18" s="162">
        <f t="shared" si="103"/>
        <v>0.19999999999999998</v>
      </c>
      <c r="EQ18" s="162">
        <f t="shared" si="25"/>
        <v>1.6388307275311875</v>
      </c>
      <c r="ER18" s="171">
        <f t="shared" si="104"/>
        <v>1.6388307275311875</v>
      </c>
      <c r="ES18" s="162"/>
      <c r="ET18" s="162">
        <f t="shared" si="105"/>
        <v>0.19999999999999998</v>
      </c>
      <c r="EU18" s="170">
        <f t="shared" si="106"/>
        <v>0.19999999999999998</v>
      </c>
      <c r="EV18" s="162">
        <f t="shared" si="26"/>
        <v>1.6388307275311875</v>
      </c>
      <c r="EW18" s="171">
        <f t="shared" si="107"/>
        <v>1.6388307275311875</v>
      </c>
      <c r="EX18" s="162"/>
    </row>
    <row r="19" spans="3:154" s="181" customFormat="1" x14ac:dyDescent="0.25">
      <c r="C19" s="167" t="str">
        <f>"     ^ Range (" &amp; IF($B$4, "m", "ft") &amp; ")"</f>
        <v xml:space="preserve">     ^ Range (m)</v>
      </c>
      <c r="D19" s="179" t="str">
        <f>IF(MAX(T113:AT113)=MIN(T113:AT113), "----", TEXT(MAX(T113:AT113), "0.0") &amp; " – " &amp; TEXT(MIN(T113:AT113), "0.0"))</f>
        <v>----</v>
      </c>
      <c r="E19" s="160"/>
      <c r="F19" s="167" t="str">
        <f>"     ^ Range (" &amp; IF($B$4, "m", "ft") &amp; "/s)"</f>
        <v xml:space="preserve">     ^ Range (m/s)</v>
      </c>
      <c r="G19" s="180" t="str">
        <f>IF(MAX(T119:AT119)=MIN(T119:AT119), "----", TEXT(MAX(T119:AT119), "0.0") &amp; " – " &amp; TEXT(MIN(T119:AT119), "0.0"))</f>
        <v>----</v>
      </c>
      <c r="H19" s="160"/>
      <c r="I19" s="160"/>
      <c r="J19" s="160"/>
      <c r="K19" s="160"/>
      <c r="L19" s="160"/>
      <c r="M19" s="160"/>
      <c r="N19" s="160"/>
      <c r="O19" s="160"/>
      <c r="P19" s="160"/>
      <c r="Q19" s="160"/>
      <c r="R19" s="160"/>
      <c r="S19" s="160"/>
      <c r="T19" s="162">
        <f t="shared" si="27"/>
        <v>0.21999999999999997</v>
      </c>
      <c r="U19" s="170">
        <f t="shared" si="28"/>
        <v>0.21999999999999997</v>
      </c>
      <c r="V19" s="162">
        <f t="shared" si="0"/>
        <v>1.7678169802811474</v>
      </c>
      <c r="W19" s="171">
        <f t="shared" si="29"/>
        <v>1.7678169802811474</v>
      </c>
      <c r="X19" s="162"/>
      <c r="Y19" s="162">
        <f t="shared" si="30"/>
        <v>0.21999999999999997</v>
      </c>
      <c r="Z19" s="162">
        <f t="shared" si="31"/>
        <v>0.21999999999999997</v>
      </c>
      <c r="AA19" s="162">
        <f t="shared" si="1"/>
        <v>1.7678169802811474</v>
      </c>
      <c r="AB19" s="171">
        <f t="shared" si="32"/>
        <v>1.7678169802811474</v>
      </c>
      <c r="AC19" s="162"/>
      <c r="AD19" s="162">
        <f t="shared" si="33"/>
        <v>0.21999999999999997</v>
      </c>
      <c r="AE19" s="170">
        <f t="shared" si="34"/>
        <v>0.21999999999999997</v>
      </c>
      <c r="AF19" s="162">
        <f t="shared" si="2"/>
        <v>1.7678169802811474</v>
      </c>
      <c r="AG19" s="171">
        <f t="shared" si="35"/>
        <v>1.7678169802811474</v>
      </c>
      <c r="AH19" s="162"/>
      <c r="AI19" s="162">
        <f t="shared" si="36"/>
        <v>0.21999999999999997</v>
      </c>
      <c r="AJ19" s="170">
        <f t="shared" si="37"/>
        <v>0.21999999999999997</v>
      </c>
      <c r="AK19" s="162">
        <f t="shared" si="3"/>
        <v>1.7678169802811474</v>
      </c>
      <c r="AL19" s="171">
        <f t="shared" si="38"/>
        <v>1.7678169802811474</v>
      </c>
      <c r="AM19" s="162"/>
      <c r="AN19" s="162">
        <f t="shared" si="39"/>
        <v>0.21999999999999997</v>
      </c>
      <c r="AO19" s="162">
        <f t="shared" si="40"/>
        <v>0.21999999999999997</v>
      </c>
      <c r="AP19" s="162">
        <f t="shared" si="4"/>
        <v>1.7678169802811474</v>
      </c>
      <c r="AQ19" s="171">
        <f t="shared" si="41"/>
        <v>1.7678169802811474</v>
      </c>
      <c r="AR19" s="162"/>
      <c r="AS19" s="162">
        <f t="shared" si="42"/>
        <v>0.21999999999999997</v>
      </c>
      <c r="AT19" s="170">
        <f t="shared" si="43"/>
        <v>0.21999999999999997</v>
      </c>
      <c r="AU19" s="162">
        <f t="shared" si="5"/>
        <v>1.7678169802811474</v>
      </c>
      <c r="AV19" s="171">
        <f t="shared" si="44"/>
        <v>1.7678169802811474</v>
      </c>
      <c r="AW19" s="162"/>
      <c r="AX19" s="162">
        <f t="shared" si="45"/>
        <v>0.21999999999999997</v>
      </c>
      <c r="AY19" s="170">
        <f t="shared" si="46"/>
        <v>0.21999999999999997</v>
      </c>
      <c r="AZ19" s="162">
        <f t="shared" si="6"/>
        <v>1.7678169802811474</v>
      </c>
      <c r="BA19" s="171">
        <f t="shared" si="47"/>
        <v>1.7678169802811474</v>
      </c>
      <c r="BB19" s="162"/>
      <c r="BC19" s="162">
        <f t="shared" si="48"/>
        <v>0.21999999999999997</v>
      </c>
      <c r="BD19" s="162">
        <f t="shared" si="49"/>
        <v>0.21999999999999997</v>
      </c>
      <c r="BE19" s="162">
        <f t="shared" si="7"/>
        <v>1.7678169802811474</v>
      </c>
      <c r="BF19" s="171">
        <f t="shared" si="50"/>
        <v>1.7678169802811474</v>
      </c>
      <c r="BG19" s="162"/>
      <c r="BH19" s="162">
        <f t="shared" si="51"/>
        <v>0.21999999999999997</v>
      </c>
      <c r="BI19" s="170">
        <f t="shared" si="52"/>
        <v>0.21999999999999997</v>
      </c>
      <c r="BJ19" s="162">
        <f t="shared" si="8"/>
        <v>1.7678169802811474</v>
      </c>
      <c r="BK19" s="171">
        <f t="shared" si="53"/>
        <v>1.7678169802811474</v>
      </c>
      <c r="BL19" s="162"/>
      <c r="BM19" s="162">
        <f t="shared" si="54"/>
        <v>0.21999999999999997</v>
      </c>
      <c r="BN19" s="170">
        <f t="shared" si="55"/>
        <v>0.21999999999999997</v>
      </c>
      <c r="BO19" s="162">
        <f t="shared" si="9"/>
        <v>1.7678169802811474</v>
      </c>
      <c r="BP19" s="171">
        <f t="shared" si="56"/>
        <v>1.7678169802811474</v>
      </c>
      <c r="BQ19" s="162"/>
      <c r="BR19" s="162">
        <f t="shared" si="57"/>
        <v>0.21999999999999997</v>
      </c>
      <c r="BS19" s="162">
        <f t="shared" si="58"/>
        <v>0.21999999999999997</v>
      </c>
      <c r="BT19" s="162">
        <f t="shared" si="10"/>
        <v>1.7678169802811474</v>
      </c>
      <c r="BU19" s="171">
        <f t="shared" si="59"/>
        <v>1.7678169802811474</v>
      </c>
      <c r="BV19" s="162"/>
      <c r="BW19" s="162">
        <f t="shared" si="60"/>
        <v>0.21999999999999997</v>
      </c>
      <c r="BX19" s="170">
        <f t="shared" si="61"/>
        <v>0.21999999999999997</v>
      </c>
      <c r="BY19" s="162">
        <f t="shared" si="11"/>
        <v>1.7678169802811474</v>
      </c>
      <c r="BZ19" s="171">
        <f t="shared" si="62"/>
        <v>1.7678169802811474</v>
      </c>
      <c r="CA19" s="162"/>
      <c r="CB19" s="162">
        <f t="shared" si="63"/>
        <v>0.21999999999999997</v>
      </c>
      <c r="CC19" s="170">
        <f t="shared" si="64"/>
        <v>0.21999999999999997</v>
      </c>
      <c r="CD19" s="162">
        <f t="shared" si="12"/>
        <v>1.7678169802811474</v>
      </c>
      <c r="CE19" s="171">
        <f t="shared" si="65"/>
        <v>1.7678169802811474</v>
      </c>
      <c r="CF19" s="162"/>
      <c r="CG19" s="172">
        <f t="shared" si="66"/>
        <v>0.21999999999999997</v>
      </c>
      <c r="CH19" s="172">
        <f t="shared" si="67"/>
        <v>0.21999999999999997</v>
      </c>
      <c r="CI19" s="172">
        <f t="shared" si="13"/>
        <v>1.7678169802811474</v>
      </c>
      <c r="CJ19" s="171">
        <f t="shared" si="68"/>
        <v>1.7678169802811474</v>
      </c>
      <c r="CK19" s="172"/>
      <c r="CL19" s="162">
        <f t="shared" si="69"/>
        <v>0.21999999999999997</v>
      </c>
      <c r="CM19" s="170">
        <f t="shared" si="70"/>
        <v>0.21999999999999997</v>
      </c>
      <c r="CN19" s="162">
        <f t="shared" si="14"/>
        <v>1.7678169802811474</v>
      </c>
      <c r="CO19" s="171">
        <f t="shared" si="71"/>
        <v>1.7678169802811474</v>
      </c>
      <c r="CP19" s="162"/>
      <c r="CQ19" s="162">
        <f t="shared" si="72"/>
        <v>0.21999999999999997</v>
      </c>
      <c r="CR19" s="170">
        <f t="shared" si="73"/>
        <v>0.21999999999999997</v>
      </c>
      <c r="CS19" s="162">
        <f t="shared" si="15"/>
        <v>1.7678169802811474</v>
      </c>
      <c r="CT19" s="171">
        <f t="shared" si="74"/>
        <v>1.7678169802811474</v>
      </c>
      <c r="CU19" s="162"/>
      <c r="CV19" s="162">
        <f t="shared" si="75"/>
        <v>0.21999999999999997</v>
      </c>
      <c r="CW19" s="162">
        <f t="shared" si="76"/>
        <v>0.21999999999999997</v>
      </c>
      <c r="CX19" s="162">
        <f t="shared" si="16"/>
        <v>1.7678169802811474</v>
      </c>
      <c r="CY19" s="171">
        <f t="shared" si="77"/>
        <v>1.7678169802811474</v>
      </c>
      <c r="CZ19" s="162"/>
      <c r="DA19" s="162">
        <f t="shared" si="78"/>
        <v>0.21999999999999997</v>
      </c>
      <c r="DB19" s="170">
        <f t="shared" si="79"/>
        <v>0.21999999999999997</v>
      </c>
      <c r="DC19" s="162">
        <f t="shared" si="17"/>
        <v>1.7678169802811474</v>
      </c>
      <c r="DD19" s="171">
        <f t="shared" si="80"/>
        <v>1.7678169802811474</v>
      </c>
      <c r="DE19" s="162"/>
      <c r="DF19" s="162">
        <f t="shared" si="81"/>
        <v>0.21999999999999997</v>
      </c>
      <c r="DG19" s="170">
        <f t="shared" si="82"/>
        <v>0.21999999999999997</v>
      </c>
      <c r="DH19" s="162">
        <f t="shared" si="18"/>
        <v>1.7678169802811474</v>
      </c>
      <c r="DI19" s="171">
        <f t="shared" si="83"/>
        <v>1.7678169802811474</v>
      </c>
      <c r="DJ19" s="162"/>
      <c r="DK19" s="162">
        <f t="shared" si="84"/>
        <v>0.21999999999999997</v>
      </c>
      <c r="DL19" s="162">
        <f t="shared" si="85"/>
        <v>0.21999999999999997</v>
      </c>
      <c r="DM19" s="162">
        <f t="shared" si="19"/>
        <v>1.7678169802811474</v>
      </c>
      <c r="DN19" s="171">
        <f t="shared" si="86"/>
        <v>1.7678169802811474</v>
      </c>
      <c r="DO19" s="162"/>
      <c r="DP19" s="162">
        <f t="shared" si="87"/>
        <v>0.21999999999999997</v>
      </c>
      <c r="DQ19" s="170">
        <f t="shared" si="88"/>
        <v>0.21999999999999997</v>
      </c>
      <c r="DR19" s="162">
        <f t="shared" si="20"/>
        <v>1.7678169802811474</v>
      </c>
      <c r="DS19" s="171">
        <f t="shared" si="89"/>
        <v>1.7678169802811474</v>
      </c>
      <c r="DT19" s="162"/>
      <c r="DU19" s="162">
        <f t="shared" si="90"/>
        <v>0.21999999999999997</v>
      </c>
      <c r="DV19" s="170">
        <f t="shared" si="91"/>
        <v>0.21999999999999997</v>
      </c>
      <c r="DW19" s="162">
        <f t="shared" si="21"/>
        <v>1.7678169802811474</v>
      </c>
      <c r="DX19" s="171">
        <f t="shared" si="92"/>
        <v>1.7678169802811474</v>
      </c>
      <c r="DY19" s="162"/>
      <c r="DZ19" s="162">
        <f t="shared" si="93"/>
        <v>0.21999999999999997</v>
      </c>
      <c r="EA19" s="162">
        <f t="shared" si="94"/>
        <v>0.21999999999999997</v>
      </c>
      <c r="EB19" s="162">
        <f t="shared" si="22"/>
        <v>1.7678169802811474</v>
      </c>
      <c r="EC19" s="171">
        <f t="shared" si="95"/>
        <v>1.7678169802811474</v>
      </c>
      <c r="ED19" s="162"/>
      <c r="EE19" s="162">
        <f t="shared" si="96"/>
        <v>0.21999999999999997</v>
      </c>
      <c r="EF19" s="170">
        <f t="shared" si="97"/>
        <v>0.21999999999999997</v>
      </c>
      <c r="EG19" s="162">
        <f t="shared" si="23"/>
        <v>1.7678169802811474</v>
      </c>
      <c r="EH19" s="171">
        <f t="shared" si="98"/>
        <v>1.7678169802811474</v>
      </c>
      <c r="EI19" s="162"/>
      <c r="EJ19" s="162">
        <f t="shared" si="99"/>
        <v>0.21999999999999997</v>
      </c>
      <c r="EK19" s="170">
        <f t="shared" si="100"/>
        <v>0.21999999999999997</v>
      </c>
      <c r="EL19" s="162">
        <f t="shared" si="24"/>
        <v>1.7678169802811474</v>
      </c>
      <c r="EM19" s="171">
        <f t="shared" si="101"/>
        <v>1.7678169802811474</v>
      </c>
      <c r="EN19" s="162"/>
      <c r="EO19" s="162">
        <f t="shared" si="102"/>
        <v>0.21999999999999997</v>
      </c>
      <c r="EP19" s="162">
        <f t="shared" si="103"/>
        <v>0.21999999999999997</v>
      </c>
      <c r="EQ19" s="162">
        <f t="shared" si="25"/>
        <v>1.7678169802811474</v>
      </c>
      <c r="ER19" s="171">
        <f t="shared" si="104"/>
        <v>1.7678169802811474</v>
      </c>
      <c r="ES19" s="162"/>
      <c r="ET19" s="162">
        <f t="shared" si="105"/>
        <v>0.21999999999999997</v>
      </c>
      <c r="EU19" s="170">
        <f t="shared" si="106"/>
        <v>0.21999999999999997</v>
      </c>
      <c r="EV19" s="162">
        <f t="shared" si="26"/>
        <v>1.7678169802811474</v>
      </c>
      <c r="EW19" s="171">
        <f t="shared" si="107"/>
        <v>1.7678169802811474</v>
      </c>
      <c r="EX19" s="162"/>
    </row>
    <row r="20" spans="3:154" s="181" customFormat="1" x14ac:dyDescent="0.25">
      <c r="C20" s="167" t="s">
        <v>97</v>
      </c>
      <c r="D20" s="182">
        <f>DEGREES(ATAN(2*($D$18-$D$7)/$D$8-TAN(RADIANS($D$12))))</f>
        <v>-67.874514601509873</v>
      </c>
      <c r="E20" s="160"/>
      <c r="F20" s="167" t="s">
        <v>96</v>
      </c>
      <c r="G20" s="182">
        <f>DEGREES(ATAN(2*(G10-G7)/G8-TAN(RADIANS(G12))))</f>
        <v>82.759695716411017</v>
      </c>
      <c r="H20" s="160"/>
      <c r="I20" s="160"/>
      <c r="J20" s="160"/>
      <c r="K20" s="160"/>
      <c r="L20" s="160"/>
      <c r="M20" s="160"/>
      <c r="N20" s="160"/>
      <c r="O20" s="160"/>
      <c r="P20" s="160"/>
      <c r="Q20" s="160"/>
      <c r="R20" s="160"/>
      <c r="S20" s="160"/>
      <c r="T20" s="162">
        <f t="shared" si="27"/>
        <v>0.23999999999999996</v>
      </c>
      <c r="U20" s="170">
        <f t="shared" si="28"/>
        <v>0.23999999999999996</v>
      </c>
      <c r="V20" s="162">
        <f t="shared" si="0"/>
        <v>1.8940947203032601</v>
      </c>
      <c r="W20" s="171">
        <f t="shared" si="29"/>
        <v>1.8940947203032601</v>
      </c>
      <c r="X20" s="162"/>
      <c r="Y20" s="162">
        <f t="shared" si="30"/>
        <v>0.23999999999999996</v>
      </c>
      <c r="Z20" s="162">
        <f t="shared" si="31"/>
        <v>0.23999999999999996</v>
      </c>
      <c r="AA20" s="162">
        <f t="shared" si="1"/>
        <v>1.8940947203032601</v>
      </c>
      <c r="AB20" s="171">
        <f t="shared" si="32"/>
        <v>1.8940947203032601</v>
      </c>
      <c r="AC20" s="162"/>
      <c r="AD20" s="162">
        <f t="shared" si="33"/>
        <v>0.23999999999999996</v>
      </c>
      <c r="AE20" s="170">
        <f t="shared" si="34"/>
        <v>0.23999999999999996</v>
      </c>
      <c r="AF20" s="162">
        <f t="shared" si="2"/>
        <v>1.8940947203032601</v>
      </c>
      <c r="AG20" s="171">
        <f t="shared" si="35"/>
        <v>1.8940947203032601</v>
      </c>
      <c r="AH20" s="162"/>
      <c r="AI20" s="162">
        <f t="shared" si="36"/>
        <v>0.23999999999999996</v>
      </c>
      <c r="AJ20" s="170">
        <f t="shared" si="37"/>
        <v>0.23999999999999996</v>
      </c>
      <c r="AK20" s="162">
        <f t="shared" si="3"/>
        <v>1.8940947203032601</v>
      </c>
      <c r="AL20" s="171">
        <f t="shared" si="38"/>
        <v>1.8940947203032601</v>
      </c>
      <c r="AM20" s="162"/>
      <c r="AN20" s="162">
        <f t="shared" si="39"/>
        <v>0.23999999999999996</v>
      </c>
      <c r="AO20" s="162">
        <f t="shared" si="40"/>
        <v>0.23999999999999996</v>
      </c>
      <c r="AP20" s="162">
        <f t="shared" si="4"/>
        <v>1.8940947203032601</v>
      </c>
      <c r="AQ20" s="171">
        <f t="shared" si="41"/>
        <v>1.8940947203032601</v>
      </c>
      <c r="AR20" s="162"/>
      <c r="AS20" s="162">
        <f t="shared" si="42"/>
        <v>0.23999999999999996</v>
      </c>
      <c r="AT20" s="170">
        <f t="shared" si="43"/>
        <v>0.23999999999999996</v>
      </c>
      <c r="AU20" s="162">
        <f t="shared" si="5"/>
        <v>1.8940947203032601</v>
      </c>
      <c r="AV20" s="171">
        <f t="shared" si="44"/>
        <v>1.8940947203032601</v>
      </c>
      <c r="AW20" s="162"/>
      <c r="AX20" s="162">
        <f t="shared" si="45"/>
        <v>0.23999999999999996</v>
      </c>
      <c r="AY20" s="170">
        <f t="shared" si="46"/>
        <v>0.23999999999999996</v>
      </c>
      <c r="AZ20" s="162">
        <f t="shared" si="6"/>
        <v>1.8940947203032601</v>
      </c>
      <c r="BA20" s="171">
        <f t="shared" si="47"/>
        <v>1.8940947203032601</v>
      </c>
      <c r="BB20" s="162"/>
      <c r="BC20" s="162">
        <f t="shared" si="48"/>
        <v>0.23999999999999996</v>
      </c>
      <c r="BD20" s="162">
        <f t="shared" si="49"/>
        <v>0.23999999999999996</v>
      </c>
      <c r="BE20" s="162">
        <f t="shared" si="7"/>
        <v>1.8940947203032601</v>
      </c>
      <c r="BF20" s="171">
        <f t="shared" si="50"/>
        <v>1.8940947203032601</v>
      </c>
      <c r="BG20" s="162"/>
      <c r="BH20" s="162">
        <f t="shared" si="51"/>
        <v>0.23999999999999996</v>
      </c>
      <c r="BI20" s="170">
        <f t="shared" si="52"/>
        <v>0.23999999999999996</v>
      </c>
      <c r="BJ20" s="162">
        <f t="shared" si="8"/>
        <v>1.8940947203032601</v>
      </c>
      <c r="BK20" s="171">
        <f t="shared" si="53"/>
        <v>1.8940947203032601</v>
      </c>
      <c r="BL20" s="162"/>
      <c r="BM20" s="162">
        <f t="shared" si="54"/>
        <v>0.23999999999999996</v>
      </c>
      <c r="BN20" s="170">
        <f t="shared" si="55"/>
        <v>0.23999999999999996</v>
      </c>
      <c r="BO20" s="162">
        <f t="shared" si="9"/>
        <v>1.8940947203032601</v>
      </c>
      <c r="BP20" s="171">
        <f t="shared" si="56"/>
        <v>1.8940947203032601</v>
      </c>
      <c r="BQ20" s="162"/>
      <c r="BR20" s="162">
        <f t="shared" si="57"/>
        <v>0.23999999999999996</v>
      </c>
      <c r="BS20" s="162">
        <f t="shared" si="58"/>
        <v>0.23999999999999996</v>
      </c>
      <c r="BT20" s="162">
        <f t="shared" si="10"/>
        <v>1.8940947203032601</v>
      </c>
      <c r="BU20" s="171">
        <f t="shared" si="59"/>
        <v>1.8940947203032601</v>
      </c>
      <c r="BV20" s="162"/>
      <c r="BW20" s="162">
        <f t="shared" si="60"/>
        <v>0.23999999999999996</v>
      </c>
      <c r="BX20" s="170">
        <f t="shared" si="61"/>
        <v>0.23999999999999996</v>
      </c>
      <c r="BY20" s="162">
        <f t="shared" si="11"/>
        <v>1.8940947203032601</v>
      </c>
      <c r="BZ20" s="171">
        <f t="shared" si="62"/>
        <v>1.8940947203032601</v>
      </c>
      <c r="CA20" s="162"/>
      <c r="CB20" s="162">
        <f t="shared" si="63"/>
        <v>0.23999999999999996</v>
      </c>
      <c r="CC20" s="170">
        <f t="shared" si="64"/>
        <v>0.23999999999999996</v>
      </c>
      <c r="CD20" s="162">
        <f t="shared" si="12"/>
        <v>1.8940947203032601</v>
      </c>
      <c r="CE20" s="171">
        <f t="shared" si="65"/>
        <v>1.8940947203032601</v>
      </c>
      <c r="CF20" s="162"/>
      <c r="CG20" s="172">
        <f t="shared" si="66"/>
        <v>0.23999999999999996</v>
      </c>
      <c r="CH20" s="172">
        <f t="shared" si="67"/>
        <v>0.23999999999999996</v>
      </c>
      <c r="CI20" s="172">
        <f t="shared" si="13"/>
        <v>1.8940947203032601</v>
      </c>
      <c r="CJ20" s="171">
        <f t="shared" si="68"/>
        <v>1.8940947203032601</v>
      </c>
      <c r="CK20" s="172"/>
      <c r="CL20" s="162">
        <f t="shared" si="69"/>
        <v>0.23999999999999996</v>
      </c>
      <c r="CM20" s="170">
        <f t="shared" si="70"/>
        <v>0.23999999999999996</v>
      </c>
      <c r="CN20" s="162">
        <f t="shared" si="14"/>
        <v>1.8940947203032601</v>
      </c>
      <c r="CO20" s="171">
        <f t="shared" si="71"/>
        <v>1.8940947203032601</v>
      </c>
      <c r="CP20" s="162"/>
      <c r="CQ20" s="162">
        <f t="shared" si="72"/>
        <v>0.23999999999999996</v>
      </c>
      <c r="CR20" s="170">
        <f t="shared" si="73"/>
        <v>0.23999999999999996</v>
      </c>
      <c r="CS20" s="162">
        <f t="shared" si="15"/>
        <v>1.8940947203032601</v>
      </c>
      <c r="CT20" s="171">
        <f t="shared" si="74"/>
        <v>1.8940947203032601</v>
      </c>
      <c r="CU20" s="162"/>
      <c r="CV20" s="162">
        <f t="shared" si="75"/>
        <v>0.23999999999999996</v>
      </c>
      <c r="CW20" s="162">
        <f t="shared" si="76"/>
        <v>0.23999999999999996</v>
      </c>
      <c r="CX20" s="162">
        <f t="shared" si="16"/>
        <v>1.8940947203032601</v>
      </c>
      <c r="CY20" s="171">
        <f t="shared" si="77"/>
        <v>1.8940947203032601</v>
      </c>
      <c r="CZ20" s="162"/>
      <c r="DA20" s="162">
        <f t="shared" si="78"/>
        <v>0.23999999999999996</v>
      </c>
      <c r="DB20" s="170">
        <f t="shared" si="79"/>
        <v>0.23999999999999996</v>
      </c>
      <c r="DC20" s="162">
        <f t="shared" si="17"/>
        <v>1.8940947203032601</v>
      </c>
      <c r="DD20" s="171">
        <f t="shared" si="80"/>
        <v>1.8940947203032601</v>
      </c>
      <c r="DE20" s="162"/>
      <c r="DF20" s="162">
        <f t="shared" si="81"/>
        <v>0.23999999999999996</v>
      </c>
      <c r="DG20" s="170">
        <f t="shared" si="82"/>
        <v>0.23999999999999996</v>
      </c>
      <c r="DH20" s="162">
        <f t="shared" si="18"/>
        <v>1.8940947203032601</v>
      </c>
      <c r="DI20" s="171">
        <f t="shared" si="83"/>
        <v>1.8940947203032601</v>
      </c>
      <c r="DJ20" s="162"/>
      <c r="DK20" s="162">
        <f t="shared" si="84"/>
        <v>0.23999999999999996</v>
      </c>
      <c r="DL20" s="162">
        <f t="shared" si="85"/>
        <v>0.23999999999999996</v>
      </c>
      <c r="DM20" s="162">
        <f t="shared" si="19"/>
        <v>1.8940947203032601</v>
      </c>
      <c r="DN20" s="171">
        <f t="shared" si="86"/>
        <v>1.8940947203032601</v>
      </c>
      <c r="DO20" s="162"/>
      <c r="DP20" s="162">
        <f t="shared" si="87"/>
        <v>0.23999999999999996</v>
      </c>
      <c r="DQ20" s="170">
        <f t="shared" si="88"/>
        <v>0.23999999999999996</v>
      </c>
      <c r="DR20" s="162">
        <f t="shared" si="20"/>
        <v>1.8940947203032601</v>
      </c>
      <c r="DS20" s="171">
        <f t="shared" si="89"/>
        <v>1.8940947203032601</v>
      </c>
      <c r="DT20" s="162"/>
      <c r="DU20" s="162">
        <f t="shared" si="90"/>
        <v>0.23999999999999996</v>
      </c>
      <c r="DV20" s="170">
        <f t="shared" si="91"/>
        <v>0.23999999999999996</v>
      </c>
      <c r="DW20" s="162">
        <f t="shared" si="21"/>
        <v>1.8940947203032601</v>
      </c>
      <c r="DX20" s="171">
        <f t="shared" si="92"/>
        <v>1.8940947203032601</v>
      </c>
      <c r="DY20" s="162"/>
      <c r="DZ20" s="162">
        <f t="shared" si="93"/>
        <v>0.23999999999999996</v>
      </c>
      <c r="EA20" s="162">
        <f t="shared" si="94"/>
        <v>0.23999999999999996</v>
      </c>
      <c r="EB20" s="162">
        <f t="shared" si="22"/>
        <v>1.8940947203032601</v>
      </c>
      <c r="EC20" s="171">
        <f t="shared" si="95"/>
        <v>1.8940947203032601</v>
      </c>
      <c r="ED20" s="162"/>
      <c r="EE20" s="162">
        <f t="shared" si="96"/>
        <v>0.23999999999999996</v>
      </c>
      <c r="EF20" s="170">
        <f t="shared" si="97"/>
        <v>0.23999999999999996</v>
      </c>
      <c r="EG20" s="162">
        <f t="shared" si="23"/>
        <v>1.8940947203032601</v>
      </c>
      <c r="EH20" s="171">
        <f t="shared" si="98"/>
        <v>1.8940947203032601</v>
      </c>
      <c r="EI20" s="162"/>
      <c r="EJ20" s="162">
        <f t="shared" si="99"/>
        <v>0.23999999999999996</v>
      </c>
      <c r="EK20" s="170">
        <f t="shared" si="100"/>
        <v>0.23999999999999996</v>
      </c>
      <c r="EL20" s="162">
        <f t="shared" si="24"/>
        <v>1.8940947203032601</v>
      </c>
      <c r="EM20" s="171">
        <f t="shared" si="101"/>
        <v>1.8940947203032601</v>
      </c>
      <c r="EN20" s="162"/>
      <c r="EO20" s="162">
        <f t="shared" si="102"/>
        <v>0.23999999999999996</v>
      </c>
      <c r="EP20" s="162">
        <f t="shared" si="103"/>
        <v>0.23999999999999996</v>
      </c>
      <c r="EQ20" s="162">
        <f t="shared" si="25"/>
        <v>1.8940947203032601</v>
      </c>
      <c r="ER20" s="171">
        <f t="shared" si="104"/>
        <v>1.8940947203032601</v>
      </c>
      <c r="ES20" s="162"/>
      <c r="ET20" s="162">
        <f t="shared" si="105"/>
        <v>0.23999999999999996</v>
      </c>
      <c r="EU20" s="170">
        <f t="shared" si="106"/>
        <v>0.23999999999999996</v>
      </c>
      <c r="EV20" s="162">
        <f t="shared" si="26"/>
        <v>1.8940947203032601</v>
      </c>
      <c r="EW20" s="171">
        <f t="shared" si="107"/>
        <v>1.8940947203032601</v>
      </c>
      <c r="EX20" s="162"/>
    </row>
    <row r="21" spans="3:154" s="181" customFormat="1" x14ac:dyDescent="0.25">
      <c r="C21" s="167" t="s">
        <v>349</v>
      </c>
      <c r="D21" s="179" t="str">
        <f>IF(MAX(T114:AT114)=MIN(T114:AT114), "----", TEXT(MAX(T114:AT114), "0°") &amp; " – " &amp; TEXT(MIN(T114:AT114), "0°"))</f>
        <v>----</v>
      </c>
      <c r="E21" s="160"/>
      <c r="F21" s="167" t="s">
        <v>349</v>
      </c>
      <c r="G21" s="183" t="str">
        <f>IF(MAX(T120:AT120)=MIN(T120:AT120), "----", TEXT(MAX(T120:AT120), "0°") &amp; " – " &amp; TEXT(MIN(T120:AT120), "0°"))</f>
        <v>----</v>
      </c>
      <c r="H21" s="160"/>
      <c r="I21" s="160"/>
      <c r="J21" s="160"/>
      <c r="K21" s="160"/>
      <c r="L21" s="160"/>
      <c r="M21" s="160"/>
      <c r="N21" s="160"/>
      <c r="O21" s="160"/>
      <c r="P21" s="160"/>
      <c r="Q21" s="160"/>
      <c r="R21" s="160"/>
      <c r="S21" s="160"/>
      <c r="T21" s="162">
        <f t="shared" si="27"/>
        <v>0.25999999999999995</v>
      </c>
      <c r="U21" s="170">
        <f t="shared" si="28"/>
        <v>0.25999999999999995</v>
      </c>
      <c r="V21" s="162">
        <f t="shared" si="0"/>
        <v>2.017663947597526</v>
      </c>
      <c r="W21" s="171">
        <f t="shared" si="29"/>
        <v>2.017663947597526</v>
      </c>
      <c r="X21" s="162"/>
      <c r="Y21" s="162">
        <f t="shared" si="30"/>
        <v>0.25999999999999995</v>
      </c>
      <c r="Z21" s="162">
        <f t="shared" si="31"/>
        <v>0.25999999999999995</v>
      </c>
      <c r="AA21" s="162">
        <f t="shared" si="1"/>
        <v>2.017663947597526</v>
      </c>
      <c r="AB21" s="171">
        <f t="shared" si="32"/>
        <v>2.017663947597526</v>
      </c>
      <c r="AC21" s="162"/>
      <c r="AD21" s="162">
        <f t="shared" si="33"/>
        <v>0.25999999999999995</v>
      </c>
      <c r="AE21" s="170">
        <f t="shared" si="34"/>
        <v>0.25999999999999995</v>
      </c>
      <c r="AF21" s="162">
        <f t="shared" si="2"/>
        <v>2.017663947597526</v>
      </c>
      <c r="AG21" s="171">
        <f t="shared" si="35"/>
        <v>2.017663947597526</v>
      </c>
      <c r="AH21" s="162"/>
      <c r="AI21" s="162">
        <f t="shared" si="36"/>
        <v>0.25999999999999995</v>
      </c>
      <c r="AJ21" s="170">
        <f t="shared" si="37"/>
        <v>0.25999999999999995</v>
      </c>
      <c r="AK21" s="162">
        <f t="shared" si="3"/>
        <v>2.017663947597526</v>
      </c>
      <c r="AL21" s="171">
        <f t="shared" si="38"/>
        <v>2.017663947597526</v>
      </c>
      <c r="AM21" s="162"/>
      <c r="AN21" s="162">
        <f t="shared" si="39"/>
        <v>0.25999999999999995</v>
      </c>
      <c r="AO21" s="162">
        <f t="shared" si="40"/>
        <v>0.25999999999999995</v>
      </c>
      <c r="AP21" s="162">
        <f t="shared" si="4"/>
        <v>2.017663947597526</v>
      </c>
      <c r="AQ21" s="171">
        <f t="shared" si="41"/>
        <v>2.017663947597526</v>
      </c>
      <c r="AR21" s="162"/>
      <c r="AS21" s="162">
        <f t="shared" si="42"/>
        <v>0.25999999999999995</v>
      </c>
      <c r="AT21" s="170">
        <f t="shared" si="43"/>
        <v>0.25999999999999995</v>
      </c>
      <c r="AU21" s="162">
        <f t="shared" si="5"/>
        <v>2.017663947597526</v>
      </c>
      <c r="AV21" s="171">
        <f t="shared" si="44"/>
        <v>2.017663947597526</v>
      </c>
      <c r="AW21" s="162"/>
      <c r="AX21" s="162">
        <f t="shared" si="45"/>
        <v>0.25999999999999995</v>
      </c>
      <c r="AY21" s="170">
        <f t="shared" si="46"/>
        <v>0.25999999999999995</v>
      </c>
      <c r="AZ21" s="162">
        <f t="shared" si="6"/>
        <v>2.017663947597526</v>
      </c>
      <c r="BA21" s="171">
        <f t="shared" si="47"/>
        <v>2.017663947597526</v>
      </c>
      <c r="BB21" s="162"/>
      <c r="BC21" s="162">
        <f t="shared" si="48"/>
        <v>0.25999999999999995</v>
      </c>
      <c r="BD21" s="162">
        <f t="shared" si="49"/>
        <v>0.25999999999999995</v>
      </c>
      <c r="BE21" s="162">
        <f t="shared" si="7"/>
        <v>2.017663947597526</v>
      </c>
      <c r="BF21" s="171">
        <f t="shared" si="50"/>
        <v>2.017663947597526</v>
      </c>
      <c r="BG21" s="162"/>
      <c r="BH21" s="162">
        <f t="shared" si="51"/>
        <v>0.25999999999999995</v>
      </c>
      <c r="BI21" s="170">
        <f t="shared" si="52"/>
        <v>0.25999999999999995</v>
      </c>
      <c r="BJ21" s="162">
        <f t="shared" si="8"/>
        <v>2.017663947597526</v>
      </c>
      <c r="BK21" s="171">
        <f t="shared" si="53"/>
        <v>2.017663947597526</v>
      </c>
      <c r="BL21" s="162"/>
      <c r="BM21" s="162">
        <f t="shared" si="54"/>
        <v>0.25999999999999995</v>
      </c>
      <c r="BN21" s="170">
        <f t="shared" si="55"/>
        <v>0.25999999999999995</v>
      </c>
      <c r="BO21" s="162">
        <f t="shared" si="9"/>
        <v>2.017663947597526</v>
      </c>
      <c r="BP21" s="171">
        <f t="shared" si="56"/>
        <v>2.017663947597526</v>
      </c>
      <c r="BQ21" s="162"/>
      <c r="BR21" s="162">
        <f t="shared" si="57"/>
        <v>0.25999999999999995</v>
      </c>
      <c r="BS21" s="162">
        <f t="shared" si="58"/>
        <v>0.25999999999999995</v>
      </c>
      <c r="BT21" s="162">
        <f t="shared" si="10"/>
        <v>2.017663947597526</v>
      </c>
      <c r="BU21" s="171">
        <f t="shared" si="59"/>
        <v>2.017663947597526</v>
      </c>
      <c r="BV21" s="162"/>
      <c r="BW21" s="162">
        <f t="shared" si="60"/>
        <v>0.25999999999999995</v>
      </c>
      <c r="BX21" s="170">
        <f t="shared" si="61"/>
        <v>0.25999999999999995</v>
      </c>
      <c r="BY21" s="162">
        <f t="shared" si="11"/>
        <v>2.017663947597526</v>
      </c>
      <c r="BZ21" s="171">
        <f t="shared" si="62"/>
        <v>2.017663947597526</v>
      </c>
      <c r="CA21" s="162"/>
      <c r="CB21" s="162">
        <f t="shared" si="63"/>
        <v>0.25999999999999995</v>
      </c>
      <c r="CC21" s="170">
        <f t="shared" si="64"/>
        <v>0.25999999999999995</v>
      </c>
      <c r="CD21" s="162">
        <f t="shared" si="12"/>
        <v>2.017663947597526</v>
      </c>
      <c r="CE21" s="171">
        <f t="shared" si="65"/>
        <v>2.017663947597526</v>
      </c>
      <c r="CF21" s="162"/>
      <c r="CG21" s="172">
        <f t="shared" si="66"/>
        <v>0.25999999999999995</v>
      </c>
      <c r="CH21" s="172">
        <f t="shared" si="67"/>
        <v>0.25999999999999995</v>
      </c>
      <c r="CI21" s="172">
        <f t="shared" si="13"/>
        <v>2.017663947597526</v>
      </c>
      <c r="CJ21" s="171">
        <f t="shared" si="68"/>
        <v>2.017663947597526</v>
      </c>
      <c r="CK21" s="172"/>
      <c r="CL21" s="162">
        <f t="shared" si="69"/>
        <v>0.25999999999999995</v>
      </c>
      <c r="CM21" s="170">
        <f t="shared" si="70"/>
        <v>0.25999999999999995</v>
      </c>
      <c r="CN21" s="162">
        <f t="shared" si="14"/>
        <v>2.017663947597526</v>
      </c>
      <c r="CO21" s="171">
        <f t="shared" si="71"/>
        <v>2.017663947597526</v>
      </c>
      <c r="CP21" s="162"/>
      <c r="CQ21" s="162">
        <f t="shared" si="72"/>
        <v>0.25999999999999995</v>
      </c>
      <c r="CR21" s="170">
        <f t="shared" si="73"/>
        <v>0.25999999999999995</v>
      </c>
      <c r="CS21" s="162">
        <f t="shared" si="15"/>
        <v>2.017663947597526</v>
      </c>
      <c r="CT21" s="171">
        <f t="shared" si="74"/>
        <v>2.017663947597526</v>
      </c>
      <c r="CU21" s="162"/>
      <c r="CV21" s="162">
        <f t="shared" si="75"/>
        <v>0.25999999999999995</v>
      </c>
      <c r="CW21" s="162">
        <f t="shared" si="76"/>
        <v>0.25999999999999995</v>
      </c>
      <c r="CX21" s="162">
        <f t="shared" si="16"/>
        <v>2.017663947597526</v>
      </c>
      <c r="CY21" s="171">
        <f t="shared" si="77"/>
        <v>2.017663947597526</v>
      </c>
      <c r="CZ21" s="162"/>
      <c r="DA21" s="162">
        <f t="shared" si="78"/>
        <v>0.25999999999999995</v>
      </c>
      <c r="DB21" s="170">
        <f t="shared" si="79"/>
        <v>0.25999999999999995</v>
      </c>
      <c r="DC21" s="162">
        <f t="shared" si="17"/>
        <v>2.017663947597526</v>
      </c>
      <c r="DD21" s="171">
        <f t="shared" si="80"/>
        <v>2.017663947597526</v>
      </c>
      <c r="DE21" s="162"/>
      <c r="DF21" s="162">
        <f t="shared" si="81"/>
        <v>0.25999999999999995</v>
      </c>
      <c r="DG21" s="170">
        <f t="shared" si="82"/>
        <v>0.25999999999999995</v>
      </c>
      <c r="DH21" s="162">
        <f t="shared" si="18"/>
        <v>2.017663947597526</v>
      </c>
      <c r="DI21" s="171">
        <f t="shared" si="83"/>
        <v>2.017663947597526</v>
      </c>
      <c r="DJ21" s="162"/>
      <c r="DK21" s="162">
        <f t="shared" si="84"/>
        <v>0.25999999999999995</v>
      </c>
      <c r="DL21" s="162">
        <f t="shared" si="85"/>
        <v>0.25999999999999995</v>
      </c>
      <c r="DM21" s="162">
        <f t="shared" si="19"/>
        <v>2.017663947597526</v>
      </c>
      <c r="DN21" s="171">
        <f t="shared" si="86"/>
        <v>2.017663947597526</v>
      </c>
      <c r="DO21" s="162"/>
      <c r="DP21" s="162">
        <f t="shared" si="87"/>
        <v>0.25999999999999995</v>
      </c>
      <c r="DQ21" s="170">
        <f t="shared" si="88"/>
        <v>0.25999999999999995</v>
      </c>
      <c r="DR21" s="162">
        <f t="shared" si="20"/>
        <v>2.017663947597526</v>
      </c>
      <c r="DS21" s="171">
        <f t="shared" si="89"/>
        <v>2.017663947597526</v>
      </c>
      <c r="DT21" s="162"/>
      <c r="DU21" s="162">
        <f t="shared" si="90"/>
        <v>0.25999999999999995</v>
      </c>
      <c r="DV21" s="170">
        <f t="shared" si="91"/>
        <v>0.25999999999999995</v>
      </c>
      <c r="DW21" s="162">
        <f t="shared" si="21"/>
        <v>2.017663947597526</v>
      </c>
      <c r="DX21" s="171">
        <f t="shared" si="92"/>
        <v>2.017663947597526</v>
      </c>
      <c r="DY21" s="162"/>
      <c r="DZ21" s="162">
        <f t="shared" si="93"/>
        <v>0.25999999999999995</v>
      </c>
      <c r="EA21" s="162">
        <f t="shared" si="94"/>
        <v>0.25999999999999995</v>
      </c>
      <c r="EB21" s="162">
        <f t="shared" si="22"/>
        <v>2.017663947597526</v>
      </c>
      <c r="EC21" s="171">
        <f t="shared" si="95"/>
        <v>2.017663947597526</v>
      </c>
      <c r="ED21" s="162"/>
      <c r="EE21" s="162">
        <f t="shared" si="96"/>
        <v>0.25999999999999995</v>
      </c>
      <c r="EF21" s="170">
        <f t="shared" si="97"/>
        <v>0.25999999999999995</v>
      </c>
      <c r="EG21" s="162">
        <f t="shared" si="23"/>
        <v>2.017663947597526</v>
      </c>
      <c r="EH21" s="171">
        <f t="shared" si="98"/>
        <v>2.017663947597526</v>
      </c>
      <c r="EI21" s="162"/>
      <c r="EJ21" s="162">
        <f t="shared" si="99"/>
        <v>0.25999999999999995</v>
      </c>
      <c r="EK21" s="170">
        <f t="shared" si="100"/>
        <v>0.25999999999999995</v>
      </c>
      <c r="EL21" s="162">
        <f t="shared" si="24"/>
        <v>2.017663947597526</v>
      </c>
      <c r="EM21" s="171">
        <f t="shared" si="101"/>
        <v>2.017663947597526</v>
      </c>
      <c r="EN21" s="162"/>
      <c r="EO21" s="162">
        <f t="shared" si="102"/>
        <v>0.25999999999999995</v>
      </c>
      <c r="EP21" s="162">
        <f t="shared" si="103"/>
        <v>0.25999999999999995</v>
      </c>
      <c r="EQ21" s="162">
        <f t="shared" si="25"/>
        <v>2.017663947597526</v>
      </c>
      <c r="ER21" s="171">
        <f t="shared" si="104"/>
        <v>2.017663947597526</v>
      </c>
      <c r="ES21" s="162"/>
      <c r="ET21" s="162">
        <f t="shared" si="105"/>
        <v>0.25999999999999995</v>
      </c>
      <c r="EU21" s="170">
        <f t="shared" si="106"/>
        <v>0.25999999999999995</v>
      </c>
      <c r="EV21" s="162">
        <f t="shared" si="26"/>
        <v>2.017663947597526</v>
      </c>
      <c r="EW21" s="171">
        <f t="shared" si="107"/>
        <v>2.017663947597526</v>
      </c>
      <c r="EX21" s="162"/>
    </row>
    <row r="22" spans="3:154" s="181" customFormat="1" ht="15" customHeight="1" x14ac:dyDescent="0.25">
      <c r="H22" s="160"/>
      <c r="I22" s="160"/>
      <c r="J22" s="160"/>
      <c r="K22" s="160"/>
      <c r="L22" s="160"/>
      <c r="M22" s="160"/>
      <c r="N22" s="160"/>
      <c r="O22" s="160"/>
      <c r="P22" s="160"/>
      <c r="Q22" s="160"/>
      <c r="R22" s="160"/>
      <c r="S22" s="160"/>
      <c r="T22" s="162">
        <f t="shared" si="27"/>
        <v>0.27999999999999997</v>
      </c>
      <c r="U22" s="170">
        <f t="shared" si="28"/>
        <v>0.27999999999999997</v>
      </c>
      <c r="V22" s="162">
        <f t="shared" si="0"/>
        <v>2.1385246621639449</v>
      </c>
      <c r="W22" s="171">
        <f t="shared" si="29"/>
        <v>2.1385246621639449</v>
      </c>
      <c r="X22" s="162"/>
      <c r="Y22" s="162">
        <f t="shared" si="30"/>
        <v>0.27999999999999997</v>
      </c>
      <c r="Z22" s="162">
        <f t="shared" si="31"/>
        <v>0.27999999999999997</v>
      </c>
      <c r="AA22" s="162">
        <f t="shared" si="1"/>
        <v>2.1385246621639449</v>
      </c>
      <c r="AB22" s="171">
        <f t="shared" si="32"/>
        <v>2.1385246621639449</v>
      </c>
      <c r="AC22" s="162"/>
      <c r="AD22" s="162">
        <f t="shared" si="33"/>
        <v>0.27999999999999997</v>
      </c>
      <c r="AE22" s="170">
        <f t="shared" si="34"/>
        <v>0.27999999999999997</v>
      </c>
      <c r="AF22" s="162">
        <f t="shared" si="2"/>
        <v>2.1385246621639449</v>
      </c>
      <c r="AG22" s="171">
        <f t="shared" si="35"/>
        <v>2.1385246621639449</v>
      </c>
      <c r="AH22" s="162"/>
      <c r="AI22" s="162">
        <f t="shared" si="36"/>
        <v>0.27999999999999997</v>
      </c>
      <c r="AJ22" s="170">
        <f t="shared" si="37"/>
        <v>0.27999999999999997</v>
      </c>
      <c r="AK22" s="162">
        <f t="shared" si="3"/>
        <v>2.1385246621639449</v>
      </c>
      <c r="AL22" s="171">
        <f t="shared" si="38"/>
        <v>2.1385246621639449</v>
      </c>
      <c r="AM22" s="162"/>
      <c r="AN22" s="162">
        <f t="shared" si="39"/>
        <v>0.27999999999999997</v>
      </c>
      <c r="AO22" s="162">
        <f t="shared" si="40"/>
        <v>0.27999999999999997</v>
      </c>
      <c r="AP22" s="162">
        <f t="shared" si="4"/>
        <v>2.1385246621639449</v>
      </c>
      <c r="AQ22" s="171">
        <f t="shared" si="41"/>
        <v>2.1385246621639449</v>
      </c>
      <c r="AR22" s="162"/>
      <c r="AS22" s="162">
        <f t="shared" si="42"/>
        <v>0.27999999999999997</v>
      </c>
      <c r="AT22" s="170">
        <f t="shared" si="43"/>
        <v>0.27999999999999997</v>
      </c>
      <c r="AU22" s="162">
        <f t="shared" si="5"/>
        <v>2.1385246621639449</v>
      </c>
      <c r="AV22" s="171">
        <f t="shared" si="44"/>
        <v>2.1385246621639449</v>
      </c>
      <c r="AW22" s="162"/>
      <c r="AX22" s="162">
        <f t="shared" si="45"/>
        <v>0.27999999999999997</v>
      </c>
      <c r="AY22" s="170">
        <f t="shared" si="46"/>
        <v>0.27999999999999997</v>
      </c>
      <c r="AZ22" s="162">
        <f t="shared" si="6"/>
        <v>2.1385246621639449</v>
      </c>
      <c r="BA22" s="171">
        <f t="shared" si="47"/>
        <v>2.1385246621639449</v>
      </c>
      <c r="BB22" s="162"/>
      <c r="BC22" s="162">
        <f t="shared" si="48"/>
        <v>0.27999999999999997</v>
      </c>
      <c r="BD22" s="162">
        <f t="shared" si="49"/>
        <v>0.27999999999999997</v>
      </c>
      <c r="BE22" s="162">
        <f t="shared" si="7"/>
        <v>2.1385246621639449</v>
      </c>
      <c r="BF22" s="171">
        <f t="shared" si="50"/>
        <v>2.1385246621639449</v>
      </c>
      <c r="BG22" s="162"/>
      <c r="BH22" s="162">
        <f t="shared" si="51"/>
        <v>0.27999999999999997</v>
      </c>
      <c r="BI22" s="170">
        <f t="shared" si="52"/>
        <v>0.27999999999999997</v>
      </c>
      <c r="BJ22" s="162">
        <f t="shared" si="8"/>
        <v>2.1385246621639449</v>
      </c>
      <c r="BK22" s="171">
        <f t="shared" si="53"/>
        <v>2.1385246621639449</v>
      </c>
      <c r="BL22" s="162"/>
      <c r="BM22" s="162">
        <f t="shared" si="54"/>
        <v>0.27999999999999997</v>
      </c>
      <c r="BN22" s="170">
        <f t="shared" si="55"/>
        <v>0.27999999999999997</v>
      </c>
      <c r="BO22" s="162">
        <f t="shared" si="9"/>
        <v>2.1385246621639449</v>
      </c>
      <c r="BP22" s="171">
        <f t="shared" si="56"/>
        <v>2.1385246621639449</v>
      </c>
      <c r="BQ22" s="162"/>
      <c r="BR22" s="162">
        <f t="shared" si="57"/>
        <v>0.27999999999999997</v>
      </c>
      <c r="BS22" s="162">
        <f t="shared" si="58"/>
        <v>0.27999999999999997</v>
      </c>
      <c r="BT22" s="162">
        <f t="shared" si="10"/>
        <v>2.1385246621639449</v>
      </c>
      <c r="BU22" s="171">
        <f t="shared" si="59"/>
        <v>2.1385246621639449</v>
      </c>
      <c r="BV22" s="162"/>
      <c r="BW22" s="162">
        <f t="shared" si="60"/>
        <v>0.27999999999999997</v>
      </c>
      <c r="BX22" s="170">
        <f t="shared" si="61"/>
        <v>0.27999999999999997</v>
      </c>
      <c r="BY22" s="162">
        <f t="shared" si="11"/>
        <v>2.1385246621639449</v>
      </c>
      <c r="BZ22" s="171">
        <f t="shared" si="62"/>
        <v>2.1385246621639449</v>
      </c>
      <c r="CA22" s="162"/>
      <c r="CB22" s="162">
        <f t="shared" si="63"/>
        <v>0.27999999999999997</v>
      </c>
      <c r="CC22" s="170">
        <f t="shared" si="64"/>
        <v>0.27999999999999997</v>
      </c>
      <c r="CD22" s="162">
        <f t="shared" si="12"/>
        <v>2.1385246621639449</v>
      </c>
      <c r="CE22" s="171">
        <f t="shared" si="65"/>
        <v>2.1385246621639449</v>
      </c>
      <c r="CF22" s="162"/>
      <c r="CG22" s="172">
        <f t="shared" si="66"/>
        <v>0.27999999999999997</v>
      </c>
      <c r="CH22" s="172">
        <f t="shared" si="67"/>
        <v>0.27999999999999997</v>
      </c>
      <c r="CI22" s="172">
        <f t="shared" si="13"/>
        <v>2.1385246621639449</v>
      </c>
      <c r="CJ22" s="171">
        <f t="shared" si="68"/>
        <v>2.1385246621639449</v>
      </c>
      <c r="CK22" s="172"/>
      <c r="CL22" s="162">
        <f t="shared" si="69"/>
        <v>0.27999999999999997</v>
      </c>
      <c r="CM22" s="170">
        <f t="shared" si="70"/>
        <v>0.27999999999999997</v>
      </c>
      <c r="CN22" s="162">
        <f t="shared" si="14"/>
        <v>2.1385246621639449</v>
      </c>
      <c r="CO22" s="171">
        <f t="shared" si="71"/>
        <v>2.1385246621639449</v>
      </c>
      <c r="CP22" s="162"/>
      <c r="CQ22" s="162">
        <f t="shared" si="72"/>
        <v>0.27999999999999997</v>
      </c>
      <c r="CR22" s="170">
        <f t="shared" si="73"/>
        <v>0.27999999999999997</v>
      </c>
      <c r="CS22" s="162">
        <f t="shared" si="15"/>
        <v>2.1385246621639449</v>
      </c>
      <c r="CT22" s="171">
        <f t="shared" si="74"/>
        <v>2.1385246621639449</v>
      </c>
      <c r="CU22" s="162"/>
      <c r="CV22" s="162">
        <f t="shared" si="75"/>
        <v>0.27999999999999997</v>
      </c>
      <c r="CW22" s="162">
        <f t="shared" si="76"/>
        <v>0.27999999999999997</v>
      </c>
      <c r="CX22" s="162">
        <f t="shared" si="16"/>
        <v>2.1385246621639449</v>
      </c>
      <c r="CY22" s="171">
        <f t="shared" si="77"/>
        <v>2.1385246621639449</v>
      </c>
      <c r="CZ22" s="162"/>
      <c r="DA22" s="162">
        <f t="shared" si="78"/>
        <v>0.27999999999999997</v>
      </c>
      <c r="DB22" s="170">
        <f t="shared" si="79"/>
        <v>0.27999999999999997</v>
      </c>
      <c r="DC22" s="162">
        <f t="shared" si="17"/>
        <v>2.1385246621639449</v>
      </c>
      <c r="DD22" s="171">
        <f t="shared" si="80"/>
        <v>2.1385246621639449</v>
      </c>
      <c r="DE22" s="162"/>
      <c r="DF22" s="162">
        <f t="shared" si="81"/>
        <v>0.27999999999999997</v>
      </c>
      <c r="DG22" s="170">
        <f t="shared" si="82"/>
        <v>0.27999999999999997</v>
      </c>
      <c r="DH22" s="162">
        <f t="shared" si="18"/>
        <v>2.1385246621639449</v>
      </c>
      <c r="DI22" s="171">
        <f t="shared" si="83"/>
        <v>2.1385246621639449</v>
      </c>
      <c r="DJ22" s="162"/>
      <c r="DK22" s="162">
        <f t="shared" si="84"/>
        <v>0.27999999999999997</v>
      </c>
      <c r="DL22" s="162">
        <f t="shared" si="85"/>
        <v>0.27999999999999997</v>
      </c>
      <c r="DM22" s="162">
        <f t="shared" si="19"/>
        <v>2.1385246621639449</v>
      </c>
      <c r="DN22" s="171">
        <f t="shared" si="86"/>
        <v>2.1385246621639449</v>
      </c>
      <c r="DO22" s="162"/>
      <c r="DP22" s="162">
        <f t="shared" si="87"/>
        <v>0.27999999999999997</v>
      </c>
      <c r="DQ22" s="170">
        <f t="shared" si="88"/>
        <v>0.27999999999999997</v>
      </c>
      <c r="DR22" s="162">
        <f t="shared" si="20"/>
        <v>2.1385246621639449</v>
      </c>
      <c r="DS22" s="171">
        <f t="shared" si="89"/>
        <v>2.1385246621639449</v>
      </c>
      <c r="DT22" s="162"/>
      <c r="DU22" s="162">
        <f t="shared" si="90"/>
        <v>0.27999999999999997</v>
      </c>
      <c r="DV22" s="170">
        <f t="shared" si="91"/>
        <v>0.27999999999999997</v>
      </c>
      <c r="DW22" s="162">
        <f t="shared" si="21"/>
        <v>2.1385246621639449</v>
      </c>
      <c r="DX22" s="171">
        <f t="shared" si="92"/>
        <v>2.1385246621639449</v>
      </c>
      <c r="DY22" s="162"/>
      <c r="DZ22" s="162">
        <f t="shared" si="93"/>
        <v>0.27999999999999997</v>
      </c>
      <c r="EA22" s="162">
        <f t="shared" si="94"/>
        <v>0.27999999999999997</v>
      </c>
      <c r="EB22" s="162">
        <f t="shared" si="22"/>
        <v>2.1385246621639449</v>
      </c>
      <c r="EC22" s="171">
        <f t="shared" si="95"/>
        <v>2.1385246621639449</v>
      </c>
      <c r="ED22" s="162"/>
      <c r="EE22" s="162">
        <f t="shared" si="96"/>
        <v>0.27999999999999997</v>
      </c>
      <c r="EF22" s="170">
        <f t="shared" si="97"/>
        <v>0.27999999999999997</v>
      </c>
      <c r="EG22" s="162">
        <f t="shared" si="23"/>
        <v>2.1385246621639449</v>
      </c>
      <c r="EH22" s="171">
        <f t="shared" si="98"/>
        <v>2.1385246621639449</v>
      </c>
      <c r="EI22" s="162"/>
      <c r="EJ22" s="162">
        <f t="shared" si="99"/>
        <v>0.27999999999999997</v>
      </c>
      <c r="EK22" s="170">
        <f t="shared" si="100"/>
        <v>0.27999999999999997</v>
      </c>
      <c r="EL22" s="162">
        <f t="shared" si="24"/>
        <v>2.1385246621639449</v>
      </c>
      <c r="EM22" s="171">
        <f t="shared" si="101"/>
        <v>2.1385246621639449</v>
      </c>
      <c r="EN22" s="162"/>
      <c r="EO22" s="162">
        <f t="shared" si="102"/>
        <v>0.27999999999999997</v>
      </c>
      <c r="EP22" s="162">
        <f t="shared" si="103"/>
        <v>0.27999999999999997</v>
      </c>
      <c r="EQ22" s="162">
        <f t="shared" si="25"/>
        <v>2.1385246621639449</v>
      </c>
      <c r="ER22" s="171">
        <f t="shared" si="104"/>
        <v>2.1385246621639449</v>
      </c>
      <c r="ES22" s="162"/>
      <c r="ET22" s="162">
        <f t="shared" si="105"/>
        <v>0.27999999999999997</v>
      </c>
      <c r="EU22" s="170">
        <f t="shared" si="106"/>
        <v>0.27999999999999997</v>
      </c>
      <c r="EV22" s="162">
        <f t="shared" si="26"/>
        <v>2.1385246621639449</v>
      </c>
      <c r="EW22" s="171">
        <f t="shared" si="107"/>
        <v>2.1385246621639449</v>
      </c>
      <c r="EX22" s="162"/>
    </row>
    <row r="23" spans="3:154" s="181" customFormat="1" ht="15" customHeight="1" x14ac:dyDescent="0.25">
      <c r="C23" s="223" t="s">
        <v>358</v>
      </c>
      <c r="D23" s="224"/>
      <c r="E23" s="224"/>
      <c r="F23" s="224"/>
      <c r="G23" s="225"/>
      <c r="H23" s="160"/>
      <c r="I23" s="160"/>
      <c r="J23" s="160"/>
      <c r="K23" s="160"/>
      <c r="L23" s="160"/>
      <c r="M23" s="160"/>
      <c r="N23" s="160"/>
      <c r="O23" s="160"/>
      <c r="P23" s="160"/>
      <c r="Q23" s="160"/>
      <c r="R23" s="160"/>
      <c r="S23" s="160"/>
      <c r="T23" s="162">
        <f t="shared" si="27"/>
        <v>0.3</v>
      </c>
      <c r="U23" s="170">
        <f t="shared" si="28"/>
        <v>0.3</v>
      </c>
      <c r="V23" s="162">
        <f t="shared" si="0"/>
        <v>2.2566768640025163</v>
      </c>
      <c r="W23" s="171">
        <f t="shared" si="29"/>
        <v>2.2566768640025163</v>
      </c>
      <c r="X23" s="162"/>
      <c r="Y23" s="162">
        <f t="shared" si="30"/>
        <v>0.3</v>
      </c>
      <c r="Z23" s="162">
        <f t="shared" si="31"/>
        <v>0.3</v>
      </c>
      <c r="AA23" s="162">
        <f t="shared" si="1"/>
        <v>2.2566768640025163</v>
      </c>
      <c r="AB23" s="171">
        <f t="shared" si="32"/>
        <v>2.2566768640025163</v>
      </c>
      <c r="AC23" s="162"/>
      <c r="AD23" s="162">
        <f t="shared" si="33"/>
        <v>0.3</v>
      </c>
      <c r="AE23" s="170">
        <f t="shared" si="34"/>
        <v>0.3</v>
      </c>
      <c r="AF23" s="162">
        <f t="shared" si="2"/>
        <v>2.2566768640025163</v>
      </c>
      <c r="AG23" s="171">
        <f t="shared" si="35"/>
        <v>2.2566768640025163</v>
      </c>
      <c r="AH23" s="162"/>
      <c r="AI23" s="162">
        <f t="shared" si="36"/>
        <v>0.3</v>
      </c>
      <c r="AJ23" s="170">
        <f t="shared" si="37"/>
        <v>0.3</v>
      </c>
      <c r="AK23" s="162">
        <f t="shared" si="3"/>
        <v>2.2566768640025163</v>
      </c>
      <c r="AL23" s="171">
        <f t="shared" si="38"/>
        <v>2.2566768640025163</v>
      </c>
      <c r="AM23" s="162"/>
      <c r="AN23" s="162">
        <f t="shared" si="39"/>
        <v>0.3</v>
      </c>
      <c r="AO23" s="162">
        <f t="shared" si="40"/>
        <v>0.3</v>
      </c>
      <c r="AP23" s="162">
        <f t="shared" si="4"/>
        <v>2.2566768640025163</v>
      </c>
      <c r="AQ23" s="171">
        <f t="shared" si="41"/>
        <v>2.2566768640025163</v>
      </c>
      <c r="AR23" s="162"/>
      <c r="AS23" s="162">
        <f t="shared" si="42"/>
        <v>0.3</v>
      </c>
      <c r="AT23" s="170">
        <f t="shared" si="43"/>
        <v>0.3</v>
      </c>
      <c r="AU23" s="162">
        <f t="shared" si="5"/>
        <v>2.2566768640025163</v>
      </c>
      <c r="AV23" s="171">
        <f t="shared" si="44"/>
        <v>2.2566768640025163</v>
      </c>
      <c r="AW23" s="162"/>
      <c r="AX23" s="162">
        <f t="shared" si="45"/>
        <v>0.3</v>
      </c>
      <c r="AY23" s="170">
        <f t="shared" si="46"/>
        <v>0.3</v>
      </c>
      <c r="AZ23" s="162">
        <f t="shared" si="6"/>
        <v>2.2566768640025163</v>
      </c>
      <c r="BA23" s="171">
        <f t="shared" si="47"/>
        <v>2.2566768640025163</v>
      </c>
      <c r="BB23" s="162"/>
      <c r="BC23" s="162">
        <f t="shared" si="48"/>
        <v>0.3</v>
      </c>
      <c r="BD23" s="162">
        <f t="shared" si="49"/>
        <v>0.3</v>
      </c>
      <c r="BE23" s="162">
        <f t="shared" si="7"/>
        <v>2.2566768640025163</v>
      </c>
      <c r="BF23" s="171">
        <f t="shared" si="50"/>
        <v>2.2566768640025163</v>
      </c>
      <c r="BG23" s="162"/>
      <c r="BH23" s="162">
        <f t="shared" si="51"/>
        <v>0.3</v>
      </c>
      <c r="BI23" s="170">
        <f t="shared" si="52"/>
        <v>0.3</v>
      </c>
      <c r="BJ23" s="162">
        <f t="shared" si="8"/>
        <v>2.2566768640025163</v>
      </c>
      <c r="BK23" s="171">
        <f t="shared" si="53"/>
        <v>2.2566768640025163</v>
      </c>
      <c r="BL23" s="162"/>
      <c r="BM23" s="162">
        <f t="shared" si="54"/>
        <v>0.3</v>
      </c>
      <c r="BN23" s="170">
        <f t="shared" si="55"/>
        <v>0.3</v>
      </c>
      <c r="BO23" s="162">
        <f t="shared" si="9"/>
        <v>2.2566768640025163</v>
      </c>
      <c r="BP23" s="171">
        <f t="shared" si="56"/>
        <v>2.2566768640025163</v>
      </c>
      <c r="BQ23" s="162"/>
      <c r="BR23" s="162">
        <f t="shared" si="57"/>
        <v>0.3</v>
      </c>
      <c r="BS23" s="162">
        <f t="shared" si="58"/>
        <v>0.3</v>
      </c>
      <c r="BT23" s="162">
        <f t="shared" si="10"/>
        <v>2.2566768640025163</v>
      </c>
      <c r="BU23" s="171">
        <f t="shared" si="59"/>
        <v>2.2566768640025163</v>
      </c>
      <c r="BV23" s="162"/>
      <c r="BW23" s="162">
        <f t="shared" si="60"/>
        <v>0.3</v>
      </c>
      <c r="BX23" s="170">
        <f t="shared" si="61"/>
        <v>0.3</v>
      </c>
      <c r="BY23" s="162">
        <f t="shared" si="11"/>
        <v>2.2566768640025163</v>
      </c>
      <c r="BZ23" s="171">
        <f t="shared" si="62"/>
        <v>2.2566768640025163</v>
      </c>
      <c r="CA23" s="162"/>
      <c r="CB23" s="162">
        <f t="shared" si="63"/>
        <v>0.3</v>
      </c>
      <c r="CC23" s="170">
        <f t="shared" si="64"/>
        <v>0.3</v>
      </c>
      <c r="CD23" s="162">
        <f t="shared" si="12"/>
        <v>2.2566768640025163</v>
      </c>
      <c r="CE23" s="171">
        <f t="shared" si="65"/>
        <v>2.2566768640025163</v>
      </c>
      <c r="CF23" s="162"/>
      <c r="CG23" s="172">
        <f t="shared" si="66"/>
        <v>0.3</v>
      </c>
      <c r="CH23" s="172">
        <f t="shared" si="67"/>
        <v>0.3</v>
      </c>
      <c r="CI23" s="172">
        <f t="shared" si="13"/>
        <v>2.2566768640025163</v>
      </c>
      <c r="CJ23" s="171">
        <f t="shared" si="68"/>
        <v>2.2566768640025163</v>
      </c>
      <c r="CK23" s="172"/>
      <c r="CL23" s="162">
        <f t="shared" si="69"/>
        <v>0.3</v>
      </c>
      <c r="CM23" s="170">
        <f t="shared" si="70"/>
        <v>0.3</v>
      </c>
      <c r="CN23" s="162">
        <f t="shared" si="14"/>
        <v>2.2566768640025163</v>
      </c>
      <c r="CO23" s="171">
        <f t="shared" si="71"/>
        <v>2.2566768640025163</v>
      </c>
      <c r="CP23" s="162"/>
      <c r="CQ23" s="162">
        <f t="shared" si="72"/>
        <v>0.3</v>
      </c>
      <c r="CR23" s="170">
        <f t="shared" si="73"/>
        <v>0.3</v>
      </c>
      <c r="CS23" s="162">
        <f t="shared" si="15"/>
        <v>2.2566768640025163</v>
      </c>
      <c r="CT23" s="171">
        <f t="shared" si="74"/>
        <v>2.2566768640025163</v>
      </c>
      <c r="CU23" s="162"/>
      <c r="CV23" s="162">
        <f t="shared" si="75"/>
        <v>0.3</v>
      </c>
      <c r="CW23" s="162">
        <f t="shared" si="76"/>
        <v>0.3</v>
      </c>
      <c r="CX23" s="162">
        <f t="shared" si="16"/>
        <v>2.2566768640025163</v>
      </c>
      <c r="CY23" s="171">
        <f t="shared" si="77"/>
        <v>2.2566768640025163</v>
      </c>
      <c r="CZ23" s="162"/>
      <c r="DA23" s="162">
        <f t="shared" si="78"/>
        <v>0.3</v>
      </c>
      <c r="DB23" s="170">
        <f t="shared" si="79"/>
        <v>0.3</v>
      </c>
      <c r="DC23" s="162">
        <f t="shared" si="17"/>
        <v>2.2566768640025163</v>
      </c>
      <c r="DD23" s="171">
        <f t="shared" si="80"/>
        <v>2.2566768640025163</v>
      </c>
      <c r="DE23" s="162"/>
      <c r="DF23" s="162">
        <f t="shared" si="81"/>
        <v>0.3</v>
      </c>
      <c r="DG23" s="170">
        <f t="shared" si="82"/>
        <v>0.3</v>
      </c>
      <c r="DH23" s="162">
        <f t="shared" si="18"/>
        <v>2.2566768640025163</v>
      </c>
      <c r="DI23" s="171">
        <f t="shared" si="83"/>
        <v>2.2566768640025163</v>
      </c>
      <c r="DJ23" s="162"/>
      <c r="DK23" s="162">
        <f t="shared" si="84"/>
        <v>0.3</v>
      </c>
      <c r="DL23" s="162">
        <f t="shared" si="85"/>
        <v>0.3</v>
      </c>
      <c r="DM23" s="162">
        <f t="shared" si="19"/>
        <v>2.2566768640025163</v>
      </c>
      <c r="DN23" s="171">
        <f t="shared" si="86"/>
        <v>2.2566768640025163</v>
      </c>
      <c r="DO23" s="162"/>
      <c r="DP23" s="162">
        <f t="shared" si="87"/>
        <v>0.3</v>
      </c>
      <c r="DQ23" s="170">
        <f t="shared" si="88"/>
        <v>0.3</v>
      </c>
      <c r="DR23" s="162">
        <f t="shared" si="20"/>
        <v>2.2566768640025163</v>
      </c>
      <c r="DS23" s="171">
        <f t="shared" si="89"/>
        <v>2.2566768640025163</v>
      </c>
      <c r="DT23" s="162"/>
      <c r="DU23" s="162">
        <f t="shared" si="90"/>
        <v>0.3</v>
      </c>
      <c r="DV23" s="170">
        <f t="shared" si="91"/>
        <v>0.3</v>
      </c>
      <c r="DW23" s="162">
        <f t="shared" si="21"/>
        <v>2.2566768640025163</v>
      </c>
      <c r="DX23" s="171">
        <f t="shared" si="92"/>
        <v>2.2566768640025163</v>
      </c>
      <c r="DY23" s="162"/>
      <c r="DZ23" s="162">
        <f t="shared" si="93"/>
        <v>0.3</v>
      </c>
      <c r="EA23" s="162">
        <f t="shared" si="94"/>
        <v>0.3</v>
      </c>
      <c r="EB23" s="162">
        <f t="shared" si="22"/>
        <v>2.2566768640025163</v>
      </c>
      <c r="EC23" s="171">
        <f t="shared" si="95"/>
        <v>2.2566768640025163</v>
      </c>
      <c r="ED23" s="162"/>
      <c r="EE23" s="162">
        <f t="shared" si="96"/>
        <v>0.3</v>
      </c>
      <c r="EF23" s="170">
        <f t="shared" si="97"/>
        <v>0.3</v>
      </c>
      <c r="EG23" s="162">
        <f t="shared" si="23"/>
        <v>2.2566768640025163</v>
      </c>
      <c r="EH23" s="171">
        <f t="shared" si="98"/>
        <v>2.2566768640025163</v>
      </c>
      <c r="EI23" s="162"/>
      <c r="EJ23" s="162">
        <f t="shared" si="99"/>
        <v>0.3</v>
      </c>
      <c r="EK23" s="170">
        <f t="shared" si="100"/>
        <v>0.3</v>
      </c>
      <c r="EL23" s="162">
        <f t="shared" si="24"/>
        <v>2.2566768640025163</v>
      </c>
      <c r="EM23" s="171">
        <f t="shared" si="101"/>
        <v>2.2566768640025163</v>
      </c>
      <c r="EN23" s="162"/>
      <c r="EO23" s="162">
        <f t="shared" si="102"/>
        <v>0.3</v>
      </c>
      <c r="EP23" s="162">
        <f t="shared" si="103"/>
        <v>0.3</v>
      </c>
      <c r="EQ23" s="162">
        <f t="shared" si="25"/>
        <v>2.2566768640025163</v>
      </c>
      <c r="ER23" s="171">
        <f t="shared" si="104"/>
        <v>2.2566768640025163</v>
      </c>
      <c r="ES23" s="162"/>
      <c r="ET23" s="162">
        <f t="shared" si="105"/>
        <v>0.3</v>
      </c>
      <c r="EU23" s="170">
        <f t="shared" si="106"/>
        <v>0.3</v>
      </c>
      <c r="EV23" s="162">
        <f t="shared" si="26"/>
        <v>2.2566768640025163</v>
      </c>
      <c r="EW23" s="171">
        <f t="shared" si="107"/>
        <v>2.2566768640025163</v>
      </c>
      <c r="EX23" s="162"/>
    </row>
    <row r="24" spans="3:154" s="181" customFormat="1" ht="15" customHeight="1" x14ac:dyDescent="0.25">
      <c r="C24" s="226"/>
      <c r="D24" s="227"/>
      <c r="E24" s="227"/>
      <c r="F24" s="227"/>
      <c r="G24" s="228"/>
      <c r="H24" s="160"/>
      <c r="I24" s="160"/>
      <c r="J24" s="160"/>
      <c r="K24" s="160"/>
      <c r="L24" s="160"/>
      <c r="M24" s="160"/>
      <c r="N24" s="160"/>
      <c r="O24" s="160"/>
      <c r="P24" s="160"/>
      <c r="Q24" s="160"/>
      <c r="R24" s="160"/>
      <c r="S24" s="160"/>
      <c r="T24" s="162">
        <f t="shared" si="27"/>
        <v>0.32</v>
      </c>
      <c r="U24" s="170">
        <f t="shared" si="28"/>
        <v>0.32</v>
      </c>
      <c r="V24" s="162">
        <f t="shared" si="0"/>
        <v>2.3721205531132408</v>
      </c>
      <c r="W24" s="171">
        <f t="shared" si="29"/>
        <v>2.3721205531132408</v>
      </c>
      <c r="X24" s="162"/>
      <c r="Y24" s="162">
        <f t="shared" si="30"/>
        <v>0.32</v>
      </c>
      <c r="Z24" s="162">
        <f t="shared" si="31"/>
        <v>0.32</v>
      </c>
      <c r="AA24" s="162">
        <f t="shared" si="1"/>
        <v>2.3721205531132408</v>
      </c>
      <c r="AB24" s="171">
        <f t="shared" si="32"/>
        <v>2.3721205531132408</v>
      </c>
      <c r="AC24" s="162"/>
      <c r="AD24" s="162">
        <f t="shared" si="33"/>
        <v>0.32</v>
      </c>
      <c r="AE24" s="170">
        <f t="shared" si="34"/>
        <v>0.32</v>
      </c>
      <c r="AF24" s="162">
        <f t="shared" si="2"/>
        <v>2.3721205531132408</v>
      </c>
      <c r="AG24" s="171">
        <f t="shared" si="35"/>
        <v>2.3721205531132408</v>
      </c>
      <c r="AH24" s="162"/>
      <c r="AI24" s="162">
        <f t="shared" si="36"/>
        <v>0.32</v>
      </c>
      <c r="AJ24" s="170">
        <f t="shared" si="37"/>
        <v>0.32</v>
      </c>
      <c r="AK24" s="162">
        <f t="shared" si="3"/>
        <v>2.3721205531132408</v>
      </c>
      <c r="AL24" s="171">
        <f t="shared" si="38"/>
        <v>2.3721205531132408</v>
      </c>
      <c r="AM24" s="162"/>
      <c r="AN24" s="162">
        <f t="shared" si="39"/>
        <v>0.32</v>
      </c>
      <c r="AO24" s="162">
        <f t="shared" si="40"/>
        <v>0.32</v>
      </c>
      <c r="AP24" s="162">
        <f t="shared" si="4"/>
        <v>2.3721205531132408</v>
      </c>
      <c r="AQ24" s="171">
        <f t="shared" si="41"/>
        <v>2.3721205531132408</v>
      </c>
      <c r="AR24" s="162"/>
      <c r="AS24" s="162">
        <f t="shared" si="42"/>
        <v>0.32</v>
      </c>
      <c r="AT24" s="170">
        <f t="shared" si="43"/>
        <v>0.32</v>
      </c>
      <c r="AU24" s="162">
        <f t="shared" si="5"/>
        <v>2.3721205531132408</v>
      </c>
      <c r="AV24" s="171">
        <f t="shared" si="44"/>
        <v>2.3721205531132408</v>
      </c>
      <c r="AW24" s="162"/>
      <c r="AX24" s="162">
        <f t="shared" si="45"/>
        <v>0.32</v>
      </c>
      <c r="AY24" s="170">
        <f t="shared" si="46"/>
        <v>0.32</v>
      </c>
      <c r="AZ24" s="162">
        <f t="shared" si="6"/>
        <v>2.3721205531132408</v>
      </c>
      <c r="BA24" s="171">
        <f t="shared" si="47"/>
        <v>2.3721205531132408</v>
      </c>
      <c r="BB24" s="162"/>
      <c r="BC24" s="162">
        <f t="shared" si="48"/>
        <v>0.32</v>
      </c>
      <c r="BD24" s="162">
        <f t="shared" si="49"/>
        <v>0.32</v>
      </c>
      <c r="BE24" s="162">
        <f t="shared" si="7"/>
        <v>2.3721205531132408</v>
      </c>
      <c r="BF24" s="171">
        <f t="shared" si="50"/>
        <v>2.3721205531132408</v>
      </c>
      <c r="BG24" s="162"/>
      <c r="BH24" s="162">
        <f t="shared" si="51"/>
        <v>0.32</v>
      </c>
      <c r="BI24" s="170">
        <f t="shared" si="52"/>
        <v>0.32</v>
      </c>
      <c r="BJ24" s="162">
        <f t="shared" si="8"/>
        <v>2.3721205531132408</v>
      </c>
      <c r="BK24" s="171">
        <f t="shared" si="53"/>
        <v>2.3721205531132408</v>
      </c>
      <c r="BL24" s="162"/>
      <c r="BM24" s="162">
        <f t="shared" si="54"/>
        <v>0.32</v>
      </c>
      <c r="BN24" s="170">
        <f t="shared" si="55"/>
        <v>0.32</v>
      </c>
      <c r="BO24" s="162">
        <f t="shared" si="9"/>
        <v>2.3721205531132408</v>
      </c>
      <c r="BP24" s="171">
        <f t="shared" si="56"/>
        <v>2.3721205531132408</v>
      </c>
      <c r="BQ24" s="162"/>
      <c r="BR24" s="162">
        <f t="shared" si="57"/>
        <v>0.32</v>
      </c>
      <c r="BS24" s="162">
        <f t="shared" si="58"/>
        <v>0.32</v>
      </c>
      <c r="BT24" s="162">
        <f t="shared" si="10"/>
        <v>2.3721205531132408</v>
      </c>
      <c r="BU24" s="171">
        <f t="shared" si="59"/>
        <v>2.3721205531132408</v>
      </c>
      <c r="BV24" s="162"/>
      <c r="BW24" s="162">
        <f t="shared" si="60"/>
        <v>0.32</v>
      </c>
      <c r="BX24" s="170">
        <f t="shared" si="61"/>
        <v>0.32</v>
      </c>
      <c r="BY24" s="162">
        <f t="shared" si="11"/>
        <v>2.3721205531132408</v>
      </c>
      <c r="BZ24" s="171">
        <f t="shared" si="62"/>
        <v>2.3721205531132408</v>
      </c>
      <c r="CA24" s="162"/>
      <c r="CB24" s="162">
        <f t="shared" si="63"/>
        <v>0.32</v>
      </c>
      <c r="CC24" s="170">
        <f t="shared" si="64"/>
        <v>0.32</v>
      </c>
      <c r="CD24" s="162">
        <f t="shared" si="12"/>
        <v>2.3721205531132408</v>
      </c>
      <c r="CE24" s="171">
        <f t="shared" si="65"/>
        <v>2.3721205531132408</v>
      </c>
      <c r="CF24" s="162"/>
      <c r="CG24" s="172">
        <f t="shared" si="66"/>
        <v>0.32</v>
      </c>
      <c r="CH24" s="172">
        <f t="shared" si="67"/>
        <v>0.32</v>
      </c>
      <c r="CI24" s="172">
        <f t="shared" si="13"/>
        <v>2.3721205531132408</v>
      </c>
      <c r="CJ24" s="171">
        <f t="shared" si="68"/>
        <v>2.3721205531132408</v>
      </c>
      <c r="CK24" s="172"/>
      <c r="CL24" s="162">
        <f t="shared" si="69"/>
        <v>0.32</v>
      </c>
      <c r="CM24" s="170">
        <f t="shared" si="70"/>
        <v>0.32</v>
      </c>
      <c r="CN24" s="162">
        <f t="shared" si="14"/>
        <v>2.3721205531132408</v>
      </c>
      <c r="CO24" s="171">
        <f t="shared" si="71"/>
        <v>2.3721205531132408</v>
      </c>
      <c r="CP24" s="162"/>
      <c r="CQ24" s="162">
        <f t="shared" si="72"/>
        <v>0.32</v>
      </c>
      <c r="CR24" s="170">
        <f t="shared" si="73"/>
        <v>0.32</v>
      </c>
      <c r="CS24" s="162">
        <f t="shared" si="15"/>
        <v>2.3721205531132408</v>
      </c>
      <c r="CT24" s="171">
        <f t="shared" si="74"/>
        <v>2.3721205531132408</v>
      </c>
      <c r="CU24" s="162"/>
      <c r="CV24" s="162">
        <f t="shared" si="75"/>
        <v>0.32</v>
      </c>
      <c r="CW24" s="162">
        <f t="shared" si="76"/>
        <v>0.32</v>
      </c>
      <c r="CX24" s="162">
        <f t="shared" si="16"/>
        <v>2.3721205531132408</v>
      </c>
      <c r="CY24" s="171">
        <f t="shared" si="77"/>
        <v>2.3721205531132408</v>
      </c>
      <c r="CZ24" s="162"/>
      <c r="DA24" s="162">
        <f t="shared" si="78"/>
        <v>0.32</v>
      </c>
      <c r="DB24" s="170">
        <f t="shared" si="79"/>
        <v>0.32</v>
      </c>
      <c r="DC24" s="162">
        <f t="shared" si="17"/>
        <v>2.3721205531132408</v>
      </c>
      <c r="DD24" s="171">
        <f t="shared" si="80"/>
        <v>2.3721205531132408</v>
      </c>
      <c r="DE24" s="162"/>
      <c r="DF24" s="162">
        <f t="shared" si="81"/>
        <v>0.32</v>
      </c>
      <c r="DG24" s="170">
        <f t="shared" si="82"/>
        <v>0.32</v>
      </c>
      <c r="DH24" s="162">
        <f t="shared" si="18"/>
        <v>2.3721205531132408</v>
      </c>
      <c r="DI24" s="171">
        <f t="shared" si="83"/>
        <v>2.3721205531132408</v>
      </c>
      <c r="DJ24" s="162"/>
      <c r="DK24" s="162">
        <f t="shared" si="84"/>
        <v>0.32</v>
      </c>
      <c r="DL24" s="162">
        <f t="shared" si="85"/>
        <v>0.32</v>
      </c>
      <c r="DM24" s="162">
        <f t="shared" si="19"/>
        <v>2.3721205531132408</v>
      </c>
      <c r="DN24" s="171">
        <f t="shared" si="86"/>
        <v>2.3721205531132408</v>
      </c>
      <c r="DO24" s="162"/>
      <c r="DP24" s="162">
        <f t="shared" si="87"/>
        <v>0.32</v>
      </c>
      <c r="DQ24" s="170">
        <f t="shared" si="88"/>
        <v>0.32</v>
      </c>
      <c r="DR24" s="162">
        <f t="shared" si="20"/>
        <v>2.3721205531132408</v>
      </c>
      <c r="DS24" s="171">
        <f t="shared" si="89"/>
        <v>2.3721205531132408</v>
      </c>
      <c r="DT24" s="162"/>
      <c r="DU24" s="162">
        <f t="shared" si="90"/>
        <v>0.32</v>
      </c>
      <c r="DV24" s="170">
        <f t="shared" si="91"/>
        <v>0.32</v>
      </c>
      <c r="DW24" s="162">
        <f t="shared" si="21"/>
        <v>2.3721205531132408</v>
      </c>
      <c r="DX24" s="171">
        <f t="shared" si="92"/>
        <v>2.3721205531132408</v>
      </c>
      <c r="DY24" s="162"/>
      <c r="DZ24" s="162">
        <f t="shared" si="93"/>
        <v>0.32</v>
      </c>
      <c r="EA24" s="162">
        <f t="shared" si="94"/>
        <v>0.32</v>
      </c>
      <c r="EB24" s="162">
        <f t="shared" si="22"/>
        <v>2.3721205531132408</v>
      </c>
      <c r="EC24" s="171">
        <f t="shared" si="95"/>
        <v>2.3721205531132408</v>
      </c>
      <c r="ED24" s="162"/>
      <c r="EE24" s="162">
        <f t="shared" si="96"/>
        <v>0.32</v>
      </c>
      <c r="EF24" s="170">
        <f t="shared" si="97"/>
        <v>0.32</v>
      </c>
      <c r="EG24" s="162">
        <f t="shared" si="23"/>
        <v>2.3721205531132408</v>
      </c>
      <c r="EH24" s="171">
        <f t="shared" si="98"/>
        <v>2.3721205531132408</v>
      </c>
      <c r="EI24" s="162"/>
      <c r="EJ24" s="162">
        <f t="shared" si="99"/>
        <v>0.32</v>
      </c>
      <c r="EK24" s="170">
        <f t="shared" si="100"/>
        <v>0.32</v>
      </c>
      <c r="EL24" s="162">
        <f t="shared" si="24"/>
        <v>2.3721205531132408</v>
      </c>
      <c r="EM24" s="171">
        <f t="shared" si="101"/>
        <v>2.3721205531132408</v>
      </c>
      <c r="EN24" s="162"/>
      <c r="EO24" s="162">
        <f t="shared" si="102"/>
        <v>0.32</v>
      </c>
      <c r="EP24" s="162">
        <f t="shared" si="103"/>
        <v>0.32</v>
      </c>
      <c r="EQ24" s="162">
        <f t="shared" si="25"/>
        <v>2.3721205531132408</v>
      </c>
      <c r="ER24" s="171">
        <f t="shared" si="104"/>
        <v>2.3721205531132408</v>
      </c>
      <c r="ES24" s="162"/>
      <c r="ET24" s="162">
        <f t="shared" si="105"/>
        <v>0.32</v>
      </c>
      <c r="EU24" s="170">
        <f t="shared" si="106"/>
        <v>0.32</v>
      </c>
      <c r="EV24" s="162">
        <f t="shared" si="26"/>
        <v>2.3721205531132408</v>
      </c>
      <c r="EW24" s="171">
        <f t="shared" si="107"/>
        <v>2.3721205531132408</v>
      </c>
      <c r="EX24" s="162"/>
    </row>
    <row r="25" spans="3:154" s="181" customFormat="1" ht="14.45" customHeight="1" x14ac:dyDescent="0.25">
      <c r="C25" s="226"/>
      <c r="D25" s="227"/>
      <c r="E25" s="227"/>
      <c r="F25" s="227"/>
      <c r="G25" s="228"/>
      <c r="H25" s="160"/>
      <c r="I25" s="160"/>
      <c r="J25" s="160"/>
      <c r="K25" s="160"/>
      <c r="L25" s="160"/>
      <c r="M25" s="160"/>
      <c r="N25" s="160"/>
      <c r="O25" s="160"/>
      <c r="P25" s="160"/>
      <c r="Q25" s="160"/>
      <c r="R25" s="160"/>
      <c r="S25" s="160"/>
      <c r="T25" s="162">
        <f t="shared" si="27"/>
        <v>0.34</v>
      </c>
      <c r="U25" s="170">
        <f t="shared" si="28"/>
        <v>0.34</v>
      </c>
      <c r="V25" s="162">
        <f t="shared" si="0"/>
        <v>2.4848557294961182</v>
      </c>
      <c r="W25" s="171">
        <f t="shared" si="29"/>
        <v>2.4848557294961182</v>
      </c>
      <c r="X25" s="162"/>
      <c r="Y25" s="162">
        <f t="shared" si="30"/>
        <v>0.34</v>
      </c>
      <c r="Z25" s="162">
        <f t="shared" si="31"/>
        <v>0.34</v>
      </c>
      <c r="AA25" s="162">
        <f t="shared" si="1"/>
        <v>2.4848557294961182</v>
      </c>
      <c r="AB25" s="171">
        <f t="shared" si="32"/>
        <v>2.4848557294961182</v>
      </c>
      <c r="AC25" s="162"/>
      <c r="AD25" s="162">
        <f t="shared" si="33"/>
        <v>0.34</v>
      </c>
      <c r="AE25" s="170">
        <f t="shared" si="34"/>
        <v>0.34</v>
      </c>
      <c r="AF25" s="162">
        <f t="shared" si="2"/>
        <v>2.4848557294961182</v>
      </c>
      <c r="AG25" s="171">
        <f t="shared" si="35"/>
        <v>2.4848557294961182</v>
      </c>
      <c r="AH25" s="162"/>
      <c r="AI25" s="162">
        <f t="shared" si="36"/>
        <v>0.34</v>
      </c>
      <c r="AJ25" s="170">
        <f t="shared" si="37"/>
        <v>0.34</v>
      </c>
      <c r="AK25" s="162">
        <f t="shared" si="3"/>
        <v>2.4848557294961182</v>
      </c>
      <c r="AL25" s="171">
        <f t="shared" si="38"/>
        <v>2.4848557294961182</v>
      </c>
      <c r="AM25" s="162"/>
      <c r="AN25" s="162">
        <f t="shared" si="39"/>
        <v>0.34</v>
      </c>
      <c r="AO25" s="162">
        <f t="shared" si="40"/>
        <v>0.34</v>
      </c>
      <c r="AP25" s="162">
        <f t="shared" si="4"/>
        <v>2.4848557294961182</v>
      </c>
      <c r="AQ25" s="171">
        <f t="shared" si="41"/>
        <v>2.4848557294961182</v>
      </c>
      <c r="AR25" s="162"/>
      <c r="AS25" s="162">
        <f t="shared" si="42"/>
        <v>0.34</v>
      </c>
      <c r="AT25" s="170">
        <f t="shared" si="43"/>
        <v>0.34</v>
      </c>
      <c r="AU25" s="162">
        <f t="shared" si="5"/>
        <v>2.4848557294961182</v>
      </c>
      <c r="AV25" s="171">
        <f t="shared" si="44"/>
        <v>2.4848557294961182</v>
      </c>
      <c r="AW25" s="162"/>
      <c r="AX25" s="162">
        <f t="shared" si="45"/>
        <v>0.34</v>
      </c>
      <c r="AY25" s="170">
        <f t="shared" si="46"/>
        <v>0.34</v>
      </c>
      <c r="AZ25" s="162">
        <f t="shared" si="6"/>
        <v>2.4848557294961182</v>
      </c>
      <c r="BA25" s="171">
        <f t="shared" si="47"/>
        <v>2.4848557294961182</v>
      </c>
      <c r="BB25" s="162"/>
      <c r="BC25" s="162">
        <f t="shared" si="48"/>
        <v>0.34</v>
      </c>
      <c r="BD25" s="162">
        <f t="shared" si="49"/>
        <v>0.34</v>
      </c>
      <c r="BE25" s="162">
        <f t="shared" si="7"/>
        <v>2.4848557294961182</v>
      </c>
      <c r="BF25" s="171">
        <f t="shared" si="50"/>
        <v>2.4848557294961182</v>
      </c>
      <c r="BG25" s="162"/>
      <c r="BH25" s="162">
        <f t="shared" si="51"/>
        <v>0.34</v>
      </c>
      <c r="BI25" s="170">
        <f t="shared" si="52"/>
        <v>0.34</v>
      </c>
      <c r="BJ25" s="162">
        <f t="shared" si="8"/>
        <v>2.4848557294961182</v>
      </c>
      <c r="BK25" s="171">
        <f t="shared" si="53"/>
        <v>2.4848557294961182</v>
      </c>
      <c r="BL25" s="162"/>
      <c r="BM25" s="162">
        <f t="shared" si="54"/>
        <v>0.34</v>
      </c>
      <c r="BN25" s="170">
        <f t="shared" si="55"/>
        <v>0.34</v>
      </c>
      <c r="BO25" s="162">
        <f t="shared" si="9"/>
        <v>2.4848557294961182</v>
      </c>
      <c r="BP25" s="171">
        <f t="shared" si="56"/>
        <v>2.4848557294961182</v>
      </c>
      <c r="BQ25" s="162"/>
      <c r="BR25" s="162">
        <f t="shared" si="57"/>
        <v>0.34</v>
      </c>
      <c r="BS25" s="162">
        <f t="shared" si="58"/>
        <v>0.34</v>
      </c>
      <c r="BT25" s="162">
        <f t="shared" si="10"/>
        <v>2.4848557294961182</v>
      </c>
      <c r="BU25" s="171">
        <f t="shared" si="59"/>
        <v>2.4848557294961182</v>
      </c>
      <c r="BV25" s="162"/>
      <c r="BW25" s="162">
        <f t="shared" si="60"/>
        <v>0.34</v>
      </c>
      <c r="BX25" s="170">
        <f t="shared" si="61"/>
        <v>0.34</v>
      </c>
      <c r="BY25" s="162">
        <f t="shared" si="11"/>
        <v>2.4848557294961182</v>
      </c>
      <c r="BZ25" s="171">
        <f t="shared" si="62"/>
        <v>2.4848557294961182</v>
      </c>
      <c r="CA25" s="162"/>
      <c r="CB25" s="162">
        <f t="shared" si="63"/>
        <v>0.34</v>
      </c>
      <c r="CC25" s="170">
        <f t="shared" si="64"/>
        <v>0.34</v>
      </c>
      <c r="CD25" s="162">
        <f t="shared" si="12"/>
        <v>2.4848557294961182</v>
      </c>
      <c r="CE25" s="171">
        <f t="shared" si="65"/>
        <v>2.4848557294961182</v>
      </c>
      <c r="CF25" s="162"/>
      <c r="CG25" s="172">
        <f t="shared" si="66"/>
        <v>0.34</v>
      </c>
      <c r="CH25" s="172">
        <f t="shared" si="67"/>
        <v>0.34</v>
      </c>
      <c r="CI25" s="172">
        <f t="shared" si="13"/>
        <v>2.4848557294961182</v>
      </c>
      <c r="CJ25" s="171">
        <f t="shared" si="68"/>
        <v>2.4848557294961182</v>
      </c>
      <c r="CK25" s="172"/>
      <c r="CL25" s="162">
        <f t="shared" si="69"/>
        <v>0.34</v>
      </c>
      <c r="CM25" s="170">
        <f t="shared" si="70"/>
        <v>0.34</v>
      </c>
      <c r="CN25" s="162">
        <f t="shared" si="14"/>
        <v>2.4848557294961182</v>
      </c>
      <c r="CO25" s="171">
        <f t="shared" si="71"/>
        <v>2.4848557294961182</v>
      </c>
      <c r="CP25" s="162"/>
      <c r="CQ25" s="162">
        <f t="shared" si="72"/>
        <v>0.34</v>
      </c>
      <c r="CR25" s="170">
        <f t="shared" si="73"/>
        <v>0.34</v>
      </c>
      <c r="CS25" s="162">
        <f t="shared" si="15"/>
        <v>2.4848557294961182</v>
      </c>
      <c r="CT25" s="171">
        <f t="shared" si="74"/>
        <v>2.4848557294961182</v>
      </c>
      <c r="CU25" s="162"/>
      <c r="CV25" s="162">
        <f t="shared" si="75"/>
        <v>0.34</v>
      </c>
      <c r="CW25" s="162">
        <f t="shared" si="76"/>
        <v>0.34</v>
      </c>
      <c r="CX25" s="162">
        <f t="shared" si="16"/>
        <v>2.4848557294961182</v>
      </c>
      <c r="CY25" s="171">
        <f t="shared" si="77"/>
        <v>2.4848557294961182</v>
      </c>
      <c r="CZ25" s="162"/>
      <c r="DA25" s="162">
        <f t="shared" si="78"/>
        <v>0.34</v>
      </c>
      <c r="DB25" s="170">
        <f t="shared" si="79"/>
        <v>0.34</v>
      </c>
      <c r="DC25" s="162">
        <f t="shared" si="17"/>
        <v>2.4848557294961182</v>
      </c>
      <c r="DD25" s="171">
        <f t="shared" si="80"/>
        <v>2.4848557294961182</v>
      </c>
      <c r="DE25" s="162"/>
      <c r="DF25" s="162">
        <f t="shared" si="81"/>
        <v>0.34</v>
      </c>
      <c r="DG25" s="170">
        <f t="shared" si="82"/>
        <v>0.34</v>
      </c>
      <c r="DH25" s="162">
        <f t="shared" si="18"/>
        <v>2.4848557294961182</v>
      </c>
      <c r="DI25" s="171">
        <f t="shared" si="83"/>
        <v>2.4848557294961182</v>
      </c>
      <c r="DJ25" s="162"/>
      <c r="DK25" s="162">
        <f t="shared" si="84"/>
        <v>0.34</v>
      </c>
      <c r="DL25" s="162">
        <f t="shared" si="85"/>
        <v>0.34</v>
      </c>
      <c r="DM25" s="162">
        <f t="shared" si="19"/>
        <v>2.4848557294961182</v>
      </c>
      <c r="DN25" s="171">
        <f t="shared" si="86"/>
        <v>2.4848557294961182</v>
      </c>
      <c r="DO25" s="162"/>
      <c r="DP25" s="162">
        <f t="shared" si="87"/>
        <v>0.34</v>
      </c>
      <c r="DQ25" s="170">
        <f t="shared" si="88"/>
        <v>0.34</v>
      </c>
      <c r="DR25" s="162">
        <f t="shared" si="20"/>
        <v>2.4848557294961182</v>
      </c>
      <c r="DS25" s="171">
        <f t="shared" si="89"/>
        <v>2.4848557294961182</v>
      </c>
      <c r="DT25" s="162"/>
      <c r="DU25" s="162">
        <f t="shared" si="90"/>
        <v>0.34</v>
      </c>
      <c r="DV25" s="170">
        <f t="shared" si="91"/>
        <v>0.34</v>
      </c>
      <c r="DW25" s="162">
        <f t="shared" si="21"/>
        <v>2.4848557294961182</v>
      </c>
      <c r="DX25" s="171">
        <f t="shared" si="92"/>
        <v>2.4848557294961182</v>
      </c>
      <c r="DY25" s="162"/>
      <c r="DZ25" s="162">
        <f t="shared" si="93"/>
        <v>0.34</v>
      </c>
      <c r="EA25" s="162">
        <f t="shared" si="94"/>
        <v>0.34</v>
      </c>
      <c r="EB25" s="162">
        <f t="shared" si="22"/>
        <v>2.4848557294961182</v>
      </c>
      <c r="EC25" s="171">
        <f t="shared" si="95"/>
        <v>2.4848557294961182</v>
      </c>
      <c r="ED25" s="162"/>
      <c r="EE25" s="162">
        <f t="shared" si="96"/>
        <v>0.34</v>
      </c>
      <c r="EF25" s="170">
        <f t="shared" si="97"/>
        <v>0.34</v>
      </c>
      <c r="EG25" s="162">
        <f t="shared" si="23"/>
        <v>2.4848557294961182</v>
      </c>
      <c r="EH25" s="171">
        <f t="shared" si="98"/>
        <v>2.4848557294961182</v>
      </c>
      <c r="EI25" s="162"/>
      <c r="EJ25" s="162">
        <f t="shared" si="99"/>
        <v>0.34</v>
      </c>
      <c r="EK25" s="170">
        <f t="shared" si="100"/>
        <v>0.34</v>
      </c>
      <c r="EL25" s="162">
        <f t="shared" si="24"/>
        <v>2.4848557294961182</v>
      </c>
      <c r="EM25" s="171">
        <f t="shared" si="101"/>
        <v>2.4848557294961182</v>
      </c>
      <c r="EN25" s="162"/>
      <c r="EO25" s="162">
        <f t="shared" si="102"/>
        <v>0.34</v>
      </c>
      <c r="EP25" s="162">
        <f t="shared" si="103"/>
        <v>0.34</v>
      </c>
      <c r="EQ25" s="162">
        <f t="shared" si="25"/>
        <v>2.4848557294961182</v>
      </c>
      <c r="ER25" s="171">
        <f t="shared" si="104"/>
        <v>2.4848557294961182</v>
      </c>
      <c r="ES25" s="162"/>
      <c r="ET25" s="162">
        <f t="shared" si="105"/>
        <v>0.34</v>
      </c>
      <c r="EU25" s="170">
        <f t="shared" si="106"/>
        <v>0.34</v>
      </c>
      <c r="EV25" s="162">
        <f t="shared" si="26"/>
        <v>2.4848557294961182</v>
      </c>
      <c r="EW25" s="171">
        <f t="shared" si="107"/>
        <v>2.4848557294961182</v>
      </c>
      <c r="EX25" s="162"/>
    </row>
    <row r="26" spans="3:154" s="181" customFormat="1" ht="14.45" customHeight="1" x14ac:dyDescent="0.25">
      <c r="C26" s="229"/>
      <c r="D26" s="230"/>
      <c r="E26" s="230"/>
      <c r="F26" s="230"/>
      <c r="G26" s="231"/>
      <c r="H26" s="160"/>
      <c r="I26" s="160"/>
      <c r="J26" s="160"/>
      <c r="K26" s="160"/>
      <c r="L26" s="160"/>
      <c r="M26" s="160"/>
      <c r="N26" s="160"/>
      <c r="O26" s="160"/>
      <c r="P26" s="160"/>
      <c r="Q26" s="160"/>
      <c r="R26" s="160"/>
      <c r="S26" s="160"/>
      <c r="T26" s="162">
        <f t="shared" si="27"/>
        <v>0.36000000000000004</v>
      </c>
      <c r="U26" s="170">
        <f t="shared" si="28"/>
        <v>0.36000000000000004</v>
      </c>
      <c r="V26" s="162">
        <f t="shared" si="0"/>
        <v>2.5948823931511487</v>
      </c>
      <c r="W26" s="171">
        <f t="shared" si="29"/>
        <v>2.5948823931511487</v>
      </c>
      <c r="X26" s="162"/>
      <c r="Y26" s="162">
        <f t="shared" si="30"/>
        <v>0.36000000000000004</v>
      </c>
      <c r="Z26" s="162">
        <f t="shared" si="31"/>
        <v>0.36000000000000004</v>
      </c>
      <c r="AA26" s="162">
        <f t="shared" si="1"/>
        <v>2.5948823931511487</v>
      </c>
      <c r="AB26" s="171">
        <f t="shared" si="32"/>
        <v>2.5948823931511487</v>
      </c>
      <c r="AC26" s="162"/>
      <c r="AD26" s="162">
        <f t="shared" si="33"/>
        <v>0.36000000000000004</v>
      </c>
      <c r="AE26" s="170">
        <f t="shared" si="34"/>
        <v>0.36000000000000004</v>
      </c>
      <c r="AF26" s="162">
        <f t="shared" si="2"/>
        <v>2.5948823931511487</v>
      </c>
      <c r="AG26" s="171">
        <f t="shared" si="35"/>
        <v>2.5948823931511487</v>
      </c>
      <c r="AH26" s="162"/>
      <c r="AI26" s="162">
        <f t="shared" si="36"/>
        <v>0.36000000000000004</v>
      </c>
      <c r="AJ26" s="170">
        <f t="shared" si="37"/>
        <v>0.36000000000000004</v>
      </c>
      <c r="AK26" s="162">
        <f t="shared" si="3"/>
        <v>2.5948823931511487</v>
      </c>
      <c r="AL26" s="171">
        <f t="shared" si="38"/>
        <v>2.5948823931511487</v>
      </c>
      <c r="AM26" s="162"/>
      <c r="AN26" s="162">
        <f t="shared" si="39"/>
        <v>0.36000000000000004</v>
      </c>
      <c r="AO26" s="162">
        <f t="shared" si="40"/>
        <v>0.36000000000000004</v>
      </c>
      <c r="AP26" s="162">
        <f t="shared" si="4"/>
        <v>2.5948823931511487</v>
      </c>
      <c r="AQ26" s="171">
        <f t="shared" si="41"/>
        <v>2.5948823931511487</v>
      </c>
      <c r="AR26" s="162"/>
      <c r="AS26" s="162">
        <f t="shared" si="42"/>
        <v>0.36000000000000004</v>
      </c>
      <c r="AT26" s="170">
        <f t="shared" si="43"/>
        <v>0.36000000000000004</v>
      </c>
      <c r="AU26" s="162">
        <f t="shared" si="5"/>
        <v>2.5948823931511487</v>
      </c>
      <c r="AV26" s="171">
        <f t="shared" si="44"/>
        <v>2.5948823931511487</v>
      </c>
      <c r="AW26" s="162"/>
      <c r="AX26" s="162">
        <f t="shared" si="45"/>
        <v>0.36000000000000004</v>
      </c>
      <c r="AY26" s="170">
        <f t="shared" si="46"/>
        <v>0.36000000000000004</v>
      </c>
      <c r="AZ26" s="162">
        <f t="shared" si="6"/>
        <v>2.5948823931511487</v>
      </c>
      <c r="BA26" s="171">
        <f t="shared" si="47"/>
        <v>2.5948823931511487</v>
      </c>
      <c r="BB26" s="162"/>
      <c r="BC26" s="162">
        <f t="shared" si="48"/>
        <v>0.36000000000000004</v>
      </c>
      <c r="BD26" s="162">
        <f t="shared" si="49"/>
        <v>0.36000000000000004</v>
      </c>
      <c r="BE26" s="162">
        <f t="shared" si="7"/>
        <v>2.5948823931511487</v>
      </c>
      <c r="BF26" s="171">
        <f t="shared" si="50"/>
        <v>2.5948823931511487</v>
      </c>
      <c r="BG26" s="162"/>
      <c r="BH26" s="162">
        <f t="shared" si="51"/>
        <v>0.36000000000000004</v>
      </c>
      <c r="BI26" s="170">
        <f t="shared" si="52"/>
        <v>0.36000000000000004</v>
      </c>
      <c r="BJ26" s="162">
        <f t="shared" si="8"/>
        <v>2.5948823931511487</v>
      </c>
      <c r="BK26" s="171">
        <f t="shared" si="53"/>
        <v>2.5948823931511487</v>
      </c>
      <c r="BL26" s="162"/>
      <c r="BM26" s="162">
        <f t="shared" si="54"/>
        <v>0.36000000000000004</v>
      </c>
      <c r="BN26" s="170">
        <f t="shared" si="55"/>
        <v>0.36000000000000004</v>
      </c>
      <c r="BO26" s="162">
        <f t="shared" si="9"/>
        <v>2.5948823931511487</v>
      </c>
      <c r="BP26" s="171">
        <f t="shared" si="56"/>
        <v>2.5948823931511487</v>
      </c>
      <c r="BQ26" s="162"/>
      <c r="BR26" s="162">
        <f t="shared" si="57"/>
        <v>0.36000000000000004</v>
      </c>
      <c r="BS26" s="162">
        <f t="shared" si="58"/>
        <v>0.36000000000000004</v>
      </c>
      <c r="BT26" s="162">
        <f t="shared" si="10"/>
        <v>2.5948823931511487</v>
      </c>
      <c r="BU26" s="171">
        <f t="shared" si="59"/>
        <v>2.5948823931511487</v>
      </c>
      <c r="BV26" s="162"/>
      <c r="BW26" s="162">
        <f t="shared" si="60"/>
        <v>0.36000000000000004</v>
      </c>
      <c r="BX26" s="170">
        <f t="shared" si="61"/>
        <v>0.36000000000000004</v>
      </c>
      <c r="BY26" s="162">
        <f t="shared" si="11"/>
        <v>2.5948823931511487</v>
      </c>
      <c r="BZ26" s="171">
        <f t="shared" si="62"/>
        <v>2.5948823931511487</v>
      </c>
      <c r="CA26" s="162"/>
      <c r="CB26" s="162">
        <f t="shared" si="63"/>
        <v>0.36000000000000004</v>
      </c>
      <c r="CC26" s="170">
        <f t="shared" si="64"/>
        <v>0.36000000000000004</v>
      </c>
      <c r="CD26" s="162">
        <f t="shared" si="12"/>
        <v>2.5948823931511487</v>
      </c>
      <c r="CE26" s="171">
        <f t="shared" si="65"/>
        <v>2.5948823931511487</v>
      </c>
      <c r="CF26" s="162"/>
      <c r="CG26" s="172">
        <f t="shared" si="66"/>
        <v>0.36000000000000004</v>
      </c>
      <c r="CH26" s="172">
        <f t="shared" si="67"/>
        <v>0.36000000000000004</v>
      </c>
      <c r="CI26" s="172">
        <f t="shared" si="13"/>
        <v>2.5948823931511487</v>
      </c>
      <c r="CJ26" s="171">
        <f t="shared" si="68"/>
        <v>2.5948823931511487</v>
      </c>
      <c r="CK26" s="172"/>
      <c r="CL26" s="162">
        <f t="shared" si="69"/>
        <v>0.36000000000000004</v>
      </c>
      <c r="CM26" s="170">
        <f t="shared" si="70"/>
        <v>0.36000000000000004</v>
      </c>
      <c r="CN26" s="162">
        <f t="shared" si="14"/>
        <v>2.5948823931511487</v>
      </c>
      <c r="CO26" s="171">
        <f t="shared" si="71"/>
        <v>2.5948823931511487</v>
      </c>
      <c r="CP26" s="162"/>
      <c r="CQ26" s="162">
        <f t="shared" si="72"/>
        <v>0.36000000000000004</v>
      </c>
      <c r="CR26" s="170">
        <f t="shared" si="73"/>
        <v>0.36000000000000004</v>
      </c>
      <c r="CS26" s="162">
        <f t="shared" si="15"/>
        <v>2.5948823931511487</v>
      </c>
      <c r="CT26" s="171">
        <f t="shared" si="74"/>
        <v>2.5948823931511487</v>
      </c>
      <c r="CU26" s="162"/>
      <c r="CV26" s="162">
        <f t="shared" si="75"/>
        <v>0.36000000000000004</v>
      </c>
      <c r="CW26" s="162">
        <f t="shared" si="76"/>
        <v>0.36000000000000004</v>
      </c>
      <c r="CX26" s="162">
        <f t="shared" si="16"/>
        <v>2.5948823931511487</v>
      </c>
      <c r="CY26" s="171">
        <f t="shared" si="77"/>
        <v>2.5948823931511487</v>
      </c>
      <c r="CZ26" s="162"/>
      <c r="DA26" s="162">
        <f t="shared" si="78"/>
        <v>0.36000000000000004</v>
      </c>
      <c r="DB26" s="170">
        <f t="shared" si="79"/>
        <v>0.36000000000000004</v>
      </c>
      <c r="DC26" s="162">
        <f t="shared" si="17"/>
        <v>2.5948823931511487</v>
      </c>
      <c r="DD26" s="171">
        <f t="shared" si="80"/>
        <v>2.5948823931511487</v>
      </c>
      <c r="DE26" s="162"/>
      <c r="DF26" s="162">
        <f t="shared" si="81"/>
        <v>0.36000000000000004</v>
      </c>
      <c r="DG26" s="170">
        <f t="shared" si="82"/>
        <v>0.36000000000000004</v>
      </c>
      <c r="DH26" s="162">
        <f t="shared" si="18"/>
        <v>2.5948823931511487</v>
      </c>
      <c r="DI26" s="171">
        <f t="shared" si="83"/>
        <v>2.5948823931511487</v>
      </c>
      <c r="DJ26" s="162"/>
      <c r="DK26" s="162">
        <f t="shared" si="84"/>
        <v>0.36000000000000004</v>
      </c>
      <c r="DL26" s="162">
        <f t="shared" si="85"/>
        <v>0.36000000000000004</v>
      </c>
      <c r="DM26" s="162">
        <f t="shared" si="19"/>
        <v>2.5948823931511487</v>
      </c>
      <c r="DN26" s="171">
        <f t="shared" si="86"/>
        <v>2.5948823931511487</v>
      </c>
      <c r="DO26" s="162"/>
      <c r="DP26" s="162">
        <f t="shared" si="87"/>
        <v>0.36000000000000004</v>
      </c>
      <c r="DQ26" s="170">
        <f t="shared" si="88"/>
        <v>0.36000000000000004</v>
      </c>
      <c r="DR26" s="162">
        <f t="shared" si="20"/>
        <v>2.5948823931511487</v>
      </c>
      <c r="DS26" s="171">
        <f t="shared" si="89"/>
        <v>2.5948823931511487</v>
      </c>
      <c r="DT26" s="162"/>
      <c r="DU26" s="162">
        <f t="shared" si="90"/>
        <v>0.36000000000000004</v>
      </c>
      <c r="DV26" s="170">
        <f t="shared" si="91"/>
        <v>0.36000000000000004</v>
      </c>
      <c r="DW26" s="162">
        <f t="shared" si="21"/>
        <v>2.5948823931511487</v>
      </c>
      <c r="DX26" s="171">
        <f t="shared" si="92"/>
        <v>2.5948823931511487</v>
      </c>
      <c r="DY26" s="162"/>
      <c r="DZ26" s="162">
        <f t="shared" si="93"/>
        <v>0.36000000000000004</v>
      </c>
      <c r="EA26" s="162">
        <f t="shared" si="94"/>
        <v>0.36000000000000004</v>
      </c>
      <c r="EB26" s="162">
        <f t="shared" si="22"/>
        <v>2.5948823931511487</v>
      </c>
      <c r="EC26" s="171">
        <f t="shared" si="95"/>
        <v>2.5948823931511487</v>
      </c>
      <c r="ED26" s="162"/>
      <c r="EE26" s="162">
        <f t="shared" si="96"/>
        <v>0.36000000000000004</v>
      </c>
      <c r="EF26" s="170">
        <f t="shared" si="97"/>
        <v>0.36000000000000004</v>
      </c>
      <c r="EG26" s="162">
        <f t="shared" si="23"/>
        <v>2.5948823931511487</v>
      </c>
      <c r="EH26" s="171">
        <f t="shared" si="98"/>
        <v>2.5948823931511487</v>
      </c>
      <c r="EI26" s="162"/>
      <c r="EJ26" s="162">
        <f t="shared" si="99"/>
        <v>0.36000000000000004</v>
      </c>
      <c r="EK26" s="170">
        <f t="shared" si="100"/>
        <v>0.36000000000000004</v>
      </c>
      <c r="EL26" s="162">
        <f t="shared" si="24"/>
        <v>2.5948823931511487</v>
      </c>
      <c r="EM26" s="171">
        <f t="shared" si="101"/>
        <v>2.5948823931511487</v>
      </c>
      <c r="EN26" s="162"/>
      <c r="EO26" s="162">
        <f t="shared" si="102"/>
        <v>0.36000000000000004</v>
      </c>
      <c r="EP26" s="162">
        <f t="shared" si="103"/>
        <v>0.36000000000000004</v>
      </c>
      <c r="EQ26" s="162">
        <f t="shared" si="25"/>
        <v>2.5948823931511487</v>
      </c>
      <c r="ER26" s="171">
        <f t="shared" si="104"/>
        <v>2.5948823931511487</v>
      </c>
      <c r="ES26" s="162"/>
      <c r="ET26" s="162">
        <f t="shared" si="105"/>
        <v>0.36000000000000004</v>
      </c>
      <c r="EU26" s="170">
        <f t="shared" si="106"/>
        <v>0.36000000000000004</v>
      </c>
      <c r="EV26" s="162">
        <f t="shared" si="26"/>
        <v>2.5948823931511487</v>
      </c>
      <c r="EW26" s="171">
        <f t="shared" si="107"/>
        <v>2.5948823931511487</v>
      </c>
      <c r="EX26" s="162"/>
    </row>
    <row r="27" spans="3:154" s="181" customFormat="1" ht="15" customHeight="1" x14ac:dyDescent="0.25">
      <c r="H27" s="160"/>
      <c r="I27" s="160"/>
      <c r="J27" s="160"/>
      <c r="K27" s="160"/>
      <c r="L27" s="160"/>
      <c r="M27" s="160"/>
      <c r="N27" s="160"/>
      <c r="O27" s="160"/>
      <c r="P27" s="160"/>
      <c r="Q27" s="160"/>
      <c r="R27" s="160"/>
      <c r="S27" s="160"/>
      <c r="T27" s="162">
        <f t="shared" si="27"/>
        <v>0.38000000000000006</v>
      </c>
      <c r="U27" s="170">
        <f t="shared" si="28"/>
        <v>0.38000000000000006</v>
      </c>
      <c r="V27" s="162">
        <f t="shared" si="0"/>
        <v>2.7022005440783317</v>
      </c>
      <c r="W27" s="171">
        <f t="shared" si="29"/>
        <v>2.7022005440783317</v>
      </c>
      <c r="X27" s="162"/>
      <c r="Y27" s="162">
        <f t="shared" si="30"/>
        <v>0.38000000000000006</v>
      </c>
      <c r="Z27" s="162">
        <f t="shared" si="31"/>
        <v>0.38000000000000006</v>
      </c>
      <c r="AA27" s="162">
        <f t="shared" si="1"/>
        <v>2.7022005440783317</v>
      </c>
      <c r="AB27" s="171">
        <f t="shared" si="32"/>
        <v>2.7022005440783317</v>
      </c>
      <c r="AC27" s="162"/>
      <c r="AD27" s="162">
        <f t="shared" si="33"/>
        <v>0.38000000000000006</v>
      </c>
      <c r="AE27" s="170">
        <f t="shared" si="34"/>
        <v>0.38000000000000006</v>
      </c>
      <c r="AF27" s="162">
        <f t="shared" si="2"/>
        <v>2.7022005440783317</v>
      </c>
      <c r="AG27" s="171">
        <f t="shared" si="35"/>
        <v>2.7022005440783317</v>
      </c>
      <c r="AH27" s="162"/>
      <c r="AI27" s="162">
        <f t="shared" si="36"/>
        <v>0.38000000000000006</v>
      </c>
      <c r="AJ27" s="170">
        <f t="shared" si="37"/>
        <v>0.38000000000000006</v>
      </c>
      <c r="AK27" s="162">
        <f t="shared" si="3"/>
        <v>2.7022005440783317</v>
      </c>
      <c r="AL27" s="171">
        <f t="shared" si="38"/>
        <v>2.7022005440783317</v>
      </c>
      <c r="AM27" s="162"/>
      <c r="AN27" s="162">
        <f t="shared" si="39"/>
        <v>0.38000000000000006</v>
      </c>
      <c r="AO27" s="162">
        <f t="shared" si="40"/>
        <v>0.38000000000000006</v>
      </c>
      <c r="AP27" s="162">
        <f t="shared" si="4"/>
        <v>2.7022005440783317</v>
      </c>
      <c r="AQ27" s="171">
        <f t="shared" si="41"/>
        <v>2.7022005440783317</v>
      </c>
      <c r="AR27" s="162"/>
      <c r="AS27" s="162">
        <f t="shared" si="42"/>
        <v>0.38000000000000006</v>
      </c>
      <c r="AT27" s="170">
        <f t="shared" si="43"/>
        <v>0.38000000000000006</v>
      </c>
      <c r="AU27" s="162">
        <f t="shared" si="5"/>
        <v>2.7022005440783317</v>
      </c>
      <c r="AV27" s="171">
        <f t="shared" si="44"/>
        <v>2.7022005440783317</v>
      </c>
      <c r="AW27" s="162"/>
      <c r="AX27" s="162">
        <f t="shared" si="45"/>
        <v>0.38000000000000006</v>
      </c>
      <c r="AY27" s="170">
        <f t="shared" si="46"/>
        <v>0.38000000000000006</v>
      </c>
      <c r="AZ27" s="162">
        <f t="shared" si="6"/>
        <v>2.7022005440783317</v>
      </c>
      <c r="BA27" s="171">
        <f t="shared" si="47"/>
        <v>2.7022005440783317</v>
      </c>
      <c r="BB27" s="162"/>
      <c r="BC27" s="162">
        <f t="shared" si="48"/>
        <v>0.38000000000000006</v>
      </c>
      <c r="BD27" s="162">
        <f t="shared" si="49"/>
        <v>0.38000000000000006</v>
      </c>
      <c r="BE27" s="162">
        <f t="shared" si="7"/>
        <v>2.7022005440783317</v>
      </c>
      <c r="BF27" s="171">
        <f t="shared" si="50"/>
        <v>2.7022005440783317</v>
      </c>
      <c r="BG27" s="162"/>
      <c r="BH27" s="162">
        <f t="shared" si="51"/>
        <v>0.38000000000000006</v>
      </c>
      <c r="BI27" s="170">
        <f t="shared" si="52"/>
        <v>0.38000000000000006</v>
      </c>
      <c r="BJ27" s="162">
        <f t="shared" si="8"/>
        <v>2.7022005440783317</v>
      </c>
      <c r="BK27" s="171">
        <f t="shared" si="53"/>
        <v>2.7022005440783317</v>
      </c>
      <c r="BL27" s="162"/>
      <c r="BM27" s="162">
        <f t="shared" si="54"/>
        <v>0.38000000000000006</v>
      </c>
      <c r="BN27" s="170">
        <f t="shared" si="55"/>
        <v>0.38000000000000006</v>
      </c>
      <c r="BO27" s="162">
        <f t="shared" si="9"/>
        <v>2.7022005440783317</v>
      </c>
      <c r="BP27" s="171">
        <f t="shared" si="56"/>
        <v>2.7022005440783317</v>
      </c>
      <c r="BQ27" s="162"/>
      <c r="BR27" s="162">
        <f t="shared" si="57"/>
        <v>0.38000000000000006</v>
      </c>
      <c r="BS27" s="162">
        <f t="shared" si="58"/>
        <v>0.38000000000000006</v>
      </c>
      <c r="BT27" s="162">
        <f t="shared" si="10"/>
        <v>2.7022005440783317</v>
      </c>
      <c r="BU27" s="171">
        <f t="shared" si="59"/>
        <v>2.7022005440783317</v>
      </c>
      <c r="BV27" s="162"/>
      <c r="BW27" s="162">
        <f t="shared" si="60"/>
        <v>0.38000000000000006</v>
      </c>
      <c r="BX27" s="170">
        <f t="shared" si="61"/>
        <v>0.38000000000000006</v>
      </c>
      <c r="BY27" s="162">
        <f t="shared" si="11"/>
        <v>2.7022005440783317</v>
      </c>
      <c r="BZ27" s="171">
        <f t="shared" si="62"/>
        <v>2.7022005440783317</v>
      </c>
      <c r="CA27" s="162"/>
      <c r="CB27" s="162">
        <f t="shared" si="63"/>
        <v>0.38000000000000006</v>
      </c>
      <c r="CC27" s="170">
        <f t="shared" si="64"/>
        <v>0.38000000000000006</v>
      </c>
      <c r="CD27" s="162">
        <f t="shared" si="12"/>
        <v>2.7022005440783317</v>
      </c>
      <c r="CE27" s="171">
        <f t="shared" si="65"/>
        <v>2.7022005440783317</v>
      </c>
      <c r="CF27" s="162"/>
      <c r="CG27" s="172">
        <f t="shared" si="66"/>
        <v>0.38000000000000006</v>
      </c>
      <c r="CH27" s="172">
        <f t="shared" si="67"/>
        <v>0.38000000000000006</v>
      </c>
      <c r="CI27" s="172">
        <f t="shared" si="13"/>
        <v>2.7022005440783317</v>
      </c>
      <c r="CJ27" s="171">
        <f t="shared" si="68"/>
        <v>2.7022005440783317</v>
      </c>
      <c r="CK27" s="172"/>
      <c r="CL27" s="162">
        <f t="shared" si="69"/>
        <v>0.38000000000000006</v>
      </c>
      <c r="CM27" s="170">
        <f t="shared" si="70"/>
        <v>0.38000000000000006</v>
      </c>
      <c r="CN27" s="162">
        <f t="shared" si="14"/>
        <v>2.7022005440783317</v>
      </c>
      <c r="CO27" s="171">
        <f t="shared" si="71"/>
        <v>2.7022005440783317</v>
      </c>
      <c r="CP27" s="162"/>
      <c r="CQ27" s="162">
        <f t="shared" si="72"/>
        <v>0.38000000000000006</v>
      </c>
      <c r="CR27" s="170">
        <f t="shared" si="73"/>
        <v>0.38000000000000006</v>
      </c>
      <c r="CS27" s="162">
        <f t="shared" si="15"/>
        <v>2.7022005440783317</v>
      </c>
      <c r="CT27" s="171">
        <f t="shared" si="74"/>
        <v>2.7022005440783317</v>
      </c>
      <c r="CU27" s="162"/>
      <c r="CV27" s="162">
        <f t="shared" si="75"/>
        <v>0.38000000000000006</v>
      </c>
      <c r="CW27" s="162">
        <f t="shared" si="76"/>
        <v>0.38000000000000006</v>
      </c>
      <c r="CX27" s="162">
        <f t="shared" si="16"/>
        <v>2.7022005440783317</v>
      </c>
      <c r="CY27" s="171">
        <f t="shared" si="77"/>
        <v>2.7022005440783317</v>
      </c>
      <c r="CZ27" s="162"/>
      <c r="DA27" s="162">
        <f t="shared" si="78"/>
        <v>0.38000000000000006</v>
      </c>
      <c r="DB27" s="170">
        <f t="shared" si="79"/>
        <v>0.38000000000000006</v>
      </c>
      <c r="DC27" s="162">
        <f t="shared" si="17"/>
        <v>2.7022005440783317</v>
      </c>
      <c r="DD27" s="171">
        <f t="shared" si="80"/>
        <v>2.7022005440783317</v>
      </c>
      <c r="DE27" s="162"/>
      <c r="DF27" s="162">
        <f t="shared" si="81"/>
        <v>0.38000000000000006</v>
      </c>
      <c r="DG27" s="170">
        <f t="shared" si="82"/>
        <v>0.38000000000000006</v>
      </c>
      <c r="DH27" s="162">
        <f t="shared" si="18"/>
        <v>2.7022005440783317</v>
      </c>
      <c r="DI27" s="171">
        <f t="shared" si="83"/>
        <v>2.7022005440783317</v>
      </c>
      <c r="DJ27" s="162"/>
      <c r="DK27" s="162">
        <f t="shared" si="84"/>
        <v>0.38000000000000006</v>
      </c>
      <c r="DL27" s="162">
        <f t="shared" si="85"/>
        <v>0.38000000000000006</v>
      </c>
      <c r="DM27" s="162">
        <f t="shared" si="19"/>
        <v>2.7022005440783317</v>
      </c>
      <c r="DN27" s="171">
        <f t="shared" si="86"/>
        <v>2.7022005440783317</v>
      </c>
      <c r="DO27" s="162"/>
      <c r="DP27" s="162">
        <f t="shared" si="87"/>
        <v>0.38000000000000006</v>
      </c>
      <c r="DQ27" s="170">
        <f t="shared" si="88"/>
        <v>0.38000000000000006</v>
      </c>
      <c r="DR27" s="162">
        <f t="shared" si="20"/>
        <v>2.7022005440783317</v>
      </c>
      <c r="DS27" s="171">
        <f t="shared" si="89"/>
        <v>2.7022005440783317</v>
      </c>
      <c r="DT27" s="162"/>
      <c r="DU27" s="162">
        <f t="shared" si="90"/>
        <v>0.38000000000000006</v>
      </c>
      <c r="DV27" s="170">
        <f t="shared" si="91"/>
        <v>0.38000000000000006</v>
      </c>
      <c r="DW27" s="162">
        <f t="shared" si="21"/>
        <v>2.7022005440783317</v>
      </c>
      <c r="DX27" s="171">
        <f t="shared" si="92"/>
        <v>2.7022005440783317</v>
      </c>
      <c r="DY27" s="162"/>
      <c r="DZ27" s="162">
        <f t="shared" si="93"/>
        <v>0.38000000000000006</v>
      </c>
      <c r="EA27" s="162">
        <f t="shared" si="94"/>
        <v>0.38000000000000006</v>
      </c>
      <c r="EB27" s="162">
        <f t="shared" si="22"/>
        <v>2.7022005440783317</v>
      </c>
      <c r="EC27" s="171">
        <f t="shared" si="95"/>
        <v>2.7022005440783317</v>
      </c>
      <c r="ED27" s="162"/>
      <c r="EE27" s="162">
        <f t="shared" si="96"/>
        <v>0.38000000000000006</v>
      </c>
      <c r="EF27" s="170">
        <f t="shared" si="97"/>
        <v>0.38000000000000006</v>
      </c>
      <c r="EG27" s="162">
        <f t="shared" si="23"/>
        <v>2.7022005440783317</v>
      </c>
      <c r="EH27" s="171">
        <f t="shared" si="98"/>
        <v>2.7022005440783317</v>
      </c>
      <c r="EI27" s="162"/>
      <c r="EJ27" s="162">
        <f t="shared" si="99"/>
        <v>0.38000000000000006</v>
      </c>
      <c r="EK27" s="170">
        <f t="shared" si="100"/>
        <v>0.38000000000000006</v>
      </c>
      <c r="EL27" s="162">
        <f t="shared" si="24"/>
        <v>2.7022005440783317</v>
      </c>
      <c r="EM27" s="171">
        <f t="shared" si="101"/>
        <v>2.7022005440783317</v>
      </c>
      <c r="EN27" s="162"/>
      <c r="EO27" s="162">
        <f t="shared" si="102"/>
        <v>0.38000000000000006</v>
      </c>
      <c r="EP27" s="162">
        <f t="shared" si="103"/>
        <v>0.38000000000000006</v>
      </c>
      <c r="EQ27" s="162">
        <f t="shared" si="25"/>
        <v>2.7022005440783317</v>
      </c>
      <c r="ER27" s="171">
        <f t="shared" si="104"/>
        <v>2.7022005440783317</v>
      </c>
      <c r="ES27" s="162"/>
      <c r="ET27" s="162">
        <f t="shared" si="105"/>
        <v>0.38000000000000006</v>
      </c>
      <c r="EU27" s="170">
        <f t="shared" si="106"/>
        <v>0.38000000000000006</v>
      </c>
      <c r="EV27" s="162">
        <f t="shared" si="26"/>
        <v>2.7022005440783317</v>
      </c>
      <c r="EW27" s="171">
        <f t="shared" si="107"/>
        <v>2.7022005440783317</v>
      </c>
      <c r="EX27" s="162"/>
    </row>
    <row r="28" spans="3:154" s="181" customFormat="1" ht="15" customHeight="1" x14ac:dyDescent="0.25">
      <c r="C28" s="223" t="s">
        <v>350</v>
      </c>
      <c r="D28" s="224"/>
      <c r="E28" s="224"/>
      <c r="F28" s="224"/>
      <c r="G28" s="225"/>
      <c r="H28" s="160"/>
      <c r="I28" s="160"/>
      <c r="J28" s="160"/>
      <c r="K28" s="160"/>
      <c r="L28" s="160"/>
      <c r="M28" s="160"/>
      <c r="N28" s="160"/>
      <c r="O28" s="160"/>
      <c r="P28" s="160"/>
      <c r="Q28" s="160"/>
      <c r="R28" s="160"/>
      <c r="S28" s="160"/>
      <c r="T28" s="162">
        <f t="shared" si="27"/>
        <v>0.40000000000000008</v>
      </c>
      <c r="U28" s="170">
        <f t="shared" si="28"/>
        <v>0.40000000000000008</v>
      </c>
      <c r="V28" s="162">
        <f t="shared" si="0"/>
        <v>2.8068101822776677</v>
      </c>
      <c r="W28" s="171">
        <f t="shared" si="29"/>
        <v>2.8068101822776677</v>
      </c>
      <c r="X28" s="162"/>
      <c r="Y28" s="162">
        <f t="shared" si="30"/>
        <v>0.40000000000000008</v>
      </c>
      <c r="Z28" s="162">
        <f t="shared" si="31"/>
        <v>0.40000000000000008</v>
      </c>
      <c r="AA28" s="162">
        <f t="shared" si="1"/>
        <v>2.8068101822776677</v>
      </c>
      <c r="AB28" s="171">
        <f t="shared" si="32"/>
        <v>2.8068101822776677</v>
      </c>
      <c r="AC28" s="162"/>
      <c r="AD28" s="162">
        <f t="shared" si="33"/>
        <v>0.40000000000000008</v>
      </c>
      <c r="AE28" s="170">
        <f t="shared" si="34"/>
        <v>0.40000000000000008</v>
      </c>
      <c r="AF28" s="162">
        <f t="shared" si="2"/>
        <v>2.8068101822776677</v>
      </c>
      <c r="AG28" s="171">
        <f t="shared" si="35"/>
        <v>2.8068101822776677</v>
      </c>
      <c r="AH28" s="162"/>
      <c r="AI28" s="162">
        <f t="shared" si="36"/>
        <v>0.40000000000000008</v>
      </c>
      <c r="AJ28" s="170">
        <f t="shared" si="37"/>
        <v>0.40000000000000008</v>
      </c>
      <c r="AK28" s="162">
        <f t="shared" si="3"/>
        <v>2.8068101822776677</v>
      </c>
      <c r="AL28" s="171">
        <f t="shared" si="38"/>
        <v>2.8068101822776677</v>
      </c>
      <c r="AM28" s="162"/>
      <c r="AN28" s="162">
        <f t="shared" si="39"/>
        <v>0.40000000000000008</v>
      </c>
      <c r="AO28" s="162">
        <f t="shared" si="40"/>
        <v>0.40000000000000008</v>
      </c>
      <c r="AP28" s="162">
        <f t="shared" si="4"/>
        <v>2.8068101822776677</v>
      </c>
      <c r="AQ28" s="171">
        <f t="shared" si="41"/>
        <v>2.8068101822776677</v>
      </c>
      <c r="AR28" s="162"/>
      <c r="AS28" s="162">
        <f t="shared" si="42"/>
        <v>0.40000000000000008</v>
      </c>
      <c r="AT28" s="170">
        <f t="shared" si="43"/>
        <v>0.40000000000000008</v>
      </c>
      <c r="AU28" s="162">
        <f t="shared" si="5"/>
        <v>2.8068101822776677</v>
      </c>
      <c r="AV28" s="171">
        <f t="shared" si="44"/>
        <v>2.8068101822776677</v>
      </c>
      <c r="AW28" s="162"/>
      <c r="AX28" s="162">
        <f t="shared" si="45"/>
        <v>0.40000000000000008</v>
      </c>
      <c r="AY28" s="170">
        <f t="shared" si="46"/>
        <v>0.40000000000000008</v>
      </c>
      <c r="AZ28" s="162">
        <f t="shared" si="6"/>
        <v>2.8068101822776677</v>
      </c>
      <c r="BA28" s="171">
        <f t="shared" si="47"/>
        <v>2.8068101822776677</v>
      </c>
      <c r="BB28" s="162"/>
      <c r="BC28" s="162">
        <f t="shared" si="48"/>
        <v>0.40000000000000008</v>
      </c>
      <c r="BD28" s="162">
        <f t="shared" si="49"/>
        <v>0.40000000000000008</v>
      </c>
      <c r="BE28" s="162">
        <f t="shared" si="7"/>
        <v>2.8068101822776677</v>
      </c>
      <c r="BF28" s="171">
        <f t="shared" si="50"/>
        <v>2.8068101822776677</v>
      </c>
      <c r="BG28" s="162"/>
      <c r="BH28" s="162">
        <f t="shared" si="51"/>
        <v>0.40000000000000008</v>
      </c>
      <c r="BI28" s="170">
        <f t="shared" si="52"/>
        <v>0.40000000000000008</v>
      </c>
      <c r="BJ28" s="162">
        <f t="shared" si="8"/>
        <v>2.8068101822776677</v>
      </c>
      <c r="BK28" s="171">
        <f t="shared" si="53"/>
        <v>2.8068101822776677</v>
      </c>
      <c r="BL28" s="162"/>
      <c r="BM28" s="162">
        <f t="shared" si="54"/>
        <v>0.40000000000000008</v>
      </c>
      <c r="BN28" s="170">
        <f t="shared" si="55"/>
        <v>0.40000000000000008</v>
      </c>
      <c r="BO28" s="162">
        <f t="shared" si="9"/>
        <v>2.8068101822776677</v>
      </c>
      <c r="BP28" s="171">
        <f t="shared" si="56"/>
        <v>2.8068101822776677</v>
      </c>
      <c r="BQ28" s="162"/>
      <c r="BR28" s="162">
        <f t="shared" si="57"/>
        <v>0.40000000000000008</v>
      </c>
      <c r="BS28" s="162">
        <f t="shared" si="58"/>
        <v>0.40000000000000008</v>
      </c>
      <c r="BT28" s="162">
        <f t="shared" si="10"/>
        <v>2.8068101822776677</v>
      </c>
      <c r="BU28" s="171">
        <f t="shared" si="59"/>
        <v>2.8068101822776677</v>
      </c>
      <c r="BV28" s="162"/>
      <c r="BW28" s="162">
        <f t="shared" si="60"/>
        <v>0.40000000000000008</v>
      </c>
      <c r="BX28" s="170">
        <f t="shared" si="61"/>
        <v>0.40000000000000008</v>
      </c>
      <c r="BY28" s="162">
        <f t="shared" si="11"/>
        <v>2.8068101822776677</v>
      </c>
      <c r="BZ28" s="171">
        <f t="shared" si="62"/>
        <v>2.8068101822776677</v>
      </c>
      <c r="CA28" s="162"/>
      <c r="CB28" s="162">
        <f t="shared" si="63"/>
        <v>0.40000000000000008</v>
      </c>
      <c r="CC28" s="170">
        <f t="shared" si="64"/>
        <v>0.40000000000000008</v>
      </c>
      <c r="CD28" s="162">
        <f t="shared" si="12"/>
        <v>2.8068101822776677</v>
      </c>
      <c r="CE28" s="171">
        <f t="shared" si="65"/>
        <v>2.8068101822776677</v>
      </c>
      <c r="CF28" s="162"/>
      <c r="CG28" s="172">
        <f t="shared" si="66"/>
        <v>0.40000000000000008</v>
      </c>
      <c r="CH28" s="172">
        <f t="shared" si="67"/>
        <v>0.40000000000000008</v>
      </c>
      <c r="CI28" s="172">
        <f t="shared" si="13"/>
        <v>2.8068101822776677</v>
      </c>
      <c r="CJ28" s="171">
        <f t="shared" si="68"/>
        <v>2.8068101822776677</v>
      </c>
      <c r="CK28" s="172"/>
      <c r="CL28" s="162">
        <f t="shared" si="69"/>
        <v>0.40000000000000008</v>
      </c>
      <c r="CM28" s="170">
        <f t="shared" si="70"/>
        <v>0.40000000000000008</v>
      </c>
      <c r="CN28" s="162">
        <f t="shared" si="14"/>
        <v>2.8068101822776677</v>
      </c>
      <c r="CO28" s="171">
        <f t="shared" si="71"/>
        <v>2.8068101822776677</v>
      </c>
      <c r="CP28" s="162"/>
      <c r="CQ28" s="162">
        <f t="shared" si="72"/>
        <v>0.40000000000000008</v>
      </c>
      <c r="CR28" s="170">
        <f t="shared" si="73"/>
        <v>0.40000000000000008</v>
      </c>
      <c r="CS28" s="162">
        <f t="shared" si="15"/>
        <v>2.8068101822776677</v>
      </c>
      <c r="CT28" s="171">
        <f t="shared" si="74"/>
        <v>2.8068101822776677</v>
      </c>
      <c r="CU28" s="162"/>
      <c r="CV28" s="162">
        <f t="shared" si="75"/>
        <v>0.40000000000000008</v>
      </c>
      <c r="CW28" s="162">
        <f t="shared" si="76"/>
        <v>0.40000000000000008</v>
      </c>
      <c r="CX28" s="162">
        <f t="shared" si="16"/>
        <v>2.8068101822776677</v>
      </c>
      <c r="CY28" s="171">
        <f t="shared" si="77"/>
        <v>2.8068101822776677</v>
      </c>
      <c r="CZ28" s="162"/>
      <c r="DA28" s="162">
        <f t="shared" si="78"/>
        <v>0.40000000000000008</v>
      </c>
      <c r="DB28" s="170">
        <f t="shared" si="79"/>
        <v>0.40000000000000008</v>
      </c>
      <c r="DC28" s="162">
        <f t="shared" si="17"/>
        <v>2.8068101822776677</v>
      </c>
      <c r="DD28" s="171">
        <f t="shared" si="80"/>
        <v>2.8068101822776677</v>
      </c>
      <c r="DE28" s="162"/>
      <c r="DF28" s="162">
        <f t="shared" si="81"/>
        <v>0.40000000000000008</v>
      </c>
      <c r="DG28" s="170">
        <f t="shared" si="82"/>
        <v>0.40000000000000008</v>
      </c>
      <c r="DH28" s="162">
        <f t="shared" si="18"/>
        <v>2.8068101822776677</v>
      </c>
      <c r="DI28" s="171">
        <f t="shared" si="83"/>
        <v>2.8068101822776677</v>
      </c>
      <c r="DJ28" s="162"/>
      <c r="DK28" s="162">
        <f t="shared" si="84"/>
        <v>0.40000000000000008</v>
      </c>
      <c r="DL28" s="162">
        <f t="shared" si="85"/>
        <v>0.40000000000000008</v>
      </c>
      <c r="DM28" s="162">
        <f t="shared" si="19"/>
        <v>2.8068101822776677</v>
      </c>
      <c r="DN28" s="171">
        <f t="shared" si="86"/>
        <v>2.8068101822776677</v>
      </c>
      <c r="DO28" s="162"/>
      <c r="DP28" s="162">
        <f t="shared" si="87"/>
        <v>0.40000000000000008</v>
      </c>
      <c r="DQ28" s="170">
        <f t="shared" si="88"/>
        <v>0.40000000000000008</v>
      </c>
      <c r="DR28" s="162">
        <f t="shared" si="20"/>
        <v>2.8068101822776677</v>
      </c>
      <c r="DS28" s="171">
        <f t="shared" si="89"/>
        <v>2.8068101822776677</v>
      </c>
      <c r="DT28" s="162"/>
      <c r="DU28" s="162">
        <f t="shared" si="90"/>
        <v>0.40000000000000008</v>
      </c>
      <c r="DV28" s="170">
        <f t="shared" si="91"/>
        <v>0.40000000000000008</v>
      </c>
      <c r="DW28" s="162">
        <f t="shared" si="21"/>
        <v>2.8068101822776677</v>
      </c>
      <c r="DX28" s="171">
        <f t="shared" si="92"/>
        <v>2.8068101822776677</v>
      </c>
      <c r="DY28" s="162"/>
      <c r="DZ28" s="162">
        <f t="shared" si="93"/>
        <v>0.40000000000000008</v>
      </c>
      <c r="EA28" s="162">
        <f t="shared" si="94"/>
        <v>0.40000000000000008</v>
      </c>
      <c r="EB28" s="162">
        <f t="shared" si="22"/>
        <v>2.8068101822776677</v>
      </c>
      <c r="EC28" s="171">
        <f t="shared" si="95"/>
        <v>2.8068101822776677</v>
      </c>
      <c r="ED28" s="162"/>
      <c r="EE28" s="162">
        <f t="shared" si="96"/>
        <v>0.40000000000000008</v>
      </c>
      <c r="EF28" s="170">
        <f t="shared" si="97"/>
        <v>0.40000000000000008</v>
      </c>
      <c r="EG28" s="162">
        <f t="shared" si="23"/>
        <v>2.8068101822776677</v>
      </c>
      <c r="EH28" s="171">
        <f t="shared" si="98"/>
        <v>2.8068101822776677</v>
      </c>
      <c r="EI28" s="162"/>
      <c r="EJ28" s="162">
        <f t="shared" si="99"/>
        <v>0.40000000000000008</v>
      </c>
      <c r="EK28" s="170">
        <f t="shared" si="100"/>
        <v>0.40000000000000008</v>
      </c>
      <c r="EL28" s="162">
        <f t="shared" si="24"/>
        <v>2.8068101822776677</v>
      </c>
      <c r="EM28" s="171">
        <f t="shared" si="101"/>
        <v>2.8068101822776677</v>
      </c>
      <c r="EN28" s="162"/>
      <c r="EO28" s="162">
        <f t="shared" si="102"/>
        <v>0.40000000000000008</v>
      </c>
      <c r="EP28" s="162">
        <f t="shared" si="103"/>
        <v>0.40000000000000008</v>
      </c>
      <c r="EQ28" s="162">
        <f t="shared" si="25"/>
        <v>2.8068101822776677</v>
      </c>
      <c r="ER28" s="171">
        <f t="shared" si="104"/>
        <v>2.8068101822776677</v>
      </c>
      <c r="ES28" s="162"/>
      <c r="ET28" s="162">
        <f t="shared" si="105"/>
        <v>0.40000000000000008</v>
      </c>
      <c r="EU28" s="170">
        <f t="shared" si="106"/>
        <v>0.40000000000000008</v>
      </c>
      <c r="EV28" s="162">
        <f t="shared" si="26"/>
        <v>2.8068101822776677</v>
      </c>
      <c r="EW28" s="171">
        <f t="shared" si="107"/>
        <v>2.8068101822776677</v>
      </c>
      <c r="EX28" s="162"/>
    </row>
    <row r="29" spans="3:154" s="181" customFormat="1" ht="15" customHeight="1" x14ac:dyDescent="0.25">
      <c r="C29" s="226"/>
      <c r="D29" s="227"/>
      <c r="E29" s="227"/>
      <c r="F29" s="227"/>
      <c r="G29" s="228"/>
      <c r="H29" s="160"/>
      <c r="I29" s="160"/>
      <c r="J29" s="160"/>
      <c r="K29" s="160"/>
      <c r="L29" s="160"/>
      <c r="M29" s="160"/>
      <c r="N29" s="160"/>
      <c r="O29" s="160"/>
      <c r="P29" s="160"/>
      <c r="Q29" s="160"/>
      <c r="R29" s="160"/>
      <c r="S29" s="160"/>
      <c r="T29" s="162">
        <f t="shared" si="27"/>
        <v>0.4200000000000001</v>
      </c>
      <c r="U29" s="170">
        <f t="shared" si="28"/>
        <v>0.4200000000000001</v>
      </c>
      <c r="V29" s="162">
        <f t="shared" si="0"/>
        <v>2.9087113077491566</v>
      </c>
      <c r="W29" s="171">
        <f t="shared" si="29"/>
        <v>2.9087113077491566</v>
      </c>
      <c r="X29" s="162"/>
      <c r="Y29" s="162">
        <f t="shared" si="30"/>
        <v>0.4200000000000001</v>
      </c>
      <c r="Z29" s="162">
        <f t="shared" si="31"/>
        <v>0.4200000000000001</v>
      </c>
      <c r="AA29" s="162">
        <f t="shared" si="1"/>
        <v>2.9087113077491566</v>
      </c>
      <c r="AB29" s="171">
        <f t="shared" si="32"/>
        <v>2.9087113077491566</v>
      </c>
      <c r="AC29" s="162"/>
      <c r="AD29" s="162">
        <f t="shared" si="33"/>
        <v>0.4200000000000001</v>
      </c>
      <c r="AE29" s="170">
        <f t="shared" si="34"/>
        <v>0.4200000000000001</v>
      </c>
      <c r="AF29" s="162">
        <f t="shared" si="2"/>
        <v>2.9087113077491566</v>
      </c>
      <c r="AG29" s="171">
        <f t="shared" si="35"/>
        <v>2.9087113077491566</v>
      </c>
      <c r="AH29" s="162"/>
      <c r="AI29" s="162">
        <f t="shared" si="36"/>
        <v>0.4200000000000001</v>
      </c>
      <c r="AJ29" s="170">
        <f t="shared" si="37"/>
        <v>0.4200000000000001</v>
      </c>
      <c r="AK29" s="162">
        <f t="shared" si="3"/>
        <v>2.9087113077491566</v>
      </c>
      <c r="AL29" s="171">
        <f t="shared" si="38"/>
        <v>2.9087113077491566</v>
      </c>
      <c r="AM29" s="162"/>
      <c r="AN29" s="162">
        <f t="shared" si="39"/>
        <v>0.4200000000000001</v>
      </c>
      <c r="AO29" s="162">
        <f t="shared" si="40"/>
        <v>0.4200000000000001</v>
      </c>
      <c r="AP29" s="162">
        <f t="shared" si="4"/>
        <v>2.9087113077491566</v>
      </c>
      <c r="AQ29" s="171">
        <f t="shared" si="41"/>
        <v>2.9087113077491566</v>
      </c>
      <c r="AR29" s="162"/>
      <c r="AS29" s="162">
        <f t="shared" si="42"/>
        <v>0.4200000000000001</v>
      </c>
      <c r="AT29" s="170">
        <f t="shared" si="43"/>
        <v>0.4200000000000001</v>
      </c>
      <c r="AU29" s="162">
        <f t="shared" si="5"/>
        <v>2.9087113077491566</v>
      </c>
      <c r="AV29" s="171">
        <f t="shared" si="44"/>
        <v>2.9087113077491566</v>
      </c>
      <c r="AW29" s="162"/>
      <c r="AX29" s="162">
        <f t="shared" si="45"/>
        <v>0.4200000000000001</v>
      </c>
      <c r="AY29" s="170">
        <f t="shared" si="46"/>
        <v>0.4200000000000001</v>
      </c>
      <c r="AZ29" s="162">
        <f t="shared" si="6"/>
        <v>2.9087113077491566</v>
      </c>
      <c r="BA29" s="171">
        <f t="shared" si="47"/>
        <v>2.9087113077491566</v>
      </c>
      <c r="BB29" s="162"/>
      <c r="BC29" s="162">
        <f t="shared" si="48"/>
        <v>0.4200000000000001</v>
      </c>
      <c r="BD29" s="162">
        <f t="shared" si="49"/>
        <v>0.4200000000000001</v>
      </c>
      <c r="BE29" s="162">
        <f t="shared" si="7"/>
        <v>2.9087113077491566</v>
      </c>
      <c r="BF29" s="171">
        <f t="shared" si="50"/>
        <v>2.9087113077491566</v>
      </c>
      <c r="BG29" s="162"/>
      <c r="BH29" s="162">
        <f t="shared" si="51"/>
        <v>0.4200000000000001</v>
      </c>
      <c r="BI29" s="170">
        <f t="shared" si="52"/>
        <v>0.4200000000000001</v>
      </c>
      <c r="BJ29" s="162">
        <f t="shared" si="8"/>
        <v>2.9087113077491566</v>
      </c>
      <c r="BK29" s="171">
        <f t="shared" si="53"/>
        <v>2.9087113077491566</v>
      </c>
      <c r="BL29" s="162"/>
      <c r="BM29" s="162">
        <f t="shared" si="54"/>
        <v>0.4200000000000001</v>
      </c>
      <c r="BN29" s="170">
        <f t="shared" si="55"/>
        <v>0.4200000000000001</v>
      </c>
      <c r="BO29" s="162">
        <f t="shared" si="9"/>
        <v>2.9087113077491566</v>
      </c>
      <c r="BP29" s="171">
        <f t="shared" si="56"/>
        <v>2.9087113077491566</v>
      </c>
      <c r="BQ29" s="162"/>
      <c r="BR29" s="162">
        <f t="shared" si="57"/>
        <v>0.4200000000000001</v>
      </c>
      <c r="BS29" s="162">
        <f t="shared" si="58"/>
        <v>0.4200000000000001</v>
      </c>
      <c r="BT29" s="162">
        <f t="shared" si="10"/>
        <v>2.9087113077491566</v>
      </c>
      <c r="BU29" s="171">
        <f t="shared" si="59"/>
        <v>2.9087113077491566</v>
      </c>
      <c r="BV29" s="162"/>
      <c r="BW29" s="162">
        <f t="shared" si="60"/>
        <v>0.4200000000000001</v>
      </c>
      <c r="BX29" s="170">
        <f t="shared" si="61"/>
        <v>0.4200000000000001</v>
      </c>
      <c r="BY29" s="162">
        <f t="shared" si="11"/>
        <v>2.9087113077491566</v>
      </c>
      <c r="BZ29" s="171">
        <f t="shared" si="62"/>
        <v>2.9087113077491566</v>
      </c>
      <c r="CA29" s="162"/>
      <c r="CB29" s="162">
        <f t="shared" si="63"/>
        <v>0.4200000000000001</v>
      </c>
      <c r="CC29" s="170">
        <f t="shared" si="64"/>
        <v>0.4200000000000001</v>
      </c>
      <c r="CD29" s="162">
        <f t="shared" si="12"/>
        <v>2.9087113077491566</v>
      </c>
      <c r="CE29" s="171">
        <f t="shared" si="65"/>
        <v>2.9087113077491566</v>
      </c>
      <c r="CF29" s="162"/>
      <c r="CG29" s="172">
        <f t="shared" si="66"/>
        <v>0.4200000000000001</v>
      </c>
      <c r="CH29" s="172">
        <f t="shared" si="67"/>
        <v>0.4200000000000001</v>
      </c>
      <c r="CI29" s="172">
        <f t="shared" si="13"/>
        <v>2.9087113077491566</v>
      </c>
      <c r="CJ29" s="171">
        <f t="shared" si="68"/>
        <v>2.9087113077491566</v>
      </c>
      <c r="CK29" s="172"/>
      <c r="CL29" s="162">
        <f t="shared" si="69"/>
        <v>0.4200000000000001</v>
      </c>
      <c r="CM29" s="170">
        <f t="shared" si="70"/>
        <v>0.4200000000000001</v>
      </c>
      <c r="CN29" s="162">
        <f t="shared" si="14"/>
        <v>2.9087113077491566</v>
      </c>
      <c r="CO29" s="171">
        <f t="shared" si="71"/>
        <v>2.9087113077491566</v>
      </c>
      <c r="CP29" s="162"/>
      <c r="CQ29" s="162">
        <f t="shared" si="72"/>
        <v>0.4200000000000001</v>
      </c>
      <c r="CR29" s="170">
        <f t="shared" si="73"/>
        <v>0.4200000000000001</v>
      </c>
      <c r="CS29" s="162">
        <f t="shared" si="15"/>
        <v>2.9087113077491566</v>
      </c>
      <c r="CT29" s="171">
        <f t="shared" si="74"/>
        <v>2.9087113077491566</v>
      </c>
      <c r="CU29" s="162"/>
      <c r="CV29" s="162">
        <f t="shared" si="75"/>
        <v>0.4200000000000001</v>
      </c>
      <c r="CW29" s="162">
        <f t="shared" si="76"/>
        <v>0.4200000000000001</v>
      </c>
      <c r="CX29" s="162">
        <f t="shared" si="16"/>
        <v>2.9087113077491566</v>
      </c>
      <c r="CY29" s="171">
        <f t="shared" si="77"/>
        <v>2.9087113077491566</v>
      </c>
      <c r="CZ29" s="162"/>
      <c r="DA29" s="162">
        <f t="shared" si="78"/>
        <v>0.4200000000000001</v>
      </c>
      <c r="DB29" s="170">
        <f t="shared" si="79"/>
        <v>0.4200000000000001</v>
      </c>
      <c r="DC29" s="162">
        <f t="shared" si="17"/>
        <v>2.9087113077491566</v>
      </c>
      <c r="DD29" s="171">
        <f t="shared" si="80"/>
        <v>2.9087113077491566</v>
      </c>
      <c r="DE29" s="162"/>
      <c r="DF29" s="162">
        <f t="shared" si="81"/>
        <v>0.4200000000000001</v>
      </c>
      <c r="DG29" s="170">
        <f t="shared" si="82"/>
        <v>0.4200000000000001</v>
      </c>
      <c r="DH29" s="162">
        <f t="shared" si="18"/>
        <v>2.9087113077491566</v>
      </c>
      <c r="DI29" s="171">
        <f t="shared" si="83"/>
        <v>2.9087113077491566</v>
      </c>
      <c r="DJ29" s="162"/>
      <c r="DK29" s="162">
        <f t="shared" si="84"/>
        <v>0.4200000000000001</v>
      </c>
      <c r="DL29" s="162">
        <f t="shared" si="85"/>
        <v>0.4200000000000001</v>
      </c>
      <c r="DM29" s="162">
        <f t="shared" si="19"/>
        <v>2.9087113077491566</v>
      </c>
      <c r="DN29" s="171">
        <f t="shared" si="86"/>
        <v>2.9087113077491566</v>
      </c>
      <c r="DO29" s="162"/>
      <c r="DP29" s="162">
        <f t="shared" si="87"/>
        <v>0.4200000000000001</v>
      </c>
      <c r="DQ29" s="170">
        <f t="shared" si="88"/>
        <v>0.4200000000000001</v>
      </c>
      <c r="DR29" s="162">
        <f t="shared" si="20"/>
        <v>2.9087113077491566</v>
      </c>
      <c r="DS29" s="171">
        <f t="shared" si="89"/>
        <v>2.9087113077491566</v>
      </c>
      <c r="DT29" s="162"/>
      <c r="DU29" s="162">
        <f t="shared" si="90"/>
        <v>0.4200000000000001</v>
      </c>
      <c r="DV29" s="170">
        <f t="shared" si="91"/>
        <v>0.4200000000000001</v>
      </c>
      <c r="DW29" s="162">
        <f t="shared" si="21"/>
        <v>2.9087113077491566</v>
      </c>
      <c r="DX29" s="171">
        <f t="shared" si="92"/>
        <v>2.9087113077491566</v>
      </c>
      <c r="DY29" s="162"/>
      <c r="DZ29" s="162">
        <f t="shared" si="93"/>
        <v>0.4200000000000001</v>
      </c>
      <c r="EA29" s="162">
        <f t="shared" si="94"/>
        <v>0.4200000000000001</v>
      </c>
      <c r="EB29" s="162">
        <f t="shared" si="22"/>
        <v>2.9087113077491566</v>
      </c>
      <c r="EC29" s="171">
        <f t="shared" si="95"/>
        <v>2.9087113077491566</v>
      </c>
      <c r="ED29" s="162"/>
      <c r="EE29" s="162">
        <f t="shared" si="96"/>
        <v>0.4200000000000001</v>
      </c>
      <c r="EF29" s="170">
        <f t="shared" si="97"/>
        <v>0.4200000000000001</v>
      </c>
      <c r="EG29" s="162">
        <f t="shared" si="23"/>
        <v>2.9087113077491566</v>
      </c>
      <c r="EH29" s="171">
        <f t="shared" si="98"/>
        <v>2.9087113077491566</v>
      </c>
      <c r="EI29" s="162"/>
      <c r="EJ29" s="162">
        <f t="shared" si="99"/>
        <v>0.4200000000000001</v>
      </c>
      <c r="EK29" s="170">
        <f t="shared" si="100"/>
        <v>0.4200000000000001</v>
      </c>
      <c r="EL29" s="162">
        <f t="shared" si="24"/>
        <v>2.9087113077491566</v>
      </c>
      <c r="EM29" s="171">
        <f t="shared" si="101"/>
        <v>2.9087113077491566</v>
      </c>
      <c r="EN29" s="162"/>
      <c r="EO29" s="162">
        <f t="shared" si="102"/>
        <v>0.4200000000000001</v>
      </c>
      <c r="EP29" s="162">
        <f t="shared" si="103"/>
        <v>0.4200000000000001</v>
      </c>
      <c r="EQ29" s="162">
        <f t="shared" si="25"/>
        <v>2.9087113077491566</v>
      </c>
      <c r="ER29" s="171">
        <f t="shared" si="104"/>
        <v>2.9087113077491566</v>
      </c>
      <c r="ES29" s="162"/>
      <c r="ET29" s="162">
        <f t="shared" si="105"/>
        <v>0.4200000000000001</v>
      </c>
      <c r="EU29" s="170">
        <f t="shared" si="106"/>
        <v>0.4200000000000001</v>
      </c>
      <c r="EV29" s="162">
        <f t="shared" si="26"/>
        <v>2.9087113077491566</v>
      </c>
      <c r="EW29" s="171">
        <f t="shared" si="107"/>
        <v>2.9087113077491566</v>
      </c>
      <c r="EX29" s="162"/>
    </row>
    <row r="30" spans="3:154" s="181" customFormat="1" ht="14.45" customHeight="1" x14ac:dyDescent="0.25">
      <c r="C30" s="229"/>
      <c r="D30" s="230"/>
      <c r="E30" s="230"/>
      <c r="F30" s="230"/>
      <c r="G30" s="231"/>
      <c r="H30" s="160"/>
      <c r="I30" s="160"/>
      <c r="J30" s="160"/>
      <c r="K30" s="160"/>
      <c r="L30" s="160"/>
      <c r="M30" s="160"/>
      <c r="N30" s="160"/>
      <c r="O30" s="160"/>
      <c r="P30" s="160"/>
      <c r="Q30" s="160"/>
      <c r="R30" s="160"/>
      <c r="S30" s="160"/>
      <c r="T30" s="162">
        <f t="shared" si="27"/>
        <v>0.44000000000000011</v>
      </c>
      <c r="U30" s="170">
        <f t="shared" si="28"/>
        <v>0.44000000000000011</v>
      </c>
      <c r="V30" s="162">
        <f t="shared" si="0"/>
        <v>3.0079039204927991</v>
      </c>
      <c r="W30" s="171">
        <f t="shared" si="29"/>
        <v>3.0079039204927991</v>
      </c>
      <c r="X30" s="162"/>
      <c r="Y30" s="162">
        <f t="shared" si="30"/>
        <v>0.44000000000000011</v>
      </c>
      <c r="Z30" s="162">
        <f t="shared" si="31"/>
        <v>0.44000000000000011</v>
      </c>
      <c r="AA30" s="162">
        <f t="shared" si="1"/>
        <v>3.0079039204927991</v>
      </c>
      <c r="AB30" s="171">
        <f t="shared" si="32"/>
        <v>3.0079039204927991</v>
      </c>
      <c r="AC30" s="162"/>
      <c r="AD30" s="162">
        <f t="shared" si="33"/>
        <v>0.44000000000000011</v>
      </c>
      <c r="AE30" s="170">
        <f t="shared" si="34"/>
        <v>0.44000000000000011</v>
      </c>
      <c r="AF30" s="162">
        <f t="shared" si="2"/>
        <v>3.0079039204927991</v>
      </c>
      <c r="AG30" s="171">
        <f t="shared" si="35"/>
        <v>3.0079039204927991</v>
      </c>
      <c r="AH30" s="162"/>
      <c r="AI30" s="162">
        <f t="shared" si="36"/>
        <v>0.44000000000000011</v>
      </c>
      <c r="AJ30" s="170">
        <f t="shared" si="37"/>
        <v>0.44000000000000011</v>
      </c>
      <c r="AK30" s="162">
        <f t="shared" si="3"/>
        <v>3.0079039204927991</v>
      </c>
      <c r="AL30" s="171">
        <f t="shared" si="38"/>
        <v>3.0079039204927991</v>
      </c>
      <c r="AM30" s="162"/>
      <c r="AN30" s="162">
        <f t="shared" si="39"/>
        <v>0.44000000000000011</v>
      </c>
      <c r="AO30" s="162">
        <f t="shared" si="40"/>
        <v>0.44000000000000011</v>
      </c>
      <c r="AP30" s="162">
        <f t="shared" si="4"/>
        <v>3.0079039204927991</v>
      </c>
      <c r="AQ30" s="171">
        <f t="shared" si="41"/>
        <v>3.0079039204927991</v>
      </c>
      <c r="AR30" s="162"/>
      <c r="AS30" s="162">
        <f t="shared" si="42"/>
        <v>0.44000000000000011</v>
      </c>
      <c r="AT30" s="170">
        <f t="shared" si="43"/>
        <v>0.44000000000000011</v>
      </c>
      <c r="AU30" s="162">
        <f t="shared" si="5"/>
        <v>3.0079039204927991</v>
      </c>
      <c r="AV30" s="171">
        <f t="shared" si="44"/>
        <v>3.0079039204927991</v>
      </c>
      <c r="AW30" s="162"/>
      <c r="AX30" s="162">
        <f t="shared" si="45"/>
        <v>0.44000000000000011</v>
      </c>
      <c r="AY30" s="170">
        <f t="shared" si="46"/>
        <v>0.44000000000000011</v>
      </c>
      <c r="AZ30" s="162">
        <f t="shared" si="6"/>
        <v>3.0079039204927991</v>
      </c>
      <c r="BA30" s="171">
        <f t="shared" si="47"/>
        <v>3.0079039204927991</v>
      </c>
      <c r="BB30" s="162"/>
      <c r="BC30" s="162">
        <f t="shared" si="48"/>
        <v>0.44000000000000011</v>
      </c>
      <c r="BD30" s="162">
        <f t="shared" si="49"/>
        <v>0.44000000000000011</v>
      </c>
      <c r="BE30" s="162">
        <f t="shared" si="7"/>
        <v>3.0079039204927991</v>
      </c>
      <c r="BF30" s="171">
        <f t="shared" si="50"/>
        <v>3.0079039204927991</v>
      </c>
      <c r="BG30" s="162"/>
      <c r="BH30" s="162">
        <f t="shared" si="51"/>
        <v>0.44000000000000011</v>
      </c>
      <c r="BI30" s="170">
        <f t="shared" si="52"/>
        <v>0.44000000000000011</v>
      </c>
      <c r="BJ30" s="162">
        <f t="shared" si="8"/>
        <v>3.0079039204927991</v>
      </c>
      <c r="BK30" s="171">
        <f t="shared" si="53"/>
        <v>3.0079039204927991</v>
      </c>
      <c r="BL30" s="162"/>
      <c r="BM30" s="162">
        <f t="shared" si="54"/>
        <v>0.44000000000000011</v>
      </c>
      <c r="BN30" s="170">
        <f t="shared" si="55"/>
        <v>0.44000000000000011</v>
      </c>
      <c r="BO30" s="162">
        <f t="shared" si="9"/>
        <v>3.0079039204927991</v>
      </c>
      <c r="BP30" s="171">
        <f t="shared" si="56"/>
        <v>3.0079039204927991</v>
      </c>
      <c r="BQ30" s="162"/>
      <c r="BR30" s="162">
        <f t="shared" si="57"/>
        <v>0.44000000000000011</v>
      </c>
      <c r="BS30" s="162">
        <f t="shared" si="58"/>
        <v>0.44000000000000011</v>
      </c>
      <c r="BT30" s="162">
        <f t="shared" si="10"/>
        <v>3.0079039204927991</v>
      </c>
      <c r="BU30" s="171">
        <f t="shared" si="59"/>
        <v>3.0079039204927991</v>
      </c>
      <c r="BV30" s="162"/>
      <c r="BW30" s="162">
        <f t="shared" si="60"/>
        <v>0.44000000000000011</v>
      </c>
      <c r="BX30" s="170">
        <f t="shared" si="61"/>
        <v>0.44000000000000011</v>
      </c>
      <c r="BY30" s="162">
        <f t="shared" si="11"/>
        <v>3.0079039204927991</v>
      </c>
      <c r="BZ30" s="171">
        <f t="shared" si="62"/>
        <v>3.0079039204927991</v>
      </c>
      <c r="CA30" s="162"/>
      <c r="CB30" s="162">
        <f t="shared" si="63"/>
        <v>0.44000000000000011</v>
      </c>
      <c r="CC30" s="170">
        <f t="shared" si="64"/>
        <v>0.44000000000000011</v>
      </c>
      <c r="CD30" s="162">
        <f t="shared" si="12"/>
        <v>3.0079039204927991</v>
      </c>
      <c r="CE30" s="171">
        <f t="shared" si="65"/>
        <v>3.0079039204927991</v>
      </c>
      <c r="CF30" s="162"/>
      <c r="CG30" s="172">
        <f t="shared" si="66"/>
        <v>0.44000000000000011</v>
      </c>
      <c r="CH30" s="172">
        <f t="shared" si="67"/>
        <v>0.44000000000000011</v>
      </c>
      <c r="CI30" s="172">
        <f t="shared" si="13"/>
        <v>3.0079039204927991</v>
      </c>
      <c r="CJ30" s="171">
        <f t="shared" si="68"/>
        <v>3.0079039204927991</v>
      </c>
      <c r="CK30" s="172"/>
      <c r="CL30" s="162">
        <f t="shared" si="69"/>
        <v>0.44000000000000011</v>
      </c>
      <c r="CM30" s="170">
        <f t="shared" si="70"/>
        <v>0.44000000000000011</v>
      </c>
      <c r="CN30" s="162">
        <f t="shared" si="14"/>
        <v>3.0079039204927991</v>
      </c>
      <c r="CO30" s="171">
        <f t="shared" si="71"/>
        <v>3.0079039204927991</v>
      </c>
      <c r="CP30" s="162"/>
      <c r="CQ30" s="162">
        <f t="shared" si="72"/>
        <v>0.44000000000000011</v>
      </c>
      <c r="CR30" s="170">
        <f t="shared" si="73"/>
        <v>0.44000000000000011</v>
      </c>
      <c r="CS30" s="162">
        <f t="shared" si="15"/>
        <v>3.0079039204927991</v>
      </c>
      <c r="CT30" s="171">
        <f t="shared" si="74"/>
        <v>3.0079039204927991</v>
      </c>
      <c r="CU30" s="162"/>
      <c r="CV30" s="162">
        <f t="shared" si="75"/>
        <v>0.44000000000000011</v>
      </c>
      <c r="CW30" s="162">
        <f t="shared" si="76"/>
        <v>0.44000000000000011</v>
      </c>
      <c r="CX30" s="162">
        <f t="shared" si="16"/>
        <v>3.0079039204927991</v>
      </c>
      <c r="CY30" s="171">
        <f t="shared" si="77"/>
        <v>3.0079039204927991</v>
      </c>
      <c r="CZ30" s="162"/>
      <c r="DA30" s="162">
        <f t="shared" si="78"/>
        <v>0.44000000000000011</v>
      </c>
      <c r="DB30" s="170">
        <f t="shared" si="79"/>
        <v>0.44000000000000011</v>
      </c>
      <c r="DC30" s="162">
        <f t="shared" si="17"/>
        <v>3.0079039204927991</v>
      </c>
      <c r="DD30" s="171">
        <f t="shared" si="80"/>
        <v>3.0079039204927991</v>
      </c>
      <c r="DE30" s="162"/>
      <c r="DF30" s="162">
        <f t="shared" si="81"/>
        <v>0.44000000000000011</v>
      </c>
      <c r="DG30" s="170">
        <f t="shared" si="82"/>
        <v>0.44000000000000011</v>
      </c>
      <c r="DH30" s="162">
        <f t="shared" si="18"/>
        <v>3.0079039204927991</v>
      </c>
      <c r="DI30" s="171">
        <f t="shared" si="83"/>
        <v>3.0079039204927991</v>
      </c>
      <c r="DJ30" s="162"/>
      <c r="DK30" s="162">
        <f t="shared" si="84"/>
        <v>0.44000000000000011</v>
      </c>
      <c r="DL30" s="162">
        <f t="shared" si="85"/>
        <v>0.44000000000000011</v>
      </c>
      <c r="DM30" s="162">
        <f t="shared" si="19"/>
        <v>3.0079039204927991</v>
      </c>
      <c r="DN30" s="171">
        <f t="shared" si="86"/>
        <v>3.0079039204927991</v>
      </c>
      <c r="DO30" s="162"/>
      <c r="DP30" s="162">
        <f t="shared" si="87"/>
        <v>0.44000000000000011</v>
      </c>
      <c r="DQ30" s="170">
        <f t="shared" si="88"/>
        <v>0.44000000000000011</v>
      </c>
      <c r="DR30" s="162">
        <f t="shared" si="20"/>
        <v>3.0079039204927991</v>
      </c>
      <c r="DS30" s="171">
        <f t="shared" si="89"/>
        <v>3.0079039204927991</v>
      </c>
      <c r="DT30" s="162"/>
      <c r="DU30" s="162">
        <f t="shared" si="90"/>
        <v>0.44000000000000011</v>
      </c>
      <c r="DV30" s="170">
        <f t="shared" si="91"/>
        <v>0.44000000000000011</v>
      </c>
      <c r="DW30" s="162">
        <f t="shared" si="21"/>
        <v>3.0079039204927991</v>
      </c>
      <c r="DX30" s="171">
        <f t="shared" si="92"/>
        <v>3.0079039204927991</v>
      </c>
      <c r="DY30" s="162"/>
      <c r="DZ30" s="162">
        <f t="shared" si="93"/>
        <v>0.44000000000000011</v>
      </c>
      <c r="EA30" s="162">
        <f t="shared" si="94"/>
        <v>0.44000000000000011</v>
      </c>
      <c r="EB30" s="162">
        <f t="shared" si="22"/>
        <v>3.0079039204927991</v>
      </c>
      <c r="EC30" s="171">
        <f t="shared" si="95"/>
        <v>3.0079039204927991</v>
      </c>
      <c r="ED30" s="162"/>
      <c r="EE30" s="162">
        <f t="shared" si="96"/>
        <v>0.44000000000000011</v>
      </c>
      <c r="EF30" s="170">
        <f t="shared" si="97"/>
        <v>0.44000000000000011</v>
      </c>
      <c r="EG30" s="162">
        <f t="shared" si="23"/>
        <v>3.0079039204927991</v>
      </c>
      <c r="EH30" s="171">
        <f t="shared" si="98"/>
        <v>3.0079039204927991</v>
      </c>
      <c r="EI30" s="162"/>
      <c r="EJ30" s="162">
        <f t="shared" si="99"/>
        <v>0.44000000000000011</v>
      </c>
      <c r="EK30" s="170">
        <f t="shared" si="100"/>
        <v>0.44000000000000011</v>
      </c>
      <c r="EL30" s="162">
        <f t="shared" si="24"/>
        <v>3.0079039204927991</v>
      </c>
      <c r="EM30" s="171">
        <f t="shared" si="101"/>
        <v>3.0079039204927991</v>
      </c>
      <c r="EN30" s="162"/>
      <c r="EO30" s="162">
        <f t="shared" si="102"/>
        <v>0.44000000000000011</v>
      </c>
      <c r="EP30" s="162">
        <f t="shared" si="103"/>
        <v>0.44000000000000011</v>
      </c>
      <c r="EQ30" s="162">
        <f t="shared" si="25"/>
        <v>3.0079039204927991</v>
      </c>
      <c r="ER30" s="171">
        <f t="shared" si="104"/>
        <v>3.0079039204927991</v>
      </c>
      <c r="ES30" s="162"/>
      <c r="ET30" s="162">
        <f t="shared" si="105"/>
        <v>0.44000000000000011</v>
      </c>
      <c r="EU30" s="170">
        <f t="shared" si="106"/>
        <v>0.44000000000000011</v>
      </c>
      <c r="EV30" s="162">
        <f t="shared" si="26"/>
        <v>3.0079039204927991</v>
      </c>
      <c r="EW30" s="171">
        <f t="shared" si="107"/>
        <v>3.0079039204927991</v>
      </c>
      <c r="EX30" s="162"/>
    </row>
    <row r="31" spans="3:154" s="181" customFormat="1" ht="14.45" customHeight="1" x14ac:dyDescent="0.25">
      <c r="C31" s="160"/>
      <c r="D31" s="160"/>
      <c r="E31" s="160"/>
      <c r="F31" s="160"/>
      <c r="G31" s="160"/>
      <c r="H31" s="160"/>
      <c r="I31" s="160"/>
      <c r="J31" s="160"/>
      <c r="K31" s="160"/>
      <c r="L31" s="160"/>
      <c r="M31" s="160"/>
      <c r="N31" s="160"/>
      <c r="O31" s="160"/>
      <c r="P31" s="160"/>
      <c r="Q31" s="160"/>
      <c r="R31" s="160"/>
      <c r="S31" s="160"/>
      <c r="T31" s="162">
        <f t="shared" si="27"/>
        <v>0.46000000000000013</v>
      </c>
      <c r="U31" s="170">
        <f t="shared" si="28"/>
        <v>0.46000000000000013</v>
      </c>
      <c r="V31" s="162">
        <f t="shared" si="0"/>
        <v>3.1043880205085941</v>
      </c>
      <c r="W31" s="171">
        <f t="shared" si="29"/>
        <v>3.1043880205085941</v>
      </c>
      <c r="X31" s="162"/>
      <c r="Y31" s="162">
        <f t="shared" si="30"/>
        <v>0.46000000000000013</v>
      </c>
      <c r="Z31" s="162">
        <f t="shared" si="31"/>
        <v>0.46000000000000013</v>
      </c>
      <c r="AA31" s="162">
        <f t="shared" si="1"/>
        <v>3.1043880205085941</v>
      </c>
      <c r="AB31" s="171">
        <f t="shared" si="32"/>
        <v>3.1043880205085941</v>
      </c>
      <c r="AC31" s="162"/>
      <c r="AD31" s="162">
        <f t="shared" si="33"/>
        <v>0.46000000000000013</v>
      </c>
      <c r="AE31" s="170">
        <f t="shared" si="34"/>
        <v>0.46000000000000013</v>
      </c>
      <c r="AF31" s="162">
        <f t="shared" si="2"/>
        <v>3.1043880205085941</v>
      </c>
      <c r="AG31" s="171">
        <f t="shared" si="35"/>
        <v>3.1043880205085941</v>
      </c>
      <c r="AH31" s="162"/>
      <c r="AI31" s="162">
        <f t="shared" si="36"/>
        <v>0.46000000000000013</v>
      </c>
      <c r="AJ31" s="170">
        <f t="shared" si="37"/>
        <v>0.46000000000000013</v>
      </c>
      <c r="AK31" s="162">
        <f t="shared" si="3"/>
        <v>3.1043880205085941</v>
      </c>
      <c r="AL31" s="171">
        <f t="shared" si="38"/>
        <v>3.1043880205085941</v>
      </c>
      <c r="AM31" s="162"/>
      <c r="AN31" s="162">
        <f t="shared" si="39"/>
        <v>0.46000000000000013</v>
      </c>
      <c r="AO31" s="162">
        <f t="shared" si="40"/>
        <v>0.46000000000000013</v>
      </c>
      <c r="AP31" s="162">
        <f t="shared" si="4"/>
        <v>3.1043880205085941</v>
      </c>
      <c r="AQ31" s="171">
        <f t="shared" si="41"/>
        <v>3.1043880205085941</v>
      </c>
      <c r="AR31" s="162"/>
      <c r="AS31" s="162">
        <f t="shared" si="42"/>
        <v>0.46000000000000013</v>
      </c>
      <c r="AT31" s="170">
        <f t="shared" si="43"/>
        <v>0.46000000000000013</v>
      </c>
      <c r="AU31" s="162">
        <f t="shared" si="5"/>
        <v>3.1043880205085941</v>
      </c>
      <c r="AV31" s="171">
        <f t="shared" si="44"/>
        <v>3.1043880205085941</v>
      </c>
      <c r="AW31" s="162"/>
      <c r="AX31" s="162">
        <f t="shared" si="45"/>
        <v>0.46000000000000013</v>
      </c>
      <c r="AY31" s="170">
        <f t="shared" si="46"/>
        <v>0.46000000000000013</v>
      </c>
      <c r="AZ31" s="162">
        <f t="shared" si="6"/>
        <v>3.1043880205085941</v>
      </c>
      <c r="BA31" s="171">
        <f t="shared" si="47"/>
        <v>3.1043880205085941</v>
      </c>
      <c r="BB31" s="162"/>
      <c r="BC31" s="162">
        <f t="shared" si="48"/>
        <v>0.46000000000000013</v>
      </c>
      <c r="BD31" s="162">
        <f t="shared" si="49"/>
        <v>0.46000000000000013</v>
      </c>
      <c r="BE31" s="162">
        <f t="shared" si="7"/>
        <v>3.1043880205085941</v>
      </c>
      <c r="BF31" s="171">
        <f t="shared" si="50"/>
        <v>3.1043880205085941</v>
      </c>
      <c r="BG31" s="162"/>
      <c r="BH31" s="162">
        <f t="shared" si="51"/>
        <v>0.46000000000000013</v>
      </c>
      <c r="BI31" s="170">
        <f t="shared" si="52"/>
        <v>0.46000000000000013</v>
      </c>
      <c r="BJ31" s="162">
        <f t="shared" si="8"/>
        <v>3.1043880205085941</v>
      </c>
      <c r="BK31" s="171">
        <f t="shared" si="53"/>
        <v>3.1043880205085941</v>
      </c>
      <c r="BL31" s="162"/>
      <c r="BM31" s="162">
        <f t="shared" si="54"/>
        <v>0.46000000000000013</v>
      </c>
      <c r="BN31" s="170">
        <f t="shared" si="55"/>
        <v>0.46000000000000013</v>
      </c>
      <c r="BO31" s="162">
        <f t="shared" si="9"/>
        <v>3.1043880205085941</v>
      </c>
      <c r="BP31" s="171">
        <f t="shared" si="56"/>
        <v>3.1043880205085941</v>
      </c>
      <c r="BQ31" s="162"/>
      <c r="BR31" s="162">
        <f t="shared" si="57"/>
        <v>0.46000000000000013</v>
      </c>
      <c r="BS31" s="162">
        <f t="shared" si="58"/>
        <v>0.46000000000000013</v>
      </c>
      <c r="BT31" s="162">
        <f t="shared" si="10"/>
        <v>3.1043880205085941</v>
      </c>
      <c r="BU31" s="171">
        <f t="shared" si="59"/>
        <v>3.1043880205085941</v>
      </c>
      <c r="BV31" s="162"/>
      <c r="BW31" s="162">
        <f t="shared" si="60"/>
        <v>0.46000000000000013</v>
      </c>
      <c r="BX31" s="170">
        <f t="shared" si="61"/>
        <v>0.46000000000000013</v>
      </c>
      <c r="BY31" s="162">
        <f t="shared" si="11"/>
        <v>3.1043880205085941</v>
      </c>
      <c r="BZ31" s="171">
        <f t="shared" si="62"/>
        <v>3.1043880205085941</v>
      </c>
      <c r="CA31" s="162"/>
      <c r="CB31" s="162">
        <f t="shared" si="63"/>
        <v>0.46000000000000013</v>
      </c>
      <c r="CC31" s="170">
        <f t="shared" si="64"/>
        <v>0.46000000000000013</v>
      </c>
      <c r="CD31" s="162">
        <f t="shared" si="12"/>
        <v>3.1043880205085941</v>
      </c>
      <c r="CE31" s="171">
        <f t="shared" si="65"/>
        <v>3.1043880205085941</v>
      </c>
      <c r="CF31" s="162"/>
      <c r="CG31" s="172">
        <f t="shared" si="66"/>
        <v>0.46000000000000013</v>
      </c>
      <c r="CH31" s="172">
        <f t="shared" si="67"/>
        <v>0.46000000000000013</v>
      </c>
      <c r="CI31" s="172">
        <f t="shared" si="13"/>
        <v>3.1043880205085941</v>
      </c>
      <c r="CJ31" s="171">
        <f t="shared" si="68"/>
        <v>3.1043880205085941</v>
      </c>
      <c r="CK31" s="172"/>
      <c r="CL31" s="162">
        <f t="shared" si="69"/>
        <v>0.46000000000000013</v>
      </c>
      <c r="CM31" s="170">
        <f t="shared" si="70"/>
        <v>0.46000000000000013</v>
      </c>
      <c r="CN31" s="162">
        <f t="shared" si="14"/>
        <v>3.1043880205085941</v>
      </c>
      <c r="CO31" s="171">
        <f t="shared" si="71"/>
        <v>3.1043880205085941</v>
      </c>
      <c r="CP31" s="162"/>
      <c r="CQ31" s="162">
        <f t="shared" si="72"/>
        <v>0.46000000000000013</v>
      </c>
      <c r="CR31" s="170">
        <f t="shared" si="73"/>
        <v>0.46000000000000013</v>
      </c>
      <c r="CS31" s="162">
        <f t="shared" si="15"/>
        <v>3.1043880205085941</v>
      </c>
      <c r="CT31" s="171">
        <f t="shared" si="74"/>
        <v>3.1043880205085941</v>
      </c>
      <c r="CU31" s="162"/>
      <c r="CV31" s="162">
        <f t="shared" si="75"/>
        <v>0.46000000000000013</v>
      </c>
      <c r="CW31" s="162">
        <f t="shared" si="76"/>
        <v>0.46000000000000013</v>
      </c>
      <c r="CX31" s="162">
        <f t="shared" si="16"/>
        <v>3.1043880205085941</v>
      </c>
      <c r="CY31" s="171">
        <f t="shared" si="77"/>
        <v>3.1043880205085941</v>
      </c>
      <c r="CZ31" s="162"/>
      <c r="DA31" s="162">
        <f t="shared" si="78"/>
        <v>0.46000000000000013</v>
      </c>
      <c r="DB31" s="170">
        <f t="shared" si="79"/>
        <v>0.46000000000000013</v>
      </c>
      <c r="DC31" s="162">
        <f t="shared" si="17"/>
        <v>3.1043880205085941</v>
      </c>
      <c r="DD31" s="171">
        <f t="shared" si="80"/>
        <v>3.1043880205085941</v>
      </c>
      <c r="DE31" s="162"/>
      <c r="DF31" s="162">
        <f t="shared" si="81"/>
        <v>0.46000000000000013</v>
      </c>
      <c r="DG31" s="170">
        <f t="shared" si="82"/>
        <v>0.46000000000000013</v>
      </c>
      <c r="DH31" s="162">
        <f t="shared" si="18"/>
        <v>3.1043880205085941</v>
      </c>
      <c r="DI31" s="171">
        <f t="shared" si="83"/>
        <v>3.1043880205085941</v>
      </c>
      <c r="DJ31" s="162"/>
      <c r="DK31" s="162">
        <f t="shared" si="84"/>
        <v>0.46000000000000013</v>
      </c>
      <c r="DL31" s="162">
        <f t="shared" si="85"/>
        <v>0.46000000000000013</v>
      </c>
      <c r="DM31" s="162">
        <f t="shared" si="19"/>
        <v>3.1043880205085941</v>
      </c>
      <c r="DN31" s="171">
        <f t="shared" si="86"/>
        <v>3.1043880205085941</v>
      </c>
      <c r="DO31" s="162"/>
      <c r="DP31" s="162">
        <f t="shared" si="87"/>
        <v>0.46000000000000013</v>
      </c>
      <c r="DQ31" s="170">
        <f t="shared" si="88"/>
        <v>0.46000000000000013</v>
      </c>
      <c r="DR31" s="162">
        <f t="shared" si="20"/>
        <v>3.1043880205085941</v>
      </c>
      <c r="DS31" s="171">
        <f t="shared" si="89"/>
        <v>3.1043880205085941</v>
      </c>
      <c r="DT31" s="162"/>
      <c r="DU31" s="162">
        <f t="shared" si="90"/>
        <v>0.46000000000000013</v>
      </c>
      <c r="DV31" s="170">
        <f t="shared" si="91"/>
        <v>0.46000000000000013</v>
      </c>
      <c r="DW31" s="162">
        <f t="shared" si="21"/>
        <v>3.1043880205085941</v>
      </c>
      <c r="DX31" s="171">
        <f t="shared" si="92"/>
        <v>3.1043880205085941</v>
      </c>
      <c r="DY31" s="162"/>
      <c r="DZ31" s="162">
        <f t="shared" si="93"/>
        <v>0.46000000000000013</v>
      </c>
      <c r="EA31" s="162">
        <f t="shared" si="94"/>
        <v>0.46000000000000013</v>
      </c>
      <c r="EB31" s="162">
        <f t="shared" si="22"/>
        <v>3.1043880205085941</v>
      </c>
      <c r="EC31" s="171">
        <f t="shared" si="95"/>
        <v>3.1043880205085941</v>
      </c>
      <c r="ED31" s="162"/>
      <c r="EE31" s="162">
        <f t="shared" si="96"/>
        <v>0.46000000000000013</v>
      </c>
      <c r="EF31" s="170">
        <f t="shared" si="97"/>
        <v>0.46000000000000013</v>
      </c>
      <c r="EG31" s="162">
        <f t="shared" si="23"/>
        <v>3.1043880205085941</v>
      </c>
      <c r="EH31" s="171">
        <f t="shared" si="98"/>
        <v>3.1043880205085941</v>
      </c>
      <c r="EI31" s="162"/>
      <c r="EJ31" s="162">
        <f t="shared" si="99"/>
        <v>0.46000000000000013</v>
      </c>
      <c r="EK31" s="170">
        <f t="shared" si="100"/>
        <v>0.46000000000000013</v>
      </c>
      <c r="EL31" s="162">
        <f t="shared" si="24"/>
        <v>3.1043880205085941</v>
      </c>
      <c r="EM31" s="171">
        <f t="shared" si="101"/>
        <v>3.1043880205085941</v>
      </c>
      <c r="EN31" s="162"/>
      <c r="EO31" s="162">
        <f t="shared" si="102"/>
        <v>0.46000000000000013</v>
      </c>
      <c r="EP31" s="162">
        <f t="shared" si="103"/>
        <v>0.46000000000000013</v>
      </c>
      <c r="EQ31" s="162">
        <f t="shared" si="25"/>
        <v>3.1043880205085941</v>
      </c>
      <c r="ER31" s="171">
        <f t="shared" si="104"/>
        <v>3.1043880205085941</v>
      </c>
      <c r="ES31" s="162"/>
      <c r="ET31" s="162">
        <f t="shared" si="105"/>
        <v>0.46000000000000013</v>
      </c>
      <c r="EU31" s="170">
        <f t="shared" si="106"/>
        <v>0.46000000000000013</v>
      </c>
      <c r="EV31" s="162">
        <f t="shared" si="26"/>
        <v>3.1043880205085941</v>
      </c>
      <c r="EW31" s="171">
        <f t="shared" si="107"/>
        <v>3.1043880205085941</v>
      </c>
      <c r="EX31" s="162"/>
    </row>
    <row r="32" spans="3:154" s="181" customFormat="1" ht="14.45" customHeight="1" x14ac:dyDescent="0.25">
      <c r="C32" s="223" t="s">
        <v>351</v>
      </c>
      <c r="D32" s="224"/>
      <c r="E32" s="224"/>
      <c r="F32" s="224"/>
      <c r="G32" s="225"/>
      <c r="H32" s="160"/>
      <c r="I32" s="160"/>
      <c r="J32" s="160"/>
      <c r="K32" s="160"/>
      <c r="L32" s="160"/>
      <c r="M32" s="160"/>
      <c r="N32" s="160"/>
      <c r="O32" s="160"/>
      <c r="P32" s="160"/>
      <c r="Q32" s="160"/>
      <c r="R32" s="160"/>
      <c r="S32" s="160"/>
      <c r="T32" s="162">
        <f t="shared" si="27"/>
        <v>0.48000000000000015</v>
      </c>
      <c r="U32" s="170">
        <f t="shared" si="28"/>
        <v>0.48000000000000015</v>
      </c>
      <c r="V32" s="162">
        <f t="shared" si="0"/>
        <v>3.1981636077965416</v>
      </c>
      <c r="W32" s="171">
        <f t="shared" si="29"/>
        <v>3.1981636077965416</v>
      </c>
      <c r="X32" s="162"/>
      <c r="Y32" s="162">
        <f t="shared" si="30"/>
        <v>0.48000000000000015</v>
      </c>
      <c r="Z32" s="162">
        <f t="shared" si="31"/>
        <v>0.48000000000000015</v>
      </c>
      <c r="AA32" s="162">
        <f t="shared" si="1"/>
        <v>3.1981636077965416</v>
      </c>
      <c r="AB32" s="171">
        <f t="shared" si="32"/>
        <v>3.1981636077965416</v>
      </c>
      <c r="AC32" s="162"/>
      <c r="AD32" s="162">
        <f t="shared" si="33"/>
        <v>0.48000000000000015</v>
      </c>
      <c r="AE32" s="170">
        <f t="shared" si="34"/>
        <v>0.48000000000000015</v>
      </c>
      <c r="AF32" s="162">
        <f t="shared" si="2"/>
        <v>3.1981636077965416</v>
      </c>
      <c r="AG32" s="171">
        <f t="shared" si="35"/>
        <v>3.1981636077965416</v>
      </c>
      <c r="AH32" s="162"/>
      <c r="AI32" s="162">
        <f t="shared" si="36"/>
        <v>0.48000000000000015</v>
      </c>
      <c r="AJ32" s="170">
        <f t="shared" si="37"/>
        <v>0.48000000000000015</v>
      </c>
      <c r="AK32" s="162">
        <f t="shared" si="3"/>
        <v>3.1981636077965416</v>
      </c>
      <c r="AL32" s="171">
        <f t="shared" si="38"/>
        <v>3.1981636077965416</v>
      </c>
      <c r="AM32" s="162"/>
      <c r="AN32" s="162">
        <f t="shared" si="39"/>
        <v>0.48000000000000015</v>
      </c>
      <c r="AO32" s="162">
        <f t="shared" si="40"/>
        <v>0.48000000000000015</v>
      </c>
      <c r="AP32" s="162">
        <f t="shared" si="4"/>
        <v>3.1981636077965416</v>
      </c>
      <c r="AQ32" s="171">
        <f t="shared" si="41"/>
        <v>3.1981636077965416</v>
      </c>
      <c r="AR32" s="162"/>
      <c r="AS32" s="162">
        <f t="shared" si="42"/>
        <v>0.48000000000000015</v>
      </c>
      <c r="AT32" s="170">
        <f t="shared" si="43"/>
        <v>0.48000000000000015</v>
      </c>
      <c r="AU32" s="162">
        <f t="shared" si="5"/>
        <v>3.1981636077965416</v>
      </c>
      <c r="AV32" s="171">
        <f t="shared" si="44"/>
        <v>3.1981636077965416</v>
      </c>
      <c r="AW32" s="162"/>
      <c r="AX32" s="162">
        <f t="shared" si="45"/>
        <v>0.48000000000000015</v>
      </c>
      <c r="AY32" s="170">
        <f t="shared" si="46"/>
        <v>0.48000000000000015</v>
      </c>
      <c r="AZ32" s="162">
        <f t="shared" si="6"/>
        <v>3.1981636077965416</v>
      </c>
      <c r="BA32" s="171">
        <f t="shared" si="47"/>
        <v>3.1981636077965416</v>
      </c>
      <c r="BB32" s="162"/>
      <c r="BC32" s="162">
        <f t="shared" si="48"/>
        <v>0.48000000000000015</v>
      </c>
      <c r="BD32" s="162">
        <f t="shared" si="49"/>
        <v>0.48000000000000015</v>
      </c>
      <c r="BE32" s="162">
        <f t="shared" si="7"/>
        <v>3.1981636077965416</v>
      </c>
      <c r="BF32" s="171">
        <f t="shared" si="50"/>
        <v>3.1981636077965416</v>
      </c>
      <c r="BG32" s="162"/>
      <c r="BH32" s="162">
        <f t="shared" si="51"/>
        <v>0.48000000000000015</v>
      </c>
      <c r="BI32" s="170">
        <f t="shared" si="52"/>
        <v>0.48000000000000015</v>
      </c>
      <c r="BJ32" s="162">
        <f t="shared" si="8"/>
        <v>3.1981636077965416</v>
      </c>
      <c r="BK32" s="171">
        <f t="shared" si="53"/>
        <v>3.1981636077965416</v>
      </c>
      <c r="BL32" s="162"/>
      <c r="BM32" s="162">
        <f t="shared" si="54"/>
        <v>0.48000000000000015</v>
      </c>
      <c r="BN32" s="170">
        <f t="shared" si="55"/>
        <v>0.48000000000000015</v>
      </c>
      <c r="BO32" s="162">
        <f t="shared" si="9"/>
        <v>3.1981636077965416</v>
      </c>
      <c r="BP32" s="171">
        <f t="shared" si="56"/>
        <v>3.1981636077965416</v>
      </c>
      <c r="BQ32" s="162"/>
      <c r="BR32" s="162">
        <f t="shared" si="57"/>
        <v>0.48000000000000015</v>
      </c>
      <c r="BS32" s="162">
        <f t="shared" si="58"/>
        <v>0.48000000000000015</v>
      </c>
      <c r="BT32" s="162">
        <f t="shared" si="10"/>
        <v>3.1981636077965416</v>
      </c>
      <c r="BU32" s="171">
        <f t="shared" si="59"/>
        <v>3.1981636077965416</v>
      </c>
      <c r="BV32" s="162"/>
      <c r="BW32" s="162">
        <f t="shared" si="60"/>
        <v>0.48000000000000015</v>
      </c>
      <c r="BX32" s="170">
        <f t="shared" si="61"/>
        <v>0.48000000000000015</v>
      </c>
      <c r="BY32" s="162">
        <f t="shared" si="11"/>
        <v>3.1981636077965416</v>
      </c>
      <c r="BZ32" s="171">
        <f t="shared" si="62"/>
        <v>3.1981636077965416</v>
      </c>
      <c r="CA32" s="162"/>
      <c r="CB32" s="162">
        <f t="shared" si="63"/>
        <v>0.48000000000000015</v>
      </c>
      <c r="CC32" s="170">
        <f t="shared" si="64"/>
        <v>0.48000000000000015</v>
      </c>
      <c r="CD32" s="162">
        <f t="shared" si="12"/>
        <v>3.1981636077965416</v>
      </c>
      <c r="CE32" s="171">
        <f t="shared" si="65"/>
        <v>3.1981636077965416</v>
      </c>
      <c r="CF32" s="162"/>
      <c r="CG32" s="172">
        <f t="shared" si="66"/>
        <v>0.48000000000000015</v>
      </c>
      <c r="CH32" s="172">
        <f t="shared" si="67"/>
        <v>0.48000000000000015</v>
      </c>
      <c r="CI32" s="172">
        <f t="shared" si="13"/>
        <v>3.1981636077965416</v>
      </c>
      <c r="CJ32" s="171">
        <f t="shared" si="68"/>
        <v>3.1981636077965416</v>
      </c>
      <c r="CK32" s="172"/>
      <c r="CL32" s="162">
        <f t="shared" si="69"/>
        <v>0.48000000000000015</v>
      </c>
      <c r="CM32" s="170">
        <f t="shared" si="70"/>
        <v>0.48000000000000015</v>
      </c>
      <c r="CN32" s="162">
        <f t="shared" si="14"/>
        <v>3.1981636077965416</v>
      </c>
      <c r="CO32" s="171">
        <f t="shared" si="71"/>
        <v>3.1981636077965416</v>
      </c>
      <c r="CP32" s="162"/>
      <c r="CQ32" s="162">
        <f t="shared" si="72"/>
        <v>0.48000000000000015</v>
      </c>
      <c r="CR32" s="170">
        <f t="shared" si="73"/>
        <v>0.48000000000000015</v>
      </c>
      <c r="CS32" s="162">
        <f t="shared" si="15"/>
        <v>3.1981636077965416</v>
      </c>
      <c r="CT32" s="171">
        <f t="shared" si="74"/>
        <v>3.1981636077965416</v>
      </c>
      <c r="CU32" s="162"/>
      <c r="CV32" s="162">
        <f t="shared" si="75"/>
        <v>0.48000000000000015</v>
      </c>
      <c r="CW32" s="162">
        <f t="shared" si="76"/>
        <v>0.48000000000000015</v>
      </c>
      <c r="CX32" s="162">
        <f t="shared" si="16"/>
        <v>3.1981636077965416</v>
      </c>
      <c r="CY32" s="171">
        <f t="shared" si="77"/>
        <v>3.1981636077965416</v>
      </c>
      <c r="CZ32" s="162"/>
      <c r="DA32" s="162">
        <f t="shared" si="78"/>
        <v>0.48000000000000015</v>
      </c>
      <c r="DB32" s="170">
        <f t="shared" si="79"/>
        <v>0.48000000000000015</v>
      </c>
      <c r="DC32" s="162">
        <f t="shared" si="17"/>
        <v>3.1981636077965416</v>
      </c>
      <c r="DD32" s="171">
        <f t="shared" si="80"/>
        <v>3.1981636077965416</v>
      </c>
      <c r="DE32" s="162"/>
      <c r="DF32" s="162">
        <f t="shared" si="81"/>
        <v>0.48000000000000015</v>
      </c>
      <c r="DG32" s="170">
        <f t="shared" si="82"/>
        <v>0.48000000000000015</v>
      </c>
      <c r="DH32" s="162">
        <f t="shared" si="18"/>
        <v>3.1981636077965416</v>
      </c>
      <c r="DI32" s="171">
        <f t="shared" si="83"/>
        <v>3.1981636077965416</v>
      </c>
      <c r="DJ32" s="162"/>
      <c r="DK32" s="162">
        <f t="shared" si="84"/>
        <v>0.48000000000000015</v>
      </c>
      <c r="DL32" s="162">
        <f t="shared" si="85"/>
        <v>0.48000000000000015</v>
      </c>
      <c r="DM32" s="162">
        <f t="shared" si="19"/>
        <v>3.1981636077965416</v>
      </c>
      <c r="DN32" s="171">
        <f t="shared" si="86"/>
        <v>3.1981636077965416</v>
      </c>
      <c r="DO32" s="162"/>
      <c r="DP32" s="162">
        <f t="shared" si="87"/>
        <v>0.48000000000000015</v>
      </c>
      <c r="DQ32" s="170">
        <f t="shared" si="88"/>
        <v>0.48000000000000015</v>
      </c>
      <c r="DR32" s="162">
        <f t="shared" si="20"/>
        <v>3.1981636077965416</v>
      </c>
      <c r="DS32" s="171">
        <f t="shared" si="89"/>
        <v>3.1981636077965416</v>
      </c>
      <c r="DT32" s="162"/>
      <c r="DU32" s="162">
        <f t="shared" si="90"/>
        <v>0.48000000000000015</v>
      </c>
      <c r="DV32" s="170">
        <f t="shared" si="91"/>
        <v>0.48000000000000015</v>
      </c>
      <c r="DW32" s="162">
        <f t="shared" si="21"/>
        <v>3.1981636077965416</v>
      </c>
      <c r="DX32" s="171">
        <f t="shared" si="92"/>
        <v>3.1981636077965416</v>
      </c>
      <c r="DY32" s="162"/>
      <c r="DZ32" s="162">
        <f t="shared" si="93"/>
        <v>0.48000000000000015</v>
      </c>
      <c r="EA32" s="162">
        <f t="shared" si="94"/>
        <v>0.48000000000000015</v>
      </c>
      <c r="EB32" s="162">
        <f t="shared" si="22"/>
        <v>3.1981636077965416</v>
      </c>
      <c r="EC32" s="171">
        <f t="shared" si="95"/>
        <v>3.1981636077965416</v>
      </c>
      <c r="ED32" s="162"/>
      <c r="EE32" s="162">
        <f t="shared" si="96"/>
        <v>0.48000000000000015</v>
      </c>
      <c r="EF32" s="170">
        <f t="shared" si="97"/>
        <v>0.48000000000000015</v>
      </c>
      <c r="EG32" s="162">
        <f t="shared" si="23"/>
        <v>3.1981636077965416</v>
      </c>
      <c r="EH32" s="171">
        <f t="shared" si="98"/>
        <v>3.1981636077965416</v>
      </c>
      <c r="EI32" s="162"/>
      <c r="EJ32" s="162">
        <f t="shared" si="99"/>
        <v>0.48000000000000015</v>
      </c>
      <c r="EK32" s="170">
        <f t="shared" si="100"/>
        <v>0.48000000000000015</v>
      </c>
      <c r="EL32" s="162">
        <f t="shared" si="24"/>
        <v>3.1981636077965416</v>
      </c>
      <c r="EM32" s="171">
        <f t="shared" si="101"/>
        <v>3.1981636077965416</v>
      </c>
      <c r="EN32" s="162"/>
      <c r="EO32" s="162">
        <f t="shared" si="102"/>
        <v>0.48000000000000015</v>
      </c>
      <c r="EP32" s="162">
        <f t="shared" si="103"/>
        <v>0.48000000000000015</v>
      </c>
      <c r="EQ32" s="162">
        <f t="shared" si="25"/>
        <v>3.1981636077965416</v>
      </c>
      <c r="ER32" s="171">
        <f t="shared" si="104"/>
        <v>3.1981636077965416</v>
      </c>
      <c r="ES32" s="162"/>
      <c r="ET32" s="162">
        <f t="shared" si="105"/>
        <v>0.48000000000000015</v>
      </c>
      <c r="EU32" s="170">
        <f t="shared" si="106"/>
        <v>0.48000000000000015</v>
      </c>
      <c r="EV32" s="162">
        <f t="shared" si="26"/>
        <v>3.1981636077965416</v>
      </c>
      <c r="EW32" s="171">
        <f t="shared" si="107"/>
        <v>3.1981636077965416</v>
      </c>
      <c r="EX32" s="162"/>
    </row>
    <row r="33" spans="3:154" s="181" customFormat="1" ht="15" customHeight="1" x14ac:dyDescent="0.25">
      <c r="C33" s="226"/>
      <c r="D33" s="227"/>
      <c r="E33" s="227"/>
      <c r="F33" s="227"/>
      <c r="G33" s="228"/>
      <c r="T33" s="162">
        <f t="shared" si="27"/>
        <v>0.50000000000000011</v>
      </c>
      <c r="U33" s="170">
        <f t="shared" si="28"/>
        <v>0.50000000000000011</v>
      </c>
      <c r="V33" s="162">
        <f t="shared" si="0"/>
        <v>3.2892306823566422</v>
      </c>
      <c r="W33" s="171">
        <f t="shared" si="29"/>
        <v>3.2892306823566422</v>
      </c>
      <c r="X33" s="162"/>
      <c r="Y33" s="162">
        <f t="shared" si="30"/>
        <v>0.50000000000000011</v>
      </c>
      <c r="Z33" s="162">
        <f t="shared" si="31"/>
        <v>0.50000000000000011</v>
      </c>
      <c r="AA33" s="162">
        <f t="shared" si="1"/>
        <v>3.2892306823566422</v>
      </c>
      <c r="AB33" s="171">
        <f t="shared" si="32"/>
        <v>3.2892306823566422</v>
      </c>
      <c r="AC33" s="162"/>
      <c r="AD33" s="162">
        <f t="shared" si="33"/>
        <v>0.50000000000000011</v>
      </c>
      <c r="AE33" s="170">
        <f t="shared" si="34"/>
        <v>0.50000000000000011</v>
      </c>
      <c r="AF33" s="162">
        <f t="shared" si="2"/>
        <v>3.2892306823566422</v>
      </c>
      <c r="AG33" s="171">
        <f t="shared" si="35"/>
        <v>3.2892306823566422</v>
      </c>
      <c r="AH33" s="162"/>
      <c r="AI33" s="162">
        <f t="shared" si="36"/>
        <v>0.50000000000000011</v>
      </c>
      <c r="AJ33" s="170">
        <f t="shared" si="37"/>
        <v>0.50000000000000011</v>
      </c>
      <c r="AK33" s="162">
        <f t="shared" si="3"/>
        <v>3.2892306823566422</v>
      </c>
      <c r="AL33" s="171">
        <f t="shared" si="38"/>
        <v>3.2892306823566422</v>
      </c>
      <c r="AM33" s="162"/>
      <c r="AN33" s="162">
        <f t="shared" si="39"/>
        <v>0.50000000000000011</v>
      </c>
      <c r="AO33" s="162">
        <f t="shared" si="40"/>
        <v>0.50000000000000011</v>
      </c>
      <c r="AP33" s="162">
        <f t="shared" si="4"/>
        <v>3.2892306823566422</v>
      </c>
      <c r="AQ33" s="171">
        <f t="shared" si="41"/>
        <v>3.2892306823566422</v>
      </c>
      <c r="AR33" s="162"/>
      <c r="AS33" s="162">
        <f t="shared" si="42"/>
        <v>0.50000000000000011</v>
      </c>
      <c r="AT33" s="170">
        <f t="shared" si="43"/>
        <v>0.50000000000000011</v>
      </c>
      <c r="AU33" s="162">
        <f t="shared" si="5"/>
        <v>3.2892306823566422</v>
      </c>
      <c r="AV33" s="171">
        <f t="shared" si="44"/>
        <v>3.2892306823566422</v>
      </c>
      <c r="AW33" s="162"/>
      <c r="AX33" s="162">
        <f t="shared" si="45"/>
        <v>0.50000000000000011</v>
      </c>
      <c r="AY33" s="170">
        <f t="shared" si="46"/>
        <v>0.50000000000000011</v>
      </c>
      <c r="AZ33" s="162">
        <f t="shared" si="6"/>
        <v>3.2892306823566422</v>
      </c>
      <c r="BA33" s="171">
        <f t="shared" si="47"/>
        <v>3.2892306823566422</v>
      </c>
      <c r="BB33" s="162"/>
      <c r="BC33" s="162">
        <f t="shared" si="48"/>
        <v>0.50000000000000011</v>
      </c>
      <c r="BD33" s="162">
        <f t="shared" si="49"/>
        <v>0.50000000000000011</v>
      </c>
      <c r="BE33" s="162">
        <f t="shared" si="7"/>
        <v>3.2892306823566422</v>
      </c>
      <c r="BF33" s="171">
        <f t="shared" si="50"/>
        <v>3.2892306823566422</v>
      </c>
      <c r="BG33" s="162"/>
      <c r="BH33" s="162">
        <f t="shared" si="51"/>
        <v>0.50000000000000011</v>
      </c>
      <c r="BI33" s="170">
        <f t="shared" si="52"/>
        <v>0.50000000000000011</v>
      </c>
      <c r="BJ33" s="162">
        <f t="shared" si="8"/>
        <v>3.2892306823566422</v>
      </c>
      <c r="BK33" s="171">
        <f t="shared" si="53"/>
        <v>3.2892306823566422</v>
      </c>
      <c r="BL33" s="162"/>
      <c r="BM33" s="162">
        <f t="shared" si="54"/>
        <v>0.50000000000000011</v>
      </c>
      <c r="BN33" s="170">
        <f t="shared" si="55"/>
        <v>0.50000000000000011</v>
      </c>
      <c r="BO33" s="162">
        <f t="shared" si="9"/>
        <v>3.2892306823566422</v>
      </c>
      <c r="BP33" s="171">
        <f t="shared" si="56"/>
        <v>3.2892306823566422</v>
      </c>
      <c r="BQ33" s="162"/>
      <c r="BR33" s="162">
        <f t="shared" si="57"/>
        <v>0.50000000000000011</v>
      </c>
      <c r="BS33" s="162">
        <f t="shared" si="58"/>
        <v>0.50000000000000011</v>
      </c>
      <c r="BT33" s="162">
        <f t="shared" si="10"/>
        <v>3.2892306823566422</v>
      </c>
      <c r="BU33" s="171">
        <f t="shared" si="59"/>
        <v>3.2892306823566422</v>
      </c>
      <c r="BV33" s="162"/>
      <c r="BW33" s="162">
        <f t="shared" si="60"/>
        <v>0.50000000000000011</v>
      </c>
      <c r="BX33" s="170">
        <f t="shared" si="61"/>
        <v>0.50000000000000011</v>
      </c>
      <c r="BY33" s="162">
        <f t="shared" si="11"/>
        <v>3.2892306823566422</v>
      </c>
      <c r="BZ33" s="171">
        <f t="shared" si="62"/>
        <v>3.2892306823566422</v>
      </c>
      <c r="CA33" s="162"/>
      <c r="CB33" s="162">
        <f t="shared" si="63"/>
        <v>0.50000000000000011</v>
      </c>
      <c r="CC33" s="170">
        <f t="shared" si="64"/>
        <v>0.50000000000000011</v>
      </c>
      <c r="CD33" s="162">
        <f t="shared" si="12"/>
        <v>3.2892306823566422</v>
      </c>
      <c r="CE33" s="171">
        <f t="shared" si="65"/>
        <v>3.2892306823566422</v>
      </c>
      <c r="CF33" s="162"/>
      <c r="CG33" s="172">
        <f t="shared" si="66"/>
        <v>0.50000000000000011</v>
      </c>
      <c r="CH33" s="172">
        <f t="shared" si="67"/>
        <v>0.50000000000000011</v>
      </c>
      <c r="CI33" s="172">
        <f t="shared" si="13"/>
        <v>3.2892306823566422</v>
      </c>
      <c r="CJ33" s="171">
        <f t="shared" si="68"/>
        <v>3.2892306823566422</v>
      </c>
      <c r="CK33" s="172"/>
      <c r="CL33" s="162">
        <f t="shared" si="69"/>
        <v>0.50000000000000011</v>
      </c>
      <c r="CM33" s="170">
        <f t="shared" si="70"/>
        <v>0.50000000000000011</v>
      </c>
      <c r="CN33" s="162">
        <f t="shared" si="14"/>
        <v>3.2892306823566422</v>
      </c>
      <c r="CO33" s="171">
        <f t="shared" si="71"/>
        <v>3.2892306823566422</v>
      </c>
      <c r="CP33" s="162"/>
      <c r="CQ33" s="162">
        <f t="shared" si="72"/>
        <v>0.50000000000000011</v>
      </c>
      <c r="CR33" s="170">
        <f t="shared" si="73"/>
        <v>0.50000000000000011</v>
      </c>
      <c r="CS33" s="162">
        <f t="shared" si="15"/>
        <v>3.2892306823566422</v>
      </c>
      <c r="CT33" s="171">
        <f t="shared" si="74"/>
        <v>3.2892306823566422</v>
      </c>
      <c r="CU33" s="162"/>
      <c r="CV33" s="162">
        <f t="shared" si="75"/>
        <v>0.50000000000000011</v>
      </c>
      <c r="CW33" s="162">
        <f t="shared" si="76"/>
        <v>0.50000000000000011</v>
      </c>
      <c r="CX33" s="162">
        <f t="shared" si="16"/>
        <v>3.2892306823566422</v>
      </c>
      <c r="CY33" s="171">
        <f t="shared" si="77"/>
        <v>3.2892306823566422</v>
      </c>
      <c r="CZ33" s="162"/>
      <c r="DA33" s="162">
        <f t="shared" si="78"/>
        <v>0.50000000000000011</v>
      </c>
      <c r="DB33" s="170">
        <f t="shared" si="79"/>
        <v>0.50000000000000011</v>
      </c>
      <c r="DC33" s="162">
        <f t="shared" si="17"/>
        <v>3.2892306823566422</v>
      </c>
      <c r="DD33" s="171">
        <f t="shared" si="80"/>
        <v>3.2892306823566422</v>
      </c>
      <c r="DE33" s="162"/>
      <c r="DF33" s="162">
        <f t="shared" si="81"/>
        <v>0.50000000000000011</v>
      </c>
      <c r="DG33" s="170">
        <f t="shared" si="82"/>
        <v>0.50000000000000011</v>
      </c>
      <c r="DH33" s="162">
        <f t="shared" si="18"/>
        <v>3.2892306823566422</v>
      </c>
      <c r="DI33" s="171">
        <f t="shared" si="83"/>
        <v>3.2892306823566422</v>
      </c>
      <c r="DJ33" s="162"/>
      <c r="DK33" s="162">
        <f t="shared" si="84"/>
        <v>0.50000000000000011</v>
      </c>
      <c r="DL33" s="162">
        <f t="shared" si="85"/>
        <v>0.50000000000000011</v>
      </c>
      <c r="DM33" s="162">
        <f t="shared" si="19"/>
        <v>3.2892306823566422</v>
      </c>
      <c r="DN33" s="171">
        <f t="shared" si="86"/>
        <v>3.2892306823566422</v>
      </c>
      <c r="DO33" s="162"/>
      <c r="DP33" s="162">
        <f t="shared" si="87"/>
        <v>0.50000000000000011</v>
      </c>
      <c r="DQ33" s="170">
        <f t="shared" si="88"/>
        <v>0.50000000000000011</v>
      </c>
      <c r="DR33" s="162">
        <f t="shared" si="20"/>
        <v>3.2892306823566422</v>
      </c>
      <c r="DS33" s="171">
        <f t="shared" si="89"/>
        <v>3.2892306823566422</v>
      </c>
      <c r="DT33" s="162"/>
      <c r="DU33" s="162">
        <f t="shared" si="90"/>
        <v>0.50000000000000011</v>
      </c>
      <c r="DV33" s="170">
        <f t="shared" si="91"/>
        <v>0.50000000000000011</v>
      </c>
      <c r="DW33" s="162">
        <f t="shared" si="21"/>
        <v>3.2892306823566422</v>
      </c>
      <c r="DX33" s="171">
        <f t="shared" si="92"/>
        <v>3.2892306823566422</v>
      </c>
      <c r="DY33" s="162"/>
      <c r="DZ33" s="162">
        <f t="shared" si="93"/>
        <v>0.50000000000000011</v>
      </c>
      <c r="EA33" s="162">
        <f t="shared" si="94"/>
        <v>0.50000000000000011</v>
      </c>
      <c r="EB33" s="162">
        <f t="shared" si="22"/>
        <v>3.2892306823566422</v>
      </c>
      <c r="EC33" s="171">
        <f t="shared" si="95"/>
        <v>3.2892306823566422</v>
      </c>
      <c r="ED33" s="162"/>
      <c r="EE33" s="162">
        <f t="shared" si="96"/>
        <v>0.50000000000000011</v>
      </c>
      <c r="EF33" s="170">
        <f t="shared" si="97"/>
        <v>0.50000000000000011</v>
      </c>
      <c r="EG33" s="162">
        <f t="shared" si="23"/>
        <v>3.2892306823566422</v>
      </c>
      <c r="EH33" s="171">
        <f t="shared" si="98"/>
        <v>3.2892306823566422</v>
      </c>
      <c r="EI33" s="162"/>
      <c r="EJ33" s="162">
        <f t="shared" si="99"/>
        <v>0.50000000000000011</v>
      </c>
      <c r="EK33" s="170">
        <f t="shared" si="100"/>
        <v>0.50000000000000011</v>
      </c>
      <c r="EL33" s="162">
        <f t="shared" si="24"/>
        <v>3.2892306823566422</v>
      </c>
      <c r="EM33" s="171">
        <f t="shared" si="101"/>
        <v>3.2892306823566422</v>
      </c>
      <c r="EN33" s="162"/>
      <c r="EO33" s="162">
        <f t="shared" si="102"/>
        <v>0.50000000000000011</v>
      </c>
      <c r="EP33" s="162">
        <f t="shared" si="103"/>
        <v>0.50000000000000011</v>
      </c>
      <c r="EQ33" s="162">
        <f t="shared" si="25"/>
        <v>3.2892306823566422</v>
      </c>
      <c r="ER33" s="171">
        <f t="shared" si="104"/>
        <v>3.2892306823566422</v>
      </c>
      <c r="ES33" s="162"/>
      <c r="ET33" s="162">
        <f t="shared" si="105"/>
        <v>0.50000000000000011</v>
      </c>
      <c r="EU33" s="170">
        <f t="shared" si="106"/>
        <v>0.50000000000000011</v>
      </c>
      <c r="EV33" s="162">
        <f t="shared" si="26"/>
        <v>3.2892306823566422</v>
      </c>
      <c r="EW33" s="171">
        <f t="shared" si="107"/>
        <v>3.2892306823566422</v>
      </c>
      <c r="EX33" s="162"/>
    </row>
    <row r="34" spans="3:154" s="181" customFormat="1" ht="15" customHeight="1" x14ac:dyDescent="0.25">
      <c r="C34" s="226"/>
      <c r="D34" s="227"/>
      <c r="E34" s="227"/>
      <c r="F34" s="227"/>
      <c r="G34" s="228"/>
      <c r="T34" s="162">
        <f t="shared" si="27"/>
        <v>0.52000000000000013</v>
      </c>
      <c r="U34" s="170">
        <f t="shared" si="28"/>
        <v>0.52000000000000013</v>
      </c>
      <c r="V34" s="162">
        <f t="shared" si="0"/>
        <v>3.3775892441888962</v>
      </c>
      <c r="W34" s="171">
        <f t="shared" si="29"/>
        <v>3.3775892441888962</v>
      </c>
      <c r="X34" s="162"/>
      <c r="Y34" s="162">
        <f t="shared" si="30"/>
        <v>0.52000000000000013</v>
      </c>
      <c r="Z34" s="162">
        <f t="shared" si="31"/>
        <v>0.52000000000000013</v>
      </c>
      <c r="AA34" s="162">
        <f t="shared" si="1"/>
        <v>3.3775892441888962</v>
      </c>
      <c r="AB34" s="171">
        <f t="shared" si="32"/>
        <v>3.3775892441888962</v>
      </c>
      <c r="AC34" s="162"/>
      <c r="AD34" s="162">
        <f t="shared" si="33"/>
        <v>0.52000000000000013</v>
      </c>
      <c r="AE34" s="170">
        <f t="shared" si="34"/>
        <v>0.52000000000000013</v>
      </c>
      <c r="AF34" s="162">
        <f t="shared" si="2"/>
        <v>3.3775892441888962</v>
      </c>
      <c r="AG34" s="171">
        <f t="shared" si="35"/>
        <v>3.3775892441888962</v>
      </c>
      <c r="AH34" s="162"/>
      <c r="AI34" s="162">
        <f t="shared" si="36"/>
        <v>0.52000000000000013</v>
      </c>
      <c r="AJ34" s="170">
        <f t="shared" si="37"/>
        <v>0.52000000000000013</v>
      </c>
      <c r="AK34" s="162">
        <f t="shared" si="3"/>
        <v>3.3775892441888962</v>
      </c>
      <c r="AL34" s="171">
        <f t="shared" si="38"/>
        <v>3.3775892441888962</v>
      </c>
      <c r="AM34" s="162"/>
      <c r="AN34" s="162">
        <f t="shared" si="39"/>
        <v>0.52000000000000013</v>
      </c>
      <c r="AO34" s="162">
        <f t="shared" si="40"/>
        <v>0.52000000000000013</v>
      </c>
      <c r="AP34" s="162">
        <f t="shared" si="4"/>
        <v>3.3775892441888962</v>
      </c>
      <c r="AQ34" s="171">
        <f t="shared" si="41"/>
        <v>3.3775892441888962</v>
      </c>
      <c r="AR34" s="162"/>
      <c r="AS34" s="162">
        <f t="shared" si="42"/>
        <v>0.52000000000000013</v>
      </c>
      <c r="AT34" s="170">
        <f t="shared" si="43"/>
        <v>0.52000000000000013</v>
      </c>
      <c r="AU34" s="162">
        <f t="shared" si="5"/>
        <v>3.3775892441888962</v>
      </c>
      <c r="AV34" s="171">
        <f t="shared" si="44"/>
        <v>3.3775892441888962</v>
      </c>
      <c r="AW34" s="162"/>
      <c r="AX34" s="162">
        <f t="shared" si="45"/>
        <v>0.52000000000000013</v>
      </c>
      <c r="AY34" s="170">
        <f t="shared" si="46"/>
        <v>0.52000000000000013</v>
      </c>
      <c r="AZ34" s="162">
        <f t="shared" si="6"/>
        <v>3.3775892441888962</v>
      </c>
      <c r="BA34" s="171">
        <f t="shared" si="47"/>
        <v>3.3775892441888962</v>
      </c>
      <c r="BB34" s="162"/>
      <c r="BC34" s="162">
        <f t="shared" si="48"/>
        <v>0.52000000000000013</v>
      </c>
      <c r="BD34" s="162">
        <f t="shared" si="49"/>
        <v>0.52000000000000013</v>
      </c>
      <c r="BE34" s="162">
        <f t="shared" si="7"/>
        <v>3.3775892441888962</v>
      </c>
      <c r="BF34" s="171">
        <f t="shared" si="50"/>
        <v>3.3775892441888962</v>
      </c>
      <c r="BG34" s="162"/>
      <c r="BH34" s="162">
        <f t="shared" si="51"/>
        <v>0.52000000000000013</v>
      </c>
      <c r="BI34" s="170">
        <f t="shared" si="52"/>
        <v>0.52000000000000013</v>
      </c>
      <c r="BJ34" s="162">
        <f t="shared" si="8"/>
        <v>3.3775892441888962</v>
      </c>
      <c r="BK34" s="171">
        <f t="shared" si="53"/>
        <v>3.3775892441888962</v>
      </c>
      <c r="BL34" s="162"/>
      <c r="BM34" s="162">
        <f t="shared" si="54"/>
        <v>0.52000000000000013</v>
      </c>
      <c r="BN34" s="170">
        <f t="shared" si="55"/>
        <v>0.52000000000000013</v>
      </c>
      <c r="BO34" s="162">
        <f t="shared" si="9"/>
        <v>3.3775892441888962</v>
      </c>
      <c r="BP34" s="171">
        <f t="shared" si="56"/>
        <v>3.3775892441888962</v>
      </c>
      <c r="BQ34" s="162"/>
      <c r="BR34" s="162">
        <f t="shared" si="57"/>
        <v>0.52000000000000013</v>
      </c>
      <c r="BS34" s="162">
        <f t="shared" si="58"/>
        <v>0.52000000000000013</v>
      </c>
      <c r="BT34" s="162">
        <f t="shared" si="10"/>
        <v>3.3775892441888962</v>
      </c>
      <c r="BU34" s="171">
        <f t="shared" si="59"/>
        <v>3.3775892441888962</v>
      </c>
      <c r="BV34" s="162"/>
      <c r="BW34" s="162">
        <f t="shared" si="60"/>
        <v>0.52000000000000013</v>
      </c>
      <c r="BX34" s="170">
        <f t="shared" si="61"/>
        <v>0.52000000000000013</v>
      </c>
      <c r="BY34" s="162">
        <f t="shared" si="11"/>
        <v>3.3775892441888962</v>
      </c>
      <c r="BZ34" s="171">
        <f t="shared" si="62"/>
        <v>3.3775892441888962</v>
      </c>
      <c r="CA34" s="162"/>
      <c r="CB34" s="162">
        <f t="shared" si="63"/>
        <v>0.52000000000000013</v>
      </c>
      <c r="CC34" s="170">
        <f t="shared" si="64"/>
        <v>0.52000000000000013</v>
      </c>
      <c r="CD34" s="162">
        <f t="shared" si="12"/>
        <v>3.3775892441888962</v>
      </c>
      <c r="CE34" s="171">
        <f t="shared" si="65"/>
        <v>3.3775892441888962</v>
      </c>
      <c r="CF34" s="162"/>
      <c r="CG34" s="172">
        <f t="shared" si="66"/>
        <v>0.52000000000000013</v>
      </c>
      <c r="CH34" s="172">
        <f t="shared" si="67"/>
        <v>0.52000000000000013</v>
      </c>
      <c r="CI34" s="172">
        <f t="shared" si="13"/>
        <v>3.3775892441888962</v>
      </c>
      <c r="CJ34" s="171">
        <f t="shared" si="68"/>
        <v>3.3775892441888962</v>
      </c>
      <c r="CK34" s="172"/>
      <c r="CL34" s="162">
        <f t="shared" si="69"/>
        <v>0.52000000000000013</v>
      </c>
      <c r="CM34" s="170">
        <f t="shared" si="70"/>
        <v>0.52000000000000013</v>
      </c>
      <c r="CN34" s="162">
        <f t="shared" si="14"/>
        <v>3.3775892441888962</v>
      </c>
      <c r="CO34" s="171">
        <f t="shared" si="71"/>
        <v>3.3775892441888962</v>
      </c>
      <c r="CP34" s="162"/>
      <c r="CQ34" s="162">
        <f t="shared" si="72"/>
        <v>0.52000000000000013</v>
      </c>
      <c r="CR34" s="170">
        <f t="shared" si="73"/>
        <v>0.52000000000000013</v>
      </c>
      <c r="CS34" s="162">
        <f t="shared" si="15"/>
        <v>3.3775892441888962</v>
      </c>
      <c r="CT34" s="171">
        <f t="shared" si="74"/>
        <v>3.3775892441888962</v>
      </c>
      <c r="CU34" s="162"/>
      <c r="CV34" s="162">
        <f t="shared" si="75"/>
        <v>0.52000000000000013</v>
      </c>
      <c r="CW34" s="162">
        <f t="shared" si="76"/>
        <v>0.52000000000000013</v>
      </c>
      <c r="CX34" s="162">
        <f t="shared" si="16"/>
        <v>3.3775892441888962</v>
      </c>
      <c r="CY34" s="171">
        <f t="shared" si="77"/>
        <v>3.3775892441888962</v>
      </c>
      <c r="CZ34" s="162"/>
      <c r="DA34" s="162">
        <f t="shared" si="78"/>
        <v>0.52000000000000013</v>
      </c>
      <c r="DB34" s="170">
        <f t="shared" si="79"/>
        <v>0.52000000000000013</v>
      </c>
      <c r="DC34" s="162">
        <f t="shared" si="17"/>
        <v>3.3775892441888962</v>
      </c>
      <c r="DD34" s="171">
        <f t="shared" si="80"/>
        <v>3.3775892441888962</v>
      </c>
      <c r="DE34" s="162"/>
      <c r="DF34" s="162">
        <f t="shared" si="81"/>
        <v>0.52000000000000013</v>
      </c>
      <c r="DG34" s="170">
        <f t="shared" si="82"/>
        <v>0.52000000000000013</v>
      </c>
      <c r="DH34" s="162">
        <f t="shared" si="18"/>
        <v>3.3775892441888962</v>
      </c>
      <c r="DI34" s="171">
        <f t="shared" si="83"/>
        <v>3.3775892441888962</v>
      </c>
      <c r="DJ34" s="162"/>
      <c r="DK34" s="162">
        <f t="shared" si="84"/>
        <v>0.52000000000000013</v>
      </c>
      <c r="DL34" s="162">
        <f t="shared" si="85"/>
        <v>0.52000000000000013</v>
      </c>
      <c r="DM34" s="162">
        <f t="shared" si="19"/>
        <v>3.3775892441888962</v>
      </c>
      <c r="DN34" s="171">
        <f t="shared" si="86"/>
        <v>3.3775892441888962</v>
      </c>
      <c r="DO34" s="162"/>
      <c r="DP34" s="162">
        <f t="shared" si="87"/>
        <v>0.52000000000000013</v>
      </c>
      <c r="DQ34" s="170">
        <f t="shared" si="88"/>
        <v>0.52000000000000013</v>
      </c>
      <c r="DR34" s="162">
        <f t="shared" si="20"/>
        <v>3.3775892441888962</v>
      </c>
      <c r="DS34" s="171">
        <f t="shared" si="89"/>
        <v>3.3775892441888962</v>
      </c>
      <c r="DT34" s="162"/>
      <c r="DU34" s="162">
        <f t="shared" si="90"/>
        <v>0.52000000000000013</v>
      </c>
      <c r="DV34" s="170">
        <f t="shared" si="91"/>
        <v>0.52000000000000013</v>
      </c>
      <c r="DW34" s="162">
        <f t="shared" si="21"/>
        <v>3.3775892441888962</v>
      </c>
      <c r="DX34" s="171">
        <f t="shared" si="92"/>
        <v>3.3775892441888962</v>
      </c>
      <c r="DY34" s="162"/>
      <c r="DZ34" s="162">
        <f t="shared" si="93"/>
        <v>0.52000000000000013</v>
      </c>
      <c r="EA34" s="162">
        <f t="shared" si="94"/>
        <v>0.52000000000000013</v>
      </c>
      <c r="EB34" s="162">
        <f t="shared" si="22"/>
        <v>3.3775892441888962</v>
      </c>
      <c r="EC34" s="171">
        <f t="shared" si="95"/>
        <v>3.3775892441888962</v>
      </c>
      <c r="ED34" s="162"/>
      <c r="EE34" s="162">
        <f t="shared" si="96"/>
        <v>0.52000000000000013</v>
      </c>
      <c r="EF34" s="170">
        <f t="shared" si="97"/>
        <v>0.52000000000000013</v>
      </c>
      <c r="EG34" s="162">
        <f t="shared" si="23"/>
        <v>3.3775892441888962</v>
      </c>
      <c r="EH34" s="171">
        <f t="shared" si="98"/>
        <v>3.3775892441888962</v>
      </c>
      <c r="EI34" s="162"/>
      <c r="EJ34" s="162">
        <f t="shared" si="99"/>
        <v>0.52000000000000013</v>
      </c>
      <c r="EK34" s="170">
        <f t="shared" si="100"/>
        <v>0.52000000000000013</v>
      </c>
      <c r="EL34" s="162">
        <f t="shared" si="24"/>
        <v>3.3775892441888962</v>
      </c>
      <c r="EM34" s="171">
        <f t="shared" si="101"/>
        <v>3.3775892441888962</v>
      </c>
      <c r="EN34" s="162"/>
      <c r="EO34" s="162">
        <f t="shared" si="102"/>
        <v>0.52000000000000013</v>
      </c>
      <c r="EP34" s="162">
        <f t="shared" si="103"/>
        <v>0.52000000000000013</v>
      </c>
      <c r="EQ34" s="162">
        <f t="shared" si="25"/>
        <v>3.3775892441888962</v>
      </c>
      <c r="ER34" s="171">
        <f t="shared" si="104"/>
        <v>3.3775892441888962</v>
      </c>
      <c r="ES34" s="162"/>
      <c r="ET34" s="162">
        <f t="shared" si="105"/>
        <v>0.52000000000000013</v>
      </c>
      <c r="EU34" s="170">
        <f t="shared" si="106"/>
        <v>0.52000000000000013</v>
      </c>
      <c r="EV34" s="162">
        <f t="shared" si="26"/>
        <v>3.3775892441888962</v>
      </c>
      <c r="EW34" s="171">
        <f t="shared" si="107"/>
        <v>3.3775892441888962</v>
      </c>
      <c r="EX34" s="162"/>
    </row>
    <row r="35" spans="3:154" s="181" customFormat="1" x14ac:dyDescent="0.25">
      <c r="C35" s="229"/>
      <c r="D35" s="230"/>
      <c r="E35" s="230"/>
      <c r="F35" s="230"/>
      <c r="G35" s="231"/>
      <c r="T35" s="162">
        <f t="shared" si="27"/>
        <v>0.54000000000000015</v>
      </c>
      <c r="U35" s="170">
        <f t="shared" si="28"/>
        <v>0.54000000000000015</v>
      </c>
      <c r="V35" s="162">
        <f t="shared" si="0"/>
        <v>3.4632392932933023</v>
      </c>
      <c r="W35" s="171">
        <f t="shared" si="29"/>
        <v>3.4632392932933023</v>
      </c>
      <c r="X35" s="162"/>
      <c r="Y35" s="162">
        <f t="shared" si="30"/>
        <v>0.54000000000000015</v>
      </c>
      <c r="Z35" s="162">
        <f t="shared" si="31"/>
        <v>0.54000000000000015</v>
      </c>
      <c r="AA35" s="162">
        <f t="shared" si="1"/>
        <v>3.4632392932933023</v>
      </c>
      <c r="AB35" s="171">
        <f t="shared" si="32"/>
        <v>3.4632392932933023</v>
      </c>
      <c r="AC35" s="162"/>
      <c r="AD35" s="162">
        <f t="shared" si="33"/>
        <v>0.54000000000000015</v>
      </c>
      <c r="AE35" s="170">
        <f t="shared" si="34"/>
        <v>0.54000000000000015</v>
      </c>
      <c r="AF35" s="162">
        <f t="shared" si="2"/>
        <v>3.4632392932933023</v>
      </c>
      <c r="AG35" s="171">
        <f t="shared" si="35"/>
        <v>3.4632392932933023</v>
      </c>
      <c r="AH35" s="162"/>
      <c r="AI35" s="162">
        <f t="shared" si="36"/>
        <v>0.54000000000000015</v>
      </c>
      <c r="AJ35" s="170">
        <f t="shared" si="37"/>
        <v>0.54000000000000015</v>
      </c>
      <c r="AK35" s="162">
        <f t="shared" si="3"/>
        <v>3.4632392932933023</v>
      </c>
      <c r="AL35" s="171">
        <f t="shared" si="38"/>
        <v>3.4632392932933023</v>
      </c>
      <c r="AM35" s="162"/>
      <c r="AN35" s="162">
        <f t="shared" si="39"/>
        <v>0.54000000000000015</v>
      </c>
      <c r="AO35" s="162">
        <f t="shared" si="40"/>
        <v>0.54000000000000015</v>
      </c>
      <c r="AP35" s="162">
        <f t="shared" si="4"/>
        <v>3.4632392932933023</v>
      </c>
      <c r="AQ35" s="171">
        <f t="shared" si="41"/>
        <v>3.4632392932933023</v>
      </c>
      <c r="AR35" s="162"/>
      <c r="AS35" s="162">
        <f t="shared" si="42"/>
        <v>0.54000000000000015</v>
      </c>
      <c r="AT35" s="170">
        <f t="shared" si="43"/>
        <v>0.54000000000000015</v>
      </c>
      <c r="AU35" s="162">
        <f t="shared" si="5"/>
        <v>3.4632392932933023</v>
      </c>
      <c r="AV35" s="171">
        <f t="shared" si="44"/>
        <v>3.4632392932933023</v>
      </c>
      <c r="AW35" s="162"/>
      <c r="AX35" s="162">
        <f t="shared" si="45"/>
        <v>0.54000000000000015</v>
      </c>
      <c r="AY35" s="170">
        <f t="shared" si="46"/>
        <v>0.54000000000000015</v>
      </c>
      <c r="AZ35" s="162">
        <f t="shared" si="6"/>
        <v>3.4632392932933023</v>
      </c>
      <c r="BA35" s="171">
        <f t="shared" si="47"/>
        <v>3.4632392932933023</v>
      </c>
      <c r="BB35" s="162"/>
      <c r="BC35" s="162">
        <f t="shared" si="48"/>
        <v>0.54000000000000015</v>
      </c>
      <c r="BD35" s="162">
        <f t="shared" si="49"/>
        <v>0.54000000000000015</v>
      </c>
      <c r="BE35" s="162">
        <f t="shared" si="7"/>
        <v>3.4632392932933023</v>
      </c>
      <c r="BF35" s="171">
        <f t="shared" si="50"/>
        <v>3.4632392932933023</v>
      </c>
      <c r="BG35" s="162"/>
      <c r="BH35" s="162">
        <f t="shared" si="51"/>
        <v>0.54000000000000015</v>
      </c>
      <c r="BI35" s="170">
        <f t="shared" si="52"/>
        <v>0.54000000000000015</v>
      </c>
      <c r="BJ35" s="162">
        <f t="shared" si="8"/>
        <v>3.4632392932933023</v>
      </c>
      <c r="BK35" s="171">
        <f t="shared" si="53"/>
        <v>3.4632392932933023</v>
      </c>
      <c r="BL35" s="162"/>
      <c r="BM35" s="162">
        <f t="shared" si="54"/>
        <v>0.54000000000000015</v>
      </c>
      <c r="BN35" s="170">
        <f t="shared" si="55"/>
        <v>0.54000000000000015</v>
      </c>
      <c r="BO35" s="162">
        <f t="shared" si="9"/>
        <v>3.4632392932933023</v>
      </c>
      <c r="BP35" s="171">
        <f t="shared" si="56"/>
        <v>3.4632392932933023</v>
      </c>
      <c r="BQ35" s="162"/>
      <c r="BR35" s="162">
        <f t="shared" si="57"/>
        <v>0.54000000000000015</v>
      </c>
      <c r="BS35" s="162">
        <f t="shared" si="58"/>
        <v>0.54000000000000015</v>
      </c>
      <c r="BT35" s="162">
        <f t="shared" si="10"/>
        <v>3.4632392932933023</v>
      </c>
      <c r="BU35" s="171">
        <f t="shared" si="59"/>
        <v>3.4632392932933023</v>
      </c>
      <c r="BV35" s="162"/>
      <c r="BW35" s="162">
        <f t="shared" si="60"/>
        <v>0.54000000000000015</v>
      </c>
      <c r="BX35" s="170">
        <f t="shared" si="61"/>
        <v>0.54000000000000015</v>
      </c>
      <c r="BY35" s="162">
        <f t="shared" si="11"/>
        <v>3.4632392932933023</v>
      </c>
      <c r="BZ35" s="171">
        <f t="shared" si="62"/>
        <v>3.4632392932933023</v>
      </c>
      <c r="CA35" s="162"/>
      <c r="CB35" s="162">
        <f t="shared" si="63"/>
        <v>0.54000000000000015</v>
      </c>
      <c r="CC35" s="170">
        <f t="shared" si="64"/>
        <v>0.54000000000000015</v>
      </c>
      <c r="CD35" s="162">
        <f t="shared" si="12"/>
        <v>3.4632392932933023</v>
      </c>
      <c r="CE35" s="171">
        <f t="shared" si="65"/>
        <v>3.4632392932933023</v>
      </c>
      <c r="CF35" s="162"/>
      <c r="CG35" s="172">
        <f t="shared" si="66"/>
        <v>0.54000000000000015</v>
      </c>
      <c r="CH35" s="172">
        <f t="shared" si="67"/>
        <v>0.54000000000000015</v>
      </c>
      <c r="CI35" s="172">
        <f t="shared" si="13"/>
        <v>3.4632392932933023</v>
      </c>
      <c r="CJ35" s="171">
        <f t="shared" si="68"/>
        <v>3.4632392932933023</v>
      </c>
      <c r="CK35" s="172"/>
      <c r="CL35" s="162">
        <f t="shared" si="69"/>
        <v>0.54000000000000015</v>
      </c>
      <c r="CM35" s="170">
        <f t="shared" si="70"/>
        <v>0.54000000000000015</v>
      </c>
      <c r="CN35" s="162">
        <f t="shared" si="14"/>
        <v>3.4632392932933023</v>
      </c>
      <c r="CO35" s="171">
        <f t="shared" si="71"/>
        <v>3.4632392932933023</v>
      </c>
      <c r="CP35" s="162"/>
      <c r="CQ35" s="162">
        <f t="shared" si="72"/>
        <v>0.54000000000000015</v>
      </c>
      <c r="CR35" s="170">
        <f t="shared" si="73"/>
        <v>0.54000000000000015</v>
      </c>
      <c r="CS35" s="162">
        <f t="shared" si="15"/>
        <v>3.4632392932933023</v>
      </c>
      <c r="CT35" s="171">
        <f t="shared" si="74"/>
        <v>3.4632392932933023</v>
      </c>
      <c r="CU35" s="162"/>
      <c r="CV35" s="162">
        <f t="shared" si="75"/>
        <v>0.54000000000000015</v>
      </c>
      <c r="CW35" s="162">
        <f t="shared" si="76"/>
        <v>0.54000000000000015</v>
      </c>
      <c r="CX35" s="162">
        <f t="shared" si="16"/>
        <v>3.4632392932933023</v>
      </c>
      <c r="CY35" s="171">
        <f t="shared" si="77"/>
        <v>3.4632392932933023</v>
      </c>
      <c r="CZ35" s="162"/>
      <c r="DA35" s="162">
        <f t="shared" si="78"/>
        <v>0.54000000000000015</v>
      </c>
      <c r="DB35" s="170">
        <f t="shared" si="79"/>
        <v>0.54000000000000015</v>
      </c>
      <c r="DC35" s="162">
        <f t="shared" si="17"/>
        <v>3.4632392932933023</v>
      </c>
      <c r="DD35" s="171">
        <f t="shared" si="80"/>
        <v>3.4632392932933023</v>
      </c>
      <c r="DE35" s="162"/>
      <c r="DF35" s="162">
        <f t="shared" si="81"/>
        <v>0.54000000000000015</v>
      </c>
      <c r="DG35" s="170">
        <f t="shared" si="82"/>
        <v>0.54000000000000015</v>
      </c>
      <c r="DH35" s="162">
        <f t="shared" si="18"/>
        <v>3.4632392932933023</v>
      </c>
      <c r="DI35" s="171">
        <f t="shared" si="83"/>
        <v>3.4632392932933023</v>
      </c>
      <c r="DJ35" s="162"/>
      <c r="DK35" s="162">
        <f t="shared" si="84"/>
        <v>0.54000000000000015</v>
      </c>
      <c r="DL35" s="162">
        <f t="shared" si="85"/>
        <v>0.54000000000000015</v>
      </c>
      <c r="DM35" s="162">
        <f t="shared" si="19"/>
        <v>3.4632392932933023</v>
      </c>
      <c r="DN35" s="171">
        <f t="shared" si="86"/>
        <v>3.4632392932933023</v>
      </c>
      <c r="DO35" s="162"/>
      <c r="DP35" s="162">
        <f t="shared" si="87"/>
        <v>0.54000000000000015</v>
      </c>
      <c r="DQ35" s="170">
        <f t="shared" si="88"/>
        <v>0.54000000000000015</v>
      </c>
      <c r="DR35" s="162">
        <f t="shared" si="20"/>
        <v>3.4632392932933023</v>
      </c>
      <c r="DS35" s="171">
        <f t="shared" si="89"/>
        <v>3.4632392932933023</v>
      </c>
      <c r="DT35" s="162"/>
      <c r="DU35" s="162">
        <f t="shared" si="90"/>
        <v>0.54000000000000015</v>
      </c>
      <c r="DV35" s="170">
        <f t="shared" si="91"/>
        <v>0.54000000000000015</v>
      </c>
      <c r="DW35" s="162">
        <f t="shared" si="21"/>
        <v>3.4632392932933023</v>
      </c>
      <c r="DX35" s="171">
        <f t="shared" si="92"/>
        <v>3.4632392932933023</v>
      </c>
      <c r="DY35" s="162"/>
      <c r="DZ35" s="162">
        <f t="shared" si="93"/>
        <v>0.54000000000000015</v>
      </c>
      <c r="EA35" s="162">
        <f t="shared" si="94"/>
        <v>0.54000000000000015</v>
      </c>
      <c r="EB35" s="162">
        <f t="shared" si="22"/>
        <v>3.4632392932933023</v>
      </c>
      <c r="EC35" s="171">
        <f t="shared" si="95"/>
        <v>3.4632392932933023</v>
      </c>
      <c r="ED35" s="162"/>
      <c r="EE35" s="162">
        <f t="shared" si="96"/>
        <v>0.54000000000000015</v>
      </c>
      <c r="EF35" s="170">
        <f t="shared" si="97"/>
        <v>0.54000000000000015</v>
      </c>
      <c r="EG35" s="162">
        <f t="shared" si="23"/>
        <v>3.4632392932933023</v>
      </c>
      <c r="EH35" s="171">
        <f t="shared" si="98"/>
        <v>3.4632392932933023</v>
      </c>
      <c r="EI35" s="162"/>
      <c r="EJ35" s="162">
        <f t="shared" si="99"/>
        <v>0.54000000000000015</v>
      </c>
      <c r="EK35" s="170">
        <f t="shared" si="100"/>
        <v>0.54000000000000015</v>
      </c>
      <c r="EL35" s="162">
        <f t="shared" si="24"/>
        <v>3.4632392932933023</v>
      </c>
      <c r="EM35" s="171">
        <f t="shared" si="101"/>
        <v>3.4632392932933023</v>
      </c>
      <c r="EN35" s="162"/>
      <c r="EO35" s="162">
        <f t="shared" si="102"/>
        <v>0.54000000000000015</v>
      </c>
      <c r="EP35" s="162">
        <f t="shared" si="103"/>
        <v>0.54000000000000015</v>
      </c>
      <c r="EQ35" s="162">
        <f t="shared" si="25"/>
        <v>3.4632392932933023</v>
      </c>
      <c r="ER35" s="171">
        <f t="shared" si="104"/>
        <v>3.4632392932933023</v>
      </c>
      <c r="ES35" s="162"/>
      <c r="ET35" s="162">
        <f t="shared" si="105"/>
        <v>0.54000000000000015</v>
      </c>
      <c r="EU35" s="170">
        <f t="shared" si="106"/>
        <v>0.54000000000000015</v>
      </c>
      <c r="EV35" s="162">
        <f t="shared" si="26"/>
        <v>3.4632392932933023</v>
      </c>
      <c r="EW35" s="171">
        <f t="shared" si="107"/>
        <v>3.4632392932933023</v>
      </c>
      <c r="EX35" s="162"/>
    </row>
    <row r="36" spans="3:154" s="181" customFormat="1" x14ac:dyDescent="0.25">
      <c r="T36" s="162">
        <f t="shared" si="27"/>
        <v>0.56000000000000016</v>
      </c>
      <c r="U36" s="170">
        <f t="shared" si="28"/>
        <v>0.56000000000000016</v>
      </c>
      <c r="V36" s="162">
        <f t="shared" si="0"/>
        <v>3.5461808296698623</v>
      </c>
      <c r="W36" s="171">
        <f t="shared" si="29"/>
        <v>3.5461808296698623</v>
      </c>
      <c r="X36" s="162"/>
      <c r="Y36" s="162">
        <f t="shared" si="30"/>
        <v>0.56000000000000016</v>
      </c>
      <c r="Z36" s="162">
        <f t="shared" si="31"/>
        <v>0.56000000000000016</v>
      </c>
      <c r="AA36" s="162">
        <f t="shared" si="1"/>
        <v>3.5461808296698623</v>
      </c>
      <c r="AB36" s="171">
        <f t="shared" si="32"/>
        <v>3.5461808296698623</v>
      </c>
      <c r="AC36" s="162"/>
      <c r="AD36" s="162">
        <f t="shared" si="33"/>
        <v>0.56000000000000016</v>
      </c>
      <c r="AE36" s="170">
        <f t="shared" si="34"/>
        <v>0.56000000000000016</v>
      </c>
      <c r="AF36" s="162">
        <f t="shared" si="2"/>
        <v>3.5461808296698623</v>
      </c>
      <c r="AG36" s="171">
        <f t="shared" si="35"/>
        <v>3.5461808296698623</v>
      </c>
      <c r="AH36" s="162"/>
      <c r="AI36" s="162">
        <f t="shared" si="36"/>
        <v>0.56000000000000016</v>
      </c>
      <c r="AJ36" s="170">
        <f t="shared" si="37"/>
        <v>0.56000000000000016</v>
      </c>
      <c r="AK36" s="162">
        <f t="shared" si="3"/>
        <v>3.5461808296698623</v>
      </c>
      <c r="AL36" s="171">
        <f t="shared" si="38"/>
        <v>3.5461808296698623</v>
      </c>
      <c r="AM36" s="162"/>
      <c r="AN36" s="162">
        <f t="shared" si="39"/>
        <v>0.56000000000000016</v>
      </c>
      <c r="AO36" s="162">
        <f t="shared" si="40"/>
        <v>0.56000000000000016</v>
      </c>
      <c r="AP36" s="162">
        <f t="shared" si="4"/>
        <v>3.5461808296698623</v>
      </c>
      <c r="AQ36" s="171">
        <f t="shared" si="41"/>
        <v>3.5461808296698623</v>
      </c>
      <c r="AR36" s="162"/>
      <c r="AS36" s="162">
        <f t="shared" si="42"/>
        <v>0.56000000000000016</v>
      </c>
      <c r="AT36" s="170">
        <f t="shared" si="43"/>
        <v>0.56000000000000016</v>
      </c>
      <c r="AU36" s="162">
        <f t="shared" si="5"/>
        <v>3.5461808296698623</v>
      </c>
      <c r="AV36" s="171">
        <f t="shared" si="44"/>
        <v>3.5461808296698623</v>
      </c>
      <c r="AW36" s="162"/>
      <c r="AX36" s="162">
        <f t="shared" si="45"/>
        <v>0.56000000000000016</v>
      </c>
      <c r="AY36" s="170">
        <f t="shared" si="46"/>
        <v>0.56000000000000016</v>
      </c>
      <c r="AZ36" s="162">
        <f t="shared" si="6"/>
        <v>3.5461808296698623</v>
      </c>
      <c r="BA36" s="171">
        <f t="shared" si="47"/>
        <v>3.5461808296698623</v>
      </c>
      <c r="BB36" s="162"/>
      <c r="BC36" s="162">
        <f t="shared" si="48"/>
        <v>0.56000000000000016</v>
      </c>
      <c r="BD36" s="162">
        <f t="shared" si="49"/>
        <v>0.56000000000000016</v>
      </c>
      <c r="BE36" s="162">
        <f t="shared" si="7"/>
        <v>3.5461808296698623</v>
      </c>
      <c r="BF36" s="171">
        <f t="shared" si="50"/>
        <v>3.5461808296698623</v>
      </c>
      <c r="BG36" s="162"/>
      <c r="BH36" s="162">
        <f t="shared" si="51"/>
        <v>0.56000000000000016</v>
      </c>
      <c r="BI36" s="170">
        <f t="shared" si="52"/>
        <v>0.56000000000000016</v>
      </c>
      <c r="BJ36" s="162">
        <f t="shared" si="8"/>
        <v>3.5461808296698623</v>
      </c>
      <c r="BK36" s="171">
        <f t="shared" si="53"/>
        <v>3.5461808296698623</v>
      </c>
      <c r="BL36" s="162"/>
      <c r="BM36" s="162">
        <f t="shared" si="54"/>
        <v>0.56000000000000016</v>
      </c>
      <c r="BN36" s="170">
        <f t="shared" si="55"/>
        <v>0.56000000000000016</v>
      </c>
      <c r="BO36" s="162">
        <f t="shared" si="9"/>
        <v>3.5461808296698623</v>
      </c>
      <c r="BP36" s="171">
        <f t="shared" si="56"/>
        <v>3.5461808296698623</v>
      </c>
      <c r="BQ36" s="162"/>
      <c r="BR36" s="162">
        <f t="shared" si="57"/>
        <v>0.56000000000000016</v>
      </c>
      <c r="BS36" s="162">
        <f t="shared" si="58"/>
        <v>0.56000000000000016</v>
      </c>
      <c r="BT36" s="162">
        <f t="shared" si="10"/>
        <v>3.5461808296698623</v>
      </c>
      <c r="BU36" s="171">
        <f t="shared" si="59"/>
        <v>3.5461808296698623</v>
      </c>
      <c r="BV36" s="162"/>
      <c r="BW36" s="162">
        <f t="shared" si="60"/>
        <v>0.56000000000000016</v>
      </c>
      <c r="BX36" s="170">
        <f t="shared" si="61"/>
        <v>0.56000000000000016</v>
      </c>
      <c r="BY36" s="162">
        <f t="shared" si="11"/>
        <v>3.5461808296698623</v>
      </c>
      <c r="BZ36" s="171">
        <f t="shared" si="62"/>
        <v>3.5461808296698623</v>
      </c>
      <c r="CA36" s="162"/>
      <c r="CB36" s="162">
        <f t="shared" si="63"/>
        <v>0.56000000000000016</v>
      </c>
      <c r="CC36" s="170">
        <f t="shared" si="64"/>
        <v>0.56000000000000016</v>
      </c>
      <c r="CD36" s="162">
        <f t="shared" si="12"/>
        <v>3.5461808296698623</v>
      </c>
      <c r="CE36" s="171">
        <f t="shared" si="65"/>
        <v>3.5461808296698623</v>
      </c>
      <c r="CF36" s="162"/>
      <c r="CG36" s="172">
        <f t="shared" si="66"/>
        <v>0.56000000000000016</v>
      </c>
      <c r="CH36" s="172">
        <f t="shared" si="67"/>
        <v>0.56000000000000016</v>
      </c>
      <c r="CI36" s="172">
        <f t="shared" si="13"/>
        <v>3.5461808296698623</v>
      </c>
      <c r="CJ36" s="171">
        <f t="shared" si="68"/>
        <v>3.5461808296698623</v>
      </c>
      <c r="CK36" s="172"/>
      <c r="CL36" s="162">
        <f t="shared" si="69"/>
        <v>0.56000000000000016</v>
      </c>
      <c r="CM36" s="170">
        <f t="shared" si="70"/>
        <v>0.56000000000000016</v>
      </c>
      <c r="CN36" s="162">
        <f t="shared" si="14"/>
        <v>3.5461808296698623</v>
      </c>
      <c r="CO36" s="171">
        <f t="shared" si="71"/>
        <v>3.5461808296698623</v>
      </c>
      <c r="CP36" s="162"/>
      <c r="CQ36" s="162">
        <f t="shared" si="72"/>
        <v>0.56000000000000016</v>
      </c>
      <c r="CR36" s="170">
        <f t="shared" si="73"/>
        <v>0.56000000000000016</v>
      </c>
      <c r="CS36" s="162">
        <f t="shared" si="15"/>
        <v>3.5461808296698623</v>
      </c>
      <c r="CT36" s="171">
        <f t="shared" si="74"/>
        <v>3.5461808296698623</v>
      </c>
      <c r="CU36" s="162"/>
      <c r="CV36" s="162">
        <f t="shared" si="75"/>
        <v>0.56000000000000016</v>
      </c>
      <c r="CW36" s="162">
        <f t="shared" si="76"/>
        <v>0.56000000000000016</v>
      </c>
      <c r="CX36" s="162">
        <f t="shared" si="16"/>
        <v>3.5461808296698623</v>
      </c>
      <c r="CY36" s="171">
        <f t="shared" si="77"/>
        <v>3.5461808296698623</v>
      </c>
      <c r="CZ36" s="162"/>
      <c r="DA36" s="162">
        <f t="shared" si="78"/>
        <v>0.56000000000000016</v>
      </c>
      <c r="DB36" s="170">
        <f t="shared" si="79"/>
        <v>0.56000000000000016</v>
      </c>
      <c r="DC36" s="162">
        <f t="shared" si="17"/>
        <v>3.5461808296698623</v>
      </c>
      <c r="DD36" s="171">
        <f t="shared" si="80"/>
        <v>3.5461808296698623</v>
      </c>
      <c r="DE36" s="162"/>
      <c r="DF36" s="162">
        <f t="shared" si="81"/>
        <v>0.56000000000000016</v>
      </c>
      <c r="DG36" s="170">
        <f t="shared" si="82"/>
        <v>0.56000000000000016</v>
      </c>
      <c r="DH36" s="162">
        <f t="shared" si="18"/>
        <v>3.5461808296698623</v>
      </c>
      <c r="DI36" s="171">
        <f t="shared" si="83"/>
        <v>3.5461808296698623</v>
      </c>
      <c r="DJ36" s="162"/>
      <c r="DK36" s="162">
        <f t="shared" si="84"/>
        <v>0.56000000000000016</v>
      </c>
      <c r="DL36" s="162">
        <f t="shared" si="85"/>
        <v>0.56000000000000016</v>
      </c>
      <c r="DM36" s="162">
        <f t="shared" si="19"/>
        <v>3.5461808296698623</v>
      </c>
      <c r="DN36" s="171">
        <f t="shared" si="86"/>
        <v>3.5461808296698623</v>
      </c>
      <c r="DO36" s="162"/>
      <c r="DP36" s="162">
        <f t="shared" si="87"/>
        <v>0.56000000000000016</v>
      </c>
      <c r="DQ36" s="170">
        <f t="shared" si="88"/>
        <v>0.56000000000000016</v>
      </c>
      <c r="DR36" s="162">
        <f t="shared" si="20"/>
        <v>3.5461808296698623</v>
      </c>
      <c r="DS36" s="171">
        <f t="shared" si="89"/>
        <v>3.5461808296698623</v>
      </c>
      <c r="DT36" s="162"/>
      <c r="DU36" s="162">
        <f t="shared" si="90"/>
        <v>0.56000000000000016</v>
      </c>
      <c r="DV36" s="170">
        <f t="shared" si="91"/>
        <v>0.56000000000000016</v>
      </c>
      <c r="DW36" s="162">
        <f t="shared" si="21"/>
        <v>3.5461808296698623</v>
      </c>
      <c r="DX36" s="171">
        <f t="shared" si="92"/>
        <v>3.5461808296698623</v>
      </c>
      <c r="DY36" s="162"/>
      <c r="DZ36" s="162">
        <f t="shared" si="93"/>
        <v>0.56000000000000016</v>
      </c>
      <c r="EA36" s="162">
        <f t="shared" si="94"/>
        <v>0.56000000000000016</v>
      </c>
      <c r="EB36" s="162">
        <f t="shared" si="22"/>
        <v>3.5461808296698623</v>
      </c>
      <c r="EC36" s="171">
        <f t="shared" si="95"/>
        <v>3.5461808296698623</v>
      </c>
      <c r="ED36" s="162"/>
      <c r="EE36" s="162">
        <f t="shared" si="96"/>
        <v>0.56000000000000016</v>
      </c>
      <c r="EF36" s="170">
        <f t="shared" si="97"/>
        <v>0.56000000000000016</v>
      </c>
      <c r="EG36" s="162">
        <f t="shared" si="23"/>
        <v>3.5461808296698623</v>
      </c>
      <c r="EH36" s="171">
        <f t="shared" si="98"/>
        <v>3.5461808296698623</v>
      </c>
      <c r="EI36" s="162"/>
      <c r="EJ36" s="162">
        <f t="shared" si="99"/>
        <v>0.56000000000000016</v>
      </c>
      <c r="EK36" s="170">
        <f t="shared" si="100"/>
        <v>0.56000000000000016</v>
      </c>
      <c r="EL36" s="162">
        <f t="shared" si="24"/>
        <v>3.5461808296698623</v>
      </c>
      <c r="EM36" s="171">
        <f t="shared" si="101"/>
        <v>3.5461808296698623</v>
      </c>
      <c r="EN36" s="162"/>
      <c r="EO36" s="162">
        <f t="shared" si="102"/>
        <v>0.56000000000000016</v>
      </c>
      <c r="EP36" s="162">
        <f t="shared" si="103"/>
        <v>0.56000000000000016</v>
      </c>
      <c r="EQ36" s="162">
        <f t="shared" si="25"/>
        <v>3.5461808296698623</v>
      </c>
      <c r="ER36" s="171">
        <f t="shared" si="104"/>
        <v>3.5461808296698623</v>
      </c>
      <c r="ES36" s="162"/>
      <c r="ET36" s="162">
        <f t="shared" si="105"/>
        <v>0.56000000000000016</v>
      </c>
      <c r="EU36" s="170">
        <f t="shared" si="106"/>
        <v>0.56000000000000016</v>
      </c>
      <c r="EV36" s="162">
        <f t="shared" si="26"/>
        <v>3.5461808296698623</v>
      </c>
      <c r="EW36" s="171">
        <f t="shared" si="107"/>
        <v>3.5461808296698623</v>
      </c>
      <c r="EX36" s="162"/>
    </row>
    <row r="37" spans="3:154" s="181" customFormat="1" x14ac:dyDescent="0.25">
      <c r="T37" s="162">
        <f t="shared" si="27"/>
        <v>0.58000000000000018</v>
      </c>
      <c r="U37" s="170">
        <f t="shared" si="28"/>
        <v>0.58000000000000018</v>
      </c>
      <c r="V37" s="162">
        <f t="shared" si="0"/>
        <v>3.6264138533185739</v>
      </c>
      <c r="W37" s="171">
        <f t="shared" si="29"/>
        <v>3.6264138533185739</v>
      </c>
      <c r="X37" s="162"/>
      <c r="Y37" s="162">
        <f t="shared" si="30"/>
        <v>0.58000000000000018</v>
      </c>
      <c r="Z37" s="162">
        <f t="shared" si="31"/>
        <v>0.58000000000000018</v>
      </c>
      <c r="AA37" s="162">
        <f t="shared" si="1"/>
        <v>3.6264138533185739</v>
      </c>
      <c r="AB37" s="171">
        <f t="shared" si="32"/>
        <v>3.6264138533185739</v>
      </c>
      <c r="AC37" s="162"/>
      <c r="AD37" s="162">
        <f t="shared" si="33"/>
        <v>0.58000000000000018</v>
      </c>
      <c r="AE37" s="170">
        <f t="shared" si="34"/>
        <v>0.58000000000000018</v>
      </c>
      <c r="AF37" s="162">
        <f t="shared" si="2"/>
        <v>3.6264138533185739</v>
      </c>
      <c r="AG37" s="171">
        <f t="shared" si="35"/>
        <v>3.6264138533185739</v>
      </c>
      <c r="AH37" s="162"/>
      <c r="AI37" s="162">
        <f t="shared" si="36"/>
        <v>0.58000000000000018</v>
      </c>
      <c r="AJ37" s="170">
        <f t="shared" si="37"/>
        <v>0.58000000000000018</v>
      </c>
      <c r="AK37" s="162">
        <f t="shared" si="3"/>
        <v>3.6264138533185739</v>
      </c>
      <c r="AL37" s="171">
        <f t="shared" si="38"/>
        <v>3.6264138533185739</v>
      </c>
      <c r="AM37" s="162"/>
      <c r="AN37" s="162">
        <f t="shared" si="39"/>
        <v>0.58000000000000018</v>
      </c>
      <c r="AO37" s="162">
        <f t="shared" si="40"/>
        <v>0.58000000000000018</v>
      </c>
      <c r="AP37" s="162">
        <f t="shared" si="4"/>
        <v>3.6264138533185739</v>
      </c>
      <c r="AQ37" s="171">
        <f t="shared" si="41"/>
        <v>3.6264138533185739</v>
      </c>
      <c r="AR37" s="162"/>
      <c r="AS37" s="162">
        <f t="shared" si="42"/>
        <v>0.58000000000000018</v>
      </c>
      <c r="AT37" s="170">
        <f t="shared" si="43"/>
        <v>0.58000000000000018</v>
      </c>
      <c r="AU37" s="162">
        <f t="shared" si="5"/>
        <v>3.6264138533185739</v>
      </c>
      <c r="AV37" s="171">
        <f t="shared" si="44"/>
        <v>3.6264138533185739</v>
      </c>
      <c r="AW37" s="162"/>
      <c r="AX37" s="162">
        <f t="shared" si="45"/>
        <v>0.58000000000000018</v>
      </c>
      <c r="AY37" s="170">
        <f t="shared" si="46"/>
        <v>0.58000000000000018</v>
      </c>
      <c r="AZ37" s="162">
        <f t="shared" si="6"/>
        <v>3.6264138533185739</v>
      </c>
      <c r="BA37" s="171">
        <f t="shared" si="47"/>
        <v>3.6264138533185739</v>
      </c>
      <c r="BB37" s="162"/>
      <c r="BC37" s="162">
        <f t="shared" si="48"/>
        <v>0.58000000000000018</v>
      </c>
      <c r="BD37" s="162">
        <f t="shared" si="49"/>
        <v>0.58000000000000018</v>
      </c>
      <c r="BE37" s="162">
        <f t="shared" si="7"/>
        <v>3.6264138533185739</v>
      </c>
      <c r="BF37" s="171">
        <f t="shared" si="50"/>
        <v>3.6264138533185739</v>
      </c>
      <c r="BG37" s="162"/>
      <c r="BH37" s="162">
        <f t="shared" si="51"/>
        <v>0.58000000000000018</v>
      </c>
      <c r="BI37" s="170">
        <f t="shared" si="52"/>
        <v>0.58000000000000018</v>
      </c>
      <c r="BJ37" s="162">
        <f t="shared" si="8"/>
        <v>3.6264138533185739</v>
      </c>
      <c r="BK37" s="171">
        <f t="shared" si="53"/>
        <v>3.6264138533185739</v>
      </c>
      <c r="BL37" s="162"/>
      <c r="BM37" s="162">
        <f t="shared" si="54"/>
        <v>0.58000000000000018</v>
      </c>
      <c r="BN37" s="170">
        <f t="shared" si="55"/>
        <v>0.58000000000000018</v>
      </c>
      <c r="BO37" s="162">
        <f t="shared" si="9"/>
        <v>3.6264138533185739</v>
      </c>
      <c r="BP37" s="171">
        <f t="shared" si="56"/>
        <v>3.6264138533185739</v>
      </c>
      <c r="BQ37" s="162"/>
      <c r="BR37" s="162">
        <f t="shared" si="57"/>
        <v>0.58000000000000018</v>
      </c>
      <c r="BS37" s="162">
        <f t="shared" si="58"/>
        <v>0.58000000000000018</v>
      </c>
      <c r="BT37" s="162">
        <f t="shared" si="10"/>
        <v>3.6264138533185739</v>
      </c>
      <c r="BU37" s="171">
        <f t="shared" si="59"/>
        <v>3.6264138533185739</v>
      </c>
      <c r="BV37" s="162"/>
      <c r="BW37" s="162">
        <f t="shared" si="60"/>
        <v>0.58000000000000018</v>
      </c>
      <c r="BX37" s="170">
        <f t="shared" si="61"/>
        <v>0.58000000000000018</v>
      </c>
      <c r="BY37" s="162">
        <f t="shared" si="11"/>
        <v>3.6264138533185739</v>
      </c>
      <c r="BZ37" s="171">
        <f t="shared" si="62"/>
        <v>3.6264138533185739</v>
      </c>
      <c r="CA37" s="162"/>
      <c r="CB37" s="162">
        <f t="shared" si="63"/>
        <v>0.58000000000000018</v>
      </c>
      <c r="CC37" s="170">
        <f t="shared" si="64"/>
        <v>0.58000000000000018</v>
      </c>
      <c r="CD37" s="162">
        <f t="shared" si="12"/>
        <v>3.6264138533185739</v>
      </c>
      <c r="CE37" s="171">
        <f t="shared" si="65"/>
        <v>3.6264138533185739</v>
      </c>
      <c r="CF37" s="162"/>
      <c r="CG37" s="172">
        <f t="shared" si="66"/>
        <v>0.58000000000000018</v>
      </c>
      <c r="CH37" s="172">
        <f t="shared" si="67"/>
        <v>0.58000000000000018</v>
      </c>
      <c r="CI37" s="172">
        <f t="shared" si="13"/>
        <v>3.6264138533185739</v>
      </c>
      <c r="CJ37" s="171">
        <f t="shared" si="68"/>
        <v>3.6264138533185739</v>
      </c>
      <c r="CK37" s="172"/>
      <c r="CL37" s="162">
        <f t="shared" si="69"/>
        <v>0.58000000000000018</v>
      </c>
      <c r="CM37" s="170">
        <f t="shared" si="70"/>
        <v>0.58000000000000018</v>
      </c>
      <c r="CN37" s="162">
        <f t="shared" si="14"/>
        <v>3.6264138533185739</v>
      </c>
      <c r="CO37" s="171">
        <f t="shared" si="71"/>
        <v>3.6264138533185739</v>
      </c>
      <c r="CP37" s="162"/>
      <c r="CQ37" s="162">
        <f t="shared" si="72"/>
        <v>0.58000000000000018</v>
      </c>
      <c r="CR37" s="170">
        <f t="shared" si="73"/>
        <v>0.58000000000000018</v>
      </c>
      <c r="CS37" s="162">
        <f t="shared" si="15"/>
        <v>3.6264138533185739</v>
      </c>
      <c r="CT37" s="171">
        <f t="shared" si="74"/>
        <v>3.6264138533185739</v>
      </c>
      <c r="CU37" s="162"/>
      <c r="CV37" s="162">
        <f t="shared" si="75"/>
        <v>0.58000000000000018</v>
      </c>
      <c r="CW37" s="162">
        <f t="shared" si="76"/>
        <v>0.58000000000000018</v>
      </c>
      <c r="CX37" s="162">
        <f t="shared" si="16"/>
        <v>3.6264138533185739</v>
      </c>
      <c r="CY37" s="171">
        <f t="shared" si="77"/>
        <v>3.6264138533185739</v>
      </c>
      <c r="CZ37" s="162"/>
      <c r="DA37" s="162">
        <f t="shared" si="78"/>
        <v>0.58000000000000018</v>
      </c>
      <c r="DB37" s="170">
        <f t="shared" si="79"/>
        <v>0.58000000000000018</v>
      </c>
      <c r="DC37" s="162">
        <f t="shared" si="17"/>
        <v>3.6264138533185739</v>
      </c>
      <c r="DD37" s="171">
        <f t="shared" si="80"/>
        <v>3.6264138533185739</v>
      </c>
      <c r="DE37" s="162"/>
      <c r="DF37" s="162">
        <f t="shared" si="81"/>
        <v>0.58000000000000018</v>
      </c>
      <c r="DG37" s="170">
        <f t="shared" si="82"/>
        <v>0.58000000000000018</v>
      </c>
      <c r="DH37" s="162">
        <f t="shared" si="18"/>
        <v>3.6264138533185739</v>
      </c>
      <c r="DI37" s="171">
        <f t="shared" si="83"/>
        <v>3.6264138533185739</v>
      </c>
      <c r="DJ37" s="162"/>
      <c r="DK37" s="162">
        <f t="shared" si="84"/>
        <v>0.58000000000000018</v>
      </c>
      <c r="DL37" s="162">
        <f t="shared" si="85"/>
        <v>0.58000000000000018</v>
      </c>
      <c r="DM37" s="162">
        <f t="shared" si="19"/>
        <v>3.6264138533185739</v>
      </c>
      <c r="DN37" s="171">
        <f t="shared" si="86"/>
        <v>3.6264138533185739</v>
      </c>
      <c r="DO37" s="162"/>
      <c r="DP37" s="162">
        <f t="shared" si="87"/>
        <v>0.58000000000000018</v>
      </c>
      <c r="DQ37" s="170">
        <f t="shared" si="88"/>
        <v>0.58000000000000018</v>
      </c>
      <c r="DR37" s="162">
        <f t="shared" si="20"/>
        <v>3.6264138533185739</v>
      </c>
      <c r="DS37" s="171">
        <f t="shared" si="89"/>
        <v>3.6264138533185739</v>
      </c>
      <c r="DT37" s="162"/>
      <c r="DU37" s="162">
        <f t="shared" si="90"/>
        <v>0.58000000000000018</v>
      </c>
      <c r="DV37" s="170">
        <f t="shared" si="91"/>
        <v>0.58000000000000018</v>
      </c>
      <c r="DW37" s="162">
        <f t="shared" si="21"/>
        <v>3.6264138533185739</v>
      </c>
      <c r="DX37" s="171">
        <f t="shared" si="92"/>
        <v>3.6264138533185739</v>
      </c>
      <c r="DY37" s="162"/>
      <c r="DZ37" s="162">
        <f t="shared" si="93"/>
        <v>0.58000000000000018</v>
      </c>
      <c r="EA37" s="162">
        <f t="shared" si="94"/>
        <v>0.58000000000000018</v>
      </c>
      <c r="EB37" s="162">
        <f t="shared" si="22"/>
        <v>3.6264138533185739</v>
      </c>
      <c r="EC37" s="171">
        <f t="shared" si="95"/>
        <v>3.6264138533185739</v>
      </c>
      <c r="ED37" s="162"/>
      <c r="EE37" s="162">
        <f t="shared" si="96"/>
        <v>0.58000000000000018</v>
      </c>
      <c r="EF37" s="170">
        <f t="shared" si="97"/>
        <v>0.58000000000000018</v>
      </c>
      <c r="EG37" s="162">
        <f t="shared" si="23"/>
        <v>3.6264138533185739</v>
      </c>
      <c r="EH37" s="171">
        <f t="shared" si="98"/>
        <v>3.6264138533185739</v>
      </c>
      <c r="EI37" s="162"/>
      <c r="EJ37" s="162">
        <f t="shared" si="99"/>
        <v>0.58000000000000018</v>
      </c>
      <c r="EK37" s="170">
        <f t="shared" si="100"/>
        <v>0.58000000000000018</v>
      </c>
      <c r="EL37" s="162">
        <f t="shared" si="24"/>
        <v>3.6264138533185739</v>
      </c>
      <c r="EM37" s="171">
        <f t="shared" si="101"/>
        <v>3.6264138533185739</v>
      </c>
      <c r="EN37" s="162"/>
      <c r="EO37" s="162">
        <f t="shared" si="102"/>
        <v>0.58000000000000018</v>
      </c>
      <c r="EP37" s="162">
        <f t="shared" si="103"/>
        <v>0.58000000000000018</v>
      </c>
      <c r="EQ37" s="162">
        <f t="shared" si="25"/>
        <v>3.6264138533185739</v>
      </c>
      <c r="ER37" s="171">
        <f t="shared" si="104"/>
        <v>3.6264138533185739</v>
      </c>
      <c r="ES37" s="162"/>
      <c r="ET37" s="162">
        <f t="shared" si="105"/>
        <v>0.58000000000000018</v>
      </c>
      <c r="EU37" s="170">
        <f t="shared" si="106"/>
        <v>0.58000000000000018</v>
      </c>
      <c r="EV37" s="162">
        <f t="shared" si="26"/>
        <v>3.6264138533185739</v>
      </c>
      <c r="EW37" s="171">
        <f t="shared" si="107"/>
        <v>3.6264138533185739</v>
      </c>
      <c r="EX37" s="162"/>
    </row>
    <row r="38" spans="3:154" s="181" customFormat="1" x14ac:dyDescent="0.25">
      <c r="T38" s="162">
        <f t="shared" si="27"/>
        <v>0.6000000000000002</v>
      </c>
      <c r="U38" s="170">
        <f t="shared" si="28"/>
        <v>0.6000000000000002</v>
      </c>
      <c r="V38" s="162">
        <f t="shared" si="0"/>
        <v>3.7039383642394395</v>
      </c>
      <c r="W38" s="171">
        <f t="shared" si="29"/>
        <v>3.7039383642394395</v>
      </c>
      <c r="X38" s="162"/>
      <c r="Y38" s="162">
        <f t="shared" si="30"/>
        <v>0.6000000000000002</v>
      </c>
      <c r="Z38" s="162">
        <f t="shared" si="31"/>
        <v>0.6000000000000002</v>
      </c>
      <c r="AA38" s="162">
        <f t="shared" si="1"/>
        <v>3.7039383642394395</v>
      </c>
      <c r="AB38" s="171">
        <f t="shared" si="32"/>
        <v>3.7039383642394395</v>
      </c>
      <c r="AC38" s="162"/>
      <c r="AD38" s="162">
        <f t="shared" si="33"/>
        <v>0.6000000000000002</v>
      </c>
      <c r="AE38" s="170">
        <f t="shared" si="34"/>
        <v>0.6000000000000002</v>
      </c>
      <c r="AF38" s="162">
        <f t="shared" si="2"/>
        <v>3.7039383642394395</v>
      </c>
      <c r="AG38" s="171">
        <f t="shared" si="35"/>
        <v>3.7039383642394395</v>
      </c>
      <c r="AH38" s="162"/>
      <c r="AI38" s="162">
        <f t="shared" si="36"/>
        <v>0.6000000000000002</v>
      </c>
      <c r="AJ38" s="170">
        <f t="shared" si="37"/>
        <v>0.6000000000000002</v>
      </c>
      <c r="AK38" s="162">
        <f t="shared" si="3"/>
        <v>3.7039383642394395</v>
      </c>
      <c r="AL38" s="171">
        <f t="shared" si="38"/>
        <v>3.7039383642394395</v>
      </c>
      <c r="AM38" s="162"/>
      <c r="AN38" s="162">
        <f t="shared" si="39"/>
        <v>0.6000000000000002</v>
      </c>
      <c r="AO38" s="162">
        <f t="shared" si="40"/>
        <v>0.6000000000000002</v>
      </c>
      <c r="AP38" s="162">
        <f t="shared" si="4"/>
        <v>3.7039383642394395</v>
      </c>
      <c r="AQ38" s="171">
        <f t="shared" si="41"/>
        <v>3.7039383642394395</v>
      </c>
      <c r="AR38" s="162"/>
      <c r="AS38" s="162">
        <f t="shared" si="42"/>
        <v>0.6000000000000002</v>
      </c>
      <c r="AT38" s="170">
        <f t="shared" si="43"/>
        <v>0.6000000000000002</v>
      </c>
      <c r="AU38" s="162">
        <f t="shared" si="5"/>
        <v>3.7039383642394395</v>
      </c>
      <c r="AV38" s="171">
        <f t="shared" si="44"/>
        <v>3.7039383642394395</v>
      </c>
      <c r="AW38" s="162"/>
      <c r="AX38" s="162">
        <f t="shared" si="45"/>
        <v>0.6000000000000002</v>
      </c>
      <c r="AY38" s="170">
        <f t="shared" si="46"/>
        <v>0.6000000000000002</v>
      </c>
      <c r="AZ38" s="162">
        <f t="shared" si="6"/>
        <v>3.7039383642394395</v>
      </c>
      <c r="BA38" s="171">
        <f t="shared" si="47"/>
        <v>3.7039383642394395</v>
      </c>
      <c r="BB38" s="162"/>
      <c r="BC38" s="162">
        <f t="shared" si="48"/>
        <v>0.6000000000000002</v>
      </c>
      <c r="BD38" s="162">
        <f t="shared" si="49"/>
        <v>0.6000000000000002</v>
      </c>
      <c r="BE38" s="162">
        <f t="shared" si="7"/>
        <v>3.7039383642394395</v>
      </c>
      <c r="BF38" s="171">
        <f t="shared" si="50"/>
        <v>3.7039383642394395</v>
      </c>
      <c r="BG38" s="162"/>
      <c r="BH38" s="162">
        <f t="shared" si="51"/>
        <v>0.6000000000000002</v>
      </c>
      <c r="BI38" s="170">
        <f t="shared" si="52"/>
        <v>0.6000000000000002</v>
      </c>
      <c r="BJ38" s="162">
        <f t="shared" si="8"/>
        <v>3.7039383642394395</v>
      </c>
      <c r="BK38" s="171">
        <f t="shared" si="53"/>
        <v>3.7039383642394395</v>
      </c>
      <c r="BL38" s="162"/>
      <c r="BM38" s="162">
        <f t="shared" si="54"/>
        <v>0.6000000000000002</v>
      </c>
      <c r="BN38" s="170">
        <f t="shared" si="55"/>
        <v>0.6000000000000002</v>
      </c>
      <c r="BO38" s="162">
        <f t="shared" si="9"/>
        <v>3.7039383642394395</v>
      </c>
      <c r="BP38" s="171">
        <f t="shared" si="56"/>
        <v>3.7039383642394395</v>
      </c>
      <c r="BQ38" s="162"/>
      <c r="BR38" s="162">
        <f t="shared" si="57"/>
        <v>0.6000000000000002</v>
      </c>
      <c r="BS38" s="162">
        <f t="shared" si="58"/>
        <v>0.6000000000000002</v>
      </c>
      <c r="BT38" s="162">
        <f t="shared" si="10"/>
        <v>3.7039383642394395</v>
      </c>
      <c r="BU38" s="171">
        <f t="shared" si="59"/>
        <v>3.7039383642394395</v>
      </c>
      <c r="BV38" s="162"/>
      <c r="BW38" s="162">
        <f t="shared" si="60"/>
        <v>0.6000000000000002</v>
      </c>
      <c r="BX38" s="170">
        <f t="shared" si="61"/>
        <v>0.6000000000000002</v>
      </c>
      <c r="BY38" s="162">
        <f t="shared" si="11"/>
        <v>3.7039383642394395</v>
      </c>
      <c r="BZ38" s="171">
        <f t="shared" si="62"/>
        <v>3.7039383642394395</v>
      </c>
      <c r="CA38" s="162"/>
      <c r="CB38" s="162">
        <f t="shared" si="63"/>
        <v>0.6000000000000002</v>
      </c>
      <c r="CC38" s="170">
        <f t="shared" si="64"/>
        <v>0.6000000000000002</v>
      </c>
      <c r="CD38" s="162">
        <f t="shared" si="12"/>
        <v>3.7039383642394395</v>
      </c>
      <c r="CE38" s="171">
        <f t="shared" si="65"/>
        <v>3.7039383642394395</v>
      </c>
      <c r="CF38" s="162"/>
      <c r="CG38" s="172">
        <f t="shared" si="66"/>
        <v>0.6000000000000002</v>
      </c>
      <c r="CH38" s="172">
        <f t="shared" si="67"/>
        <v>0.6000000000000002</v>
      </c>
      <c r="CI38" s="172">
        <f t="shared" si="13"/>
        <v>3.7039383642394395</v>
      </c>
      <c r="CJ38" s="171">
        <f t="shared" si="68"/>
        <v>3.7039383642394395</v>
      </c>
      <c r="CK38" s="172"/>
      <c r="CL38" s="162">
        <f t="shared" si="69"/>
        <v>0.6000000000000002</v>
      </c>
      <c r="CM38" s="170">
        <f t="shared" si="70"/>
        <v>0.6000000000000002</v>
      </c>
      <c r="CN38" s="162">
        <f t="shared" si="14"/>
        <v>3.7039383642394395</v>
      </c>
      <c r="CO38" s="171">
        <f t="shared" si="71"/>
        <v>3.7039383642394395</v>
      </c>
      <c r="CP38" s="162"/>
      <c r="CQ38" s="162">
        <f t="shared" si="72"/>
        <v>0.6000000000000002</v>
      </c>
      <c r="CR38" s="170">
        <f t="shared" si="73"/>
        <v>0.6000000000000002</v>
      </c>
      <c r="CS38" s="162">
        <f t="shared" si="15"/>
        <v>3.7039383642394395</v>
      </c>
      <c r="CT38" s="171">
        <f t="shared" si="74"/>
        <v>3.7039383642394395</v>
      </c>
      <c r="CU38" s="162"/>
      <c r="CV38" s="162">
        <f t="shared" si="75"/>
        <v>0.6000000000000002</v>
      </c>
      <c r="CW38" s="162">
        <f t="shared" si="76"/>
        <v>0.6000000000000002</v>
      </c>
      <c r="CX38" s="162">
        <f t="shared" si="16"/>
        <v>3.7039383642394395</v>
      </c>
      <c r="CY38" s="171">
        <f t="shared" si="77"/>
        <v>3.7039383642394395</v>
      </c>
      <c r="CZ38" s="162"/>
      <c r="DA38" s="162">
        <f t="shared" si="78"/>
        <v>0.6000000000000002</v>
      </c>
      <c r="DB38" s="170">
        <f t="shared" si="79"/>
        <v>0.6000000000000002</v>
      </c>
      <c r="DC38" s="162">
        <f t="shared" si="17"/>
        <v>3.7039383642394395</v>
      </c>
      <c r="DD38" s="171">
        <f t="shared" si="80"/>
        <v>3.7039383642394395</v>
      </c>
      <c r="DE38" s="162"/>
      <c r="DF38" s="162">
        <f t="shared" si="81"/>
        <v>0.6000000000000002</v>
      </c>
      <c r="DG38" s="170">
        <f t="shared" si="82"/>
        <v>0.6000000000000002</v>
      </c>
      <c r="DH38" s="162">
        <f t="shared" si="18"/>
        <v>3.7039383642394395</v>
      </c>
      <c r="DI38" s="171">
        <f t="shared" si="83"/>
        <v>3.7039383642394395</v>
      </c>
      <c r="DJ38" s="162"/>
      <c r="DK38" s="162">
        <f t="shared" si="84"/>
        <v>0.6000000000000002</v>
      </c>
      <c r="DL38" s="162">
        <f t="shared" si="85"/>
        <v>0.6000000000000002</v>
      </c>
      <c r="DM38" s="162">
        <f t="shared" si="19"/>
        <v>3.7039383642394395</v>
      </c>
      <c r="DN38" s="171">
        <f t="shared" si="86"/>
        <v>3.7039383642394395</v>
      </c>
      <c r="DO38" s="162"/>
      <c r="DP38" s="162">
        <f t="shared" si="87"/>
        <v>0.6000000000000002</v>
      </c>
      <c r="DQ38" s="170">
        <f t="shared" si="88"/>
        <v>0.6000000000000002</v>
      </c>
      <c r="DR38" s="162">
        <f t="shared" si="20"/>
        <v>3.7039383642394395</v>
      </c>
      <c r="DS38" s="171">
        <f t="shared" si="89"/>
        <v>3.7039383642394395</v>
      </c>
      <c r="DT38" s="162"/>
      <c r="DU38" s="162">
        <f t="shared" si="90"/>
        <v>0.6000000000000002</v>
      </c>
      <c r="DV38" s="170">
        <f t="shared" si="91"/>
        <v>0.6000000000000002</v>
      </c>
      <c r="DW38" s="162">
        <f t="shared" si="21"/>
        <v>3.7039383642394395</v>
      </c>
      <c r="DX38" s="171">
        <f t="shared" si="92"/>
        <v>3.7039383642394395</v>
      </c>
      <c r="DY38" s="162"/>
      <c r="DZ38" s="162">
        <f t="shared" si="93"/>
        <v>0.6000000000000002</v>
      </c>
      <c r="EA38" s="162">
        <f t="shared" si="94"/>
        <v>0.6000000000000002</v>
      </c>
      <c r="EB38" s="162">
        <f t="shared" si="22"/>
        <v>3.7039383642394395</v>
      </c>
      <c r="EC38" s="171">
        <f t="shared" si="95"/>
        <v>3.7039383642394395</v>
      </c>
      <c r="ED38" s="162"/>
      <c r="EE38" s="162">
        <f t="shared" si="96"/>
        <v>0.6000000000000002</v>
      </c>
      <c r="EF38" s="170">
        <f t="shared" si="97"/>
        <v>0.6000000000000002</v>
      </c>
      <c r="EG38" s="162">
        <f t="shared" si="23"/>
        <v>3.7039383642394395</v>
      </c>
      <c r="EH38" s="171">
        <f t="shared" si="98"/>
        <v>3.7039383642394395</v>
      </c>
      <c r="EI38" s="162"/>
      <c r="EJ38" s="162">
        <f t="shared" si="99"/>
        <v>0.6000000000000002</v>
      </c>
      <c r="EK38" s="170">
        <f t="shared" si="100"/>
        <v>0.6000000000000002</v>
      </c>
      <c r="EL38" s="162">
        <f t="shared" si="24"/>
        <v>3.7039383642394395</v>
      </c>
      <c r="EM38" s="171">
        <f t="shared" si="101"/>
        <v>3.7039383642394395</v>
      </c>
      <c r="EN38" s="162"/>
      <c r="EO38" s="162">
        <f t="shared" si="102"/>
        <v>0.6000000000000002</v>
      </c>
      <c r="EP38" s="162">
        <f t="shared" si="103"/>
        <v>0.6000000000000002</v>
      </c>
      <c r="EQ38" s="162">
        <f t="shared" si="25"/>
        <v>3.7039383642394395</v>
      </c>
      <c r="ER38" s="171">
        <f t="shared" si="104"/>
        <v>3.7039383642394395</v>
      </c>
      <c r="ES38" s="162"/>
      <c r="ET38" s="162">
        <f t="shared" si="105"/>
        <v>0.6000000000000002</v>
      </c>
      <c r="EU38" s="170">
        <f t="shared" si="106"/>
        <v>0.6000000000000002</v>
      </c>
      <c r="EV38" s="162">
        <f t="shared" si="26"/>
        <v>3.7039383642394395</v>
      </c>
      <c r="EW38" s="171">
        <f t="shared" si="107"/>
        <v>3.7039383642394395</v>
      </c>
      <c r="EX38" s="162"/>
    </row>
    <row r="39" spans="3:154" s="181" customFormat="1" x14ac:dyDescent="0.25">
      <c r="T39" s="162">
        <f t="shared" si="27"/>
        <v>0.62000000000000022</v>
      </c>
      <c r="U39" s="170">
        <f t="shared" si="28"/>
        <v>0.62000000000000022</v>
      </c>
      <c r="V39" s="162">
        <f t="shared" si="0"/>
        <v>3.7787543624324571</v>
      </c>
      <c r="W39" s="171">
        <f t="shared" si="29"/>
        <v>3.7787543624324571</v>
      </c>
      <c r="X39" s="162"/>
      <c r="Y39" s="162">
        <f t="shared" si="30"/>
        <v>0.62000000000000022</v>
      </c>
      <c r="Z39" s="162">
        <f t="shared" si="31"/>
        <v>0.62000000000000022</v>
      </c>
      <c r="AA39" s="162">
        <f t="shared" si="1"/>
        <v>3.7787543624324571</v>
      </c>
      <c r="AB39" s="171">
        <f t="shared" si="32"/>
        <v>3.7787543624324571</v>
      </c>
      <c r="AC39" s="162"/>
      <c r="AD39" s="162">
        <f t="shared" si="33"/>
        <v>0.62000000000000022</v>
      </c>
      <c r="AE39" s="170">
        <f t="shared" si="34"/>
        <v>0.62000000000000022</v>
      </c>
      <c r="AF39" s="162">
        <f t="shared" si="2"/>
        <v>3.7787543624324571</v>
      </c>
      <c r="AG39" s="171">
        <f t="shared" si="35"/>
        <v>3.7787543624324571</v>
      </c>
      <c r="AH39" s="162"/>
      <c r="AI39" s="162">
        <f t="shared" si="36"/>
        <v>0.62000000000000022</v>
      </c>
      <c r="AJ39" s="170">
        <f t="shared" si="37"/>
        <v>0.62000000000000022</v>
      </c>
      <c r="AK39" s="162">
        <f t="shared" si="3"/>
        <v>3.7787543624324571</v>
      </c>
      <c r="AL39" s="171">
        <f t="shared" si="38"/>
        <v>3.7787543624324571</v>
      </c>
      <c r="AM39" s="162"/>
      <c r="AN39" s="162">
        <f t="shared" si="39"/>
        <v>0.62000000000000022</v>
      </c>
      <c r="AO39" s="162">
        <f t="shared" si="40"/>
        <v>0.62000000000000022</v>
      </c>
      <c r="AP39" s="162">
        <f t="shared" si="4"/>
        <v>3.7787543624324571</v>
      </c>
      <c r="AQ39" s="171">
        <f t="shared" si="41"/>
        <v>3.7787543624324571</v>
      </c>
      <c r="AR39" s="162"/>
      <c r="AS39" s="162">
        <f t="shared" si="42"/>
        <v>0.62000000000000022</v>
      </c>
      <c r="AT39" s="170">
        <f t="shared" si="43"/>
        <v>0.62000000000000022</v>
      </c>
      <c r="AU39" s="162">
        <f t="shared" si="5"/>
        <v>3.7787543624324571</v>
      </c>
      <c r="AV39" s="171">
        <f t="shared" si="44"/>
        <v>3.7787543624324571</v>
      </c>
      <c r="AW39" s="162"/>
      <c r="AX39" s="162">
        <f t="shared" si="45"/>
        <v>0.62000000000000022</v>
      </c>
      <c r="AY39" s="170">
        <f t="shared" si="46"/>
        <v>0.62000000000000022</v>
      </c>
      <c r="AZ39" s="162">
        <f t="shared" si="6"/>
        <v>3.7787543624324571</v>
      </c>
      <c r="BA39" s="171">
        <f t="shared" si="47"/>
        <v>3.7787543624324571</v>
      </c>
      <c r="BB39" s="162"/>
      <c r="BC39" s="162">
        <f t="shared" si="48"/>
        <v>0.62000000000000022</v>
      </c>
      <c r="BD39" s="162">
        <f t="shared" si="49"/>
        <v>0.62000000000000022</v>
      </c>
      <c r="BE39" s="162">
        <f t="shared" si="7"/>
        <v>3.7787543624324571</v>
      </c>
      <c r="BF39" s="171">
        <f t="shared" si="50"/>
        <v>3.7787543624324571</v>
      </c>
      <c r="BG39" s="162"/>
      <c r="BH39" s="162">
        <f t="shared" si="51"/>
        <v>0.62000000000000022</v>
      </c>
      <c r="BI39" s="170">
        <f t="shared" si="52"/>
        <v>0.62000000000000022</v>
      </c>
      <c r="BJ39" s="162">
        <f t="shared" si="8"/>
        <v>3.7787543624324571</v>
      </c>
      <c r="BK39" s="171">
        <f t="shared" si="53"/>
        <v>3.7787543624324571</v>
      </c>
      <c r="BL39" s="162"/>
      <c r="BM39" s="162">
        <f t="shared" si="54"/>
        <v>0.62000000000000022</v>
      </c>
      <c r="BN39" s="170">
        <f t="shared" si="55"/>
        <v>0.62000000000000022</v>
      </c>
      <c r="BO39" s="162">
        <f t="shared" si="9"/>
        <v>3.7787543624324571</v>
      </c>
      <c r="BP39" s="171">
        <f t="shared" si="56"/>
        <v>3.7787543624324571</v>
      </c>
      <c r="BQ39" s="162"/>
      <c r="BR39" s="162">
        <f t="shared" si="57"/>
        <v>0.62000000000000022</v>
      </c>
      <c r="BS39" s="162">
        <f t="shared" si="58"/>
        <v>0.62000000000000022</v>
      </c>
      <c r="BT39" s="162">
        <f t="shared" si="10"/>
        <v>3.7787543624324571</v>
      </c>
      <c r="BU39" s="171">
        <f t="shared" si="59"/>
        <v>3.7787543624324571</v>
      </c>
      <c r="BV39" s="162"/>
      <c r="BW39" s="162">
        <f t="shared" si="60"/>
        <v>0.62000000000000022</v>
      </c>
      <c r="BX39" s="170">
        <f t="shared" si="61"/>
        <v>0.62000000000000022</v>
      </c>
      <c r="BY39" s="162">
        <f t="shared" si="11"/>
        <v>3.7787543624324571</v>
      </c>
      <c r="BZ39" s="171">
        <f t="shared" si="62"/>
        <v>3.7787543624324571</v>
      </c>
      <c r="CA39" s="162"/>
      <c r="CB39" s="162">
        <f t="shared" si="63"/>
        <v>0.62000000000000022</v>
      </c>
      <c r="CC39" s="170">
        <f t="shared" si="64"/>
        <v>0.62000000000000022</v>
      </c>
      <c r="CD39" s="162">
        <f t="shared" si="12"/>
        <v>3.7787543624324571</v>
      </c>
      <c r="CE39" s="171">
        <f t="shared" si="65"/>
        <v>3.7787543624324571</v>
      </c>
      <c r="CF39" s="162"/>
      <c r="CG39" s="172">
        <f t="shared" si="66"/>
        <v>0.62000000000000022</v>
      </c>
      <c r="CH39" s="172">
        <f t="shared" si="67"/>
        <v>0.62000000000000022</v>
      </c>
      <c r="CI39" s="172">
        <f t="shared" si="13"/>
        <v>3.7787543624324571</v>
      </c>
      <c r="CJ39" s="171">
        <f t="shared" si="68"/>
        <v>3.7787543624324571</v>
      </c>
      <c r="CK39" s="172"/>
      <c r="CL39" s="162">
        <f t="shared" si="69"/>
        <v>0.62000000000000022</v>
      </c>
      <c r="CM39" s="170">
        <f t="shared" si="70"/>
        <v>0.62000000000000022</v>
      </c>
      <c r="CN39" s="162">
        <f t="shared" si="14"/>
        <v>3.7787543624324571</v>
      </c>
      <c r="CO39" s="171">
        <f t="shared" si="71"/>
        <v>3.7787543624324571</v>
      </c>
      <c r="CP39" s="162"/>
      <c r="CQ39" s="162">
        <f t="shared" si="72"/>
        <v>0.62000000000000022</v>
      </c>
      <c r="CR39" s="170">
        <f t="shared" si="73"/>
        <v>0.62000000000000022</v>
      </c>
      <c r="CS39" s="162">
        <f t="shared" si="15"/>
        <v>3.7787543624324571</v>
      </c>
      <c r="CT39" s="171">
        <f t="shared" si="74"/>
        <v>3.7787543624324571</v>
      </c>
      <c r="CU39" s="162"/>
      <c r="CV39" s="162">
        <f t="shared" si="75"/>
        <v>0.62000000000000022</v>
      </c>
      <c r="CW39" s="162">
        <f t="shared" si="76"/>
        <v>0.62000000000000022</v>
      </c>
      <c r="CX39" s="162">
        <f t="shared" si="16"/>
        <v>3.7787543624324571</v>
      </c>
      <c r="CY39" s="171">
        <f t="shared" si="77"/>
        <v>3.7787543624324571</v>
      </c>
      <c r="CZ39" s="162"/>
      <c r="DA39" s="162">
        <f t="shared" si="78"/>
        <v>0.62000000000000022</v>
      </c>
      <c r="DB39" s="170">
        <f t="shared" si="79"/>
        <v>0.62000000000000022</v>
      </c>
      <c r="DC39" s="162">
        <f t="shared" si="17"/>
        <v>3.7787543624324571</v>
      </c>
      <c r="DD39" s="171">
        <f t="shared" si="80"/>
        <v>3.7787543624324571</v>
      </c>
      <c r="DE39" s="162"/>
      <c r="DF39" s="162">
        <f t="shared" si="81"/>
        <v>0.62000000000000022</v>
      </c>
      <c r="DG39" s="170">
        <f t="shared" si="82"/>
        <v>0.62000000000000022</v>
      </c>
      <c r="DH39" s="162">
        <f t="shared" si="18"/>
        <v>3.7787543624324571</v>
      </c>
      <c r="DI39" s="171">
        <f t="shared" si="83"/>
        <v>3.7787543624324571</v>
      </c>
      <c r="DJ39" s="162"/>
      <c r="DK39" s="162">
        <f t="shared" si="84"/>
        <v>0.62000000000000022</v>
      </c>
      <c r="DL39" s="162">
        <f t="shared" si="85"/>
        <v>0.62000000000000022</v>
      </c>
      <c r="DM39" s="162">
        <f t="shared" si="19"/>
        <v>3.7787543624324571</v>
      </c>
      <c r="DN39" s="171">
        <f t="shared" si="86"/>
        <v>3.7787543624324571</v>
      </c>
      <c r="DO39" s="162"/>
      <c r="DP39" s="162">
        <f t="shared" si="87"/>
        <v>0.62000000000000022</v>
      </c>
      <c r="DQ39" s="170">
        <f t="shared" si="88"/>
        <v>0.62000000000000022</v>
      </c>
      <c r="DR39" s="162">
        <f t="shared" si="20"/>
        <v>3.7787543624324571</v>
      </c>
      <c r="DS39" s="171">
        <f t="shared" si="89"/>
        <v>3.7787543624324571</v>
      </c>
      <c r="DT39" s="162"/>
      <c r="DU39" s="162">
        <f t="shared" si="90"/>
        <v>0.62000000000000022</v>
      </c>
      <c r="DV39" s="170">
        <f t="shared" si="91"/>
        <v>0.62000000000000022</v>
      </c>
      <c r="DW39" s="162">
        <f t="shared" si="21"/>
        <v>3.7787543624324571</v>
      </c>
      <c r="DX39" s="171">
        <f t="shared" si="92"/>
        <v>3.7787543624324571</v>
      </c>
      <c r="DY39" s="162"/>
      <c r="DZ39" s="162">
        <f t="shared" si="93"/>
        <v>0.62000000000000022</v>
      </c>
      <c r="EA39" s="162">
        <f t="shared" si="94"/>
        <v>0.62000000000000022</v>
      </c>
      <c r="EB39" s="162">
        <f t="shared" si="22"/>
        <v>3.7787543624324571</v>
      </c>
      <c r="EC39" s="171">
        <f t="shared" si="95"/>
        <v>3.7787543624324571</v>
      </c>
      <c r="ED39" s="162"/>
      <c r="EE39" s="162">
        <f t="shared" si="96"/>
        <v>0.62000000000000022</v>
      </c>
      <c r="EF39" s="170">
        <f t="shared" si="97"/>
        <v>0.62000000000000022</v>
      </c>
      <c r="EG39" s="162">
        <f t="shared" si="23"/>
        <v>3.7787543624324571</v>
      </c>
      <c r="EH39" s="171">
        <f t="shared" si="98"/>
        <v>3.7787543624324571</v>
      </c>
      <c r="EI39" s="162"/>
      <c r="EJ39" s="162">
        <f t="shared" si="99"/>
        <v>0.62000000000000022</v>
      </c>
      <c r="EK39" s="170">
        <f t="shared" si="100"/>
        <v>0.62000000000000022</v>
      </c>
      <c r="EL39" s="162">
        <f t="shared" si="24"/>
        <v>3.7787543624324571</v>
      </c>
      <c r="EM39" s="171">
        <f t="shared" si="101"/>
        <v>3.7787543624324571</v>
      </c>
      <c r="EN39" s="162"/>
      <c r="EO39" s="162">
        <f t="shared" si="102"/>
        <v>0.62000000000000022</v>
      </c>
      <c r="EP39" s="162">
        <f t="shared" si="103"/>
        <v>0.62000000000000022</v>
      </c>
      <c r="EQ39" s="162">
        <f t="shared" si="25"/>
        <v>3.7787543624324571</v>
      </c>
      <c r="ER39" s="171">
        <f t="shared" si="104"/>
        <v>3.7787543624324571</v>
      </c>
      <c r="ES39" s="162"/>
      <c r="ET39" s="162">
        <f t="shared" si="105"/>
        <v>0.62000000000000022</v>
      </c>
      <c r="EU39" s="170">
        <f t="shared" si="106"/>
        <v>0.62000000000000022</v>
      </c>
      <c r="EV39" s="162">
        <f t="shared" si="26"/>
        <v>3.7787543624324571</v>
      </c>
      <c r="EW39" s="171">
        <f t="shared" si="107"/>
        <v>3.7787543624324571</v>
      </c>
      <c r="EX39" s="162"/>
    </row>
    <row r="40" spans="3:154" s="181" customFormat="1" x14ac:dyDescent="0.25">
      <c r="T40" s="162">
        <f t="shared" si="27"/>
        <v>0.64000000000000024</v>
      </c>
      <c r="U40" s="170">
        <f t="shared" si="28"/>
        <v>0.64000000000000024</v>
      </c>
      <c r="V40" s="162">
        <f t="shared" si="0"/>
        <v>3.8508618478976286</v>
      </c>
      <c r="W40" s="171">
        <f t="shared" si="29"/>
        <v>3.8508618478976286</v>
      </c>
      <c r="X40" s="162"/>
      <c r="Y40" s="162">
        <f t="shared" si="30"/>
        <v>0.64000000000000024</v>
      </c>
      <c r="Z40" s="162">
        <f t="shared" si="31"/>
        <v>0.64000000000000024</v>
      </c>
      <c r="AA40" s="162">
        <f t="shared" si="1"/>
        <v>3.8508618478976286</v>
      </c>
      <c r="AB40" s="171">
        <f t="shared" si="32"/>
        <v>3.8508618478976286</v>
      </c>
      <c r="AC40" s="162"/>
      <c r="AD40" s="162">
        <f t="shared" si="33"/>
        <v>0.64000000000000024</v>
      </c>
      <c r="AE40" s="170">
        <f t="shared" si="34"/>
        <v>0.64000000000000024</v>
      </c>
      <c r="AF40" s="162">
        <f t="shared" si="2"/>
        <v>3.8508618478976286</v>
      </c>
      <c r="AG40" s="171">
        <f t="shared" si="35"/>
        <v>3.8508618478976286</v>
      </c>
      <c r="AH40" s="162"/>
      <c r="AI40" s="162">
        <f t="shared" si="36"/>
        <v>0.64000000000000024</v>
      </c>
      <c r="AJ40" s="170">
        <f t="shared" si="37"/>
        <v>0.64000000000000024</v>
      </c>
      <c r="AK40" s="162">
        <f t="shared" si="3"/>
        <v>3.8508618478976286</v>
      </c>
      <c r="AL40" s="171">
        <f t="shared" si="38"/>
        <v>3.8508618478976286</v>
      </c>
      <c r="AM40" s="162"/>
      <c r="AN40" s="162">
        <f t="shared" si="39"/>
        <v>0.64000000000000024</v>
      </c>
      <c r="AO40" s="162">
        <f t="shared" si="40"/>
        <v>0.64000000000000024</v>
      </c>
      <c r="AP40" s="162">
        <f t="shared" si="4"/>
        <v>3.8508618478976286</v>
      </c>
      <c r="AQ40" s="171">
        <f t="shared" si="41"/>
        <v>3.8508618478976286</v>
      </c>
      <c r="AR40" s="162"/>
      <c r="AS40" s="162">
        <f t="shared" si="42"/>
        <v>0.64000000000000024</v>
      </c>
      <c r="AT40" s="170">
        <f t="shared" si="43"/>
        <v>0.64000000000000024</v>
      </c>
      <c r="AU40" s="162">
        <f t="shared" si="5"/>
        <v>3.8508618478976286</v>
      </c>
      <c r="AV40" s="171">
        <f t="shared" si="44"/>
        <v>3.8508618478976286</v>
      </c>
      <c r="AW40" s="162"/>
      <c r="AX40" s="162">
        <f t="shared" si="45"/>
        <v>0.64000000000000024</v>
      </c>
      <c r="AY40" s="170">
        <f t="shared" si="46"/>
        <v>0.64000000000000024</v>
      </c>
      <c r="AZ40" s="162">
        <f t="shared" si="6"/>
        <v>3.8508618478976286</v>
      </c>
      <c r="BA40" s="171">
        <f t="shared" si="47"/>
        <v>3.8508618478976286</v>
      </c>
      <c r="BB40" s="162"/>
      <c r="BC40" s="162">
        <f t="shared" si="48"/>
        <v>0.64000000000000024</v>
      </c>
      <c r="BD40" s="162">
        <f t="shared" si="49"/>
        <v>0.64000000000000024</v>
      </c>
      <c r="BE40" s="162">
        <f t="shared" si="7"/>
        <v>3.8508618478976286</v>
      </c>
      <c r="BF40" s="171">
        <f t="shared" si="50"/>
        <v>3.8508618478976286</v>
      </c>
      <c r="BG40" s="162"/>
      <c r="BH40" s="162">
        <f t="shared" si="51"/>
        <v>0.64000000000000024</v>
      </c>
      <c r="BI40" s="170">
        <f t="shared" si="52"/>
        <v>0.64000000000000024</v>
      </c>
      <c r="BJ40" s="162">
        <f t="shared" si="8"/>
        <v>3.8508618478976286</v>
      </c>
      <c r="BK40" s="171">
        <f t="shared" si="53"/>
        <v>3.8508618478976286</v>
      </c>
      <c r="BL40" s="162"/>
      <c r="BM40" s="162">
        <f t="shared" si="54"/>
        <v>0.64000000000000024</v>
      </c>
      <c r="BN40" s="170">
        <f t="shared" si="55"/>
        <v>0.64000000000000024</v>
      </c>
      <c r="BO40" s="162">
        <f t="shared" si="9"/>
        <v>3.8508618478976286</v>
      </c>
      <c r="BP40" s="171">
        <f t="shared" si="56"/>
        <v>3.8508618478976286</v>
      </c>
      <c r="BQ40" s="162"/>
      <c r="BR40" s="162">
        <f t="shared" si="57"/>
        <v>0.64000000000000024</v>
      </c>
      <c r="BS40" s="162">
        <f t="shared" si="58"/>
        <v>0.64000000000000024</v>
      </c>
      <c r="BT40" s="162">
        <f t="shared" si="10"/>
        <v>3.8508618478976286</v>
      </c>
      <c r="BU40" s="171">
        <f t="shared" si="59"/>
        <v>3.8508618478976286</v>
      </c>
      <c r="BV40" s="162"/>
      <c r="BW40" s="162">
        <f t="shared" si="60"/>
        <v>0.64000000000000024</v>
      </c>
      <c r="BX40" s="170">
        <f t="shared" si="61"/>
        <v>0.64000000000000024</v>
      </c>
      <c r="BY40" s="162">
        <f t="shared" si="11"/>
        <v>3.8508618478976286</v>
      </c>
      <c r="BZ40" s="171">
        <f t="shared" si="62"/>
        <v>3.8508618478976286</v>
      </c>
      <c r="CA40" s="162"/>
      <c r="CB40" s="162">
        <f t="shared" si="63"/>
        <v>0.64000000000000024</v>
      </c>
      <c r="CC40" s="170">
        <f t="shared" si="64"/>
        <v>0.64000000000000024</v>
      </c>
      <c r="CD40" s="162">
        <f t="shared" si="12"/>
        <v>3.8508618478976286</v>
      </c>
      <c r="CE40" s="171">
        <f t="shared" si="65"/>
        <v>3.8508618478976286</v>
      </c>
      <c r="CF40" s="162"/>
      <c r="CG40" s="172">
        <f t="shared" si="66"/>
        <v>0.64000000000000024</v>
      </c>
      <c r="CH40" s="172">
        <f t="shared" si="67"/>
        <v>0.64000000000000024</v>
      </c>
      <c r="CI40" s="172">
        <f t="shared" si="13"/>
        <v>3.8508618478976286</v>
      </c>
      <c r="CJ40" s="171">
        <f t="shared" si="68"/>
        <v>3.8508618478976286</v>
      </c>
      <c r="CK40" s="172"/>
      <c r="CL40" s="162">
        <f t="shared" si="69"/>
        <v>0.64000000000000024</v>
      </c>
      <c r="CM40" s="170">
        <f t="shared" si="70"/>
        <v>0.64000000000000024</v>
      </c>
      <c r="CN40" s="162">
        <f t="shared" si="14"/>
        <v>3.8508618478976286</v>
      </c>
      <c r="CO40" s="171">
        <f t="shared" si="71"/>
        <v>3.8508618478976286</v>
      </c>
      <c r="CP40" s="162"/>
      <c r="CQ40" s="162">
        <f t="shared" si="72"/>
        <v>0.64000000000000024</v>
      </c>
      <c r="CR40" s="170">
        <f t="shared" si="73"/>
        <v>0.64000000000000024</v>
      </c>
      <c r="CS40" s="162">
        <f t="shared" si="15"/>
        <v>3.8508618478976286</v>
      </c>
      <c r="CT40" s="171">
        <f t="shared" si="74"/>
        <v>3.8508618478976286</v>
      </c>
      <c r="CU40" s="162"/>
      <c r="CV40" s="162">
        <f t="shared" si="75"/>
        <v>0.64000000000000024</v>
      </c>
      <c r="CW40" s="162">
        <f t="shared" si="76"/>
        <v>0.64000000000000024</v>
      </c>
      <c r="CX40" s="162">
        <f t="shared" si="16"/>
        <v>3.8508618478976286</v>
      </c>
      <c r="CY40" s="171">
        <f t="shared" si="77"/>
        <v>3.8508618478976286</v>
      </c>
      <c r="CZ40" s="162"/>
      <c r="DA40" s="162">
        <f t="shared" si="78"/>
        <v>0.64000000000000024</v>
      </c>
      <c r="DB40" s="170">
        <f t="shared" si="79"/>
        <v>0.64000000000000024</v>
      </c>
      <c r="DC40" s="162">
        <f t="shared" si="17"/>
        <v>3.8508618478976286</v>
      </c>
      <c r="DD40" s="171">
        <f t="shared" si="80"/>
        <v>3.8508618478976286</v>
      </c>
      <c r="DE40" s="162"/>
      <c r="DF40" s="162">
        <f t="shared" si="81"/>
        <v>0.64000000000000024</v>
      </c>
      <c r="DG40" s="170">
        <f t="shared" si="82"/>
        <v>0.64000000000000024</v>
      </c>
      <c r="DH40" s="162">
        <f t="shared" si="18"/>
        <v>3.8508618478976286</v>
      </c>
      <c r="DI40" s="171">
        <f t="shared" si="83"/>
        <v>3.8508618478976286</v>
      </c>
      <c r="DJ40" s="162"/>
      <c r="DK40" s="162">
        <f t="shared" si="84"/>
        <v>0.64000000000000024</v>
      </c>
      <c r="DL40" s="162">
        <f t="shared" si="85"/>
        <v>0.64000000000000024</v>
      </c>
      <c r="DM40" s="162">
        <f t="shared" si="19"/>
        <v>3.8508618478976286</v>
      </c>
      <c r="DN40" s="171">
        <f t="shared" si="86"/>
        <v>3.8508618478976286</v>
      </c>
      <c r="DO40" s="162"/>
      <c r="DP40" s="162">
        <f t="shared" si="87"/>
        <v>0.64000000000000024</v>
      </c>
      <c r="DQ40" s="170">
        <f t="shared" si="88"/>
        <v>0.64000000000000024</v>
      </c>
      <c r="DR40" s="162">
        <f t="shared" si="20"/>
        <v>3.8508618478976286</v>
      </c>
      <c r="DS40" s="171">
        <f t="shared" si="89"/>
        <v>3.8508618478976286</v>
      </c>
      <c r="DT40" s="162"/>
      <c r="DU40" s="162">
        <f t="shared" si="90"/>
        <v>0.64000000000000024</v>
      </c>
      <c r="DV40" s="170">
        <f t="shared" si="91"/>
        <v>0.64000000000000024</v>
      </c>
      <c r="DW40" s="162">
        <f t="shared" si="21"/>
        <v>3.8508618478976286</v>
      </c>
      <c r="DX40" s="171">
        <f t="shared" si="92"/>
        <v>3.8508618478976286</v>
      </c>
      <c r="DY40" s="162"/>
      <c r="DZ40" s="162">
        <f t="shared" si="93"/>
        <v>0.64000000000000024</v>
      </c>
      <c r="EA40" s="162">
        <f t="shared" si="94"/>
        <v>0.64000000000000024</v>
      </c>
      <c r="EB40" s="162">
        <f t="shared" si="22"/>
        <v>3.8508618478976286</v>
      </c>
      <c r="EC40" s="171">
        <f t="shared" si="95"/>
        <v>3.8508618478976286</v>
      </c>
      <c r="ED40" s="162"/>
      <c r="EE40" s="162">
        <f t="shared" si="96"/>
        <v>0.64000000000000024</v>
      </c>
      <c r="EF40" s="170">
        <f t="shared" si="97"/>
        <v>0.64000000000000024</v>
      </c>
      <c r="EG40" s="162">
        <f t="shared" si="23"/>
        <v>3.8508618478976286</v>
      </c>
      <c r="EH40" s="171">
        <f t="shared" si="98"/>
        <v>3.8508618478976286</v>
      </c>
      <c r="EI40" s="162"/>
      <c r="EJ40" s="162">
        <f t="shared" si="99"/>
        <v>0.64000000000000024</v>
      </c>
      <c r="EK40" s="170">
        <f t="shared" si="100"/>
        <v>0.64000000000000024</v>
      </c>
      <c r="EL40" s="162">
        <f t="shared" si="24"/>
        <v>3.8508618478976286</v>
      </c>
      <c r="EM40" s="171">
        <f t="shared" si="101"/>
        <v>3.8508618478976286</v>
      </c>
      <c r="EN40" s="162"/>
      <c r="EO40" s="162">
        <f t="shared" si="102"/>
        <v>0.64000000000000024</v>
      </c>
      <c r="EP40" s="162">
        <f t="shared" si="103"/>
        <v>0.64000000000000024</v>
      </c>
      <c r="EQ40" s="162">
        <f t="shared" si="25"/>
        <v>3.8508618478976286</v>
      </c>
      <c r="ER40" s="171">
        <f t="shared" si="104"/>
        <v>3.8508618478976286</v>
      </c>
      <c r="ES40" s="162"/>
      <c r="ET40" s="162">
        <f t="shared" si="105"/>
        <v>0.64000000000000024</v>
      </c>
      <c r="EU40" s="170">
        <f t="shared" si="106"/>
        <v>0.64000000000000024</v>
      </c>
      <c r="EV40" s="162">
        <f t="shared" si="26"/>
        <v>3.8508618478976286</v>
      </c>
      <c r="EW40" s="171">
        <f t="shared" si="107"/>
        <v>3.8508618478976286</v>
      </c>
      <c r="EX40" s="162"/>
    </row>
    <row r="41" spans="3:154" s="181" customFormat="1" x14ac:dyDescent="0.25">
      <c r="T41" s="162">
        <f t="shared" si="27"/>
        <v>0.66000000000000025</v>
      </c>
      <c r="U41" s="170">
        <f t="shared" si="28"/>
        <v>0.66000000000000025</v>
      </c>
      <c r="V41" s="162">
        <f t="shared" si="0"/>
        <v>3.9202608206349523</v>
      </c>
      <c r="W41" s="171">
        <f t="shared" si="29"/>
        <v>3.9202608206349523</v>
      </c>
      <c r="X41" s="162"/>
      <c r="Y41" s="162">
        <f t="shared" si="30"/>
        <v>0.66000000000000025</v>
      </c>
      <c r="Z41" s="162">
        <f t="shared" si="31"/>
        <v>0.66000000000000025</v>
      </c>
      <c r="AA41" s="162">
        <f t="shared" si="1"/>
        <v>3.9202608206349523</v>
      </c>
      <c r="AB41" s="171">
        <f t="shared" si="32"/>
        <v>3.9202608206349523</v>
      </c>
      <c r="AC41" s="162"/>
      <c r="AD41" s="162">
        <f t="shared" si="33"/>
        <v>0.66000000000000025</v>
      </c>
      <c r="AE41" s="170">
        <f t="shared" si="34"/>
        <v>0.66000000000000025</v>
      </c>
      <c r="AF41" s="162">
        <f t="shared" si="2"/>
        <v>3.9202608206349523</v>
      </c>
      <c r="AG41" s="171">
        <f t="shared" si="35"/>
        <v>3.9202608206349523</v>
      </c>
      <c r="AH41" s="162"/>
      <c r="AI41" s="162">
        <f t="shared" si="36"/>
        <v>0.66000000000000025</v>
      </c>
      <c r="AJ41" s="170">
        <f t="shared" si="37"/>
        <v>0.66000000000000025</v>
      </c>
      <c r="AK41" s="162">
        <f t="shared" si="3"/>
        <v>3.9202608206349523</v>
      </c>
      <c r="AL41" s="171">
        <f t="shared" si="38"/>
        <v>3.9202608206349523</v>
      </c>
      <c r="AM41" s="162"/>
      <c r="AN41" s="162">
        <f t="shared" si="39"/>
        <v>0.66000000000000025</v>
      </c>
      <c r="AO41" s="162">
        <f t="shared" si="40"/>
        <v>0.66000000000000025</v>
      </c>
      <c r="AP41" s="162">
        <f t="shared" si="4"/>
        <v>3.9202608206349523</v>
      </c>
      <c r="AQ41" s="171">
        <f t="shared" si="41"/>
        <v>3.9202608206349523</v>
      </c>
      <c r="AR41" s="162"/>
      <c r="AS41" s="162">
        <f t="shared" si="42"/>
        <v>0.66000000000000025</v>
      </c>
      <c r="AT41" s="170">
        <f t="shared" si="43"/>
        <v>0.66000000000000025</v>
      </c>
      <c r="AU41" s="162">
        <f t="shared" si="5"/>
        <v>3.9202608206349523</v>
      </c>
      <c r="AV41" s="171">
        <f t="shared" si="44"/>
        <v>3.9202608206349523</v>
      </c>
      <c r="AW41" s="162"/>
      <c r="AX41" s="162">
        <f t="shared" si="45"/>
        <v>0.66000000000000025</v>
      </c>
      <c r="AY41" s="170">
        <f t="shared" si="46"/>
        <v>0.66000000000000025</v>
      </c>
      <c r="AZ41" s="162">
        <f t="shared" si="6"/>
        <v>3.9202608206349523</v>
      </c>
      <c r="BA41" s="171">
        <f t="shared" si="47"/>
        <v>3.9202608206349523</v>
      </c>
      <c r="BB41" s="162"/>
      <c r="BC41" s="162">
        <f t="shared" si="48"/>
        <v>0.66000000000000025</v>
      </c>
      <c r="BD41" s="162">
        <f t="shared" si="49"/>
        <v>0.66000000000000025</v>
      </c>
      <c r="BE41" s="162">
        <f t="shared" si="7"/>
        <v>3.9202608206349523</v>
      </c>
      <c r="BF41" s="171">
        <f t="shared" si="50"/>
        <v>3.9202608206349523</v>
      </c>
      <c r="BG41" s="162"/>
      <c r="BH41" s="162">
        <f t="shared" si="51"/>
        <v>0.66000000000000025</v>
      </c>
      <c r="BI41" s="170">
        <f t="shared" si="52"/>
        <v>0.66000000000000025</v>
      </c>
      <c r="BJ41" s="162">
        <f t="shared" si="8"/>
        <v>3.9202608206349523</v>
      </c>
      <c r="BK41" s="171">
        <f t="shared" si="53"/>
        <v>3.9202608206349523</v>
      </c>
      <c r="BL41" s="162"/>
      <c r="BM41" s="162">
        <f t="shared" si="54"/>
        <v>0.66000000000000025</v>
      </c>
      <c r="BN41" s="170">
        <f t="shared" si="55"/>
        <v>0.66000000000000025</v>
      </c>
      <c r="BO41" s="162">
        <f t="shared" si="9"/>
        <v>3.9202608206349523</v>
      </c>
      <c r="BP41" s="171">
        <f t="shared" si="56"/>
        <v>3.9202608206349523</v>
      </c>
      <c r="BQ41" s="162"/>
      <c r="BR41" s="162">
        <f t="shared" si="57"/>
        <v>0.66000000000000025</v>
      </c>
      <c r="BS41" s="162">
        <f t="shared" si="58"/>
        <v>0.66000000000000025</v>
      </c>
      <c r="BT41" s="162">
        <f t="shared" si="10"/>
        <v>3.9202608206349523</v>
      </c>
      <c r="BU41" s="171">
        <f t="shared" si="59"/>
        <v>3.9202608206349523</v>
      </c>
      <c r="BV41" s="162"/>
      <c r="BW41" s="162">
        <f t="shared" si="60"/>
        <v>0.66000000000000025</v>
      </c>
      <c r="BX41" s="170">
        <f t="shared" si="61"/>
        <v>0.66000000000000025</v>
      </c>
      <c r="BY41" s="162">
        <f t="shared" si="11"/>
        <v>3.9202608206349523</v>
      </c>
      <c r="BZ41" s="171">
        <f t="shared" si="62"/>
        <v>3.9202608206349523</v>
      </c>
      <c r="CA41" s="162"/>
      <c r="CB41" s="162">
        <f t="shared" si="63"/>
        <v>0.66000000000000025</v>
      </c>
      <c r="CC41" s="170">
        <f t="shared" si="64"/>
        <v>0.66000000000000025</v>
      </c>
      <c r="CD41" s="162">
        <f t="shared" si="12"/>
        <v>3.9202608206349523</v>
      </c>
      <c r="CE41" s="171">
        <f t="shared" si="65"/>
        <v>3.9202608206349523</v>
      </c>
      <c r="CF41" s="162"/>
      <c r="CG41" s="172">
        <f t="shared" si="66"/>
        <v>0.66000000000000025</v>
      </c>
      <c r="CH41" s="172">
        <f t="shared" si="67"/>
        <v>0.66000000000000025</v>
      </c>
      <c r="CI41" s="172">
        <f t="shared" si="13"/>
        <v>3.9202608206349523</v>
      </c>
      <c r="CJ41" s="171">
        <f t="shared" si="68"/>
        <v>3.9202608206349523</v>
      </c>
      <c r="CK41" s="172"/>
      <c r="CL41" s="162">
        <f t="shared" si="69"/>
        <v>0.66000000000000025</v>
      </c>
      <c r="CM41" s="170">
        <f t="shared" si="70"/>
        <v>0.66000000000000025</v>
      </c>
      <c r="CN41" s="162">
        <f t="shared" si="14"/>
        <v>3.9202608206349523</v>
      </c>
      <c r="CO41" s="171">
        <f t="shared" si="71"/>
        <v>3.9202608206349523</v>
      </c>
      <c r="CP41" s="162"/>
      <c r="CQ41" s="162">
        <f t="shared" si="72"/>
        <v>0.66000000000000025</v>
      </c>
      <c r="CR41" s="170">
        <f t="shared" si="73"/>
        <v>0.66000000000000025</v>
      </c>
      <c r="CS41" s="162">
        <f t="shared" si="15"/>
        <v>3.9202608206349523</v>
      </c>
      <c r="CT41" s="171">
        <f t="shared" si="74"/>
        <v>3.9202608206349523</v>
      </c>
      <c r="CU41" s="162"/>
      <c r="CV41" s="162">
        <f t="shared" si="75"/>
        <v>0.66000000000000025</v>
      </c>
      <c r="CW41" s="162">
        <f t="shared" si="76"/>
        <v>0.66000000000000025</v>
      </c>
      <c r="CX41" s="162">
        <f t="shared" si="16"/>
        <v>3.9202608206349523</v>
      </c>
      <c r="CY41" s="171">
        <f t="shared" si="77"/>
        <v>3.9202608206349523</v>
      </c>
      <c r="CZ41" s="162"/>
      <c r="DA41" s="162">
        <f t="shared" si="78"/>
        <v>0.66000000000000025</v>
      </c>
      <c r="DB41" s="170">
        <f t="shared" si="79"/>
        <v>0.66000000000000025</v>
      </c>
      <c r="DC41" s="162">
        <f t="shared" si="17"/>
        <v>3.9202608206349523</v>
      </c>
      <c r="DD41" s="171">
        <f t="shared" si="80"/>
        <v>3.9202608206349523</v>
      </c>
      <c r="DE41" s="162"/>
      <c r="DF41" s="162">
        <f t="shared" si="81"/>
        <v>0.66000000000000025</v>
      </c>
      <c r="DG41" s="170">
        <f t="shared" si="82"/>
        <v>0.66000000000000025</v>
      </c>
      <c r="DH41" s="162">
        <f t="shared" si="18"/>
        <v>3.9202608206349523</v>
      </c>
      <c r="DI41" s="171">
        <f t="shared" si="83"/>
        <v>3.9202608206349523</v>
      </c>
      <c r="DJ41" s="162"/>
      <c r="DK41" s="162">
        <f t="shared" si="84"/>
        <v>0.66000000000000025</v>
      </c>
      <c r="DL41" s="162">
        <f t="shared" si="85"/>
        <v>0.66000000000000025</v>
      </c>
      <c r="DM41" s="162">
        <f t="shared" si="19"/>
        <v>3.9202608206349523</v>
      </c>
      <c r="DN41" s="171">
        <f t="shared" si="86"/>
        <v>3.9202608206349523</v>
      </c>
      <c r="DO41" s="162"/>
      <c r="DP41" s="162">
        <f t="shared" si="87"/>
        <v>0.66000000000000025</v>
      </c>
      <c r="DQ41" s="170">
        <f t="shared" si="88"/>
        <v>0.66000000000000025</v>
      </c>
      <c r="DR41" s="162">
        <f t="shared" si="20"/>
        <v>3.9202608206349523</v>
      </c>
      <c r="DS41" s="171">
        <f t="shared" si="89"/>
        <v>3.9202608206349523</v>
      </c>
      <c r="DT41" s="162"/>
      <c r="DU41" s="162">
        <f t="shared" si="90"/>
        <v>0.66000000000000025</v>
      </c>
      <c r="DV41" s="170">
        <f t="shared" si="91"/>
        <v>0.66000000000000025</v>
      </c>
      <c r="DW41" s="162">
        <f t="shared" si="21"/>
        <v>3.9202608206349523</v>
      </c>
      <c r="DX41" s="171">
        <f t="shared" si="92"/>
        <v>3.9202608206349523</v>
      </c>
      <c r="DY41" s="162"/>
      <c r="DZ41" s="162">
        <f t="shared" si="93"/>
        <v>0.66000000000000025</v>
      </c>
      <c r="EA41" s="162">
        <f t="shared" si="94"/>
        <v>0.66000000000000025</v>
      </c>
      <c r="EB41" s="162">
        <f t="shared" si="22"/>
        <v>3.9202608206349523</v>
      </c>
      <c r="EC41" s="171">
        <f t="shared" si="95"/>
        <v>3.9202608206349523</v>
      </c>
      <c r="ED41" s="162"/>
      <c r="EE41" s="162">
        <f t="shared" si="96"/>
        <v>0.66000000000000025</v>
      </c>
      <c r="EF41" s="170">
        <f t="shared" si="97"/>
        <v>0.66000000000000025</v>
      </c>
      <c r="EG41" s="162">
        <f t="shared" si="23"/>
        <v>3.9202608206349523</v>
      </c>
      <c r="EH41" s="171">
        <f t="shared" si="98"/>
        <v>3.9202608206349523</v>
      </c>
      <c r="EI41" s="162"/>
      <c r="EJ41" s="162">
        <f t="shared" si="99"/>
        <v>0.66000000000000025</v>
      </c>
      <c r="EK41" s="170">
        <f t="shared" si="100"/>
        <v>0.66000000000000025</v>
      </c>
      <c r="EL41" s="162">
        <f t="shared" si="24"/>
        <v>3.9202608206349523</v>
      </c>
      <c r="EM41" s="171">
        <f t="shared" si="101"/>
        <v>3.9202608206349523</v>
      </c>
      <c r="EN41" s="162"/>
      <c r="EO41" s="162">
        <f t="shared" si="102"/>
        <v>0.66000000000000025</v>
      </c>
      <c r="EP41" s="162">
        <f t="shared" si="103"/>
        <v>0.66000000000000025</v>
      </c>
      <c r="EQ41" s="162">
        <f t="shared" si="25"/>
        <v>3.9202608206349523</v>
      </c>
      <c r="ER41" s="171">
        <f t="shared" si="104"/>
        <v>3.9202608206349523</v>
      </c>
      <c r="ES41" s="162"/>
      <c r="ET41" s="162">
        <f t="shared" si="105"/>
        <v>0.66000000000000025</v>
      </c>
      <c r="EU41" s="170">
        <f t="shared" si="106"/>
        <v>0.66000000000000025</v>
      </c>
      <c r="EV41" s="162">
        <f t="shared" si="26"/>
        <v>3.9202608206349523</v>
      </c>
      <c r="EW41" s="171">
        <f t="shared" si="107"/>
        <v>3.9202608206349523</v>
      </c>
      <c r="EX41" s="162"/>
    </row>
    <row r="42" spans="3:154" s="181" customFormat="1" x14ac:dyDescent="0.25">
      <c r="T42" s="162">
        <f t="shared" si="27"/>
        <v>0.68000000000000027</v>
      </c>
      <c r="U42" s="170">
        <f t="shared" si="28"/>
        <v>0.68000000000000027</v>
      </c>
      <c r="V42" s="162">
        <f t="shared" si="0"/>
        <v>3.9869512806444294</v>
      </c>
      <c r="W42" s="171">
        <f t="shared" si="29"/>
        <v>3.9869512806444294</v>
      </c>
      <c r="X42" s="162"/>
      <c r="Y42" s="162">
        <f t="shared" si="30"/>
        <v>0.68000000000000027</v>
      </c>
      <c r="Z42" s="162">
        <f t="shared" si="31"/>
        <v>0.68000000000000027</v>
      </c>
      <c r="AA42" s="162">
        <f t="shared" si="1"/>
        <v>3.9869512806444294</v>
      </c>
      <c r="AB42" s="171">
        <f t="shared" si="32"/>
        <v>3.9869512806444294</v>
      </c>
      <c r="AC42" s="162"/>
      <c r="AD42" s="162">
        <f t="shared" si="33"/>
        <v>0.68000000000000027</v>
      </c>
      <c r="AE42" s="170">
        <f t="shared" si="34"/>
        <v>0.68000000000000027</v>
      </c>
      <c r="AF42" s="162">
        <f t="shared" si="2"/>
        <v>3.9869512806444294</v>
      </c>
      <c r="AG42" s="171">
        <f t="shared" si="35"/>
        <v>3.9869512806444294</v>
      </c>
      <c r="AH42" s="162"/>
      <c r="AI42" s="162">
        <f t="shared" si="36"/>
        <v>0.68000000000000027</v>
      </c>
      <c r="AJ42" s="170">
        <f t="shared" si="37"/>
        <v>0.68000000000000027</v>
      </c>
      <c r="AK42" s="162">
        <f t="shared" si="3"/>
        <v>3.9869512806444294</v>
      </c>
      <c r="AL42" s="171">
        <f t="shared" si="38"/>
        <v>3.9869512806444294</v>
      </c>
      <c r="AM42" s="162"/>
      <c r="AN42" s="162">
        <f t="shared" si="39"/>
        <v>0.68000000000000027</v>
      </c>
      <c r="AO42" s="162">
        <f t="shared" si="40"/>
        <v>0.68000000000000027</v>
      </c>
      <c r="AP42" s="162">
        <f t="shared" si="4"/>
        <v>3.9869512806444294</v>
      </c>
      <c r="AQ42" s="171">
        <f t="shared" si="41"/>
        <v>3.9869512806444294</v>
      </c>
      <c r="AR42" s="162"/>
      <c r="AS42" s="162">
        <f t="shared" si="42"/>
        <v>0.68000000000000027</v>
      </c>
      <c r="AT42" s="170">
        <f t="shared" si="43"/>
        <v>0.68000000000000027</v>
      </c>
      <c r="AU42" s="162">
        <f t="shared" si="5"/>
        <v>3.9869512806444294</v>
      </c>
      <c r="AV42" s="171">
        <f t="shared" si="44"/>
        <v>3.9869512806444294</v>
      </c>
      <c r="AW42" s="162"/>
      <c r="AX42" s="162">
        <f t="shared" si="45"/>
        <v>0.68000000000000027</v>
      </c>
      <c r="AY42" s="170">
        <f t="shared" si="46"/>
        <v>0.68000000000000027</v>
      </c>
      <c r="AZ42" s="162">
        <f t="shared" si="6"/>
        <v>3.9869512806444294</v>
      </c>
      <c r="BA42" s="171">
        <f t="shared" si="47"/>
        <v>3.9869512806444294</v>
      </c>
      <c r="BB42" s="162"/>
      <c r="BC42" s="162">
        <f t="shared" si="48"/>
        <v>0.68000000000000027</v>
      </c>
      <c r="BD42" s="162">
        <f t="shared" si="49"/>
        <v>0.68000000000000027</v>
      </c>
      <c r="BE42" s="162">
        <f t="shared" si="7"/>
        <v>3.9869512806444294</v>
      </c>
      <c r="BF42" s="171">
        <f t="shared" si="50"/>
        <v>3.9869512806444294</v>
      </c>
      <c r="BG42" s="162"/>
      <c r="BH42" s="162">
        <f t="shared" si="51"/>
        <v>0.68000000000000027</v>
      </c>
      <c r="BI42" s="170">
        <f t="shared" si="52"/>
        <v>0.68000000000000027</v>
      </c>
      <c r="BJ42" s="162">
        <f t="shared" si="8"/>
        <v>3.9869512806444294</v>
      </c>
      <c r="BK42" s="171">
        <f t="shared" si="53"/>
        <v>3.9869512806444294</v>
      </c>
      <c r="BL42" s="162"/>
      <c r="BM42" s="162">
        <f t="shared" si="54"/>
        <v>0.68000000000000027</v>
      </c>
      <c r="BN42" s="170">
        <f t="shared" si="55"/>
        <v>0.68000000000000027</v>
      </c>
      <c r="BO42" s="162">
        <f t="shared" si="9"/>
        <v>3.9869512806444294</v>
      </c>
      <c r="BP42" s="171">
        <f t="shared" si="56"/>
        <v>3.9869512806444294</v>
      </c>
      <c r="BQ42" s="162"/>
      <c r="BR42" s="162">
        <f t="shared" si="57"/>
        <v>0.68000000000000027</v>
      </c>
      <c r="BS42" s="162">
        <f t="shared" si="58"/>
        <v>0.68000000000000027</v>
      </c>
      <c r="BT42" s="162">
        <f t="shared" si="10"/>
        <v>3.9869512806444294</v>
      </c>
      <c r="BU42" s="171">
        <f t="shared" si="59"/>
        <v>3.9869512806444294</v>
      </c>
      <c r="BV42" s="162"/>
      <c r="BW42" s="162">
        <f t="shared" si="60"/>
        <v>0.68000000000000027</v>
      </c>
      <c r="BX42" s="170">
        <f t="shared" si="61"/>
        <v>0.68000000000000027</v>
      </c>
      <c r="BY42" s="162">
        <f t="shared" si="11"/>
        <v>3.9869512806444294</v>
      </c>
      <c r="BZ42" s="171">
        <f t="shared" si="62"/>
        <v>3.9869512806444294</v>
      </c>
      <c r="CA42" s="162"/>
      <c r="CB42" s="162">
        <f t="shared" si="63"/>
        <v>0.68000000000000027</v>
      </c>
      <c r="CC42" s="170">
        <f t="shared" si="64"/>
        <v>0.68000000000000027</v>
      </c>
      <c r="CD42" s="162">
        <f t="shared" si="12"/>
        <v>3.9869512806444294</v>
      </c>
      <c r="CE42" s="171">
        <f t="shared" si="65"/>
        <v>3.9869512806444294</v>
      </c>
      <c r="CF42" s="162"/>
      <c r="CG42" s="172">
        <f t="shared" si="66"/>
        <v>0.68000000000000027</v>
      </c>
      <c r="CH42" s="172">
        <f t="shared" si="67"/>
        <v>0.68000000000000027</v>
      </c>
      <c r="CI42" s="172">
        <f t="shared" si="13"/>
        <v>3.9869512806444294</v>
      </c>
      <c r="CJ42" s="171">
        <f t="shared" si="68"/>
        <v>3.9869512806444294</v>
      </c>
      <c r="CK42" s="172"/>
      <c r="CL42" s="162">
        <f t="shared" si="69"/>
        <v>0.68000000000000027</v>
      </c>
      <c r="CM42" s="170">
        <f t="shared" si="70"/>
        <v>0.68000000000000027</v>
      </c>
      <c r="CN42" s="162">
        <f t="shared" si="14"/>
        <v>3.9869512806444294</v>
      </c>
      <c r="CO42" s="171">
        <f t="shared" si="71"/>
        <v>3.9869512806444294</v>
      </c>
      <c r="CP42" s="162"/>
      <c r="CQ42" s="162">
        <f t="shared" si="72"/>
        <v>0.68000000000000027</v>
      </c>
      <c r="CR42" s="170">
        <f t="shared" si="73"/>
        <v>0.68000000000000027</v>
      </c>
      <c r="CS42" s="162">
        <f t="shared" si="15"/>
        <v>3.9869512806444294</v>
      </c>
      <c r="CT42" s="171">
        <f t="shared" si="74"/>
        <v>3.9869512806444294</v>
      </c>
      <c r="CU42" s="162"/>
      <c r="CV42" s="162">
        <f t="shared" si="75"/>
        <v>0.68000000000000027</v>
      </c>
      <c r="CW42" s="162">
        <f t="shared" si="76"/>
        <v>0.68000000000000027</v>
      </c>
      <c r="CX42" s="162">
        <f t="shared" si="16"/>
        <v>3.9869512806444294</v>
      </c>
      <c r="CY42" s="171">
        <f t="shared" si="77"/>
        <v>3.9869512806444294</v>
      </c>
      <c r="CZ42" s="162"/>
      <c r="DA42" s="162">
        <f t="shared" si="78"/>
        <v>0.68000000000000027</v>
      </c>
      <c r="DB42" s="170">
        <f t="shared" si="79"/>
        <v>0.68000000000000027</v>
      </c>
      <c r="DC42" s="162">
        <f t="shared" si="17"/>
        <v>3.9869512806444294</v>
      </c>
      <c r="DD42" s="171">
        <f t="shared" si="80"/>
        <v>3.9869512806444294</v>
      </c>
      <c r="DE42" s="162"/>
      <c r="DF42" s="162">
        <f t="shared" si="81"/>
        <v>0.68000000000000027</v>
      </c>
      <c r="DG42" s="170">
        <f t="shared" si="82"/>
        <v>0.68000000000000027</v>
      </c>
      <c r="DH42" s="162">
        <f t="shared" si="18"/>
        <v>3.9869512806444294</v>
      </c>
      <c r="DI42" s="171">
        <f t="shared" si="83"/>
        <v>3.9869512806444294</v>
      </c>
      <c r="DJ42" s="162"/>
      <c r="DK42" s="162">
        <f t="shared" si="84"/>
        <v>0.68000000000000027</v>
      </c>
      <c r="DL42" s="162">
        <f t="shared" si="85"/>
        <v>0.68000000000000027</v>
      </c>
      <c r="DM42" s="162">
        <f t="shared" si="19"/>
        <v>3.9869512806444294</v>
      </c>
      <c r="DN42" s="171">
        <f t="shared" si="86"/>
        <v>3.9869512806444294</v>
      </c>
      <c r="DO42" s="162"/>
      <c r="DP42" s="162">
        <f t="shared" si="87"/>
        <v>0.68000000000000027</v>
      </c>
      <c r="DQ42" s="170">
        <f t="shared" si="88"/>
        <v>0.68000000000000027</v>
      </c>
      <c r="DR42" s="162">
        <f t="shared" si="20"/>
        <v>3.9869512806444294</v>
      </c>
      <c r="DS42" s="171">
        <f t="shared" si="89"/>
        <v>3.9869512806444294</v>
      </c>
      <c r="DT42" s="162"/>
      <c r="DU42" s="162">
        <f t="shared" si="90"/>
        <v>0.68000000000000027</v>
      </c>
      <c r="DV42" s="170">
        <f t="shared" si="91"/>
        <v>0.68000000000000027</v>
      </c>
      <c r="DW42" s="162">
        <f t="shared" si="21"/>
        <v>3.9869512806444294</v>
      </c>
      <c r="DX42" s="171">
        <f t="shared" si="92"/>
        <v>3.9869512806444294</v>
      </c>
      <c r="DY42" s="162"/>
      <c r="DZ42" s="162">
        <f t="shared" si="93"/>
        <v>0.68000000000000027</v>
      </c>
      <c r="EA42" s="162">
        <f t="shared" si="94"/>
        <v>0.68000000000000027</v>
      </c>
      <c r="EB42" s="162">
        <f t="shared" si="22"/>
        <v>3.9869512806444294</v>
      </c>
      <c r="EC42" s="171">
        <f t="shared" si="95"/>
        <v>3.9869512806444294</v>
      </c>
      <c r="ED42" s="162"/>
      <c r="EE42" s="162">
        <f t="shared" si="96"/>
        <v>0.68000000000000027</v>
      </c>
      <c r="EF42" s="170">
        <f t="shared" si="97"/>
        <v>0.68000000000000027</v>
      </c>
      <c r="EG42" s="162">
        <f t="shared" si="23"/>
        <v>3.9869512806444294</v>
      </c>
      <c r="EH42" s="171">
        <f t="shared" si="98"/>
        <v>3.9869512806444294</v>
      </c>
      <c r="EI42" s="162"/>
      <c r="EJ42" s="162">
        <f t="shared" si="99"/>
        <v>0.68000000000000027</v>
      </c>
      <c r="EK42" s="170">
        <f t="shared" si="100"/>
        <v>0.68000000000000027</v>
      </c>
      <c r="EL42" s="162">
        <f t="shared" si="24"/>
        <v>3.9869512806444294</v>
      </c>
      <c r="EM42" s="171">
        <f t="shared" si="101"/>
        <v>3.9869512806444294</v>
      </c>
      <c r="EN42" s="162"/>
      <c r="EO42" s="162">
        <f t="shared" si="102"/>
        <v>0.68000000000000027</v>
      </c>
      <c r="EP42" s="162">
        <f t="shared" si="103"/>
        <v>0.68000000000000027</v>
      </c>
      <c r="EQ42" s="162">
        <f t="shared" si="25"/>
        <v>3.9869512806444294</v>
      </c>
      <c r="ER42" s="171">
        <f t="shared" si="104"/>
        <v>3.9869512806444294</v>
      </c>
      <c r="ES42" s="162"/>
      <c r="ET42" s="162">
        <f t="shared" si="105"/>
        <v>0.68000000000000027</v>
      </c>
      <c r="EU42" s="170">
        <f t="shared" si="106"/>
        <v>0.68000000000000027</v>
      </c>
      <c r="EV42" s="162">
        <f t="shared" si="26"/>
        <v>3.9869512806444294</v>
      </c>
      <c r="EW42" s="171">
        <f t="shared" si="107"/>
        <v>3.9869512806444294</v>
      </c>
      <c r="EX42" s="162"/>
    </row>
    <row r="43" spans="3:154" s="181" customFormat="1" x14ac:dyDescent="0.25">
      <c r="T43" s="162">
        <f t="shared" si="27"/>
        <v>0.70000000000000029</v>
      </c>
      <c r="U43" s="170">
        <f t="shared" si="28"/>
        <v>0.70000000000000029</v>
      </c>
      <c r="V43" s="162">
        <f t="shared" si="0"/>
        <v>4.0509332279260599</v>
      </c>
      <c r="W43" s="171">
        <f t="shared" si="29"/>
        <v>4.0509332279260599</v>
      </c>
      <c r="X43" s="162"/>
      <c r="Y43" s="162">
        <f t="shared" si="30"/>
        <v>0.70000000000000029</v>
      </c>
      <c r="Z43" s="162">
        <f t="shared" si="31"/>
        <v>0.70000000000000029</v>
      </c>
      <c r="AA43" s="162">
        <f t="shared" si="1"/>
        <v>4.0509332279260599</v>
      </c>
      <c r="AB43" s="171">
        <f t="shared" si="32"/>
        <v>4.0509332279260599</v>
      </c>
      <c r="AC43" s="162"/>
      <c r="AD43" s="162">
        <f t="shared" si="33"/>
        <v>0.70000000000000029</v>
      </c>
      <c r="AE43" s="170">
        <f t="shared" si="34"/>
        <v>0.70000000000000029</v>
      </c>
      <c r="AF43" s="162">
        <f t="shared" si="2"/>
        <v>4.0509332279260599</v>
      </c>
      <c r="AG43" s="171">
        <f t="shared" si="35"/>
        <v>4.0509332279260599</v>
      </c>
      <c r="AH43" s="162"/>
      <c r="AI43" s="162">
        <f t="shared" si="36"/>
        <v>0.70000000000000029</v>
      </c>
      <c r="AJ43" s="170">
        <f t="shared" si="37"/>
        <v>0.70000000000000029</v>
      </c>
      <c r="AK43" s="162">
        <f t="shared" si="3"/>
        <v>4.0509332279260599</v>
      </c>
      <c r="AL43" s="171">
        <f t="shared" si="38"/>
        <v>4.0509332279260599</v>
      </c>
      <c r="AM43" s="162"/>
      <c r="AN43" s="162">
        <f t="shared" si="39"/>
        <v>0.70000000000000029</v>
      </c>
      <c r="AO43" s="162">
        <f t="shared" si="40"/>
        <v>0.70000000000000029</v>
      </c>
      <c r="AP43" s="162">
        <f t="shared" si="4"/>
        <v>4.0509332279260599</v>
      </c>
      <c r="AQ43" s="171">
        <f t="shared" si="41"/>
        <v>4.0509332279260599</v>
      </c>
      <c r="AR43" s="162"/>
      <c r="AS43" s="162">
        <f t="shared" si="42"/>
        <v>0.70000000000000029</v>
      </c>
      <c r="AT43" s="170">
        <f t="shared" si="43"/>
        <v>0.70000000000000029</v>
      </c>
      <c r="AU43" s="162">
        <f t="shared" si="5"/>
        <v>4.0509332279260599</v>
      </c>
      <c r="AV43" s="171">
        <f t="shared" si="44"/>
        <v>4.0509332279260599</v>
      </c>
      <c r="AW43" s="162"/>
      <c r="AX43" s="162">
        <f t="shared" si="45"/>
        <v>0.70000000000000029</v>
      </c>
      <c r="AY43" s="170">
        <f t="shared" si="46"/>
        <v>0.70000000000000029</v>
      </c>
      <c r="AZ43" s="162">
        <f t="shared" si="6"/>
        <v>4.0509332279260599</v>
      </c>
      <c r="BA43" s="171">
        <f t="shared" si="47"/>
        <v>4.0509332279260599</v>
      </c>
      <c r="BB43" s="162"/>
      <c r="BC43" s="162">
        <f t="shared" si="48"/>
        <v>0.70000000000000029</v>
      </c>
      <c r="BD43" s="162">
        <f t="shared" si="49"/>
        <v>0.70000000000000029</v>
      </c>
      <c r="BE43" s="162">
        <f t="shared" si="7"/>
        <v>4.0509332279260599</v>
      </c>
      <c r="BF43" s="171">
        <f t="shared" si="50"/>
        <v>4.0509332279260599</v>
      </c>
      <c r="BG43" s="162"/>
      <c r="BH43" s="162">
        <f t="shared" si="51"/>
        <v>0.70000000000000029</v>
      </c>
      <c r="BI43" s="170">
        <f t="shared" si="52"/>
        <v>0.70000000000000029</v>
      </c>
      <c r="BJ43" s="162">
        <f t="shared" si="8"/>
        <v>4.0509332279260599</v>
      </c>
      <c r="BK43" s="171">
        <f t="shared" si="53"/>
        <v>4.0509332279260599</v>
      </c>
      <c r="BL43" s="162"/>
      <c r="BM43" s="162">
        <f t="shared" si="54"/>
        <v>0.70000000000000029</v>
      </c>
      <c r="BN43" s="170">
        <f t="shared" si="55"/>
        <v>0.70000000000000029</v>
      </c>
      <c r="BO43" s="162">
        <f t="shared" si="9"/>
        <v>4.0509332279260599</v>
      </c>
      <c r="BP43" s="171">
        <f t="shared" si="56"/>
        <v>4.0509332279260599</v>
      </c>
      <c r="BQ43" s="162"/>
      <c r="BR43" s="162">
        <f t="shared" si="57"/>
        <v>0.70000000000000029</v>
      </c>
      <c r="BS43" s="162">
        <f t="shared" si="58"/>
        <v>0.70000000000000029</v>
      </c>
      <c r="BT43" s="162">
        <f t="shared" si="10"/>
        <v>4.0509332279260599</v>
      </c>
      <c r="BU43" s="171">
        <f t="shared" si="59"/>
        <v>4.0509332279260599</v>
      </c>
      <c r="BV43" s="162"/>
      <c r="BW43" s="162">
        <f t="shared" si="60"/>
        <v>0.70000000000000029</v>
      </c>
      <c r="BX43" s="170">
        <f t="shared" si="61"/>
        <v>0.70000000000000029</v>
      </c>
      <c r="BY43" s="162">
        <f t="shared" si="11"/>
        <v>4.0509332279260599</v>
      </c>
      <c r="BZ43" s="171">
        <f t="shared" si="62"/>
        <v>4.0509332279260599</v>
      </c>
      <c r="CA43" s="162"/>
      <c r="CB43" s="162">
        <f t="shared" si="63"/>
        <v>0.70000000000000029</v>
      </c>
      <c r="CC43" s="170">
        <f t="shared" si="64"/>
        <v>0.70000000000000029</v>
      </c>
      <c r="CD43" s="162">
        <f t="shared" si="12"/>
        <v>4.0509332279260599</v>
      </c>
      <c r="CE43" s="171">
        <f t="shared" si="65"/>
        <v>4.0509332279260599</v>
      </c>
      <c r="CF43" s="162"/>
      <c r="CG43" s="172">
        <f t="shared" si="66"/>
        <v>0.70000000000000029</v>
      </c>
      <c r="CH43" s="172">
        <f t="shared" si="67"/>
        <v>0.70000000000000029</v>
      </c>
      <c r="CI43" s="172">
        <f t="shared" si="13"/>
        <v>4.0509332279260599</v>
      </c>
      <c r="CJ43" s="171">
        <f t="shared" si="68"/>
        <v>4.0509332279260599</v>
      </c>
      <c r="CK43" s="172"/>
      <c r="CL43" s="162">
        <f t="shared" si="69"/>
        <v>0.70000000000000029</v>
      </c>
      <c r="CM43" s="170">
        <f t="shared" si="70"/>
        <v>0.70000000000000029</v>
      </c>
      <c r="CN43" s="162">
        <f t="shared" si="14"/>
        <v>4.0509332279260599</v>
      </c>
      <c r="CO43" s="171">
        <f t="shared" si="71"/>
        <v>4.0509332279260599</v>
      </c>
      <c r="CP43" s="162"/>
      <c r="CQ43" s="162">
        <f t="shared" si="72"/>
        <v>0.70000000000000029</v>
      </c>
      <c r="CR43" s="170">
        <f t="shared" si="73"/>
        <v>0.70000000000000029</v>
      </c>
      <c r="CS43" s="162">
        <f t="shared" si="15"/>
        <v>4.0509332279260599</v>
      </c>
      <c r="CT43" s="171">
        <f t="shared" si="74"/>
        <v>4.0509332279260599</v>
      </c>
      <c r="CU43" s="162"/>
      <c r="CV43" s="162">
        <f t="shared" si="75"/>
        <v>0.70000000000000029</v>
      </c>
      <c r="CW43" s="162">
        <f t="shared" si="76"/>
        <v>0.70000000000000029</v>
      </c>
      <c r="CX43" s="162">
        <f t="shared" si="16"/>
        <v>4.0509332279260599</v>
      </c>
      <c r="CY43" s="171">
        <f t="shared" si="77"/>
        <v>4.0509332279260599</v>
      </c>
      <c r="CZ43" s="162"/>
      <c r="DA43" s="162">
        <f t="shared" si="78"/>
        <v>0.70000000000000029</v>
      </c>
      <c r="DB43" s="170">
        <f t="shared" si="79"/>
        <v>0.70000000000000029</v>
      </c>
      <c r="DC43" s="162">
        <f t="shared" si="17"/>
        <v>4.0509332279260599</v>
      </c>
      <c r="DD43" s="171">
        <f t="shared" si="80"/>
        <v>4.0509332279260599</v>
      </c>
      <c r="DE43" s="162"/>
      <c r="DF43" s="162">
        <f t="shared" si="81"/>
        <v>0.70000000000000029</v>
      </c>
      <c r="DG43" s="170">
        <f t="shared" si="82"/>
        <v>0.70000000000000029</v>
      </c>
      <c r="DH43" s="162">
        <f t="shared" si="18"/>
        <v>4.0509332279260599</v>
      </c>
      <c r="DI43" s="171">
        <f t="shared" si="83"/>
        <v>4.0509332279260599</v>
      </c>
      <c r="DJ43" s="162"/>
      <c r="DK43" s="162">
        <f t="shared" si="84"/>
        <v>0.70000000000000029</v>
      </c>
      <c r="DL43" s="162">
        <f t="shared" si="85"/>
        <v>0.70000000000000029</v>
      </c>
      <c r="DM43" s="162">
        <f t="shared" si="19"/>
        <v>4.0509332279260599</v>
      </c>
      <c r="DN43" s="171">
        <f t="shared" si="86"/>
        <v>4.0509332279260599</v>
      </c>
      <c r="DO43" s="162"/>
      <c r="DP43" s="162">
        <f t="shared" si="87"/>
        <v>0.70000000000000029</v>
      </c>
      <c r="DQ43" s="170">
        <f t="shared" si="88"/>
        <v>0.70000000000000029</v>
      </c>
      <c r="DR43" s="162">
        <f t="shared" si="20"/>
        <v>4.0509332279260599</v>
      </c>
      <c r="DS43" s="171">
        <f t="shared" si="89"/>
        <v>4.0509332279260599</v>
      </c>
      <c r="DT43" s="162"/>
      <c r="DU43" s="162">
        <f t="shared" si="90"/>
        <v>0.70000000000000029</v>
      </c>
      <c r="DV43" s="170">
        <f t="shared" si="91"/>
        <v>0.70000000000000029</v>
      </c>
      <c r="DW43" s="162">
        <f t="shared" si="21"/>
        <v>4.0509332279260599</v>
      </c>
      <c r="DX43" s="171">
        <f t="shared" si="92"/>
        <v>4.0509332279260599</v>
      </c>
      <c r="DY43" s="162"/>
      <c r="DZ43" s="162">
        <f t="shared" si="93"/>
        <v>0.70000000000000029</v>
      </c>
      <c r="EA43" s="162">
        <f t="shared" si="94"/>
        <v>0.70000000000000029</v>
      </c>
      <c r="EB43" s="162">
        <f t="shared" si="22"/>
        <v>4.0509332279260599</v>
      </c>
      <c r="EC43" s="171">
        <f t="shared" si="95"/>
        <v>4.0509332279260599</v>
      </c>
      <c r="ED43" s="162"/>
      <c r="EE43" s="162">
        <f t="shared" si="96"/>
        <v>0.70000000000000029</v>
      </c>
      <c r="EF43" s="170">
        <f t="shared" si="97"/>
        <v>0.70000000000000029</v>
      </c>
      <c r="EG43" s="162">
        <f t="shared" si="23"/>
        <v>4.0509332279260599</v>
      </c>
      <c r="EH43" s="171">
        <f t="shared" si="98"/>
        <v>4.0509332279260599</v>
      </c>
      <c r="EI43" s="162"/>
      <c r="EJ43" s="162">
        <f t="shared" si="99"/>
        <v>0.70000000000000029</v>
      </c>
      <c r="EK43" s="170">
        <f t="shared" si="100"/>
        <v>0.70000000000000029</v>
      </c>
      <c r="EL43" s="162">
        <f t="shared" si="24"/>
        <v>4.0509332279260599</v>
      </c>
      <c r="EM43" s="171">
        <f t="shared" si="101"/>
        <v>4.0509332279260599</v>
      </c>
      <c r="EN43" s="162"/>
      <c r="EO43" s="162">
        <f t="shared" si="102"/>
        <v>0.70000000000000029</v>
      </c>
      <c r="EP43" s="162">
        <f t="shared" si="103"/>
        <v>0.70000000000000029</v>
      </c>
      <c r="EQ43" s="162">
        <f t="shared" si="25"/>
        <v>4.0509332279260599</v>
      </c>
      <c r="ER43" s="171">
        <f t="shared" si="104"/>
        <v>4.0509332279260599</v>
      </c>
      <c r="ES43" s="162"/>
      <c r="ET43" s="162">
        <f t="shared" si="105"/>
        <v>0.70000000000000029</v>
      </c>
      <c r="EU43" s="170">
        <f t="shared" si="106"/>
        <v>0.70000000000000029</v>
      </c>
      <c r="EV43" s="162">
        <f t="shared" si="26"/>
        <v>4.0509332279260599</v>
      </c>
      <c r="EW43" s="171">
        <f t="shared" si="107"/>
        <v>4.0509332279260599</v>
      </c>
      <c r="EX43" s="162"/>
    </row>
    <row r="44" spans="3:154" s="181" customFormat="1" x14ac:dyDescent="0.25">
      <c r="T44" s="162">
        <f t="shared" si="27"/>
        <v>0.72000000000000031</v>
      </c>
      <c r="U44" s="170">
        <f t="shared" si="28"/>
        <v>0.72000000000000031</v>
      </c>
      <c r="V44" s="162">
        <f t="shared" si="0"/>
        <v>4.1122066624798421</v>
      </c>
      <c r="W44" s="171">
        <f t="shared" si="29"/>
        <v>4.1122066624798421</v>
      </c>
      <c r="X44" s="162"/>
      <c r="Y44" s="162">
        <f t="shared" si="30"/>
        <v>0.72000000000000031</v>
      </c>
      <c r="Z44" s="162">
        <f t="shared" si="31"/>
        <v>0.72000000000000031</v>
      </c>
      <c r="AA44" s="162">
        <f t="shared" si="1"/>
        <v>4.1122066624798421</v>
      </c>
      <c r="AB44" s="171">
        <f t="shared" si="32"/>
        <v>4.1122066624798421</v>
      </c>
      <c r="AC44" s="162"/>
      <c r="AD44" s="162">
        <f t="shared" si="33"/>
        <v>0.72000000000000031</v>
      </c>
      <c r="AE44" s="170">
        <f t="shared" si="34"/>
        <v>0.72000000000000031</v>
      </c>
      <c r="AF44" s="162">
        <f t="shared" si="2"/>
        <v>4.1122066624798421</v>
      </c>
      <c r="AG44" s="171">
        <f t="shared" si="35"/>
        <v>4.1122066624798421</v>
      </c>
      <c r="AH44" s="162"/>
      <c r="AI44" s="162">
        <f t="shared" si="36"/>
        <v>0.72000000000000031</v>
      </c>
      <c r="AJ44" s="170">
        <f t="shared" si="37"/>
        <v>0.72000000000000031</v>
      </c>
      <c r="AK44" s="162">
        <f t="shared" si="3"/>
        <v>4.1122066624798421</v>
      </c>
      <c r="AL44" s="171">
        <f t="shared" si="38"/>
        <v>4.1122066624798421</v>
      </c>
      <c r="AM44" s="162"/>
      <c r="AN44" s="162">
        <f t="shared" si="39"/>
        <v>0.72000000000000031</v>
      </c>
      <c r="AO44" s="162">
        <f t="shared" si="40"/>
        <v>0.72000000000000031</v>
      </c>
      <c r="AP44" s="162">
        <f t="shared" si="4"/>
        <v>4.1122066624798421</v>
      </c>
      <c r="AQ44" s="171">
        <f t="shared" si="41"/>
        <v>4.1122066624798421</v>
      </c>
      <c r="AR44" s="162"/>
      <c r="AS44" s="162">
        <f t="shared" si="42"/>
        <v>0.72000000000000031</v>
      </c>
      <c r="AT44" s="170">
        <f t="shared" si="43"/>
        <v>0.72000000000000031</v>
      </c>
      <c r="AU44" s="162">
        <f t="shared" si="5"/>
        <v>4.1122066624798421</v>
      </c>
      <c r="AV44" s="171">
        <f t="shared" si="44"/>
        <v>4.1122066624798421</v>
      </c>
      <c r="AW44" s="162"/>
      <c r="AX44" s="162">
        <f t="shared" si="45"/>
        <v>0.72000000000000031</v>
      </c>
      <c r="AY44" s="170">
        <f t="shared" si="46"/>
        <v>0.72000000000000031</v>
      </c>
      <c r="AZ44" s="162">
        <f t="shared" si="6"/>
        <v>4.1122066624798421</v>
      </c>
      <c r="BA44" s="171">
        <f t="shared" si="47"/>
        <v>4.1122066624798421</v>
      </c>
      <c r="BB44" s="162"/>
      <c r="BC44" s="162">
        <f t="shared" si="48"/>
        <v>0.72000000000000031</v>
      </c>
      <c r="BD44" s="162">
        <f t="shared" si="49"/>
        <v>0.72000000000000031</v>
      </c>
      <c r="BE44" s="162">
        <f t="shared" si="7"/>
        <v>4.1122066624798421</v>
      </c>
      <c r="BF44" s="171">
        <f t="shared" si="50"/>
        <v>4.1122066624798421</v>
      </c>
      <c r="BG44" s="162"/>
      <c r="BH44" s="162">
        <f t="shared" si="51"/>
        <v>0.72000000000000031</v>
      </c>
      <c r="BI44" s="170">
        <f t="shared" si="52"/>
        <v>0.72000000000000031</v>
      </c>
      <c r="BJ44" s="162">
        <f t="shared" si="8"/>
        <v>4.1122066624798421</v>
      </c>
      <c r="BK44" s="171">
        <f t="shared" si="53"/>
        <v>4.1122066624798421</v>
      </c>
      <c r="BL44" s="162"/>
      <c r="BM44" s="162">
        <f t="shared" si="54"/>
        <v>0.72000000000000031</v>
      </c>
      <c r="BN44" s="170">
        <f t="shared" si="55"/>
        <v>0.72000000000000031</v>
      </c>
      <c r="BO44" s="162">
        <f t="shared" si="9"/>
        <v>4.1122066624798421</v>
      </c>
      <c r="BP44" s="171">
        <f t="shared" si="56"/>
        <v>4.1122066624798421</v>
      </c>
      <c r="BQ44" s="162"/>
      <c r="BR44" s="162">
        <f t="shared" si="57"/>
        <v>0.72000000000000031</v>
      </c>
      <c r="BS44" s="162">
        <f t="shared" si="58"/>
        <v>0.72000000000000031</v>
      </c>
      <c r="BT44" s="162">
        <f t="shared" si="10"/>
        <v>4.1122066624798421</v>
      </c>
      <c r="BU44" s="171">
        <f t="shared" si="59"/>
        <v>4.1122066624798421</v>
      </c>
      <c r="BV44" s="162"/>
      <c r="BW44" s="162">
        <f t="shared" si="60"/>
        <v>0.72000000000000031</v>
      </c>
      <c r="BX44" s="170">
        <f t="shared" si="61"/>
        <v>0.72000000000000031</v>
      </c>
      <c r="BY44" s="162">
        <f t="shared" si="11"/>
        <v>4.1122066624798421</v>
      </c>
      <c r="BZ44" s="171">
        <f t="shared" si="62"/>
        <v>4.1122066624798421</v>
      </c>
      <c r="CA44" s="162"/>
      <c r="CB44" s="162">
        <f t="shared" si="63"/>
        <v>0.72000000000000031</v>
      </c>
      <c r="CC44" s="170">
        <f t="shared" si="64"/>
        <v>0.72000000000000031</v>
      </c>
      <c r="CD44" s="162">
        <f t="shared" si="12"/>
        <v>4.1122066624798421</v>
      </c>
      <c r="CE44" s="171">
        <f t="shared" si="65"/>
        <v>4.1122066624798421</v>
      </c>
      <c r="CF44" s="162"/>
      <c r="CG44" s="172">
        <f t="shared" si="66"/>
        <v>0.72000000000000031</v>
      </c>
      <c r="CH44" s="172">
        <f t="shared" si="67"/>
        <v>0.72000000000000031</v>
      </c>
      <c r="CI44" s="172">
        <f t="shared" si="13"/>
        <v>4.1122066624798421</v>
      </c>
      <c r="CJ44" s="171">
        <f t="shared" si="68"/>
        <v>4.1122066624798421</v>
      </c>
      <c r="CK44" s="172"/>
      <c r="CL44" s="162">
        <f t="shared" si="69"/>
        <v>0.72000000000000031</v>
      </c>
      <c r="CM44" s="170">
        <f t="shared" si="70"/>
        <v>0.72000000000000031</v>
      </c>
      <c r="CN44" s="162">
        <f t="shared" si="14"/>
        <v>4.1122066624798421</v>
      </c>
      <c r="CO44" s="171">
        <f t="shared" si="71"/>
        <v>4.1122066624798421</v>
      </c>
      <c r="CP44" s="162"/>
      <c r="CQ44" s="162">
        <f t="shared" si="72"/>
        <v>0.72000000000000031</v>
      </c>
      <c r="CR44" s="170">
        <f t="shared" si="73"/>
        <v>0.72000000000000031</v>
      </c>
      <c r="CS44" s="162">
        <f t="shared" si="15"/>
        <v>4.1122066624798421</v>
      </c>
      <c r="CT44" s="171">
        <f t="shared" si="74"/>
        <v>4.1122066624798421</v>
      </c>
      <c r="CU44" s="162"/>
      <c r="CV44" s="162">
        <f t="shared" si="75"/>
        <v>0.72000000000000031</v>
      </c>
      <c r="CW44" s="162">
        <f t="shared" si="76"/>
        <v>0.72000000000000031</v>
      </c>
      <c r="CX44" s="162">
        <f t="shared" si="16"/>
        <v>4.1122066624798421</v>
      </c>
      <c r="CY44" s="171">
        <f t="shared" si="77"/>
        <v>4.1122066624798421</v>
      </c>
      <c r="CZ44" s="162"/>
      <c r="DA44" s="162">
        <f t="shared" si="78"/>
        <v>0.72000000000000031</v>
      </c>
      <c r="DB44" s="170">
        <f t="shared" si="79"/>
        <v>0.72000000000000031</v>
      </c>
      <c r="DC44" s="162">
        <f t="shared" si="17"/>
        <v>4.1122066624798421</v>
      </c>
      <c r="DD44" s="171">
        <f t="shared" si="80"/>
        <v>4.1122066624798421</v>
      </c>
      <c r="DE44" s="162"/>
      <c r="DF44" s="162">
        <f t="shared" si="81"/>
        <v>0.72000000000000031</v>
      </c>
      <c r="DG44" s="170">
        <f t="shared" si="82"/>
        <v>0.72000000000000031</v>
      </c>
      <c r="DH44" s="162">
        <f t="shared" si="18"/>
        <v>4.1122066624798421</v>
      </c>
      <c r="DI44" s="171">
        <f t="shared" si="83"/>
        <v>4.1122066624798421</v>
      </c>
      <c r="DJ44" s="162"/>
      <c r="DK44" s="162">
        <f t="shared" si="84"/>
        <v>0.72000000000000031</v>
      </c>
      <c r="DL44" s="162">
        <f t="shared" si="85"/>
        <v>0.72000000000000031</v>
      </c>
      <c r="DM44" s="162">
        <f t="shared" si="19"/>
        <v>4.1122066624798421</v>
      </c>
      <c r="DN44" s="171">
        <f t="shared" si="86"/>
        <v>4.1122066624798421</v>
      </c>
      <c r="DO44" s="162"/>
      <c r="DP44" s="162">
        <f t="shared" si="87"/>
        <v>0.72000000000000031</v>
      </c>
      <c r="DQ44" s="170">
        <f t="shared" si="88"/>
        <v>0.72000000000000031</v>
      </c>
      <c r="DR44" s="162">
        <f t="shared" si="20"/>
        <v>4.1122066624798421</v>
      </c>
      <c r="DS44" s="171">
        <f t="shared" si="89"/>
        <v>4.1122066624798421</v>
      </c>
      <c r="DT44" s="162"/>
      <c r="DU44" s="162">
        <f t="shared" si="90"/>
        <v>0.72000000000000031</v>
      </c>
      <c r="DV44" s="170">
        <f t="shared" si="91"/>
        <v>0.72000000000000031</v>
      </c>
      <c r="DW44" s="162">
        <f t="shared" si="21"/>
        <v>4.1122066624798421</v>
      </c>
      <c r="DX44" s="171">
        <f t="shared" si="92"/>
        <v>4.1122066624798421</v>
      </c>
      <c r="DY44" s="162"/>
      <c r="DZ44" s="162">
        <f t="shared" si="93"/>
        <v>0.72000000000000031</v>
      </c>
      <c r="EA44" s="162">
        <f t="shared" si="94"/>
        <v>0.72000000000000031</v>
      </c>
      <c r="EB44" s="162">
        <f t="shared" si="22"/>
        <v>4.1122066624798421</v>
      </c>
      <c r="EC44" s="171">
        <f t="shared" si="95"/>
        <v>4.1122066624798421</v>
      </c>
      <c r="ED44" s="162"/>
      <c r="EE44" s="162">
        <f t="shared" si="96"/>
        <v>0.72000000000000031</v>
      </c>
      <c r="EF44" s="170">
        <f t="shared" si="97"/>
        <v>0.72000000000000031</v>
      </c>
      <c r="EG44" s="162">
        <f t="shared" si="23"/>
        <v>4.1122066624798421</v>
      </c>
      <c r="EH44" s="171">
        <f t="shared" si="98"/>
        <v>4.1122066624798421</v>
      </c>
      <c r="EI44" s="162"/>
      <c r="EJ44" s="162">
        <f t="shared" si="99"/>
        <v>0.72000000000000031</v>
      </c>
      <c r="EK44" s="170">
        <f t="shared" si="100"/>
        <v>0.72000000000000031</v>
      </c>
      <c r="EL44" s="162">
        <f t="shared" si="24"/>
        <v>4.1122066624798421</v>
      </c>
      <c r="EM44" s="171">
        <f t="shared" si="101"/>
        <v>4.1122066624798421</v>
      </c>
      <c r="EN44" s="162"/>
      <c r="EO44" s="162">
        <f t="shared" si="102"/>
        <v>0.72000000000000031</v>
      </c>
      <c r="EP44" s="162">
        <f t="shared" si="103"/>
        <v>0.72000000000000031</v>
      </c>
      <c r="EQ44" s="162">
        <f t="shared" si="25"/>
        <v>4.1122066624798421</v>
      </c>
      <c r="ER44" s="171">
        <f t="shared" si="104"/>
        <v>4.1122066624798421</v>
      </c>
      <c r="ES44" s="162"/>
      <c r="ET44" s="162">
        <f t="shared" si="105"/>
        <v>0.72000000000000031</v>
      </c>
      <c r="EU44" s="170">
        <f t="shared" si="106"/>
        <v>0.72000000000000031</v>
      </c>
      <c r="EV44" s="162">
        <f t="shared" si="26"/>
        <v>4.1122066624798421</v>
      </c>
      <c r="EW44" s="171">
        <f t="shared" si="107"/>
        <v>4.1122066624798421</v>
      </c>
      <c r="EX44" s="162"/>
    </row>
    <row r="45" spans="3: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3: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3:154" s="181" customFormat="1" x14ac:dyDescent="0.25">
      <c r="T47" s="162">
        <f t="shared" si="27"/>
        <v>0.78000000000000036</v>
      </c>
      <c r="U47" s="170">
        <f t="shared" si="28"/>
        <v>0.78000000000000036</v>
      </c>
      <c r="V47" s="162">
        <f t="shared" si="0"/>
        <v>4.2797758897741076</v>
      </c>
      <c r="W47" s="171">
        <f t="shared" si="29"/>
        <v>4.2797758897741076</v>
      </c>
      <c r="X47" s="162"/>
      <c r="Y47" s="162">
        <f t="shared" si="30"/>
        <v>0.78000000000000036</v>
      </c>
      <c r="Z47" s="162">
        <f t="shared" si="31"/>
        <v>0.78000000000000036</v>
      </c>
      <c r="AA47" s="162">
        <f t="shared" si="1"/>
        <v>4.2797758897741076</v>
      </c>
      <c r="AB47" s="171">
        <f t="shared" si="32"/>
        <v>4.2797758897741076</v>
      </c>
      <c r="AC47" s="162"/>
      <c r="AD47" s="162">
        <f t="shared" si="33"/>
        <v>0.78000000000000036</v>
      </c>
      <c r="AE47" s="170">
        <f t="shared" si="34"/>
        <v>0.78000000000000036</v>
      </c>
      <c r="AF47" s="162">
        <f t="shared" si="2"/>
        <v>4.2797758897741076</v>
      </c>
      <c r="AG47" s="171">
        <f t="shared" si="35"/>
        <v>4.2797758897741076</v>
      </c>
      <c r="AH47" s="162"/>
      <c r="AI47" s="162">
        <f t="shared" si="36"/>
        <v>0.78000000000000036</v>
      </c>
      <c r="AJ47" s="170">
        <f t="shared" si="37"/>
        <v>0.78000000000000036</v>
      </c>
      <c r="AK47" s="162">
        <f t="shared" si="3"/>
        <v>4.2797758897741076</v>
      </c>
      <c r="AL47" s="171">
        <f t="shared" si="38"/>
        <v>4.2797758897741076</v>
      </c>
      <c r="AM47" s="162"/>
      <c r="AN47" s="162">
        <f t="shared" si="39"/>
        <v>0.78000000000000036</v>
      </c>
      <c r="AO47" s="162">
        <f t="shared" si="40"/>
        <v>0.78000000000000036</v>
      </c>
      <c r="AP47" s="162">
        <f t="shared" si="4"/>
        <v>4.2797758897741076</v>
      </c>
      <c r="AQ47" s="171">
        <f t="shared" si="41"/>
        <v>4.2797758897741076</v>
      </c>
      <c r="AR47" s="162"/>
      <c r="AS47" s="162">
        <f t="shared" si="42"/>
        <v>0.78000000000000036</v>
      </c>
      <c r="AT47" s="170">
        <f t="shared" si="43"/>
        <v>0.78000000000000036</v>
      </c>
      <c r="AU47" s="162">
        <f t="shared" si="5"/>
        <v>4.2797758897741076</v>
      </c>
      <c r="AV47" s="171">
        <f t="shared" si="44"/>
        <v>4.2797758897741076</v>
      </c>
      <c r="AW47" s="162"/>
      <c r="AX47" s="162">
        <f t="shared" si="45"/>
        <v>0.78000000000000036</v>
      </c>
      <c r="AY47" s="170">
        <f t="shared" si="46"/>
        <v>0.78000000000000036</v>
      </c>
      <c r="AZ47" s="162">
        <f t="shared" si="6"/>
        <v>4.2797758897741076</v>
      </c>
      <c r="BA47" s="171">
        <f t="shared" si="47"/>
        <v>4.2797758897741076</v>
      </c>
      <c r="BB47" s="162"/>
      <c r="BC47" s="162">
        <f t="shared" si="48"/>
        <v>0.78000000000000036</v>
      </c>
      <c r="BD47" s="162">
        <f t="shared" si="49"/>
        <v>0.78000000000000036</v>
      </c>
      <c r="BE47" s="162">
        <f t="shared" si="7"/>
        <v>4.2797758897741076</v>
      </c>
      <c r="BF47" s="171">
        <f t="shared" si="50"/>
        <v>4.2797758897741076</v>
      </c>
      <c r="BG47" s="162"/>
      <c r="BH47" s="162">
        <f t="shared" si="51"/>
        <v>0.78000000000000036</v>
      </c>
      <c r="BI47" s="170">
        <f t="shared" si="52"/>
        <v>0.78000000000000036</v>
      </c>
      <c r="BJ47" s="162">
        <f t="shared" si="8"/>
        <v>4.2797758897741076</v>
      </c>
      <c r="BK47" s="171">
        <f t="shared" si="53"/>
        <v>4.2797758897741076</v>
      </c>
      <c r="BL47" s="162"/>
      <c r="BM47" s="162">
        <f t="shared" si="54"/>
        <v>0.78000000000000036</v>
      </c>
      <c r="BN47" s="170">
        <f t="shared" si="55"/>
        <v>0.78000000000000036</v>
      </c>
      <c r="BO47" s="162">
        <f t="shared" si="9"/>
        <v>4.2797758897741076</v>
      </c>
      <c r="BP47" s="171">
        <f t="shared" si="56"/>
        <v>4.2797758897741076</v>
      </c>
      <c r="BQ47" s="162"/>
      <c r="BR47" s="162">
        <f t="shared" si="57"/>
        <v>0.78000000000000036</v>
      </c>
      <c r="BS47" s="162">
        <f t="shared" si="58"/>
        <v>0.78000000000000036</v>
      </c>
      <c r="BT47" s="162">
        <f t="shared" si="10"/>
        <v>4.2797758897741076</v>
      </c>
      <c r="BU47" s="171">
        <f t="shared" si="59"/>
        <v>4.2797758897741076</v>
      </c>
      <c r="BV47" s="162"/>
      <c r="BW47" s="162">
        <f t="shared" si="60"/>
        <v>0.78000000000000036</v>
      </c>
      <c r="BX47" s="170">
        <f t="shared" si="61"/>
        <v>0.78000000000000036</v>
      </c>
      <c r="BY47" s="162">
        <f t="shared" si="11"/>
        <v>4.2797758897741076</v>
      </c>
      <c r="BZ47" s="171">
        <f t="shared" si="62"/>
        <v>4.2797758897741076</v>
      </c>
      <c r="CA47" s="162"/>
      <c r="CB47" s="162">
        <f t="shared" si="63"/>
        <v>0.78000000000000036</v>
      </c>
      <c r="CC47" s="170">
        <f t="shared" si="64"/>
        <v>0.78000000000000036</v>
      </c>
      <c r="CD47" s="162">
        <f t="shared" si="12"/>
        <v>4.2797758897741076</v>
      </c>
      <c r="CE47" s="171">
        <f t="shared" si="65"/>
        <v>4.2797758897741076</v>
      </c>
      <c r="CF47" s="162"/>
      <c r="CG47" s="172">
        <f t="shared" si="66"/>
        <v>0.78000000000000036</v>
      </c>
      <c r="CH47" s="172">
        <f t="shared" si="67"/>
        <v>0.78000000000000036</v>
      </c>
      <c r="CI47" s="172">
        <f t="shared" si="13"/>
        <v>4.2797758897741076</v>
      </c>
      <c r="CJ47" s="171">
        <f t="shared" si="68"/>
        <v>4.2797758897741076</v>
      </c>
      <c r="CK47" s="172"/>
      <c r="CL47" s="162">
        <f t="shared" si="69"/>
        <v>0.78000000000000036</v>
      </c>
      <c r="CM47" s="170">
        <f t="shared" si="70"/>
        <v>0.78000000000000036</v>
      </c>
      <c r="CN47" s="162">
        <f t="shared" si="14"/>
        <v>4.2797758897741076</v>
      </c>
      <c r="CO47" s="171">
        <f t="shared" si="71"/>
        <v>4.2797758897741076</v>
      </c>
      <c r="CP47" s="162"/>
      <c r="CQ47" s="162">
        <f t="shared" si="72"/>
        <v>0.78000000000000036</v>
      </c>
      <c r="CR47" s="170">
        <f t="shared" si="73"/>
        <v>0.78000000000000036</v>
      </c>
      <c r="CS47" s="162">
        <f t="shared" si="15"/>
        <v>4.2797758897741076</v>
      </c>
      <c r="CT47" s="171">
        <f t="shared" si="74"/>
        <v>4.2797758897741076</v>
      </c>
      <c r="CU47" s="162"/>
      <c r="CV47" s="162">
        <f t="shared" si="75"/>
        <v>0.78000000000000036</v>
      </c>
      <c r="CW47" s="162">
        <f t="shared" si="76"/>
        <v>0.78000000000000036</v>
      </c>
      <c r="CX47" s="162">
        <f t="shared" si="16"/>
        <v>4.2797758897741076</v>
      </c>
      <c r="CY47" s="171">
        <f t="shared" si="77"/>
        <v>4.2797758897741076</v>
      </c>
      <c r="CZ47" s="162"/>
      <c r="DA47" s="162">
        <f t="shared" si="78"/>
        <v>0.78000000000000036</v>
      </c>
      <c r="DB47" s="170">
        <f t="shared" si="79"/>
        <v>0.78000000000000036</v>
      </c>
      <c r="DC47" s="162">
        <f t="shared" si="17"/>
        <v>4.2797758897741076</v>
      </c>
      <c r="DD47" s="171">
        <f t="shared" si="80"/>
        <v>4.2797758897741076</v>
      </c>
      <c r="DE47" s="162"/>
      <c r="DF47" s="162">
        <f t="shared" si="81"/>
        <v>0.78000000000000036</v>
      </c>
      <c r="DG47" s="170">
        <f t="shared" si="82"/>
        <v>0.78000000000000036</v>
      </c>
      <c r="DH47" s="162">
        <f t="shared" si="18"/>
        <v>4.2797758897741076</v>
      </c>
      <c r="DI47" s="171">
        <f t="shared" si="83"/>
        <v>4.2797758897741076</v>
      </c>
      <c r="DJ47" s="162"/>
      <c r="DK47" s="162">
        <f t="shared" si="84"/>
        <v>0.78000000000000036</v>
      </c>
      <c r="DL47" s="162">
        <f t="shared" si="85"/>
        <v>0.78000000000000036</v>
      </c>
      <c r="DM47" s="162">
        <f t="shared" si="19"/>
        <v>4.2797758897741076</v>
      </c>
      <c r="DN47" s="171">
        <f t="shared" si="86"/>
        <v>4.2797758897741076</v>
      </c>
      <c r="DO47" s="162"/>
      <c r="DP47" s="162">
        <f t="shared" si="87"/>
        <v>0.78000000000000036</v>
      </c>
      <c r="DQ47" s="170">
        <f t="shared" si="88"/>
        <v>0.78000000000000036</v>
      </c>
      <c r="DR47" s="162">
        <f t="shared" si="20"/>
        <v>4.2797758897741076</v>
      </c>
      <c r="DS47" s="171">
        <f t="shared" si="89"/>
        <v>4.2797758897741076</v>
      </c>
      <c r="DT47" s="162"/>
      <c r="DU47" s="162">
        <f t="shared" si="90"/>
        <v>0.78000000000000036</v>
      </c>
      <c r="DV47" s="170">
        <f t="shared" si="91"/>
        <v>0.78000000000000036</v>
      </c>
      <c r="DW47" s="162">
        <f t="shared" si="21"/>
        <v>4.2797758897741076</v>
      </c>
      <c r="DX47" s="171">
        <f t="shared" si="92"/>
        <v>4.2797758897741076</v>
      </c>
      <c r="DY47" s="162"/>
      <c r="DZ47" s="162">
        <f t="shared" si="93"/>
        <v>0.78000000000000036</v>
      </c>
      <c r="EA47" s="162">
        <f t="shared" si="94"/>
        <v>0.78000000000000036</v>
      </c>
      <c r="EB47" s="162">
        <f t="shared" si="22"/>
        <v>4.2797758897741076</v>
      </c>
      <c r="EC47" s="171">
        <f t="shared" si="95"/>
        <v>4.2797758897741076</v>
      </c>
      <c r="ED47" s="162"/>
      <c r="EE47" s="162">
        <f t="shared" si="96"/>
        <v>0.78000000000000036</v>
      </c>
      <c r="EF47" s="170">
        <f t="shared" si="97"/>
        <v>0.78000000000000036</v>
      </c>
      <c r="EG47" s="162">
        <f t="shared" si="23"/>
        <v>4.2797758897741076</v>
      </c>
      <c r="EH47" s="171">
        <f t="shared" si="98"/>
        <v>4.2797758897741076</v>
      </c>
      <c r="EI47" s="162"/>
      <c r="EJ47" s="162">
        <f t="shared" si="99"/>
        <v>0.78000000000000036</v>
      </c>
      <c r="EK47" s="170">
        <f t="shared" si="100"/>
        <v>0.78000000000000036</v>
      </c>
      <c r="EL47" s="162">
        <f t="shared" si="24"/>
        <v>4.2797758897741076</v>
      </c>
      <c r="EM47" s="171">
        <f t="shared" si="101"/>
        <v>4.2797758897741076</v>
      </c>
      <c r="EN47" s="162"/>
      <c r="EO47" s="162">
        <f t="shared" si="102"/>
        <v>0.78000000000000036</v>
      </c>
      <c r="EP47" s="162">
        <f t="shared" si="103"/>
        <v>0.78000000000000036</v>
      </c>
      <c r="EQ47" s="162">
        <f t="shared" si="25"/>
        <v>4.2797758897741076</v>
      </c>
      <c r="ER47" s="171">
        <f t="shared" si="104"/>
        <v>4.2797758897741076</v>
      </c>
      <c r="ES47" s="162"/>
      <c r="ET47" s="162">
        <f t="shared" si="105"/>
        <v>0.78000000000000036</v>
      </c>
      <c r="EU47" s="170">
        <f t="shared" si="106"/>
        <v>0.78000000000000036</v>
      </c>
      <c r="EV47" s="162">
        <f t="shared" si="26"/>
        <v>4.2797758897741076</v>
      </c>
      <c r="EW47" s="171">
        <f t="shared" si="107"/>
        <v>4.2797758897741076</v>
      </c>
      <c r="EX47" s="162"/>
    </row>
    <row r="48" spans="3: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4.4229685025177492</v>
      </c>
      <c r="W50" s="171">
        <f t="shared" si="29"/>
        <v>4.4229685025177492</v>
      </c>
      <c r="X50" s="162"/>
      <c r="Y50" s="162">
        <f t="shared" si="30"/>
        <v>0.84000000000000041</v>
      </c>
      <c r="Z50" s="162">
        <f t="shared" si="31"/>
        <v>0.84000000000000041</v>
      </c>
      <c r="AA50" s="162">
        <f t="shared" si="1"/>
        <v>4.4229685025177492</v>
      </c>
      <c r="AB50" s="171">
        <f t="shared" si="32"/>
        <v>4.4229685025177492</v>
      </c>
      <c r="AC50" s="162"/>
      <c r="AD50" s="162">
        <f t="shared" si="33"/>
        <v>0.84000000000000041</v>
      </c>
      <c r="AE50" s="170">
        <f t="shared" si="34"/>
        <v>0.84000000000000041</v>
      </c>
      <c r="AF50" s="162">
        <f t="shared" si="2"/>
        <v>4.4229685025177492</v>
      </c>
      <c r="AG50" s="171">
        <f t="shared" si="35"/>
        <v>4.4229685025177492</v>
      </c>
      <c r="AH50" s="162"/>
      <c r="AI50" s="162">
        <f t="shared" si="36"/>
        <v>0.84000000000000041</v>
      </c>
      <c r="AJ50" s="170">
        <f t="shared" si="37"/>
        <v>0.84000000000000041</v>
      </c>
      <c r="AK50" s="162">
        <f t="shared" si="3"/>
        <v>4.4229685025177492</v>
      </c>
      <c r="AL50" s="171">
        <f t="shared" si="38"/>
        <v>4.4229685025177492</v>
      </c>
      <c r="AM50" s="162"/>
      <c r="AN50" s="162">
        <f t="shared" si="39"/>
        <v>0.84000000000000041</v>
      </c>
      <c r="AO50" s="162">
        <f t="shared" si="40"/>
        <v>0.84000000000000041</v>
      </c>
      <c r="AP50" s="162">
        <f t="shared" si="4"/>
        <v>4.4229685025177492</v>
      </c>
      <c r="AQ50" s="171">
        <f t="shared" si="41"/>
        <v>4.4229685025177492</v>
      </c>
      <c r="AR50" s="162"/>
      <c r="AS50" s="162">
        <f t="shared" si="42"/>
        <v>0.84000000000000041</v>
      </c>
      <c r="AT50" s="170">
        <f t="shared" si="43"/>
        <v>0.84000000000000041</v>
      </c>
      <c r="AU50" s="162">
        <f t="shared" si="5"/>
        <v>4.4229685025177492</v>
      </c>
      <c r="AV50" s="171">
        <f t="shared" si="44"/>
        <v>4.4229685025177492</v>
      </c>
      <c r="AW50" s="162"/>
      <c r="AX50" s="162">
        <f t="shared" si="45"/>
        <v>0.84000000000000041</v>
      </c>
      <c r="AY50" s="170">
        <f t="shared" si="46"/>
        <v>0.84000000000000041</v>
      </c>
      <c r="AZ50" s="162">
        <f t="shared" si="6"/>
        <v>4.4229685025177492</v>
      </c>
      <c r="BA50" s="171">
        <f t="shared" si="47"/>
        <v>4.4229685025177492</v>
      </c>
      <c r="BB50" s="162"/>
      <c r="BC50" s="162">
        <f t="shared" si="48"/>
        <v>0.84000000000000041</v>
      </c>
      <c r="BD50" s="162">
        <f t="shared" si="49"/>
        <v>0.84000000000000041</v>
      </c>
      <c r="BE50" s="162">
        <f t="shared" si="7"/>
        <v>4.4229685025177492</v>
      </c>
      <c r="BF50" s="171">
        <f t="shared" si="50"/>
        <v>4.4229685025177492</v>
      </c>
      <c r="BG50" s="162"/>
      <c r="BH50" s="162">
        <f t="shared" si="51"/>
        <v>0.84000000000000041</v>
      </c>
      <c r="BI50" s="170">
        <f t="shared" si="52"/>
        <v>0.84000000000000041</v>
      </c>
      <c r="BJ50" s="162">
        <f t="shared" si="8"/>
        <v>4.4229685025177492</v>
      </c>
      <c r="BK50" s="171">
        <f t="shared" si="53"/>
        <v>4.4229685025177492</v>
      </c>
      <c r="BL50" s="162"/>
      <c r="BM50" s="162">
        <f t="shared" si="54"/>
        <v>0.84000000000000041</v>
      </c>
      <c r="BN50" s="170">
        <f t="shared" si="55"/>
        <v>0.84000000000000041</v>
      </c>
      <c r="BO50" s="162">
        <f t="shared" si="9"/>
        <v>4.4229685025177492</v>
      </c>
      <c r="BP50" s="171">
        <f t="shared" si="56"/>
        <v>4.4229685025177492</v>
      </c>
      <c r="BQ50" s="162"/>
      <c r="BR50" s="162">
        <f t="shared" si="57"/>
        <v>0.84000000000000041</v>
      </c>
      <c r="BS50" s="162">
        <f t="shared" si="58"/>
        <v>0.84000000000000041</v>
      </c>
      <c r="BT50" s="162">
        <f t="shared" si="10"/>
        <v>4.4229685025177492</v>
      </c>
      <c r="BU50" s="171">
        <f t="shared" si="59"/>
        <v>4.4229685025177492</v>
      </c>
      <c r="BV50" s="162"/>
      <c r="BW50" s="162">
        <f t="shared" si="60"/>
        <v>0.84000000000000041</v>
      </c>
      <c r="BX50" s="170">
        <f t="shared" si="61"/>
        <v>0.84000000000000041</v>
      </c>
      <c r="BY50" s="162">
        <f t="shared" si="11"/>
        <v>4.4229685025177492</v>
      </c>
      <c r="BZ50" s="171">
        <f t="shared" si="62"/>
        <v>4.4229685025177492</v>
      </c>
      <c r="CA50" s="162"/>
      <c r="CB50" s="162">
        <f t="shared" si="63"/>
        <v>0.84000000000000041</v>
      </c>
      <c r="CC50" s="170">
        <f t="shared" si="64"/>
        <v>0.84000000000000041</v>
      </c>
      <c r="CD50" s="162">
        <f t="shared" si="12"/>
        <v>4.4229685025177492</v>
      </c>
      <c r="CE50" s="171">
        <f t="shared" si="65"/>
        <v>4.4229685025177492</v>
      </c>
      <c r="CF50" s="162"/>
      <c r="CG50" s="172">
        <f t="shared" si="66"/>
        <v>0.84000000000000041</v>
      </c>
      <c r="CH50" s="172">
        <f t="shared" si="67"/>
        <v>0.84000000000000041</v>
      </c>
      <c r="CI50" s="172">
        <f t="shared" si="13"/>
        <v>4.4229685025177492</v>
      </c>
      <c r="CJ50" s="171">
        <f t="shared" si="68"/>
        <v>4.4229685025177492</v>
      </c>
      <c r="CK50" s="172"/>
      <c r="CL50" s="162">
        <f t="shared" si="69"/>
        <v>0.84000000000000041</v>
      </c>
      <c r="CM50" s="170">
        <f t="shared" si="70"/>
        <v>0.84000000000000041</v>
      </c>
      <c r="CN50" s="162">
        <f t="shared" si="14"/>
        <v>4.4229685025177492</v>
      </c>
      <c r="CO50" s="171">
        <f t="shared" si="71"/>
        <v>4.4229685025177492</v>
      </c>
      <c r="CP50" s="162"/>
      <c r="CQ50" s="162">
        <f t="shared" si="72"/>
        <v>0.84000000000000041</v>
      </c>
      <c r="CR50" s="170">
        <f t="shared" si="73"/>
        <v>0.84000000000000041</v>
      </c>
      <c r="CS50" s="162">
        <f t="shared" si="15"/>
        <v>4.4229685025177492</v>
      </c>
      <c r="CT50" s="171">
        <f t="shared" si="74"/>
        <v>4.4229685025177492</v>
      </c>
      <c r="CU50" s="162"/>
      <c r="CV50" s="162">
        <f t="shared" si="75"/>
        <v>0.84000000000000041</v>
      </c>
      <c r="CW50" s="162">
        <f t="shared" si="76"/>
        <v>0.84000000000000041</v>
      </c>
      <c r="CX50" s="162">
        <f t="shared" si="16"/>
        <v>4.4229685025177492</v>
      </c>
      <c r="CY50" s="171">
        <f t="shared" si="77"/>
        <v>4.4229685025177492</v>
      </c>
      <c r="CZ50" s="162"/>
      <c r="DA50" s="162">
        <f t="shared" si="78"/>
        <v>0.84000000000000041</v>
      </c>
      <c r="DB50" s="170">
        <f t="shared" si="79"/>
        <v>0.84000000000000041</v>
      </c>
      <c r="DC50" s="162">
        <f t="shared" si="17"/>
        <v>4.4229685025177492</v>
      </c>
      <c r="DD50" s="171">
        <f t="shared" si="80"/>
        <v>4.4229685025177492</v>
      </c>
      <c r="DE50" s="162"/>
      <c r="DF50" s="162">
        <f t="shared" si="81"/>
        <v>0.84000000000000041</v>
      </c>
      <c r="DG50" s="170">
        <f t="shared" si="82"/>
        <v>0.84000000000000041</v>
      </c>
      <c r="DH50" s="162">
        <f t="shared" si="18"/>
        <v>4.4229685025177492</v>
      </c>
      <c r="DI50" s="171">
        <f t="shared" si="83"/>
        <v>4.4229685025177492</v>
      </c>
      <c r="DJ50" s="162"/>
      <c r="DK50" s="162">
        <f t="shared" si="84"/>
        <v>0.84000000000000041</v>
      </c>
      <c r="DL50" s="162">
        <f t="shared" si="85"/>
        <v>0.84000000000000041</v>
      </c>
      <c r="DM50" s="162">
        <f t="shared" si="19"/>
        <v>4.4229685025177492</v>
      </c>
      <c r="DN50" s="171">
        <f t="shared" si="86"/>
        <v>4.4229685025177492</v>
      </c>
      <c r="DO50" s="162"/>
      <c r="DP50" s="162">
        <f t="shared" si="87"/>
        <v>0.84000000000000041</v>
      </c>
      <c r="DQ50" s="170">
        <f t="shared" si="88"/>
        <v>0.84000000000000041</v>
      </c>
      <c r="DR50" s="162">
        <f t="shared" si="20"/>
        <v>4.4229685025177492</v>
      </c>
      <c r="DS50" s="171">
        <f t="shared" si="89"/>
        <v>4.4229685025177492</v>
      </c>
      <c r="DT50" s="162"/>
      <c r="DU50" s="162">
        <f t="shared" si="90"/>
        <v>0.84000000000000041</v>
      </c>
      <c r="DV50" s="170">
        <f t="shared" si="91"/>
        <v>0.84000000000000041</v>
      </c>
      <c r="DW50" s="162">
        <f t="shared" si="21"/>
        <v>4.4229685025177492</v>
      </c>
      <c r="DX50" s="171">
        <f t="shared" si="92"/>
        <v>4.4229685025177492</v>
      </c>
      <c r="DY50" s="162"/>
      <c r="DZ50" s="162">
        <f t="shared" si="93"/>
        <v>0.84000000000000041</v>
      </c>
      <c r="EA50" s="162">
        <f t="shared" si="94"/>
        <v>0.84000000000000041</v>
      </c>
      <c r="EB50" s="162">
        <f t="shared" si="22"/>
        <v>4.4229685025177492</v>
      </c>
      <c r="EC50" s="171">
        <f t="shared" si="95"/>
        <v>4.4229685025177492</v>
      </c>
      <c r="ED50" s="162"/>
      <c r="EE50" s="162">
        <f t="shared" si="96"/>
        <v>0.84000000000000041</v>
      </c>
      <c r="EF50" s="170">
        <f t="shared" si="97"/>
        <v>0.84000000000000041</v>
      </c>
      <c r="EG50" s="162">
        <f t="shared" si="23"/>
        <v>4.4229685025177492</v>
      </c>
      <c r="EH50" s="171">
        <f t="shared" si="98"/>
        <v>4.4229685025177492</v>
      </c>
      <c r="EI50" s="162"/>
      <c r="EJ50" s="162">
        <f t="shared" si="99"/>
        <v>0.84000000000000041</v>
      </c>
      <c r="EK50" s="170">
        <f t="shared" si="100"/>
        <v>0.84000000000000041</v>
      </c>
      <c r="EL50" s="162">
        <f t="shared" si="24"/>
        <v>4.4229685025177492</v>
      </c>
      <c r="EM50" s="171">
        <f t="shared" si="101"/>
        <v>4.4229685025177492</v>
      </c>
      <c r="EN50" s="162"/>
      <c r="EO50" s="162">
        <f t="shared" si="102"/>
        <v>0.84000000000000041</v>
      </c>
      <c r="EP50" s="162">
        <f t="shared" si="103"/>
        <v>0.84000000000000041</v>
      </c>
      <c r="EQ50" s="162">
        <f t="shared" si="25"/>
        <v>4.4229685025177492</v>
      </c>
      <c r="ER50" s="171">
        <f t="shared" si="104"/>
        <v>4.4229685025177492</v>
      </c>
      <c r="ES50" s="162"/>
      <c r="ET50" s="162">
        <f t="shared" si="105"/>
        <v>0.84000000000000041</v>
      </c>
      <c r="EU50" s="170">
        <f t="shared" si="106"/>
        <v>0.84000000000000041</v>
      </c>
      <c r="EV50" s="162">
        <f t="shared" si="26"/>
        <v>4.4229685025177492</v>
      </c>
      <c r="EW50" s="171">
        <f t="shared" si="107"/>
        <v>4.4229685025177492</v>
      </c>
      <c r="EX50" s="162"/>
    </row>
    <row r="51" spans="20:154" s="181" customFormat="1" x14ac:dyDescent="0.25">
      <c r="T51" s="162">
        <f t="shared" si="27"/>
        <v>0.86000000000000043</v>
      </c>
      <c r="U51" s="170">
        <f t="shared" si="28"/>
        <v>0.86000000000000043</v>
      </c>
      <c r="V51" s="162">
        <f t="shared" si="0"/>
        <v>4.4652823479766033</v>
      </c>
      <c r="W51" s="171">
        <f t="shared" si="29"/>
        <v>4.4652823479766033</v>
      </c>
      <c r="X51" s="162"/>
      <c r="Y51" s="162">
        <f t="shared" si="30"/>
        <v>0.86000000000000043</v>
      </c>
      <c r="Z51" s="162">
        <f t="shared" si="31"/>
        <v>0.86000000000000043</v>
      </c>
      <c r="AA51" s="162">
        <f t="shared" si="1"/>
        <v>4.4652823479766033</v>
      </c>
      <c r="AB51" s="171">
        <f t="shared" si="32"/>
        <v>4.4652823479766033</v>
      </c>
      <c r="AC51" s="162"/>
      <c r="AD51" s="162">
        <f t="shared" si="33"/>
        <v>0.86000000000000043</v>
      </c>
      <c r="AE51" s="170">
        <f t="shared" si="34"/>
        <v>0.86000000000000043</v>
      </c>
      <c r="AF51" s="162">
        <f t="shared" si="2"/>
        <v>4.4652823479766033</v>
      </c>
      <c r="AG51" s="171">
        <f t="shared" si="35"/>
        <v>4.4652823479766033</v>
      </c>
      <c r="AH51" s="162"/>
      <c r="AI51" s="162">
        <f t="shared" si="36"/>
        <v>0.86000000000000043</v>
      </c>
      <c r="AJ51" s="170">
        <f t="shared" si="37"/>
        <v>0.86000000000000043</v>
      </c>
      <c r="AK51" s="162">
        <f t="shared" si="3"/>
        <v>4.4652823479766033</v>
      </c>
      <c r="AL51" s="171">
        <f t="shared" si="38"/>
        <v>4.4652823479766033</v>
      </c>
      <c r="AM51" s="162"/>
      <c r="AN51" s="162">
        <f t="shared" si="39"/>
        <v>0.86000000000000043</v>
      </c>
      <c r="AO51" s="162">
        <f t="shared" si="40"/>
        <v>0.86000000000000043</v>
      </c>
      <c r="AP51" s="162">
        <f t="shared" si="4"/>
        <v>4.4652823479766033</v>
      </c>
      <c r="AQ51" s="171">
        <f t="shared" si="41"/>
        <v>4.4652823479766033</v>
      </c>
      <c r="AR51" s="162"/>
      <c r="AS51" s="162">
        <f t="shared" si="42"/>
        <v>0.86000000000000043</v>
      </c>
      <c r="AT51" s="170">
        <f t="shared" si="43"/>
        <v>0.86000000000000043</v>
      </c>
      <c r="AU51" s="162">
        <f t="shared" si="5"/>
        <v>4.4652823479766033</v>
      </c>
      <c r="AV51" s="171">
        <f t="shared" si="44"/>
        <v>4.4652823479766033</v>
      </c>
      <c r="AW51" s="162"/>
      <c r="AX51" s="162">
        <f t="shared" si="45"/>
        <v>0.86000000000000043</v>
      </c>
      <c r="AY51" s="170">
        <f t="shared" si="46"/>
        <v>0.86000000000000043</v>
      </c>
      <c r="AZ51" s="162">
        <f t="shared" si="6"/>
        <v>4.4652823479766033</v>
      </c>
      <c r="BA51" s="171">
        <f t="shared" si="47"/>
        <v>4.4652823479766033</v>
      </c>
      <c r="BB51" s="162"/>
      <c r="BC51" s="162">
        <f t="shared" si="48"/>
        <v>0.86000000000000043</v>
      </c>
      <c r="BD51" s="162">
        <f t="shared" si="49"/>
        <v>0.86000000000000043</v>
      </c>
      <c r="BE51" s="162">
        <f t="shared" si="7"/>
        <v>4.4652823479766033</v>
      </c>
      <c r="BF51" s="171">
        <f t="shared" si="50"/>
        <v>4.4652823479766033</v>
      </c>
      <c r="BG51" s="162"/>
      <c r="BH51" s="162">
        <f t="shared" si="51"/>
        <v>0.86000000000000043</v>
      </c>
      <c r="BI51" s="170">
        <f t="shared" si="52"/>
        <v>0.86000000000000043</v>
      </c>
      <c r="BJ51" s="162">
        <f t="shared" si="8"/>
        <v>4.4652823479766033</v>
      </c>
      <c r="BK51" s="171">
        <f t="shared" si="53"/>
        <v>4.4652823479766033</v>
      </c>
      <c r="BL51" s="162"/>
      <c r="BM51" s="162">
        <f t="shared" si="54"/>
        <v>0.86000000000000043</v>
      </c>
      <c r="BN51" s="170">
        <f t="shared" si="55"/>
        <v>0.86000000000000043</v>
      </c>
      <c r="BO51" s="162">
        <f t="shared" si="9"/>
        <v>4.4652823479766033</v>
      </c>
      <c r="BP51" s="171">
        <f t="shared" si="56"/>
        <v>4.4652823479766033</v>
      </c>
      <c r="BQ51" s="162"/>
      <c r="BR51" s="162">
        <f t="shared" si="57"/>
        <v>0.86000000000000043</v>
      </c>
      <c r="BS51" s="162">
        <f t="shared" si="58"/>
        <v>0.86000000000000043</v>
      </c>
      <c r="BT51" s="162">
        <f t="shared" si="10"/>
        <v>4.4652823479766033</v>
      </c>
      <c r="BU51" s="171">
        <f t="shared" si="59"/>
        <v>4.4652823479766033</v>
      </c>
      <c r="BV51" s="162"/>
      <c r="BW51" s="162">
        <f t="shared" si="60"/>
        <v>0.86000000000000043</v>
      </c>
      <c r="BX51" s="170">
        <f t="shared" si="61"/>
        <v>0.86000000000000043</v>
      </c>
      <c r="BY51" s="162">
        <f t="shared" si="11"/>
        <v>4.4652823479766033</v>
      </c>
      <c r="BZ51" s="171">
        <f t="shared" si="62"/>
        <v>4.4652823479766033</v>
      </c>
      <c r="CA51" s="162"/>
      <c r="CB51" s="162">
        <f t="shared" si="63"/>
        <v>0.86000000000000043</v>
      </c>
      <c r="CC51" s="170">
        <f t="shared" si="64"/>
        <v>0.86000000000000043</v>
      </c>
      <c r="CD51" s="162">
        <f t="shared" si="12"/>
        <v>4.4652823479766033</v>
      </c>
      <c r="CE51" s="171">
        <f t="shared" si="65"/>
        <v>4.4652823479766033</v>
      </c>
      <c r="CF51" s="162"/>
      <c r="CG51" s="172">
        <f t="shared" si="66"/>
        <v>0.86000000000000043</v>
      </c>
      <c r="CH51" s="172">
        <f t="shared" si="67"/>
        <v>0.86000000000000043</v>
      </c>
      <c r="CI51" s="172">
        <f t="shared" si="13"/>
        <v>4.4652823479766033</v>
      </c>
      <c r="CJ51" s="171">
        <f t="shared" si="68"/>
        <v>4.4652823479766033</v>
      </c>
      <c r="CK51" s="172"/>
      <c r="CL51" s="162">
        <f t="shared" si="69"/>
        <v>0.86000000000000043</v>
      </c>
      <c r="CM51" s="170">
        <f t="shared" si="70"/>
        <v>0.86000000000000043</v>
      </c>
      <c r="CN51" s="162">
        <f t="shared" si="14"/>
        <v>4.4652823479766033</v>
      </c>
      <c r="CO51" s="171">
        <f t="shared" si="71"/>
        <v>4.4652823479766033</v>
      </c>
      <c r="CP51" s="162"/>
      <c r="CQ51" s="162">
        <f t="shared" si="72"/>
        <v>0.86000000000000043</v>
      </c>
      <c r="CR51" s="170">
        <f t="shared" si="73"/>
        <v>0.86000000000000043</v>
      </c>
      <c r="CS51" s="162">
        <f t="shared" si="15"/>
        <v>4.4652823479766033</v>
      </c>
      <c r="CT51" s="171">
        <f t="shared" si="74"/>
        <v>4.4652823479766033</v>
      </c>
      <c r="CU51" s="162"/>
      <c r="CV51" s="162">
        <f t="shared" si="75"/>
        <v>0.86000000000000043</v>
      </c>
      <c r="CW51" s="162">
        <f t="shared" si="76"/>
        <v>0.86000000000000043</v>
      </c>
      <c r="CX51" s="162">
        <f t="shared" si="16"/>
        <v>4.4652823479766033</v>
      </c>
      <c r="CY51" s="171">
        <f t="shared" si="77"/>
        <v>4.4652823479766033</v>
      </c>
      <c r="CZ51" s="162"/>
      <c r="DA51" s="162">
        <f t="shared" si="78"/>
        <v>0.86000000000000043</v>
      </c>
      <c r="DB51" s="170">
        <f t="shared" si="79"/>
        <v>0.86000000000000043</v>
      </c>
      <c r="DC51" s="162">
        <f t="shared" si="17"/>
        <v>4.4652823479766033</v>
      </c>
      <c r="DD51" s="171">
        <f t="shared" si="80"/>
        <v>4.4652823479766033</v>
      </c>
      <c r="DE51" s="162"/>
      <c r="DF51" s="162">
        <f t="shared" si="81"/>
        <v>0.86000000000000043</v>
      </c>
      <c r="DG51" s="170">
        <f t="shared" si="82"/>
        <v>0.86000000000000043</v>
      </c>
      <c r="DH51" s="162">
        <f t="shared" si="18"/>
        <v>4.4652823479766033</v>
      </c>
      <c r="DI51" s="171">
        <f t="shared" si="83"/>
        <v>4.4652823479766033</v>
      </c>
      <c r="DJ51" s="162"/>
      <c r="DK51" s="162">
        <f t="shared" si="84"/>
        <v>0.86000000000000043</v>
      </c>
      <c r="DL51" s="162">
        <f t="shared" si="85"/>
        <v>0.86000000000000043</v>
      </c>
      <c r="DM51" s="162">
        <f t="shared" si="19"/>
        <v>4.4652823479766033</v>
      </c>
      <c r="DN51" s="171">
        <f t="shared" si="86"/>
        <v>4.4652823479766033</v>
      </c>
      <c r="DO51" s="162"/>
      <c r="DP51" s="162">
        <f t="shared" si="87"/>
        <v>0.86000000000000043</v>
      </c>
      <c r="DQ51" s="170">
        <f t="shared" si="88"/>
        <v>0.86000000000000043</v>
      </c>
      <c r="DR51" s="162">
        <f t="shared" si="20"/>
        <v>4.4652823479766033</v>
      </c>
      <c r="DS51" s="171">
        <f t="shared" si="89"/>
        <v>4.4652823479766033</v>
      </c>
      <c r="DT51" s="162"/>
      <c r="DU51" s="162">
        <f t="shared" si="90"/>
        <v>0.86000000000000043</v>
      </c>
      <c r="DV51" s="170">
        <f t="shared" si="91"/>
        <v>0.86000000000000043</v>
      </c>
      <c r="DW51" s="162">
        <f t="shared" si="21"/>
        <v>4.4652823479766033</v>
      </c>
      <c r="DX51" s="171">
        <f t="shared" si="92"/>
        <v>4.4652823479766033</v>
      </c>
      <c r="DY51" s="162"/>
      <c r="DZ51" s="162">
        <f t="shared" si="93"/>
        <v>0.86000000000000043</v>
      </c>
      <c r="EA51" s="162">
        <f t="shared" si="94"/>
        <v>0.86000000000000043</v>
      </c>
      <c r="EB51" s="162">
        <f t="shared" si="22"/>
        <v>4.4652823479766033</v>
      </c>
      <c r="EC51" s="171">
        <f t="shared" si="95"/>
        <v>4.4652823479766033</v>
      </c>
      <c r="ED51" s="162"/>
      <c r="EE51" s="162">
        <f t="shared" si="96"/>
        <v>0.86000000000000043</v>
      </c>
      <c r="EF51" s="170">
        <f t="shared" si="97"/>
        <v>0.86000000000000043</v>
      </c>
      <c r="EG51" s="162">
        <f t="shared" si="23"/>
        <v>4.4652823479766033</v>
      </c>
      <c r="EH51" s="171">
        <f t="shared" si="98"/>
        <v>4.4652823479766033</v>
      </c>
      <c r="EI51" s="162"/>
      <c r="EJ51" s="162">
        <f t="shared" si="99"/>
        <v>0.86000000000000043</v>
      </c>
      <c r="EK51" s="170">
        <f t="shared" si="100"/>
        <v>0.86000000000000043</v>
      </c>
      <c r="EL51" s="162">
        <f t="shared" si="24"/>
        <v>4.4652823479766033</v>
      </c>
      <c r="EM51" s="171">
        <f t="shared" si="101"/>
        <v>4.4652823479766033</v>
      </c>
      <c r="EN51" s="162"/>
      <c r="EO51" s="162">
        <f t="shared" si="102"/>
        <v>0.86000000000000043</v>
      </c>
      <c r="EP51" s="162">
        <f t="shared" si="103"/>
        <v>0.86000000000000043</v>
      </c>
      <c r="EQ51" s="162">
        <f t="shared" si="25"/>
        <v>4.4652823479766033</v>
      </c>
      <c r="ER51" s="171">
        <f t="shared" si="104"/>
        <v>4.4652823479766033</v>
      </c>
      <c r="ES51" s="162"/>
      <c r="ET51" s="162">
        <f t="shared" si="105"/>
        <v>0.86000000000000043</v>
      </c>
      <c r="EU51" s="170">
        <f t="shared" si="106"/>
        <v>0.86000000000000043</v>
      </c>
      <c r="EV51" s="162">
        <f t="shared" si="26"/>
        <v>4.4652823479766033</v>
      </c>
      <c r="EW51" s="171">
        <f t="shared" si="107"/>
        <v>4.4652823479766033</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4.5417845007107678</v>
      </c>
      <c r="W53" s="171">
        <f t="shared" si="29"/>
        <v>4.5417845007107678</v>
      </c>
      <c r="X53" s="162"/>
      <c r="Y53" s="162">
        <f t="shared" si="30"/>
        <v>0.90000000000000047</v>
      </c>
      <c r="Z53" s="162">
        <f t="shared" si="31"/>
        <v>0.90000000000000047</v>
      </c>
      <c r="AA53" s="162">
        <f t="shared" si="1"/>
        <v>4.5417845007107678</v>
      </c>
      <c r="AB53" s="171">
        <f t="shared" si="32"/>
        <v>4.5417845007107678</v>
      </c>
      <c r="AC53" s="162"/>
      <c r="AD53" s="162">
        <f t="shared" si="33"/>
        <v>0.90000000000000047</v>
      </c>
      <c r="AE53" s="170">
        <f t="shared" si="34"/>
        <v>0.90000000000000047</v>
      </c>
      <c r="AF53" s="162">
        <f t="shared" si="2"/>
        <v>4.5417845007107678</v>
      </c>
      <c r="AG53" s="171">
        <f t="shared" si="35"/>
        <v>4.5417845007107678</v>
      </c>
      <c r="AH53" s="162"/>
      <c r="AI53" s="162">
        <f t="shared" si="36"/>
        <v>0.90000000000000047</v>
      </c>
      <c r="AJ53" s="170">
        <f t="shared" si="37"/>
        <v>0.90000000000000047</v>
      </c>
      <c r="AK53" s="162">
        <f t="shared" si="3"/>
        <v>4.5417845007107678</v>
      </c>
      <c r="AL53" s="171">
        <f t="shared" si="38"/>
        <v>4.5417845007107678</v>
      </c>
      <c r="AM53" s="162"/>
      <c r="AN53" s="162">
        <f t="shared" si="39"/>
        <v>0.90000000000000047</v>
      </c>
      <c r="AO53" s="162">
        <f t="shared" si="40"/>
        <v>0.90000000000000047</v>
      </c>
      <c r="AP53" s="162">
        <f t="shared" si="4"/>
        <v>4.5417845007107678</v>
      </c>
      <c r="AQ53" s="171">
        <f t="shared" si="41"/>
        <v>4.5417845007107678</v>
      </c>
      <c r="AR53" s="162"/>
      <c r="AS53" s="162">
        <f t="shared" si="42"/>
        <v>0.90000000000000047</v>
      </c>
      <c r="AT53" s="170">
        <f t="shared" si="43"/>
        <v>0.90000000000000047</v>
      </c>
      <c r="AU53" s="162">
        <f t="shared" si="5"/>
        <v>4.5417845007107678</v>
      </c>
      <c r="AV53" s="171">
        <f t="shared" si="44"/>
        <v>4.5417845007107678</v>
      </c>
      <c r="AW53" s="162"/>
      <c r="AX53" s="162">
        <f t="shared" si="45"/>
        <v>0.90000000000000047</v>
      </c>
      <c r="AY53" s="170">
        <f t="shared" si="46"/>
        <v>0.90000000000000047</v>
      </c>
      <c r="AZ53" s="162">
        <f t="shared" si="6"/>
        <v>4.5417845007107678</v>
      </c>
      <c r="BA53" s="171">
        <f t="shared" si="47"/>
        <v>4.5417845007107678</v>
      </c>
      <c r="BB53" s="162"/>
      <c r="BC53" s="162">
        <f t="shared" si="48"/>
        <v>0.90000000000000047</v>
      </c>
      <c r="BD53" s="162">
        <f t="shared" si="49"/>
        <v>0.90000000000000047</v>
      </c>
      <c r="BE53" s="162">
        <f t="shared" si="7"/>
        <v>4.5417845007107678</v>
      </c>
      <c r="BF53" s="171">
        <f t="shared" si="50"/>
        <v>4.5417845007107678</v>
      </c>
      <c r="BG53" s="162"/>
      <c r="BH53" s="162">
        <f t="shared" si="51"/>
        <v>0.90000000000000047</v>
      </c>
      <c r="BI53" s="170">
        <f t="shared" si="52"/>
        <v>0.90000000000000047</v>
      </c>
      <c r="BJ53" s="162">
        <f t="shared" si="8"/>
        <v>4.5417845007107678</v>
      </c>
      <c r="BK53" s="171">
        <f t="shared" si="53"/>
        <v>4.5417845007107678</v>
      </c>
      <c r="BL53" s="162"/>
      <c r="BM53" s="162">
        <f t="shared" si="54"/>
        <v>0.90000000000000047</v>
      </c>
      <c r="BN53" s="170">
        <f t="shared" si="55"/>
        <v>0.90000000000000047</v>
      </c>
      <c r="BO53" s="162">
        <f t="shared" si="9"/>
        <v>4.5417845007107678</v>
      </c>
      <c r="BP53" s="171">
        <f t="shared" si="56"/>
        <v>4.5417845007107678</v>
      </c>
      <c r="BQ53" s="162"/>
      <c r="BR53" s="162">
        <f t="shared" si="57"/>
        <v>0.90000000000000047</v>
      </c>
      <c r="BS53" s="162">
        <f t="shared" si="58"/>
        <v>0.90000000000000047</v>
      </c>
      <c r="BT53" s="162">
        <f t="shared" si="10"/>
        <v>4.5417845007107678</v>
      </c>
      <c r="BU53" s="171">
        <f t="shared" si="59"/>
        <v>4.5417845007107678</v>
      </c>
      <c r="BV53" s="162"/>
      <c r="BW53" s="162">
        <f t="shared" si="60"/>
        <v>0.90000000000000047</v>
      </c>
      <c r="BX53" s="170">
        <f t="shared" si="61"/>
        <v>0.90000000000000047</v>
      </c>
      <c r="BY53" s="162">
        <f t="shared" si="11"/>
        <v>4.5417845007107678</v>
      </c>
      <c r="BZ53" s="171">
        <f t="shared" si="62"/>
        <v>4.5417845007107678</v>
      </c>
      <c r="CA53" s="162"/>
      <c r="CB53" s="162">
        <f t="shared" si="63"/>
        <v>0.90000000000000047</v>
      </c>
      <c r="CC53" s="170">
        <f t="shared" si="64"/>
        <v>0.90000000000000047</v>
      </c>
      <c r="CD53" s="162">
        <f t="shared" si="12"/>
        <v>4.5417845007107678</v>
      </c>
      <c r="CE53" s="171">
        <f t="shared" si="65"/>
        <v>4.5417845007107678</v>
      </c>
      <c r="CF53" s="162"/>
      <c r="CG53" s="172">
        <f t="shared" si="66"/>
        <v>0.90000000000000047</v>
      </c>
      <c r="CH53" s="172">
        <f t="shared" si="67"/>
        <v>0.90000000000000047</v>
      </c>
      <c r="CI53" s="172">
        <f t="shared" si="13"/>
        <v>4.5417845007107678</v>
      </c>
      <c r="CJ53" s="171">
        <f t="shared" si="68"/>
        <v>4.5417845007107678</v>
      </c>
      <c r="CK53" s="172"/>
      <c r="CL53" s="162">
        <f t="shared" si="69"/>
        <v>0.90000000000000047</v>
      </c>
      <c r="CM53" s="170">
        <f t="shared" si="70"/>
        <v>0.90000000000000047</v>
      </c>
      <c r="CN53" s="162">
        <f t="shared" si="14"/>
        <v>4.5417845007107678</v>
      </c>
      <c r="CO53" s="171">
        <f t="shared" si="71"/>
        <v>4.5417845007107678</v>
      </c>
      <c r="CP53" s="162"/>
      <c r="CQ53" s="162">
        <f t="shared" si="72"/>
        <v>0.90000000000000047</v>
      </c>
      <c r="CR53" s="170">
        <f t="shared" si="73"/>
        <v>0.90000000000000047</v>
      </c>
      <c r="CS53" s="162">
        <f t="shared" si="15"/>
        <v>4.5417845007107678</v>
      </c>
      <c r="CT53" s="171">
        <f t="shared" si="74"/>
        <v>4.5417845007107678</v>
      </c>
      <c r="CU53" s="162"/>
      <c r="CV53" s="162">
        <f t="shared" si="75"/>
        <v>0.90000000000000047</v>
      </c>
      <c r="CW53" s="162">
        <f t="shared" si="76"/>
        <v>0.90000000000000047</v>
      </c>
      <c r="CX53" s="162">
        <f t="shared" si="16"/>
        <v>4.5417845007107678</v>
      </c>
      <c r="CY53" s="171">
        <f t="shared" si="77"/>
        <v>4.5417845007107678</v>
      </c>
      <c r="CZ53" s="162"/>
      <c r="DA53" s="162">
        <f t="shared" si="78"/>
        <v>0.90000000000000047</v>
      </c>
      <c r="DB53" s="170">
        <f t="shared" si="79"/>
        <v>0.90000000000000047</v>
      </c>
      <c r="DC53" s="162">
        <f t="shared" si="17"/>
        <v>4.5417845007107678</v>
      </c>
      <c r="DD53" s="171">
        <f t="shared" si="80"/>
        <v>4.5417845007107678</v>
      </c>
      <c r="DE53" s="162"/>
      <c r="DF53" s="162">
        <f t="shared" si="81"/>
        <v>0.90000000000000047</v>
      </c>
      <c r="DG53" s="170">
        <f t="shared" si="82"/>
        <v>0.90000000000000047</v>
      </c>
      <c r="DH53" s="162">
        <f t="shared" si="18"/>
        <v>4.5417845007107678</v>
      </c>
      <c r="DI53" s="171">
        <f t="shared" si="83"/>
        <v>4.5417845007107678</v>
      </c>
      <c r="DJ53" s="162"/>
      <c r="DK53" s="162">
        <f t="shared" si="84"/>
        <v>0.90000000000000047</v>
      </c>
      <c r="DL53" s="162">
        <f t="shared" si="85"/>
        <v>0.90000000000000047</v>
      </c>
      <c r="DM53" s="162">
        <f t="shared" si="19"/>
        <v>4.5417845007107678</v>
      </c>
      <c r="DN53" s="171">
        <f t="shared" si="86"/>
        <v>4.5417845007107678</v>
      </c>
      <c r="DO53" s="162"/>
      <c r="DP53" s="162">
        <f t="shared" si="87"/>
        <v>0.90000000000000047</v>
      </c>
      <c r="DQ53" s="170">
        <f t="shared" si="88"/>
        <v>0.90000000000000047</v>
      </c>
      <c r="DR53" s="162">
        <f t="shared" si="20"/>
        <v>4.5417845007107678</v>
      </c>
      <c r="DS53" s="171">
        <f t="shared" si="89"/>
        <v>4.5417845007107678</v>
      </c>
      <c r="DT53" s="162"/>
      <c r="DU53" s="162">
        <f t="shared" si="90"/>
        <v>0.90000000000000047</v>
      </c>
      <c r="DV53" s="170">
        <f t="shared" si="91"/>
        <v>0.90000000000000047</v>
      </c>
      <c r="DW53" s="162">
        <f t="shared" si="21"/>
        <v>4.5417845007107678</v>
      </c>
      <c r="DX53" s="171">
        <f t="shared" si="92"/>
        <v>4.5417845007107678</v>
      </c>
      <c r="DY53" s="162"/>
      <c r="DZ53" s="162">
        <f t="shared" si="93"/>
        <v>0.90000000000000047</v>
      </c>
      <c r="EA53" s="162">
        <f t="shared" si="94"/>
        <v>0.90000000000000047</v>
      </c>
      <c r="EB53" s="162">
        <f t="shared" si="22"/>
        <v>4.5417845007107678</v>
      </c>
      <c r="EC53" s="171">
        <f t="shared" si="95"/>
        <v>4.5417845007107678</v>
      </c>
      <c r="ED53" s="162"/>
      <c r="EE53" s="162">
        <f t="shared" si="96"/>
        <v>0.90000000000000047</v>
      </c>
      <c r="EF53" s="170">
        <f t="shared" si="97"/>
        <v>0.90000000000000047</v>
      </c>
      <c r="EG53" s="162">
        <f t="shared" si="23"/>
        <v>4.5417845007107678</v>
      </c>
      <c r="EH53" s="171">
        <f t="shared" si="98"/>
        <v>4.5417845007107678</v>
      </c>
      <c r="EI53" s="162"/>
      <c r="EJ53" s="162">
        <f t="shared" si="99"/>
        <v>0.90000000000000047</v>
      </c>
      <c r="EK53" s="170">
        <f t="shared" si="100"/>
        <v>0.90000000000000047</v>
      </c>
      <c r="EL53" s="162">
        <f t="shared" si="24"/>
        <v>4.5417845007107678</v>
      </c>
      <c r="EM53" s="171">
        <f t="shared" si="101"/>
        <v>4.5417845007107678</v>
      </c>
      <c r="EN53" s="162"/>
      <c r="EO53" s="162">
        <f t="shared" si="102"/>
        <v>0.90000000000000047</v>
      </c>
      <c r="EP53" s="162">
        <f t="shared" si="103"/>
        <v>0.90000000000000047</v>
      </c>
      <c r="EQ53" s="162">
        <f t="shared" si="25"/>
        <v>4.5417845007107678</v>
      </c>
      <c r="ER53" s="171">
        <f t="shared" si="104"/>
        <v>4.5417845007107678</v>
      </c>
      <c r="ES53" s="162"/>
      <c r="ET53" s="162">
        <f t="shared" si="105"/>
        <v>0.90000000000000047</v>
      </c>
      <c r="EU53" s="170">
        <f t="shared" si="106"/>
        <v>0.90000000000000047</v>
      </c>
      <c r="EV53" s="162">
        <f t="shared" si="26"/>
        <v>4.5417845007107678</v>
      </c>
      <c r="EW53" s="171">
        <f t="shared" si="107"/>
        <v>4.5417845007107678</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4.6074526025335443</v>
      </c>
      <c r="W55" s="171">
        <f t="shared" si="29"/>
        <v>4.6074526025335443</v>
      </c>
      <c r="X55" s="162"/>
      <c r="Y55" s="162">
        <f t="shared" si="30"/>
        <v>0.9400000000000005</v>
      </c>
      <c r="Z55" s="162">
        <f t="shared" si="31"/>
        <v>0.9400000000000005</v>
      </c>
      <c r="AA55" s="162">
        <f t="shared" si="1"/>
        <v>4.6074526025335443</v>
      </c>
      <c r="AB55" s="171">
        <f t="shared" si="32"/>
        <v>4.6074526025335443</v>
      </c>
      <c r="AC55" s="162"/>
      <c r="AD55" s="162">
        <f t="shared" si="33"/>
        <v>0.9400000000000005</v>
      </c>
      <c r="AE55" s="170">
        <f t="shared" si="34"/>
        <v>0.9400000000000005</v>
      </c>
      <c r="AF55" s="162">
        <f t="shared" si="2"/>
        <v>4.6074526025335443</v>
      </c>
      <c r="AG55" s="171">
        <f t="shared" si="35"/>
        <v>4.6074526025335443</v>
      </c>
      <c r="AH55" s="162"/>
      <c r="AI55" s="162">
        <f t="shared" si="36"/>
        <v>0.9400000000000005</v>
      </c>
      <c r="AJ55" s="170">
        <f t="shared" si="37"/>
        <v>0.9400000000000005</v>
      </c>
      <c r="AK55" s="162">
        <f t="shared" si="3"/>
        <v>4.6074526025335443</v>
      </c>
      <c r="AL55" s="171">
        <f t="shared" si="38"/>
        <v>4.6074526025335443</v>
      </c>
      <c r="AM55" s="162"/>
      <c r="AN55" s="162">
        <f t="shared" si="39"/>
        <v>0.9400000000000005</v>
      </c>
      <c r="AO55" s="162">
        <f t="shared" si="40"/>
        <v>0.9400000000000005</v>
      </c>
      <c r="AP55" s="162">
        <f t="shared" si="4"/>
        <v>4.6074526025335443</v>
      </c>
      <c r="AQ55" s="171">
        <f t="shared" si="41"/>
        <v>4.6074526025335443</v>
      </c>
      <c r="AR55" s="162"/>
      <c r="AS55" s="162">
        <f t="shared" si="42"/>
        <v>0.9400000000000005</v>
      </c>
      <c r="AT55" s="170">
        <f t="shared" si="43"/>
        <v>0.9400000000000005</v>
      </c>
      <c r="AU55" s="162">
        <f t="shared" si="5"/>
        <v>4.6074526025335443</v>
      </c>
      <c r="AV55" s="171">
        <f t="shared" si="44"/>
        <v>4.6074526025335443</v>
      </c>
      <c r="AW55" s="162"/>
      <c r="AX55" s="162">
        <f t="shared" si="45"/>
        <v>0.9400000000000005</v>
      </c>
      <c r="AY55" s="170">
        <f t="shared" si="46"/>
        <v>0.9400000000000005</v>
      </c>
      <c r="AZ55" s="162">
        <f t="shared" si="6"/>
        <v>4.6074526025335443</v>
      </c>
      <c r="BA55" s="171">
        <f t="shared" si="47"/>
        <v>4.6074526025335443</v>
      </c>
      <c r="BB55" s="162"/>
      <c r="BC55" s="162">
        <f t="shared" si="48"/>
        <v>0.9400000000000005</v>
      </c>
      <c r="BD55" s="162">
        <f t="shared" si="49"/>
        <v>0.9400000000000005</v>
      </c>
      <c r="BE55" s="162">
        <f t="shared" si="7"/>
        <v>4.6074526025335443</v>
      </c>
      <c r="BF55" s="171">
        <f t="shared" si="50"/>
        <v>4.6074526025335443</v>
      </c>
      <c r="BG55" s="162"/>
      <c r="BH55" s="162">
        <f t="shared" si="51"/>
        <v>0.9400000000000005</v>
      </c>
      <c r="BI55" s="170">
        <f t="shared" si="52"/>
        <v>0.9400000000000005</v>
      </c>
      <c r="BJ55" s="162">
        <f t="shared" si="8"/>
        <v>4.6074526025335443</v>
      </c>
      <c r="BK55" s="171">
        <f t="shared" si="53"/>
        <v>4.6074526025335443</v>
      </c>
      <c r="BL55" s="162"/>
      <c r="BM55" s="162">
        <f t="shared" si="54"/>
        <v>0.9400000000000005</v>
      </c>
      <c r="BN55" s="170">
        <f t="shared" si="55"/>
        <v>0.9400000000000005</v>
      </c>
      <c r="BO55" s="162">
        <f t="shared" si="9"/>
        <v>4.6074526025335443</v>
      </c>
      <c r="BP55" s="171">
        <f t="shared" si="56"/>
        <v>4.6074526025335443</v>
      </c>
      <c r="BQ55" s="162"/>
      <c r="BR55" s="162">
        <f t="shared" si="57"/>
        <v>0.9400000000000005</v>
      </c>
      <c r="BS55" s="162">
        <f t="shared" si="58"/>
        <v>0.9400000000000005</v>
      </c>
      <c r="BT55" s="162">
        <f t="shared" si="10"/>
        <v>4.6074526025335443</v>
      </c>
      <c r="BU55" s="171">
        <f t="shared" si="59"/>
        <v>4.6074526025335443</v>
      </c>
      <c r="BV55" s="162"/>
      <c r="BW55" s="162">
        <f t="shared" si="60"/>
        <v>0.9400000000000005</v>
      </c>
      <c r="BX55" s="170">
        <f t="shared" si="61"/>
        <v>0.9400000000000005</v>
      </c>
      <c r="BY55" s="162">
        <f t="shared" si="11"/>
        <v>4.6074526025335443</v>
      </c>
      <c r="BZ55" s="171">
        <f t="shared" si="62"/>
        <v>4.6074526025335443</v>
      </c>
      <c r="CA55" s="162"/>
      <c r="CB55" s="162">
        <f t="shared" si="63"/>
        <v>0.9400000000000005</v>
      </c>
      <c r="CC55" s="170">
        <f t="shared" si="64"/>
        <v>0.9400000000000005</v>
      </c>
      <c r="CD55" s="162">
        <f t="shared" si="12"/>
        <v>4.6074526025335443</v>
      </c>
      <c r="CE55" s="171">
        <f t="shared" si="65"/>
        <v>4.6074526025335443</v>
      </c>
      <c r="CF55" s="162"/>
      <c r="CG55" s="172">
        <f t="shared" si="66"/>
        <v>0.9400000000000005</v>
      </c>
      <c r="CH55" s="172">
        <f t="shared" si="67"/>
        <v>0.9400000000000005</v>
      </c>
      <c r="CI55" s="172">
        <f t="shared" si="13"/>
        <v>4.6074526025335443</v>
      </c>
      <c r="CJ55" s="171">
        <f t="shared" si="68"/>
        <v>4.6074526025335443</v>
      </c>
      <c r="CK55" s="172"/>
      <c r="CL55" s="162">
        <f t="shared" si="69"/>
        <v>0.9400000000000005</v>
      </c>
      <c r="CM55" s="170">
        <f t="shared" si="70"/>
        <v>0.9400000000000005</v>
      </c>
      <c r="CN55" s="162">
        <f t="shared" si="14"/>
        <v>4.6074526025335443</v>
      </c>
      <c r="CO55" s="171">
        <f t="shared" si="71"/>
        <v>4.6074526025335443</v>
      </c>
      <c r="CP55" s="162"/>
      <c r="CQ55" s="162">
        <f t="shared" si="72"/>
        <v>0.9400000000000005</v>
      </c>
      <c r="CR55" s="170">
        <f t="shared" si="73"/>
        <v>0.9400000000000005</v>
      </c>
      <c r="CS55" s="162">
        <f t="shared" si="15"/>
        <v>4.6074526025335443</v>
      </c>
      <c r="CT55" s="171">
        <f t="shared" si="74"/>
        <v>4.6074526025335443</v>
      </c>
      <c r="CU55" s="162"/>
      <c r="CV55" s="162">
        <f t="shared" si="75"/>
        <v>0.9400000000000005</v>
      </c>
      <c r="CW55" s="162">
        <f t="shared" si="76"/>
        <v>0.9400000000000005</v>
      </c>
      <c r="CX55" s="162">
        <f t="shared" si="16"/>
        <v>4.6074526025335443</v>
      </c>
      <c r="CY55" s="171">
        <f t="shared" si="77"/>
        <v>4.6074526025335443</v>
      </c>
      <c r="CZ55" s="162"/>
      <c r="DA55" s="162">
        <f t="shared" si="78"/>
        <v>0.9400000000000005</v>
      </c>
      <c r="DB55" s="170">
        <f t="shared" si="79"/>
        <v>0.9400000000000005</v>
      </c>
      <c r="DC55" s="162">
        <f t="shared" si="17"/>
        <v>4.6074526025335443</v>
      </c>
      <c r="DD55" s="171">
        <f t="shared" si="80"/>
        <v>4.6074526025335443</v>
      </c>
      <c r="DE55" s="162"/>
      <c r="DF55" s="162">
        <f t="shared" si="81"/>
        <v>0.9400000000000005</v>
      </c>
      <c r="DG55" s="170">
        <f t="shared" si="82"/>
        <v>0.9400000000000005</v>
      </c>
      <c r="DH55" s="162">
        <f t="shared" si="18"/>
        <v>4.6074526025335443</v>
      </c>
      <c r="DI55" s="171">
        <f t="shared" si="83"/>
        <v>4.6074526025335443</v>
      </c>
      <c r="DJ55" s="162"/>
      <c r="DK55" s="162">
        <f t="shared" si="84"/>
        <v>0.9400000000000005</v>
      </c>
      <c r="DL55" s="162">
        <f t="shared" si="85"/>
        <v>0.9400000000000005</v>
      </c>
      <c r="DM55" s="162">
        <f t="shared" si="19"/>
        <v>4.6074526025335443</v>
      </c>
      <c r="DN55" s="171">
        <f t="shared" si="86"/>
        <v>4.6074526025335443</v>
      </c>
      <c r="DO55" s="162"/>
      <c r="DP55" s="162">
        <f t="shared" si="87"/>
        <v>0.9400000000000005</v>
      </c>
      <c r="DQ55" s="170">
        <f t="shared" si="88"/>
        <v>0.9400000000000005</v>
      </c>
      <c r="DR55" s="162">
        <f t="shared" si="20"/>
        <v>4.6074526025335443</v>
      </c>
      <c r="DS55" s="171">
        <f t="shared" si="89"/>
        <v>4.6074526025335443</v>
      </c>
      <c r="DT55" s="162"/>
      <c r="DU55" s="162">
        <f t="shared" si="90"/>
        <v>0.9400000000000005</v>
      </c>
      <c r="DV55" s="170">
        <f t="shared" si="91"/>
        <v>0.9400000000000005</v>
      </c>
      <c r="DW55" s="162">
        <f t="shared" si="21"/>
        <v>4.6074526025335443</v>
      </c>
      <c r="DX55" s="171">
        <f t="shared" si="92"/>
        <v>4.6074526025335443</v>
      </c>
      <c r="DY55" s="162"/>
      <c r="DZ55" s="162">
        <f t="shared" si="93"/>
        <v>0.9400000000000005</v>
      </c>
      <c r="EA55" s="162">
        <f t="shared" si="94"/>
        <v>0.9400000000000005</v>
      </c>
      <c r="EB55" s="162">
        <f t="shared" si="22"/>
        <v>4.6074526025335443</v>
      </c>
      <c r="EC55" s="171">
        <f t="shared" si="95"/>
        <v>4.6074526025335443</v>
      </c>
      <c r="ED55" s="162"/>
      <c r="EE55" s="162">
        <f t="shared" si="96"/>
        <v>0.9400000000000005</v>
      </c>
      <c r="EF55" s="170">
        <f t="shared" si="97"/>
        <v>0.9400000000000005</v>
      </c>
      <c r="EG55" s="162">
        <f t="shared" si="23"/>
        <v>4.6074526025335443</v>
      </c>
      <c r="EH55" s="171">
        <f t="shared" si="98"/>
        <v>4.6074526025335443</v>
      </c>
      <c r="EI55" s="162"/>
      <c r="EJ55" s="162">
        <f t="shared" si="99"/>
        <v>0.9400000000000005</v>
      </c>
      <c r="EK55" s="170">
        <f t="shared" si="100"/>
        <v>0.9400000000000005</v>
      </c>
      <c r="EL55" s="162">
        <f t="shared" si="24"/>
        <v>4.6074526025335443</v>
      </c>
      <c r="EM55" s="171">
        <f t="shared" si="101"/>
        <v>4.6074526025335443</v>
      </c>
      <c r="EN55" s="162"/>
      <c r="EO55" s="162">
        <f t="shared" si="102"/>
        <v>0.9400000000000005</v>
      </c>
      <c r="EP55" s="162">
        <f t="shared" si="103"/>
        <v>0.9400000000000005</v>
      </c>
      <c r="EQ55" s="162">
        <f t="shared" si="25"/>
        <v>4.6074526025335443</v>
      </c>
      <c r="ER55" s="171">
        <f t="shared" si="104"/>
        <v>4.6074526025335443</v>
      </c>
      <c r="ES55" s="162"/>
      <c r="ET55" s="162">
        <f t="shared" si="105"/>
        <v>0.9400000000000005</v>
      </c>
      <c r="EU55" s="170">
        <f t="shared" si="106"/>
        <v>0.9400000000000005</v>
      </c>
      <c r="EV55" s="162">
        <f t="shared" si="26"/>
        <v>4.6074526025335443</v>
      </c>
      <c r="EW55" s="171">
        <f t="shared" si="107"/>
        <v>4.6074526025335443</v>
      </c>
      <c r="EX55" s="162"/>
    </row>
    <row r="56" spans="20:154" s="181" customFormat="1" x14ac:dyDescent="0.25">
      <c r="T56" s="162">
        <f t="shared" si="27"/>
        <v>0.96000000000000052</v>
      </c>
      <c r="U56" s="170">
        <f t="shared" si="28"/>
        <v>0.96000000000000052</v>
      </c>
      <c r="V56" s="162">
        <f t="shared" si="0"/>
        <v>4.6362238843531625</v>
      </c>
      <c r="W56" s="171">
        <f t="shared" si="29"/>
        <v>4.6362238843531625</v>
      </c>
      <c r="X56" s="162"/>
      <c r="Y56" s="162">
        <f t="shared" si="30"/>
        <v>0.96000000000000052</v>
      </c>
      <c r="Z56" s="162">
        <f t="shared" si="31"/>
        <v>0.96000000000000052</v>
      </c>
      <c r="AA56" s="162">
        <f t="shared" si="1"/>
        <v>4.6362238843531625</v>
      </c>
      <c r="AB56" s="171">
        <f t="shared" si="32"/>
        <v>4.6362238843531625</v>
      </c>
      <c r="AC56" s="162"/>
      <c r="AD56" s="162">
        <f t="shared" si="33"/>
        <v>0.96000000000000052</v>
      </c>
      <c r="AE56" s="170">
        <f t="shared" si="34"/>
        <v>0.96000000000000052</v>
      </c>
      <c r="AF56" s="162">
        <f t="shared" si="2"/>
        <v>4.6362238843531625</v>
      </c>
      <c r="AG56" s="171">
        <f t="shared" si="35"/>
        <v>4.6362238843531625</v>
      </c>
      <c r="AH56" s="162"/>
      <c r="AI56" s="162">
        <f t="shared" si="36"/>
        <v>0.96000000000000052</v>
      </c>
      <c r="AJ56" s="170">
        <f t="shared" si="37"/>
        <v>0.96000000000000052</v>
      </c>
      <c r="AK56" s="162">
        <f t="shared" si="3"/>
        <v>4.6362238843531625</v>
      </c>
      <c r="AL56" s="171">
        <f t="shared" si="38"/>
        <v>4.6362238843531625</v>
      </c>
      <c r="AM56" s="162"/>
      <c r="AN56" s="162">
        <f t="shared" si="39"/>
        <v>0.96000000000000052</v>
      </c>
      <c r="AO56" s="162">
        <f t="shared" si="40"/>
        <v>0.96000000000000052</v>
      </c>
      <c r="AP56" s="162">
        <f t="shared" si="4"/>
        <v>4.6362238843531625</v>
      </c>
      <c r="AQ56" s="171">
        <f t="shared" si="41"/>
        <v>4.6362238843531625</v>
      </c>
      <c r="AR56" s="162"/>
      <c r="AS56" s="162">
        <f t="shared" si="42"/>
        <v>0.96000000000000052</v>
      </c>
      <c r="AT56" s="170">
        <f t="shared" si="43"/>
        <v>0.96000000000000052</v>
      </c>
      <c r="AU56" s="162">
        <f t="shared" si="5"/>
        <v>4.6362238843531625</v>
      </c>
      <c r="AV56" s="171">
        <f t="shared" si="44"/>
        <v>4.6362238843531625</v>
      </c>
      <c r="AW56" s="162"/>
      <c r="AX56" s="162">
        <f t="shared" si="45"/>
        <v>0.96000000000000052</v>
      </c>
      <c r="AY56" s="170">
        <f t="shared" si="46"/>
        <v>0.96000000000000052</v>
      </c>
      <c r="AZ56" s="162">
        <f t="shared" si="6"/>
        <v>4.6362238843531625</v>
      </c>
      <c r="BA56" s="171">
        <f t="shared" si="47"/>
        <v>4.6362238843531625</v>
      </c>
      <c r="BB56" s="162"/>
      <c r="BC56" s="162">
        <f t="shared" si="48"/>
        <v>0.96000000000000052</v>
      </c>
      <c r="BD56" s="162">
        <f t="shared" si="49"/>
        <v>0.96000000000000052</v>
      </c>
      <c r="BE56" s="162">
        <f t="shared" si="7"/>
        <v>4.6362238843531625</v>
      </c>
      <c r="BF56" s="171">
        <f t="shared" si="50"/>
        <v>4.6362238843531625</v>
      </c>
      <c r="BG56" s="162"/>
      <c r="BH56" s="162">
        <f t="shared" si="51"/>
        <v>0.96000000000000052</v>
      </c>
      <c r="BI56" s="170">
        <f t="shared" si="52"/>
        <v>0.96000000000000052</v>
      </c>
      <c r="BJ56" s="162">
        <f t="shared" si="8"/>
        <v>4.6362238843531625</v>
      </c>
      <c r="BK56" s="171">
        <f t="shared" si="53"/>
        <v>4.6362238843531625</v>
      </c>
      <c r="BL56" s="162"/>
      <c r="BM56" s="162">
        <f t="shared" si="54"/>
        <v>0.96000000000000052</v>
      </c>
      <c r="BN56" s="170">
        <f t="shared" si="55"/>
        <v>0.96000000000000052</v>
      </c>
      <c r="BO56" s="162">
        <f t="shared" si="9"/>
        <v>4.6362238843531625</v>
      </c>
      <c r="BP56" s="171">
        <f t="shared" si="56"/>
        <v>4.6362238843531625</v>
      </c>
      <c r="BQ56" s="162"/>
      <c r="BR56" s="162">
        <f t="shared" si="57"/>
        <v>0.96000000000000052</v>
      </c>
      <c r="BS56" s="162">
        <f t="shared" si="58"/>
        <v>0.96000000000000052</v>
      </c>
      <c r="BT56" s="162">
        <f t="shared" si="10"/>
        <v>4.6362238843531625</v>
      </c>
      <c r="BU56" s="171">
        <f t="shared" si="59"/>
        <v>4.6362238843531625</v>
      </c>
      <c r="BV56" s="162"/>
      <c r="BW56" s="162">
        <f t="shared" si="60"/>
        <v>0.96000000000000052</v>
      </c>
      <c r="BX56" s="170">
        <f t="shared" si="61"/>
        <v>0.96000000000000052</v>
      </c>
      <c r="BY56" s="162">
        <f t="shared" si="11"/>
        <v>4.6362238843531625</v>
      </c>
      <c r="BZ56" s="171">
        <f t="shared" si="62"/>
        <v>4.6362238843531625</v>
      </c>
      <c r="CA56" s="162"/>
      <c r="CB56" s="162">
        <f t="shared" si="63"/>
        <v>0.96000000000000052</v>
      </c>
      <c r="CC56" s="170">
        <f t="shared" si="64"/>
        <v>0.96000000000000052</v>
      </c>
      <c r="CD56" s="162">
        <f t="shared" si="12"/>
        <v>4.6362238843531625</v>
      </c>
      <c r="CE56" s="171">
        <f t="shared" si="65"/>
        <v>4.6362238843531625</v>
      </c>
      <c r="CF56" s="162"/>
      <c r="CG56" s="172">
        <f t="shared" si="66"/>
        <v>0.96000000000000052</v>
      </c>
      <c r="CH56" s="172">
        <f t="shared" si="67"/>
        <v>0.96000000000000052</v>
      </c>
      <c r="CI56" s="172">
        <f t="shared" si="13"/>
        <v>4.6362238843531625</v>
      </c>
      <c r="CJ56" s="171">
        <f t="shared" si="68"/>
        <v>4.6362238843531625</v>
      </c>
      <c r="CK56" s="172"/>
      <c r="CL56" s="162">
        <f t="shared" si="69"/>
        <v>0.96000000000000052</v>
      </c>
      <c r="CM56" s="170">
        <f t="shared" si="70"/>
        <v>0.96000000000000052</v>
      </c>
      <c r="CN56" s="162">
        <f t="shared" si="14"/>
        <v>4.6362238843531625</v>
      </c>
      <c r="CO56" s="171">
        <f t="shared" si="71"/>
        <v>4.6362238843531625</v>
      </c>
      <c r="CP56" s="162"/>
      <c r="CQ56" s="162">
        <f t="shared" si="72"/>
        <v>0.96000000000000052</v>
      </c>
      <c r="CR56" s="170">
        <f t="shared" si="73"/>
        <v>0.96000000000000052</v>
      </c>
      <c r="CS56" s="162">
        <f t="shared" si="15"/>
        <v>4.6362238843531625</v>
      </c>
      <c r="CT56" s="171">
        <f t="shared" si="74"/>
        <v>4.6362238843531625</v>
      </c>
      <c r="CU56" s="162"/>
      <c r="CV56" s="162">
        <f t="shared" si="75"/>
        <v>0.96000000000000052</v>
      </c>
      <c r="CW56" s="162">
        <f t="shared" si="76"/>
        <v>0.96000000000000052</v>
      </c>
      <c r="CX56" s="162">
        <f t="shared" si="16"/>
        <v>4.6362238843531625</v>
      </c>
      <c r="CY56" s="171">
        <f t="shared" si="77"/>
        <v>4.6362238843531625</v>
      </c>
      <c r="CZ56" s="162"/>
      <c r="DA56" s="162">
        <f t="shared" si="78"/>
        <v>0.96000000000000052</v>
      </c>
      <c r="DB56" s="170">
        <f t="shared" si="79"/>
        <v>0.96000000000000052</v>
      </c>
      <c r="DC56" s="162">
        <f t="shared" si="17"/>
        <v>4.6362238843531625</v>
      </c>
      <c r="DD56" s="171">
        <f t="shared" si="80"/>
        <v>4.6362238843531625</v>
      </c>
      <c r="DE56" s="162"/>
      <c r="DF56" s="162">
        <f t="shared" si="81"/>
        <v>0.96000000000000052</v>
      </c>
      <c r="DG56" s="170">
        <f t="shared" si="82"/>
        <v>0.96000000000000052</v>
      </c>
      <c r="DH56" s="162">
        <f t="shared" si="18"/>
        <v>4.6362238843531625</v>
      </c>
      <c r="DI56" s="171">
        <f t="shared" si="83"/>
        <v>4.6362238843531625</v>
      </c>
      <c r="DJ56" s="162"/>
      <c r="DK56" s="162">
        <f t="shared" si="84"/>
        <v>0.96000000000000052</v>
      </c>
      <c r="DL56" s="162">
        <f t="shared" si="85"/>
        <v>0.96000000000000052</v>
      </c>
      <c r="DM56" s="162">
        <f t="shared" si="19"/>
        <v>4.6362238843531625</v>
      </c>
      <c r="DN56" s="171">
        <f t="shared" si="86"/>
        <v>4.6362238843531625</v>
      </c>
      <c r="DO56" s="162"/>
      <c r="DP56" s="162">
        <f t="shared" si="87"/>
        <v>0.96000000000000052</v>
      </c>
      <c r="DQ56" s="170">
        <f t="shared" si="88"/>
        <v>0.96000000000000052</v>
      </c>
      <c r="DR56" s="162">
        <f t="shared" si="20"/>
        <v>4.6362238843531625</v>
      </c>
      <c r="DS56" s="171">
        <f t="shared" si="89"/>
        <v>4.6362238843531625</v>
      </c>
      <c r="DT56" s="162"/>
      <c r="DU56" s="162">
        <f t="shared" si="90"/>
        <v>0.96000000000000052</v>
      </c>
      <c r="DV56" s="170">
        <f t="shared" si="91"/>
        <v>0.96000000000000052</v>
      </c>
      <c r="DW56" s="162">
        <f t="shared" si="21"/>
        <v>4.6362238843531625</v>
      </c>
      <c r="DX56" s="171">
        <f t="shared" si="92"/>
        <v>4.6362238843531625</v>
      </c>
      <c r="DY56" s="162"/>
      <c r="DZ56" s="162">
        <f t="shared" si="93"/>
        <v>0.96000000000000052</v>
      </c>
      <c r="EA56" s="162">
        <f t="shared" si="94"/>
        <v>0.96000000000000052</v>
      </c>
      <c r="EB56" s="162">
        <f t="shared" si="22"/>
        <v>4.6362238843531625</v>
      </c>
      <c r="EC56" s="171">
        <f t="shared" si="95"/>
        <v>4.6362238843531625</v>
      </c>
      <c r="ED56" s="162"/>
      <c r="EE56" s="162">
        <f t="shared" si="96"/>
        <v>0.96000000000000052</v>
      </c>
      <c r="EF56" s="170">
        <f t="shared" si="97"/>
        <v>0.96000000000000052</v>
      </c>
      <c r="EG56" s="162">
        <f t="shared" si="23"/>
        <v>4.6362238843531625</v>
      </c>
      <c r="EH56" s="171">
        <f t="shared" si="98"/>
        <v>4.6362238843531625</v>
      </c>
      <c r="EI56" s="162"/>
      <c r="EJ56" s="162">
        <f t="shared" si="99"/>
        <v>0.96000000000000052</v>
      </c>
      <c r="EK56" s="170">
        <f t="shared" si="100"/>
        <v>0.96000000000000052</v>
      </c>
      <c r="EL56" s="162">
        <f t="shared" si="24"/>
        <v>4.6362238843531625</v>
      </c>
      <c r="EM56" s="171">
        <f t="shared" si="101"/>
        <v>4.6362238843531625</v>
      </c>
      <c r="EN56" s="162"/>
      <c r="EO56" s="162">
        <f t="shared" si="102"/>
        <v>0.96000000000000052</v>
      </c>
      <c r="EP56" s="162">
        <f t="shared" si="103"/>
        <v>0.96000000000000052</v>
      </c>
      <c r="EQ56" s="162">
        <f t="shared" si="25"/>
        <v>4.6362238843531625</v>
      </c>
      <c r="ER56" s="171">
        <f t="shared" si="104"/>
        <v>4.6362238843531625</v>
      </c>
      <c r="ES56" s="162"/>
      <c r="ET56" s="162">
        <f t="shared" si="105"/>
        <v>0.96000000000000052</v>
      </c>
      <c r="EU56" s="170">
        <f t="shared" si="106"/>
        <v>0.96000000000000052</v>
      </c>
      <c r="EV56" s="162">
        <f t="shared" si="26"/>
        <v>4.6362238843531625</v>
      </c>
      <c r="EW56" s="171">
        <f t="shared" si="107"/>
        <v>4.6362238843531625</v>
      </c>
      <c r="EX56" s="162"/>
    </row>
    <row r="57" spans="20:154" s="181" customFormat="1" x14ac:dyDescent="0.25">
      <c r="T57" s="162">
        <f t="shared" si="27"/>
        <v>0.98000000000000054</v>
      </c>
      <c r="U57" s="170">
        <f t="shared" si="28"/>
        <v>0.98000000000000054</v>
      </c>
      <c r="V57" s="162">
        <f t="shared" si="0"/>
        <v>4.6622866534449319</v>
      </c>
      <c r="W57" s="171">
        <f t="shared" si="29"/>
        <v>4.6622866534449319</v>
      </c>
      <c r="X57" s="162"/>
      <c r="Y57" s="162">
        <f t="shared" si="30"/>
        <v>0.98000000000000054</v>
      </c>
      <c r="Z57" s="162">
        <f t="shared" si="31"/>
        <v>0.98000000000000054</v>
      </c>
      <c r="AA57" s="162">
        <f t="shared" si="1"/>
        <v>4.6622866534449319</v>
      </c>
      <c r="AB57" s="171">
        <f t="shared" si="32"/>
        <v>4.6622866534449319</v>
      </c>
      <c r="AC57" s="162"/>
      <c r="AD57" s="162">
        <f t="shared" si="33"/>
        <v>0.98000000000000054</v>
      </c>
      <c r="AE57" s="170">
        <f t="shared" si="34"/>
        <v>0.98000000000000054</v>
      </c>
      <c r="AF57" s="162">
        <f t="shared" si="2"/>
        <v>4.6622866534449319</v>
      </c>
      <c r="AG57" s="171">
        <f t="shared" si="35"/>
        <v>4.6622866534449319</v>
      </c>
      <c r="AH57" s="162"/>
      <c r="AI57" s="162">
        <f t="shared" si="36"/>
        <v>0.98000000000000054</v>
      </c>
      <c r="AJ57" s="170">
        <f t="shared" si="37"/>
        <v>0.98000000000000054</v>
      </c>
      <c r="AK57" s="162">
        <f t="shared" si="3"/>
        <v>4.6622866534449319</v>
      </c>
      <c r="AL57" s="171">
        <f t="shared" si="38"/>
        <v>4.6622866534449319</v>
      </c>
      <c r="AM57" s="162"/>
      <c r="AN57" s="162">
        <f t="shared" si="39"/>
        <v>0.98000000000000054</v>
      </c>
      <c r="AO57" s="162">
        <f t="shared" si="40"/>
        <v>0.98000000000000054</v>
      </c>
      <c r="AP57" s="162">
        <f t="shared" si="4"/>
        <v>4.6622866534449319</v>
      </c>
      <c r="AQ57" s="171">
        <f t="shared" si="41"/>
        <v>4.6622866534449319</v>
      </c>
      <c r="AR57" s="162"/>
      <c r="AS57" s="162">
        <f t="shared" si="42"/>
        <v>0.98000000000000054</v>
      </c>
      <c r="AT57" s="170">
        <f t="shared" si="43"/>
        <v>0.98000000000000054</v>
      </c>
      <c r="AU57" s="162">
        <f t="shared" si="5"/>
        <v>4.6622866534449319</v>
      </c>
      <c r="AV57" s="171">
        <f t="shared" si="44"/>
        <v>4.6622866534449319</v>
      </c>
      <c r="AW57" s="162"/>
      <c r="AX57" s="162">
        <f t="shared" si="45"/>
        <v>0.98000000000000054</v>
      </c>
      <c r="AY57" s="170">
        <f t="shared" si="46"/>
        <v>0.98000000000000054</v>
      </c>
      <c r="AZ57" s="162">
        <f t="shared" si="6"/>
        <v>4.6622866534449319</v>
      </c>
      <c r="BA57" s="171">
        <f t="shared" si="47"/>
        <v>4.6622866534449319</v>
      </c>
      <c r="BB57" s="162"/>
      <c r="BC57" s="162">
        <f t="shared" si="48"/>
        <v>0.98000000000000054</v>
      </c>
      <c r="BD57" s="162">
        <f t="shared" si="49"/>
        <v>0.98000000000000054</v>
      </c>
      <c r="BE57" s="162">
        <f t="shared" si="7"/>
        <v>4.6622866534449319</v>
      </c>
      <c r="BF57" s="171">
        <f t="shared" si="50"/>
        <v>4.6622866534449319</v>
      </c>
      <c r="BG57" s="162"/>
      <c r="BH57" s="162">
        <f t="shared" si="51"/>
        <v>0.98000000000000054</v>
      </c>
      <c r="BI57" s="170">
        <f t="shared" si="52"/>
        <v>0.98000000000000054</v>
      </c>
      <c r="BJ57" s="162">
        <f t="shared" si="8"/>
        <v>4.6622866534449319</v>
      </c>
      <c r="BK57" s="171">
        <f t="shared" si="53"/>
        <v>4.6622866534449319</v>
      </c>
      <c r="BL57" s="162"/>
      <c r="BM57" s="162">
        <f t="shared" si="54"/>
        <v>0.98000000000000054</v>
      </c>
      <c r="BN57" s="170">
        <f t="shared" si="55"/>
        <v>0.98000000000000054</v>
      </c>
      <c r="BO57" s="162">
        <f t="shared" si="9"/>
        <v>4.6622866534449319</v>
      </c>
      <c r="BP57" s="171">
        <f t="shared" si="56"/>
        <v>4.6622866534449319</v>
      </c>
      <c r="BQ57" s="162"/>
      <c r="BR57" s="162">
        <f t="shared" si="57"/>
        <v>0.98000000000000054</v>
      </c>
      <c r="BS57" s="162">
        <f t="shared" si="58"/>
        <v>0.98000000000000054</v>
      </c>
      <c r="BT57" s="162">
        <f t="shared" si="10"/>
        <v>4.6622866534449319</v>
      </c>
      <c r="BU57" s="171">
        <f t="shared" si="59"/>
        <v>4.6622866534449319</v>
      </c>
      <c r="BV57" s="162"/>
      <c r="BW57" s="162">
        <f t="shared" si="60"/>
        <v>0.98000000000000054</v>
      </c>
      <c r="BX57" s="170">
        <f t="shared" si="61"/>
        <v>0.98000000000000054</v>
      </c>
      <c r="BY57" s="162">
        <f t="shared" si="11"/>
        <v>4.6622866534449319</v>
      </c>
      <c r="BZ57" s="171">
        <f t="shared" si="62"/>
        <v>4.6622866534449319</v>
      </c>
      <c r="CA57" s="162"/>
      <c r="CB57" s="162">
        <f t="shared" si="63"/>
        <v>0.98000000000000054</v>
      </c>
      <c r="CC57" s="170">
        <f t="shared" si="64"/>
        <v>0.98000000000000054</v>
      </c>
      <c r="CD57" s="162">
        <f t="shared" si="12"/>
        <v>4.6622866534449319</v>
      </c>
      <c r="CE57" s="171">
        <f t="shared" si="65"/>
        <v>4.6622866534449319</v>
      </c>
      <c r="CF57" s="162"/>
      <c r="CG57" s="172">
        <f t="shared" si="66"/>
        <v>0.98000000000000054</v>
      </c>
      <c r="CH57" s="172">
        <f t="shared" si="67"/>
        <v>0.98000000000000054</v>
      </c>
      <c r="CI57" s="172">
        <f t="shared" si="13"/>
        <v>4.6622866534449319</v>
      </c>
      <c r="CJ57" s="171">
        <f t="shared" si="68"/>
        <v>4.6622866534449319</v>
      </c>
      <c r="CK57" s="172"/>
      <c r="CL57" s="162">
        <f t="shared" si="69"/>
        <v>0.98000000000000054</v>
      </c>
      <c r="CM57" s="170">
        <f t="shared" si="70"/>
        <v>0.98000000000000054</v>
      </c>
      <c r="CN57" s="162">
        <f t="shared" si="14"/>
        <v>4.6622866534449319</v>
      </c>
      <c r="CO57" s="171">
        <f t="shared" si="71"/>
        <v>4.6622866534449319</v>
      </c>
      <c r="CP57" s="162"/>
      <c r="CQ57" s="162">
        <f t="shared" si="72"/>
        <v>0.98000000000000054</v>
      </c>
      <c r="CR57" s="170">
        <f t="shared" si="73"/>
        <v>0.98000000000000054</v>
      </c>
      <c r="CS57" s="162">
        <f t="shared" si="15"/>
        <v>4.6622866534449319</v>
      </c>
      <c r="CT57" s="171">
        <f t="shared" si="74"/>
        <v>4.6622866534449319</v>
      </c>
      <c r="CU57" s="162"/>
      <c r="CV57" s="162">
        <f t="shared" si="75"/>
        <v>0.98000000000000054</v>
      </c>
      <c r="CW57" s="162">
        <f t="shared" si="76"/>
        <v>0.98000000000000054</v>
      </c>
      <c r="CX57" s="162">
        <f t="shared" si="16"/>
        <v>4.6622866534449319</v>
      </c>
      <c r="CY57" s="171">
        <f t="shared" si="77"/>
        <v>4.6622866534449319</v>
      </c>
      <c r="CZ57" s="162"/>
      <c r="DA57" s="162">
        <f t="shared" si="78"/>
        <v>0.98000000000000054</v>
      </c>
      <c r="DB57" s="170">
        <f t="shared" si="79"/>
        <v>0.98000000000000054</v>
      </c>
      <c r="DC57" s="162">
        <f t="shared" si="17"/>
        <v>4.6622866534449319</v>
      </c>
      <c r="DD57" s="171">
        <f t="shared" si="80"/>
        <v>4.6622866534449319</v>
      </c>
      <c r="DE57" s="162"/>
      <c r="DF57" s="162">
        <f t="shared" si="81"/>
        <v>0.98000000000000054</v>
      </c>
      <c r="DG57" s="170">
        <f t="shared" si="82"/>
        <v>0.98000000000000054</v>
      </c>
      <c r="DH57" s="162">
        <f t="shared" si="18"/>
        <v>4.6622866534449319</v>
      </c>
      <c r="DI57" s="171">
        <f t="shared" si="83"/>
        <v>4.6622866534449319</v>
      </c>
      <c r="DJ57" s="162"/>
      <c r="DK57" s="162">
        <f t="shared" si="84"/>
        <v>0.98000000000000054</v>
      </c>
      <c r="DL57" s="162">
        <f t="shared" si="85"/>
        <v>0.98000000000000054</v>
      </c>
      <c r="DM57" s="162">
        <f t="shared" si="19"/>
        <v>4.6622866534449319</v>
      </c>
      <c r="DN57" s="171">
        <f t="shared" si="86"/>
        <v>4.6622866534449319</v>
      </c>
      <c r="DO57" s="162"/>
      <c r="DP57" s="162">
        <f t="shared" si="87"/>
        <v>0.98000000000000054</v>
      </c>
      <c r="DQ57" s="170">
        <f t="shared" si="88"/>
        <v>0.98000000000000054</v>
      </c>
      <c r="DR57" s="162">
        <f t="shared" si="20"/>
        <v>4.6622866534449319</v>
      </c>
      <c r="DS57" s="171">
        <f t="shared" si="89"/>
        <v>4.6622866534449319</v>
      </c>
      <c r="DT57" s="162"/>
      <c r="DU57" s="162">
        <f t="shared" si="90"/>
        <v>0.98000000000000054</v>
      </c>
      <c r="DV57" s="170">
        <f t="shared" si="91"/>
        <v>0.98000000000000054</v>
      </c>
      <c r="DW57" s="162">
        <f t="shared" si="21"/>
        <v>4.6622866534449319</v>
      </c>
      <c r="DX57" s="171">
        <f t="shared" si="92"/>
        <v>4.6622866534449319</v>
      </c>
      <c r="DY57" s="162"/>
      <c r="DZ57" s="162">
        <f t="shared" si="93"/>
        <v>0.98000000000000054</v>
      </c>
      <c r="EA57" s="162">
        <f t="shared" si="94"/>
        <v>0.98000000000000054</v>
      </c>
      <c r="EB57" s="162">
        <f t="shared" si="22"/>
        <v>4.6622866534449319</v>
      </c>
      <c r="EC57" s="171">
        <f t="shared" si="95"/>
        <v>4.6622866534449319</v>
      </c>
      <c r="ED57" s="162"/>
      <c r="EE57" s="162">
        <f t="shared" si="96"/>
        <v>0.98000000000000054</v>
      </c>
      <c r="EF57" s="170">
        <f t="shared" si="97"/>
        <v>0.98000000000000054</v>
      </c>
      <c r="EG57" s="162">
        <f t="shared" si="23"/>
        <v>4.6622866534449319</v>
      </c>
      <c r="EH57" s="171">
        <f t="shared" si="98"/>
        <v>4.6622866534449319</v>
      </c>
      <c r="EI57" s="162"/>
      <c r="EJ57" s="162">
        <f t="shared" si="99"/>
        <v>0.98000000000000054</v>
      </c>
      <c r="EK57" s="170">
        <f t="shared" si="100"/>
        <v>0.98000000000000054</v>
      </c>
      <c r="EL57" s="162">
        <f t="shared" si="24"/>
        <v>4.6622866534449319</v>
      </c>
      <c r="EM57" s="171">
        <f t="shared" si="101"/>
        <v>4.6622866534449319</v>
      </c>
      <c r="EN57" s="162"/>
      <c r="EO57" s="162">
        <f t="shared" si="102"/>
        <v>0.98000000000000054</v>
      </c>
      <c r="EP57" s="162">
        <f t="shared" si="103"/>
        <v>0.98000000000000054</v>
      </c>
      <c r="EQ57" s="162">
        <f t="shared" si="25"/>
        <v>4.6622866534449319</v>
      </c>
      <c r="ER57" s="171">
        <f t="shared" si="104"/>
        <v>4.6622866534449319</v>
      </c>
      <c r="ES57" s="162"/>
      <c r="ET57" s="162">
        <f t="shared" si="105"/>
        <v>0.98000000000000054</v>
      </c>
      <c r="EU57" s="170">
        <f t="shared" si="106"/>
        <v>0.98000000000000054</v>
      </c>
      <c r="EV57" s="162">
        <f t="shared" si="26"/>
        <v>4.6622866534449319</v>
      </c>
      <c r="EW57" s="171">
        <f t="shared" si="107"/>
        <v>4.6622866534449319</v>
      </c>
      <c r="EX57" s="162"/>
    </row>
    <row r="58" spans="20:154" s="181" customFormat="1" x14ac:dyDescent="0.25">
      <c r="T58" s="162">
        <f t="shared" si="27"/>
        <v>1.0000000000000004</v>
      </c>
      <c r="U58" s="170">
        <f t="shared" si="28"/>
        <v>1.0000000000000004</v>
      </c>
      <c r="V58" s="162">
        <f t="shared" si="0"/>
        <v>4.6856409098088561</v>
      </c>
      <c r="W58" s="171">
        <f t="shared" si="29"/>
        <v>4.6856409098088561</v>
      </c>
      <c r="X58" s="162"/>
      <c r="Y58" s="162">
        <f t="shared" si="30"/>
        <v>1.0000000000000004</v>
      </c>
      <c r="Z58" s="162">
        <f t="shared" si="31"/>
        <v>1.0000000000000004</v>
      </c>
      <c r="AA58" s="162">
        <f t="shared" si="1"/>
        <v>4.6856409098088561</v>
      </c>
      <c r="AB58" s="171">
        <f t="shared" si="32"/>
        <v>4.6856409098088561</v>
      </c>
      <c r="AC58" s="162"/>
      <c r="AD58" s="162">
        <f t="shared" si="33"/>
        <v>1.0000000000000004</v>
      </c>
      <c r="AE58" s="170">
        <f t="shared" si="34"/>
        <v>1.0000000000000004</v>
      </c>
      <c r="AF58" s="162">
        <f t="shared" si="2"/>
        <v>4.6856409098088561</v>
      </c>
      <c r="AG58" s="171">
        <f t="shared" si="35"/>
        <v>4.6856409098088561</v>
      </c>
      <c r="AH58" s="162"/>
      <c r="AI58" s="162">
        <f t="shared" si="36"/>
        <v>1.0000000000000004</v>
      </c>
      <c r="AJ58" s="170">
        <f t="shared" si="37"/>
        <v>1.0000000000000004</v>
      </c>
      <c r="AK58" s="162">
        <f t="shared" si="3"/>
        <v>4.6856409098088561</v>
      </c>
      <c r="AL58" s="171">
        <f t="shared" si="38"/>
        <v>4.6856409098088561</v>
      </c>
      <c r="AM58" s="162"/>
      <c r="AN58" s="162">
        <f t="shared" si="39"/>
        <v>1.0000000000000004</v>
      </c>
      <c r="AO58" s="162">
        <f t="shared" si="40"/>
        <v>1.0000000000000004</v>
      </c>
      <c r="AP58" s="162">
        <f t="shared" si="4"/>
        <v>4.6856409098088561</v>
      </c>
      <c r="AQ58" s="171">
        <f t="shared" si="41"/>
        <v>4.6856409098088561</v>
      </c>
      <c r="AR58" s="162"/>
      <c r="AS58" s="162">
        <f t="shared" si="42"/>
        <v>1.0000000000000004</v>
      </c>
      <c r="AT58" s="170">
        <f t="shared" si="43"/>
        <v>1.0000000000000004</v>
      </c>
      <c r="AU58" s="162">
        <f t="shared" si="5"/>
        <v>4.6856409098088561</v>
      </c>
      <c r="AV58" s="171">
        <f t="shared" si="44"/>
        <v>4.6856409098088561</v>
      </c>
      <c r="AW58" s="162"/>
      <c r="AX58" s="162">
        <f t="shared" si="45"/>
        <v>1.0000000000000004</v>
      </c>
      <c r="AY58" s="170">
        <f t="shared" si="46"/>
        <v>1.0000000000000004</v>
      </c>
      <c r="AZ58" s="162">
        <f t="shared" si="6"/>
        <v>4.6856409098088561</v>
      </c>
      <c r="BA58" s="171">
        <f t="shared" si="47"/>
        <v>4.6856409098088561</v>
      </c>
      <c r="BB58" s="162"/>
      <c r="BC58" s="162">
        <f t="shared" si="48"/>
        <v>1.0000000000000004</v>
      </c>
      <c r="BD58" s="162">
        <f t="shared" si="49"/>
        <v>1.0000000000000004</v>
      </c>
      <c r="BE58" s="162">
        <f t="shared" si="7"/>
        <v>4.6856409098088561</v>
      </c>
      <c r="BF58" s="171">
        <f t="shared" si="50"/>
        <v>4.6856409098088561</v>
      </c>
      <c r="BG58" s="162"/>
      <c r="BH58" s="162">
        <f t="shared" si="51"/>
        <v>1.0000000000000004</v>
      </c>
      <c r="BI58" s="170">
        <f t="shared" si="52"/>
        <v>1.0000000000000004</v>
      </c>
      <c r="BJ58" s="162">
        <f t="shared" si="8"/>
        <v>4.6856409098088561</v>
      </c>
      <c r="BK58" s="171">
        <f t="shared" si="53"/>
        <v>4.6856409098088561</v>
      </c>
      <c r="BL58" s="162"/>
      <c r="BM58" s="162">
        <f t="shared" si="54"/>
        <v>1.0000000000000004</v>
      </c>
      <c r="BN58" s="170">
        <f t="shared" si="55"/>
        <v>1.0000000000000004</v>
      </c>
      <c r="BO58" s="162">
        <f t="shared" si="9"/>
        <v>4.6856409098088561</v>
      </c>
      <c r="BP58" s="171">
        <f t="shared" si="56"/>
        <v>4.6856409098088561</v>
      </c>
      <c r="BQ58" s="162"/>
      <c r="BR58" s="162">
        <f t="shared" si="57"/>
        <v>1.0000000000000004</v>
      </c>
      <c r="BS58" s="162">
        <f t="shared" si="58"/>
        <v>1.0000000000000004</v>
      </c>
      <c r="BT58" s="162">
        <f t="shared" si="10"/>
        <v>4.6856409098088561</v>
      </c>
      <c r="BU58" s="171">
        <f t="shared" si="59"/>
        <v>4.6856409098088561</v>
      </c>
      <c r="BV58" s="162"/>
      <c r="BW58" s="162">
        <f t="shared" si="60"/>
        <v>1.0000000000000004</v>
      </c>
      <c r="BX58" s="170">
        <f t="shared" si="61"/>
        <v>1.0000000000000004</v>
      </c>
      <c r="BY58" s="162">
        <f t="shared" si="11"/>
        <v>4.6856409098088561</v>
      </c>
      <c r="BZ58" s="171">
        <f t="shared" si="62"/>
        <v>4.6856409098088561</v>
      </c>
      <c r="CA58" s="162"/>
      <c r="CB58" s="162">
        <f t="shared" si="63"/>
        <v>1.0000000000000004</v>
      </c>
      <c r="CC58" s="170">
        <f t="shared" si="64"/>
        <v>1.0000000000000004</v>
      </c>
      <c r="CD58" s="162">
        <f t="shared" si="12"/>
        <v>4.6856409098088561</v>
      </c>
      <c r="CE58" s="171">
        <f t="shared" si="65"/>
        <v>4.6856409098088561</v>
      </c>
      <c r="CF58" s="162"/>
      <c r="CG58" s="172">
        <f t="shared" si="66"/>
        <v>1.0000000000000004</v>
      </c>
      <c r="CH58" s="172">
        <f t="shared" si="67"/>
        <v>1.0000000000000004</v>
      </c>
      <c r="CI58" s="172">
        <f t="shared" si="13"/>
        <v>4.6856409098088561</v>
      </c>
      <c r="CJ58" s="171">
        <f t="shared" si="68"/>
        <v>4.6856409098088561</v>
      </c>
      <c r="CK58" s="172"/>
      <c r="CL58" s="162">
        <f t="shared" si="69"/>
        <v>1.0000000000000004</v>
      </c>
      <c r="CM58" s="170">
        <f t="shared" si="70"/>
        <v>1.0000000000000004</v>
      </c>
      <c r="CN58" s="162">
        <f t="shared" si="14"/>
        <v>4.6856409098088561</v>
      </c>
      <c r="CO58" s="171">
        <f t="shared" si="71"/>
        <v>4.6856409098088561</v>
      </c>
      <c r="CP58" s="162"/>
      <c r="CQ58" s="162">
        <f t="shared" si="72"/>
        <v>1.0000000000000004</v>
      </c>
      <c r="CR58" s="170">
        <f t="shared" si="73"/>
        <v>1.0000000000000004</v>
      </c>
      <c r="CS58" s="162">
        <f t="shared" si="15"/>
        <v>4.6856409098088561</v>
      </c>
      <c r="CT58" s="171">
        <f t="shared" si="74"/>
        <v>4.6856409098088561</v>
      </c>
      <c r="CU58" s="162"/>
      <c r="CV58" s="162">
        <f t="shared" si="75"/>
        <v>1.0000000000000004</v>
      </c>
      <c r="CW58" s="162">
        <f t="shared" si="76"/>
        <v>1.0000000000000004</v>
      </c>
      <c r="CX58" s="162">
        <f t="shared" si="16"/>
        <v>4.6856409098088561</v>
      </c>
      <c r="CY58" s="171">
        <f t="shared" si="77"/>
        <v>4.6856409098088561</v>
      </c>
      <c r="CZ58" s="162"/>
      <c r="DA58" s="162">
        <f t="shared" si="78"/>
        <v>1.0000000000000004</v>
      </c>
      <c r="DB58" s="170">
        <f t="shared" si="79"/>
        <v>1.0000000000000004</v>
      </c>
      <c r="DC58" s="162">
        <f t="shared" si="17"/>
        <v>4.6856409098088561</v>
      </c>
      <c r="DD58" s="171">
        <f t="shared" si="80"/>
        <v>4.6856409098088561</v>
      </c>
      <c r="DE58" s="162"/>
      <c r="DF58" s="162">
        <f t="shared" si="81"/>
        <v>1.0000000000000004</v>
      </c>
      <c r="DG58" s="170">
        <f t="shared" si="82"/>
        <v>1.0000000000000004</v>
      </c>
      <c r="DH58" s="162">
        <f t="shared" si="18"/>
        <v>4.6856409098088561</v>
      </c>
      <c r="DI58" s="171">
        <f t="shared" si="83"/>
        <v>4.6856409098088561</v>
      </c>
      <c r="DJ58" s="162"/>
      <c r="DK58" s="162">
        <f t="shared" si="84"/>
        <v>1.0000000000000004</v>
      </c>
      <c r="DL58" s="162">
        <f t="shared" si="85"/>
        <v>1.0000000000000004</v>
      </c>
      <c r="DM58" s="162">
        <f t="shared" si="19"/>
        <v>4.6856409098088561</v>
      </c>
      <c r="DN58" s="171">
        <f t="shared" si="86"/>
        <v>4.6856409098088561</v>
      </c>
      <c r="DO58" s="162"/>
      <c r="DP58" s="162">
        <f t="shared" si="87"/>
        <v>1.0000000000000004</v>
      </c>
      <c r="DQ58" s="170">
        <f t="shared" si="88"/>
        <v>1.0000000000000004</v>
      </c>
      <c r="DR58" s="162">
        <f t="shared" si="20"/>
        <v>4.6856409098088561</v>
      </c>
      <c r="DS58" s="171">
        <f t="shared" si="89"/>
        <v>4.6856409098088561</v>
      </c>
      <c r="DT58" s="162"/>
      <c r="DU58" s="162">
        <f t="shared" si="90"/>
        <v>1.0000000000000004</v>
      </c>
      <c r="DV58" s="170">
        <f t="shared" si="91"/>
        <v>1.0000000000000004</v>
      </c>
      <c r="DW58" s="162">
        <f t="shared" si="21"/>
        <v>4.6856409098088561</v>
      </c>
      <c r="DX58" s="171">
        <f t="shared" si="92"/>
        <v>4.6856409098088561</v>
      </c>
      <c r="DY58" s="162"/>
      <c r="DZ58" s="162">
        <f t="shared" si="93"/>
        <v>1.0000000000000004</v>
      </c>
      <c r="EA58" s="162">
        <f t="shared" si="94"/>
        <v>1.0000000000000004</v>
      </c>
      <c r="EB58" s="162">
        <f t="shared" si="22"/>
        <v>4.6856409098088561</v>
      </c>
      <c r="EC58" s="171">
        <f t="shared" si="95"/>
        <v>4.6856409098088561</v>
      </c>
      <c r="ED58" s="162"/>
      <c r="EE58" s="162">
        <f t="shared" si="96"/>
        <v>1.0000000000000004</v>
      </c>
      <c r="EF58" s="170">
        <f t="shared" si="97"/>
        <v>1.0000000000000004</v>
      </c>
      <c r="EG58" s="162">
        <f t="shared" si="23"/>
        <v>4.6856409098088561</v>
      </c>
      <c r="EH58" s="171">
        <f t="shared" si="98"/>
        <v>4.6856409098088561</v>
      </c>
      <c r="EI58" s="162"/>
      <c r="EJ58" s="162">
        <f t="shared" si="99"/>
        <v>1.0000000000000004</v>
      </c>
      <c r="EK58" s="170">
        <f t="shared" si="100"/>
        <v>1.0000000000000004</v>
      </c>
      <c r="EL58" s="162">
        <f t="shared" si="24"/>
        <v>4.6856409098088561</v>
      </c>
      <c r="EM58" s="171">
        <f t="shared" si="101"/>
        <v>4.6856409098088561</v>
      </c>
      <c r="EN58" s="162"/>
      <c r="EO58" s="162">
        <f t="shared" si="102"/>
        <v>1.0000000000000004</v>
      </c>
      <c r="EP58" s="162">
        <f t="shared" si="103"/>
        <v>1.0000000000000004</v>
      </c>
      <c r="EQ58" s="162">
        <f t="shared" si="25"/>
        <v>4.6856409098088561</v>
      </c>
      <c r="ER58" s="171">
        <f t="shared" si="104"/>
        <v>4.6856409098088561</v>
      </c>
      <c r="ES58" s="162"/>
      <c r="ET58" s="162">
        <f t="shared" si="105"/>
        <v>1.0000000000000004</v>
      </c>
      <c r="EU58" s="170">
        <f t="shared" si="106"/>
        <v>1.0000000000000004</v>
      </c>
      <c r="EV58" s="162">
        <f t="shared" si="26"/>
        <v>4.6856409098088561</v>
      </c>
      <c r="EW58" s="171">
        <f t="shared" si="107"/>
        <v>4.6856409098088561</v>
      </c>
      <c r="EX58" s="162"/>
    </row>
    <row r="59" spans="20:154" s="181" customFormat="1" x14ac:dyDescent="0.25">
      <c r="T59" s="162">
        <f t="shared" si="27"/>
        <v>1.0200000000000005</v>
      </c>
      <c r="U59" s="170">
        <f t="shared" si="28"/>
        <v>1.0200000000000005</v>
      </c>
      <c r="V59" s="162">
        <f t="shared" si="0"/>
        <v>4.7062866534449324</v>
      </c>
      <c r="W59" s="171">
        <f t="shared" si="29"/>
        <v>4.7062866534449324</v>
      </c>
      <c r="X59" s="162"/>
      <c r="Y59" s="162">
        <f t="shared" si="30"/>
        <v>1.0200000000000005</v>
      </c>
      <c r="Z59" s="162">
        <f t="shared" si="31"/>
        <v>1.0200000000000005</v>
      </c>
      <c r="AA59" s="162">
        <f t="shared" si="1"/>
        <v>4.7062866534449324</v>
      </c>
      <c r="AB59" s="171">
        <f t="shared" si="32"/>
        <v>4.7062866534449324</v>
      </c>
      <c r="AC59" s="162"/>
      <c r="AD59" s="162">
        <f t="shared" si="33"/>
        <v>1.0200000000000005</v>
      </c>
      <c r="AE59" s="170">
        <f t="shared" si="34"/>
        <v>1.0200000000000005</v>
      </c>
      <c r="AF59" s="162">
        <f t="shared" si="2"/>
        <v>4.7062866534449324</v>
      </c>
      <c r="AG59" s="171">
        <f t="shared" si="35"/>
        <v>4.7062866534449324</v>
      </c>
      <c r="AH59" s="162"/>
      <c r="AI59" s="162">
        <f t="shared" si="36"/>
        <v>1.0200000000000005</v>
      </c>
      <c r="AJ59" s="170">
        <f t="shared" si="37"/>
        <v>1.0200000000000005</v>
      </c>
      <c r="AK59" s="162">
        <f t="shared" si="3"/>
        <v>4.7062866534449324</v>
      </c>
      <c r="AL59" s="171">
        <f t="shared" si="38"/>
        <v>4.7062866534449324</v>
      </c>
      <c r="AM59" s="162"/>
      <c r="AN59" s="162">
        <f t="shared" si="39"/>
        <v>1.0200000000000005</v>
      </c>
      <c r="AO59" s="162">
        <f t="shared" si="40"/>
        <v>1.0200000000000005</v>
      </c>
      <c r="AP59" s="162">
        <f t="shared" si="4"/>
        <v>4.7062866534449324</v>
      </c>
      <c r="AQ59" s="171">
        <f t="shared" si="41"/>
        <v>4.7062866534449324</v>
      </c>
      <c r="AR59" s="162"/>
      <c r="AS59" s="162">
        <f t="shared" si="42"/>
        <v>1.0200000000000005</v>
      </c>
      <c r="AT59" s="170">
        <f t="shared" si="43"/>
        <v>1.0200000000000005</v>
      </c>
      <c r="AU59" s="162">
        <f t="shared" si="5"/>
        <v>4.7062866534449324</v>
      </c>
      <c r="AV59" s="171">
        <f t="shared" si="44"/>
        <v>4.7062866534449324</v>
      </c>
      <c r="AW59" s="162"/>
      <c r="AX59" s="162">
        <f t="shared" si="45"/>
        <v>1.0200000000000005</v>
      </c>
      <c r="AY59" s="170">
        <f t="shared" si="46"/>
        <v>1.0200000000000005</v>
      </c>
      <c r="AZ59" s="162">
        <f t="shared" si="6"/>
        <v>4.7062866534449324</v>
      </c>
      <c r="BA59" s="171">
        <f t="shared" si="47"/>
        <v>4.7062866534449324</v>
      </c>
      <c r="BB59" s="162"/>
      <c r="BC59" s="162">
        <f t="shared" si="48"/>
        <v>1.0200000000000005</v>
      </c>
      <c r="BD59" s="162">
        <f t="shared" si="49"/>
        <v>1.0200000000000005</v>
      </c>
      <c r="BE59" s="162">
        <f t="shared" si="7"/>
        <v>4.7062866534449324</v>
      </c>
      <c r="BF59" s="171">
        <f t="shared" si="50"/>
        <v>4.7062866534449324</v>
      </c>
      <c r="BG59" s="162"/>
      <c r="BH59" s="162">
        <f t="shared" si="51"/>
        <v>1.0200000000000005</v>
      </c>
      <c r="BI59" s="170">
        <f t="shared" si="52"/>
        <v>1.0200000000000005</v>
      </c>
      <c r="BJ59" s="162">
        <f t="shared" si="8"/>
        <v>4.7062866534449324</v>
      </c>
      <c r="BK59" s="171">
        <f t="shared" si="53"/>
        <v>4.7062866534449324</v>
      </c>
      <c r="BL59" s="162"/>
      <c r="BM59" s="162">
        <f t="shared" si="54"/>
        <v>1.0200000000000005</v>
      </c>
      <c r="BN59" s="170">
        <f t="shared" si="55"/>
        <v>1.0200000000000005</v>
      </c>
      <c r="BO59" s="162">
        <f t="shared" si="9"/>
        <v>4.7062866534449324</v>
      </c>
      <c r="BP59" s="171">
        <f t="shared" si="56"/>
        <v>4.7062866534449324</v>
      </c>
      <c r="BQ59" s="162"/>
      <c r="BR59" s="162">
        <f t="shared" si="57"/>
        <v>1.0200000000000005</v>
      </c>
      <c r="BS59" s="162">
        <f t="shared" si="58"/>
        <v>1.0200000000000005</v>
      </c>
      <c r="BT59" s="162">
        <f t="shared" si="10"/>
        <v>4.7062866534449324</v>
      </c>
      <c r="BU59" s="171">
        <f t="shared" si="59"/>
        <v>4.7062866534449324</v>
      </c>
      <c r="BV59" s="162"/>
      <c r="BW59" s="162">
        <f t="shared" si="60"/>
        <v>1.0200000000000005</v>
      </c>
      <c r="BX59" s="170">
        <f t="shared" si="61"/>
        <v>1.0200000000000005</v>
      </c>
      <c r="BY59" s="162">
        <f t="shared" si="11"/>
        <v>4.7062866534449324</v>
      </c>
      <c r="BZ59" s="171">
        <f t="shared" si="62"/>
        <v>4.7062866534449324</v>
      </c>
      <c r="CA59" s="162"/>
      <c r="CB59" s="162">
        <f t="shared" si="63"/>
        <v>1.0200000000000005</v>
      </c>
      <c r="CC59" s="170">
        <f t="shared" si="64"/>
        <v>1.0200000000000005</v>
      </c>
      <c r="CD59" s="162">
        <f t="shared" si="12"/>
        <v>4.7062866534449324</v>
      </c>
      <c r="CE59" s="171">
        <f t="shared" si="65"/>
        <v>4.7062866534449324</v>
      </c>
      <c r="CF59" s="162"/>
      <c r="CG59" s="172">
        <f t="shared" si="66"/>
        <v>1.0200000000000005</v>
      </c>
      <c r="CH59" s="172">
        <f t="shared" si="67"/>
        <v>1.0200000000000005</v>
      </c>
      <c r="CI59" s="172">
        <f t="shared" si="13"/>
        <v>4.7062866534449324</v>
      </c>
      <c r="CJ59" s="171">
        <f t="shared" si="68"/>
        <v>4.7062866534449324</v>
      </c>
      <c r="CK59" s="172"/>
      <c r="CL59" s="162">
        <f t="shared" si="69"/>
        <v>1.0200000000000005</v>
      </c>
      <c r="CM59" s="170">
        <f t="shared" si="70"/>
        <v>1.0200000000000005</v>
      </c>
      <c r="CN59" s="162">
        <f t="shared" si="14"/>
        <v>4.7062866534449324</v>
      </c>
      <c r="CO59" s="171">
        <f t="shared" si="71"/>
        <v>4.7062866534449324</v>
      </c>
      <c r="CP59" s="162"/>
      <c r="CQ59" s="162">
        <f t="shared" si="72"/>
        <v>1.0200000000000005</v>
      </c>
      <c r="CR59" s="170">
        <f t="shared" si="73"/>
        <v>1.0200000000000005</v>
      </c>
      <c r="CS59" s="162">
        <f t="shared" si="15"/>
        <v>4.7062866534449324</v>
      </c>
      <c r="CT59" s="171">
        <f t="shared" si="74"/>
        <v>4.7062866534449324</v>
      </c>
      <c r="CU59" s="162"/>
      <c r="CV59" s="162">
        <f t="shared" si="75"/>
        <v>1.0200000000000005</v>
      </c>
      <c r="CW59" s="162">
        <f t="shared" si="76"/>
        <v>1.0200000000000005</v>
      </c>
      <c r="CX59" s="162">
        <f t="shared" si="16"/>
        <v>4.7062866534449324</v>
      </c>
      <c r="CY59" s="171">
        <f t="shared" si="77"/>
        <v>4.7062866534449324</v>
      </c>
      <c r="CZ59" s="162"/>
      <c r="DA59" s="162">
        <f t="shared" si="78"/>
        <v>1.0200000000000005</v>
      </c>
      <c r="DB59" s="170">
        <f t="shared" si="79"/>
        <v>1.0200000000000005</v>
      </c>
      <c r="DC59" s="162">
        <f t="shared" si="17"/>
        <v>4.7062866534449324</v>
      </c>
      <c r="DD59" s="171">
        <f t="shared" si="80"/>
        <v>4.7062866534449324</v>
      </c>
      <c r="DE59" s="162"/>
      <c r="DF59" s="162">
        <f t="shared" si="81"/>
        <v>1.0200000000000005</v>
      </c>
      <c r="DG59" s="170">
        <f t="shared" si="82"/>
        <v>1.0200000000000005</v>
      </c>
      <c r="DH59" s="162">
        <f t="shared" si="18"/>
        <v>4.7062866534449324</v>
      </c>
      <c r="DI59" s="171">
        <f t="shared" si="83"/>
        <v>4.7062866534449324</v>
      </c>
      <c r="DJ59" s="162"/>
      <c r="DK59" s="162">
        <f t="shared" si="84"/>
        <v>1.0200000000000005</v>
      </c>
      <c r="DL59" s="162">
        <f t="shared" si="85"/>
        <v>1.0200000000000005</v>
      </c>
      <c r="DM59" s="162">
        <f t="shared" si="19"/>
        <v>4.7062866534449324</v>
      </c>
      <c r="DN59" s="171">
        <f t="shared" si="86"/>
        <v>4.7062866534449324</v>
      </c>
      <c r="DO59" s="162"/>
      <c r="DP59" s="162">
        <f t="shared" si="87"/>
        <v>1.0200000000000005</v>
      </c>
      <c r="DQ59" s="170">
        <f t="shared" si="88"/>
        <v>1.0200000000000005</v>
      </c>
      <c r="DR59" s="162">
        <f t="shared" si="20"/>
        <v>4.7062866534449324</v>
      </c>
      <c r="DS59" s="171">
        <f t="shared" si="89"/>
        <v>4.7062866534449324</v>
      </c>
      <c r="DT59" s="162"/>
      <c r="DU59" s="162">
        <f t="shared" si="90"/>
        <v>1.0200000000000005</v>
      </c>
      <c r="DV59" s="170">
        <f t="shared" si="91"/>
        <v>1.0200000000000005</v>
      </c>
      <c r="DW59" s="162">
        <f t="shared" si="21"/>
        <v>4.7062866534449324</v>
      </c>
      <c r="DX59" s="171">
        <f t="shared" si="92"/>
        <v>4.7062866534449324</v>
      </c>
      <c r="DY59" s="162"/>
      <c r="DZ59" s="162">
        <f t="shared" si="93"/>
        <v>1.0200000000000005</v>
      </c>
      <c r="EA59" s="162">
        <f t="shared" si="94"/>
        <v>1.0200000000000005</v>
      </c>
      <c r="EB59" s="162">
        <f t="shared" si="22"/>
        <v>4.7062866534449324</v>
      </c>
      <c r="EC59" s="171">
        <f t="shared" si="95"/>
        <v>4.7062866534449324</v>
      </c>
      <c r="ED59" s="162"/>
      <c r="EE59" s="162">
        <f t="shared" si="96"/>
        <v>1.0200000000000005</v>
      </c>
      <c r="EF59" s="170">
        <f t="shared" si="97"/>
        <v>1.0200000000000005</v>
      </c>
      <c r="EG59" s="162">
        <f t="shared" si="23"/>
        <v>4.7062866534449324</v>
      </c>
      <c r="EH59" s="171">
        <f t="shared" si="98"/>
        <v>4.7062866534449324</v>
      </c>
      <c r="EI59" s="162"/>
      <c r="EJ59" s="162">
        <f t="shared" si="99"/>
        <v>1.0200000000000005</v>
      </c>
      <c r="EK59" s="170">
        <f t="shared" si="100"/>
        <v>1.0200000000000005</v>
      </c>
      <c r="EL59" s="162">
        <f t="shared" si="24"/>
        <v>4.7062866534449324</v>
      </c>
      <c r="EM59" s="171">
        <f t="shared" si="101"/>
        <v>4.7062866534449324</v>
      </c>
      <c r="EN59" s="162"/>
      <c r="EO59" s="162">
        <f t="shared" si="102"/>
        <v>1.0200000000000005</v>
      </c>
      <c r="EP59" s="162">
        <f t="shared" si="103"/>
        <v>1.0200000000000005</v>
      </c>
      <c r="EQ59" s="162">
        <f t="shared" si="25"/>
        <v>4.7062866534449324</v>
      </c>
      <c r="ER59" s="171">
        <f t="shared" si="104"/>
        <v>4.7062866534449324</v>
      </c>
      <c r="ES59" s="162"/>
      <c r="ET59" s="162">
        <f t="shared" si="105"/>
        <v>1.0200000000000005</v>
      </c>
      <c r="EU59" s="170">
        <f t="shared" si="106"/>
        <v>1.0200000000000005</v>
      </c>
      <c r="EV59" s="162">
        <f t="shared" si="26"/>
        <v>4.7062866534449324</v>
      </c>
      <c r="EW59" s="171">
        <f t="shared" si="107"/>
        <v>4.7062866534449324</v>
      </c>
      <c r="EX59" s="162"/>
    </row>
    <row r="60" spans="20:154" s="181" customFormat="1" x14ac:dyDescent="0.25">
      <c r="T60" s="162">
        <f t="shared" si="27"/>
        <v>1.0400000000000005</v>
      </c>
      <c r="U60" s="170">
        <f t="shared" si="28"/>
        <v>1.0400000000000005</v>
      </c>
      <c r="V60" s="162">
        <f t="shared" si="0"/>
        <v>4.7242238843531625</v>
      </c>
      <c r="W60" s="171">
        <f t="shared" si="29"/>
        <v>4.7242238843531625</v>
      </c>
      <c r="X60" s="162"/>
      <c r="Y60" s="162">
        <f t="shared" si="30"/>
        <v>1.0400000000000005</v>
      </c>
      <c r="Z60" s="162">
        <f t="shared" si="31"/>
        <v>1.0400000000000005</v>
      </c>
      <c r="AA60" s="162">
        <f t="shared" si="1"/>
        <v>4.7242238843531625</v>
      </c>
      <c r="AB60" s="171">
        <f t="shared" si="32"/>
        <v>4.7242238843531625</v>
      </c>
      <c r="AC60" s="162"/>
      <c r="AD60" s="162">
        <f t="shared" si="33"/>
        <v>1.0400000000000005</v>
      </c>
      <c r="AE60" s="170">
        <f t="shared" si="34"/>
        <v>1.0400000000000005</v>
      </c>
      <c r="AF60" s="162">
        <f t="shared" si="2"/>
        <v>4.7242238843531625</v>
      </c>
      <c r="AG60" s="171">
        <f t="shared" si="35"/>
        <v>4.7242238843531625</v>
      </c>
      <c r="AH60" s="162"/>
      <c r="AI60" s="162">
        <f t="shared" si="36"/>
        <v>1.0400000000000005</v>
      </c>
      <c r="AJ60" s="170">
        <f t="shared" si="37"/>
        <v>1.0400000000000005</v>
      </c>
      <c r="AK60" s="162">
        <f t="shared" si="3"/>
        <v>4.7242238843531625</v>
      </c>
      <c r="AL60" s="171">
        <f t="shared" si="38"/>
        <v>4.7242238843531625</v>
      </c>
      <c r="AM60" s="162"/>
      <c r="AN60" s="162">
        <f t="shared" si="39"/>
        <v>1.0400000000000005</v>
      </c>
      <c r="AO60" s="162">
        <f t="shared" si="40"/>
        <v>1.0400000000000005</v>
      </c>
      <c r="AP60" s="162">
        <f t="shared" si="4"/>
        <v>4.7242238843531625</v>
      </c>
      <c r="AQ60" s="171">
        <f t="shared" si="41"/>
        <v>4.7242238843531625</v>
      </c>
      <c r="AR60" s="162"/>
      <c r="AS60" s="162">
        <f t="shared" si="42"/>
        <v>1.0400000000000005</v>
      </c>
      <c r="AT60" s="170">
        <f t="shared" si="43"/>
        <v>1.0400000000000005</v>
      </c>
      <c r="AU60" s="162">
        <f t="shared" si="5"/>
        <v>4.7242238843531625</v>
      </c>
      <c r="AV60" s="171">
        <f t="shared" si="44"/>
        <v>4.7242238843531625</v>
      </c>
      <c r="AW60" s="162"/>
      <c r="AX60" s="162">
        <f t="shared" si="45"/>
        <v>1.0400000000000005</v>
      </c>
      <c r="AY60" s="170">
        <f t="shared" si="46"/>
        <v>1.0400000000000005</v>
      </c>
      <c r="AZ60" s="162">
        <f t="shared" si="6"/>
        <v>4.7242238843531625</v>
      </c>
      <c r="BA60" s="171">
        <f t="shared" si="47"/>
        <v>4.7242238843531625</v>
      </c>
      <c r="BB60" s="162"/>
      <c r="BC60" s="162">
        <f t="shared" si="48"/>
        <v>1.0400000000000005</v>
      </c>
      <c r="BD60" s="162">
        <f t="shared" si="49"/>
        <v>1.0400000000000005</v>
      </c>
      <c r="BE60" s="162">
        <f t="shared" si="7"/>
        <v>4.7242238843531625</v>
      </c>
      <c r="BF60" s="171">
        <f t="shared" si="50"/>
        <v>4.7242238843531625</v>
      </c>
      <c r="BG60" s="162"/>
      <c r="BH60" s="162">
        <f t="shared" si="51"/>
        <v>1.0400000000000005</v>
      </c>
      <c r="BI60" s="170">
        <f t="shared" si="52"/>
        <v>1.0400000000000005</v>
      </c>
      <c r="BJ60" s="162">
        <f t="shared" si="8"/>
        <v>4.7242238843531625</v>
      </c>
      <c r="BK60" s="171">
        <f t="shared" si="53"/>
        <v>4.7242238843531625</v>
      </c>
      <c r="BL60" s="162"/>
      <c r="BM60" s="162">
        <f t="shared" si="54"/>
        <v>1.0400000000000005</v>
      </c>
      <c r="BN60" s="170">
        <f t="shared" si="55"/>
        <v>1.0400000000000005</v>
      </c>
      <c r="BO60" s="162">
        <f t="shared" si="9"/>
        <v>4.7242238843531625</v>
      </c>
      <c r="BP60" s="171">
        <f t="shared" si="56"/>
        <v>4.7242238843531625</v>
      </c>
      <c r="BQ60" s="162"/>
      <c r="BR60" s="162">
        <f t="shared" si="57"/>
        <v>1.0400000000000005</v>
      </c>
      <c r="BS60" s="162">
        <f t="shared" si="58"/>
        <v>1.0400000000000005</v>
      </c>
      <c r="BT60" s="162">
        <f t="shared" si="10"/>
        <v>4.7242238843531625</v>
      </c>
      <c r="BU60" s="171">
        <f t="shared" si="59"/>
        <v>4.7242238843531625</v>
      </c>
      <c r="BV60" s="162"/>
      <c r="BW60" s="162">
        <f t="shared" si="60"/>
        <v>1.0400000000000005</v>
      </c>
      <c r="BX60" s="170">
        <f t="shared" si="61"/>
        <v>1.0400000000000005</v>
      </c>
      <c r="BY60" s="162">
        <f t="shared" si="11"/>
        <v>4.7242238843531625</v>
      </c>
      <c r="BZ60" s="171">
        <f t="shared" si="62"/>
        <v>4.7242238843531625</v>
      </c>
      <c r="CA60" s="162"/>
      <c r="CB60" s="162">
        <f t="shared" si="63"/>
        <v>1.0400000000000005</v>
      </c>
      <c r="CC60" s="170">
        <f t="shared" si="64"/>
        <v>1.0400000000000005</v>
      </c>
      <c r="CD60" s="162">
        <f t="shared" si="12"/>
        <v>4.7242238843531625</v>
      </c>
      <c r="CE60" s="171">
        <f t="shared" si="65"/>
        <v>4.7242238843531625</v>
      </c>
      <c r="CF60" s="162"/>
      <c r="CG60" s="172">
        <f t="shared" si="66"/>
        <v>1.0400000000000005</v>
      </c>
      <c r="CH60" s="172">
        <f t="shared" si="67"/>
        <v>1.0400000000000005</v>
      </c>
      <c r="CI60" s="172">
        <f t="shared" si="13"/>
        <v>4.7242238843531625</v>
      </c>
      <c r="CJ60" s="171">
        <f t="shared" si="68"/>
        <v>4.7242238843531625</v>
      </c>
      <c r="CK60" s="172"/>
      <c r="CL60" s="162">
        <f t="shared" si="69"/>
        <v>1.0400000000000005</v>
      </c>
      <c r="CM60" s="170">
        <f t="shared" si="70"/>
        <v>1.0400000000000005</v>
      </c>
      <c r="CN60" s="162">
        <f t="shared" si="14"/>
        <v>4.7242238843531625</v>
      </c>
      <c r="CO60" s="171">
        <f t="shared" si="71"/>
        <v>4.7242238843531625</v>
      </c>
      <c r="CP60" s="162"/>
      <c r="CQ60" s="162">
        <f t="shared" si="72"/>
        <v>1.0400000000000005</v>
      </c>
      <c r="CR60" s="170">
        <f t="shared" si="73"/>
        <v>1.0400000000000005</v>
      </c>
      <c r="CS60" s="162">
        <f t="shared" si="15"/>
        <v>4.7242238843531625</v>
      </c>
      <c r="CT60" s="171">
        <f t="shared" si="74"/>
        <v>4.7242238843531625</v>
      </c>
      <c r="CU60" s="162"/>
      <c r="CV60" s="162">
        <f t="shared" si="75"/>
        <v>1.0400000000000005</v>
      </c>
      <c r="CW60" s="162">
        <f t="shared" si="76"/>
        <v>1.0400000000000005</v>
      </c>
      <c r="CX60" s="162">
        <f t="shared" si="16"/>
        <v>4.7242238843531625</v>
      </c>
      <c r="CY60" s="171">
        <f t="shared" si="77"/>
        <v>4.7242238843531625</v>
      </c>
      <c r="CZ60" s="162"/>
      <c r="DA60" s="162">
        <f t="shared" si="78"/>
        <v>1.0400000000000005</v>
      </c>
      <c r="DB60" s="170">
        <f t="shared" si="79"/>
        <v>1.0400000000000005</v>
      </c>
      <c r="DC60" s="162">
        <f t="shared" si="17"/>
        <v>4.7242238843531625</v>
      </c>
      <c r="DD60" s="171">
        <f t="shared" si="80"/>
        <v>4.7242238843531625</v>
      </c>
      <c r="DE60" s="162"/>
      <c r="DF60" s="162">
        <f t="shared" si="81"/>
        <v>1.0400000000000005</v>
      </c>
      <c r="DG60" s="170">
        <f t="shared" si="82"/>
        <v>1.0400000000000005</v>
      </c>
      <c r="DH60" s="162">
        <f t="shared" si="18"/>
        <v>4.7242238843531625</v>
      </c>
      <c r="DI60" s="171">
        <f t="shared" si="83"/>
        <v>4.7242238843531625</v>
      </c>
      <c r="DJ60" s="162"/>
      <c r="DK60" s="162">
        <f t="shared" si="84"/>
        <v>1.0400000000000005</v>
      </c>
      <c r="DL60" s="162">
        <f t="shared" si="85"/>
        <v>1.0400000000000005</v>
      </c>
      <c r="DM60" s="162">
        <f t="shared" si="19"/>
        <v>4.7242238843531625</v>
      </c>
      <c r="DN60" s="171">
        <f t="shared" si="86"/>
        <v>4.7242238843531625</v>
      </c>
      <c r="DO60" s="162"/>
      <c r="DP60" s="162">
        <f t="shared" si="87"/>
        <v>1.0400000000000005</v>
      </c>
      <c r="DQ60" s="170">
        <f t="shared" si="88"/>
        <v>1.0400000000000005</v>
      </c>
      <c r="DR60" s="162">
        <f t="shared" si="20"/>
        <v>4.7242238843531625</v>
      </c>
      <c r="DS60" s="171">
        <f t="shared" si="89"/>
        <v>4.7242238843531625</v>
      </c>
      <c r="DT60" s="162"/>
      <c r="DU60" s="162">
        <f t="shared" si="90"/>
        <v>1.0400000000000005</v>
      </c>
      <c r="DV60" s="170">
        <f t="shared" si="91"/>
        <v>1.0400000000000005</v>
      </c>
      <c r="DW60" s="162">
        <f t="shared" si="21"/>
        <v>4.7242238843531625</v>
      </c>
      <c r="DX60" s="171">
        <f t="shared" si="92"/>
        <v>4.7242238843531625</v>
      </c>
      <c r="DY60" s="162"/>
      <c r="DZ60" s="162">
        <f t="shared" si="93"/>
        <v>1.0400000000000005</v>
      </c>
      <c r="EA60" s="162">
        <f t="shared" si="94"/>
        <v>1.0400000000000005</v>
      </c>
      <c r="EB60" s="162">
        <f t="shared" si="22"/>
        <v>4.7242238843531625</v>
      </c>
      <c r="EC60" s="171">
        <f t="shared" si="95"/>
        <v>4.7242238843531625</v>
      </c>
      <c r="ED60" s="162"/>
      <c r="EE60" s="162">
        <f t="shared" si="96"/>
        <v>1.0400000000000005</v>
      </c>
      <c r="EF60" s="170">
        <f t="shared" si="97"/>
        <v>1.0400000000000005</v>
      </c>
      <c r="EG60" s="162">
        <f t="shared" si="23"/>
        <v>4.7242238843531625</v>
      </c>
      <c r="EH60" s="171">
        <f t="shared" si="98"/>
        <v>4.7242238843531625</v>
      </c>
      <c r="EI60" s="162"/>
      <c r="EJ60" s="162">
        <f t="shared" si="99"/>
        <v>1.0400000000000005</v>
      </c>
      <c r="EK60" s="170">
        <f t="shared" si="100"/>
        <v>1.0400000000000005</v>
      </c>
      <c r="EL60" s="162">
        <f t="shared" si="24"/>
        <v>4.7242238843531625</v>
      </c>
      <c r="EM60" s="171">
        <f t="shared" si="101"/>
        <v>4.7242238843531625</v>
      </c>
      <c r="EN60" s="162"/>
      <c r="EO60" s="162">
        <f t="shared" si="102"/>
        <v>1.0400000000000005</v>
      </c>
      <c r="EP60" s="162">
        <f t="shared" si="103"/>
        <v>1.0400000000000005</v>
      </c>
      <c r="EQ60" s="162">
        <f t="shared" si="25"/>
        <v>4.7242238843531625</v>
      </c>
      <c r="ER60" s="171">
        <f t="shared" si="104"/>
        <v>4.7242238843531625</v>
      </c>
      <c r="ES60" s="162"/>
      <c r="ET60" s="162">
        <f t="shared" si="105"/>
        <v>1.0400000000000005</v>
      </c>
      <c r="EU60" s="170">
        <f t="shared" si="106"/>
        <v>1.0400000000000005</v>
      </c>
      <c r="EV60" s="162">
        <f t="shared" si="26"/>
        <v>4.7242238843531625</v>
      </c>
      <c r="EW60" s="171">
        <f t="shared" si="107"/>
        <v>4.7242238843531625</v>
      </c>
      <c r="EX60" s="162"/>
    </row>
    <row r="61" spans="20:154" s="181" customFormat="1" x14ac:dyDescent="0.25">
      <c r="T61" s="162">
        <f t="shared" si="27"/>
        <v>1.0600000000000005</v>
      </c>
      <c r="U61" s="170">
        <f t="shared" si="28"/>
        <v>1.0600000000000005</v>
      </c>
      <c r="V61" s="162">
        <f t="shared" si="0"/>
        <v>4.7394526025335439</v>
      </c>
      <c r="W61" s="171">
        <f t="shared" si="29"/>
        <v>4.7394526025335439</v>
      </c>
      <c r="X61" s="162"/>
      <c r="Y61" s="162">
        <f t="shared" si="30"/>
        <v>1.0600000000000005</v>
      </c>
      <c r="Z61" s="162">
        <f t="shared" si="31"/>
        <v>1.0600000000000005</v>
      </c>
      <c r="AA61" s="162">
        <f t="shared" si="1"/>
        <v>4.7394526025335439</v>
      </c>
      <c r="AB61" s="171">
        <f t="shared" si="32"/>
        <v>4.7394526025335439</v>
      </c>
      <c r="AC61" s="162"/>
      <c r="AD61" s="162">
        <f t="shared" si="33"/>
        <v>1.0600000000000005</v>
      </c>
      <c r="AE61" s="170">
        <f t="shared" si="34"/>
        <v>1.0600000000000005</v>
      </c>
      <c r="AF61" s="162">
        <f t="shared" si="2"/>
        <v>4.7394526025335439</v>
      </c>
      <c r="AG61" s="171">
        <f t="shared" si="35"/>
        <v>4.7394526025335439</v>
      </c>
      <c r="AH61" s="162"/>
      <c r="AI61" s="162">
        <f t="shared" si="36"/>
        <v>1.0600000000000005</v>
      </c>
      <c r="AJ61" s="170">
        <f t="shared" si="37"/>
        <v>1.0600000000000005</v>
      </c>
      <c r="AK61" s="162">
        <f t="shared" si="3"/>
        <v>4.7394526025335439</v>
      </c>
      <c r="AL61" s="171">
        <f t="shared" si="38"/>
        <v>4.7394526025335439</v>
      </c>
      <c r="AM61" s="162"/>
      <c r="AN61" s="162">
        <f t="shared" si="39"/>
        <v>1.0600000000000005</v>
      </c>
      <c r="AO61" s="162">
        <f t="shared" si="40"/>
        <v>1.0600000000000005</v>
      </c>
      <c r="AP61" s="162">
        <f t="shared" si="4"/>
        <v>4.7394526025335439</v>
      </c>
      <c r="AQ61" s="171">
        <f t="shared" si="41"/>
        <v>4.7394526025335439</v>
      </c>
      <c r="AR61" s="162"/>
      <c r="AS61" s="162">
        <f t="shared" si="42"/>
        <v>1.0600000000000005</v>
      </c>
      <c r="AT61" s="170">
        <f t="shared" si="43"/>
        <v>1.0600000000000005</v>
      </c>
      <c r="AU61" s="162">
        <f t="shared" si="5"/>
        <v>4.7394526025335439</v>
      </c>
      <c r="AV61" s="171">
        <f t="shared" si="44"/>
        <v>4.7394526025335439</v>
      </c>
      <c r="AW61" s="162"/>
      <c r="AX61" s="162">
        <f t="shared" si="45"/>
        <v>1.0600000000000005</v>
      </c>
      <c r="AY61" s="170">
        <f t="shared" si="46"/>
        <v>1.0600000000000005</v>
      </c>
      <c r="AZ61" s="162">
        <f t="shared" si="6"/>
        <v>4.7394526025335439</v>
      </c>
      <c r="BA61" s="171">
        <f t="shared" si="47"/>
        <v>4.7394526025335439</v>
      </c>
      <c r="BB61" s="162"/>
      <c r="BC61" s="162">
        <f t="shared" si="48"/>
        <v>1.0600000000000005</v>
      </c>
      <c r="BD61" s="162">
        <f t="shared" si="49"/>
        <v>1.0600000000000005</v>
      </c>
      <c r="BE61" s="162">
        <f t="shared" si="7"/>
        <v>4.7394526025335439</v>
      </c>
      <c r="BF61" s="171">
        <f t="shared" si="50"/>
        <v>4.7394526025335439</v>
      </c>
      <c r="BG61" s="162"/>
      <c r="BH61" s="162">
        <f t="shared" si="51"/>
        <v>1.0600000000000005</v>
      </c>
      <c r="BI61" s="170">
        <f t="shared" si="52"/>
        <v>1.0600000000000005</v>
      </c>
      <c r="BJ61" s="162">
        <f t="shared" si="8"/>
        <v>4.7394526025335439</v>
      </c>
      <c r="BK61" s="171">
        <f t="shared" si="53"/>
        <v>4.7394526025335439</v>
      </c>
      <c r="BL61" s="162"/>
      <c r="BM61" s="162">
        <f t="shared" si="54"/>
        <v>1.0600000000000005</v>
      </c>
      <c r="BN61" s="170">
        <f t="shared" si="55"/>
        <v>1.0600000000000005</v>
      </c>
      <c r="BO61" s="162">
        <f t="shared" si="9"/>
        <v>4.7394526025335439</v>
      </c>
      <c r="BP61" s="171">
        <f t="shared" si="56"/>
        <v>4.7394526025335439</v>
      </c>
      <c r="BQ61" s="162"/>
      <c r="BR61" s="162">
        <f t="shared" si="57"/>
        <v>1.0600000000000005</v>
      </c>
      <c r="BS61" s="162">
        <f t="shared" si="58"/>
        <v>1.0600000000000005</v>
      </c>
      <c r="BT61" s="162">
        <f t="shared" si="10"/>
        <v>4.7394526025335439</v>
      </c>
      <c r="BU61" s="171">
        <f t="shared" si="59"/>
        <v>4.7394526025335439</v>
      </c>
      <c r="BV61" s="162"/>
      <c r="BW61" s="162">
        <f t="shared" si="60"/>
        <v>1.0600000000000005</v>
      </c>
      <c r="BX61" s="170">
        <f t="shared" si="61"/>
        <v>1.0600000000000005</v>
      </c>
      <c r="BY61" s="162">
        <f t="shared" si="11"/>
        <v>4.7394526025335439</v>
      </c>
      <c r="BZ61" s="171">
        <f t="shared" si="62"/>
        <v>4.7394526025335439</v>
      </c>
      <c r="CA61" s="162"/>
      <c r="CB61" s="162">
        <f t="shared" si="63"/>
        <v>1.0600000000000005</v>
      </c>
      <c r="CC61" s="170">
        <f t="shared" si="64"/>
        <v>1.0600000000000005</v>
      </c>
      <c r="CD61" s="162">
        <f t="shared" si="12"/>
        <v>4.7394526025335439</v>
      </c>
      <c r="CE61" s="171">
        <f t="shared" si="65"/>
        <v>4.7394526025335439</v>
      </c>
      <c r="CF61" s="162"/>
      <c r="CG61" s="172">
        <f t="shared" si="66"/>
        <v>1.0600000000000005</v>
      </c>
      <c r="CH61" s="172">
        <f t="shared" si="67"/>
        <v>1.0600000000000005</v>
      </c>
      <c r="CI61" s="172">
        <f t="shared" si="13"/>
        <v>4.7394526025335439</v>
      </c>
      <c r="CJ61" s="171">
        <f t="shared" si="68"/>
        <v>4.7394526025335439</v>
      </c>
      <c r="CK61" s="172"/>
      <c r="CL61" s="162">
        <f t="shared" si="69"/>
        <v>1.0600000000000005</v>
      </c>
      <c r="CM61" s="170">
        <f t="shared" si="70"/>
        <v>1.0600000000000005</v>
      </c>
      <c r="CN61" s="162">
        <f t="shared" si="14"/>
        <v>4.7394526025335439</v>
      </c>
      <c r="CO61" s="171">
        <f t="shared" si="71"/>
        <v>4.7394526025335439</v>
      </c>
      <c r="CP61" s="162"/>
      <c r="CQ61" s="162">
        <f t="shared" si="72"/>
        <v>1.0600000000000005</v>
      </c>
      <c r="CR61" s="170">
        <f t="shared" si="73"/>
        <v>1.0600000000000005</v>
      </c>
      <c r="CS61" s="162">
        <f t="shared" si="15"/>
        <v>4.7394526025335439</v>
      </c>
      <c r="CT61" s="171">
        <f t="shared" si="74"/>
        <v>4.7394526025335439</v>
      </c>
      <c r="CU61" s="162"/>
      <c r="CV61" s="162">
        <f t="shared" si="75"/>
        <v>1.0600000000000005</v>
      </c>
      <c r="CW61" s="162">
        <f t="shared" si="76"/>
        <v>1.0600000000000005</v>
      </c>
      <c r="CX61" s="162">
        <f t="shared" si="16"/>
        <v>4.7394526025335439</v>
      </c>
      <c r="CY61" s="171">
        <f t="shared" si="77"/>
        <v>4.7394526025335439</v>
      </c>
      <c r="CZ61" s="162"/>
      <c r="DA61" s="162">
        <f t="shared" si="78"/>
        <v>1.0600000000000005</v>
      </c>
      <c r="DB61" s="170">
        <f t="shared" si="79"/>
        <v>1.0600000000000005</v>
      </c>
      <c r="DC61" s="162">
        <f t="shared" si="17"/>
        <v>4.7394526025335439</v>
      </c>
      <c r="DD61" s="171">
        <f t="shared" si="80"/>
        <v>4.7394526025335439</v>
      </c>
      <c r="DE61" s="162"/>
      <c r="DF61" s="162">
        <f t="shared" si="81"/>
        <v>1.0600000000000005</v>
      </c>
      <c r="DG61" s="170">
        <f t="shared" si="82"/>
        <v>1.0600000000000005</v>
      </c>
      <c r="DH61" s="162">
        <f t="shared" si="18"/>
        <v>4.7394526025335439</v>
      </c>
      <c r="DI61" s="171">
        <f t="shared" si="83"/>
        <v>4.7394526025335439</v>
      </c>
      <c r="DJ61" s="162"/>
      <c r="DK61" s="162">
        <f t="shared" si="84"/>
        <v>1.0600000000000005</v>
      </c>
      <c r="DL61" s="162">
        <f t="shared" si="85"/>
        <v>1.0600000000000005</v>
      </c>
      <c r="DM61" s="162">
        <f t="shared" si="19"/>
        <v>4.7394526025335439</v>
      </c>
      <c r="DN61" s="171">
        <f t="shared" si="86"/>
        <v>4.7394526025335439</v>
      </c>
      <c r="DO61" s="162"/>
      <c r="DP61" s="162">
        <f t="shared" si="87"/>
        <v>1.0600000000000005</v>
      </c>
      <c r="DQ61" s="170">
        <f t="shared" si="88"/>
        <v>1.0600000000000005</v>
      </c>
      <c r="DR61" s="162">
        <f t="shared" si="20"/>
        <v>4.7394526025335439</v>
      </c>
      <c r="DS61" s="171">
        <f t="shared" si="89"/>
        <v>4.7394526025335439</v>
      </c>
      <c r="DT61" s="162"/>
      <c r="DU61" s="162">
        <f t="shared" si="90"/>
        <v>1.0600000000000005</v>
      </c>
      <c r="DV61" s="170">
        <f t="shared" si="91"/>
        <v>1.0600000000000005</v>
      </c>
      <c r="DW61" s="162">
        <f t="shared" si="21"/>
        <v>4.7394526025335439</v>
      </c>
      <c r="DX61" s="171">
        <f t="shared" si="92"/>
        <v>4.7394526025335439</v>
      </c>
      <c r="DY61" s="162"/>
      <c r="DZ61" s="162">
        <f t="shared" si="93"/>
        <v>1.0600000000000005</v>
      </c>
      <c r="EA61" s="162">
        <f t="shared" si="94"/>
        <v>1.0600000000000005</v>
      </c>
      <c r="EB61" s="162">
        <f t="shared" si="22"/>
        <v>4.7394526025335439</v>
      </c>
      <c r="EC61" s="171">
        <f t="shared" si="95"/>
        <v>4.7394526025335439</v>
      </c>
      <c r="ED61" s="162"/>
      <c r="EE61" s="162">
        <f t="shared" si="96"/>
        <v>1.0600000000000005</v>
      </c>
      <c r="EF61" s="170">
        <f t="shared" si="97"/>
        <v>1.0600000000000005</v>
      </c>
      <c r="EG61" s="162">
        <f t="shared" si="23"/>
        <v>4.7394526025335439</v>
      </c>
      <c r="EH61" s="171">
        <f t="shared" si="98"/>
        <v>4.7394526025335439</v>
      </c>
      <c r="EI61" s="162"/>
      <c r="EJ61" s="162">
        <f t="shared" si="99"/>
        <v>1.0600000000000005</v>
      </c>
      <c r="EK61" s="170">
        <f t="shared" si="100"/>
        <v>1.0600000000000005</v>
      </c>
      <c r="EL61" s="162">
        <f t="shared" si="24"/>
        <v>4.7394526025335439</v>
      </c>
      <c r="EM61" s="171">
        <f t="shared" si="101"/>
        <v>4.7394526025335439</v>
      </c>
      <c r="EN61" s="162"/>
      <c r="EO61" s="162">
        <f t="shared" si="102"/>
        <v>1.0600000000000005</v>
      </c>
      <c r="EP61" s="162">
        <f t="shared" si="103"/>
        <v>1.0600000000000005</v>
      </c>
      <c r="EQ61" s="162">
        <f t="shared" si="25"/>
        <v>4.7394526025335439</v>
      </c>
      <c r="ER61" s="171">
        <f t="shared" si="104"/>
        <v>4.7394526025335439</v>
      </c>
      <c r="ES61" s="162"/>
      <c r="ET61" s="162">
        <f t="shared" si="105"/>
        <v>1.0600000000000005</v>
      </c>
      <c r="EU61" s="170">
        <f t="shared" si="106"/>
        <v>1.0600000000000005</v>
      </c>
      <c r="EV61" s="162">
        <f t="shared" si="26"/>
        <v>4.7394526025335439</v>
      </c>
      <c r="EW61" s="171">
        <f t="shared" si="107"/>
        <v>4.7394526025335439</v>
      </c>
      <c r="EX61" s="162"/>
    </row>
    <row r="62" spans="20:154" s="181" customFormat="1" x14ac:dyDescent="0.25">
      <c r="T62" s="162">
        <f t="shared" si="27"/>
        <v>1.0800000000000005</v>
      </c>
      <c r="U62" s="170">
        <f t="shared" si="28"/>
        <v>1.0800000000000005</v>
      </c>
      <c r="V62" s="162">
        <f t="shared" si="0"/>
        <v>4.7519728079860784</v>
      </c>
      <c r="W62" s="171">
        <f t="shared" si="29"/>
        <v>4.7519728079860784</v>
      </c>
      <c r="X62" s="162"/>
      <c r="Y62" s="162">
        <f t="shared" si="30"/>
        <v>1.0800000000000005</v>
      </c>
      <c r="Z62" s="162">
        <f t="shared" si="31"/>
        <v>1.0800000000000005</v>
      </c>
      <c r="AA62" s="162">
        <f t="shared" si="1"/>
        <v>4.7519728079860784</v>
      </c>
      <c r="AB62" s="171">
        <f t="shared" si="32"/>
        <v>4.7519728079860784</v>
      </c>
      <c r="AC62" s="162"/>
      <c r="AD62" s="162">
        <f t="shared" si="33"/>
        <v>1.0800000000000005</v>
      </c>
      <c r="AE62" s="170">
        <f t="shared" si="34"/>
        <v>1.0800000000000005</v>
      </c>
      <c r="AF62" s="162">
        <f t="shared" si="2"/>
        <v>4.7519728079860784</v>
      </c>
      <c r="AG62" s="171">
        <f t="shared" si="35"/>
        <v>4.7519728079860784</v>
      </c>
      <c r="AH62" s="162"/>
      <c r="AI62" s="162">
        <f t="shared" si="36"/>
        <v>1.0800000000000005</v>
      </c>
      <c r="AJ62" s="170">
        <f t="shared" si="37"/>
        <v>1.0800000000000005</v>
      </c>
      <c r="AK62" s="162">
        <f t="shared" si="3"/>
        <v>4.7519728079860784</v>
      </c>
      <c r="AL62" s="171">
        <f t="shared" si="38"/>
        <v>4.7519728079860784</v>
      </c>
      <c r="AM62" s="162"/>
      <c r="AN62" s="162">
        <f t="shared" si="39"/>
        <v>1.0800000000000005</v>
      </c>
      <c r="AO62" s="162">
        <f t="shared" si="40"/>
        <v>1.0800000000000005</v>
      </c>
      <c r="AP62" s="162">
        <f t="shared" si="4"/>
        <v>4.7519728079860784</v>
      </c>
      <c r="AQ62" s="171">
        <f t="shared" si="41"/>
        <v>4.7519728079860784</v>
      </c>
      <c r="AR62" s="162"/>
      <c r="AS62" s="162">
        <f t="shared" si="42"/>
        <v>1.0800000000000005</v>
      </c>
      <c r="AT62" s="170">
        <f t="shared" si="43"/>
        <v>1.0800000000000005</v>
      </c>
      <c r="AU62" s="162">
        <f t="shared" si="5"/>
        <v>4.7519728079860784</v>
      </c>
      <c r="AV62" s="171">
        <f t="shared" si="44"/>
        <v>4.7519728079860784</v>
      </c>
      <c r="AW62" s="162"/>
      <c r="AX62" s="162">
        <f t="shared" si="45"/>
        <v>1.0800000000000005</v>
      </c>
      <c r="AY62" s="170">
        <f t="shared" si="46"/>
        <v>1.0800000000000005</v>
      </c>
      <c r="AZ62" s="162">
        <f t="shared" si="6"/>
        <v>4.7519728079860784</v>
      </c>
      <c r="BA62" s="171">
        <f t="shared" si="47"/>
        <v>4.7519728079860784</v>
      </c>
      <c r="BB62" s="162"/>
      <c r="BC62" s="162">
        <f t="shared" si="48"/>
        <v>1.0800000000000005</v>
      </c>
      <c r="BD62" s="162">
        <f t="shared" si="49"/>
        <v>1.0800000000000005</v>
      </c>
      <c r="BE62" s="162">
        <f t="shared" si="7"/>
        <v>4.7519728079860784</v>
      </c>
      <c r="BF62" s="171">
        <f t="shared" si="50"/>
        <v>4.7519728079860784</v>
      </c>
      <c r="BG62" s="162"/>
      <c r="BH62" s="162">
        <f t="shared" si="51"/>
        <v>1.0800000000000005</v>
      </c>
      <c r="BI62" s="170">
        <f t="shared" si="52"/>
        <v>1.0800000000000005</v>
      </c>
      <c r="BJ62" s="162">
        <f t="shared" si="8"/>
        <v>4.7519728079860784</v>
      </c>
      <c r="BK62" s="171">
        <f t="shared" si="53"/>
        <v>4.7519728079860784</v>
      </c>
      <c r="BL62" s="162"/>
      <c r="BM62" s="162">
        <f t="shared" si="54"/>
        <v>1.0800000000000005</v>
      </c>
      <c r="BN62" s="170">
        <f t="shared" si="55"/>
        <v>1.0800000000000005</v>
      </c>
      <c r="BO62" s="162">
        <f t="shared" si="9"/>
        <v>4.7519728079860784</v>
      </c>
      <c r="BP62" s="171">
        <f t="shared" si="56"/>
        <v>4.7519728079860784</v>
      </c>
      <c r="BQ62" s="162"/>
      <c r="BR62" s="162">
        <f t="shared" si="57"/>
        <v>1.0800000000000005</v>
      </c>
      <c r="BS62" s="162">
        <f t="shared" si="58"/>
        <v>1.0800000000000005</v>
      </c>
      <c r="BT62" s="162">
        <f t="shared" si="10"/>
        <v>4.7519728079860784</v>
      </c>
      <c r="BU62" s="171">
        <f t="shared" si="59"/>
        <v>4.7519728079860784</v>
      </c>
      <c r="BV62" s="162"/>
      <c r="BW62" s="162">
        <f t="shared" si="60"/>
        <v>1.0800000000000005</v>
      </c>
      <c r="BX62" s="170">
        <f t="shared" si="61"/>
        <v>1.0800000000000005</v>
      </c>
      <c r="BY62" s="162">
        <f t="shared" si="11"/>
        <v>4.7519728079860784</v>
      </c>
      <c r="BZ62" s="171">
        <f t="shared" si="62"/>
        <v>4.7519728079860784</v>
      </c>
      <c r="CA62" s="162"/>
      <c r="CB62" s="162">
        <f t="shared" si="63"/>
        <v>1.0800000000000005</v>
      </c>
      <c r="CC62" s="170">
        <f t="shared" si="64"/>
        <v>1.0800000000000005</v>
      </c>
      <c r="CD62" s="162">
        <f t="shared" si="12"/>
        <v>4.7519728079860784</v>
      </c>
      <c r="CE62" s="171">
        <f t="shared" si="65"/>
        <v>4.7519728079860784</v>
      </c>
      <c r="CF62" s="162"/>
      <c r="CG62" s="172">
        <f t="shared" si="66"/>
        <v>1.0800000000000005</v>
      </c>
      <c r="CH62" s="172">
        <f t="shared" si="67"/>
        <v>1.0800000000000005</v>
      </c>
      <c r="CI62" s="172">
        <f t="shared" si="13"/>
        <v>4.7519728079860784</v>
      </c>
      <c r="CJ62" s="171">
        <f t="shared" si="68"/>
        <v>4.7519728079860784</v>
      </c>
      <c r="CK62" s="172"/>
      <c r="CL62" s="162">
        <f t="shared" si="69"/>
        <v>1.0800000000000005</v>
      </c>
      <c r="CM62" s="170">
        <f t="shared" si="70"/>
        <v>1.0800000000000005</v>
      </c>
      <c r="CN62" s="162">
        <f t="shared" si="14"/>
        <v>4.7519728079860784</v>
      </c>
      <c r="CO62" s="171">
        <f t="shared" si="71"/>
        <v>4.7519728079860784</v>
      </c>
      <c r="CP62" s="162"/>
      <c r="CQ62" s="162">
        <f t="shared" si="72"/>
        <v>1.0800000000000005</v>
      </c>
      <c r="CR62" s="170">
        <f t="shared" si="73"/>
        <v>1.0800000000000005</v>
      </c>
      <c r="CS62" s="162">
        <f t="shared" si="15"/>
        <v>4.7519728079860784</v>
      </c>
      <c r="CT62" s="171">
        <f t="shared" si="74"/>
        <v>4.7519728079860784</v>
      </c>
      <c r="CU62" s="162"/>
      <c r="CV62" s="162">
        <f t="shared" si="75"/>
        <v>1.0800000000000005</v>
      </c>
      <c r="CW62" s="162">
        <f t="shared" si="76"/>
        <v>1.0800000000000005</v>
      </c>
      <c r="CX62" s="162">
        <f t="shared" si="16"/>
        <v>4.7519728079860784</v>
      </c>
      <c r="CY62" s="171">
        <f t="shared" si="77"/>
        <v>4.7519728079860784</v>
      </c>
      <c r="CZ62" s="162"/>
      <c r="DA62" s="162">
        <f t="shared" si="78"/>
        <v>1.0800000000000005</v>
      </c>
      <c r="DB62" s="170">
        <f t="shared" si="79"/>
        <v>1.0800000000000005</v>
      </c>
      <c r="DC62" s="162">
        <f t="shared" si="17"/>
        <v>4.7519728079860784</v>
      </c>
      <c r="DD62" s="171">
        <f t="shared" si="80"/>
        <v>4.7519728079860784</v>
      </c>
      <c r="DE62" s="162"/>
      <c r="DF62" s="162">
        <f t="shared" si="81"/>
        <v>1.0800000000000005</v>
      </c>
      <c r="DG62" s="170">
        <f t="shared" si="82"/>
        <v>1.0800000000000005</v>
      </c>
      <c r="DH62" s="162">
        <f t="shared" si="18"/>
        <v>4.7519728079860784</v>
      </c>
      <c r="DI62" s="171">
        <f t="shared" si="83"/>
        <v>4.7519728079860784</v>
      </c>
      <c r="DJ62" s="162"/>
      <c r="DK62" s="162">
        <f t="shared" si="84"/>
        <v>1.0800000000000005</v>
      </c>
      <c r="DL62" s="162">
        <f t="shared" si="85"/>
        <v>1.0800000000000005</v>
      </c>
      <c r="DM62" s="162">
        <f t="shared" si="19"/>
        <v>4.7519728079860784</v>
      </c>
      <c r="DN62" s="171">
        <f t="shared" si="86"/>
        <v>4.7519728079860784</v>
      </c>
      <c r="DO62" s="162"/>
      <c r="DP62" s="162">
        <f t="shared" si="87"/>
        <v>1.0800000000000005</v>
      </c>
      <c r="DQ62" s="170">
        <f t="shared" si="88"/>
        <v>1.0800000000000005</v>
      </c>
      <c r="DR62" s="162">
        <f t="shared" si="20"/>
        <v>4.7519728079860784</v>
      </c>
      <c r="DS62" s="171">
        <f t="shared" si="89"/>
        <v>4.7519728079860784</v>
      </c>
      <c r="DT62" s="162"/>
      <c r="DU62" s="162">
        <f t="shared" si="90"/>
        <v>1.0800000000000005</v>
      </c>
      <c r="DV62" s="170">
        <f t="shared" si="91"/>
        <v>1.0800000000000005</v>
      </c>
      <c r="DW62" s="162">
        <f t="shared" si="21"/>
        <v>4.7519728079860784</v>
      </c>
      <c r="DX62" s="171">
        <f t="shared" si="92"/>
        <v>4.7519728079860784</v>
      </c>
      <c r="DY62" s="162"/>
      <c r="DZ62" s="162">
        <f t="shared" si="93"/>
        <v>1.0800000000000005</v>
      </c>
      <c r="EA62" s="162">
        <f t="shared" si="94"/>
        <v>1.0800000000000005</v>
      </c>
      <c r="EB62" s="162">
        <f t="shared" si="22"/>
        <v>4.7519728079860784</v>
      </c>
      <c r="EC62" s="171">
        <f t="shared" si="95"/>
        <v>4.7519728079860784</v>
      </c>
      <c r="ED62" s="162"/>
      <c r="EE62" s="162">
        <f t="shared" si="96"/>
        <v>1.0800000000000005</v>
      </c>
      <c r="EF62" s="170">
        <f t="shared" si="97"/>
        <v>1.0800000000000005</v>
      </c>
      <c r="EG62" s="162">
        <f t="shared" si="23"/>
        <v>4.7519728079860784</v>
      </c>
      <c r="EH62" s="171">
        <f t="shared" si="98"/>
        <v>4.7519728079860784</v>
      </c>
      <c r="EI62" s="162"/>
      <c r="EJ62" s="162">
        <f t="shared" si="99"/>
        <v>1.0800000000000005</v>
      </c>
      <c r="EK62" s="170">
        <f t="shared" si="100"/>
        <v>1.0800000000000005</v>
      </c>
      <c r="EL62" s="162">
        <f t="shared" si="24"/>
        <v>4.7519728079860784</v>
      </c>
      <c r="EM62" s="171">
        <f t="shared" si="101"/>
        <v>4.7519728079860784</v>
      </c>
      <c r="EN62" s="162"/>
      <c r="EO62" s="162">
        <f t="shared" si="102"/>
        <v>1.0800000000000005</v>
      </c>
      <c r="EP62" s="162">
        <f t="shared" si="103"/>
        <v>1.0800000000000005</v>
      </c>
      <c r="EQ62" s="162">
        <f t="shared" si="25"/>
        <v>4.7519728079860784</v>
      </c>
      <c r="ER62" s="171">
        <f t="shared" si="104"/>
        <v>4.7519728079860784</v>
      </c>
      <c r="ES62" s="162"/>
      <c r="ET62" s="162">
        <f t="shared" si="105"/>
        <v>1.0800000000000005</v>
      </c>
      <c r="EU62" s="170">
        <f t="shared" si="106"/>
        <v>1.0800000000000005</v>
      </c>
      <c r="EV62" s="162">
        <f t="shared" si="26"/>
        <v>4.7519728079860784</v>
      </c>
      <c r="EW62" s="171">
        <f t="shared" si="107"/>
        <v>4.7519728079860784</v>
      </c>
      <c r="EX62" s="162"/>
    </row>
    <row r="63" spans="20:154" s="181" customFormat="1" x14ac:dyDescent="0.25">
      <c r="T63" s="162">
        <f t="shared" si="27"/>
        <v>1.1000000000000005</v>
      </c>
      <c r="U63" s="170">
        <f t="shared" si="28"/>
        <v>1.1000000000000005</v>
      </c>
      <c r="V63" s="162">
        <f t="shared" si="0"/>
        <v>4.7617845007107666</v>
      </c>
      <c r="W63" s="171">
        <f t="shared" si="29"/>
        <v>4.7617845007107666</v>
      </c>
      <c r="X63" s="162"/>
      <c r="Y63" s="162">
        <f t="shared" si="30"/>
        <v>1.1000000000000005</v>
      </c>
      <c r="Z63" s="162">
        <f t="shared" si="31"/>
        <v>1.1000000000000005</v>
      </c>
      <c r="AA63" s="162">
        <f t="shared" si="1"/>
        <v>4.7617845007107666</v>
      </c>
      <c r="AB63" s="171">
        <f t="shared" si="32"/>
        <v>4.7617845007107666</v>
      </c>
      <c r="AC63" s="162"/>
      <c r="AD63" s="162">
        <f t="shared" si="33"/>
        <v>1.1000000000000005</v>
      </c>
      <c r="AE63" s="170">
        <f t="shared" si="34"/>
        <v>1.1000000000000005</v>
      </c>
      <c r="AF63" s="162">
        <f t="shared" si="2"/>
        <v>4.7617845007107666</v>
      </c>
      <c r="AG63" s="171">
        <f t="shared" si="35"/>
        <v>4.7617845007107666</v>
      </c>
      <c r="AH63" s="162"/>
      <c r="AI63" s="162">
        <f t="shared" si="36"/>
        <v>1.1000000000000005</v>
      </c>
      <c r="AJ63" s="170">
        <f t="shared" si="37"/>
        <v>1.1000000000000005</v>
      </c>
      <c r="AK63" s="162">
        <f t="shared" si="3"/>
        <v>4.7617845007107666</v>
      </c>
      <c r="AL63" s="171">
        <f t="shared" si="38"/>
        <v>4.7617845007107666</v>
      </c>
      <c r="AM63" s="162"/>
      <c r="AN63" s="162">
        <f t="shared" si="39"/>
        <v>1.1000000000000005</v>
      </c>
      <c r="AO63" s="162">
        <f t="shared" si="40"/>
        <v>1.1000000000000005</v>
      </c>
      <c r="AP63" s="162">
        <f t="shared" si="4"/>
        <v>4.7617845007107666</v>
      </c>
      <c r="AQ63" s="171">
        <f t="shared" si="41"/>
        <v>4.7617845007107666</v>
      </c>
      <c r="AR63" s="162"/>
      <c r="AS63" s="162">
        <f t="shared" si="42"/>
        <v>1.1000000000000005</v>
      </c>
      <c r="AT63" s="170">
        <f t="shared" si="43"/>
        <v>1.1000000000000005</v>
      </c>
      <c r="AU63" s="162">
        <f t="shared" si="5"/>
        <v>4.7617845007107666</v>
      </c>
      <c r="AV63" s="171">
        <f t="shared" si="44"/>
        <v>4.7617845007107666</v>
      </c>
      <c r="AW63" s="162"/>
      <c r="AX63" s="162">
        <f t="shared" si="45"/>
        <v>1.1000000000000005</v>
      </c>
      <c r="AY63" s="170">
        <f t="shared" si="46"/>
        <v>1.1000000000000005</v>
      </c>
      <c r="AZ63" s="162">
        <f t="shared" si="6"/>
        <v>4.7617845007107666</v>
      </c>
      <c r="BA63" s="171">
        <f t="shared" si="47"/>
        <v>4.7617845007107666</v>
      </c>
      <c r="BB63" s="162"/>
      <c r="BC63" s="162">
        <f t="shared" si="48"/>
        <v>1.1000000000000005</v>
      </c>
      <c r="BD63" s="162">
        <f t="shared" si="49"/>
        <v>1.1000000000000005</v>
      </c>
      <c r="BE63" s="162">
        <f t="shared" si="7"/>
        <v>4.7617845007107666</v>
      </c>
      <c r="BF63" s="171">
        <f t="shared" si="50"/>
        <v>4.7617845007107666</v>
      </c>
      <c r="BG63" s="162"/>
      <c r="BH63" s="162">
        <f t="shared" si="51"/>
        <v>1.1000000000000005</v>
      </c>
      <c r="BI63" s="170">
        <f t="shared" si="52"/>
        <v>1.1000000000000005</v>
      </c>
      <c r="BJ63" s="162">
        <f t="shared" si="8"/>
        <v>4.7617845007107666</v>
      </c>
      <c r="BK63" s="171">
        <f t="shared" si="53"/>
        <v>4.7617845007107666</v>
      </c>
      <c r="BL63" s="162"/>
      <c r="BM63" s="162">
        <f t="shared" si="54"/>
        <v>1.1000000000000005</v>
      </c>
      <c r="BN63" s="170">
        <f t="shared" si="55"/>
        <v>1.1000000000000005</v>
      </c>
      <c r="BO63" s="162">
        <f t="shared" si="9"/>
        <v>4.7617845007107666</v>
      </c>
      <c r="BP63" s="171">
        <f t="shared" si="56"/>
        <v>4.7617845007107666</v>
      </c>
      <c r="BQ63" s="162"/>
      <c r="BR63" s="162">
        <f t="shared" si="57"/>
        <v>1.1000000000000005</v>
      </c>
      <c r="BS63" s="162">
        <f t="shared" si="58"/>
        <v>1.1000000000000005</v>
      </c>
      <c r="BT63" s="162">
        <f t="shared" si="10"/>
        <v>4.7617845007107666</v>
      </c>
      <c r="BU63" s="171">
        <f t="shared" si="59"/>
        <v>4.7617845007107666</v>
      </c>
      <c r="BV63" s="162"/>
      <c r="BW63" s="162">
        <f t="shared" si="60"/>
        <v>1.1000000000000005</v>
      </c>
      <c r="BX63" s="170">
        <f t="shared" si="61"/>
        <v>1.1000000000000005</v>
      </c>
      <c r="BY63" s="162">
        <f t="shared" si="11"/>
        <v>4.7617845007107666</v>
      </c>
      <c r="BZ63" s="171">
        <f t="shared" si="62"/>
        <v>4.7617845007107666</v>
      </c>
      <c r="CA63" s="162"/>
      <c r="CB63" s="162">
        <f t="shared" si="63"/>
        <v>1.1000000000000005</v>
      </c>
      <c r="CC63" s="170">
        <f t="shared" si="64"/>
        <v>1.1000000000000005</v>
      </c>
      <c r="CD63" s="162">
        <f t="shared" si="12"/>
        <v>4.7617845007107666</v>
      </c>
      <c r="CE63" s="171">
        <f t="shared" si="65"/>
        <v>4.7617845007107666</v>
      </c>
      <c r="CF63" s="162"/>
      <c r="CG63" s="172">
        <f t="shared" si="66"/>
        <v>1.1000000000000005</v>
      </c>
      <c r="CH63" s="172">
        <f t="shared" si="67"/>
        <v>1.1000000000000005</v>
      </c>
      <c r="CI63" s="172">
        <f t="shared" si="13"/>
        <v>4.7617845007107666</v>
      </c>
      <c r="CJ63" s="171">
        <f t="shared" si="68"/>
        <v>4.7617845007107666</v>
      </c>
      <c r="CK63" s="172"/>
      <c r="CL63" s="162">
        <f t="shared" si="69"/>
        <v>1.1000000000000005</v>
      </c>
      <c r="CM63" s="170">
        <f t="shared" si="70"/>
        <v>1.1000000000000005</v>
      </c>
      <c r="CN63" s="162">
        <f t="shared" si="14"/>
        <v>4.7617845007107666</v>
      </c>
      <c r="CO63" s="171">
        <f t="shared" si="71"/>
        <v>4.7617845007107666</v>
      </c>
      <c r="CP63" s="162"/>
      <c r="CQ63" s="162">
        <f t="shared" si="72"/>
        <v>1.1000000000000005</v>
      </c>
      <c r="CR63" s="170">
        <f t="shared" si="73"/>
        <v>1.1000000000000005</v>
      </c>
      <c r="CS63" s="162">
        <f t="shared" si="15"/>
        <v>4.7617845007107666</v>
      </c>
      <c r="CT63" s="171">
        <f t="shared" si="74"/>
        <v>4.7617845007107666</v>
      </c>
      <c r="CU63" s="162"/>
      <c r="CV63" s="162">
        <f t="shared" si="75"/>
        <v>1.1000000000000005</v>
      </c>
      <c r="CW63" s="162">
        <f t="shared" si="76"/>
        <v>1.1000000000000005</v>
      </c>
      <c r="CX63" s="162">
        <f t="shared" si="16"/>
        <v>4.7617845007107666</v>
      </c>
      <c r="CY63" s="171">
        <f t="shared" si="77"/>
        <v>4.7617845007107666</v>
      </c>
      <c r="CZ63" s="162"/>
      <c r="DA63" s="162">
        <f t="shared" si="78"/>
        <v>1.1000000000000005</v>
      </c>
      <c r="DB63" s="170">
        <f t="shared" si="79"/>
        <v>1.1000000000000005</v>
      </c>
      <c r="DC63" s="162">
        <f t="shared" si="17"/>
        <v>4.7617845007107666</v>
      </c>
      <c r="DD63" s="171">
        <f t="shared" si="80"/>
        <v>4.7617845007107666</v>
      </c>
      <c r="DE63" s="162"/>
      <c r="DF63" s="162">
        <f t="shared" si="81"/>
        <v>1.1000000000000005</v>
      </c>
      <c r="DG63" s="170">
        <f t="shared" si="82"/>
        <v>1.1000000000000005</v>
      </c>
      <c r="DH63" s="162">
        <f t="shared" si="18"/>
        <v>4.7617845007107666</v>
      </c>
      <c r="DI63" s="171">
        <f t="shared" si="83"/>
        <v>4.7617845007107666</v>
      </c>
      <c r="DJ63" s="162"/>
      <c r="DK63" s="162">
        <f t="shared" si="84"/>
        <v>1.1000000000000005</v>
      </c>
      <c r="DL63" s="162">
        <f t="shared" si="85"/>
        <v>1.1000000000000005</v>
      </c>
      <c r="DM63" s="162">
        <f t="shared" si="19"/>
        <v>4.7617845007107666</v>
      </c>
      <c r="DN63" s="171">
        <f t="shared" si="86"/>
        <v>4.7617845007107666</v>
      </c>
      <c r="DO63" s="162"/>
      <c r="DP63" s="162">
        <f t="shared" si="87"/>
        <v>1.1000000000000005</v>
      </c>
      <c r="DQ63" s="170">
        <f t="shared" si="88"/>
        <v>1.1000000000000005</v>
      </c>
      <c r="DR63" s="162">
        <f t="shared" si="20"/>
        <v>4.7617845007107666</v>
      </c>
      <c r="DS63" s="171">
        <f t="shared" si="89"/>
        <v>4.7617845007107666</v>
      </c>
      <c r="DT63" s="162"/>
      <c r="DU63" s="162">
        <f t="shared" si="90"/>
        <v>1.1000000000000005</v>
      </c>
      <c r="DV63" s="170">
        <f t="shared" si="91"/>
        <v>1.1000000000000005</v>
      </c>
      <c r="DW63" s="162">
        <f t="shared" si="21"/>
        <v>4.7617845007107666</v>
      </c>
      <c r="DX63" s="171">
        <f t="shared" si="92"/>
        <v>4.7617845007107666</v>
      </c>
      <c r="DY63" s="162"/>
      <c r="DZ63" s="162">
        <f t="shared" si="93"/>
        <v>1.1000000000000005</v>
      </c>
      <c r="EA63" s="162">
        <f t="shared" si="94"/>
        <v>1.1000000000000005</v>
      </c>
      <c r="EB63" s="162">
        <f t="shared" si="22"/>
        <v>4.7617845007107666</v>
      </c>
      <c r="EC63" s="171">
        <f t="shared" si="95"/>
        <v>4.7617845007107666</v>
      </c>
      <c r="ED63" s="162"/>
      <c r="EE63" s="162">
        <f t="shared" si="96"/>
        <v>1.1000000000000005</v>
      </c>
      <c r="EF63" s="170">
        <f t="shared" si="97"/>
        <v>1.1000000000000005</v>
      </c>
      <c r="EG63" s="162">
        <f t="shared" si="23"/>
        <v>4.7617845007107666</v>
      </c>
      <c r="EH63" s="171">
        <f t="shared" si="98"/>
        <v>4.7617845007107666</v>
      </c>
      <c r="EI63" s="162"/>
      <c r="EJ63" s="162">
        <f t="shared" si="99"/>
        <v>1.1000000000000005</v>
      </c>
      <c r="EK63" s="170">
        <f t="shared" si="100"/>
        <v>1.1000000000000005</v>
      </c>
      <c r="EL63" s="162">
        <f t="shared" si="24"/>
        <v>4.7617845007107666</v>
      </c>
      <c r="EM63" s="171">
        <f t="shared" si="101"/>
        <v>4.7617845007107666</v>
      </c>
      <c r="EN63" s="162"/>
      <c r="EO63" s="162">
        <f t="shared" si="102"/>
        <v>1.1000000000000005</v>
      </c>
      <c r="EP63" s="162">
        <f t="shared" si="103"/>
        <v>1.1000000000000005</v>
      </c>
      <c r="EQ63" s="162">
        <f t="shared" si="25"/>
        <v>4.7617845007107666</v>
      </c>
      <c r="ER63" s="171">
        <f t="shared" si="104"/>
        <v>4.7617845007107666</v>
      </c>
      <c r="ES63" s="162"/>
      <c r="ET63" s="162">
        <f t="shared" si="105"/>
        <v>1.1000000000000005</v>
      </c>
      <c r="EU63" s="170">
        <f t="shared" si="106"/>
        <v>1.1000000000000005</v>
      </c>
      <c r="EV63" s="162">
        <f t="shared" si="26"/>
        <v>4.7617845007107666</v>
      </c>
      <c r="EW63" s="171">
        <f t="shared" si="107"/>
        <v>4.7617845007107666</v>
      </c>
      <c r="EX63" s="162"/>
    </row>
    <row r="64" spans="20:154" s="181" customFormat="1" x14ac:dyDescent="0.25">
      <c r="T64" s="162">
        <f t="shared" si="27"/>
        <v>1.1200000000000006</v>
      </c>
      <c r="U64" s="170">
        <f t="shared" si="28"/>
        <v>1.1200000000000006</v>
      </c>
      <c r="V64" s="162">
        <f t="shared" si="0"/>
        <v>4.7688876807076088</v>
      </c>
      <c r="W64" s="171">
        <f t="shared" si="29"/>
        <v>4.7688876807076088</v>
      </c>
      <c r="X64" s="162"/>
      <c r="Y64" s="162">
        <f t="shared" si="30"/>
        <v>1.1200000000000006</v>
      </c>
      <c r="Z64" s="162">
        <f t="shared" si="31"/>
        <v>1.1200000000000006</v>
      </c>
      <c r="AA64" s="162">
        <f t="shared" si="1"/>
        <v>4.7688876807076088</v>
      </c>
      <c r="AB64" s="171">
        <f t="shared" si="32"/>
        <v>4.7688876807076088</v>
      </c>
      <c r="AC64" s="162"/>
      <c r="AD64" s="162">
        <f t="shared" si="33"/>
        <v>1.1200000000000006</v>
      </c>
      <c r="AE64" s="170">
        <f t="shared" si="34"/>
        <v>1.1200000000000006</v>
      </c>
      <c r="AF64" s="162">
        <f t="shared" si="2"/>
        <v>4.7688876807076088</v>
      </c>
      <c r="AG64" s="171">
        <f t="shared" si="35"/>
        <v>4.7688876807076088</v>
      </c>
      <c r="AH64" s="162"/>
      <c r="AI64" s="162">
        <f t="shared" si="36"/>
        <v>1.1200000000000006</v>
      </c>
      <c r="AJ64" s="170">
        <f t="shared" si="37"/>
        <v>1.1200000000000006</v>
      </c>
      <c r="AK64" s="162">
        <f t="shared" si="3"/>
        <v>4.7688876807076088</v>
      </c>
      <c r="AL64" s="171">
        <f t="shared" si="38"/>
        <v>4.7688876807076088</v>
      </c>
      <c r="AM64" s="162"/>
      <c r="AN64" s="162">
        <f t="shared" si="39"/>
        <v>1.1200000000000006</v>
      </c>
      <c r="AO64" s="162">
        <f t="shared" si="40"/>
        <v>1.1200000000000006</v>
      </c>
      <c r="AP64" s="162">
        <f t="shared" si="4"/>
        <v>4.7688876807076088</v>
      </c>
      <c r="AQ64" s="171">
        <f t="shared" si="41"/>
        <v>4.7688876807076088</v>
      </c>
      <c r="AR64" s="162"/>
      <c r="AS64" s="162">
        <f t="shared" si="42"/>
        <v>1.1200000000000006</v>
      </c>
      <c r="AT64" s="170">
        <f t="shared" si="43"/>
        <v>1.1200000000000006</v>
      </c>
      <c r="AU64" s="162">
        <f t="shared" si="5"/>
        <v>4.7688876807076088</v>
      </c>
      <c r="AV64" s="171">
        <f t="shared" si="44"/>
        <v>4.7688876807076088</v>
      </c>
      <c r="AW64" s="162"/>
      <c r="AX64" s="162">
        <f t="shared" si="45"/>
        <v>1.1200000000000006</v>
      </c>
      <c r="AY64" s="170">
        <f t="shared" si="46"/>
        <v>1.1200000000000006</v>
      </c>
      <c r="AZ64" s="162">
        <f t="shared" si="6"/>
        <v>4.7688876807076088</v>
      </c>
      <c r="BA64" s="171">
        <f t="shared" si="47"/>
        <v>4.7688876807076088</v>
      </c>
      <c r="BB64" s="162"/>
      <c r="BC64" s="162">
        <f t="shared" si="48"/>
        <v>1.1200000000000006</v>
      </c>
      <c r="BD64" s="162">
        <f t="shared" si="49"/>
        <v>1.1200000000000006</v>
      </c>
      <c r="BE64" s="162">
        <f t="shared" si="7"/>
        <v>4.7688876807076088</v>
      </c>
      <c r="BF64" s="171">
        <f t="shared" si="50"/>
        <v>4.7688876807076088</v>
      </c>
      <c r="BG64" s="162"/>
      <c r="BH64" s="162">
        <f t="shared" si="51"/>
        <v>1.1200000000000006</v>
      </c>
      <c r="BI64" s="170">
        <f t="shared" si="52"/>
        <v>1.1200000000000006</v>
      </c>
      <c r="BJ64" s="162">
        <f t="shared" si="8"/>
        <v>4.7688876807076088</v>
      </c>
      <c r="BK64" s="171">
        <f t="shared" si="53"/>
        <v>4.7688876807076088</v>
      </c>
      <c r="BL64" s="162"/>
      <c r="BM64" s="162">
        <f t="shared" si="54"/>
        <v>1.1200000000000006</v>
      </c>
      <c r="BN64" s="170">
        <f t="shared" si="55"/>
        <v>1.1200000000000006</v>
      </c>
      <c r="BO64" s="162">
        <f t="shared" si="9"/>
        <v>4.7688876807076088</v>
      </c>
      <c r="BP64" s="171">
        <f t="shared" si="56"/>
        <v>4.7688876807076088</v>
      </c>
      <c r="BQ64" s="162"/>
      <c r="BR64" s="162">
        <f t="shared" si="57"/>
        <v>1.1200000000000006</v>
      </c>
      <c r="BS64" s="162">
        <f t="shared" si="58"/>
        <v>1.1200000000000006</v>
      </c>
      <c r="BT64" s="162">
        <f t="shared" si="10"/>
        <v>4.7688876807076088</v>
      </c>
      <c r="BU64" s="171">
        <f t="shared" si="59"/>
        <v>4.7688876807076088</v>
      </c>
      <c r="BV64" s="162"/>
      <c r="BW64" s="162">
        <f t="shared" si="60"/>
        <v>1.1200000000000006</v>
      </c>
      <c r="BX64" s="170">
        <f t="shared" si="61"/>
        <v>1.1200000000000006</v>
      </c>
      <c r="BY64" s="162">
        <f t="shared" si="11"/>
        <v>4.7688876807076088</v>
      </c>
      <c r="BZ64" s="171">
        <f t="shared" si="62"/>
        <v>4.7688876807076088</v>
      </c>
      <c r="CA64" s="162"/>
      <c r="CB64" s="162">
        <f t="shared" si="63"/>
        <v>1.1200000000000006</v>
      </c>
      <c r="CC64" s="170">
        <f t="shared" si="64"/>
        <v>1.1200000000000006</v>
      </c>
      <c r="CD64" s="162">
        <f t="shared" si="12"/>
        <v>4.7688876807076088</v>
      </c>
      <c r="CE64" s="171">
        <f t="shared" si="65"/>
        <v>4.7688876807076088</v>
      </c>
      <c r="CF64" s="162"/>
      <c r="CG64" s="172">
        <f t="shared" si="66"/>
        <v>1.1200000000000006</v>
      </c>
      <c r="CH64" s="172">
        <f t="shared" si="67"/>
        <v>1.1200000000000006</v>
      </c>
      <c r="CI64" s="172">
        <f t="shared" si="13"/>
        <v>4.7688876807076088</v>
      </c>
      <c r="CJ64" s="171">
        <f t="shared" si="68"/>
        <v>4.7688876807076088</v>
      </c>
      <c r="CK64" s="172"/>
      <c r="CL64" s="162">
        <f t="shared" si="69"/>
        <v>1.1200000000000006</v>
      </c>
      <c r="CM64" s="170">
        <f t="shared" si="70"/>
        <v>1.1200000000000006</v>
      </c>
      <c r="CN64" s="162">
        <f t="shared" si="14"/>
        <v>4.7688876807076088</v>
      </c>
      <c r="CO64" s="171">
        <f t="shared" si="71"/>
        <v>4.7688876807076088</v>
      </c>
      <c r="CP64" s="162"/>
      <c r="CQ64" s="162">
        <f t="shared" si="72"/>
        <v>1.1200000000000006</v>
      </c>
      <c r="CR64" s="170">
        <f t="shared" si="73"/>
        <v>1.1200000000000006</v>
      </c>
      <c r="CS64" s="162">
        <f t="shared" si="15"/>
        <v>4.7688876807076088</v>
      </c>
      <c r="CT64" s="171">
        <f t="shared" si="74"/>
        <v>4.7688876807076088</v>
      </c>
      <c r="CU64" s="162"/>
      <c r="CV64" s="162">
        <f t="shared" si="75"/>
        <v>1.1200000000000006</v>
      </c>
      <c r="CW64" s="162">
        <f t="shared" si="76"/>
        <v>1.1200000000000006</v>
      </c>
      <c r="CX64" s="162">
        <f t="shared" si="16"/>
        <v>4.7688876807076088</v>
      </c>
      <c r="CY64" s="171">
        <f t="shared" si="77"/>
        <v>4.7688876807076088</v>
      </c>
      <c r="CZ64" s="162"/>
      <c r="DA64" s="162">
        <f t="shared" si="78"/>
        <v>1.1200000000000006</v>
      </c>
      <c r="DB64" s="170">
        <f t="shared" si="79"/>
        <v>1.1200000000000006</v>
      </c>
      <c r="DC64" s="162">
        <f t="shared" si="17"/>
        <v>4.7688876807076088</v>
      </c>
      <c r="DD64" s="171">
        <f t="shared" si="80"/>
        <v>4.7688876807076088</v>
      </c>
      <c r="DE64" s="162"/>
      <c r="DF64" s="162">
        <f t="shared" si="81"/>
        <v>1.1200000000000006</v>
      </c>
      <c r="DG64" s="170">
        <f t="shared" si="82"/>
        <v>1.1200000000000006</v>
      </c>
      <c r="DH64" s="162">
        <f t="shared" si="18"/>
        <v>4.7688876807076088</v>
      </c>
      <c r="DI64" s="171">
        <f t="shared" si="83"/>
        <v>4.7688876807076088</v>
      </c>
      <c r="DJ64" s="162"/>
      <c r="DK64" s="162">
        <f t="shared" si="84"/>
        <v>1.1200000000000006</v>
      </c>
      <c r="DL64" s="162">
        <f t="shared" si="85"/>
        <v>1.1200000000000006</v>
      </c>
      <c r="DM64" s="162">
        <f t="shared" si="19"/>
        <v>4.7688876807076088</v>
      </c>
      <c r="DN64" s="171">
        <f t="shared" si="86"/>
        <v>4.7688876807076088</v>
      </c>
      <c r="DO64" s="162"/>
      <c r="DP64" s="162">
        <f t="shared" si="87"/>
        <v>1.1200000000000006</v>
      </c>
      <c r="DQ64" s="170">
        <f t="shared" si="88"/>
        <v>1.1200000000000006</v>
      </c>
      <c r="DR64" s="162">
        <f t="shared" si="20"/>
        <v>4.7688876807076088</v>
      </c>
      <c r="DS64" s="171">
        <f t="shared" si="89"/>
        <v>4.7688876807076088</v>
      </c>
      <c r="DT64" s="162"/>
      <c r="DU64" s="162">
        <f t="shared" si="90"/>
        <v>1.1200000000000006</v>
      </c>
      <c r="DV64" s="170">
        <f t="shared" si="91"/>
        <v>1.1200000000000006</v>
      </c>
      <c r="DW64" s="162">
        <f t="shared" si="21"/>
        <v>4.7688876807076088</v>
      </c>
      <c r="DX64" s="171">
        <f t="shared" si="92"/>
        <v>4.7688876807076088</v>
      </c>
      <c r="DY64" s="162"/>
      <c r="DZ64" s="162">
        <f t="shared" si="93"/>
        <v>1.1200000000000006</v>
      </c>
      <c r="EA64" s="162">
        <f t="shared" si="94"/>
        <v>1.1200000000000006</v>
      </c>
      <c r="EB64" s="162">
        <f t="shared" si="22"/>
        <v>4.7688876807076088</v>
      </c>
      <c r="EC64" s="171">
        <f t="shared" si="95"/>
        <v>4.7688876807076088</v>
      </c>
      <c r="ED64" s="162"/>
      <c r="EE64" s="162">
        <f t="shared" si="96"/>
        <v>1.1200000000000006</v>
      </c>
      <c r="EF64" s="170">
        <f t="shared" si="97"/>
        <v>1.1200000000000006</v>
      </c>
      <c r="EG64" s="162">
        <f t="shared" si="23"/>
        <v>4.7688876807076088</v>
      </c>
      <c r="EH64" s="171">
        <f t="shared" si="98"/>
        <v>4.7688876807076088</v>
      </c>
      <c r="EI64" s="162"/>
      <c r="EJ64" s="162">
        <f t="shared" si="99"/>
        <v>1.1200000000000006</v>
      </c>
      <c r="EK64" s="170">
        <f t="shared" si="100"/>
        <v>1.1200000000000006</v>
      </c>
      <c r="EL64" s="162">
        <f t="shared" si="24"/>
        <v>4.7688876807076088</v>
      </c>
      <c r="EM64" s="171">
        <f t="shared" si="101"/>
        <v>4.7688876807076088</v>
      </c>
      <c r="EN64" s="162"/>
      <c r="EO64" s="162">
        <f t="shared" si="102"/>
        <v>1.1200000000000006</v>
      </c>
      <c r="EP64" s="162">
        <f t="shared" si="103"/>
        <v>1.1200000000000006</v>
      </c>
      <c r="EQ64" s="162">
        <f t="shared" si="25"/>
        <v>4.7688876807076088</v>
      </c>
      <c r="ER64" s="171">
        <f t="shared" si="104"/>
        <v>4.7688876807076088</v>
      </c>
      <c r="ES64" s="162"/>
      <c r="ET64" s="162">
        <f t="shared" si="105"/>
        <v>1.1200000000000006</v>
      </c>
      <c r="EU64" s="170">
        <f t="shared" si="106"/>
        <v>1.1200000000000006</v>
      </c>
      <c r="EV64" s="162">
        <f t="shared" si="26"/>
        <v>4.7688876807076088</v>
      </c>
      <c r="EW64" s="171">
        <f t="shared" si="107"/>
        <v>4.7688876807076088</v>
      </c>
      <c r="EX64" s="162"/>
    </row>
    <row r="65" spans="20:154" s="181" customFormat="1" x14ac:dyDescent="0.25">
      <c r="T65" s="162">
        <f t="shared" si="27"/>
        <v>1.1400000000000006</v>
      </c>
      <c r="U65" s="170">
        <f t="shared" si="28"/>
        <v>1.1400000000000006</v>
      </c>
      <c r="V65" s="162">
        <f t="shared" si="0"/>
        <v>4.7732823479766022</v>
      </c>
      <c r="W65" s="171">
        <f t="shared" si="29"/>
        <v>4.7732823479766022</v>
      </c>
      <c r="X65" s="162"/>
      <c r="Y65" s="162">
        <f t="shared" si="30"/>
        <v>1.1400000000000006</v>
      </c>
      <c r="Z65" s="162">
        <f t="shared" si="31"/>
        <v>1.1400000000000006</v>
      </c>
      <c r="AA65" s="162">
        <f t="shared" si="1"/>
        <v>4.7732823479766022</v>
      </c>
      <c r="AB65" s="171">
        <f t="shared" si="32"/>
        <v>4.7732823479766022</v>
      </c>
      <c r="AC65" s="162"/>
      <c r="AD65" s="162">
        <f t="shared" si="33"/>
        <v>1.1400000000000006</v>
      </c>
      <c r="AE65" s="170">
        <f t="shared" si="34"/>
        <v>1.1400000000000006</v>
      </c>
      <c r="AF65" s="162">
        <f t="shared" si="2"/>
        <v>4.7732823479766022</v>
      </c>
      <c r="AG65" s="171">
        <f t="shared" si="35"/>
        <v>4.7732823479766022</v>
      </c>
      <c r="AH65" s="162"/>
      <c r="AI65" s="162">
        <f t="shared" si="36"/>
        <v>1.1400000000000006</v>
      </c>
      <c r="AJ65" s="170">
        <f t="shared" si="37"/>
        <v>1.1400000000000006</v>
      </c>
      <c r="AK65" s="162">
        <f t="shared" si="3"/>
        <v>4.7732823479766022</v>
      </c>
      <c r="AL65" s="171">
        <f t="shared" si="38"/>
        <v>4.7732823479766022</v>
      </c>
      <c r="AM65" s="162"/>
      <c r="AN65" s="162">
        <f t="shared" si="39"/>
        <v>1.1400000000000006</v>
      </c>
      <c r="AO65" s="162">
        <f t="shared" si="40"/>
        <v>1.1400000000000006</v>
      </c>
      <c r="AP65" s="162">
        <f t="shared" si="4"/>
        <v>4.7732823479766022</v>
      </c>
      <c r="AQ65" s="171">
        <f t="shared" si="41"/>
        <v>4.7732823479766022</v>
      </c>
      <c r="AR65" s="162"/>
      <c r="AS65" s="162">
        <f t="shared" si="42"/>
        <v>1.1400000000000006</v>
      </c>
      <c r="AT65" s="170">
        <f t="shared" si="43"/>
        <v>1.1400000000000006</v>
      </c>
      <c r="AU65" s="162">
        <f t="shared" si="5"/>
        <v>4.7732823479766022</v>
      </c>
      <c r="AV65" s="171">
        <f t="shared" si="44"/>
        <v>4.7732823479766022</v>
      </c>
      <c r="AW65" s="162"/>
      <c r="AX65" s="162">
        <f t="shared" si="45"/>
        <v>1.1400000000000006</v>
      </c>
      <c r="AY65" s="170">
        <f t="shared" si="46"/>
        <v>1.1400000000000006</v>
      </c>
      <c r="AZ65" s="162">
        <f t="shared" si="6"/>
        <v>4.7732823479766022</v>
      </c>
      <c r="BA65" s="171">
        <f t="shared" si="47"/>
        <v>4.7732823479766022</v>
      </c>
      <c r="BB65" s="162"/>
      <c r="BC65" s="162">
        <f t="shared" si="48"/>
        <v>1.1400000000000006</v>
      </c>
      <c r="BD65" s="162">
        <f t="shared" si="49"/>
        <v>1.1400000000000006</v>
      </c>
      <c r="BE65" s="162">
        <f t="shared" si="7"/>
        <v>4.7732823479766022</v>
      </c>
      <c r="BF65" s="171">
        <f t="shared" si="50"/>
        <v>4.7732823479766022</v>
      </c>
      <c r="BG65" s="162"/>
      <c r="BH65" s="162">
        <f t="shared" si="51"/>
        <v>1.1400000000000006</v>
      </c>
      <c r="BI65" s="170">
        <f t="shared" si="52"/>
        <v>1.1400000000000006</v>
      </c>
      <c r="BJ65" s="162">
        <f t="shared" si="8"/>
        <v>4.7732823479766022</v>
      </c>
      <c r="BK65" s="171">
        <f t="shared" si="53"/>
        <v>4.7732823479766022</v>
      </c>
      <c r="BL65" s="162"/>
      <c r="BM65" s="162">
        <f t="shared" si="54"/>
        <v>1.1400000000000006</v>
      </c>
      <c r="BN65" s="170">
        <f t="shared" si="55"/>
        <v>1.1400000000000006</v>
      </c>
      <c r="BO65" s="162">
        <f t="shared" si="9"/>
        <v>4.7732823479766022</v>
      </c>
      <c r="BP65" s="171">
        <f t="shared" si="56"/>
        <v>4.7732823479766022</v>
      </c>
      <c r="BQ65" s="162"/>
      <c r="BR65" s="162">
        <f t="shared" si="57"/>
        <v>1.1400000000000006</v>
      </c>
      <c r="BS65" s="162">
        <f t="shared" si="58"/>
        <v>1.1400000000000006</v>
      </c>
      <c r="BT65" s="162">
        <f t="shared" si="10"/>
        <v>4.7732823479766022</v>
      </c>
      <c r="BU65" s="171">
        <f t="shared" si="59"/>
        <v>4.7732823479766022</v>
      </c>
      <c r="BV65" s="162"/>
      <c r="BW65" s="162">
        <f t="shared" si="60"/>
        <v>1.1400000000000006</v>
      </c>
      <c r="BX65" s="170">
        <f t="shared" si="61"/>
        <v>1.1400000000000006</v>
      </c>
      <c r="BY65" s="162">
        <f t="shared" si="11"/>
        <v>4.7732823479766022</v>
      </c>
      <c r="BZ65" s="171">
        <f t="shared" si="62"/>
        <v>4.7732823479766022</v>
      </c>
      <c r="CA65" s="162"/>
      <c r="CB65" s="162">
        <f t="shared" si="63"/>
        <v>1.1400000000000006</v>
      </c>
      <c r="CC65" s="170">
        <f t="shared" si="64"/>
        <v>1.1400000000000006</v>
      </c>
      <c r="CD65" s="162">
        <f t="shared" si="12"/>
        <v>4.7732823479766022</v>
      </c>
      <c r="CE65" s="171">
        <f t="shared" si="65"/>
        <v>4.7732823479766022</v>
      </c>
      <c r="CF65" s="162"/>
      <c r="CG65" s="172">
        <f t="shared" si="66"/>
        <v>1.1400000000000006</v>
      </c>
      <c r="CH65" s="172">
        <f t="shared" si="67"/>
        <v>1.1400000000000006</v>
      </c>
      <c r="CI65" s="172">
        <f t="shared" si="13"/>
        <v>4.7732823479766022</v>
      </c>
      <c r="CJ65" s="171">
        <f t="shared" si="68"/>
        <v>4.7732823479766022</v>
      </c>
      <c r="CK65" s="172"/>
      <c r="CL65" s="162">
        <f t="shared" si="69"/>
        <v>1.1400000000000006</v>
      </c>
      <c r="CM65" s="170">
        <f t="shared" si="70"/>
        <v>1.1400000000000006</v>
      </c>
      <c r="CN65" s="162">
        <f t="shared" si="14"/>
        <v>4.7732823479766022</v>
      </c>
      <c r="CO65" s="171">
        <f t="shared" si="71"/>
        <v>4.7732823479766022</v>
      </c>
      <c r="CP65" s="162"/>
      <c r="CQ65" s="162">
        <f t="shared" si="72"/>
        <v>1.1400000000000006</v>
      </c>
      <c r="CR65" s="170">
        <f t="shared" si="73"/>
        <v>1.1400000000000006</v>
      </c>
      <c r="CS65" s="162">
        <f t="shared" si="15"/>
        <v>4.7732823479766022</v>
      </c>
      <c r="CT65" s="171">
        <f t="shared" si="74"/>
        <v>4.7732823479766022</v>
      </c>
      <c r="CU65" s="162"/>
      <c r="CV65" s="162">
        <f t="shared" si="75"/>
        <v>1.1400000000000006</v>
      </c>
      <c r="CW65" s="162">
        <f t="shared" si="76"/>
        <v>1.1400000000000006</v>
      </c>
      <c r="CX65" s="162">
        <f t="shared" si="16"/>
        <v>4.7732823479766022</v>
      </c>
      <c r="CY65" s="171">
        <f t="shared" si="77"/>
        <v>4.7732823479766022</v>
      </c>
      <c r="CZ65" s="162"/>
      <c r="DA65" s="162">
        <f t="shared" si="78"/>
        <v>1.1400000000000006</v>
      </c>
      <c r="DB65" s="170">
        <f t="shared" si="79"/>
        <v>1.1400000000000006</v>
      </c>
      <c r="DC65" s="162">
        <f t="shared" si="17"/>
        <v>4.7732823479766022</v>
      </c>
      <c r="DD65" s="171">
        <f t="shared" si="80"/>
        <v>4.7732823479766022</v>
      </c>
      <c r="DE65" s="162"/>
      <c r="DF65" s="162">
        <f t="shared" si="81"/>
        <v>1.1400000000000006</v>
      </c>
      <c r="DG65" s="170">
        <f t="shared" si="82"/>
        <v>1.1400000000000006</v>
      </c>
      <c r="DH65" s="162">
        <f t="shared" si="18"/>
        <v>4.7732823479766022</v>
      </c>
      <c r="DI65" s="171">
        <f t="shared" si="83"/>
        <v>4.7732823479766022</v>
      </c>
      <c r="DJ65" s="162"/>
      <c r="DK65" s="162">
        <f t="shared" si="84"/>
        <v>1.1400000000000006</v>
      </c>
      <c r="DL65" s="162">
        <f t="shared" si="85"/>
        <v>1.1400000000000006</v>
      </c>
      <c r="DM65" s="162">
        <f t="shared" si="19"/>
        <v>4.7732823479766022</v>
      </c>
      <c r="DN65" s="171">
        <f t="shared" si="86"/>
        <v>4.7732823479766022</v>
      </c>
      <c r="DO65" s="162"/>
      <c r="DP65" s="162">
        <f t="shared" si="87"/>
        <v>1.1400000000000006</v>
      </c>
      <c r="DQ65" s="170">
        <f t="shared" si="88"/>
        <v>1.1400000000000006</v>
      </c>
      <c r="DR65" s="162">
        <f t="shared" si="20"/>
        <v>4.7732823479766022</v>
      </c>
      <c r="DS65" s="171">
        <f t="shared" si="89"/>
        <v>4.7732823479766022</v>
      </c>
      <c r="DT65" s="162"/>
      <c r="DU65" s="162">
        <f t="shared" si="90"/>
        <v>1.1400000000000006</v>
      </c>
      <c r="DV65" s="170">
        <f t="shared" si="91"/>
        <v>1.1400000000000006</v>
      </c>
      <c r="DW65" s="162">
        <f t="shared" si="21"/>
        <v>4.7732823479766022</v>
      </c>
      <c r="DX65" s="171">
        <f t="shared" si="92"/>
        <v>4.7732823479766022</v>
      </c>
      <c r="DY65" s="162"/>
      <c r="DZ65" s="162">
        <f t="shared" si="93"/>
        <v>1.1400000000000006</v>
      </c>
      <c r="EA65" s="162">
        <f t="shared" si="94"/>
        <v>1.1400000000000006</v>
      </c>
      <c r="EB65" s="162">
        <f t="shared" si="22"/>
        <v>4.7732823479766022</v>
      </c>
      <c r="EC65" s="171">
        <f t="shared" si="95"/>
        <v>4.7732823479766022</v>
      </c>
      <c r="ED65" s="162"/>
      <c r="EE65" s="162">
        <f t="shared" si="96"/>
        <v>1.1400000000000006</v>
      </c>
      <c r="EF65" s="170">
        <f t="shared" si="97"/>
        <v>1.1400000000000006</v>
      </c>
      <c r="EG65" s="162">
        <f t="shared" si="23"/>
        <v>4.7732823479766022</v>
      </c>
      <c r="EH65" s="171">
        <f t="shared" si="98"/>
        <v>4.7732823479766022</v>
      </c>
      <c r="EI65" s="162"/>
      <c r="EJ65" s="162">
        <f t="shared" si="99"/>
        <v>1.1400000000000006</v>
      </c>
      <c r="EK65" s="170">
        <f t="shared" si="100"/>
        <v>1.1400000000000006</v>
      </c>
      <c r="EL65" s="162">
        <f t="shared" si="24"/>
        <v>4.7732823479766022</v>
      </c>
      <c r="EM65" s="171">
        <f t="shared" si="101"/>
        <v>4.7732823479766022</v>
      </c>
      <c r="EN65" s="162"/>
      <c r="EO65" s="162">
        <f t="shared" si="102"/>
        <v>1.1400000000000006</v>
      </c>
      <c r="EP65" s="162">
        <f t="shared" si="103"/>
        <v>1.1400000000000006</v>
      </c>
      <c r="EQ65" s="162">
        <f t="shared" si="25"/>
        <v>4.7732823479766022</v>
      </c>
      <c r="ER65" s="171">
        <f t="shared" si="104"/>
        <v>4.7732823479766022</v>
      </c>
      <c r="ES65" s="162"/>
      <c r="ET65" s="162">
        <f t="shared" si="105"/>
        <v>1.1400000000000006</v>
      </c>
      <c r="EU65" s="170">
        <f t="shared" si="106"/>
        <v>1.1400000000000006</v>
      </c>
      <c r="EV65" s="162">
        <f t="shared" si="26"/>
        <v>4.7732823479766022</v>
      </c>
      <c r="EW65" s="171">
        <f t="shared" si="107"/>
        <v>4.7732823479766022</v>
      </c>
      <c r="EX65" s="162"/>
    </row>
    <row r="66" spans="20:154" s="181" customFormat="1" x14ac:dyDescent="0.25">
      <c r="T66" s="162">
        <f t="shared" si="27"/>
        <v>1.1600000000000006</v>
      </c>
      <c r="U66" s="170">
        <f t="shared" si="28"/>
        <v>1.1600000000000006</v>
      </c>
      <c r="V66" s="162">
        <f t="shared" si="0"/>
        <v>4.7749685025177477</v>
      </c>
      <c r="W66" s="171">
        <f t="shared" si="29"/>
        <v>4.7749685025177477</v>
      </c>
      <c r="X66" s="162"/>
      <c r="Y66" s="162">
        <f t="shared" si="30"/>
        <v>1.1600000000000006</v>
      </c>
      <c r="Z66" s="162">
        <f t="shared" si="31"/>
        <v>1.1600000000000006</v>
      </c>
      <c r="AA66" s="162">
        <f t="shared" si="1"/>
        <v>4.7749685025177477</v>
      </c>
      <c r="AB66" s="171">
        <f t="shared" si="32"/>
        <v>4.7749685025177477</v>
      </c>
      <c r="AC66" s="162"/>
      <c r="AD66" s="162">
        <f t="shared" si="33"/>
        <v>1.1600000000000006</v>
      </c>
      <c r="AE66" s="170">
        <f t="shared" si="34"/>
        <v>1.1600000000000006</v>
      </c>
      <c r="AF66" s="162">
        <f t="shared" si="2"/>
        <v>4.7749685025177477</v>
      </c>
      <c r="AG66" s="171">
        <f t="shared" si="35"/>
        <v>4.7749685025177477</v>
      </c>
      <c r="AH66" s="162"/>
      <c r="AI66" s="162">
        <f t="shared" si="36"/>
        <v>1.1600000000000006</v>
      </c>
      <c r="AJ66" s="170">
        <f t="shared" si="37"/>
        <v>1.1600000000000006</v>
      </c>
      <c r="AK66" s="162">
        <f t="shared" si="3"/>
        <v>4.7749685025177477</v>
      </c>
      <c r="AL66" s="171">
        <f t="shared" si="38"/>
        <v>4.7749685025177477</v>
      </c>
      <c r="AM66" s="162"/>
      <c r="AN66" s="162">
        <f t="shared" si="39"/>
        <v>1.1600000000000006</v>
      </c>
      <c r="AO66" s="162">
        <f t="shared" si="40"/>
        <v>1.1600000000000006</v>
      </c>
      <c r="AP66" s="162">
        <f t="shared" si="4"/>
        <v>4.7749685025177477</v>
      </c>
      <c r="AQ66" s="171">
        <f t="shared" si="41"/>
        <v>4.7749685025177477</v>
      </c>
      <c r="AR66" s="162"/>
      <c r="AS66" s="162">
        <f t="shared" si="42"/>
        <v>1.1600000000000006</v>
      </c>
      <c r="AT66" s="170">
        <f t="shared" si="43"/>
        <v>1.1600000000000006</v>
      </c>
      <c r="AU66" s="162">
        <f t="shared" si="5"/>
        <v>4.7749685025177477</v>
      </c>
      <c r="AV66" s="171">
        <f t="shared" si="44"/>
        <v>4.7749685025177477</v>
      </c>
      <c r="AW66" s="162"/>
      <c r="AX66" s="162">
        <f t="shared" si="45"/>
        <v>1.1600000000000006</v>
      </c>
      <c r="AY66" s="170">
        <f t="shared" si="46"/>
        <v>1.1600000000000006</v>
      </c>
      <c r="AZ66" s="162">
        <f t="shared" si="6"/>
        <v>4.7749685025177477</v>
      </c>
      <c r="BA66" s="171">
        <f t="shared" si="47"/>
        <v>4.7749685025177477</v>
      </c>
      <c r="BB66" s="162"/>
      <c r="BC66" s="162">
        <f t="shared" si="48"/>
        <v>1.1600000000000006</v>
      </c>
      <c r="BD66" s="162">
        <f t="shared" si="49"/>
        <v>1.1600000000000006</v>
      </c>
      <c r="BE66" s="162">
        <f t="shared" si="7"/>
        <v>4.7749685025177477</v>
      </c>
      <c r="BF66" s="171">
        <f t="shared" si="50"/>
        <v>4.7749685025177477</v>
      </c>
      <c r="BG66" s="162"/>
      <c r="BH66" s="162">
        <f t="shared" si="51"/>
        <v>1.1600000000000006</v>
      </c>
      <c r="BI66" s="170">
        <f t="shared" si="52"/>
        <v>1.1600000000000006</v>
      </c>
      <c r="BJ66" s="162">
        <f t="shared" si="8"/>
        <v>4.7749685025177477</v>
      </c>
      <c r="BK66" s="171">
        <f t="shared" si="53"/>
        <v>4.7749685025177477</v>
      </c>
      <c r="BL66" s="162"/>
      <c r="BM66" s="162">
        <f t="shared" si="54"/>
        <v>1.1600000000000006</v>
      </c>
      <c r="BN66" s="170">
        <f t="shared" si="55"/>
        <v>1.1600000000000006</v>
      </c>
      <c r="BO66" s="162">
        <f t="shared" si="9"/>
        <v>4.7749685025177477</v>
      </c>
      <c r="BP66" s="171">
        <f t="shared" si="56"/>
        <v>4.7749685025177477</v>
      </c>
      <c r="BQ66" s="162"/>
      <c r="BR66" s="162">
        <f t="shared" si="57"/>
        <v>1.1600000000000006</v>
      </c>
      <c r="BS66" s="162">
        <f t="shared" si="58"/>
        <v>1.1600000000000006</v>
      </c>
      <c r="BT66" s="162">
        <f t="shared" si="10"/>
        <v>4.7749685025177477</v>
      </c>
      <c r="BU66" s="171">
        <f t="shared" si="59"/>
        <v>4.7749685025177477</v>
      </c>
      <c r="BV66" s="162"/>
      <c r="BW66" s="162">
        <f t="shared" si="60"/>
        <v>1.1600000000000006</v>
      </c>
      <c r="BX66" s="170">
        <f t="shared" si="61"/>
        <v>1.1600000000000006</v>
      </c>
      <c r="BY66" s="162">
        <f t="shared" si="11"/>
        <v>4.7749685025177477</v>
      </c>
      <c r="BZ66" s="171">
        <f t="shared" si="62"/>
        <v>4.7749685025177477</v>
      </c>
      <c r="CA66" s="162"/>
      <c r="CB66" s="162">
        <f t="shared" si="63"/>
        <v>1.1600000000000006</v>
      </c>
      <c r="CC66" s="170">
        <f t="shared" si="64"/>
        <v>1.1600000000000006</v>
      </c>
      <c r="CD66" s="162">
        <f t="shared" si="12"/>
        <v>4.7749685025177477</v>
      </c>
      <c r="CE66" s="171">
        <f t="shared" si="65"/>
        <v>4.7749685025177477</v>
      </c>
      <c r="CF66" s="162"/>
      <c r="CG66" s="172">
        <f t="shared" si="66"/>
        <v>1.1600000000000006</v>
      </c>
      <c r="CH66" s="172">
        <f t="shared" si="67"/>
        <v>1.1600000000000006</v>
      </c>
      <c r="CI66" s="172">
        <f t="shared" si="13"/>
        <v>4.7749685025177477</v>
      </c>
      <c r="CJ66" s="171">
        <f t="shared" si="68"/>
        <v>4.7749685025177477</v>
      </c>
      <c r="CK66" s="172"/>
      <c r="CL66" s="162">
        <f t="shared" si="69"/>
        <v>1.1600000000000006</v>
      </c>
      <c r="CM66" s="170">
        <f t="shared" si="70"/>
        <v>1.1600000000000006</v>
      </c>
      <c r="CN66" s="162">
        <f t="shared" si="14"/>
        <v>4.7749685025177477</v>
      </c>
      <c r="CO66" s="171">
        <f t="shared" si="71"/>
        <v>4.7749685025177477</v>
      </c>
      <c r="CP66" s="162"/>
      <c r="CQ66" s="162">
        <f t="shared" si="72"/>
        <v>1.1600000000000006</v>
      </c>
      <c r="CR66" s="170">
        <f t="shared" si="73"/>
        <v>1.1600000000000006</v>
      </c>
      <c r="CS66" s="162">
        <f t="shared" si="15"/>
        <v>4.7749685025177477</v>
      </c>
      <c r="CT66" s="171">
        <f t="shared" si="74"/>
        <v>4.7749685025177477</v>
      </c>
      <c r="CU66" s="162"/>
      <c r="CV66" s="162">
        <f t="shared" si="75"/>
        <v>1.1600000000000006</v>
      </c>
      <c r="CW66" s="162">
        <f t="shared" si="76"/>
        <v>1.1600000000000006</v>
      </c>
      <c r="CX66" s="162">
        <f t="shared" si="16"/>
        <v>4.7749685025177477</v>
      </c>
      <c r="CY66" s="171">
        <f t="shared" si="77"/>
        <v>4.7749685025177477</v>
      </c>
      <c r="CZ66" s="162"/>
      <c r="DA66" s="162">
        <f t="shared" si="78"/>
        <v>1.1600000000000006</v>
      </c>
      <c r="DB66" s="170">
        <f t="shared" si="79"/>
        <v>1.1600000000000006</v>
      </c>
      <c r="DC66" s="162">
        <f t="shared" si="17"/>
        <v>4.7749685025177477</v>
      </c>
      <c r="DD66" s="171">
        <f t="shared" si="80"/>
        <v>4.7749685025177477</v>
      </c>
      <c r="DE66" s="162"/>
      <c r="DF66" s="162">
        <f t="shared" si="81"/>
        <v>1.1600000000000006</v>
      </c>
      <c r="DG66" s="170">
        <f t="shared" si="82"/>
        <v>1.1600000000000006</v>
      </c>
      <c r="DH66" s="162">
        <f t="shared" si="18"/>
        <v>4.7749685025177477</v>
      </c>
      <c r="DI66" s="171">
        <f t="shared" si="83"/>
        <v>4.7749685025177477</v>
      </c>
      <c r="DJ66" s="162"/>
      <c r="DK66" s="162">
        <f t="shared" si="84"/>
        <v>1.1600000000000006</v>
      </c>
      <c r="DL66" s="162">
        <f t="shared" si="85"/>
        <v>1.1600000000000006</v>
      </c>
      <c r="DM66" s="162">
        <f t="shared" si="19"/>
        <v>4.7749685025177477</v>
      </c>
      <c r="DN66" s="171">
        <f t="shared" si="86"/>
        <v>4.7749685025177477</v>
      </c>
      <c r="DO66" s="162"/>
      <c r="DP66" s="162">
        <f t="shared" si="87"/>
        <v>1.1600000000000006</v>
      </c>
      <c r="DQ66" s="170">
        <f t="shared" si="88"/>
        <v>1.1600000000000006</v>
      </c>
      <c r="DR66" s="162">
        <f t="shared" si="20"/>
        <v>4.7749685025177477</v>
      </c>
      <c r="DS66" s="171">
        <f t="shared" si="89"/>
        <v>4.7749685025177477</v>
      </c>
      <c r="DT66" s="162"/>
      <c r="DU66" s="162">
        <f t="shared" si="90"/>
        <v>1.1600000000000006</v>
      </c>
      <c r="DV66" s="170">
        <f t="shared" si="91"/>
        <v>1.1600000000000006</v>
      </c>
      <c r="DW66" s="162">
        <f t="shared" si="21"/>
        <v>4.7749685025177477</v>
      </c>
      <c r="DX66" s="171">
        <f t="shared" si="92"/>
        <v>4.7749685025177477</v>
      </c>
      <c r="DY66" s="162"/>
      <c r="DZ66" s="162">
        <f t="shared" si="93"/>
        <v>1.1600000000000006</v>
      </c>
      <c r="EA66" s="162">
        <f t="shared" si="94"/>
        <v>1.1600000000000006</v>
      </c>
      <c r="EB66" s="162">
        <f t="shared" si="22"/>
        <v>4.7749685025177477</v>
      </c>
      <c r="EC66" s="171">
        <f t="shared" si="95"/>
        <v>4.7749685025177477</v>
      </c>
      <c r="ED66" s="162"/>
      <c r="EE66" s="162">
        <f t="shared" si="96"/>
        <v>1.1600000000000006</v>
      </c>
      <c r="EF66" s="170">
        <f t="shared" si="97"/>
        <v>1.1600000000000006</v>
      </c>
      <c r="EG66" s="162">
        <f t="shared" si="23"/>
        <v>4.7749685025177477</v>
      </c>
      <c r="EH66" s="171">
        <f t="shared" si="98"/>
        <v>4.7749685025177477</v>
      </c>
      <c r="EI66" s="162"/>
      <c r="EJ66" s="162">
        <f t="shared" si="99"/>
        <v>1.1600000000000006</v>
      </c>
      <c r="EK66" s="170">
        <f t="shared" si="100"/>
        <v>1.1600000000000006</v>
      </c>
      <c r="EL66" s="162">
        <f t="shared" si="24"/>
        <v>4.7749685025177477</v>
      </c>
      <c r="EM66" s="171">
        <f t="shared" si="101"/>
        <v>4.7749685025177477</v>
      </c>
      <c r="EN66" s="162"/>
      <c r="EO66" s="162">
        <f t="shared" si="102"/>
        <v>1.1600000000000006</v>
      </c>
      <c r="EP66" s="162">
        <f t="shared" si="103"/>
        <v>1.1600000000000006</v>
      </c>
      <c r="EQ66" s="162">
        <f t="shared" si="25"/>
        <v>4.7749685025177477</v>
      </c>
      <c r="ER66" s="171">
        <f t="shared" si="104"/>
        <v>4.7749685025177477</v>
      </c>
      <c r="ES66" s="162"/>
      <c r="ET66" s="162">
        <f t="shared" si="105"/>
        <v>1.1600000000000006</v>
      </c>
      <c r="EU66" s="170">
        <f t="shared" si="106"/>
        <v>1.1600000000000006</v>
      </c>
      <c r="EV66" s="162">
        <f t="shared" si="26"/>
        <v>4.7749685025177477</v>
      </c>
      <c r="EW66" s="171">
        <f t="shared" si="107"/>
        <v>4.7749685025177477</v>
      </c>
      <c r="EX66" s="162"/>
    </row>
    <row r="67" spans="20:154" s="181" customFormat="1" x14ac:dyDescent="0.25">
      <c r="T67" s="162">
        <f t="shared" si="27"/>
        <v>1.1800000000000006</v>
      </c>
      <c r="U67" s="170">
        <f t="shared" si="28"/>
        <v>1.1800000000000006</v>
      </c>
      <c r="V67" s="162">
        <f t="shared" si="0"/>
        <v>4.773946144331048</v>
      </c>
      <c r="W67" s="171">
        <f t="shared" si="29"/>
        <v>4.773946144331048</v>
      </c>
      <c r="X67" s="162"/>
      <c r="Y67" s="162">
        <f t="shared" si="30"/>
        <v>1.1800000000000006</v>
      </c>
      <c r="Z67" s="162">
        <f t="shared" si="31"/>
        <v>1.1800000000000006</v>
      </c>
      <c r="AA67" s="162">
        <f t="shared" si="1"/>
        <v>4.773946144331048</v>
      </c>
      <c r="AB67" s="171">
        <f t="shared" si="32"/>
        <v>4.773946144331048</v>
      </c>
      <c r="AC67" s="162"/>
      <c r="AD67" s="162">
        <f t="shared" si="33"/>
        <v>1.1800000000000006</v>
      </c>
      <c r="AE67" s="170">
        <f t="shared" si="34"/>
        <v>1.1800000000000006</v>
      </c>
      <c r="AF67" s="162">
        <f t="shared" si="2"/>
        <v>4.773946144331048</v>
      </c>
      <c r="AG67" s="171">
        <f t="shared" si="35"/>
        <v>4.773946144331048</v>
      </c>
      <c r="AH67" s="162"/>
      <c r="AI67" s="162">
        <f t="shared" si="36"/>
        <v>1.1800000000000006</v>
      </c>
      <c r="AJ67" s="170">
        <f t="shared" si="37"/>
        <v>1.1800000000000006</v>
      </c>
      <c r="AK67" s="162">
        <f t="shared" si="3"/>
        <v>4.773946144331048</v>
      </c>
      <c r="AL67" s="171">
        <f t="shared" si="38"/>
        <v>4.773946144331048</v>
      </c>
      <c r="AM67" s="162"/>
      <c r="AN67" s="162">
        <f t="shared" si="39"/>
        <v>1.1800000000000006</v>
      </c>
      <c r="AO67" s="162">
        <f t="shared" si="40"/>
        <v>1.1800000000000006</v>
      </c>
      <c r="AP67" s="162">
        <f t="shared" si="4"/>
        <v>4.773946144331048</v>
      </c>
      <c r="AQ67" s="171">
        <f t="shared" si="41"/>
        <v>4.773946144331048</v>
      </c>
      <c r="AR67" s="162"/>
      <c r="AS67" s="162">
        <f t="shared" si="42"/>
        <v>1.1800000000000006</v>
      </c>
      <c r="AT67" s="170">
        <f t="shared" si="43"/>
        <v>1.1800000000000006</v>
      </c>
      <c r="AU67" s="162">
        <f t="shared" si="5"/>
        <v>4.773946144331048</v>
      </c>
      <c r="AV67" s="171">
        <f t="shared" si="44"/>
        <v>4.773946144331048</v>
      </c>
      <c r="AW67" s="162"/>
      <c r="AX67" s="162">
        <f t="shared" si="45"/>
        <v>1.1800000000000006</v>
      </c>
      <c r="AY67" s="170">
        <f t="shared" si="46"/>
        <v>1.1800000000000006</v>
      </c>
      <c r="AZ67" s="162">
        <f t="shared" si="6"/>
        <v>4.773946144331048</v>
      </c>
      <c r="BA67" s="171">
        <f t="shared" si="47"/>
        <v>4.773946144331048</v>
      </c>
      <c r="BB67" s="162"/>
      <c r="BC67" s="162">
        <f t="shared" si="48"/>
        <v>1.1800000000000006</v>
      </c>
      <c r="BD67" s="162">
        <f t="shared" si="49"/>
        <v>1.1800000000000006</v>
      </c>
      <c r="BE67" s="162">
        <f t="shared" si="7"/>
        <v>4.773946144331048</v>
      </c>
      <c r="BF67" s="171">
        <f t="shared" si="50"/>
        <v>4.773946144331048</v>
      </c>
      <c r="BG67" s="162"/>
      <c r="BH67" s="162">
        <f t="shared" si="51"/>
        <v>1.1800000000000006</v>
      </c>
      <c r="BI67" s="170">
        <f t="shared" si="52"/>
        <v>1.1800000000000006</v>
      </c>
      <c r="BJ67" s="162">
        <f t="shared" si="8"/>
        <v>4.773946144331048</v>
      </c>
      <c r="BK67" s="171">
        <f t="shared" si="53"/>
        <v>4.773946144331048</v>
      </c>
      <c r="BL67" s="162"/>
      <c r="BM67" s="162">
        <f t="shared" si="54"/>
        <v>1.1800000000000006</v>
      </c>
      <c r="BN67" s="170">
        <f t="shared" si="55"/>
        <v>1.1800000000000006</v>
      </c>
      <c r="BO67" s="162">
        <f t="shared" si="9"/>
        <v>4.773946144331048</v>
      </c>
      <c r="BP67" s="171">
        <f t="shared" si="56"/>
        <v>4.773946144331048</v>
      </c>
      <c r="BQ67" s="162"/>
      <c r="BR67" s="162">
        <f t="shared" si="57"/>
        <v>1.1800000000000006</v>
      </c>
      <c r="BS67" s="162">
        <f t="shared" si="58"/>
        <v>1.1800000000000006</v>
      </c>
      <c r="BT67" s="162">
        <f t="shared" si="10"/>
        <v>4.773946144331048</v>
      </c>
      <c r="BU67" s="171">
        <f t="shared" si="59"/>
        <v>4.773946144331048</v>
      </c>
      <c r="BV67" s="162"/>
      <c r="BW67" s="162">
        <f t="shared" si="60"/>
        <v>1.1800000000000006</v>
      </c>
      <c r="BX67" s="170">
        <f t="shared" si="61"/>
        <v>1.1800000000000006</v>
      </c>
      <c r="BY67" s="162">
        <f t="shared" si="11"/>
        <v>4.773946144331048</v>
      </c>
      <c r="BZ67" s="171">
        <f t="shared" si="62"/>
        <v>4.773946144331048</v>
      </c>
      <c r="CA67" s="162"/>
      <c r="CB67" s="162">
        <f t="shared" si="63"/>
        <v>1.1800000000000006</v>
      </c>
      <c r="CC67" s="170">
        <f t="shared" si="64"/>
        <v>1.1800000000000006</v>
      </c>
      <c r="CD67" s="162">
        <f t="shared" si="12"/>
        <v>4.773946144331048</v>
      </c>
      <c r="CE67" s="171">
        <f t="shared" si="65"/>
        <v>4.773946144331048</v>
      </c>
      <c r="CF67" s="162"/>
      <c r="CG67" s="172">
        <f t="shared" si="66"/>
        <v>1.1800000000000006</v>
      </c>
      <c r="CH67" s="172">
        <f t="shared" si="67"/>
        <v>1.1800000000000006</v>
      </c>
      <c r="CI67" s="172">
        <f t="shared" si="13"/>
        <v>4.773946144331048</v>
      </c>
      <c r="CJ67" s="171">
        <f t="shared" si="68"/>
        <v>4.773946144331048</v>
      </c>
      <c r="CK67" s="172"/>
      <c r="CL67" s="162">
        <f t="shared" si="69"/>
        <v>1.1800000000000006</v>
      </c>
      <c r="CM67" s="170">
        <f t="shared" si="70"/>
        <v>1.1800000000000006</v>
      </c>
      <c r="CN67" s="162">
        <f t="shared" si="14"/>
        <v>4.773946144331048</v>
      </c>
      <c r="CO67" s="171">
        <f t="shared" si="71"/>
        <v>4.773946144331048</v>
      </c>
      <c r="CP67" s="162"/>
      <c r="CQ67" s="162">
        <f t="shared" si="72"/>
        <v>1.1800000000000006</v>
      </c>
      <c r="CR67" s="170">
        <f t="shared" si="73"/>
        <v>1.1800000000000006</v>
      </c>
      <c r="CS67" s="162">
        <f t="shared" si="15"/>
        <v>4.773946144331048</v>
      </c>
      <c r="CT67" s="171">
        <f t="shared" si="74"/>
        <v>4.773946144331048</v>
      </c>
      <c r="CU67" s="162"/>
      <c r="CV67" s="162">
        <f t="shared" si="75"/>
        <v>1.1800000000000006</v>
      </c>
      <c r="CW67" s="162">
        <f t="shared" si="76"/>
        <v>1.1800000000000006</v>
      </c>
      <c r="CX67" s="162">
        <f t="shared" si="16"/>
        <v>4.773946144331048</v>
      </c>
      <c r="CY67" s="171">
        <f t="shared" si="77"/>
        <v>4.773946144331048</v>
      </c>
      <c r="CZ67" s="162"/>
      <c r="DA67" s="162">
        <f t="shared" si="78"/>
        <v>1.1800000000000006</v>
      </c>
      <c r="DB67" s="170">
        <f t="shared" si="79"/>
        <v>1.1800000000000006</v>
      </c>
      <c r="DC67" s="162">
        <f t="shared" si="17"/>
        <v>4.773946144331048</v>
      </c>
      <c r="DD67" s="171">
        <f t="shared" si="80"/>
        <v>4.773946144331048</v>
      </c>
      <c r="DE67" s="162"/>
      <c r="DF67" s="162">
        <f t="shared" si="81"/>
        <v>1.1800000000000006</v>
      </c>
      <c r="DG67" s="170">
        <f t="shared" si="82"/>
        <v>1.1800000000000006</v>
      </c>
      <c r="DH67" s="162">
        <f t="shared" si="18"/>
        <v>4.773946144331048</v>
      </c>
      <c r="DI67" s="171">
        <f t="shared" si="83"/>
        <v>4.773946144331048</v>
      </c>
      <c r="DJ67" s="162"/>
      <c r="DK67" s="162">
        <f t="shared" si="84"/>
        <v>1.1800000000000006</v>
      </c>
      <c r="DL67" s="162">
        <f t="shared" si="85"/>
        <v>1.1800000000000006</v>
      </c>
      <c r="DM67" s="162">
        <f t="shared" si="19"/>
        <v>4.773946144331048</v>
      </c>
      <c r="DN67" s="171">
        <f t="shared" si="86"/>
        <v>4.773946144331048</v>
      </c>
      <c r="DO67" s="162"/>
      <c r="DP67" s="162">
        <f t="shared" si="87"/>
        <v>1.1800000000000006</v>
      </c>
      <c r="DQ67" s="170">
        <f t="shared" si="88"/>
        <v>1.1800000000000006</v>
      </c>
      <c r="DR67" s="162">
        <f t="shared" si="20"/>
        <v>4.773946144331048</v>
      </c>
      <c r="DS67" s="171">
        <f t="shared" si="89"/>
        <v>4.773946144331048</v>
      </c>
      <c r="DT67" s="162"/>
      <c r="DU67" s="162">
        <f t="shared" si="90"/>
        <v>1.1800000000000006</v>
      </c>
      <c r="DV67" s="170">
        <f t="shared" si="91"/>
        <v>1.1800000000000006</v>
      </c>
      <c r="DW67" s="162">
        <f t="shared" si="21"/>
        <v>4.773946144331048</v>
      </c>
      <c r="DX67" s="171">
        <f t="shared" si="92"/>
        <v>4.773946144331048</v>
      </c>
      <c r="DY67" s="162"/>
      <c r="DZ67" s="162">
        <f t="shared" si="93"/>
        <v>1.1800000000000006</v>
      </c>
      <c r="EA67" s="162">
        <f t="shared" si="94"/>
        <v>1.1800000000000006</v>
      </c>
      <c r="EB67" s="162">
        <f t="shared" si="22"/>
        <v>4.773946144331048</v>
      </c>
      <c r="EC67" s="171">
        <f t="shared" si="95"/>
        <v>4.773946144331048</v>
      </c>
      <c r="ED67" s="162"/>
      <c r="EE67" s="162">
        <f t="shared" si="96"/>
        <v>1.1800000000000006</v>
      </c>
      <c r="EF67" s="170">
        <f t="shared" si="97"/>
        <v>1.1800000000000006</v>
      </c>
      <c r="EG67" s="162">
        <f t="shared" si="23"/>
        <v>4.773946144331048</v>
      </c>
      <c r="EH67" s="171">
        <f t="shared" si="98"/>
        <v>4.773946144331048</v>
      </c>
      <c r="EI67" s="162"/>
      <c r="EJ67" s="162">
        <f t="shared" si="99"/>
        <v>1.1800000000000006</v>
      </c>
      <c r="EK67" s="170">
        <f t="shared" si="100"/>
        <v>1.1800000000000006</v>
      </c>
      <c r="EL67" s="162">
        <f t="shared" si="24"/>
        <v>4.773946144331048</v>
      </c>
      <c r="EM67" s="171">
        <f t="shared" si="101"/>
        <v>4.773946144331048</v>
      </c>
      <c r="EN67" s="162"/>
      <c r="EO67" s="162">
        <f t="shared" si="102"/>
        <v>1.1800000000000006</v>
      </c>
      <c r="EP67" s="162">
        <f t="shared" si="103"/>
        <v>1.1800000000000006</v>
      </c>
      <c r="EQ67" s="162">
        <f t="shared" si="25"/>
        <v>4.773946144331048</v>
      </c>
      <c r="ER67" s="171">
        <f t="shared" si="104"/>
        <v>4.773946144331048</v>
      </c>
      <c r="ES67" s="162"/>
      <c r="ET67" s="162">
        <f t="shared" si="105"/>
        <v>1.1800000000000006</v>
      </c>
      <c r="EU67" s="170">
        <f t="shared" si="106"/>
        <v>1.1800000000000006</v>
      </c>
      <c r="EV67" s="162">
        <f t="shared" si="26"/>
        <v>4.773946144331048</v>
      </c>
      <c r="EW67" s="171">
        <f t="shared" si="107"/>
        <v>4.773946144331048</v>
      </c>
      <c r="EX67" s="162"/>
    </row>
    <row r="68" spans="20:154" s="181" customFormat="1" x14ac:dyDescent="0.25">
      <c r="T68" s="162">
        <f t="shared" si="27"/>
        <v>1.2000000000000006</v>
      </c>
      <c r="U68" s="170">
        <f t="shared" si="28"/>
        <v>1.2000000000000006</v>
      </c>
      <c r="V68" s="162">
        <f t="shared" si="0"/>
        <v>4.7702152734165013</v>
      </c>
      <c r="W68" s="171">
        <f t="shared" si="29"/>
        <v>4.7702152734165013</v>
      </c>
      <c r="X68" s="162"/>
      <c r="Y68" s="162">
        <f t="shared" si="30"/>
        <v>1.2000000000000006</v>
      </c>
      <c r="Z68" s="162">
        <f t="shared" si="31"/>
        <v>1.2000000000000006</v>
      </c>
      <c r="AA68" s="162">
        <f t="shared" si="1"/>
        <v>4.7702152734165013</v>
      </c>
      <c r="AB68" s="171">
        <f t="shared" si="32"/>
        <v>4.7702152734165013</v>
      </c>
      <c r="AC68" s="162"/>
      <c r="AD68" s="162">
        <f t="shared" si="33"/>
        <v>1.2000000000000006</v>
      </c>
      <c r="AE68" s="170">
        <f t="shared" si="34"/>
        <v>1.2000000000000006</v>
      </c>
      <c r="AF68" s="162">
        <f t="shared" si="2"/>
        <v>4.7702152734165013</v>
      </c>
      <c r="AG68" s="171">
        <f t="shared" si="35"/>
        <v>4.7702152734165013</v>
      </c>
      <c r="AH68" s="162"/>
      <c r="AI68" s="162">
        <f t="shared" si="36"/>
        <v>1.2000000000000006</v>
      </c>
      <c r="AJ68" s="170">
        <f t="shared" si="37"/>
        <v>1.2000000000000006</v>
      </c>
      <c r="AK68" s="162">
        <f t="shared" si="3"/>
        <v>4.7702152734165013</v>
      </c>
      <c r="AL68" s="171">
        <f t="shared" si="38"/>
        <v>4.7702152734165013</v>
      </c>
      <c r="AM68" s="162"/>
      <c r="AN68" s="162">
        <f t="shared" si="39"/>
        <v>1.2000000000000006</v>
      </c>
      <c r="AO68" s="162">
        <f t="shared" si="40"/>
        <v>1.2000000000000006</v>
      </c>
      <c r="AP68" s="162">
        <f t="shared" si="4"/>
        <v>4.7702152734165013</v>
      </c>
      <c r="AQ68" s="171">
        <f t="shared" si="41"/>
        <v>4.7702152734165013</v>
      </c>
      <c r="AR68" s="162"/>
      <c r="AS68" s="162">
        <f t="shared" si="42"/>
        <v>1.2000000000000006</v>
      </c>
      <c r="AT68" s="170">
        <f t="shared" si="43"/>
        <v>1.2000000000000006</v>
      </c>
      <c r="AU68" s="162">
        <f t="shared" si="5"/>
        <v>4.7702152734165013</v>
      </c>
      <c r="AV68" s="171">
        <f t="shared" si="44"/>
        <v>4.7702152734165013</v>
      </c>
      <c r="AW68" s="162"/>
      <c r="AX68" s="162">
        <f t="shared" si="45"/>
        <v>1.2000000000000006</v>
      </c>
      <c r="AY68" s="170">
        <f t="shared" si="46"/>
        <v>1.2000000000000006</v>
      </c>
      <c r="AZ68" s="162">
        <f t="shared" si="6"/>
        <v>4.7702152734165013</v>
      </c>
      <c r="BA68" s="171">
        <f t="shared" si="47"/>
        <v>4.7702152734165013</v>
      </c>
      <c r="BB68" s="162"/>
      <c r="BC68" s="162">
        <f t="shared" si="48"/>
        <v>1.2000000000000006</v>
      </c>
      <c r="BD68" s="162">
        <f t="shared" si="49"/>
        <v>1.2000000000000006</v>
      </c>
      <c r="BE68" s="162">
        <f t="shared" si="7"/>
        <v>4.7702152734165013</v>
      </c>
      <c r="BF68" s="171">
        <f t="shared" si="50"/>
        <v>4.7702152734165013</v>
      </c>
      <c r="BG68" s="162"/>
      <c r="BH68" s="162">
        <f t="shared" si="51"/>
        <v>1.2000000000000006</v>
      </c>
      <c r="BI68" s="170">
        <f t="shared" si="52"/>
        <v>1.2000000000000006</v>
      </c>
      <c r="BJ68" s="162">
        <f t="shared" si="8"/>
        <v>4.7702152734165013</v>
      </c>
      <c r="BK68" s="171">
        <f t="shared" si="53"/>
        <v>4.7702152734165013</v>
      </c>
      <c r="BL68" s="162"/>
      <c r="BM68" s="162">
        <f t="shared" si="54"/>
        <v>1.2000000000000006</v>
      </c>
      <c r="BN68" s="170">
        <f t="shared" si="55"/>
        <v>1.2000000000000006</v>
      </c>
      <c r="BO68" s="162">
        <f t="shared" si="9"/>
        <v>4.7702152734165013</v>
      </c>
      <c r="BP68" s="171">
        <f t="shared" si="56"/>
        <v>4.7702152734165013</v>
      </c>
      <c r="BQ68" s="162"/>
      <c r="BR68" s="162">
        <f t="shared" si="57"/>
        <v>1.2000000000000006</v>
      </c>
      <c r="BS68" s="162">
        <f t="shared" si="58"/>
        <v>1.2000000000000006</v>
      </c>
      <c r="BT68" s="162">
        <f t="shared" si="10"/>
        <v>4.7702152734165013</v>
      </c>
      <c r="BU68" s="171">
        <f t="shared" si="59"/>
        <v>4.7702152734165013</v>
      </c>
      <c r="BV68" s="162"/>
      <c r="BW68" s="162">
        <f t="shared" si="60"/>
        <v>1.2000000000000006</v>
      </c>
      <c r="BX68" s="170">
        <f t="shared" si="61"/>
        <v>1.2000000000000006</v>
      </c>
      <c r="BY68" s="162">
        <f t="shared" si="11"/>
        <v>4.7702152734165013</v>
      </c>
      <c r="BZ68" s="171">
        <f t="shared" si="62"/>
        <v>4.7702152734165013</v>
      </c>
      <c r="CA68" s="162"/>
      <c r="CB68" s="162">
        <f t="shared" si="63"/>
        <v>1.2000000000000006</v>
      </c>
      <c r="CC68" s="170">
        <f t="shared" si="64"/>
        <v>1.2000000000000006</v>
      </c>
      <c r="CD68" s="162">
        <f t="shared" si="12"/>
        <v>4.7702152734165013</v>
      </c>
      <c r="CE68" s="171">
        <f t="shared" si="65"/>
        <v>4.7702152734165013</v>
      </c>
      <c r="CF68" s="162"/>
      <c r="CG68" s="172">
        <f t="shared" si="66"/>
        <v>1.2000000000000006</v>
      </c>
      <c r="CH68" s="172">
        <f t="shared" si="67"/>
        <v>1.2000000000000006</v>
      </c>
      <c r="CI68" s="172">
        <f t="shared" si="13"/>
        <v>4.7702152734165013</v>
      </c>
      <c r="CJ68" s="171">
        <f t="shared" si="68"/>
        <v>4.7702152734165013</v>
      </c>
      <c r="CK68" s="172"/>
      <c r="CL68" s="162">
        <f t="shared" si="69"/>
        <v>1.2000000000000006</v>
      </c>
      <c r="CM68" s="170">
        <f t="shared" si="70"/>
        <v>1.2000000000000006</v>
      </c>
      <c r="CN68" s="162">
        <f t="shared" si="14"/>
        <v>4.7702152734165013</v>
      </c>
      <c r="CO68" s="171">
        <f t="shared" si="71"/>
        <v>4.7702152734165013</v>
      </c>
      <c r="CP68" s="162"/>
      <c r="CQ68" s="162">
        <f t="shared" si="72"/>
        <v>1.2000000000000006</v>
      </c>
      <c r="CR68" s="170">
        <f t="shared" si="73"/>
        <v>1.2000000000000006</v>
      </c>
      <c r="CS68" s="162">
        <f t="shared" si="15"/>
        <v>4.7702152734165013</v>
      </c>
      <c r="CT68" s="171">
        <f t="shared" si="74"/>
        <v>4.7702152734165013</v>
      </c>
      <c r="CU68" s="162"/>
      <c r="CV68" s="162">
        <f t="shared" si="75"/>
        <v>1.2000000000000006</v>
      </c>
      <c r="CW68" s="162">
        <f t="shared" si="76"/>
        <v>1.2000000000000006</v>
      </c>
      <c r="CX68" s="162">
        <f t="shared" si="16"/>
        <v>4.7702152734165013</v>
      </c>
      <c r="CY68" s="171">
        <f t="shared" si="77"/>
        <v>4.7702152734165013</v>
      </c>
      <c r="CZ68" s="162"/>
      <c r="DA68" s="162">
        <f t="shared" si="78"/>
        <v>1.2000000000000006</v>
      </c>
      <c r="DB68" s="170">
        <f t="shared" si="79"/>
        <v>1.2000000000000006</v>
      </c>
      <c r="DC68" s="162">
        <f t="shared" si="17"/>
        <v>4.7702152734165013</v>
      </c>
      <c r="DD68" s="171">
        <f t="shared" si="80"/>
        <v>4.7702152734165013</v>
      </c>
      <c r="DE68" s="162"/>
      <c r="DF68" s="162">
        <f t="shared" si="81"/>
        <v>1.2000000000000006</v>
      </c>
      <c r="DG68" s="170">
        <f t="shared" si="82"/>
        <v>1.2000000000000006</v>
      </c>
      <c r="DH68" s="162">
        <f t="shared" si="18"/>
        <v>4.7702152734165013</v>
      </c>
      <c r="DI68" s="171">
        <f t="shared" si="83"/>
        <v>4.7702152734165013</v>
      </c>
      <c r="DJ68" s="162"/>
      <c r="DK68" s="162">
        <f t="shared" si="84"/>
        <v>1.2000000000000006</v>
      </c>
      <c r="DL68" s="162">
        <f t="shared" si="85"/>
        <v>1.2000000000000006</v>
      </c>
      <c r="DM68" s="162">
        <f t="shared" si="19"/>
        <v>4.7702152734165013</v>
      </c>
      <c r="DN68" s="171">
        <f t="shared" si="86"/>
        <v>4.7702152734165013</v>
      </c>
      <c r="DO68" s="162"/>
      <c r="DP68" s="162">
        <f t="shared" si="87"/>
        <v>1.2000000000000006</v>
      </c>
      <c r="DQ68" s="170">
        <f t="shared" si="88"/>
        <v>1.2000000000000006</v>
      </c>
      <c r="DR68" s="162">
        <f t="shared" si="20"/>
        <v>4.7702152734165013</v>
      </c>
      <c r="DS68" s="171">
        <f t="shared" si="89"/>
        <v>4.7702152734165013</v>
      </c>
      <c r="DT68" s="162"/>
      <c r="DU68" s="162">
        <f t="shared" si="90"/>
        <v>1.2000000000000006</v>
      </c>
      <c r="DV68" s="170">
        <f t="shared" si="91"/>
        <v>1.2000000000000006</v>
      </c>
      <c r="DW68" s="162">
        <f t="shared" si="21"/>
        <v>4.7702152734165013</v>
      </c>
      <c r="DX68" s="171">
        <f t="shared" si="92"/>
        <v>4.7702152734165013</v>
      </c>
      <c r="DY68" s="162"/>
      <c r="DZ68" s="162">
        <f t="shared" si="93"/>
        <v>1.2000000000000006</v>
      </c>
      <c r="EA68" s="162">
        <f t="shared" si="94"/>
        <v>1.2000000000000006</v>
      </c>
      <c r="EB68" s="162">
        <f t="shared" si="22"/>
        <v>4.7702152734165013</v>
      </c>
      <c r="EC68" s="171">
        <f t="shared" si="95"/>
        <v>4.7702152734165013</v>
      </c>
      <c r="ED68" s="162"/>
      <c r="EE68" s="162">
        <f t="shared" si="96"/>
        <v>1.2000000000000006</v>
      </c>
      <c r="EF68" s="170">
        <f t="shared" si="97"/>
        <v>1.2000000000000006</v>
      </c>
      <c r="EG68" s="162">
        <f t="shared" si="23"/>
        <v>4.7702152734165013</v>
      </c>
      <c r="EH68" s="171">
        <f t="shared" si="98"/>
        <v>4.7702152734165013</v>
      </c>
      <c r="EI68" s="162"/>
      <c r="EJ68" s="162">
        <f t="shared" si="99"/>
        <v>1.2000000000000006</v>
      </c>
      <c r="EK68" s="170">
        <f t="shared" si="100"/>
        <v>1.2000000000000006</v>
      </c>
      <c r="EL68" s="162">
        <f t="shared" si="24"/>
        <v>4.7702152734165013</v>
      </c>
      <c r="EM68" s="171">
        <f t="shared" si="101"/>
        <v>4.7702152734165013</v>
      </c>
      <c r="EN68" s="162"/>
      <c r="EO68" s="162">
        <f t="shared" si="102"/>
        <v>1.2000000000000006</v>
      </c>
      <c r="EP68" s="162">
        <f t="shared" si="103"/>
        <v>1.2000000000000006</v>
      </c>
      <c r="EQ68" s="162">
        <f t="shared" si="25"/>
        <v>4.7702152734165013</v>
      </c>
      <c r="ER68" s="171">
        <f t="shared" si="104"/>
        <v>4.7702152734165013</v>
      </c>
      <c r="ES68" s="162"/>
      <c r="ET68" s="162">
        <f t="shared" si="105"/>
        <v>1.2000000000000006</v>
      </c>
      <c r="EU68" s="170">
        <f t="shared" si="106"/>
        <v>1.2000000000000006</v>
      </c>
      <c r="EV68" s="162">
        <f t="shared" si="26"/>
        <v>4.7702152734165013</v>
      </c>
      <c r="EW68" s="171">
        <f t="shared" si="107"/>
        <v>4.7702152734165013</v>
      </c>
      <c r="EX68" s="162"/>
    </row>
    <row r="69" spans="20:154" s="181" customFormat="1" x14ac:dyDescent="0.25">
      <c r="T69" s="162">
        <f t="shared" si="27"/>
        <v>1.2200000000000006</v>
      </c>
      <c r="U69" s="170">
        <f t="shared" si="28"/>
        <v>1.2200000000000006</v>
      </c>
      <c r="V69" s="162">
        <f t="shared" si="0"/>
        <v>4.7637758897741067</v>
      </c>
      <c r="W69" s="171">
        <f t="shared" si="29"/>
        <v>4.7637758897741067</v>
      </c>
      <c r="X69" s="162"/>
      <c r="Y69" s="162">
        <f t="shared" si="30"/>
        <v>1.2200000000000006</v>
      </c>
      <c r="Z69" s="162">
        <f t="shared" si="31"/>
        <v>1.2200000000000006</v>
      </c>
      <c r="AA69" s="162">
        <f t="shared" si="1"/>
        <v>4.7637758897741067</v>
      </c>
      <c r="AB69" s="171">
        <f t="shared" si="32"/>
        <v>4.7637758897741067</v>
      </c>
      <c r="AC69" s="162"/>
      <c r="AD69" s="162">
        <f t="shared" si="33"/>
        <v>1.2200000000000006</v>
      </c>
      <c r="AE69" s="170">
        <f t="shared" si="34"/>
        <v>1.2200000000000006</v>
      </c>
      <c r="AF69" s="162">
        <f t="shared" si="2"/>
        <v>4.7637758897741067</v>
      </c>
      <c r="AG69" s="171">
        <f t="shared" si="35"/>
        <v>4.7637758897741067</v>
      </c>
      <c r="AH69" s="162"/>
      <c r="AI69" s="162">
        <f t="shared" si="36"/>
        <v>1.2200000000000006</v>
      </c>
      <c r="AJ69" s="170">
        <f t="shared" si="37"/>
        <v>1.2200000000000006</v>
      </c>
      <c r="AK69" s="162">
        <f t="shared" si="3"/>
        <v>4.7637758897741067</v>
      </c>
      <c r="AL69" s="171">
        <f t="shared" si="38"/>
        <v>4.7637758897741067</v>
      </c>
      <c r="AM69" s="162"/>
      <c r="AN69" s="162">
        <f t="shared" si="39"/>
        <v>1.2200000000000006</v>
      </c>
      <c r="AO69" s="162">
        <f t="shared" si="40"/>
        <v>1.2200000000000006</v>
      </c>
      <c r="AP69" s="162">
        <f t="shared" si="4"/>
        <v>4.7637758897741067</v>
      </c>
      <c r="AQ69" s="171">
        <f t="shared" si="41"/>
        <v>4.7637758897741067</v>
      </c>
      <c r="AR69" s="162"/>
      <c r="AS69" s="162">
        <f t="shared" si="42"/>
        <v>1.2200000000000006</v>
      </c>
      <c r="AT69" s="170">
        <f t="shared" si="43"/>
        <v>1.2200000000000006</v>
      </c>
      <c r="AU69" s="162">
        <f t="shared" si="5"/>
        <v>4.7637758897741067</v>
      </c>
      <c r="AV69" s="171">
        <f t="shared" si="44"/>
        <v>4.7637758897741067</v>
      </c>
      <c r="AW69" s="162"/>
      <c r="AX69" s="162">
        <f t="shared" si="45"/>
        <v>1.2200000000000006</v>
      </c>
      <c r="AY69" s="170">
        <f t="shared" si="46"/>
        <v>1.2200000000000006</v>
      </c>
      <c r="AZ69" s="162">
        <f t="shared" si="6"/>
        <v>4.7637758897741067</v>
      </c>
      <c r="BA69" s="171">
        <f t="shared" si="47"/>
        <v>4.7637758897741067</v>
      </c>
      <c r="BB69" s="162"/>
      <c r="BC69" s="162">
        <f t="shared" si="48"/>
        <v>1.2200000000000006</v>
      </c>
      <c r="BD69" s="162">
        <f t="shared" si="49"/>
        <v>1.2200000000000006</v>
      </c>
      <c r="BE69" s="162">
        <f t="shared" si="7"/>
        <v>4.7637758897741067</v>
      </c>
      <c r="BF69" s="171">
        <f t="shared" si="50"/>
        <v>4.7637758897741067</v>
      </c>
      <c r="BG69" s="162"/>
      <c r="BH69" s="162">
        <f t="shared" si="51"/>
        <v>1.2200000000000006</v>
      </c>
      <c r="BI69" s="170">
        <f t="shared" si="52"/>
        <v>1.2200000000000006</v>
      </c>
      <c r="BJ69" s="162">
        <f t="shared" si="8"/>
        <v>4.7637758897741067</v>
      </c>
      <c r="BK69" s="171">
        <f t="shared" si="53"/>
        <v>4.7637758897741067</v>
      </c>
      <c r="BL69" s="162"/>
      <c r="BM69" s="162">
        <f t="shared" si="54"/>
        <v>1.2200000000000006</v>
      </c>
      <c r="BN69" s="170">
        <f t="shared" si="55"/>
        <v>1.2200000000000006</v>
      </c>
      <c r="BO69" s="162">
        <f t="shared" si="9"/>
        <v>4.7637758897741067</v>
      </c>
      <c r="BP69" s="171">
        <f t="shared" si="56"/>
        <v>4.7637758897741067</v>
      </c>
      <c r="BQ69" s="162"/>
      <c r="BR69" s="162">
        <f t="shared" si="57"/>
        <v>1.2200000000000006</v>
      </c>
      <c r="BS69" s="162">
        <f t="shared" si="58"/>
        <v>1.2200000000000006</v>
      </c>
      <c r="BT69" s="162">
        <f t="shared" si="10"/>
        <v>4.7637758897741067</v>
      </c>
      <c r="BU69" s="171">
        <f t="shared" si="59"/>
        <v>4.7637758897741067</v>
      </c>
      <c r="BV69" s="162"/>
      <c r="BW69" s="162">
        <f t="shared" si="60"/>
        <v>1.2200000000000006</v>
      </c>
      <c r="BX69" s="170">
        <f t="shared" si="61"/>
        <v>1.2200000000000006</v>
      </c>
      <c r="BY69" s="162">
        <f t="shared" si="11"/>
        <v>4.7637758897741067</v>
      </c>
      <c r="BZ69" s="171">
        <f t="shared" si="62"/>
        <v>4.7637758897741067</v>
      </c>
      <c r="CA69" s="162"/>
      <c r="CB69" s="162">
        <f t="shared" si="63"/>
        <v>1.2200000000000006</v>
      </c>
      <c r="CC69" s="170">
        <f t="shared" si="64"/>
        <v>1.2200000000000006</v>
      </c>
      <c r="CD69" s="162">
        <f t="shared" si="12"/>
        <v>4.7637758897741067</v>
      </c>
      <c r="CE69" s="171">
        <f t="shared" si="65"/>
        <v>4.7637758897741067</v>
      </c>
      <c r="CF69" s="162"/>
      <c r="CG69" s="172">
        <f t="shared" si="66"/>
        <v>1.2200000000000006</v>
      </c>
      <c r="CH69" s="172">
        <f t="shared" si="67"/>
        <v>1.2200000000000006</v>
      </c>
      <c r="CI69" s="172">
        <f t="shared" si="13"/>
        <v>4.7637758897741067</v>
      </c>
      <c r="CJ69" s="171">
        <f t="shared" si="68"/>
        <v>4.7637758897741067</v>
      </c>
      <c r="CK69" s="172"/>
      <c r="CL69" s="162">
        <f t="shared" si="69"/>
        <v>1.2200000000000006</v>
      </c>
      <c r="CM69" s="170">
        <f t="shared" si="70"/>
        <v>1.2200000000000006</v>
      </c>
      <c r="CN69" s="162">
        <f t="shared" si="14"/>
        <v>4.7637758897741067</v>
      </c>
      <c r="CO69" s="171">
        <f t="shared" si="71"/>
        <v>4.7637758897741067</v>
      </c>
      <c r="CP69" s="162"/>
      <c r="CQ69" s="162">
        <f t="shared" si="72"/>
        <v>1.2200000000000006</v>
      </c>
      <c r="CR69" s="170">
        <f t="shared" si="73"/>
        <v>1.2200000000000006</v>
      </c>
      <c r="CS69" s="162">
        <f t="shared" si="15"/>
        <v>4.7637758897741067</v>
      </c>
      <c r="CT69" s="171">
        <f t="shared" si="74"/>
        <v>4.7637758897741067</v>
      </c>
      <c r="CU69" s="162"/>
      <c r="CV69" s="162">
        <f t="shared" si="75"/>
        <v>1.2200000000000006</v>
      </c>
      <c r="CW69" s="162">
        <f t="shared" si="76"/>
        <v>1.2200000000000006</v>
      </c>
      <c r="CX69" s="162">
        <f t="shared" si="16"/>
        <v>4.7637758897741067</v>
      </c>
      <c r="CY69" s="171">
        <f t="shared" si="77"/>
        <v>4.7637758897741067</v>
      </c>
      <c r="CZ69" s="162"/>
      <c r="DA69" s="162">
        <f t="shared" si="78"/>
        <v>1.2200000000000006</v>
      </c>
      <c r="DB69" s="170">
        <f t="shared" si="79"/>
        <v>1.2200000000000006</v>
      </c>
      <c r="DC69" s="162">
        <f t="shared" si="17"/>
        <v>4.7637758897741067</v>
      </c>
      <c r="DD69" s="171">
        <f t="shared" si="80"/>
        <v>4.7637758897741067</v>
      </c>
      <c r="DE69" s="162"/>
      <c r="DF69" s="162">
        <f t="shared" si="81"/>
        <v>1.2200000000000006</v>
      </c>
      <c r="DG69" s="170">
        <f t="shared" si="82"/>
        <v>1.2200000000000006</v>
      </c>
      <c r="DH69" s="162">
        <f t="shared" si="18"/>
        <v>4.7637758897741067</v>
      </c>
      <c r="DI69" s="171">
        <f t="shared" si="83"/>
        <v>4.7637758897741067</v>
      </c>
      <c r="DJ69" s="162"/>
      <c r="DK69" s="162">
        <f t="shared" si="84"/>
        <v>1.2200000000000006</v>
      </c>
      <c r="DL69" s="162">
        <f t="shared" si="85"/>
        <v>1.2200000000000006</v>
      </c>
      <c r="DM69" s="162">
        <f t="shared" si="19"/>
        <v>4.7637758897741067</v>
      </c>
      <c r="DN69" s="171">
        <f t="shared" si="86"/>
        <v>4.7637758897741067</v>
      </c>
      <c r="DO69" s="162"/>
      <c r="DP69" s="162">
        <f t="shared" si="87"/>
        <v>1.2200000000000006</v>
      </c>
      <c r="DQ69" s="170">
        <f t="shared" si="88"/>
        <v>1.2200000000000006</v>
      </c>
      <c r="DR69" s="162">
        <f t="shared" si="20"/>
        <v>4.7637758897741067</v>
      </c>
      <c r="DS69" s="171">
        <f t="shared" si="89"/>
        <v>4.7637758897741067</v>
      </c>
      <c r="DT69" s="162"/>
      <c r="DU69" s="162">
        <f t="shared" si="90"/>
        <v>1.2200000000000006</v>
      </c>
      <c r="DV69" s="170">
        <f t="shared" si="91"/>
        <v>1.2200000000000006</v>
      </c>
      <c r="DW69" s="162">
        <f t="shared" si="21"/>
        <v>4.7637758897741067</v>
      </c>
      <c r="DX69" s="171">
        <f t="shared" si="92"/>
        <v>4.7637758897741067</v>
      </c>
      <c r="DY69" s="162"/>
      <c r="DZ69" s="162">
        <f t="shared" si="93"/>
        <v>1.2200000000000006</v>
      </c>
      <c r="EA69" s="162">
        <f t="shared" si="94"/>
        <v>1.2200000000000006</v>
      </c>
      <c r="EB69" s="162">
        <f t="shared" si="22"/>
        <v>4.7637758897741067</v>
      </c>
      <c r="EC69" s="171">
        <f t="shared" si="95"/>
        <v>4.7637758897741067</v>
      </c>
      <c r="ED69" s="162"/>
      <c r="EE69" s="162">
        <f t="shared" si="96"/>
        <v>1.2200000000000006</v>
      </c>
      <c r="EF69" s="170">
        <f t="shared" si="97"/>
        <v>1.2200000000000006</v>
      </c>
      <c r="EG69" s="162">
        <f t="shared" si="23"/>
        <v>4.7637758897741067</v>
      </c>
      <c r="EH69" s="171">
        <f t="shared" si="98"/>
        <v>4.7637758897741067</v>
      </c>
      <c r="EI69" s="162"/>
      <c r="EJ69" s="162">
        <f t="shared" si="99"/>
        <v>1.2200000000000006</v>
      </c>
      <c r="EK69" s="170">
        <f t="shared" si="100"/>
        <v>1.2200000000000006</v>
      </c>
      <c r="EL69" s="162">
        <f t="shared" si="24"/>
        <v>4.7637758897741067</v>
      </c>
      <c r="EM69" s="171">
        <f t="shared" si="101"/>
        <v>4.7637758897741067</v>
      </c>
      <c r="EN69" s="162"/>
      <c r="EO69" s="162">
        <f t="shared" si="102"/>
        <v>1.2200000000000006</v>
      </c>
      <c r="EP69" s="162">
        <f t="shared" si="103"/>
        <v>1.2200000000000006</v>
      </c>
      <c r="EQ69" s="162">
        <f t="shared" si="25"/>
        <v>4.7637758897741067</v>
      </c>
      <c r="ER69" s="171">
        <f t="shared" si="104"/>
        <v>4.7637758897741067</v>
      </c>
      <c r="ES69" s="162"/>
      <c r="ET69" s="162">
        <f t="shared" si="105"/>
        <v>1.2200000000000006</v>
      </c>
      <c r="EU69" s="170">
        <f t="shared" si="106"/>
        <v>1.2200000000000006</v>
      </c>
      <c r="EV69" s="162">
        <f t="shared" si="26"/>
        <v>4.7637758897741067</v>
      </c>
      <c r="EW69" s="171">
        <f t="shared" si="107"/>
        <v>4.7637758897741067</v>
      </c>
      <c r="EX69" s="162"/>
    </row>
    <row r="70" spans="20:154" s="181" customFormat="1" x14ac:dyDescent="0.25">
      <c r="T70" s="162">
        <f t="shared" si="27"/>
        <v>1.2400000000000007</v>
      </c>
      <c r="U70" s="170">
        <f t="shared" si="28"/>
        <v>1.2400000000000007</v>
      </c>
      <c r="V70" s="162">
        <f t="shared" si="0"/>
        <v>4.7546279934038642</v>
      </c>
      <c r="W70" s="171">
        <f t="shared" si="29"/>
        <v>4.7546279934038642</v>
      </c>
      <c r="X70" s="162"/>
      <c r="Y70" s="162">
        <f t="shared" si="30"/>
        <v>1.2400000000000007</v>
      </c>
      <c r="Z70" s="162">
        <f t="shared" si="31"/>
        <v>1.2400000000000007</v>
      </c>
      <c r="AA70" s="162">
        <f t="shared" si="1"/>
        <v>4.7546279934038642</v>
      </c>
      <c r="AB70" s="171">
        <f t="shared" si="32"/>
        <v>4.7546279934038642</v>
      </c>
      <c r="AC70" s="162"/>
      <c r="AD70" s="162">
        <f t="shared" si="33"/>
        <v>1.2400000000000007</v>
      </c>
      <c r="AE70" s="170">
        <f t="shared" si="34"/>
        <v>1.2400000000000007</v>
      </c>
      <c r="AF70" s="162">
        <f t="shared" si="2"/>
        <v>4.7546279934038642</v>
      </c>
      <c r="AG70" s="171">
        <f t="shared" si="35"/>
        <v>4.7546279934038642</v>
      </c>
      <c r="AH70" s="162"/>
      <c r="AI70" s="162">
        <f t="shared" si="36"/>
        <v>1.2400000000000007</v>
      </c>
      <c r="AJ70" s="170">
        <f t="shared" si="37"/>
        <v>1.2400000000000007</v>
      </c>
      <c r="AK70" s="162">
        <f t="shared" si="3"/>
        <v>4.7546279934038642</v>
      </c>
      <c r="AL70" s="171">
        <f t="shared" si="38"/>
        <v>4.7546279934038642</v>
      </c>
      <c r="AM70" s="162"/>
      <c r="AN70" s="162">
        <f t="shared" si="39"/>
        <v>1.2400000000000007</v>
      </c>
      <c r="AO70" s="162">
        <f t="shared" si="40"/>
        <v>1.2400000000000007</v>
      </c>
      <c r="AP70" s="162">
        <f t="shared" si="4"/>
        <v>4.7546279934038642</v>
      </c>
      <c r="AQ70" s="171">
        <f t="shared" si="41"/>
        <v>4.7546279934038642</v>
      </c>
      <c r="AR70" s="162"/>
      <c r="AS70" s="162">
        <f t="shared" si="42"/>
        <v>1.2400000000000007</v>
      </c>
      <c r="AT70" s="170">
        <f t="shared" si="43"/>
        <v>1.2400000000000007</v>
      </c>
      <c r="AU70" s="162">
        <f t="shared" si="5"/>
        <v>4.7546279934038642</v>
      </c>
      <c r="AV70" s="171">
        <f t="shared" si="44"/>
        <v>4.7546279934038642</v>
      </c>
      <c r="AW70" s="162"/>
      <c r="AX70" s="162">
        <f t="shared" si="45"/>
        <v>1.2400000000000007</v>
      </c>
      <c r="AY70" s="170">
        <f t="shared" si="46"/>
        <v>1.2400000000000007</v>
      </c>
      <c r="AZ70" s="162">
        <f t="shared" si="6"/>
        <v>4.7546279934038642</v>
      </c>
      <c r="BA70" s="171">
        <f t="shared" si="47"/>
        <v>4.7546279934038642</v>
      </c>
      <c r="BB70" s="162"/>
      <c r="BC70" s="162">
        <f t="shared" si="48"/>
        <v>1.2400000000000007</v>
      </c>
      <c r="BD70" s="162">
        <f t="shared" si="49"/>
        <v>1.2400000000000007</v>
      </c>
      <c r="BE70" s="162">
        <f t="shared" si="7"/>
        <v>4.7546279934038642</v>
      </c>
      <c r="BF70" s="171">
        <f t="shared" si="50"/>
        <v>4.7546279934038642</v>
      </c>
      <c r="BG70" s="162"/>
      <c r="BH70" s="162">
        <f t="shared" si="51"/>
        <v>1.2400000000000007</v>
      </c>
      <c r="BI70" s="170">
        <f t="shared" si="52"/>
        <v>1.2400000000000007</v>
      </c>
      <c r="BJ70" s="162">
        <f t="shared" si="8"/>
        <v>4.7546279934038642</v>
      </c>
      <c r="BK70" s="171">
        <f t="shared" si="53"/>
        <v>4.7546279934038642</v>
      </c>
      <c r="BL70" s="162"/>
      <c r="BM70" s="162">
        <f t="shared" si="54"/>
        <v>1.2400000000000007</v>
      </c>
      <c r="BN70" s="170">
        <f t="shared" si="55"/>
        <v>1.2400000000000007</v>
      </c>
      <c r="BO70" s="162">
        <f t="shared" si="9"/>
        <v>4.7546279934038642</v>
      </c>
      <c r="BP70" s="171">
        <f t="shared" si="56"/>
        <v>4.7546279934038642</v>
      </c>
      <c r="BQ70" s="162"/>
      <c r="BR70" s="162">
        <f t="shared" si="57"/>
        <v>1.2400000000000007</v>
      </c>
      <c r="BS70" s="162">
        <f t="shared" si="58"/>
        <v>1.2400000000000007</v>
      </c>
      <c r="BT70" s="162">
        <f t="shared" si="10"/>
        <v>4.7546279934038642</v>
      </c>
      <c r="BU70" s="171">
        <f t="shared" si="59"/>
        <v>4.7546279934038642</v>
      </c>
      <c r="BV70" s="162"/>
      <c r="BW70" s="162">
        <f t="shared" si="60"/>
        <v>1.2400000000000007</v>
      </c>
      <c r="BX70" s="170">
        <f t="shared" si="61"/>
        <v>1.2400000000000007</v>
      </c>
      <c r="BY70" s="162">
        <f t="shared" si="11"/>
        <v>4.7546279934038642</v>
      </c>
      <c r="BZ70" s="171">
        <f t="shared" si="62"/>
        <v>4.7546279934038642</v>
      </c>
      <c r="CA70" s="162"/>
      <c r="CB70" s="162">
        <f t="shared" si="63"/>
        <v>1.2400000000000007</v>
      </c>
      <c r="CC70" s="170">
        <f t="shared" si="64"/>
        <v>1.2400000000000007</v>
      </c>
      <c r="CD70" s="162">
        <f t="shared" si="12"/>
        <v>4.7546279934038642</v>
      </c>
      <c r="CE70" s="171">
        <f t="shared" si="65"/>
        <v>4.7546279934038642</v>
      </c>
      <c r="CF70" s="162"/>
      <c r="CG70" s="172">
        <f t="shared" si="66"/>
        <v>1.2400000000000007</v>
      </c>
      <c r="CH70" s="172">
        <f t="shared" si="67"/>
        <v>1.2400000000000007</v>
      </c>
      <c r="CI70" s="172">
        <f t="shared" si="13"/>
        <v>4.7546279934038642</v>
      </c>
      <c r="CJ70" s="171">
        <f t="shared" si="68"/>
        <v>4.7546279934038642</v>
      </c>
      <c r="CK70" s="172"/>
      <c r="CL70" s="162">
        <f t="shared" si="69"/>
        <v>1.2400000000000007</v>
      </c>
      <c r="CM70" s="170">
        <f t="shared" si="70"/>
        <v>1.2400000000000007</v>
      </c>
      <c r="CN70" s="162">
        <f t="shared" si="14"/>
        <v>4.7546279934038642</v>
      </c>
      <c r="CO70" s="171">
        <f t="shared" si="71"/>
        <v>4.7546279934038642</v>
      </c>
      <c r="CP70" s="162"/>
      <c r="CQ70" s="162">
        <f t="shared" si="72"/>
        <v>1.2400000000000007</v>
      </c>
      <c r="CR70" s="170">
        <f t="shared" si="73"/>
        <v>1.2400000000000007</v>
      </c>
      <c r="CS70" s="162">
        <f t="shared" si="15"/>
        <v>4.7546279934038642</v>
      </c>
      <c r="CT70" s="171">
        <f t="shared" si="74"/>
        <v>4.7546279934038642</v>
      </c>
      <c r="CU70" s="162"/>
      <c r="CV70" s="162">
        <f t="shared" si="75"/>
        <v>1.2400000000000007</v>
      </c>
      <c r="CW70" s="162">
        <f t="shared" si="76"/>
        <v>1.2400000000000007</v>
      </c>
      <c r="CX70" s="162">
        <f t="shared" si="16"/>
        <v>4.7546279934038642</v>
      </c>
      <c r="CY70" s="171">
        <f t="shared" si="77"/>
        <v>4.7546279934038642</v>
      </c>
      <c r="CZ70" s="162"/>
      <c r="DA70" s="162">
        <f t="shared" si="78"/>
        <v>1.2400000000000007</v>
      </c>
      <c r="DB70" s="170">
        <f t="shared" si="79"/>
        <v>1.2400000000000007</v>
      </c>
      <c r="DC70" s="162">
        <f t="shared" si="17"/>
        <v>4.7546279934038642</v>
      </c>
      <c r="DD70" s="171">
        <f t="shared" si="80"/>
        <v>4.7546279934038642</v>
      </c>
      <c r="DE70" s="162"/>
      <c r="DF70" s="162">
        <f t="shared" si="81"/>
        <v>1.2400000000000007</v>
      </c>
      <c r="DG70" s="170">
        <f t="shared" si="82"/>
        <v>1.2400000000000007</v>
      </c>
      <c r="DH70" s="162">
        <f t="shared" si="18"/>
        <v>4.7546279934038642</v>
      </c>
      <c r="DI70" s="171">
        <f t="shared" si="83"/>
        <v>4.7546279934038642</v>
      </c>
      <c r="DJ70" s="162"/>
      <c r="DK70" s="162">
        <f t="shared" si="84"/>
        <v>1.2400000000000007</v>
      </c>
      <c r="DL70" s="162">
        <f t="shared" si="85"/>
        <v>1.2400000000000007</v>
      </c>
      <c r="DM70" s="162">
        <f t="shared" si="19"/>
        <v>4.7546279934038642</v>
      </c>
      <c r="DN70" s="171">
        <f t="shared" si="86"/>
        <v>4.7546279934038642</v>
      </c>
      <c r="DO70" s="162"/>
      <c r="DP70" s="162">
        <f t="shared" si="87"/>
        <v>1.2400000000000007</v>
      </c>
      <c r="DQ70" s="170">
        <f t="shared" si="88"/>
        <v>1.2400000000000007</v>
      </c>
      <c r="DR70" s="162">
        <f t="shared" si="20"/>
        <v>4.7546279934038642</v>
      </c>
      <c r="DS70" s="171">
        <f t="shared" si="89"/>
        <v>4.7546279934038642</v>
      </c>
      <c r="DT70" s="162"/>
      <c r="DU70" s="162">
        <f t="shared" si="90"/>
        <v>1.2400000000000007</v>
      </c>
      <c r="DV70" s="170">
        <f t="shared" si="91"/>
        <v>1.2400000000000007</v>
      </c>
      <c r="DW70" s="162">
        <f t="shared" si="21"/>
        <v>4.7546279934038642</v>
      </c>
      <c r="DX70" s="171">
        <f t="shared" si="92"/>
        <v>4.7546279934038642</v>
      </c>
      <c r="DY70" s="162"/>
      <c r="DZ70" s="162">
        <f t="shared" si="93"/>
        <v>1.2400000000000007</v>
      </c>
      <c r="EA70" s="162">
        <f t="shared" si="94"/>
        <v>1.2400000000000007</v>
      </c>
      <c r="EB70" s="162">
        <f t="shared" si="22"/>
        <v>4.7546279934038642</v>
      </c>
      <c r="EC70" s="171">
        <f t="shared" si="95"/>
        <v>4.7546279934038642</v>
      </c>
      <c r="ED70" s="162"/>
      <c r="EE70" s="162">
        <f t="shared" si="96"/>
        <v>1.2400000000000007</v>
      </c>
      <c r="EF70" s="170">
        <f t="shared" si="97"/>
        <v>1.2400000000000007</v>
      </c>
      <c r="EG70" s="162">
        <f t="shared" si="23"/>
        <v>4.7546279934038642</v>
      </c>
      <c r="EH70" s="171">
        <f t="shared" si="98"/>
        <v>4.7546279934038642</v>
      </c>
      <c r="EI70" s="162"/>
      <c r="EJ70" s="162">
        <f t="shared" si="99"/>
        <v>1.2400000000000007</v>
      </c>
      <c r="EK70" s="170">
        <f t="shared" si="100"/>
        <v>1.2400000000000007</v>
      </c>
      <c r="EL70" s="162">
        <f t="shared" si="24"/>
        <v>4.7546279934038642</v>
      </c>
      <c r="EM70" s="171">
        <f t="shared" si="101"/>
        <v>4.7546279934038642</v>
      </c>
      <c r="EN70" s="162"/>
      <c r="EO70" s="162">
        <f t="shared" si="102"/>
        <v>1.2400000000000007</v>
      </c>
      <c r="EP70" s="162">
        <f t="shared" si="103"/>
        <v>1.2400000000000007</v>
      </c>
      <c r="EQ70" s="162">
        <f t="shared" si="25"/>
        <v>4.7546279934038642</v>
      </c>
      <c r="ER70" s="171">
        <f t="shared" si="104"/>
        <v>4.7546279934038642</v>
      </c>
      <c r="ES70" s="162"/>
      <c r="ET70" s="162">
        <f t="shared" si="105"/>
        <v>1.2400000000000007</v>
      </c>
      <c r="EU70" s="170">
        <f t="shared" si="106"/>
        <v>1.2400000000000007</v>
      </c>
      <c r="EV70" s="162">
        <f t="shared" si="26"/>
        <v>4.7546279934038642</v>
      </c>
      <c r="EW70" s="171">
        <f t="shared" si="107"/>
        <v>4.7546279934038642</v>
      </c>
      <c r="EX70" s="162"/>
    </row>
    <row r="71" spans="20:154" s="181" customFormat="1" x14ac:dyDescent="0.25">
      <c r="T71" s="162">
        <f t="shared" si="27"/>
        <v>1.2600000000000007</v>
      </c>
      <c r="U71" s="170">
        <f t="shared" si="28"/>
        <v>1.2600000000000007</v>
      </c>
      <c r="V71" s="162">
        <f t="shared" si="0"/>
        <v>4.7427715843057765</v>
      </c>
      <c r="W71" s="171">
        <f t="shared" si="29"/>
        <v>4.7427715843057765</v>
      </c>
      <c r="X71" s="162"/>
      <c r="Y71" s="162">
        <f t="shared" si="30"/>
        <v>1.2600000000000007</v>
      </c>
      <c r="Z71" s="162">
        <f t="shared" si="31"/>
        <v>1.2600000000000007</v>
      </c>
      <c r="AA71" s="162">
        <f t="shared" si="1"/>
        <v>4.7427715843057765</v>
      </c>
      <c r="AB71" s="171">
        <f t="shared" si="32"/>
        <v>4.7427715843057765</v>
      </c>
      <c r="AC71" s="162"/>
      <c r="AD71" s="162">
        <f t="shared" si="33"/>
        <v>1.2600000000000007</v>
      </c>
      <c r="AE71" s="170">
        <f t="shared" si="34"/>
        <v>1.2600000000000007</v>
      </c>
      <c r="AF71" s="162">
        <f t="shared" si="2"/>
        <v>4.7427715843057765</v>
      </c>
      <c r="AG71" s="171">
        <f t="shared" si="35"/>
        <v>4.7427715843057765</v>
      </c>
      <c r="AH71" s="162"/>
      <c r="AI71" s="162">
        <f t="shared" si="36"/>
        <v>1.2600000000000007</v>
      </c>
      <c r="AJ71" s="170">
        <f t="shared" si="37"/>
        <v>1.2600000000000007</v>
      </c>
      <c r="AK71" s="162">
        <f t="shared" si="3"/>
        <v>4.7427715843057765</v>
      </c>
      <c r="AL71" s="171">
        <f t="shared" si="38"/>
        <v>4.7427715843057765</v>
      </c>
      <c r="AM71" s="162"/>
      <c r="AN71" s="162">
        <f t="shared" si="39"/>
        <v>1.2600000000000007</v>
      </c>
      <c r="AO71" s="162">
        <f t="shared" si="40"/>
        <v>1.2600000000000007</v>
      </c>
      <c r="AP71" s="162">
        <f t="shared" si="4"/>
        <v>4.7427715843057765</v>
      </c>
      <c r="AQ71" s="171">
        <f t="shared" si="41"/>
        <v>4.7427715843057765</v>
      </c>
      <c r="AR71" s="162"/>
      <c r="AS71" s="162">
        <f t="shared" si="42"/>
        <v>1.2600000000000007</v>
      </c>
      <c r="AT71" s="170">
        <f t="shared" si="43"/>
        <v>1.2600000000000007</v>
      </c>
      <c r="AU71" s="162">
        <f t="shared" si="5"/>
        <v>4.7427715843057765</v>
      </c>
      <c r="AV71" s="171">
        <f t="shared" si="44"/>
        <v>4.7427715843057765</v>
      </c>
      <c r="AW71" s="162"/>
      <c r="AX71" s="162">
        <f t="shared" si="45"/>
        <v>1.2600000000000007</v>
      </c>
      <c r="AY71" s="170">
        <f t="shared" si="46"/>
        <v>1.2600000000000007</v>
      </c>
      <c r="AZ71" s="162">
        <f t="shared" si="6"/>
        <v>4.7427715843057765</v>
      </c>
      <c r="BA71" s="171">
        <f t="shared" si="47"/>
        <v>4.7427715843057765</v>
      </c>
      <c r="BB71" s="162"/>
      <c r="BC71" s="162">
        <f t="shared" si="48"/>
        <v>1.2600000000000007</v>
      </c>
      <c r="BD71" s="162">
        <f t="shared" si="49"/>
        <v>1.2600000000000007</v>
      </c>
      <c r="BE71" s="162">
        <f t="shared" si="7"/>
        <v>4.7427715843057765</v>
      </c>
      <c r="BF71" s="171">
        <f t="shared" si="50"/>
        <v>4.7427715843057765</v>
      </c>
      <c r="BG71" s="162"/>
      <c r="BH71" s="162">
        <f t="shared" si="51"/>
        <v>1.2600000000000007</v>
      </c>
      <c r="BI71" s="170">
        <f t="shared" si="52"/>
        <v>1.2600000000000007</v>
      </c>
      <c r="BJ71" s="162">
        <f t="shared" si="8"/>
        <v>4.7427715843057765</v>
      </c>
      <c r="BK71" s="171">
        <f t="shared" si="53"/>
        <v>4.7427715843057765</v>
      </c>
      <c r="BL71" s="162"/>
      <c r="BM71" s="162">
        <f t="shared" si="54"/>
        <v>1.2600000000000007</v>
      </c>
      <c r="BN71" s="170">
        <f t="shared" si="55"/>
        <v>1.2600000000000007</v>
      </c>
      <c r="BO71" s="162">
        <f t="shared" si="9"/>
        <v>4.7427715843057765</v>
      </c>
      <c r="BP71" s="171">
        <f t="shared" si="56"/>
        <v>4.7427715843057765</v>
      </c>
      <c r="BQ71" s="162"/>
      <c r="BR71" s="162">
        <f t="shared" si="57"/>
        <v>1.2600000000000007</v>
      </c>
      <c r="BS71" s="162">
        <f t="shared" si="58"/>
        <v>1.2600000000000007</v>
      </c>
      <c r="BT71" s="162">
        <f t="shared" si="10"/>
        <v>4.7427715843057765</v>
      </c>
      <c r="BU71" s="171">
        <f t="shared" si="59"/>
        <v>4.7427715843057765</v>
      </c>
      <c r="BV71" s="162"/>
      <c r="BW71" s="162">
        <f t="shared" si="60"/>
        <v>1.2600000000000007</v>
      </c>
      <c r="BX71" s="170">
        <f t="shared" si="61"/>
        <v>1.2600000000000007</v>
      </c>
      <c r="BY71" s="162">
        <f t="shared" si="11"/>
        <v>4.7427715843057765</v>
      </c>
      <c r="BZ71" s="171">
        <f t="shared" si="62"/>
        <v>4.7427715843057765</v>
      </c>
      <c r="CA71" s="162"/>
      <c r="CB71" s="162">
        <f t="shared" si="63"/>
        <v>1.2600000000000007</v>
      </c>
      <c r="CC71" s="170">
        <f t="shared" si="64"/>
        <v>1.2600000000000007</v>
      </c>
      <c r="CD71" s="162">
        <f t="shared" si="12"/>
        <v>4.7427715843057765</v>
      </c>
      <c r="CE71" s="171">
        <f t="shared" si="65"/>
        <v>4.7427715843057765</v>
      </c>
      <c r="CF71" s="162"/>
      <c r="CG71" s="172">
        <f t="shared" si="66"/>
        <v>1.2600000000000007</v>
      </c>
      <c r="CH71" s="172">
        <f t="shared" si="67"/>
        <v>1.2600000000000007</v>
      </c>
      <c r="CI71" s="172">
        <f t="shared" si="13"/>
        <v>4.7427715843057765</v>
      </c>
      <c r="CJ71" s="171">
        <f t="shared" si="68"/>
        <v>4.7427715843057765</v>
      </c>
      <c r="CK71" s="172"/>
      <c r="CL71" s="162">
        <f t="shared" si="69"/>
        <v>1.2600000000000007</v>
      </c>
      <c r="CM71" s="170">
        <f t="shared" si="70"/>
        <v>1.2600000000000007</v>
      </c>
      <c r="CN71" s="162">
        <f t="shared" si="14"/>
        <v>4.7427715843057765</v>
      </c>
      <c r="CO71" s="171">
        <f t="shared" si="71"/>
        <v>4.7427715843057765</v>
      </c>
      <c r="CP71" s="162"/>
      <c r="CQ71" s="162">
        <f t="shared" si="72"/>
        <v>1.2600000000000007</v>
      </c>
      <c r="CR71" s="170">
        <f t="shared" si="73"/>
        <v>1.2600000000000007</v>
      </c>
      <c r="CS71" s="162">
        <f t="shared" si="15"/>
        <v>4.7427715843057765</v>
      </c>
      <c r="CT71" s="171">
        <f t="shared" si="74"/>
        <v>4.7427715843057765</v>
      </c>
      <c r="CU71" s="162"/>
      <c r="CV71" s="162">
        <f t="shared" si="75"/>
        <v>1.2600000000000007</v>
      </c>
      <c r="CW71" s="162">
        <f t="shared" si="76"/>
        <v>1.2600000000000007</v>
      </c>
      <c r="CX71" s="162">
        <f t="shared" si="16"/>
        <v>4.7427715843057765</v>
      </c>
      <c r="CY71" s="171">
        <f t="shared" si="77"/>
        <v>4.7427715843057765</v>
      </c>
      <c r="CZ71" s="162"/>
      <c r="DA71" s="162">
        <f t="shared" si="78"/>
        <v>1.2600000000000007</v>
      </c>
      <c r="DB71" s="170">
        <f t="shared" si="79"/>
        <v>1.2600000000000007</v>
      </c>
      <c r="DC71" s="162">
        <f t="shared" si="17"/>
        <v>4.7427715843057765</v>
      </c>
      <c r="DD71" s="171">
        <f t="shared" si="80"/>
        <v>4.7427715843057765</v>
      </c>
      <c r="DE71" s="162"/>
      <c r="DF71" s="162">
        <f t="shared" si="81"/>
        <v>1.2600000000000007</v>
      </c>
      <c r="DG71" s="170">
        <f t="shared" si="82"/>
        <v>1.2600000000000007</v>
      </c>
      <c r="DH71" s="162">
        <f t="shared" si="18"/>
        <v>4.7427715843057765</v>
      </c>
      <c r="DI71" s="171">
        <f t="shared" si="83"/>
        <v>4.7427715843057765</v>
      </c>
      <c r="DJ71" s="162"/>
      <c r="DK71" s="162">
        <f t="shared" si="84"/>
        <v>1.2600000000000007</v>
      </c>
      <c r="DL71" s="162">
        <f t="shared" si="85"/>
        <v>1.2600000000000007</v>
      </c>
      <c r="DM71" s="162">
        <f t="shared" si="19"/>
        <v>4.7427715843057765</v>
      </c>
      <c r="DN71" s="171">
        <f t="shared" si="86"/>
        <v>4.7427715843057765</v>
      </c>
      <c r="DO71" s="162"/>
      <c r="DP71" s="162">
        <f t="shared" si="87"/>
        <v>1.2600000000000007</v>
      </c>
      <c r="DQ71" s="170">
        <f t="shared" si="88"/>
        <v>1.2600000000000007</v>
      </c>
      <c r="DR71" s="162">
        <f t="shared" si="20"/>
        <v>4.7427715843057765</v>
      </c>
      <c r="DS71" s="171">
        <f t="shared" si="89"/>
        <v>4.7427715843057765</v>
      </c>
      <c r="DT71" s="162"/>
      <c r="DU71" s="162">
        <f t="shared" si="90"/>
        <v>1.2600000000000007</v>
      </c>
      <c r="DV71" s="170">
        <f t="shared" si="91"/>
        <v>1.2600000000000007</v>
      </c>
      <c r="DW71" s="162">
        <f t="shared" si="21"/>
        <v>4.7427715843057765</v>
      </c>
      <c r="DX71" s="171">
        <f t="shared" si="92"/>
        <v>4.7427715843057765</v>
      </c>
      <c r="DY71" s="162"/>
      <c r="DZ71" s="162">
        <f t="shared" si="93"/>
        <v>1.2600000000000007</v>
      </c>
      <c r="EA71" s="162">
        <f t="shared" si="94"/>
        <v>1.2600000000000007</v>
      </c>
      <c r="EB71" s="162">
        <f t="shared" si="22"/>
        <v>4.7427715843057765</v>
      </c>
      <c r="EC71" s="171">
        <f t="shared" si="95"/>
        <v>4.7427715843057765</v>
      </c>
      <c r="ED71" s="162"/>
      <c r="EE71" s="162">
        <f t="shared" si="96"/>
        <v>1.2600000000000007</v>
      </c>
      <c r="EF71" s="170">
        <f t="shared" si="97"/>
        <v>1.2600000000000007</v>
      </c>
      <c r="EG71" s="162">
        <f t="shared" si="23"/>
        <v>4.7427715843057765</v>
      </c>
      <c r="EH71" s="171">
        <f t="shared" si="98"/>
        <v>4.7427715843057765</v>
      </c>
      <c r="EI71" s="162"/>
      <c r="EJ71" s="162">
        <f t="shared" si="99"/>
        <v>1.2600000000000007</v>
      </c>
      <c r="EK71" s="170">
        <f t="shared" si="100"/>
        <v>1.2600000000000007</v>
      </c>
      <c r="EL71" s="162">
        <f t="shared" si="24"/>
        <v>4.7427715843057765</v>
      </c>
      <c r="EM71" s="171">
        <f t="shared" si="101"/>
        <v>4.7427715843057765</v>
      </c>
      <c r="EN71" s="162"/>
      <c r="EO71" s="162">
        <f t="shared" si="102"/>
        <v>1.2600000000000007</v>
      </c>
      <c r="EP71" s="162">
        <f t="shared" si="103"/>
        <v>1.2600000000000007</v>
      </c>
      <c r="EQ71" s="162">
        <f t="shared" si="25"/>
        <v>4.7427715843057765</v>
      </c>
      <c r="ER71" s="171">
        <f t="shared" si="104"/>
        <v>4.7427715843057765</v>
      </c>
      <c r="ES71" s="162"/>
      <c r="ET71" s="162">
        <f t="shared" si="105"/>
        <v>1.2600000000000007</v>
      </c>
      <c r="EU71" s="170">
        <f t="shared" si="106"/>
        <v>1.2600000000000007</v>
      </c>
      <c r="EV71" s="162">
        <f t="shared" si="26"/>
        <v>4.7427715843057765</v>
      </c>
      <c r="EW71" s="171">
        <f t="shared" si="107"/>
        <v>4.7427715843057765</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4.72820666247984</v>
      </c>
      <c r="W72" s="171">
        <f t="shared" si="29"/>
        <v>4.72820666247984</v>
      </c>
      <c r="X72" s="162"/>
      <c r="Y72" s="162">
        <f t="shared" si="30"/>
        <v>1.2800000000000007</v>
      </c>
      <c r="Z72" s="162">
        <f t="shared" si="31"/>
        <v>1.2800000000000007</v>
      </c>
      <c r="AA72" s="162">
        <f t="shared" ref="AA72:AA108" si="109">Y72*TAN(RADIANS(AC$7))-(IF($B$4, 9.807, 32.174)*Y72^2)/(2*AB$7^2*COS(RADIANS(AC$7))^2)+$D$7</f>
        <v>4.72820666247984</v>
      </c>
      <c r="AB72" s="171">
        <f t="shared" si="32"/>
        <v>4.72820666247984</v>
      </c>
      <c r="AC72" s="162"/>
      <c r="AD72" s="162">
        <f t="shared" si="33"/>
        <v>1.2800000000000007</v>
      </c>
      <c r="AE72" s="170">
        <f t="shared" si="34"/>
        <v>1.2800000000000007</v>
      </c>
      <c r="AF72" s="162">
        <f t="shared" ref="AF72:AF108" si="110">AD72*TAN(RADIANS(AH$7))-(IF($B$4, 9.807, 32.174)*AD72^2)/(2*AG$7^2*COS(RADIANS(AH$7))^2)+$D$7</f>
        <v>4.72820666247984</v>
      </c>
      <c r="AG72" s="171">
        <f t="shared" si="35"/>
        <v>4.72820666247984</v>
      </c>
      <c r="AH72" s="162"/>
      <c r="AI72" s="162">
        <f t="shared" si="36"/>
        <v>1.2800000000000007</v>
      </c>
      <c r="AJ72" s="170">
        <f t="shared" si="37"/>
        <v>1.2800000000000007</v>
      </c>
      <c r="AK72" s="162">
        <f t="shared" ref="AK72:AK108" si="111">AI72*TAN(RADIANS(AM$7))-(IF($B$4, 9.807, 32.174)*AI72^2)/(2*AL$7^2*COS(RADIANS(AM$7))^2)+$D$7</f>
        <v>4.72820666247984</v>
      </c>
      <c r="AL72" s="171">
        <f t="shared" si="38"/>
        <v>4.72820666247984</v>
      </c>
      <c r="AM72" s="162"/>
      <c r="AN72" s="162">
        <f t="shared" si="39"/>
        <v>1.2800000000000007</v>
      </c>
      <c r="AO72" s="162">
        <f t="shared" si="40"/>
        <v>1.2800000000000007</v>
      </c>
      <c r="AP72" s="162">
        <f t="shared" ref="AP72:AP108" si="112">AN72*TAN(RADIANS(AR$7))-(IF($B$4, 9.807, 32.174)*AN72^2)/(2*AQ$7^2*COS(RADIANS(AR$7))^2)+$D$7</f>
        <v>4.72820666247984</v>
      </c>
      <c r="AQ72" s="171">
        <f t="shared" si="41"/>
        <v>4.72820666247984</v>
      </c>
      <c r="AR72" s="162"/>
      <c r="AS72" s="162">
        <f t="shared" si="42"/>
        <v>1.2800000000000007</v>
      </c>
      <c r="AT72" s="170">
        <f t="shared" si="43"/>
        <v>1.2800000000000007</v>
      </c>
      <c r="AU72" s="162">
        <f t="shared" ref="AU72:AU108" si="113">AS72*TAN(RADIANS(AW$7))-(IF($B$4, 9.807, 32.174)*AS72^2)/(2*AV$7^2*COS(RADIANS(AW$7))^2)+$D$7</f>
        <v>4.72820666247984</v>
      </c>
      <c r="AV72" s="171">
        <f t="shared" si="44"/>
        <v>4.72820666247984</v>
      </c>
      <c r="AW72" s="162"/>
      <c r="AX72" s="162">
        <f t="shared" si="45"/>
        <v>1.2800000000000007</v>
      </c>
      <c r="AY72" s="170">
        <f t="shared" si="46"/>
        <v>1.2800000000000007</v>
      </c>
      <c r="AZ72" s="162">
        <f t="shared" ref="AZ72:AZ108" si="114">AX72*TAN(RADIANS(BB$7))-(IF($B$4, 9.807, 32.174)*AX72^2)/(2*BA$7^2*COS(RADIANS(BB$7))^2)+$D$7</f>
        <v>4.72820666247984</v>
      </c>
      <c r="BA72" s="171">
        <f t="shared" si="47"/>
        <v>4.72820666247984</v>
      </c>
      <c r="BB72" s="162"/>
      <c r="BC72" s="162">
        <f t="shared" si="48"/>
        <v>1.2800000000000007</v>
      </c>
      <c r="BD72" s="162">
        <f t="shared" si="49"/>
        <v>1.2800000000000007</v>
      </c>
      <c r="BE72" s="162">
        <f t="shared" ref="BE72:BE108" si="115">BC72*TAN(RADIANS(BG$7))-(IF($B$4, 9.807, 32.174)*BC72^2)/(2*BF$7^2*COS(RADIANS(BG$7))^2)+$D$7</f>
        <v>4.72820666247984</v>
      </c>
      <c r="BF72" s="171">
        <f t="shared" si="50"/>
        <v>4.72820666247984</v>
      </c>
      <c r="BG72" s="162"/>
      <c r="BH72" s="162">
        <f t="shared" si="51"/>
        <v>1.2800000000000007</v>
      </c>
      <c r="BI72" s="170">
        <f t="shared" si="52"/>
        <v>1.2800000000000007</v>
      </c>
      <c r="BJ72" s="162">
        <f t="shared" ref="BJ72:BJ108" si="116">BH72*TAN(RADIANS(BL$7))-(IF($B$4, 9.807, 32.174)*BH72^2)/(2*BK$7^2*COS(RADIANS(BL$7))^2)+$D$7</f>
        <v>4.72820666247984</v>
      </c>
      <c r="BK72" s="171">
        <f t="shared" si="53"/>
        <v>4.72820666247984</v>
      </c>
      <c r="BL72" s="162"/>
      <c r="BM72" s="162">
        <f t="shared" si="54"/>
        <v>1.2800000000000007</v>
      </c>
      <c r="BN72" s="170">
        <f t="shared" si="55"/>
        <v>1.2800000000000007</v>
      </c>
      <c r="BO72" s="162">
        <f t="shared" ref="BO72:BO108" si="117">BM72*TAN(RADIANS(BQ$7))-(IF($B$4, 9.807, 32.174)*BM72^2)/(2*BP$7^2*COS(RADIANS(BQ$7))^2)+$D$7</f>
        <v>4.72820666247984</v>
      </c>
      <c r="BP72" s="171">
        <f t="shared" si="56"/>
        <v>4.72820666247984</v>
      </c>
      <c r="BQ72" s="162"/>
      <c r="BR72" s="162">
        <f t="shared" si="57"/>
        <v>1.2800000000000007</v>
      </c>
      <c r="BS72" s="162">
        <f t="shared" si="58"/>
        <v>1.2800000000000007</v>
      </c>
      <c r="BT72" s="162">
        <f t="shared" ref="BT72:BT108" si="118">BR72*TAN(RADIANS(BV$7))-(IF($B$4, 9.807, 32.174)*BR72^2)/(2*BU$7^2*COS(RADIANS(BV$7))^2)+$D$7</f>
        <v>4.72820666247984</v>
      </c>
      <c r="BU72" s="171">
        <f t="shared" si="59"/>
        <v>4.72820666247984</v>
      </c>
      <c r="BV72" s="162"/>
      <c r="BW72" s="162">
        <f t="shared" si="60"/>
        <v>1.2800000000000007</v>
      </c>
      <c r="BX72" s="170">
        <f t="shared" si="61"/>
        <v>1.2800000000000007</v>
      </c>
      <c r="BY72" s="162">
        <f t="shared" ref="BY72:BY108" si="119">BW72*TAN(RADIANS(CA$7))-(IF($B$4, 9.807, 32.174)*BW72^2)/(2*BZ$7^2*COS(RADIANS(CA$7))^2)+$D$7</f>
        <v>4.72820666247984</v>
      </c>
      <c r="BZ72" s="171">
        <f t="shared" si="62"/>
        <v>4.72820666247984</v>
      </c>
      <c r="CA72" s="162"/>
      <c r="CB72" s="162">
        <f t="shared" si="63"/>
        <v>1.2800000000000007</v>
      </c>
      <c r="CC72" s="170">
        <f t="shared" si="64"/>
        <v>1.2800000000000007</v>
      </c>
      <c r="CD72" s="162">
        <f t="shared" ref="CD72:CD108" si="120">CB72*TAN(RADIANS(CF$7))-(IF($B$4, 9.807, 32.174)*CB72^2)/(2*CE$7^2*COS(RADIANS(CF$7))^2)+$D$7</f>
        <v>4.72820666247984</v>
      </c>
      <c r="CE72" s="171">
        <f t="shared" si="65"/>
        <v>4.72820666247984</v>
      </c>
      <c r="CF72" s="162"/>
      <c r="CG72" s="172">
        <f t="shared" si="66"/>
        <v>1.2800000000000007</v>
      </c>
      <c r="CH72" s="172">
        <f t="shared" si="67"/>
        <v>1.2800000000000007</v>
      </c>
      <c r="CI72" s="172">
        <f t="shared" ref="CI72:CI108" si="121">CG72*TAN(RADIANS(CK$7))-(IF($B$4, 9.807, 32.174)*CG72^2)/(2*CJ$7^2*COS(RADIANS(CK$7))^2)+$D$7</f>
        <v>4.72820666247984</v>
      </c>
      <c r="CJ72" s="171">
        <f t="shared" si="68"/>
        <v>4.72820666247984</v>
      </c>
      <c r="CK72" s="172"/>
      <c r="CL72" s="162">
        <f t="shared" si="69"/>
        <v>1.2800000000000007</v>
      </c>
      <c r="CM72" s="170">
        <f t="shared" si="70"/>
        <v>1.2800000000000007</v>
      </c>
      <c r="CN72" s="162">
        <f t="shared" ref="CN72:CN108" si="122">CL72*TAN(RADIANS(CP$7))-(IF($B$4, 9.807, 32.174)*CL72^2)/(2*CO$7^2*COS(RADIANS(CP$7))^2)+$D$7</f>
        <v>4.72820666247984</v>
      </c>
      <c r="CO72" s="171">
        <f t="shared" si="71"/>
        <v>4.72820666247984</v>
      </c>
      <c r="CP72" s="162"/>
      <c r="CQ72" s="162">
        <f t="shared" si="72"/>
        <v>1.2800000000000007</v>
      </c>
      <c r="CR72" s="170">
        <f t="shared" si="73"/>
        <v>1.2800000000000007</v>
      </c>
      <c r="CS72" s="162">
        <f t="shared" ref="CS72:CS108" si="123">CQ72*TAN(RADIANS(CU$7))-(IF($B$4, 9.807, 32.174)*CQ72^2)/(2*CT$7^2*COS(RADIANS(CU$7))^2)+$D$7</f>
        <v>4.72820666247984</v>
      </c>
      <c r="CT72" s="171">
        <f t="shared" si="74"/>
        <v>4.72820666247984</v>
      </c>
      <c r="CU72" s="162"/>
      <c r="CV72" s="162">
        <f t="shared" si="75"/>
        <v>1.2800000000000007</v>
      </c>
      <c r="CW72" s="162">
        <f t="shared" si="76"/>
        <v>1.2800000000000007</v>
      </c>
      <c r="CX72" s="162">
        <f t="shared" ref="CX72:CX108" si="124">CV72*TAN(RADIANS(CZ$7))-(IF($B$4, 9.807, 32.174)*CV72^2)/(2*CY$7^2*COS(RADIANS(CZ$7))^2)+$D$7</f>
        <v>4.72820666247984</v>
      </c>
      <c r="CY72" s="171">
        <f t="shared" si="77"/>
        <v>4.72820666247984</v>
      </c>
      <c r="CZ72" s="162"/>
      <c r="DA72" s="162">
        <f t="shared" si="78"/>
        <v>1.2800000000000007</v>
      </c>
      <c r="DB72" s="170">
        <f t="shared" si="79"/>
        <v>1.2800000000000007</v>
      </c>
      <c r="DC72" s="162">
        <f t="shared" ref="DC72:DC108" si="125">DA72*TAN(RADIANS(DE$7))-(IF($B$4, 9.807, 32.174)*DA72^2)/(2*DD$7^2*COS(RADIANS(DE$7))^2)+$D$7</f>
        <v>4.72820666247984</v>
      </c>
      <c r="DD72" s="171">
        <f t="shared" si="80"/>
        <v>4.72820666247984</v>
      </c>
      <c r="DE72" s="162"/>
      <c r="DF72" s="162">
        <f t="shared" si="81"/>
        <v>1.2800000000000007</v>
      </c>
      <c r="DG72" s="170">
        <f t="shared" si="82"/>
        <v>1.2800000000000007</v>
      </c>
      <c r="DH72" s="162">
        <f t="shared" ref="DH72:DH108" si="126">DF72*TAN(RADIANS(DJ$7))-(IF($B$4, 9.807, 32.174)*DF72^2)/(2*DI$7^2*COS(RADIANS(DJ$7))^2)+$D$7</f>
        <v>4.72820666247984</v>
      </c>
      <c r="DI72" s="171">
        <f t="shared" si="83"/>
        <v>4.72820666247984</v>
      </c>
      <c r="DJ72" s="162"/>
      <c r="DK72" s="162">
        <f t="shared" si="84"/>
        <v>1.2800000000000007</v>
      </c>
      <c r="DL72" s="162">
        <f t="shared" si="85"/>
        <v>1.2800000000000007</v>
      </c>
      <c r="DM72" s="162">
        <f t="shared" ref="DM72:DM108" si="127">DK72*TAN(RADIANS(DO$7))-(IF($B$4, 9.807, 32.174)*DK72^2)/(2*DN$7^2*COS(RADIANS(DO$7))^2)+$D$7</f>
        <v>4.72820666247984</v>
      </c>
      <c r="DN72" s="171">
        <f t="shared" si="86"/>
        <v>4.72820666247984</v>
      </c>
      <c r="DO72" s="162"/>
      <c r="DP72" s="162">
        <f t="shared" si="87"/>
        <v>1.2800000000000007</v>
      </c>
      <c r="DQ72" s="170">
        <f t="shared" si="88"/>
        <v>1.2800000000000007</v>
      </c>
      <c r="DR72" s="162">
        <f t="shared" ref="DR72:DR108" si="128">DP72*TAN(RADIANS(DT$7))-(IF($B$4, 9.807, 32.174)*DP72^2)/(2*DS$7^2*COS(RADIANS(DT$7))^2)+$D$7</f>
        <v>4.72820666247984</v>
      </c>
      <c r="DS72" s="171">
        <f t="shared" si="89"/>
        <v>4.72820666247984</v>
      </c>
      <c r="DT72" s="162"/>
      <c r="DU72" s="162">
        <f t="shared" si="90"/>
        <v>1.2800000000000007</v>
      </c>
      <c r="DV72" s="170">
        <f t="shared" si="91"/>
        <v>1.2800000000000007</v>
      </c>
      <c r="DW72" s="162">
        <f t="shared" ref="DW72:DW108" si="129">DU72*TAN(RADIANS(DY$7))-(IF($B$4, 9.807, 32.174)*DU72^2)/(2*DX$7^2*COS(RADIANS(DY$7))^2)+$D$7</f>
        <v>4.72820666247984</v>
      </c>
      <c r="DX72" s="171">
        <f t="shared" si="92"/>
        <v>4.72820666247984</v>
      </c>
      <c r="DY72" s="162"/>
      <c r="DZ72" s="162">
        <f t="shared" si="93"/>
        <v>1.2800000000000007</v>
      </c>
      <c r="EA72" s="162">
        <f t="shared" si="94"/>
        <v>1.2800000000000007</v>
      </c>
      <c r="EB72" s="162">
        <f t="shared" ref="EB72:EB108" si="130">DZ72*TAN(RADIANS(ED$7))-(IF($B$4, 9.807, 32.174)*DZ72^2)/(2*EC$7^2*COS(RADIANS(ED$7))^2)+$D$7</f>
        <v>4.72820666247984</v>
      </c>
      <c r="EC72" s="171">
        <f t="shared" si="95"/>
        <v>4.72820666247984</v>
      </c>
      <c r="ED72" s="162"/>
      <c r="EE72" s="162">
        <f t="shared" si="96"/>
        <v>1.2800000000000007</v>
      </c>
      <c r="EF72" s="170">
        <f t="shared" si="97"/>
        <v>1.2800000000000007</v>
      </c>
      <c r="EG72" s="162">
        <f t="shared" ref="EG72:EG108" si="131">EE72*TAN(RADIANS(EI$7))-(IF($B$4, 9.807, 32.174)*EE72^2)/(2*EH$7^2*COS(RADIANS(EI$7))^2)+$D$7</f>
        <v>4.72820666247984</v>
      </c>
      <c r="EH72" s="171">
        <f t="shared" si="98"/>
        <v>4.72820666247984</v>
      </c>
      <c r="EI72" s="162"/>
      <c r="EJ72" s="162">
        <f t="shared" si="99"/>
        <v>1.2800000000000007</v>
      </c>
      <c r="EK72" s="170">
        <f t="shared" si="100"/>
        <v>1.2800000000000007</v>
      </c>
      <c r="EL72" s="162">
        <f t="shared" ref="EL72:EL108" si="132">EJ72*TAN(RADIANS(EN$7))-(IF($B$4, 9.807, 32.174)*EJ72^2)/(2*EM$7^2*COS(RADIANS(EN$7))^2)+$D$7</f>
        <v>4.72820666247984</v>
      </c>
      <c r="EM72" s="171">
        <f t="shared" si="101"/>
        <v>4.72820666247984</v>
      </c>
      <c r="EN72" s="162"/>
      <c r="EO72" s="162">
        <f t="shared" si="102"/>
        <v>1.2800000000000007</v>
      </c>
      <c r="EP72" s="162">
        <f t="shared" si="103"/>
        <v>1.2800000000000007</v>
      </c>
      <c r="EQ72" s="162">
        <f t="shared" ref="EQ72:EQ108" si="133">EO72*TAN(RADIANS(ES$7))-(IF($B$4, 9.807, 32.174)*EO72^2)/(2*ER$7^2*COS(RADIANS(ES$7))^2)+$D$7</f>
        <v>4.72820666247984</v>
      </c>
      <c r="ER72" s="171">
        <f t="shared" si="104"/>
        <v>4.72820666247984</v>
      </c>
      <c r="ES72" s="162"/>
      <c r="ET72" s="162">
        <f t="shared" si="105"/>
        <v>1.2800000000000007</v>
      </c>
      <c r="EU72" s="170">
        <f t="shared" si="106"/>
        <v>1.2800000000000007</v>
      </c>
      <c r="EV72" s="162">
        <f t="shared" ref="EV72:EV108" si="134">ET72*TAN(RADIANS(EX$7))-(IF($B$4, 9.807, 32.174)*ET72^2)/(2*EW$7^2*COS(RADIANS(EX$7))^2)+$D$7</f>
        <v>4.72820666247984</v>
      </c>
      <c r="EW72" s="171">
        <f t="shared" si="107"/>
        <v>4.72820666247984</v>
      </c>
      <c r="EX72" s="162"/>
    </row>
    <row r="73" spans="20:154" s="181" customFormat="1" x14ac:dyDescent="0.25">
      <c r="T73" s="162">
        <f t="shared" ref="T73:T108" si="135">T72+T$7/100</f>
        <v>1.3000000000000007</v>
      </c>
      <c r="U73" s="170">
        <f t="shared" ref="U73:U108" si="136">T73+IF($I$3="Forward", $D$9, $G$9)</f>
        <v>1.3000000000000007</v>
      </c>
      <c r="V73" s="162">
        <f t="shared" si="108"/>
        <v>4.7109332279260574</v>
      </c>
      <c r="W73" s="171">
        <f t="shared" ref="W73:W108" si="137">MIN($V$5,V73)</f>
        <v>4.7109332279260574</v>
      </c>
      <c r="X73" s="162"/>
      <c r="Y73" s="162">
        <f t="shared" ref="Y73:Y108" si="138">Y72+Y$7/100</f>
        <v>1.3000000000000007</v>
      </c>
      <c r="Z73" s="162">
        <f t="shared" ref="Z73:Z108" si="139">Y73</f>
        <v>1.3000000000000007</v>
      </c>
      <c r="AA73" s="162">
        <f t="shared" si="109"/>
        <v>4.7109332279260574</v>
      </c>
      <c r="AB73" s="171">
        <f t="shared" ref="AB73:AB108" si="140">MIN($V$5,AA73)</f>
        <v>4.7109332279260574</v>
      </c>
      <c r="AC73" s="162"/>
      <c r="AD73" s="162">
        <f t="shared" ref="AD73:AD108" si="141">AD72+AD$7/100</f>
        <v>1.3000000000000007</v>
      </c>
      <c r="AE73" s="170">
        <f t="shared" ref="AE73:AE108" si="142">AD73-IF($I$3="Forward", $D$9, $G$9)</f>
        <v>1.3000000000000007</v>
      </c>
      <c r="AF73" s="162">
        <f t="shared" si="110"/>
        <v>4.7109332279260574</v>
      </c>
      <c r="AG73" s="171">
        <f t="shared" ref="AG73:AG108" si="143">MIN($V$5,AF73)</f>
        <v>4.7109332279260574</v>
      </c>
      <c r="AH73" s="162"/>
      <c r="AI73" s="162">
        <f t="shared" ref="AI73:AI108" si="144">AI72+AI$7/100</f>
        <v>1.3000000000000007</v>
      </c>
      <c r="AJ73" s="170">
        <f t="shared" ref="AJ73:AJ108" si="145">AI73+IF($I$3="Forward", $D$9, $G$9)</f>
        <v>1.3000000000000007</v>
      </c>
      <c r="AK73" s="162">
        <f t="shared" si="111"/>
        <v>4.7109332279260574</v>
      </c>
      <c r="AL73" s="171">
        <f t="shared" ref="AL73:AL108" si="146">MIN($V$5,AK73)</f>
        <v>4.7109332279260574</v>
      </c>
      <c r="AM73" s="162"/>
      <c r="AN73" s="162">
        <f t="shared" ref="AN73:AN108" si="147">AN72+AN$7/100</f>
        <v>1.3000000000000007</v>
      </c>
      <c r="AO73" s="162">
        <f t="shared" ref="AO73:AO108" si="148">AN73</f>
        <v>1.3000000000000007</v>
      </c>
      <c r="AP73" s="162">
        <f t="shared" si="112"/>
        <v>4.7109332279260574</v>
      </c>
      <c r="AQ73" s="171">
        <f t="shared" ref="AQ73:AQ108" si="149">MIN($V$5,AP73)</f>
        <v>4.7109332279260574</v>
      </c>
      <c r="AR73" s="162"/>
      <c r="AS73" s="162">
        <f t="shared" ref="AS73:AS108" si="150">AS72+AS$7/100</f>
        <v>1.3000000000000007</v>
      </c>
      <c r="AT73" s="170">
        <f t="shared" ref="AT73:AT108" si="151">AS73-IF($I$3="Forward", $D$9, $G$9)</f>
        <v>1.3000000000000007</v>
      </c>
      <c r="AU73" s="162">
        <f t="shared" si="113"/>
        <v>4.7109332279260574</v>
      </c>
      <c r="AV73" s="171">
        <f t="shared" ref="AV73:AV108" si="152">MIN($V$5,AU73)</f>
        <v>4.7109332279260574</v>
      </c>
      <c r="AW73" s="162"/>
      <c r="AX73" s="162">
        <f t="shared" ref="AX73:AX108" si="153">AX72+AX$7/100</f>
        <v>1.3000000000000007</v>
      </c>
      <c r="AY73" s="170">
        <f t="shared" ref="AY73:AY108" si="154">AX73+IF($I$3="Forward", $D$9, $G$9)</f>
        <v>1.3000000000000007</v>
      </c>
      <c r="AZ73" s="162">
        <f t="shared" si="114"/>
        <v>4.7109332279260574</v>
      </c>
      <c r="BA73" s="171">
        <f t="shared" ref="BA73:BA108" si="155">MIN($V$5,AZ73)</f>
        <v>4.7109332279260574</v>
      </c>
      <c r="BB73" s="162"/>
      <c r="BC73" s="162">
        <f t="shared" ref="BC73:BC108" si="156">BC72+BC$7/100</f>
        <v>1.3000000000000007</v>
      </c>
      <c r="BD73" s="162">
        <f t="shared" ref="BD73:BD108" si="157">BC73</f>
        <v>1.3000000000000007</v>
      </c>
      <c r="BE73" s="162">
        <f t="shared" si="115"/>
        <v>4.7109332279260574</v>
      </c>
      <c r="BF73" s="171">
        <f t="shared" ref="BF73:BF108" si="158">MIN($V$5,BE73)</f>
        <v>4.7109332279260574</v>
      </c>
      <c r="BG73" s="162"/>
      <c r="BH73" s="162">
        <f t="shared" ref="BH73:BH108" si="159">BH72+BH$7/100</f>
        <v>1.3000000000000007</v>
      </c>
      <c r="BI73" s="170">
        <f t="shared" ref="BI73:BI108" si="160">BH73-IF($I$3="Forward", $D$9, $G$9)</f>
        <v>1.3000000000000007</v>
      </c>
      <c r="BJ73" s="162">
        <f t="shared" si="116"/>
        <v>4.7109332279260574</v>
      </c>
      <c r="BK73" s="171">
        <f t="shared" ref="BK73:BK108" si="161">MIN($V$5,BJ73)</f>
        <v>4.7109332279260574</v>
      </c>
      <c r="BL73" s="162"/>
      <c r="BM73" s="162">
        <f t="shared" ref="BM73:BM108" si="162">BM72+BM$7/100</f>
        <v>1.3000000000000007</v>
      </c>
      <c r="BN73" s="170">
        <f t="shared" ref="BN73:BN108" si="163">BM73+IF($I$3="Forward", $D$9, $G$9)</f>
        <v>1.3000000000000007</v>
      </c>
      <c r="BO73" s="162">
        <f t="shared" si="117"/>
        <v>4.7109332279260574</v>
      </c>
      <c r="BP73" s="171">
        <f t="shared" ref="BP73:BP108" si="164">MIN($V$5,BO73)</f>
        <v>4.7109332279260574</v>
      </c>
      <c r="BQ73" s="162"/>
      <c r="BR73" s="162">
        <f t="shared" ref="BR73:BR108" si="165">BR72+BR$7/100</f>
        <v>1.3000000000000007</v>
      </c>
      <c r="BS73" s="162">
        <f t="shared" ref="BS73:BS108" si="166">BR73</f>
        <v>1.3000000000000007</v>
      </c>
      <c r="BT73" s="162">
        <f t="shared" si="118"/>
        <v>4.7109332279260574</v>
      </c>
      <c r="BU73" s="171">
        <f t="shared" ref="BU73:BU108" si="167">MIN($V$5,BT73)</f>
        <v>4.7109332279260574</v>
      </c>
      <c r="BV73" s="162"/>
      <c r="BW73" s="162">
        <f t="shared" ref="BW73:BW108" si="168">BW72+BW$7/100</f>
        <v>1.3000000000000007</v>
      </c>
      <c r="BX73" s="170">
        <f t="shared" ref="BX73:BX108" si="169">BW73-IF($I$3="Forward", $D$9, $G$9)</f>
        <v>1.3000000000000007</v>
      </c>
      <c r="BY73" s="162">
        <f t="shared" si="119"/>
        <v>4.7109332279260574</v>
      </c>
      <c r="BZ73" s="171">
        <f t="shared" ref="BZ73:BZ108" si="170">MIN($V$5,BY73)</f>
        <v>4.7109332279260574</v>
      </c>
      <c r="CA73" s="162"/>
      <c r="CB73" s="162">
        <f t="shared" ref="CB73:CB108" si="171">CB72+CB$7/100</f>
        <v>1.3000000000000007</v>
      </c>
      <c r="CC73" s="170">
        <f t="shared" ref="CC73:CC108" si="172">CB73+IF($I$3="Forward", $D$9, $G$9)</f>
        <v>1.3000000000000007</v>
      </c>
      <c r="CD73" s="162">
        <f t="shared" si="120"/>
        <v>4.7109332279260574</v>
      </c>
      <c r="CE73" s="171">
        <f t="shared" ref="CE73:CE108" si="173">MIN($V$5,CD73)</f>
        <v>4.7109332279260574</v>
      </c>
      <c r="CF73" s="162"/>
      <c r="CG73" s="172">
        <f t="shared" ref="CG73:CG108" si="174">CG72+CG$7/100</f>
        <v>1.3000000000000007</v>
      </c>
      <c r="CH73" s="172">
        <f t="shared" ref="CH73:CH108" si="175">CG73</f>
        <v>1.3000000000000007</v>
      </c>
      <c r="CI73" s="172">
        <f t="shared" si="121"/>
        <v>4.7109332279260574</v>
      </c>
      <c r="CJ73" s="171">
        <f t="shared" ref="CJ73:CJ108" si="176">MIN($V$5,CI73)</f>
        <v>4.7109332279260574</v>
      </c>
      <c r="CK73" s="172"/>
      <c r="CL73" s="162">
        <f t="shared" ref="CL73:CL108" si="177">CL72+CL$7/100</f>
        <v>1.3000000000000007</v>
      </c>
      <c r="CM73" s="170">
        <f t="shared" ref="CM73:CM108" si="178">CL73-IF($I$3="Forward", $D$9, $G$9)</f>
        <v>1.3000000000000007</v>
      </c>
      <c r="CN73" s="162">
        <f t="shared" si="122"/>
        <v>4.7109332279260574</v>
      </c>
      <c r="CO73" s="171">
        <f t="shared" ref="CO73:CO108" si="179">MIN($V$5,CN73)</f>
        <v>4.7109332279260574</v>
      </c>
      <c r="CP73" s="162"/>
      <c r="CQ73" s="162">
        <f t="shared" ref="CQ73:CQ108" si="180">CQ72+CQ$7/100</f>
        <v>1.3000000000000007</v>
      </c>
      <c r="CR73" s="170">
        <f t="shared" ref="CR73:CR108" si="181">CQ73+IF($I$3="Forward", $D$9, $G$9)</f>
        <v>1.3000000000000007</v>
      </c>
      <c r="CS73" s="162">
        <f t="shared" si="123"/>
        <v>4.7109332279260574</v>
      </c>
      <c r="CT73" s="171">
        <f t="shared" ref="CT73:CT108" si="182">MIN($V$5,CS73)</f>
        <v>4.7109332279260574</v>
      </c>
      <c r="CU73" s="162"/>
      <c r="CV73" s="162">
        <f t="shared" ref="CV73:CV108" si="183">CV72+CV$7/100</f>
        <v>1.3000000000000007</v>
      </c>
      <c r="CW73" s="162">
        <f t="shared" ref="CW73:CW108" si="184">CV73</f>
        <v>1.3000000000000007</v>
      </c>
      <c r="CX73" s="162">
        <f t="shared" si="124"/>
        <v>4.7109332279260574</v>
      </c>
      <c r="CY73" s="171">
        <f t="shared" ref="CY73:CY108" si="185">MIN($V$5,CX73)</f>
        <v>4.7109332279260574</v>
      </c>
      <c r="CZ73" s="162"/>
      <c r="DA73" s="162">
        <f t="shared" ref="DA73:DA108" si="186">DA72+DA$7/100</f>
        <v>1.3000000000000007</v>
      </c>
      <c r="DB73" s="170">
        <f t="shared" ref="DB73:DB108" si="187">DA73-IF($I$3="Forward", $D$9, $G$9)</f>
        <v>1.3000000000000007</v>
      </c>
      <c r="DC73" s="162">
        <f t="shared" si="125"/>
        <v>4.7109332279260574</v>
      </c>
      <c r="DD73" s="171">
        <f t="shared" ref="DD73:DD108" si="188">MIN($V$5,DC73)</f>
        <v>4.7109332279260574</v>
      </c>
      <c r="DE73" s="162"/>
      <c r="DF73" s="162">
        <f t="shared" ref="DF73:DF108" si="189">DF72+DF$7/100</f>
        <v>1.3000000000000007</v>
      </c>
      <c r="DG73" s="170">
        <f t="shared" ref="DG73:DG108" si="190">DF73+IF($I$3="Forward", $D$9, $G$9)</f>
        <v>1.3000000000000007</v>
      </c>
      <c r="DH73" s="162">
        <f t="shared" si="126"/>
        <v>4.7109332279260574</v>
      </c>
      <c r="DI73" s="171">
        <f t="shared" ref="DI73:DI108" si="191">MIN($V$5,DH73)</f>
        <v>4.7109332279260574</v>
      </c>
      <c r="DJ73" s="162"/>
      <c r="DK73" s="162">
        <f t="shared" ref="DK73:DK108" si="192">DK72+DK$7/100</f>
        <v>1.3000000000000007</v>
      </c>
      <c r="DL73" s="162">
        <f t="shared" ref="DL73:DL108" si="193">DK73</f>
        <v>1.3000000000000007</v>
      </c>
      <c r="DM73" s="162">
        <f t="shared" si="127"/>
        <v>4.7109332279260574</v>
      </c>
      <c r="DN73" s="171">
        <f t="shared" ref="DN73:DN108" si="194">MIN($V$5,DM73)</f>
        <v>4.7109332279260574</v>
      </c>
      <c r="DO73" s="162"/>
      <c r="DP73" s="162">
        <f t="shared" ref="DP73:DP108" si="195">DP72+DP$7/100</f>
        <v>1.3000000000000007</v>
      </c>
      <c r="DQ73" s="170">
        <f t="shared" ref="DQ73:DQ108" si="196">DP73-IF($I$3="Forward", $D$9, $G$9)</f>
        <v>1.3000000000000007</v>
      </c>
      <c r="DR73" s="162">
        <f t="shared" si="128"/>
        <v>4.7109332279260574</v>
      </c>
      <c r="DS73" s="171">
        <f t="shared" ref="DS73:DS108" si="197">MIN($V$5,DR73)</f>
        <v>4.7109332279260574</v>
      </c>
      <c r="DT73" s="162"/>
      <c r="DU73" s="162">
        <f t="shared" ref="DU73:DU108" si="198">DU72+DU$7/100</f>
        <v>1.3000000000000007</v>
      </c>
      <c r="DV73" s="170">
        <f t="shared" ref="DV73:DV108" si="199">DU73+IF($I$3="Forward", $D$9, $G$9)</f>
        <v>1.3000000000000007</v>
      </c>
      <c r="DW73" s="162">
        <f t="shared" si="129"/>
        <v>4.7109332279260574</v>
      </c>
      <c r="DX73" s="171">
        <f t="shared" ref="DX73:DX108" si="200">MIN($V$5,DW73)</f>
        <v>4.7109332279260574</v>
      </c>
      <c r="DY73" s="162"/>
      <c r="DZ73" s="162">
        <f t="shared" ref="DZ73:DZ108" si="201">DZ72+DZ$7/100</f>
        <v>1.3000000000000007</v>
      </c>
      <c r="EA73" s="162">
        <f t="shared" ref="EA73:EA108" si="202">DZ73</f>
        <v>1.3000000000000007</v>
      </c>
      <c r="EB73" s="162">
        <f t="shared" si="130"/>
        <v>4.7109332279260574</v>
      </c>
      <c r="EC73" s="171">
        <f t="shared" ref="EC73:EC108" si="203">MIN($V$5,EB73)</f>
        <v>4.7109332279260574</v>
      </c>
      <c r="ED73" s="162"/>
      <c r="EE73" s="162">
        <f t="shared" ref="EE73:EE108" si="204">EE72+EE$7/100</f>
        <v>1.3000000000000007</v>
      </c>
      <c r="EF73" s="170">
        <f t="shared" ref="EF73:EF108" si="205">EE73-IF($I$3="Forward", $D$9, $G$9)</f>
        <v>1.3000000000000007</v>
      </c>
      <c r="EG73" s="162">
        <f t="shared" si="131"/>
        <v>4.7109332279260574</v>
      </c>
      <c r="EH73" s="171">
        <f t="shared" ref="EH73:EH108" si="206">MIN($V$5,EG73)</f>
        <v>4.7109332279260574</v>
      </c>
      <c r="EI73" s="162"/>
      <c r="EJ73" s="162">
        <f t="shared" ref="EJ73:EJ108" si="207">EJ72+EJ$7/100</f>
        <v>1.3000000000000007</v>
      </c>
      <c r="EK73" s="170">
        <f t="shared" ref="EK73:EK108" si="208">EJ73+IF($I$3="Forward", $D$9, $G$9)</f>
        <v>1.3000000000000007</v>
      </c>
      <c r="EL73" s="162">
        <f t="shared" si="132"/>
        <v>4.7109332279260574</v>
      </c>
      <c r="EM73" s="171">
        <f t="shared" ref="EM73:EM108" si="209">MIN($V$5,EL73)</f>
        <v>4.7109332279260574</v>
      </c>
      <c r="EN73" s="162"/>
      <c r="EO73" s="162">
        <f t="shared" ref="EO73:EO108" si="210">EO72+EO$7/100</f>
        <v>1.3000000000000007</v>
      </c>
      <c r="EP73" s="162">
        <f t="shared" ref="EP73:EP108" si="211">EO73</f>
        <v>1.3000000000000007</v>
      </c>
      <c r="EQ73" s="162">
        <f t="shared" si="133"/>
        <v>4.7109332279260574</v>
      </c>
      <c r="ER73" s="171">
        <f t="shared" ref="ER73:ER108" si="212">MIN($V$5,EQ73)</f>
        <v>4.7109332279260574</v>
      </c>
      <c r="ES73" s="162"/>
      <c r="ET73" s="162">
        <f t="shared" ref="ET73:ET108" si="213">ET72+ET$7/100</f>
        <v>1.3000000000000007</v>
      </c>
      <c r="EU73" s="170">
        <f t="shared" ref="EU73:EU108" si="214">ET73-IF($I$3="Forward", $D$9, $G$9)</f>
        <v>1.3000000000000007</v>
      </c>
      <c r="EV73" s="162">
        <f t="shared" si="134"/>
        <v>4.7109332279260574</v>
      </c>
      <c r="EW73" s="171">
        <f t="shared" ref="EW73:EW108" si="215">MIN($V$5,EV73)</f>
        <v>4.7109332279260574</v>
      </c>
      <c r="EX73" s="162"/>
    </row>
    <row r="74" spans="20:154" s="181" customFormat="1" x14ac:dyDescent="0.25">
      <c r="T74" s="162">
        <f t="shared" si="135"/>
        <v>1.3200000000000007</v>
      </c>
      <c r="U74" s="170">
        <f t="shared" si="136"/>
        <v>1.3200000000000007</v>
      </c>
      <c r="V74" s="162">
        <f t="shared" si="108"/>
        <v>4.6909512806444269</v>
      </c>
      <c r="W74" s="171">
        <f t="shared" si="137"/>
        <v>4.6909512806444269</v>
      </c>
      <c r="X74" s="162"/>
      <c r="Y74" s="162">
        <f t="shared" si="138"/>
        <v>1.3200000000000007</v>
      </c>
      <c r="Z74" s="162">
        <f t="shared" si="139"/>
        <v>1.3200000000000007</v>
      </c>
      <c r="AA74" s="162">
        <f t="shared" si="109"/>
        <v>4.6909512806444269</v>
      </c>
      <c r="AB74" s="171">
        <f t="shared" si="140"/>
        <v>4.6909512806444269</v>
      </c>
      <c r="AC74" s="162"/>
      <c r="AD74" s="162">
        <f t="shared" si="141"/>
        <v>1.3200000000000007</v>
      </c>
      <c r="AE74" s="170">
        <f t="shared" si="142"/>
        <v>1.3200000000000007</v>
      </c>
      <c r="AF74" s="162">
        <f t="shared" si="110"/>
        <v>4.6909512806444269</v>
      </c>
      <c r="AG74" s="171">
        <f t="shared" si="143"/>
        <v>4.6909512806444269</v>
      </c>
      <c r="AH74" s="162"/>
      <c r="AI74" s="162">
        <f t="shared" si="144"/>
        <v>1.3200000000000007</v>
      </c>
      <c r="AJ74" s="170">
        <f t="shared" si="145"/>
        <v>1.3200000000000007</v>
      </c>
      <c r="AK74" s="162">
        <f t="shared" si="111"/>
        <v>4.6909512806444269</v>
      </c>
      <c r="AL74" s="171">
        <f t="shared" si="146"/>
        <v>4.6909512806444269</v>
      </c>
      <c r="AM74" s="162"/>
      <c r="AN74" s="162">
        <f t="shared" si="147"/>
        <v>1.3200000000000007</v>
      </c>
      <c r="AO74" s="162">
        <f t="shared" si="148"/>
        <v>1.3200000000000007</v>
      </c>
      <c r="AP74" s="162">
        <f t="shared" si="112"/>
        <v>4.6909512806444269</v>
      </c>
      <c r="AQ74" s="171">
        <f t="shared" si="149"/>
        <v>4.6909512806444269</v>
      </c>
      <c r="AR74" s="162"/>
      <c r="AS74" s="162">
        <f t="shared" si="150"/>
        <v>1.3200000000000007</v>
      </c>
      <c r="AT74" s="170">
        <f t="shared" si="151"/>
        <v>1.3200000000000007</v>
      </c>
      <c r="AU74" s="162">
        <f t="shared" si="113"/>
        <v>4.6909512806444269</v>
      </c>
      <c r="AV74" s="171">
        <f t="shared" si="152"/>
        <v>4.6909512806444269</v>
      </c>
      <c r="AW74" s="162"/>
      <c r="AX74" s="162">
        <f t="shared" si="153"/>
        <v>1.3200000000000007</v>
      </c>
      <c r="AY74" s="170">
        <f t="shared" si="154"/>
        <v>1.3200000000000007</v>
      </c>
      <c r="AZ74" s="162">
        <f t="shared" si="114"/>
        <v>4.6909512806444269</v>
      </c>
      <c r="BA74" s="171">
        <f t="shared" si="155"/>
        <v>4.6909512806444269</v>
      </c>
      <c r="BB74" s="162"/>
      <c r="BC74" s="162">
        <f t="shared" si="156"/>
        <v>1.3200000000000007</v>
      </c>
      <c r="BD74" s="162">
        <f t="shared" si="157"/>
        <v>1.3200000000000007</v>
      </c>
      <c r="BE74" s="162">
        <f t="shared" si="115"/>
        <v>4.6909512806444269</v>
      </c>
      <c r="BF74" s="171">
        <f t="shared" si="158"/>
        <v>4.6909512806444269</v>
      </c>
      <c r="BG74" s="162"/>
      <c r="BH74" s="162">
        <f t="shared" si="159"/>
        <v>1.3200000000000007</v>
      </c>
      <c r="BI74" s="170">
        <f t="shared" si="160"/>
        <v>1.3200000000000007</v>
      </c>
      <c r="BJ74" s="162">
        <f t="shared" si="116"/>
        <v>4.6909512806444269</v>
      </c>
      <c r="BK74" s="171">
        <f t="shared" si="161"/>
        <v>4.6909512806444269</v>
      </c>
      <c r="BL74" s="162"/>
      <c r="BM74" s="162">
        <f t="shared" si="162"/>
        <v>1.3200000000000007</v>
      </c>
      <c r="BN74" s="170">
        <f t="shared" si="163"/>
        <v>1.3200000000000007</v>
      </c>
      <c r="BO74" s="162">
        <f t="shared" si="117"/>
        <v>4.6909512806444269</v>
      </c>
      <c r="BP74" s="171">
        <f t="shared" si="164"/>
        <v>4.6909512806444269</v>
      </c>
      <c r="BQ74" s="162"/>
      <c r="BR74" s="162">
        <f t="shared" si="165"/>
        <v>1.3200000000000007</v>
      </c>
      <c r="BS74" s="162">
        <f t="shared" si="166"/>
        <v>1.3200000000000007</v>
      </c>
      <c r="BT74" s="162">
        <f t="shared" si="118"/>
        <v>4.6909512806444269</v>
      </c>
      <c r="BU74" s="171">
        <f t="shared" si="167"/>
        <v>4.6909512806444269</v>
      </c>
      <c r="BV74" s="162"/>
      <c r="BW74" s="162">
        <f t="shared" si="168"/>
        <v>1.3200000000000007</v>
      </c>
      <c r="BX74" s="170">
        <f t="shared" si="169"/>
        <v>1.3200000000000007</v>
      </c>
      <c r="BY74" s="162">
        <f t="shared" si="119"/>
        <v>4.6909512806444269</v>
      </c>
      <c r="BZ74" s="171">
        <f t="shared" si="170"/>
        <v>4.6909512806444269</v>
      </c>
      <c r="CA74" s="162"/>
      <c r="CB74" s="162">
        <f t="shared" si="171"/>
        <v>1.3200000000000007</v>
      </c>
      <c r="CC74" s="170">
        <f t="shared" si="172"/>
        <v>1.3200000000000007</v>
      </c>
      <c r="CD74" s="162">
        <f t="shared" si="120"/>
        <v>4.6909512806444269</v>
      </c>
      <c r="CE74" s="171">
        <f t="shared" si="173"/>
        <v>4.6909512806444269</v>
      </c>
      <c r="CF74" s="162"/>
      <c r="CG74" s="172">
        <f t="shared" si="174"/>
        <v>1.3200000000000007</v>
      </c>
      <c r="CH74" s="172">
        <f t="shared" si="175"/>
        <v>1.3200000000000007</v>
      </c>
      <c r="CI74" s="172">
        <f t="shared" si="121"/>
        <v>4.6909512806444269</v>
      </c>
      <c r="CJ74" s="171">
        <f t="shared" si="176"/>
        <v>4.6909512806444269</v>
      </c>
      <c r="CK74" s="172"/>
      <c r="CL74" s="162">
        <f t="shared" si="177"/>
        <v>1.3200000000000007</v>
      </c>
      <c r="CM74" s="170">
        <f t="shared" si="178"/>
        <v>1.3200000000000007</v>
      </c>
      <c r="CN74" s="162">
        <f t="shared" si="122"/>
        <v>4.6909512806444269</v>
      </c>
      <c r="CO74" s="171">
        <f t="shared" si="179"/>
        <v>4.6909512806444269</v>
      </c>
      <c r="CP74" s="162"/>
      <c r="CQ74" s="162">
        <f t="shared" si="180"/>
        <v>1.3200000000000007</v>
      </c>
      <c r="CR74" s="170">
        <f t="shared" si="181"/>
        <v>1.3200000000000007</v>
      </c>
      <c r="CS74" s="162">
        <f t="shared" si="123"/>
        <v>4.6909512806444269</v>
      </c>
      <c r="CT74" s="171">
        <f t="shared" si="182"/>
        <v>4.6909512806444269</v>
      </c>
      <c r="CU74" s="162"/>
      <c r="CV74" s="162">
        <f t="shared" si="183"/>
        <v>1.3200000000000007</v>
      </c>
      <c r="CW74" s="162">
        <f t="shared" si="184"/>
        <v>1.3200000000000007</v>
      </c>
      <c r="CX74" s="162">
        <f t="shared" si="124"/>
        <v>4.6909512806444269</v>
      </c>
      <c r="CY74" s="171">
        <f t="shared" si="185"/>
        <v>4.6909512806444269</v>
      </c>
      <c r="CZ74" s="162"/>
      <c r="DA74" s="162">
        <f t="shared" si="186"/>
        <v>1.3200000000000007</v>
      </c>
      <c r="DB74" s="170">
        <f t="shared" si="187"/>
        <v>1.3200000000000007</v>
      </c>
      <c r="DC74" s="162">
        <f t="shared" si="125"/>
        <v>4.6909512806444269</v>
      </c>
      <c r="DD74" s="171">
        <f t="shared" si="188"/>
        <v>4.6909512806444269</v>
      </c>
      <c r="DE74" s="162"/>
      <c r="DF74" s="162">
        <f t="shared" si="189"/>
        <v>1.3200000000000007</v>
      </c>
      <c r="DG74" s="170">
        <f t="shared" si="190"/>
        <v>1.3200000000000007</v>
      </c>
      <c r="DH74" s="162">
        <f t="shared" si="126"/>
        <v>4.6909512806444269</v>
      </c>
      <c r="DI74" s="171">
        <f t="shared" si="191"/>
        <v>4.6909512806444269</v>
      </c>
      <c r="DJ74" s="162"/>
      <c r="DK74" s="162">
        <f t="shared" si="192"/>
        <v>1.3200000000000007</v>
      </c>
      <c r="DL74" s="162">
        <f t="shared" si="193"/>
        <v>1.3200000000000007</v>
      </c>
      <c r="DM74" s="162">
        <f t="shared" si="127"/>
        <v>4.6909512806444269</v>
      </c>
      <c r="DN74" s="171">
        <f t="shared" si="194"/>
        <v>4.6909512806444269</v>
      </c>
      <c r="DO74" s="162"/>
      <c r="DP74" s="162">
        <f t="shared" si="195"/>
        <v>1.3200000000000007</v>
      </c>
      <c r="DQ74" s="170">
        <f t="shared" si="196"/>
        <v>1.3200000000000007</v>
      </c>
      <c r="DR74" s="162">
        <f t="shared" si="128"/>
        <v>4.6909512806444269</v>
      </c>
      <c r="DS74" s="171">
        <f t="shared" si="197"/>
        <v>4.6909512806444269</v>
      </c>
      <c r="DT74" s="162"/>
      <c r="DU74" s="162">
        <f t="shared" si="198"/>
        <v>1.3200000000000007</v>
      </c>
      <c r="DV74" s="170">
        <f t="shared" si="199"/>
        <v>1.3200000000000007</v>
      </c>
      <c r="DW74" s="162">
        <f t="shared" si="129"/>
        <v>4.6909512806444269</v>
      </c>
      <c r="DX74" s="171">
        <f t="shared" si="200"/>
        <v>4.6909512806444269</v>
      </c>
      <c r="DY74" s="162"/>
      <c r="DZ74" s="162">
        <f t="shared" si="201"/>
        <v>1.3200000000000007</v>
      </c>
      <c r="EA74" s="162">
        <f t="shared" si="202"/>
        <v>1.3200000000000007</v>
      </c>
      <c r="EB74" s="162">
        <f t="shared" si="130"/>
        <v>4.6909512806444269</v>
      </c>
      <c r="EC74" s="171">
        <f t="shared" si="203"/>
        <v>4.6909512806444269</v>
      </c>
      <c r="ED74" s="162"/>
      <c r="EE74" s="162">
        <f t="shared" si="204"/>
        <v>1.3200000000000007</v>
      </c>
      <c r="EF74" s="170">
        <f t="shared" si="205"/>
        <v>1.3200000000000007</v>
      </c>
      <c r="EG74" s="162">
        <f t="shared" si="131"/>
        <v>4.6909512806444269</v>
      </c>
      <c r="EH74" s="171">
        <f t="shared" si="206"/>
        <v>4.6909512806444269</v>
      </c>
      <c r="EI74" s="162"/>
      <c r="EJ74" s="162">
        <f t="shared" si="207"/>
        <v>1.3200000000000007</v>
      </c>
      <c r="EK74" s="170">
        <f t="shared" si="208"/>
        <v>1.3200000000000007</v>
      </c>
      <c r="EL74" s="162">
        <f t="shared" si="132"/>
        <v>4.6909512806444269</v>
      </c>
      <c r="EM74" s="171">
        <f t="shared" si="209"/>
        <v>4.6909512806444269</v>
      </c>
      <c r="EN74" s="162"/>
      <c r="EO74" s="162">
        <f t="shared" si="210"/>
        <v>1.3200000000000007</v>
      </c>
      <c r="EP74" s="162">
        <f t="shared" si="211"/>
        <v>1.3200000000000007</v>
      </c>
      <c r="EQ74" s="162">
        <f t="shared" si="133"/>
        <v>4.6909512806444269</v>
      </c>
      <c r="ER74" s="171">
        <f t="shared" si="212"/>
        <v>4.6909512806444269</v>
      </c>
      <c r="ES74" s="162"/>
      <c r="ET74" s="162">
        <f t="shared" si="213"/>
        <v>1.3200000000000007</v>
      </c>
      <c r="EU74" s="170">
        <f t="shared" si="214"/>
        <v>1.3200000000000007</v>
      </c>
      <c r="EV74" s="162">
        <f t="shared" si="134"/>
        <v>4.6909512806444269</v>
      </c>
      <c r="EW74" s="171">
        <f t="shared" si="215"/>
        <v>4.6909512806444269</v>
      </c>
      <c r="EX74" s="162"/>
    </row>
    <row r="75" spans="20:154" s="181" customFormat="1" x14ac:dyDescent="0.25">
      <c r="T75" s="162">
        <f t="shared" si="135"/>
        <v>1.3400000000000007</v>
      </c>
      <c r="U75" s="170">
        <f t="shared" si="136"/>
        <v>1.3400000000000007</v>
      </c>
      <c r="V75" s="162">
        <f t="shared" si="108"/>
        <v>4.6682608206349512</v>
      </c>
      <c r="W75" s="171">
        <f t="shared" si="137"/>
        <v>4.6682608206349512</v>
      </c>
      <c r="X75" s="162"/>
      <c r="Y75" s="162">
        <f t="shared" si="138"/>
        <v>1.3400000000000007</v>
      </c>
      <c r="Z75" s="162">
        <f t="shared" si="139"/>
        <v>1.3400000000000007</v>
      </c>
      <c r="AA75" s="162">
        <f t="shared" si="109"/>
        <v>4.6682608206349512</v>
      </c>
      <c r="AB75" s="171">
        <f t="shared" si="140"/>
        <v>4.6682608206349512</v>
      </c>
      <c r="AC75" s="162"/>
      <c r="AD75" s="162">
        <f t="shared" si="141"/>
        <v>1.3400000000000007</v>
      </c>
      <c r="AE75" s="170">
        <f t="shared" si="142"/>
        <v>1.3400000000000007</v>
      </c>
      <c r="AF75" s="162">
        <f t="shared" si="110"/>
        <v>4.6682608206349512</v>
      </c>
      <c r="AG75" s="171">
        <f t="shared" si="143"/>
        <v>4.6682608206349512</v>
      </c>
      <c r="AH75" s="162"/>
      <c r="AI75" s="162">
        <f t="shared" si="144"/>
        <v>1.3400000000000007</v>
      </c>
      <c r="AJ75" s="170">
        <f t="shared" si="145"/>
        <v>1.3400000000000007</v>
      </c>
      <c r="AK75" s="162">
        <f t="shared" si="111"/>
        <v>4.6682608206349512</v>
      </c>
      <c r="AL75" s="171">
        <f t="shared" si="146"/>
        <v>4.6682608206349512</v>
      </c>
      <c r="AM75" s="162"/>
      <c r="AN75" s="162">
        <f t="shared" si="147"/>
        <v>1.3400000000000007</v>
      </c>
      <c r="AO75" s="162">
        <f t="shared" si="148"/>
        <v>1.3400000000000007</v>
      </c>
      <c r="AP75" s="162">
        <f t="shared" si="112"/>
        <v>4.6682608206349512</v>
      </c>
      <c r="AQ75" s="171">
        <f t="shared" si="149"/>
        <v>4.6682608206349512</v>
      </c>
      <c r="AR75" s="162"/>
      <c r="AS75" s="162">
        <f t="shared" si="150"/>
        <v>1.3400000000000007</v>
      </c>
      <c r="AT75" s="170">
        <f t="shared" si="151"/>
        <v>1.3400000000000007</v>
      </c>
      <c r="AU75" s="162">
        <f t="shared" si="113"/>
        <v>4.6682608206349512</v>
      </c>
      <c r="AV75" s="171">
        <f t="shared" si="152"/>
        <v>4.6682608206349512</v>
      </c>
      <c r="AW75" s="162"/>
      <c r="AX75" s="162">
        <f t="shared" si="153"/>
        <v>1.3400000000000007</v>
      </c>
      <c r="AY75" s="170">
        <f t="shared" si="154"/>
        <v>1.3400000000000007</v>
      </c>
      <c r="AZ75" s="162">
        <f t="shared" si="114"/>
        <v>4.6682608206349512</v>
      </c>
      <c r="BA75" s="171">
        <f t="shared" si="155"/>
        <v>4.6682608206349512</v>
      </c>
      <c r="BB75" s="162"/>
      <c r="BC75" s="162">
        <f t="shared" si="156"/>
        <v>1.3400000000000007</v>
      </c>
      <c r="BD75" s="162">
        <f t="shared" si="157"/>
        <v>1.3400000000000007</v>
      </c>
      <c r="BE75" s="162">
        <f t="shared" si="115"/>
        <v>4.6682608206349512</v>
      </c>
      <c r="BF75" s="171">
        <f t="shared" si="158"/>
        <v>4.6682608206349512</v>
      </c>
      <c r="BG75" s="162"/>
      <c r="BH75" s="162">
        <f t="shared" si="159"/>
        <v>1.3400000000000007</v>
      </c>
      <c r="BI75" s="170">
        <f t="shared" si="160"/>
        <v>1.3400000000000007</v>
      </c>
      <c r="BJ75" s="162">
        <f t="shared" si="116"/>
        <v>4.6682608206349512</v>
      </c>
      <c r="BK75" s="171">
        <f t="shared" si="161"/>
        <v>4.6682608206349512</v>
      </c>
      <c r="BL75" s="162"/>
      <c r="BM75" s="162">
        <f t="shared" si="162"/>
        <v>1.3400000000000007</v>
      </c>
      <c r="BN75" s="170">
        <f t="shared" si="163"/>
        <v>1.3400000000000007</v>
      </c>
      <c r="BO75" s="162">
        <f t="shared" si="117"/>
        <v>4.6682608206349512</v>
      </c>
      <c r="BP75" s="171">
        <f t="shared" si="164"/>
        <v>4.6682608206349512</v>
      </c>
      <c r="BQ75" s="162"/>
      <c r="BR75" s="162">
        <f t="shared" si="165"/>
        <v>1.3400000000000007</v>
      </c>
      <c r="BS75" s="162">
        <f t="shared" si="166"/>
        <v>1.3400000000000007</v>
      </c>
      <c r="BT75" s="162">
        <f t="shared" si="118"/>
        <v>4.6682608206349512</v>
      </c>
      <c r="BU75" s="171">
        <f t="shared" si="167"/>
        <v>4.6682608206349512</v>
      </c>
      <c r="BV75" s="162"/>
      <c r="BW75" s="162">
        <f t="shared" si="168"/>
        <v>1.3400000000000007</v>
      </c>
      <c r="BX75" s="170">
        <f t="shared" si="169"/>
        <v>1.3400000000000007</v>
      </c>
      <c r="BY75" s="162">
        <f t="shared" si="119"/>
        <v>4.6682608206349512</v>
      </c>
      <c r="BZ75" s="171">
        <f t="shared" si="170"/>
        <v>4.6682608206349512</v>
      </c>
      <c r="CA75" s="162"/>
      <c r="CB75" s="162">
        <f t="shared" si="171"/>
        <v>1.3400000000000007</v>
      </c>
      <c r="CC75" s="170">
        <f t="shared" si="172"/>
        <v>1.3400000000000007</v>
      </c>
      <c r="CD75" s="162">
        <f t="shared" si="120"/>
        <v>4.6682608206349512</v>
      </c>
      <c r="CE75" s="171">
        <f t="shared" si="173"/>
        <v>4.6682608206349512</v>
      </c>
      <c r="CF75" s="162"/>
      <c r="CG75" s="172">
        <f t="shared" si="174"/>
        <v>1.3400000000000007</v>
      </c>
      <c r="CH75" s="172">
        <f t="shared" si="175"/>
        <v>1.3400000000000007</v>
      </c>
      <c r="CI75" s="172">
        <f t="shared" si="121"/>
        <v>4.6682608206349512</v>
      </c>
      <c r="CJ75" s="171">
        <f t="shared" si="176"/>
        <v>4.6682608206349512</v>
      </c>
      <c r="CK75" s="172"/>
      <c r="CL75" s="162">
        <f t="shared" si="177"/>
        <v>1.3400000000000007</v>
      </c>
      <c r="CM75" s="170">
        <f t="shared" si="178"/>
        <v>1.3400000000000007</v>
      </c>
      <c r="CN75" s="162">
        <f t="shared" si="122"/>
        <v>4.6682608206349512</v>
      </c>
      <c r="CO75" s="171">
        <f t="shared" si="179"/>
        <v>4.6682608206349512</v>
      </c>
      <c r="CP75" s="162"/>
      <c r="CQ75" s="162">
        <f t="shared" si="180"/>
        <v>1.3400000000000007</v>
      </c>
      <c r="CR75" s="170">
        <f t="shared" si="181"/>
        <v>1.3400000000000007</v>
      </c>
      <c r="CS75" s="162">
        <f t="shared" si="123"/>
        <v>4.6682608206349512</v>
      </c>
      <c r="CT75" s="171">
        <f t="shared" si="182"/>
        <v>4.6682608206349512</v>
      </c>
      <c r="CU75" s="162"/>
      <c r="CV75" s="162">
        <f t="shared" si="183"/>
        <v>1.3400000000000007</v>
      </c>
      <c r="CW75" s="162">
        <f t="shared" si="184"/>
        <v>1.3400000000000007</v>
      </c>
      <c r="CX75" s="162">
        <f t="shared" si="124"/>
        <v>4.6682608206349512</v>
      </c>
      <c r="CY75" s="171">
        <f t="shared" si="185"/>
        <v>4.6682608206349512</v>
      </c>
      <c r="CZ75" s="162"/>
      <c r="DA75" s="162">
        <f t="shared" si="186"/>
        <v>1.3400000000000007</v>
      </c>
      <c r="DB75" s="170">
        <f t="shared" si="187"/>
        <v>1.3400000000000007</v>
      </c>
      <c r="DC75" s="162">
        <f t="shared" si="125"/>
        <v>4.6682608206349512</v>
      </c>
      <c r="DD75" s="171">
        <f t="shared" si="188"/>
        <v>4.6682608206349512</v>
      </c>
      <c r="DE75" s="162"/>
      <c r="DF75" s="162">
        <f t="shared" si="189"/>
        <v>1.3400000000000007</v>
      </c>
      <c r="DG75" s="170">
        <f t="shared" si="190"/>
        <v>1.3400000000000007</v>
      </c>
      <c r="DH75" s="162">
        <f t="shared" si="126"/>
        <v>4.6682608206349512</v>
      </c>
      <c r="DI75" s="171">
        <f t="shared" si="191"/>
        <v>4.6682608206349512</v>
      </c>
      <c r="DJ75" s="162"/>
      <c r="DK75" s="162">
        <f t="shared" si="192"/>
        <v>1.3400000000000007</v>
      </c>
      <c r="DL75" s="162">
        <f t="shared" si="193"/>
        <v>1.3400000000000007</v>
      </c>
      <c r="DM75" s="162">
        <f t="shared" si="127"/>
        <v>4.6682608206349512</v>
      </c>
      <c r="DN75" s="171">
        <f t="shared" si="194"/>
        <v>4.6682608206349512</v>
      </c>
      <c r="DO75" s="162"/>
      <c r="DP75" s="162">
        <f t="shared" si="195"/>
        <v>1.3400000000000007</v>
      </c>
      <c r="DQ75" s="170">
        <f t="shared" si="196"/>
        <v>1.3400000000000007</v>
      </c>
      <c r="DR75" s="162">
        <f t="shared" si="128"/>
        <v>4.6682608206349512</v>
      </c>
      <c r="DS75" s="171">
        <f t="shared" si="197"/>
        <v>4.6682608206349512</v>
      </c>
      <c r="DT75" s="162"/>
      <c r="DU75" s="162">
        <f t="shared" si="198"/>
        <v>1.3400000000000007</v>
      </c>
      <c r="DV75" s="170">
        <f t="shared" si="199"/>
        <v>1.3400000000000007</v>
      </c>
      <c r="DW75" s="162">
        <f t="shared" si="129"/>
        <v>4.6682608206349512</v>
      </c>
      <c r="DX75" s="171">
        <f t="shared" si="200"/>
        <v>4.6682608206349512</v>
      </c>
      <c r="DY75" s="162"/>
      <c r="DZ75" s="162">
        <f t="shared" si="201"/>
        <v>1.3400000000000007</v>
      </c>
      <c r="EA75" s="162">
        <f t="shared" si="202"/>
        <v>1.3400000000000007</v>
      </c>
      <c r="EB75" s="162">
        <f t="shared" si="130"/>
        <v>4.6682608206349512</v>
      </c>
      <c r="EC75" s="171">
        <f t="shared" si="203"/>
        <v>4.6682608206349512</v>
      </c>
      <c r="ED75" s="162"/>
      <c r="EE75" s="162">
        <f t="shared" si="204"/>
        <v>1.3400000000000007</v>
      </c>
      <c r="EF75" s="170">
        <f t="shared" si="205"/>
        <v>1.3400000000000007</v>
      </c>
      <c r="EG75" s="162">
        <f t="shared" si="131"/>
        <v>4.6682608206349512</v>
      </c>
      <c r="EH75" s="171">
        <f t="shared" si="206"/>
        <v>4.6682608206349512</v>
      </c>
      <c r="EI75" s="162"/>
      <c r="EJ75" s="162">
        <f t="shared" si="207"/>
        <v>1.3400000000000007</v>
      </c>
      <c r="EK75" s="170">
        <f t="shared" si="208"/>
        <v>1.3400000000000007</v>
      </c>
      <c r="EL75" s="162">
        <f t="shared" si="132"/>
        <v>4.6682608206349512</v>
      </c>
      <c r="EM75" s="171">
        <f t="shared" si="209"/>
        <v>4.6682608206349512</v>
      </c>
      <c r="EN75" s="162"/>
      <c r="EO75" s="162">
        <f t="shared" si="210"/>
        <v>1.3400000000000007</v>
      </c>
      <c r="EP75" s="162">
        <f t="shared" si="211"/>
        <v>1.3400000000000007</v>
      </c>
      <c r="EQ75" s="162">
        <f t="shared" si="133"/>
        <v>4.6682608206349512</v>
      </c>
      <c r="ER75" s="171">
        <f t="shared" si="212"/>
        <v>4.6682608206349512</v>
      </c>
      <c r="ES75" s="162"/>
      <c r="ET75" s="162">
        <f t="shared" si="213"/>
        <v>1.3400000000000007</v>
      </c>
      <c r="EU75" s="170">
        <f t="shared" si="214"/>
        <v>1.3400000000000007</v>
      </c>
      <c r="EV75" s="162">
        <f t="shared" si="134"/>
        <v>4.6682608206349512</v>
      </c>
      <c r="EW75" s="171">
        <f t="shared" si="215"/>
        <v>4.6682608206349512</v>
      </c>
      <c r="EX75" s="162"/>
    </row>
    <row r="76" spans="20:154" s="181" customFormat="1" x14ac:dyDescent="0.25">
      <c r="T76" s="162">
        <f t="shared" si="135"/>
        <v>1.3600000000000008</v>
      </c>
      <c r="U76" s="170">
        <f t="shared" si="136"/>
        <v>1.3600000000000008</v>
      </c>
      <c r="V76" s="162">
        <f t="shared" si="108"/>
        <v>4.6428618478976267</v>
      </c>
      <c r="W76" s="171">
        <f t="shared" si="137"/>
        <v>4.6428618478976267</v>
      </c>
      <c r="X76" s="162"/>
      <c r="Y76" s="162">
        <f t="shared" si="138"/>
        <v>1.3600000000000008</v>
      </c>
      <c r="Z76" s="162">
        <f t="shared" si="139"/>
        <v>1.3600000000000008</v>
      </c>
      <c r="AA76" s="162">
        <f t="shared" si="109"/>
        <v>4.6428618478976267</v>
      </c>
      <c r="AB76" s="171">
        <f t="shared" si="140"/>
        <v>4.6428618478976267</v>
      </c>
      <c r="AC76" s="162"/>
      <c r="AD76" s="162">
        <f t="shared" si="141"/>
        <v>1.3600000000000008</v>
      </c>
      <c r="AE76" s="170">
        <f t="shared" si="142"/>
        <v>1.3600000000000008</v>
      </c>
      <c r="AF76" s="162">
        <f t="shared" si="110"/>
        <v>4.6428618478976267</v>
      </c>
      <c r="AG76" s="171">
        <f t="shared" si="143"/>
        <v>4.6428618478976267</v>
      </c>
      <c r="AH76" s="162"/>
      <c r="AI76" s="162">
        <f t="shared" si="144"/>
        <v>1.3600000000000008</v>
      </c>
      <c r="AJ76" s="170">
        <f t="shared" si="145"/>
        <v>1.3600000000000008</v>
      </c>
      <c r="AK76" s="162">
        <f t="shared" si="111"/>
        <v>4.6428618478976267</v>
      </c>
      <c r="AL76" s="171">
        <f t="shared" si="146"/>
        <v>4.6428618478976267</v>
      </c>
      <c r="AM76" s="162"/>
      <c r="AN76" s="162">
        <f t="shared" si="147"/>
        <v>1.3600000000000008</v>
      </c>
      <c r="AO76" s="162">
        <f t="shared" si="148"/>
        <v>1.3600000000000008</v>
      </c>
      <c r="AP76" s="162">
        <f t="shared" si="112"/>
        <v>4.6428618478976267</v>
      </c>
      <c r="AQ76" s="171">
        <f t="shared" si="149"/>
        <v>4.6428618478976267</v>
      </c>
      <c r="AR76" s="162"/>
      <c r="AS76" s="162">
        <f t="shared" si="150"/>
        <v>1.3600000000000008</v>
      </c>
      <c r="AT76" s="170">
        <f t="shared" si="151"/>
        <v>1.3600000000000008</v>
      </c>
      <c r="AU76" s="162">
        <f t="shared" si="113"/>
        <v>4.6428618478976267</v>
      </c>
      <c r="AV76" s="171">
        <f t="shared" si="152"/>
        <v>4.6428618478976267</v>
      </c>
      <c r="AW76" s="162"/>
      <c r="AX76" s="162">
        <f t="shared" si="153"/>
        <v>1.3600000000000008</v>
      </c>
      <c r="AY76" s="170">
        <f t="shared" si="154"/>
        <v>1.3600000000000008</v>
      </c>
      <c r="AZ76" s="162">
        <f t="shared" si="114"/>
        <v>4.6428618478976267</v>
      </c>
      <c r="BA76" s="171">
        <f t="shared" si="155"/>
        <v>4.6428618478976267</v>
      </c>
      <c r="BB76" s="162"/>
      <c r="BC76" s="162">
        <f t="shared" si="156"/>
        <v>1.3600000000000008</v>
      </c>
      <c r="BD76" s="162">
        <f t="shared" si="157"/>
        <v>1.3600000000000008</v>
      </c>
      <c r="BE76" s="162">
        <f t="shared" si="115"/>
        <v>4.6428618478976267</v>
      </c>
      <c r="BF76" s="171">
        <f t="shared" si="158"/>
        <v>4.6428618478976267</v>
      </c>
      <c r="BG76" s="162"/>
      <c r="BH76" s="162">
        <f t="shared" si="159"/>
        <v>1.3600000000000008</v>
      </c>
      <c r="BI76" s="170">
        <f t="shared" si="160"/>
        <v>1.3600000000000008</v>
      </c>
      <c r="BJ76" s="162">
        <f t="shared" si="116"/>
        <v>4.6428618478976267</v>
      </c>
      <c r="BK76" s="171">
        <f t="shared" si="161"/>
        <v>4.6428618478976267</v>
      </c>
      <c r="BL76" s="162"/>
      <c r="BM76" s="162">
        <f t="shared" si="162"/>
        <v>1.3600000000000008</v>
      </c>
      <c r="BN76" s="170">
        <f t="shared" si="163"/>
        <v>1.3600000000000008</v>
      </c>
      <c r="BO76" s="162">
        <f t="shared" si="117"/>
        <v>4.6428618478976267</v>
      </c>
      <c r="BP76" s="171">
        <f t="shared" si="164"/>
        <v>4.6428618478976267</v>
      </c>
      <c r="BQ76" s="162"/>
      <c r="BR76" s="162">
        <f t="shared" si="165"/>
        <v>1.3600000000000008</v>
      </c>
      <c r="BS76" s="162">
        <f t="shared" si="166"/>
        <v>1.3600000000000008</v>
      </c>
      <c r="BT76" s="162">
        <f t="shared" si="118"/>
        <v>4.6428618478976267</v>
      </c>
      <c r="BU76" s="171">
        <f t="shared" si="167"/>
        <v>4.6428618478976267</v>
      </c>
      <c r="BV76" s="162"/>
      <c r="BW76" s="162">
        <f t="shared" si="168"/>
        <v>1.3600000000000008</v>
      </c>
      <c r="BX76" s="170">
        <f t="shared" si="169"/>
        <v>1.3600000000000008</v>
      </c>
      <c r="BY76" s="162">
        <f t="shared" si="119"/>
        <v>4.6428618478976267</v>
      </c>
      <c r="BZ76" s="171">
        <f t="shared" si="170"/>
        <v>4.6428618478976267</v>
      </c>
      <c r="CA76" s="162"/>
      <c r="CB76" s="162">
        <f t="shared" si="171"/>
        <v>1.3600000000000008</v>
      </c>
      <c r="CC76" s="170">
        <f t="shared" si="172"/>
        <v>1.3600000000000008</v>
      </c>
      <c r="CD76" s="162">
        <f t="shared" si="120"/>
        <v>4.6428618478976267</v>
      </c>
      <c r="CE76" s="171">
        <f t="shared" si="173"/>
        <v>4.6428618478976267</v>
      </c>
      <c r="CF76" s="162"/>
      <c r="CG76" s="172">
        <f t="shared" si="174"/>
        <v>1.3600000000000008</v>
      </c>
      <c r="CH76" s="172">
        <f t="shared" si="175"/>
        <v>1.3600000000000008</v>
      </c>
      <c r="CI76" s="172">
        <f t="shared" si="121"/>
        <v>4.6428618478976267</v>
      </c>
      <c r="CJ76" s="171">
        <f t="shared" si="176"/>
        <v>4.6428618478976267</v>
      </c>
      <c r="CK76" s="172"/>
      <c r="CL76" s="162">
        <f t="shared" si="177"/>
        <v>1.3600000000000008</v>
      </c>
      <c r="CM76" s="170">
        <f t="shared" si="178"/>
        <v>1.3600000000000008</v>
      </c>
      <c r="CN76" s="162">
        <f t="shared" si="122"/>
        <v>4.6428618478976267</v>
      </c>
      <c r="CO76" s="171">
        <f t="shared" si="179"/>
        <v>4.6428618478976267</v>
      </c>
      <c r="CP76" s="162"/>
      <c r="CQ76" s="162">
        <f t="shared" si="180"/>
        <v>1.3600000000000008</v>
      </c>
      <c r="CR76" s="170">
        <f t="shared" si="181"/>
        <v>1.3600000000000008</v>
      </c>
      <c r="CS76" s="162">
        <f t="shared" si="123"/>
        <v>4.6428618478976267</v>
      </c>
      <c r="CT76" s="171">
        <f t="shared" si="182"/>
        <v>4.6428618478976267</v>
      </c>
      <c r="CU76" s="162"/>
      <c r="CV76" s="162">
        <f t="shared" si="183"/>
        <v>1.3600000000000008</v>
      </c>
      <c r="CW76" s="162">
        <f t="shared" si="184"/>
        <v>1.3600000000000008</v>
      </c>
      <c r="CX76" s="162">
        <f t="shared" si="124"/>
        <v>4.6428618478976267</v>
      </c>
      <c r="CY76" s="171">
        <f t="shared" si="185"/>
        <v>4.6428618478976267</v>
      </c>
      <c r="CZ76" s="162"/>
      <c r="DA76" s="162">
        <f t="shared" si="186"/>
        <v>1.3600000000000008</v>
      </c>
      <c r="DB76" s="170">
        <f t="shared" si="187"/>
        <v>1.3600000000000008</v>
      </c>
      <c r="DC76" s="162">
        <f t="shared" si="125"/>
        <v>4.6428618478976267</v>
      </c>
      <c r="DD76" s="171">
        <f t="shared" si="188"/>
        <v>4.6428618478976267</v>
      </c>
      <c r="DE76" s="162"/>
      <c r="DF76" s="162">
        <f t="shared" si="189"/>
        <v>1.3600000000000008</v>
      </c>
      <c r="DG76" s="170">
        <f t="shared" si="190"/>
        <v>1.3600000000000008</v>
      </c>
      <c r="DH76" s="162">
        <f t="shared" si="126"/>
        <v>4.6428618478976267</v>
      </c>
      <c r="DI76" s="171">
        <f t="shared" si="191"/>
        <v>4.6428618478976267</v>
      </c>
      <c r="DJ76" s="162"/>
      <c r="DK76" s="162">
        <f t="shared" si="192"/>
        <v>1.3600000000000008</v>
      </c>
      <c r="DL76" s="162">
        <f t="shared" si="193"/>
        <v>1.3600000000000008</v>
      </c>
      <c r="DM76" s="162">
        <f t="shared" si="127"/>
        <v>4.6428618478976267</v>
      </c>
      <c r="DN76" s="171">
        <f t="shared" si="194"/>
        <v>4.6428618478976267</v>
      </c>
      <c r="DO76" s="162"/>
      <c r="DP76" s="162">
        <f t="shared" si="195"/>
        <v>1.3600000000000008</v>
      </c>
      <c r="DQ76" s="170">
        <f t="shared" si="196"/>
        <v>1.3600000000000008</v>
      </c>
      <c r="DR76" s="162">
        <f t="shared" si="128"/>
        <v>4.6428618478976267</v>
      </c>
      <c r="DS76" s="171">
        <f t="shared" si="197"/>
        <v>4.6428618478976267</v>
      </c>
      <c r="DT76" s="162"/>
      <c r="DU76" s="162">
        <f t="shared" si="198"/>
        <v>1.3600000000000008</v>
      </c>
      <c r="DV76" s="170">
        <f t="shared" si="199"/>
        <v>1.3600000000000008</v>
      </c>
      <c r="DW76" s="162">
        <f t="shared" si="129"/>
        <v>4.6428618478976267</v>
      </c>
      <c r="DX76" s="171">
        <f t="shared" si="200"/>
        <v>4.6428618478976267</v>
      </c>
      <c r="DY76" s="162"/>
      <c r="DZ76" s="162">
        <f t="shared" si="201"/>
        <v>1.3600000000000008</v>
      </c>
      <c r="EA76" s="162">
        <f t="shared" si="202"/>
        <v>1.3600000000000008</v>
      </c>
      <c r="EB76" s="162">
        <f t="shared" si="130"/>
        <v>4.6428618478976267</v>
      </c>
      <c r="EC76" s="171">
        <f t="shared" si="203"/>
        <v>4.6428618478976267</v>
      </c>
      <c r="ED76" s="162"/>
      <c r="EE76" s="162">
        <f t="shared" si="204"/>
        <v>1.3600000000000008</v>
      </c>
      <c r="EF76" s="170">
        <f t="shared" si="205"/>
        <v>1.3600000000000008</v>
      </c>
      <c r="EG76" s="162">
        <f t="shared" si="131"/>
        <v>4.6428618478976267</v>
      </c>
      <c r="EH76" s="171">
        <f t="shared" si="206"/>
        <v>4.6428618478976267</v>
      </c>
      <c r="EI76" s="162"/>
      <c r="EJ76" s="162">
        <f t="shared" si="207"/>
        <v>1.3600000000000008</v>
      </c>
      <c r="EK76" s="170">
        <f t="shared" si="208"/>
        <v>1.3600000000000008</v>
      </c>
      <c r="EL76" s="162">
        <f t="shared" si="132"/>
        <v>4.6428618478976267</v>
      </c>
      <c r="EM76" s="171">
        <f t="shared" si="209"/>
        <v>4.6428618478976267</v>
      </c>
      <c r="EN76" s="162"/>
      <c r="EO76" s="162">
        <f t="shared" si="210"/>
        <v>1.3600000000000008</v>
      </c>
      <c r="EP76" s="162">
        <f t="shared" si="211"/>
        <v>1.3600000000000008</v>
      </c>
      <c r="EQ76" s="162">
        <f t="shared" si="133"/>
        <v>4.6428618478976267</v>
      </c>
      <c r="ER76" s="171">
        <f t="shared" si="212"/>
        <v>4.6428618478976267</v>
      </c>
      <c r="ES76" s="162"/>
      <c r="ET76" s="162">
        <f t="shared" si="213"/>
        <v>1.3600000000000008</v>
      </c>
      <c r="EU76" s="170">
        <f t="shared" si="214"/>
        <v>1.3600000000000008</v>
      </c>
      <c r="EV76" s="162">
        <f t="shared" si="134"/>
        <v>4.6428618478976267</v>
      </c>
      <c r="EW76" s="171">
        <f t="shared" si="215"/>
        <v>4.6428618478976267</v>
      </c>
      <c r="EX76" s="162"/>
    </row>
    <row r="77" spans="20:154" s="181" customFormat="1" x14ac:dyDescent="0.25">
      <c r="T77" s="162">
        <f t="shared" si="135"/>
        <v>1.3800000000000008</v>
      </c>
      <c r="U77" s="170">
        <f t="shared" si="136"/>
        <v>1.3800000000000008</v>
      </c>
      <c r="V77" s="162">
        <f t="shared" si="108"/>
        <v>4.6147543624324552</v>
      </c>
      <c r="W77" s="171">
        <f t="shared" si="137"/>
        <v>4.6147543624324552</v>
      </c>
      <c r="X77" s="162"/>
      <c r="Y77" s="162">
        <f t="shared" si="138"/>
        <v>1.3800000000000008</v>
      </c>
      <c r="Z77" s="162">
        <f t="shared" si="139"/>
        <v>1.3800000000000008</v>
      </c>
      <c r="AA77" s="162">
        <f t="shared" si="109"/>
        <v>4.6147543624324552</v>
      </c>
      <c r="AB77" s="171">
        <f t="shared" si="140"/>
        <v>4.6147543624324552</v>
      </c>
      <c r="AC77" s="162"/>
      <c r="AD77" s="162">
        <f t="shared" si="141"/>
        <v>1.3800000000000008</v>
      </c>
      <c r="AE77" s="170">
        <f t="shared" si="142"/>
        <v>1.3800000000000008</v>
      </c>
      <c r="AF77" s="162">
        <f t="shared" si="110"/>
        <v>4.6147543624324552</v>
      </c>
      <c r="AG77" s="171">
        <f t="shared" si="143"/>
        <v>4.6147543624324552</v>
      </c>
      <c r="AH77" s="162"/>
      <c r="AI77" s="162">
        <f t="shared" si="144"/>
        <v>1.3800000000000008</v>
      </c>
      <c r="AJ77" s="170">
        <f t="shared" si="145"/>
        <v>1.3800000000000008</v>
      </c>
      <c r="AK77" s="162">
        <f t="shared" si="111"/>
        <v>4.6147543624324552</v>
      </c>
      <c r="AL77" s="171">
        <f t="shared" si="146"/>
        <v>4.6147543624324552</v>
      </c>
      <c r="AM77" s="162"/>
      <c r="AN77" s="162">
        <f t="shared" si="147"/>
        <v>1.3800000000000008</v>
      </c>
      <c r="AO77" s="162">
        <f t="shared" si="148"/>
        <v>1.3800000000000008</v>
      </c>
      <c r="AP77" s="162">
        <f t="shared" si="112"/>
        <v>4.6147543624324552</v>
      </c>
      <c r="AQ77" s="171">
        <f t="shared" si="149"/>
        <v>4.6147543624324552</v>
      </c>
      <c r="AR77" s="162"/>
      <c r="AS77" s="162">
        <f t="shared" si="150"/>
        <v>1.3800000000000008</v>
      </c>
      <c r="AT77" s="170">
        <f t="shared" si="151"/>
        <v>1.3800000000000008</v>
      </c>
      <c r="AU77" s="162">
        <f t="shared" si="113"/>
        <v>4.6147543624324552</v>
      </c>
      <c r="AV77" s="171">
        <f t="shared" si="152"/>
        <v>4.6147543624324552</v>
      </c>
      <c r="AW77" s="162"/>
      <c r="AX77" s="162">
        <f t="shared" si="153"/>
        <v>1.3800000000000008</v>
      </c>
      <c r="AY77" s="170">
        <f t="shared" si="154"/>
        <v>1.3800000000000008</v>
      </c>
      <c r="AZ77" s="162">
        <f t="shared" si="114"/>
        <v>4.6147543624324552</v>
      </c>
      <c r="BA77" s="171">
        <f t="shared" si="155"/>
        <v>4.6147543624324552</v>
      </c>
      <c r="BB77" s="162"/>
      <c r="BC77" s="162">
        <f t="shared" si="156"/>
        <v>1.3800000000000008</v>
      </c>
      <c r="BD77" s="162">
        <f t="shared" si="157"/>
        <v>1.3800000000000008</v>
      </c>
      <c r="BE77" s="162">
        <f t="shared" si="115"/>
        <v>4.6147543624324552</v>
      </c>
      <c r="BF77" s="171">
        <f t="shared" si="158"/>
        <v>4.6147543624324552</v>
      </c>
      <c r="BG77" s="162"/>
      <c r="BH77" s="162">
        <f t="shared" si="159"/>
        <v>1.3800000000000008</v>
      </c>
      <c r="BI77" s="170">
        <f t="shared" si="160"/>
        <v>1.3800000000000008</v>
      </c>
      <c r="BJ77" s="162">
        <f t="shared" si="116"/>
        <v>4.6147543624324552</v>
      </c>
      <c r="BK77" s="171">
        <f t="shared" si="161"/>
        <v>4.6147543624324552</v>
      </c>
      <c r="BL77" s="162"/>
      <c r="BM77" s="162">
        <f t="shared" si="162"/>
        <v>1.3800000000000008</v>
      </c>
      <c r="BN77" s="170">
        <f t="shared" si="163"/>
        <v>1.3800000000000008</v>
      </c>
      <c r="BO77" s="162">
        <f t="shared" si="117"/>
        <v>4.6147543624324552</v>
      </c>
      <c r="BP77" s="171">
        <f t="shared" si="164"/>
        <v>4.6147543624324552</v>
      </c>
      <c r="BQ77" s="162"/>
      <c r="BR77" s="162">
        <f t="shared" si="165"/>
        <v>1.3800000000000008</v>
      </c>
      <c r="BS77" s="162">
        <f t="shared" si="166"/>
        <v>1.3800000000000008</v>
      </c>
      <c r="BT77" s="162">
        <f t="shared" si="118"/>
        <v>4.6147543624324552</v>
      </c>
      <c r="BU77" s="171">
        <f t="shared" si="167"/>
        <v>4.6147543624324552</v>
      </c>
      <c r="BV77" s="162"/>
      <c r="BW77" s="162">
        <f t="shared" si="168"/>
        <v>1.3800000000000008</v>
      </c>
      <c r="BX77" s="170">
        <f t="shared" si="169"/>
        <v>1.3800000000000008</v>
      </c>
      <c r="BY77" s="162">
        <f t="shared" si="119"/>
        <v>4.6147543624324552</v>
      </c>
      <c r="BZ77" s="171">
        <f t="shared" si="170"/>
        <v>4.6147543624324552</v>
      </c>
      <c r="CA77" s="162"/>
      <c r="CB77" s="162">
        <f t="shared" si="171"/>
        <v>1.3800000000000008</v>
      </c>
      <c r="CC77" s="170">
        <f t="shared" si="172"/>
        <v>1.3800000000000008</v>
      </c>
      <c r="CD77" s="162">
        <f t="shared" si="120"/>
        <v>4.6147543624324552</v>
      </c>
      <c r="CE77" s="171">
        <f t="shared" si="173"/>
        <v>4.6147543624324552</v>
      </c>
      <c r="CF77" s="162"/>
      <c r="CG77" s="172">
        <f t="shared" si="174"/>
        <v>1.3800000000000008</v>
      </c>
      <c r="CH77" s="172">
        <f t="shared" si="175"/>
        <v>1.3800000000000008</v>
      </c>
      <c r="CI77" s="172">
        <f t="shared" si="121"/>
        <v>4.6147543624324552</v>
      </c>
      <c r="CJ77" s="171">
        <f t="shared" si="176"/>
        <v>4.6147543624324552</v>
      </c>
      <c r="CK77" s="172"/>
      <c r="CL77" s="162">
        <f t="shared" si="177"/>
        <v>1.3800000000000008</v>
      </c>
      <c r="CM77" s="170">
        <f t="shared" si="178"/>
        <v>1.3800000000000008</v>
      </c>
      <c r="CN77" s="162">
        <f t="shared" si="122"/>
        <v>4.6147543624324552</v>
      </c>
      <c r="CO77" s="171">
        <f t="shared" si="179"/>
        <v>4.6147543624324552</v>
      </c>
      <c r="CP77" s="162"/>
      <c r="CQ77" s="162">
        <f t="shared" si="180"/>
        <v>1.3800000000000008</v>
      </c>
      <c r="CR77" s="170">
        <f t="shared" si="181"/>
        <v>1.3800000000000008</v>
      </c>
      <c r="CS77" s="162">
        <f t="shared" si="123"/>
        <v>4.6147543624324552</v>
      </c>
      <c r="CT77" s="171">
        <f t="shared" si="182"/>
        <v>4.6147543624324552</v>
      </c>
      <c r="CU77" s="162"/>
      <c r="CV77" s="162">
        <f t="shared" si="183"/>
        <v>1.3800000000000008</v>
      </c>
      <c r="CW77" s="162">
        <f t="shared" si="184"/>
        <v>1.3800000000000008</v>
      </c>
      <c r="CX77" s="162">
        <f t="shared" si="124"/>
        <v>4.6147543624324552</v>
      </c>
      <c r="CY77" s="171">
        <f t="shared" si="185"/>
        <v>4.6147543624324552</v>
      </c>
      <c r="CZ77" s="162"/>
      <c r="DA77" s="162">
        <f t="shared" si="186"/>
        <v>1.3800000000000008</v>
      </c>
      <c r="DB77" s="170">
        <f t="shared" si="187"/>
        <v>1.3800000000000008</v>
      </c>
      <c r="DC77" s="162">
        <f t="shared" si="125"/>
        <v>4.6147543624324552</v>
      </c>
      <c r="DD77" s="171">
        <f t="shared" si="188"/>
        <v>4.6147543624324552</v>
      </c>
      <c r="DE77" s="162"/>
      <c r="DF77" s="162">
        <f t="shared" si="189"/>
        <v>1.3800000000000008</v>
      </c>
      <c r="DG77" s="170">
        <f t="shared" si="190"/>
        <v>1.3800000000000008</v>
      </c>
      <c r="DH77" s="162">
        <f t="shared" si="126"/>
        <v>4.6147543624324552</v>
      </c>
      <c r="DI77" s="171">
        <f t="shared" si="191"/>
        <v>4.6147543624324552</v>
      </c>
      <c r="DJ77" s="162"/>
      <c r="DK77" s="162">
        <f t="shared" si="192"/>
        <v>1.3800000000000008</v>
      </c>
      <c r="DL77" s="162">
        <f t="shared" si="193"/>
        <v>1.3800000000000008</v>
      </c>
      <c r="DM77" s="162">
        <f t="shared" si="127"/>
        <v>4.6147543624324552</v>
      </c>
      <c r="DN77" s="171">
        <f t="shared" si="194"/>
        <v>4.6147543624324552</v>
      </c>
      <c r="DO77" s="162"/>
      <c r="DP77" s="162">
        <f t="shared" si="195"/>
        <v>1.3800000000000008</v>
      </c>
      <c r="DQ77" s="170">
        <f t="shared" si="196"/>
        <v>1.3800000000000008</v>
      </c>
      <c r="DR77" s="162">
        <f t="shared" si="128"/>
        <v>4.6147543624324552</v>
      </c>
      <c r="DS77" s="171">
        <f t="shared" si="197"/>
        <v>4.6147543624324552</v>
      </c>
      <c r="DT77" s="162"/>
      <c r="DU77" s="162">
        <f t="shared" si="198"/>
        <v>1.3800000000000008</v>
      </c>
      <c r="DV77" s="170">
        <f t="shared" si="199"/>
        <v>1.3800000000000008</v>
      </c>
      <c r="DW77" s="162">
        <f t="shared" si="129"/>
        <v>4.6147543624324552</v>
      </c>
      <c r="DX77" s="171">
        <f t="shared" si="200"/>
        <v>4.6147543624324552</v>
      </c>
      <c r="DY77" s="162"/>
      <c r="DZ77" s="162">
        <f t="shared" si="201"/>
        <v>1.3800000000000008</v>
      </c>
      <c r="EA77" s="162">
        <f t="shared" si="202"/>
        <v>1.3800000000000008</v>
      </c>
      <c r="EB77" s="162">
        <f t="shared" si="130"/>
        <v>4.6147543624324552</v>
      </c>
      <c r="EC77" s="171">
        <f t="shared" si="203"/>
        <v>4.6147543624324552</v>
      </c>
      <c r="ED77" s="162"/>
      <c r="EE77" s="162">
        <f t="shared" si="204"/>
        <v>1.3800000000000008</v>
      </c>
      <c r="EF77" s="170">
        <f t="shared" si="205"/>
        <v>1.3800000000000008</v>
      </c>
      <c r="EG77" s="162">
        <f t="shared" si="131"/>
        <v>4.6147543624324552</v>
      </c>
      <c r="EH77" s="171">
        <f t="shared" si="206"/>
        <v>4.6147543624324552</v>
      </c>
      <c r="EI77" s="162"/>
      <c r="EJ77" s="162">
        <f t="shared" si="207"/>
        <v>1.3800000000000008</v>
      </c>
      <c r="EK77" s="170">
        <f t="shared" si="208"/>
        <v>1.3800000000000008</v>
      </c>
      <c r="EL77" s="162">
        <f t="shared" si="132"/>
        <v>4.6147543624324552</v>
      </c>
      <c r="EM77" s="171">
        <f t="shared" si="209"/>
        <v>4.6147543624324552</v>
      </c>
      <c r="EN77" s="162"/>
      <c r="EO77" s="162">
        <f t="shared" si="210"/>
        <v>1.3800000000000008</v>
      </c>
      <c r="EP77" s="162">
        <f t="shared" si="211"/>
        <v>1.3800000000000008</v>
      </c>
      <c r="EQ77" s="162">
        <f t="shared" si="133"/>
        <v>4.6147543624324552</v>
      </c>
      <c r="ER77" s="171">
        <f t="shared" si="212"/>
        <v>4.6147543624324552</v>
      </c>
      <c r="ES77" s="162"/>
      <c r="ET77" s="162">
        <f t="shared" si="213"/>
        <v>1.3800000000000008</v>
      </c>
      <c r="EU77" s="170">
        <f t="shared" si="214"/>
        <v>1.3800000000000008</v>
      </c>
      <c r="EV77" s="162">
        <f t="shared" si="134"/>
        <v>4.6147543624324552</v>
      </c>
      <c r="EW77" s="171">
        <f t="shared" si="215"/>
        <v>4.6147543624324552</v>
      </c>
      <c r="EX77" s="162"/>
    </row>
    <row r="78" spans="20:154" s="181" customFormat="1" x14ac:dyDescent="0.25">
      <c r="T78" s="162">
        <f t="shared" si="135"/>
        <v>1.4000000000000008</v>
      </c>
      <c r="U78" s="170">
        <f t="shared" si="136"/>
        <v>1.4000000000000008</v>
      </c>
      <c r="V78" s="162">
        <f t="shared" si="108"/>
        <v>4.5839383642394385</v>
      </c>
      <c r="W78" s="171">
        <f t="shared" si="137"/>
        <v>4.5839383642394385</v>
      </c>
      <c r="X78" s="162"/>
      <c r="Y78" s="162">
        <f t="shared" si="138"/>
        <v>1.4000000000000008</v>
      </c>
      <c r="Z78" s="162">
        <f t="shared" si="139"/>
        <v>1.4000000000000008</v>
      </c>
      <c r="AA78" s="162">
        <f t="shared" si="109"/>
        <v>4.5839383642394385</v>
      </c>
      <c r="AB78" s="171">
        <f t="shared" si="140"/>
        <v>4.5839383642394385</v>
      </c>
      <c r="AC78" s="162"/>
      <c r="AD78" s="162">
        <f t="shared" si="141"/>
        <v>1.4000000000000008</v>
      </c>
      <c r="AE78" s="170">
        <f t="shared" si="142"/>
        <v>1.4000000000000008</v>
      </c>
      <c r="AF78" s="162">
        <f t="shared" si="110"/>
        <v>4.5839383642394385</v>
      </c>
      <c r="AG78" s="171">
        <f t="shared" si="143"/>
        <v>4.5839383642394385</v>
      </c>
      <c r="AH78" s="162"/>
      <c r="AI78" s="162">
        <f t="shared" si="144"/>
        <v>1.4000000000000008</v>
      </c>
      <c r="AJ78" s="170">
        <f t="shared" si="145"/>
        <v>1.4000000000000008</v>
      </c>
      <c r="AK78" s="162">
        <f t="shared" si="111"/>
        <v>4.5839383642394385</v>
      </c>
      <c r="AL78" s="171">
        <f t="shared" si="146"/>
        <v>4.5839383642394385</v>
      </c>
      <c r="AM78" s="162"/>
      <c r="AN78" s="162">
        <f t="shared" si="147"/>
        <v>1.4000000000000008</v>
      </c>
      <c r="AO78" s="162">
        <f t="shared" si="148"/>
        <v>1.4000000000000008</v>
      </c>
      <c r="AP78" s="162">
        <f t="shared" si="112"/>
        <v>4.5839383642394385</v>
      </c>
      <c r="AQ78" s="171">
        <f t="shared" si="149"/>
        <v>4.5839383642394385</v>
      </c>
      <c r="AR78" s="162"/>
      <c r="AS78" s="162">
        <f t="shared" si="150"/>
        <v>1.4000000000000008</v>
      </c>
      <c r="AT78" s="170">
        <f t="shared" si="151"/>
        <v>1.4000000000000008</v>
      </c>
      <c r="AU78" s="162">
        <f t="shared" si="113"/>
        <v>4.5839383642394385</v>
      </c>
      <c r="AV78" s="171">
        <f t="shared" si="152"/>
        <v>4.5839383642394385</v>
      </c>
      <c r="AW78" s="162"/>
      <c r="AX78" s="162">
        <f t="shared" si="153"/>
        <v>1.4000000000000008</v>
      </c>
      <c r="AY78" s="170">
        <f t="shared" si="154"/>
        <v>1.4000000000000008</v>
      </c>
      <c r="AZ78" s="162">
        <f t="shared" si="114"/>
        <v>4.5839383642394385</v>
      </c>
      <c r="BA78" s="171">
        <f t="shared" si="155"/>
        <v>4.5839383642394385</v>
      </c>
      <c r="BB78" s="162"/>
      <c r="BC78" s="162">
        <f t="shared" si="156"/>
        <v>1.4000000000000008</v>
      </c>
      <c r="BD78" s="162">
        <f t="shared" si="157"/>
        <v>1.4000000000000008</v>
      </c>
      <c r="BE78" s="162">
        <f t="shared" si="115"/>
        <v>4.5839383642394385</v>
      </c>
      <c r="BF78" s="171">
        <f t="shared" si="158"/>
        <v>4.5839383642394385</v>
      </c>
      <c r="BG78" s="162"/>
      <c r="BH78" s="162">
        <f t="shared" si="159"/>
        <v>1.4000000000000008</v>
      </c>
      <c r="BI78" s="170">
        <f t="shared" si="160"/>
        <v>1.4000000000000008</v>
      </c>
      <c r="BJ78" s="162">
        <f t="shared" si="116"/>
        <v>4.5839383642394385</v>
      </c>
      <c r="BK78" s="171">
        <f t="shared" si="161"/>
        <v>4.5839383642394385</v>
      </c>
      <c r="BL78" s="162"/>
      <c r="BM78" s="162">
        <f t="shared" si="162"/>
        <v>1.4000000000000008</v>
      </c>
      <c r="BN78" s="170">
        <f t="shared" si="163"/>
        <v>1.4000000000000008</v>
      </c>
      <c r="BO78" s="162">
        <f t="shared" si="117"/>
        <v>4.5839383642394385</v>
      </c>
      <c r="BP78" s="171">
        <f t="shared" si="164"/>
        <v>4.5839383642394385</v>
      </c>
      <c r="BQ78" s="162"/>
      <c r="BR78" s="162">
        <f t="shared" si="165"/>
        <v>1.4000000000000008</v>
      </c>
      <c r="BS78" s="162">
        <f t="shared" si="166"/>
        <v>1.4000000000000008</v>
      </c>
      <c r="BT78" s="162">
        <f t="shared" si="118"/>
        <v>4.5839383642394385</v>
      </c>
      <c r="BU78" s="171">
        <f t="shared" si="167"/>
        <v>4.5839383642394385</v>
      </c>
      <c r="BV78" s="162"/>
      <c r="BW78" s="162">
        <f t="shared" si="168"/>
        <v>1.4000000000000008</v>
      </c>
      <c r="BX78" s="170">
        <f t="shared" si="169"/>
        <v>1.4000000000000008</v>
      </c>
      <c r="BY78" s="162">
        <f t="shared" si="119"/>
        <v>4.5839383642394385</v>
      </c>
      <c r="BZ78" s="171">
        <f t="shared" si="170"/>
        <v>4.5839383642394385</v>
      </c>
      <c r="CA78" s="162"/>
      <c r="CB78" s="162">
        <f t="shared" si="171"/>
        <v>1.4000000000000008</v>
      </c>
      <c r="CC78" s="170">
        <f t="shared" si="172"/>
        <v>1.4000000000000008</v>
      </c>
      <c r="CD78" s="162">
        <f t="shared" si="120"/>
        <v>4.5839383642394385</v>
      </c>
      <c r="CE78" s="171">
        <f t="shared" si="173"/>
        <v>4.5839383642394385</v>
      </c>
      <c r="CF78" s="162"/>
      <c r="CG78" s="172">
        <f t="shared" si="174"/>
        <v>1.4000000000000008</v>
      </c>
      <c r="CH78" s="172">
        <f t="shared" si="175"/>
        <v>1.4000000000000008</v>
      </c>
      <c r="CI78" s="172">
        <f t="shared" si="121"/>
        <v>4.5839383642394385</v>
      </c>
      <c r="CJ78" s="171">
        <f t="shared" si="176"/>
        <v>4.5839383642394385</v>
      </c>
      <c r="CK78" s="172"/>
      <c r="CL78" s="162">
        <f t="shared" si="177"/>
        <v>1.4000000000000008</v>
      </c>
      <c r="CM78" s="170">
        <f t="shared" si="178"/>
        <v>1.4000000000000008</v>
      </c>
      <c r="CN78" s="162">
        <f t="shared" si="122"/>
        <v>4.5839383642394385</v>
      </c>
      <c r="CO78" s="171">
        <f t="shared" si="179"/>
        <v>4.5839383642394385</v>
      </c>
      <c r="CP78" s="162"/>
      <c r="CQ78" s="162">
        <f t="shared" si="180"/>
        <v>1.4000000000000008</v>
      </c>
      <c r="CR78" s="170">
        <f t="shared" si="181"/>
        <v>1.4000000000000008</v>
      </c>
      <c r="CS78" s="162">
        <f t="shared" si="123"/>
        <v>4.5839383642394385</v>
      </c>
      <c r="CT78" s="171">
        <f t="shared" si="182"/>
        <v>4.5839383642394385</v>
      </c>
      <c r="CU78" s="162"/>
      <c r="CV78" s="162">
        <f t="shared" si="183"/>
        <v>1.4000000000000008</v>
      </c>
      <c r="CW78" s="162">
        <f t="shared" si="184"/>
        <v>1.4000000000000008</v>
      </c>
      <c r="CX78" s="162">
        <f t="shared" si="124"/>
        <v>4.5839383642394385</v>
      </c>
      <c r="CY78" s="171">
        <f t="shared" si="185"/>
        <v>4.5839383642394385</v>
      </c>
      <c r="CZ78" s="162"/>
      <c r="DA78" s="162">
        <f t="shared" si="186"/>
        <v>1.4000000000000008</v>
      </c>
      <c r="DB78" s="170">
        <f t="shared" si="187"/>
        <v>1.4000000000000008</v>
      </c>
      <c r="DC78" s="162">
        <f t="shared" si="125"/>
        <v>4.5839383642394385</v>
      </c>
      <c r="DD78" s="171">
        <f t="shared" si="188"/>
        <v>4.5839383642394385</v>
      </c>
      <c r="DE78" s="162"/>
      <c r="DF78" s="162">
        <f t="shared" si="189"/>
        <v>1.4000000000000008</v>
      </c>
      <c r="DG78" s="170">
        <f t="shared" si="190"/>
        <v>1.4000000000000008</v>
      </c>
      <c r="DH78" s="162">
        <f t="shared" si="126"/>
        <v>4.5839383642394385</v>
      </c>
      <c r="DI78" s="171">
        <f t="shared" si="191"/>
        <v>4.5839383642394385</v>
      </c>
      <c r="DJ78" s="162"/>
      <c r="DK78" s="162">
        <f t="shared" si="192"/>
        <v>1.4000000000000008</v>
      </c>
      <c r="DL78" s="162">
        <f t="shared" si="193"/>
        <v>1.4000000000000008</v>
      </c>
      <c r="DM78" s="162">
        <f t="shared" si="127"/>
        <v>4.5839383642394385</v>
      </c>
      <c r="DN78" s="171">
        <f t="shared" si="194"/>
        <v>4.5839383642394385</v>
      </c>
      <c r="DO78" s="162"/>
      <c r="DP78" s="162">
        <f t="shared" si="195"/>
        <v>1.4000000000000008</v>
      </c>
      <c r="DQ78" s="170">
        <f t="shared" si="196"/>
        <v>1.4000000000000008</v>
      </c>
      <c r="DR78" s="162">
        <f t="shared" si="128"/>
        <v>4.5839383642394385</v>
      </c>
      <c r="DS78" s="171">
        <f t="shared" si="197"/>
        <v>4.5839383642394385</v>
      </c>
      <c r="DT78" s="162"/>
      <c r="DU78" s="162">
        <f t="shared" si="198"/>
        <v>1.4000000000000008</v>
      </c>
      <c r="DV78" s="170">
        <f t="shared" si="199"/>
        <v>1.4000000000000008</v>
      </c>
      <c r="DW78" s="162">
        <f t="shared" si="129"/>
        <v>4.5839383642394385</v>
      </c>
      <c r="DX78" s="171">
        <f t="shared" si="200"/>
        <v>4.5839383642394385</v>
      </c>
      <c r="DY78" s="162"/>
      <c r="DZ78" s="162">
        <f t="shared" si="201"/>
        <v>1.4000000000000008</v>
      </c>
      <c r="EA78" s="162">
        <f t="shared" si="202"/>
        <v>1.4000000000000008</v>
      </c>
      <c r="EB78" s="162">
        <f t="shared" si="130"/>
        <v>4.5839383642394385</v>
      </c>
      <c r="EC78" s="171">
        <f t="shared" si="203"/>
        <v>4.5839383642394385</v>
      </c>
      <c r="ED78" s="162"/>
      <c r="EE78" s="162">
        <f t="shared" si="204"/>
        <v>1.4000000000000008</v>
      </c>
      <c r="EF78" s="170">
        <f t="shared" si="205"/>
        <v>1.4000000000000008</v>
      </c>
      <c r="EG78" s="162">
        <f t="shared" si="131"/>
        <v>4.5839383642394385</v>
      </c>
      <c r="EH78" s="171">
        <f t="shared" si="206"/>
        <v>4.5839383642394385</v>
      </c>
      <c r="EI78" s="162"/>
      <c r="EJ78" s="162">
        <f t="shared" si="207"/>
        <v>1.4000000000000008</v>
      </c>
      <c r="EK78" s="170">
        <f t="shared" si="208"/>
        <v>1.4000000000000008</v>
      </c>
      <c r="EL78" s="162">
        <f t="shared" si="132"/>
        <v>4.5839383642394385</v>
      </c>
      <c r="EM78" s="171">
        <f t="shared" si="209"/>
        <v>4.5839383642394385</v>
      </c>
      <c r="EN78" s="162"/>
      <c r="EO78" s="162">
        <f t="shared" si="210"/>
        <v>1.4000000000000008</v>
      </c>
      <c r="EP78" s="162">
        <f t="shared" si="211"/>
        <v>1.4000000000000008</v>
      </c>
      <c r="EQ78" s="162">
        <f t="shared" si="133"/>
        <v>4.5839383642394385</v>
      </c>
      <c r="ER78" s="171">
        <f t="shared" si="212"/>
        <v>4.5839383642394385</v>
      </c>
      <c r="ES78" s="162"/>
      <c r="ET78" s="162">
        <f t="shared" si="213"/>
        <v>1.4000000000000008</v>
      </c>
      <c r="EU78" s="170">
        <f t="shared" si="214"/>
        <v>1.4000000000000008</v>
      </c>
      <c r="EV78" s="162">
        <f t="shared" si="134"/>
        <v>4.5839383642394385</v>
      </c>
      <c r="EW78" s="171">
        <f t="shared" si="215"/>
        <v>4.5839383642394385</v>
      </c>
      <c r="EX78" s="162"/>
    </row>
    <row r="79" spans="20:154" s="181" customFormat="1" x14ac:dyDescent="0.25">
      <c r="T79" s="162">
        <f t="shared" si="135"/>
        <v>1.4200000000000008</v>
      </c>
      <c r="U79" s="170">
        <f t="shared" si="136"/>
        <v>1.4200000000000008</v>
      </c>
      <c r="V79" s="162">
        <f t="shared" si="108"/>
        <v>4.550413853318573</v>
      </c>
      <c r="W79" s="171">
        <f t="shared" si="137"/>
        <v>4.550413853318573</v>
      </c>
      <c r="X79" s="162"/>
      <c r="Y79" s="162">
        <f t="shared" si="138"/>
        <v>1.4200000000000008</v>
      </c>
      <c r="Z79" s="162">
        <f t="shared" si="139"/>
        <v>1.4200000000000008</v>
      </c>
      <c r="AA79" s="162">
        <f t="shared" si="109"/>
        <v>4.550413853318573</v>
      </c>
      <c r="AB79" s="171">
        <f t="shared" si="140"/>
        <v>4.550413853318573</v>
      </c>
      <c r="AC79" s="162"/>
      <c r="AD79" s="162">
        <f t="shared" si="141"/>
        <v>1.4200000000000008</v>
      </c>
      <c r="AE79" s="170">
        <f t="shared" si="142"/>
        <v>1.4200000000000008</v>
      </c>
      <c r="AF79" s="162">
        <f t="shared" si="110"/>
        <v>4.550413853318573</v>
      </c>
      <c r="AG79" s="171">
        <f t="shared" si="143"/>
        <v>4.550413853318573</v>
      </c>
      <c r="AH79" s="162"/>
      <c r="AI79" s="162">
        <f t="shared" si="144"/>
        <v>1.4200000000000008</v>
      </c>
      <c r="AJ79" s="170">
        <f t="shared" si="145"/>
        <v>1.4200000000000008</v>
      </c>
      <c r="AK79" s="162">
        <f t="shared" si="111"/>
        <v>4.550413853318573</v>
      </c>
      <c r="AL79" s="171">
        <f t="shared" si="146"/>
        <v>4.550413853318573</v>
      </c>
      <c r="AM79" s="162"/>
      <c r="AN79" s="162">
        <f t="shared" si="147"/>
        <v>1.4200000000000008</v>
      </c>
      <c r="AO79" s="162">
        <f t="shared" si="148"/>
        <v>1.4200000000000008</v>
      </c>
      <c r="AP79" s="162">
        <f t="shared" si="112"/>
        <v>4.550413853318573</v>
      </c>
      <c r="AQ79" s="171">
        <f t="shared" si="149"/>
        <v>4.550413853318573</v>
      </c>
      <c r="AR79" s="162"/>
      <c r="AS79" s="162">
        <f t="shared" si="150"/>
        <v>1.4200000000000008</v>
      </c>
      <c r="AT79" s="170">
        <f t="shared" si="151"/>
        <v>1.4200000000000008</v>
      </c>
      <c r="AU79" s="162">
        <f t="shared" si="113"/>
        <v>4.550413853318573</v>
      </c>
      <c r="AV79" s="171">
        <f t="shared" si="152"/>
        <v>4.550413853318573</v>
      </c>
      <c r="AW79" s="162"/>
      <c r="AX79" s="162">
        <f t="shared" si="153"/>
        <v>1.4200000000000008</v>
      </c>
      <c r="AY79" s="170">
        <f t="shared" si="154"/>
        <v>1.4200000000000008</v>
      </c>
      <c r="AZ79" s="162">
        <f t="shared" si="114"/>
        <v>4.550413853318573</v>
      </c>
      <c r="BA79" s="171">
        <f t="shared" si="155"/>
        <v>4.550413853318573</v>
      </c>
      <c r="BB79" s="162"/>
      <c r="BC79" s="162">
        <f t="shared" si="156"/>
        <v>1.4200000000000008</v>
      </c>
      <c r="BD79" s="162">
        <f t="shared" si="157"/>
        <v>1.4200000000000008</v>
      </c>
      <c r="BE79" s="162">
        <f t="shared" si="115"/>
        <v>4.550413853318573</v>
      </c>
      <c r="BF79" s="171">
        <f t="shared" si="158"/>
        <v>4.550413853318573</v>
      </c>
      <c r="BG79" s="162"/>
      <c r="BH79" s="162">
        <f t="shared" si="159"/>
        <v>1.4200000000000008</v>
      </c>
      <c r="BI79" s="170">
        <f t="shared" si="160"/>
        <v>1.4200000000000008</v>
      </c>
      <c r="BJ79" s="162">
        <f t="shared" si="116"/>
        <v>4.550413853318573</v>
      </c>
      <c r="BK79" s="171">
        <f t="shared" si="161"/>
        <v>4.550413853318573</v>
      </c>
      <c r="BL79" s="162"/>
      <c r="BM79" s="162">
        <f t="shared" si="162"/>
        <v>1.4200000000000008</v>
      </c>
      <c r="BN79" s="170">
        <f t="shared" si="163"/>
        <v>1.4200000000000008</v>
      </c>
      <c r="BO79" s="162">
        <f t="shared" si="117"/>
        <v>4.550413853318573</v>
      </c>
      <c r="BP79" s="171">
        <f t="shared" si="164"/>
        <v>4.550413853318573</v>
      </c>
      <c r="BQ79" s="162"/>
      <c r="BR79" s="162">
        <f t="shared" si="165"/>
        <v>1.4200000000000008</v>
      </c>
      <c r="BS79" s="162">
        <f t="shared" si="166"/>
        <v>1.4200000000000008</v>
      </c>
      <c r="BT79" s="162">
        <f t="shared" si="118"/>
        <v>4.550413853318573</v>
      </c>
      <c r="BU79" s="171">
        <f t="shared" si="167"/>
        <v>4.550413853318573</v>
      </c>
      <c r="BV79" s="162"/>
      <c r="BW79" s="162">
        <f t="shared" si="168"/>
        <v>1.4200000000000008</v>
      </c>
      <c r="BX79" s="170">
        <f t="shared" si="169"/>
        <v>1.4200000000000008</v>
      </c>
      <c r="BY79" s="162">
        <f t="shared" si="119"/>
        <v>4.550413853318573</v>
      </c>
      <c r="BZ79" s="171">
        <f t="shared" si="170"/>
        <v>4.550413853318573</v>
      </c>
      <c r="CA79" s="162"/>
      <c r="CB79" s="162">
        <f t="shared" si="171"/>
        <v>1.4200000000000008</v>
      </c>
      <c r="CC79" s="170">
        <f t="shared" si="172"/>
        <v>1.4200000000000008</v>
      </c>
      <c r="CD79" s="162">
        <f t="shared" si="120"/>
        <v>4.550413853318573</v>
      </c>
      <c r="CE79" s="171">
        <f t="shared" si="173"/>
        <v>4.550413853318573</v>
      </c>
      <c r="CF79" s="162"/>
      <c r="CG79" s="172">
        <f t="shared" si="174"/>
        <v>1.4200000000000008</v>
      </c>
      <c r="CH79" s="172">
        <f t="shared" si="175"/>
        <v>1.4200000000000008</v>
      </c>
      <c r="CI79" s="172">
        <f t="shared" si="121"/>
        <v>4.550413853318573</v>
      </c>
      <c r="CJ79" s="171">
        <f t="shared" si="176"/>
        <v>4.550413853318573</v>
      </c>
      <c r="CK79" s="172"/>
      <c r="CL79" s="162">
        <f t="shared" si="177"/>
        <v>1.4200000000000008</v>
      </c>
      <c r="CM79" s="170">
        <f t="shared" si="178"/>
        <v>1.4200000000000008</v>
      </c>
      <c r="CN79" s="162">
        <f t="shared" si="122"/>
        <v>4.550413853318573</v>
      </c>
      <c r="CO79" s="171">
        <f t="shared" si="179"/>
        <v>4.550413853318573</v>
      </c>
      <c r="CP79" s="162"/>
      <c r="CQ79" s="162">
        <f t="shared" si="180"/>
        <v>1.4200000000000008</v>
      </c>
      <c r="CR79" s="170">
        <f t="shared" si="181"/>
        <v>1.4200000000000008</v>
      </c>
      <c r="CS79" s="162">
        <f t="shared" si="123"/>
        <v>4.550413853318573</v>
      </c>
      <c r="CT79" s="171">
        <f t="shared" si="182"/>
        <v>4.550413853318573</v>
      </c>
      <c r="CU79" s="162"/>
      <c r="CV79" s="162">
        <f t="shared" si="183"/>
        <v>1.4200000000000008</v>
      </c>
      <c r="CW79" s="162">
        <f t="shared" si="184"/>
        <v>1.4200000000000008</v>
      </c>
      <c r="CX79" s="162">
        <f t="shared" si="124"/>
        <v>4.550413853318573</v>
      </c>
      <c r="CY79" s="171">
        <f t="shared" si="185"/>
        <v>4.550413853318573</v>
      </c>
      <c r="CZ79" s="162"/>
      <c r="DA79" s="162">
        <f t="shared" si="186"/>
        <v>1.4200000000000008</v>
      </c>
      <c r="DB79" s="170">
        <f t="shared" si="187"/>
        <v>1.4200000000000008</v>
      </c>
      <c r="DC79" s="162">
        <f t="shared" si="125"/>
        <v>4.550413853318573</v>
      </c>
      <c r="DD79" s="171">
        <f t="shared" si="188"/>
        <v>4.550413853318573</v>
      </c>
      <c r="DE79" s="162"/>
      <c r="DF79" s="162">
        <f t="shared" si="189"/>
        <v>1.4200000000000008</v>
      </c>
      <c r="DG79" s="170">
        <f t="shared" si="190"/>
        <v>1.4200000000000008</v>
      </c>
      <c r="DH79" s="162">
        <f t="shared" si="126"/>
        <v>4.550413853318573</v>
      </c>
      <c r="DI79" s="171">
        <f t="shared" si="191"/>
        <v>4.550413853318573</v>
      </c>
      <c r="DJ79" s="162"/>
      <c r="DK79" s="162">
        <f t="shared" si="192"/>
        <v>1.4200000000000008</v>
      </c>
      <c r="DL79" s="162">
        <f t="shared" si="193"/>
        <v>1.4200000000000008</v>
      </c>
      <c r="DM79" s="162">
        <f t="shared" si="127"/>
        <v>4.550413853318573</v>
      </c>
      <c r="DN79" s="171">
        <f t="shared" si="194"/>
        <v>4.550413853318573</v>
      </c>
      <c r="DO79" s="162"/>
      <c r="DP79" s="162">
        <f t="shared" si="195"/>
        <v>1.4200000000000008</v>
      </c>
      <c r="DQ79" s="170">
        <f t="shared" si="196"/>
        <v>1.4200000000000008</v>
      </c>
      <c r="DR79" s="162">
        <f t="shared" si="128"/>
        <v>4.550413853318573</v>
      </c>
      <c r="DS79" s="171">
        <f t="shared" si="197"/>
        <v>4.550413853318573</v>
      </c>
      <c r="DT79" s="162"/>
      <c r="DU79" s="162">
        <f t="shared" si="198"/>
        <v>1.4200000000000008</v>
      </c>
      <c r="DV79" s="170">
        <f t="shared" si="199"/>
        <v>1.4200000000000008</v>
      </c>
      <c r="DW79" s="162">
        <f t="shared" si="129"/>
        <v>4.550413853318573</v>
      </c>
      <c r="DX79" s="171">
        <f t="shared" si="200"/>
        <v>4.550413853318573</v>
      </c>
      <c r="DY79" s="162"/>
      <c r="DZ79" s="162">
        <f t="shared" si="201"/>
        <v>1.4200000000000008</v>
      </c>
      <c r="EA79" s="162">
        <f t="shared" si="202"/>
        <v>1.4200000000000008</v>
      </c>
      <c r="EB79" s="162">
        <f t="shared" si="130"/>
        <v>4.550413853318573</v>
      </c>
      <c r="EC79" s="171">
        <f t="shared" si="203"/>
        <v>4.550413853318573</v>
      </c>
      <c r="ED79" s="162"/>
      <c r="EE79" s="162">
        <f t="shared" si="204"/>
        <v>1.4200000000000008</v>
      </c>
      <c r="EF79" s="170">
        <f t="shared" si="205"/>
        <v>1.4200000000000008</v>
      </c>
      <c r="EG79" s="162">
        <f t="shared" si="131"/>
        <v>4.550413853318573</v>
      </c>
      <c r="EH79" s="171">
        <f t="shared" si="206"/>
        <v>4.550413853318573</v>
      </c>
      <c r="EI79" s="162"/>
      <c r="EJ79" s="162">
        <f t="shared" si="207"/>
        <v>1.4200000000000008</v>
      </c>
      <c r="EK79" s="170">
        <f t="shared" si="208"/>
        <v>1.4200000000000008</v>
      </c>
      <c r="EL79" s="162">
        <f t="shared" si="132"/>
        <v>4.550413853318573</v>
      </c>
      <c r="EM79" s="171">
        <f t="shared" si="209"/>
        <v>4.550413853318573</v>
      </c>
      <c r="EN79" s="162"/>
      <c r="EO79" s="162">
        <f t="shared" si="210"/>
        <v>1.4200000000000008</v>
      </c>
      <c r="EP79" s="162">
        <f t="shared" si="211"/>
        <v>1.4200000000000008</v>
      </c>
      <c r="EQ79" s="162">
        <f t="shared" si="133"/>
        <v>4.550413853318573</v>
      </c>
      <c r="ER79" s="171">
        <f t="shared" si="212"/>
        <v>4.550413853318573</v>
      </c>
      <c r="ES79" s="162"/>
      <c r="ET79" s="162">
        <f t="shared" si="213"/>
        <v>1.4200000000000008</v>
      </c>
      <c r="EU79" s="170">
        <f t="shared" si="214"/>
        <v>1.4200000000000008</v>
      </c>
      <c r="EV79" s="162">
        <f t="shared" si="134"/>
        <v>4.550413853318573</v>
      </c>
      <c r="EW79" s="171">
        <f t="shared" si="215"/>
        <v>4.550413853318573</v>
      </c>
      <c r="EX79" s="162"/>
    </row>
    <row r="80" spans="20:154" s="181" customFormat="1" x14ac:dyDescent="0.25">
      <c r="T80" s="162">
        <f t="shared" si="135"/>
        <v>1.4400000000000008</v>
      </c>
      <c r="U80" s="170">
        <f t="shared" si="136"/>
        <v>1.4400000000000008</v>
      </c>
      <c r="V80" s="162">
        <f t="shared" si="108"/>
        <v>4.5141808296698596</v>
      </c>
      <c r="W80" s="171">
        <f t="shared" si="137"/>
        <v>4.5141808296698596</v>
      </c>
      <c r="X80" s="162"/>
      <c r="Y80" s="162">
        <f t="shared" si="138"/>
        <v>1.4400000000000008</v>
      </c>
      <c r="Z80" s="162">
        <f t="shared" si="139"/>
        <v>1.4400000000000008</v>
      </c>
      <c r="AA80" s="162">
        <f t="shared" si="109"/>
        <v>4.5141808296698596</v>
      </c>
      <c r="AB80" s="171">
        <f t="shared" si="140"/>
        <v>4.5141808296698596</v>
      </c>
      <c r="AC80" s="162"/>
      <c r="AD80" s="162">
        <f t="shared" si="141"/>
        <v>1.4400000000000008</v>
      </c>
      <c r="AE80" s="170">
        <f t="shared" si="142"/>
        <v>1.4400000000000008</v>
      </c>
      <c r="AF80" s="162">
        <f t="shared" si="110"/>
        <v>4.5141808296698596</v>
      </c>
      <c r="AG80" s="171">
        <f t="shared" si="143"/>
        <v>4.5141808296698596</v>
      </c>
      <c r="AH80" s="162"/>
      <c r="AI80" s="162">
        <f t="shared" si="144"/>
        <v>1.4400000000000008</v>
      </c>
      <c r="AJ80" s="170">
        <f t="shared" si="145"/>
        <v>1.4400000000000008</v>
      </c>
      <c r="AK80" s="162">
        <f t="shared" si="111"/>
        <v>4.5141808296698596</v>
      </c>
      <c r="AL80" s="171">
        <f t="shared" si="146"/>
        <v>4.5141808296698596</v>
      </c>
      <c r="AM80" s="162"/>
      <c r="AN80" s="162">
        <f t="shared" si="147"/>
        <v>1.4400000000000008</v>
      </c>
      <c r="AO80" s="162">
        <f t="shared" si="148"/>
        <v>1.4400000000000008</v>
      </c>
      <c r="AP80" s="162">
        <f t="shared" si="112"/>
        <v>4.5141808296698596</v>
      </c>
      <c r="AQ80" s="171">
        <f t="shared" si="149"/>
        <v>4.5141808296698596</v>
      </c>
      <c r="AR80" s="162"/>
      <c r="AS80" s="162">
        <f t="shared" si="150"/>
        <v>1.4400000000000008</v>
      </c>
      <c r="AT80" s="170">
        <f t="shared" si="151"/>
        <v>1.4400000000000008</v>
      </c>
      <c r="AU80" s="162">
        <f t="shared" si="113"/>
        <v>4.5141808296698596</v>
      </c>
      <c r="AV80" s="171">
        <f t="shared" si="152"/>
        <v>4.5141808296698596</v>
      </c>
      <c r="AW80" s="162"/>
      <c r="AX80" s="162">
        <f t="shared" si="153"/>
        <v>1.4400000000000008</v>
      </c>
      <c r="AY80" s="170">
        <f t="shared" si="154"/>
        <v>1.4400000000000008</v>
      </c>
      <c r="AZ80" s="162">
        <f t="shared" si="114"/>
        <v>4.5141808296698596</v>
      </c>
      <c r="BA80" s="171">
        <f t="shared" si="155"/>
        <v>4.5141808296698596</v>
      </c>
      <c r="BB80" s="162"/>
      <c r="BC80" s="162">
        <f t="shared" si="156"/>
        <v>1.4400000000000008</v>
      </c>
      <c r="BD80" s="162">
        <f t="shared" si="157"/>
        <v>1.4400000000000008</v>
      </c>
      <c r="BE80" s="162">
        <f t="shared" si="115"/>
        <v>4.5141808296698596</v>
      </c>
      <c r="BF80" s="171">
        <f t="shared" si="158"/>
        <v>4.5141808296698596</v>
      </c>
      <c r="BG80" s="162"/>
      <c r="BH80" s="162">
        <f t="shared" si="159"/>
        <v>1.4400000000000008</v>
      </c>
      <c r="BI80" s="170">
        <f t="shared" si="160"/>
        <v>1.4400000000000008</v>
      </c>
      <c r="BJ80" s="162">
        <f t="shared" si="116"/>
        <v>4.5141808296698596</v>
      </c>
      <c r="BK80" s="171">
        <f t="shared" si="161"/>
        <v>4.5141808296698596</v>
      </c>
      <c r="BL80" s="162"/>
      <c r="BM80" s="162">
        <f t="shared" si="162"/>
        <v>1.4400000000000008</v>
      </c>
      <c r="BN80" s="170">
        <f t="shared" si="163"/>
        <v>1.4400000000000008</v>
      </c>
      <c r="BO80" s="162">
        <f t="shared" si="117"/>
        <v>4.5141808296698596</v>
      </c>
      <c r="BP80" s="171">
        <f t="shared" si="164"/>
        <v>4.5141808296698596</v>
      </c>
      <c r="BQ80" s="162"/>
      <c r="BR80" s="162">
        <f t="shared" si="165"/>
        <v>1.4400000000000008</v>
      </c>
      <c r="BS80" s="162">
        <f t="shared" si="166"/>
        <v>1.4400000000000008</v>
      </c>
      <c r="BT80" s="162">
        <f t="shared" si="118"/>
        <v>4.5141808296698596</v>
      </c>
      <c r="BU80" s="171">
        <f t="shared" si="167"/>
        <v>4.5141808296698596</v>
      </c>
      <c r="BV80" s="162"/>
      <c r="BW80" s="162">
        <f t="shared" si="168"/>
        <v>1.4400000000000008</v>
      </c>
      <c r="BX80" s="170">
        <f t="shared" si="169"/>
        <v>1.4400000000000008</v>
      </c>
      <c r="BY80" s="162">
        <f t="shared" si="119"/>
        <v>4.5141808296698596</v>
      </c>
      <c r="BZ80" s="171">
        <f t="shared" si="170"/>
        <v>4.5141808296698596</v>
      </c>
      <c r="CA80" s="162"/>
      <c r="CB80" s="162">
        <f t="shared" si="171"/>
        <v>1.4400000000000008</v>
      </c>
      <c r="CC80" s="170">
        <f t="shared" si="172"/>
        <v>1.4400000000000008</v>
      </c>
      <c r="CD80" s="162">
        <f t="shared" si="120"/>
        <v>4.5141808296698596</v>
      </c>
      <c r="CE80" s="171">
        <f t="shared" si="173"/>
        <v>4.5141808296698596</v>
      </c>
      <c r="CF80" s="162"/>
      <c r="CG80" s="172">
        <f t="shared" si="174"/>
        <v>1.4400000000000008</v>
      </c>
      <c r="CH80" s="172">
        <f t="shared" si="175"/>
        <v>1.4400000000000008</v>
      </c>
      <c r="CI80" s="172">
        <f t="shared" si="121"/>
        <v>4.5141808296698596</v>
      </c>
      <c r="CJ80" s="171">
        <f t="shared" si="176"/>
        <v>4.5141808296698596</v>
      </c>
      <c r="CK80" s="172"/>
      <c r="CL80" s="162">
        <f t="shared" si="177"/>
        <v>1.4400000000000008</v>
      </c>
      <c r="CM80" s="170">
        <f t="shared" si="178"/>
        <v>1.4400000000000008</v>
      </c>
      <c r="CN80" s="162">
        <f t="shared" si="122"/>
        <v>4.5141808296698596</v>
      </c>
      <c r="CO80" s="171">
        <f t="shared" si="179"/>
        <v>4.5141808296698596</v>
      </c>
      <c r="CP80" s="162"/>
      <c r="CQ80" s="162">
        <f t="shared" si="180"/>
        <v>1.4400000000000008</v>
      </c>
      <c r="CR80" s="170">
        <f t="shared" si="181"/>
        <v>1.4400000000000008</v>
      </c>
      <c r="CS80" s="162">
        <f t="shared" si="123"/>
        <v>4.5141808296698596</v>
      </c>
      <c r="CT80" s="171">
        <f t="shared" si="182"/>
        <v>4.5141808296698596</v>
      </c>
      <c r="CU80" s="162"/>
      <c r="CV80" s="162">
        <f t="shared" si="183"/>
        <v>1.4400000000000008</v>
      </c>
      <c r="CW80" s="162">
        <f t="shared" si="184"/>
        <v>1.4400000000000008</v>
      </c>
      <c r="CX80" s="162">
        <f t="shared" si="124"/>
        <v>4.5141808296698596</v>
      </c>
      <c r="CY80" s="171">
        <f t="shared" si="185"/>
        <v>4.5141808296698596</v>
      </c>
      <c r="CZ80" s="162"/>
      <c r="DA80" s="162">
        <f t="shared" si="186"/>
        <v>1.4400000000000008</v>
      </c>
      <c r="DB80" s="170">
        <f t="shared" si="187"/>
        <v>1.4400000000000008</v>
      </c>
      <c r="DC80" s="162">
        <f t="shared" si="125"/>
        <v>4.5141808296698596</v>
      </c>
      <c r="DD80" s="171">
        <f t="shared" si="188"/>
        <v>4.5141808296698596</v>
      </c>
      <c r="DE80" s="162"/>
      <c r="DF80" s="162">
        <f t="shared" si="189"/>
        <v>1.4400000000000008</v>
      </c>
      <c r="DG80" s="170">
        <f t="shared" si="190"/>
        <v>1.4400000000000008</v>
      </c>
      <c r="DH80" s="162">
        <f t="shared" si="126"/>
        <v>4.5141808296698596</v>
      </c>
      <c r="DI80" s="171">
        <f t="shared" si="191"/>
        <v>4.5141808296698596</v>
      </c>
      <c r="DJ80" s="162"/>
      <c r="DK80" s="162">
        <f t="shared" si="192"/>
        <v>1.4400000000000008</v>
      </c>
      <c r="DL80" s="162">
        <f t="shared" si="193"/>
        <v>1.4400000000000008</v>
      </c>
      <c r="DM80" s="162">
        <f t="shared" si="127"/>
        <v>4.5141808296698596</v>
      </c>
      <c r="DN80" s="171">
        <f t="shared" si="194"/>
        <v>4.5141808296698596</v>
      </c>
      <c r="DO80" s="162"/>
      <c r="DP80" s="162">
        <f t="shared" si="195"/>
        <v>1.4400000000000008</v>
      </c>
      <c r="DQ80" s="170">
        <f t="shared" si="196"/>
        <v>1.4400000000000008</v>
      </c>
      <c r="DR80" s="162">
        <f t="shared" si="128"/>
        <v>4.5141808296698596</v>
      </c>
      <c r="DS80" s="171">
        <f t="shared" si="197"/>
        <v>4.5141808296698596</v>
      </c>
      <c r="DT80" s="162"/>
      <c r="DU80" s="162">
        <f t="shared" si="198"/>
        <v>1.4400000000000008</v>
      </c>
      <c r="DV80" s="170">
        <f t="shared" si="199"/>
        <v>1.4400000000000008</v>
      </c>
      <c r="DW80" s="162">
        <f t="shared" si="129"/>
        <v>4.5141808296698596</v>
      </c>
      <c r="DX80" s="171">
        <f t="shared" si="200"/>
        <v>4.5141808296698596</v>
      </c>
      <c r="DY80" s="162"/>
      <c r="DZ80" s="162">
        <f t="shared" si="201"/>
        <v>1.4400000000000008</v>
      </c>
      <c r="EA80" s="162">
        <f t="shared" si="202"/>
        <v>1.4400000000000008</v>
      </c>
      <c r="EB80" s="162">
        <f t="shared" si="130"/>
        <v>4.5141808296698596</v>
      </c>
      <c r="EC80" s="171">
        <f t="shared" si="203"/>
        <v>4.5141808296698596</v>
      </c>
      <c r="ED80" s="162"/>
      <c r="EE80" s="162">
        <f t="shared" si="204"/>
        <v>1.4400000000000008</v>
      </c>
      <c r="EF80" s="170">
        <f t="shared" si="205"/>
        <v>1.4400000000000008</v>
      </c>
      <c r="EG80" s="162">
        <f t="shared" si="131"/>
        <v>4.5141808296698596</v>
      </c>
      <c r="EH80" s="171">
        <f t="shared" si="206"/>
        <v>4.5141808296698596</v>
      </c>
      <c r="EI80" s="162"/>
      <c r="EJ80" s="162">
        <f t="shared" si="207"/>
        <v>1.4400000000000008</v>
      </c>
      <c r="EK80" s="170">
        <f t="shared" si="208"/>
        <v>1.4400000000000008</v>
      </c>
      <c r="EL80" s="162">
        <f t="shared" si="132"/>
        <v>4.5141808296698596</v>
      </c>
      <c r="EM80" s="171">
        <f t="shared" si="209"/>
        <v>4.5141808296698596</v>
      </c>
      <c r="EN80" s="162"/>
      <c r="EO80" s="162">
        <f t="shared" si="210"/>
        <v>1.4400000000000008</v>
      </c>
      <c r="EP80" s="162">
        <f t="shared" si="211"/>
        <v>1.4400000000000008</v>
      </c>
      <c r="EQ80" s="162">
        <f t="shared" si="133"/>
        <v>4.5141808296698596</v>
      </c>
      <c r="ER80" s="171">
        <f t="shared" si="212"/>
        <v>4.5141808296698596</v>
      </c>
      <c r="ES80" s="162"/>
      <c r="ET80" s="162">
        <f t="shared" si="213"/>
        <v>1.4400000000000008</v>
      </c>
      <c r="EU80" s="170">
        <f t="shared" si="214"/>
        <v>1.4400000000000008</v>
      </c>
      <c r="EV80" s="162">
        <f t="shared" si="134"/>
        <v>4.5141808296698596</v>
      </c>
      <c r="EW80" s="171">
        <f t="shared" si="215"/>
        <v>4.5141808296698596</v>
      </c>
      <c r="EX80" s="162"/>
    </row>
    <row r="81" spans="20:154" s="181" customFormat="1" x14ac:dyDescent="0.25">
      <c r="T81" s="162">
        <f t="shared" si="135"/>
        <v>1.4600000000000009</v>
      </c>
      <c r="U81" s="170">
        <f t="shared" si="136"/>
        <v>1.4600000000000009</v>
      </c>
      <c r="V81" s="162">
        <f t="shared" si="108"/>
        <v>4.4752392932933001</v>
      </c>
      <c r="W81" s="171">
        <f t="shared" si="137"/>
        <v>4.4752392932933001</v>
      </c>
      <c r="X81" s="162"/>
      <c r="Y81" s="162">
        <f t="shared" si="138"/>
        <v>1.4600000000000009</v>
      </c>
      <c r="Z81" s="162">
        <f t="shared" si="139"/>
        <v>1.4600000000000009</v>
      </c>
      <c r="AA81" s="162">
        <f t="shared" si="109"/>
        <v>4.4752392932933001</v>
      </c>
      <c r="AB81" s="171">
        <f t="shared" si="140"/>
        <v>4.4752392932933001</v>
      </c>
      <c r="AC81" s="162"/>
      <c r="AD81" s="162">
        <f t="shared" si="141"/>
        <v>1.4600000000000009</v>
      </c>
      <c r="AE81" s="170">
        <f t="shared" si="142"/>
        <v>1.4600000000000009</v>
      </c>
      <c r="AF81" s="162">
        <f t="shared" si="110"/>
        <v>4.4752392932933001</v>
      </c>
      <c r="AG81" s="171">
        <f t="shared" si="143"/>
        <v>4.4752392932933001</v>
      </c>
      <c r="AH81" s="162"/>
      <c r="AI81" s="162">
        <f t="shared" si="144"/>
        <v>1.4600000000000009</v>
      </c>
      <c r="AJ81" s="170">
        <f t="shared" si="145"/>
        <v>1.4600000000000009</v>
      </c>
      <c r="AK81" s="162">
        <f t="shared" si="111"/>
        <v>4.4752392932933001</v>
      </c>
      <c r="AL81" s="171">
        <f t="shared" si="146"/>
        <v>4.4752392932933001</v>
      </c>
      <c r="AM81" s="162"/>
      <c r="AN81" s="162">
        <f t="shared" si="147"/>
        <v>1.4600000000000009</v>
      </c>
      <c r="AO81" s="162">
        <f t="shared" si="148"/>
        <v>1.4600000000000009</v>
      </c>
      <c r="AP81" s="162">
        <f t="shared" si="112"/>
        <v>4.4752392932933001</v>
      </c>
      <c r="AQ81" s="171">
        <f t="shared" si="149"/>
        <v>4.4752392932933001</v>
      </c>
      <c r="AR81" s="162"/>
      <c r="AS81" s="162">
        <f t="shared" si="150"/>
        <v>1.4600000000000009</v>
      </c>
      <c r="AT81" s="170">
        <f t="shared" si="151"/>
        <v>1.4600000000000009</v>
      </c>
      <c r="AU81" s="162">
        <f t="shared" si="113"/>
        <v>4.4752392932933001</v>
      </c>
      <c r="AV81" s="171">
        <f t="shared" si="152"/>
        <v>4.4752392932933001</v>
      </c>
      <c r="AW81" s="162"/>
      <c r="AX81" s="162">
        <f t="shared" si="153"/>
        <v>1.4600000000000009</v>
      </c>
      <c r="AY81" s="170">
        <f t="shared" si="154"/>
        <v>1.4600000000000009</v>
      </c>
      <c r="AZ81" s="162">
        <f t="shared" si="114"/>
        <v>4.4752392932933001</v>
      </c>
      <c r="BA81" s="171">
        <f t="shared" si="155"/>
        <v>4.4752392932933001</v>
      </c>
      <c r="BB81" s="162"/>
      <c r="BC81" s="162">
        <f t="shared" si="156"/>
        <v>1.4600000000000009</v>
      </c>
      <c r="BD81" s="162">
        <f t="shared" si="157"/>
        <v>1.4600000000000009</v>
      </c>
      <c r="BE81" s="162">
        <f t="shared" si="115"/>
        <v>4.4752392932933001</v>
      </c>
      <c r="BF81" s="171">
        <f t="shared" si="158"/>
        <v>4.4752392932933001</v>
      </c>
      <c r="BG81" s="162"/>
      <c r="BH81" s="162">
        <f t="shared" si="159"/>
        <v>1.4600000000000009</v>
      </c>
      <c r="BI81" s="170">
        <f t="shared" si="160"/>
        <v>1.4600000000000009</v>
      </c>
      <c r="BJ81" s="162">
        <f t="shared" si="116"/>
        <v>4.4752392932933001</v>
      </c>
      <c r="BK81" s="171">
        <f t="shared" si="161"/>
        <v>4.4752392932933001</v>
      </c>
      <c r="BL81" s="162"/>
      <c r="BM81" s="162">
        <f t="shared" si="162"/>
        <v>1.4600000000000009</v>
      </c>
      <c r="BN81" s="170">
        <f t="shared" si="163"/>
        <v>1.4600000000000009</v>
      </c>
      <c r="BO81" s="162">
        <f t="shared" si="117"/>
        <v>4.4752392932933001</v>
      </c>
      <c r="BP81" s="171">
        <f t="shared" si="164"/>
        <v>4.4752392932933001</v>
      </c>
      <c r="BQ81" s="162"/>
      <c r="BR81" s="162">
        <f t="shared" si="165"/>
        <v>1.4600000000000009</v>
      </c>
      <c r="BS81" s="162">
        <f t="shared" si="166"/>
        <v>1.4600000000000009</v>
      </c>
      <c r="BT81" s="162">
        <f t="shared" si="118"/>
        <v>4.4752392932933001</v>
      </c>
      <c r="BU81" s="171">
        <f t="shared" si="167"/>
        <v>4.4752392932933001</v>
      </c>
      <c r="BV81" s="162"/>
      <c r="BW81" s="162">
        <f t="shared" si="168"/>
        <v>1.4600000000000009</v>
      </c>
      <c r="BX81" s="170">
        <f t="shared" si="169"/>
        <v>1.4600000000000009</v>
      </c>
      <c r="BY81" s="162">
        <f t="shared" si="119"/>
        <v>4.4752392932933001</v>
      </c>
      <c r="BZ81" s="171">
        <f t="shared" si="170"/>
        <v>4.4752392932933001</v>
      </c>
      <c r="CA81" s="162"/>
      <c r="CB81" s="162">
        <f t="shared" si="171"/>
        <v>1.4600000000000009</v>
      </c>
      <c r="CC81" s="170">
        <f t="shared" si="172"/>
        <v>1.4600000000000009</v>
      </c>
      <c r="CD81" s="162">
        <f t="shared" si="120"/>
        <v>4.4752392932933001</v>
      </c>
      <c r="CE81" s="171">
        <f t="shared" si="173"/>
        <v>4.4752392932933001</v>
      </c>
      <c r="CF81" s="162"/>
      <c r="CG81" s="172">
        <f t="shared" si="174"/>
        <v>1.4600000000000009</v>
      </c>
      <c r="CH81" s="172">
        <f t="shared" si="175"/>
        <v>1.4600000000000009</v>
      </c>
      <c r="CI81" s="172">
        <f t="shared" si="121"/>
        <v>4.4752392932933001</v>
      </c>
      <c r="CJ81" s="171">
        <f t="shared" si="176"/>
        <v>4.4752392932933001</v>
      </c>
      <c r="CK81" s="172"/>
      <c r="CL81" s="162">
        <f t="shared" si="177"/>
        <v>1.4600000000000009</v>
      </c>
      <c r="CM81" s="170">
        <f t="shared" si="178"/>
        <v>1.4600000000000009</v>
      </c>
      <c r="CN81" s="162">
        <f t="shared" si="122"/>
        <v>4.4752392932933001</v>
      </c>
      <c r="CO81" s="171">
        <f t="shared" si="179"/>
        <v>4.4752392932933001</v>
      </c>
      <c r="CP81" s="162"/>
      <c r="CQ81" s="162">
        <f t="shared" si="180"/>
        <v>1.4600000000000009</v>
      </c>
      <c r="CR81" s="170">
        <f t="shared" si="181"/>
        <v>1.4600000000000009</v>
      </c>
      <c r="CS81" s="162">
        <f t="shared" si="123"/>
        <v>4.4752392932933001</v>
      </c>
      <c r="CT81" s="171">
        <f t="shared" si="182"/>
        <v>4.4752392932933001</v>
      </c>
      <c r="CU81" s="162"/>
      <c r="CV81" s="162">
        <f t="shared" si="183"/>
        <v>1.4600000000000009</v>
      </c>
      <c r="CW81" s="162">
        <f t="shared" si="184"/>
        <v>1.4600000000000009</v>
      </c>
      <c r="CX81" s="162">
        <f t="shared" si="124"/>
        <v>4.4752392932933001</v>
      </c>
      <c r="CY81" s="171">
        <f t="shared" si="185"/>
        <v>4.4752392932933001</v>
      </c>
      <c r="CZ81" s="162"/>
      <c r="DA81" s="162">
        <f t="shared" si="186"/>
        <v>1.4600000000000009</v>
      </c>
      <c r="DB81" s="170">
        <f t="shared" si="187"/>
        <v>1.4600000000000009</v>
      </c>
      <c r="DC81" s="162">
        <f t="shared" si="125"/>
        <v>4.4752392932933001</v>
      </c>
      <c r="DD81" s="171">
        <f t="shared" si="188"/>
        <v>4.4752392932933001</v>
      </c>
      <c r="DE81" s="162"/>
      <c r="DF81" s="162">
        <f t="shared" si="189"/>
        <v>1.4600000000000009</v>
      </c>
      <c r="DG81" s="170">
        <f t="shared" si="190"/>
        <v>1.4600000000000009</v>
      </c>
      <c r="DH81" s="162">
        <f t="shared" si="126"/>
        <v>4.4752392932933001</v>
      </c>
      <c r="DI81" s="171">
        <f t="shared" si="191"/>
        <v>4.4752392932933001</v>
      </c>
      <c r="DJ81" s="162"/>
      <c r="DK81" s="162">
        <f t="shared" si="192"/>
        <v>1.4600000000000009</v>
      </c>
      <c r="DL81" s="162">
        <f t="shared" si="193"/>
        <v>1.4600000000000009</v>
      </c>
      <c r="DM81" s="162">
        <f t="shared" si="127"/>
        <v>4.4752392932933001</v>
      </c>
      <c r="DN81" s="171">
        <f t="shared" si="194"/>
        <v>4.4752392932933001</v>
      </c>
      <c r="DO81" s="162"/>
      <c r="DP81" s="162">
        <f t="shared" si="195"/>
        <v>1.4600000000000009</v>
      </c>
      <c r="DQ81" s="170">
        <f t="shared" si="196"/>
        <v>1.4600000000000009</v>
      </c>
      <c r="DR81" s="162">
        <f t="shared" si="128"/>
        <v>4.4752392932933001</v>
      </c>
      <c r="DS81" s="171">
        <f t="shared" si="197"/>
        <v>4.4752392932933001</v>
      </c>
      <c r="DT81" s="162"/>
      <c r="DU81" s="162">
        <f t="shared" si="198"/>
        <v>1.4600000000000009</v>
      </c>
      <c r="DV81" s="170">
        <f t="shared" si="199"/>
        <v>1.4600000000000009</v>
      </c>
      <c r="DW81" s="162">
        <f t="shared" si="129"/>
        <v>4.4752392932933001</v>
      </c>
      <c r="DX81" s="171">
        <f t="shared" si="200"/>
        <v>4.4752392932933001</v>
      </c>
      <c r="DY81" s="162"/>
      <c r="DZ81" s="162">
        <f t="shared" si="201"/>
        <v>1.4600000000000009</v>
      </c>
      <c r="EA81" s="162">
        <f t="shared" si="202"/>
        <v>1.4600000000000009</v>
      </c>
      <c r="EB81" s="162">
        <f t="shared" si="130"/>
        <v>4.4752392932933001</v>
      </c>
      <c r="EC81" s="171">
        <f t="shared" si="203"/>
        <v>4.4752392932933001</v>
      </c>
      <c r="ED81" s="162"/>
      <c r="EE81" s="162">
        <f t="shared" si="204"/>
        <v>1.4600000000000009</v>
      </c>
      <c r="EF81" s="170">
        <f t="shared" si="205"/>
        <v>1.4600000000000009</v>
      </c>
      <c r="EG81" s="162">
        <f t="shared" si="131"/>
        <v>4.4752392932933001</v>
      </c>
      <c r="EH81" s="171">
        <f t="shared" si="206"/>
        <v>4.4752392932933001</v>
      </c>
      <c r="EI81" s="162"/>
      <c r="EJ81" s="162">
        <f t="shared" si="207"/>
        <v>1.4600000000000009</v>
      </c>
      <c r="EK81" s="170">
        <f t="shared" si="208"/>
        <v>1.4600000000000009</v>
      </c>
      <c r="EL81" s="162">
        <f t="shared" si="132"/>
        <v>4.4752392932933001</v>
      </c>
      <c r="EM81" s="171">
        <f t="shared" si="209"/>
        <v>4.4752392932933001</v>
      </c>
      <c r="EN81" s="162"/>
      <c r="EO81" s="162">
        <f t="shared" si="210"/>
        <v>1.4600000000000009</v>
      </c>
      <c r="EP81" s="162">
        <f t="shared" si="211"/>
        <v>1.4600000000000009</v>
      </c>
      <c r="EQ81" s="162">
        <f t="shared" si="133"/>
        <v>4.4752392932933001</v>
      </c>
      <c r="ER81" s="171">
        <f t="shared" si="212"/>
        <v>4.4752392932933001</v>
      </c>
      <c r="ES81" s="162"/>
      <c r="ET81" s="162">
        <f t="shared" si="213"/>
        <v>1.4600000000000009</v>
      </c>
      <c r="EU81" s="170">
        <f t="shared" si="214"/>
        <v>1.4600000000000009</v>
      </c>
      <c r="EV81" s="162">
        <f t="shared" si="134"/>
        <v>4.4752392932933001</v>
      </c>
      <c r="EW81" s="171">
        <f t="shared" si="215"/>
        <v>4.4752392932933001</v>
      </c>
      <c r="EX81" s="162"/>
    </row>
    <row r="82" spans="20:154" s="181" customFormat="1" x14ac:dyDescent="0.25">
      <c r="T82" s="162">
        <f t="shared" si="135"/>
        <v>1.4800000000000009</v>
      </c>
      <c r="U82" s="170">
        <f t="shared" si="136"/>
        <v>1.4800000000000009</v>
      </c>
      <c r="V82" s="162">
        <f t="shared" si="108"/>
        <v>4.4335892441888944</v>
      </c>
      <c r="W82" s="171">
        <f t="shared" si="137"/>
        <v>4.4335892441888944</v>
      </c>
      <c r="X82" s="162"/>
      <c r="Y82" s="162">
        <f t="shared" si="138"/>
        <v>1.4800000000000009</v>
      </c>
      <c r="Z82" s="162">
        <f t="shared" si="139"/>
        <v>1.4800000000000009</v>
      </c>
      <c r="AA82" s="162">
        <f t="shared" si="109"/>
        <v>4.4335892441888944</v>
      </c>
      <c r="AB82" s="171">
        <f t="shared" si="140"/>
        <v>4.4335892441888944</v>
      </c>
      <c r="AC82" s="162"/>
      <c r="AD82" s="162">
        <f t="shared" si="141"/>
        <v>1.4800000000000009</v>
      </c>
      <c r="AE82" s="170">
        <f t="shared" si="142"/>
        <v>1.4800000000000009</v>
      </c>
      <c r="AF82" s="162">
        <f t="shared" si="110"/>
        <v>4.4335892441888944</v>
      </c>
      <c r="AG82" s="171">
        <f t="shared" si="143"/>
        <v>4.4335892441888944</v>
      </c>
      <c r="AH82" s="162"/>
      <c r="AI82" s="162">
        <f t="shared" si="144"/>
        <v>1.4800000000000009</v>
      </c>
      <c r="AJ82" s="170">
        <f t="shared" si="145"/>
        <v>1.4800000000000009</v>
      </c>
      <c r="AK82" s="162">
        <f t="shared" si="111"/>
        <v>4.4335892441888944</v>
      </c>
      <c r="AL82" s="171">
        <f t="shared" si="146"/>
        <v>4.4335892441888944</v>
      </c>
      <c r="AM82" s="162"/>
      <c r="AN82" s="162">
        <f t="shared" si="147"/>
        <v>1.4800000000000009</v>
      </c>
      <c r="AO82" s="162">
        <f t="shared" si="148"/>
        <v>1.4800000000000009</v>
      </c>
      <c r="AP82" s="162">
        <f t="shared" si="112"/>
        <v>4.4335892441888944</v>
      </c>
      <c r="AQ82" s="171">
        <f t="shared" si="149"/>
        <v>4.4335892441888944</v>
      </c>
      <c r="AR82" s="162"/>
      <c r="AS82" s="162">
        <f t="shared" si="150"/>
        <v>1.4800000000000009</v>
      </c>
      <c r="AT82" s="170">
        <f t="shared" si="151"/>
        <v>1.4800000000000009</v>
      </c>
      <c r="AU82" s="162">
        <f t="shared" si="113"/>
        <v>4.4335892441888944</v>
      </c>
      <c r="AV82" s="171">
        <f t="shared" si="152"/>
        <v>4.4335892441888944</v>
      </c>
      <c r="AW82" s="162"/>
      <c r="AX82" s="162">
        <f t="shared" si="153"/>
        <v>1.4800000000000009</v>
      </c>
      <c r="AY82" s="170">
        <f t="shared" si="154"/>
        <v>1.4800000000000009</v>
      </c>
      <c r="AZ82" s="162">
        <f t="shared" si="114"/>
        <v>4.4335892441888944</v>
      </c>
      <c r="BA82" s="171">
        <f t="shared" si="155"/>
        <v>4.4335892441888944</v>
      </c>
      <c r="BB82" s="162"/>
      <c r="BC82" s="162">
        <f t="shared" si="156"/>
        <v>1.4800000000000009</v>
      </c>
      <c r="BD82" s="162">
        <f t="shared" si="157"/>
        <v>1.4800000000000009</v>
      </c>
      <c r="BE82" s="162">
        <f t="shared" si="115"/>
        <v>4.4335892441888944</v>
      </c>
      <c r="BF82" s="171">
        <f t="shared" si="158"/>
        <v>4.4335892441888944</v>
      </c>
      <c r="BG82" s="162"/>
      <c r="BH82" s="162">
        <f t="shared" si="159"/>
        <v>1.4800000000000009</v>
      </c>
      <c r="BI82" s="170">
        <f t="shared" si="160"/>
        <v>1.4800000000000009</v>
      </c>
      <c r="BJ82" s="162">
        <f t="shared" si="116"/>
        <v>4.4335892441888944</v>
      </c>
      <c r="BK82" s="171">
        <f t="shared" si="161"/>
        <v>4.4335892441888944</v>
      </c>
      <c r="BL82" s="162"/>
      <c r="BM82" s="162">
        <f t="shared" si="162"/>
        <v>1.4800000000000009</v>
      </c>
      <c r="BN82" s="170">
        <f t="shared" si="163"/>
        <v>1.4800000000000009</v>
      </c>
      <c r="BO82" s="162">
        <f t="shared" si="117"/>
        <v>4.4335892441888944</v>
      </c>
      <c r="BP82" s="171">
        <f t="shared" si="164"/>
        <v>4.4335892441888944</v>
      </c>
      <c r="BQ82" s="162"/>
      <c r="BR82" s="162">
        <f t="shared" si="165"/>
        <v>1.4800000000000009</v>
      </c>
      <c r="BS82" s="162">
        <f t="shared" si="166"/>
        <v>1.4800000000000009</v>
      </c>
      <c r="BT82" s="162">
        <f t="shared" si="118"/>
        <v>4.4335892441888944</v>
      </c>
      <c r="BU82" s="171">
        <f t="shared" si="167"/>
        <v>4.4335892441888944</v>
      </c>
      <c r="BV82" s="162"/>
      <c r="BW82" s="162">
        <f t="shared" si="168"/>
        <v>1.4800000000000009</v>
      </c>
      <c r="BX82" s="170">
        <f t="shared" si="169"/>
        <v>1.4800000000000009</v>
      </c>
      <c r="BY82" s="162">
        <f t="shared" si="119"/>
        <v>4.4335892441888944</v>
      </c>
      <c r="BZ82" s="171">
        <f t="shared" si="170"/>
        <v>4.4335892441888944</v>
      </c>
      <c r="CA82" s="162"/>
      <c r="CB82" s="162">
        <f t="shared" si="171"/>
        <v>1.4800000000000009</v>
      </c>
      <c r="CC82" s="170">
        <f t="shared" si="172"/>
        <v>1.4800000000000009</v>
      </c>
      <c r="CD82" s="162">
        <f t="shared" si="120"/>
        <v>4.4335892441888944</v>
      </c>
      <c r="CE82" s="171">
        <f t="shared" si="173"/>
        <v>4.4335892441888944</v>
      </c>
      <c r="CF82" s="162"/>
      <c r="CG82" s="172">
        <f t="shared" si="174"/>
        <v>1.4800000000000009</v>
      </c>
      <c r="CH82" s="172">
        <f t="shared" si="175"/>
        <v>1.4800000000000009</v>
      </c>
      <c r="CI82" s="172">
        <f t="shared" si="121"/>
        <v>4.4335892441888944</v>
      </c>
      <c r="CJ82" s="171">
        <f t="shared" si="176"/>
        <v>4.4335892441888944</v>
      </c>
      <c r="CK82" s="172"/>
      <c r="CL82" s="162">
        <f t="shared" si="177"/>
        <v>1.4800000000000009</v>
      </c>
      <c r="CM82" s="170">
        <f t="shared" si="178"/>
        <v>1.4800000000000009</v>
      </c>
      <c r="CN82" s="162">
        <f t="shared" si="122"/>
        <v>4.4335892441888944</v>
      </c>
      <c r="CO82" s="171">
        <f t="shared" si="179"/>
        <v>4.4335892441888944</v>
      </c>
      <c r="CP82" s="162"/>
      <c r="CQ82" s="162">
        <f t="shared" si="180"/>
        <v>1.4800000000000009</v>
      </c>
      <c r="CR82" s="170">
        <f t="shared" si="181"/>
        <v>1.4800000000000009</v>
      </c>
      <c r="CS82" s="162">
        <f t="shared" si="123"/>
        <v>4.4335892441888944</v>
      </c>
      <c r="CT82" s="171">
        <f t="shared" si="182"/>
        <v>4.4335892441888944</v>
      </c>
      <c r="CU82" s="162"/>
      <c r="CV82" s="162">
        <f t="shared" si="183"/>
        <v>1.4800000000000009</v>
      </c>
      <c r="CW82" s="162">
        <f t="shared" si="184"/>
        <v>1.4800000000000009</v>
      </c>
      <c r="CX82" s="162">
        <f t="shared" si="124"/>
        <v>4.4335892441888944</v>
      </c>
      <c r="CY82" s="171">
        <f t="shared" si="185"/>
        <v>4.4335892441888944</v>
      </c>
      <c r="CZ82" s="162"/>
      <c r="DA82" s="162">
        <f t="shared" si="186"/>
        <v>1.4800000000000009</v>
      </c>
      <c r="DB82" s="170">
        <f t="shared" si="187"/>
        <v>1.4800000000000009</v>
      </c>
      <c r="DC82" s="162">
        <f t="shared" si="125"/>
        <v>4.4335892441888944</v>
      </c>
      <c r="DD82" s="171">
        <f t="shared" si="188"/>
        <v>4.4335892441888944</v>
      </c>
      <c r="DE82" s="162"/>
      <c r="DF82" s="162">
        <f t="shared" si="189"/>
        <v>1.4800000000000009</v>
      </c>
      <c r="DG82" s="170">
        <f t="shared" si="190"/>
        <v>1.4800000000000009</v>
      </c>
      <c r="DH82" s="162">
        <f t="shared" si="126"/>
        <v>4.4335892441888944</v>
      </c>
      <c r="DI82" s="171">
        <f t="shared" si="191"/>
        <v>4.4335892441888944</v>
      </c>
      <c r="DJ82" s="162"/>
      <c r="DK82" s="162">
        <f t="shared" si="192"/>
        <v>1.4800000000000009</v>
      </c>
      <c r="DL82" s="162">
        <f t="shared" si="193"/>
        <v>1.4800000000000009</v>
      </c>
      <c r="DM82" s="162">
        <f t="shared" si="127"/>
        <v>4.4335892441888944</v>
      </c>
      <c r="DN82" s="171">
        <f t="shared" si="194"/>
        <v>4.4335892441888944</v>
      </c>
      <c r="DO82" s="162"/>
      <c r="DP82" s="162">
        <f t="shared" si="195"/>
        <v>1.4800000000000009</v>
      </c>
      <c r="DQ82" s="170">
        <f t="shared" si="196"/>
        <v>1.4800000000000009</v>
      </c>
      <c r="DR82" s="162">
        <f t="shared" si="128"/>
        <v>4.4335892441888944</v>
      </c>
      <c r="DS82" s="171">
        <f t="shared" si="197"/>
        <v>4.4335892441888944</v>
      </c>
      <c r="DT82" s="162"/>
      <c r="DU82" s="162">
        <f t="shared" si="198"/>
        <v>1.4800000000000009</v>
      </c>
      <c r="DV82" s="170">
        <f t="shared" si="199"/>
        <v>1.4800000000000009</v>
      </c>
      <c r="DW82" s="162">
        <f t="shared" si="129"/>
        <v>4.4335892441888944</v>
      </c>
      <c r="DX82" s="171">
        <f t="shared" si="200"/>
        <v>4.4335892441888944</v>
      </c>
      <c r="DY82" s="162"/>
      <c r="DZ82" s="162">
        <f t="shared" si="201"/>
        <v>1.4800000000000009</v>
      </c>
      <c r="EA82" s="162">
        <f t="shared" si="202"/>
        <v>1.4800000000000009</v>
      </c>
      <c r="EB82" s="162">
        <f t="shared" si="130"/>
        <v>4.4335892441888944</v>
      </c>
      <c r="EC82" s="171">
        <f t="shared" si="203"/>
        <v>4.4335892441888944</v>
      </c>
      <c r="ED82" s="162"/>
      <c r="EE82" s="162">
        <f t="shared" si="204"/>
        <v>1.4800000000000009</v>
      </c>
      <c r="EF82" s="170">
        <f t="shared" si="205"/>
        <v>1.4800000000000009</v>
      </c>
      <c r="EG82" s="162">
        <f t="shared" si="131"/>
        <v>4.4335892441888944</v>
      </c>
      <c r="EH82" s="171">
        <f t="shared" si="206"/>
        <v>4.4335892441888944</v>
      </c>
      <c r="EI82" s="162"/>
      <c r="EJ82" s="162">
        <f t="shared" si="207"/>
        <v>1.4800000000000009</v>
      </c>
      <c r="EK82" s="170">
        <f t="shared" si="208"/>
        <v>1.4800000000000009</v>
      </c>
      <c r="EL82" s="162">
        <f t="shared" si="132"/>
        <v>4.4335892441888944</v>
      </c>
      <c r="EM82" s="171">
        <f t="shared" si="209"/>
        <v>4.4335892441888944</v>
      </c>
      <c r="EN82" s="162"/>
      <c r="EO82" s="162">
        <f t="shared" si="210"/>
        <v>1.4800000000000009</v>
      </c>
      <c r="EP82" s="162">
        <f t="shared" si="211"/>
        <v>1.4800000000000009</v>
      </c>
      <c r="EQ82" s="162">
        <f t="shared" si="133"/>
        <v>4.4335892441888944</v>
      </c>
      <c r="ER82" s="171">
        <f t="shared" si="212"/>
        <v>4.4335892441888944</v>
      </c>
      <c r="ES82" s="162"/>
      <c r="ET82" s="162">
        <f t="shared" si="213"/>
        <v>1.4800000000000009</v>
      </c>
      <c r="EU82" s="170">
        <f t="shared" si="214"/>
        <v>1.4800000000000009</v>
      </c>
      <c r="EV82" s="162">
        <f t="shared" si="134"/>
        <v>4.4335892441888944</v>
      </c>
      <c r="EW82" s="171">
        <f t="shared" si="215"/>
        <v>4.4335892441888944</v>
      </c>
      <c r="EX82" s="162"/>
    </row>
    <row r="83" spans="20:154" s="181" customFormat="1" x14ac:dyDescent="0.25">
      <c r="T83" s="162">
        <f t="shared" si="135"/>
        <v>1.5000000000000009</v>
      </c>
      <c r="U83" s="170">
        <f t="shared" si="136"/>
        <v>1.5000000000000009</v>
      </c>
      <c r="V83" s="162">
        <f t="shared" si="108"/>
        <v>4.38923068235664</v>
      </c>
      <c r="W83" s="171">
        <f t="shared" si="137"/>
        <v>4.38923068235664</v>
      </c>
      <c r="X83" s="162"/>
      <c r="Y83" s="162">
        <f t="shared" si="138"/>
        <v>1.5000000000000009</v>
      </c>
      <c r="Z83" s="162">
        <f t="shared" si="139"/>
        <v>1.5000000000000009</v>
      </c>
      <c r="AA83" s="162">
        <f t="shared" si="109"/>
        <v>4.38923068235664</v>
      </c>
      <c r="AB83" s="171">
        <f t="shared" si="140"/>
        <v>4.38923068235664</v>
      </c>
      <c r="AC83" s="162"/>
      <c r="AD83" s="162">
        <f t="shared" si="141"/>
        <v>1.5000000000000009</v>
      </c>
      <c r="AE83" s="170">
        <f t="shared" si="142"/>
        <v>1.5000000000000009</v>
      </c>
      <c r="AF83" s="162">
        <f t="shared" si="110"/>
        <v>4.38923068235664</v>
      </c>
      <c r="AG83" s="171">
        <f t="shared" si="143"/>
        <v>4.38923068235664</v>
      </c>
      <c r="AH83" s="162"/>
      <c r="AI83" s="162">
        <f t="shared" si="144"/>
        <v>1.5000000000000009</v>
      </c>
      <c r="AJ83" s="170">
        <f t="shared" si="145"/>
        <v>1.5000000000000009</v>
      </c>
      <c r="AK83" s="162">
        <f t="shared" si="111"/>
        <v>4.38923068235664</v>
      </c>
      <c r="AL83" s="171">
        <f t="shared" si="146"/>
        <v>4.38923068235664</v>
      </c>
      <c r="AM83" s="162"/>
      <c r="AN83" s="162">
        <f t="shared" si="147"/>
        <v>1.5000000000000009</v>
      </c>
      <c r="AO83" s="162">
        <f t="shared" si="148"/>
        <v>1.5000000000000009</v>
      </c>
      <c r="AP83" s="162">
        <f t="shared" si="112"/>
        <v>4.38923068235664</v>
      </c>
      <c r="AQ83" s="171">
        <f t="shared" si="149"/>
        <v>4.38923068235664</v>
      </c>
      <c r="AR83" s="162"/>
      <c r="AS83" s="162">
        <f t="shared" si="150"/>
        <v>1.5000000000000009</v>
      </c>
      <c r="AT83" s="170">
        <f t="shared" si="151"/>
        <v>1.5000000000000009</v>
      </c>
      <c r="AU83" s="162">
        <f t="shared" si="113"/>
        <v>4.38923068235664</v>
      </c>
      <c r="AV83" s="171">
        <f t="shared" si="152"/>
        <v>4.38923068235664</v>
      </c>
      <c r="AW83" s="162"/>
      <c r="AX83" s="162">
        <f t="shared" si="153"/>
        <v>1.5000000000000009</v>
      </c>
      <c r="AY83" s="170">
        <f t="shared" si="154"/>
        <v>1.5000000000000009</v>
      </c>
      <c r="AZ83" s="162">
        <f t="shared" si="114"/>
        <v>4.38923068235664</v>
      </c>
      <c r="BA83" s="171">
        <f t="shared" si="155"/>
        <v>4.38923068235664</v>
      </c>
      <c r="BB83" s="162"/>
      <c r="BC83" s="162">
        <f t="shared" si="156"/>
        <v>1.5000000000000009</v>
      </c>
      <c r="BD83" s="162">
        <f t="shared" si="157"/>
        <v>1.5000000000000009</v>
      </c>
      <c r="BE83" s="162">
        <f t="shared" si="115"/>
        <v>4.38923068235664</v>
      </c>
      <c r="BF83" s="171">
        <f t="shared" si="158"/>
        <v>4.38923068235664</v>
      </c>
      <c r="BG83" s="162"/>
      <c r="BH83" s="162">
        <f t="shared" si="159"/>
        <v>1.5000000000000009</v>
      </c>
      <c r="BI83" s="170">
        <f t="shared" si="160"/>
        <v>1.5000000000000009</v>
      </c>
      <c r="BJ83" s="162">
        <f t="shared" si="116"/>
        <v>4.38923068235664</v>
      </c>
      <c r="BK83" s="171">
        <f t="shared" si="161"/>
        <v>4.38923068235664</v>
      </c>
      <c r="BL83" s="162"/>
      <c r="BM83" s="162">
        <f t="shared" si="162"/>
        <v>1.5000000000000009</v>
      </c>
      <c r="BN83" s="170">
        <f t="shared" si="163"/>
        <v>1.5000000000000009</v>
      </c>
      <c r="BO83" s="162">
        <f t="shared" si="117"/>
        <v>4.38923068235664</v>
      </c>
      <c r="BP83" s="171">
        <f t="shared" si="164"/>
        <v>4.38923068235664</v>
      </c>
      <c r="BQ83" s="162"/>
      <c r="BR83" s="162">
        <f t="shared" si="165"/>
        <v>1.5000000000000009</v>
      </c>
      <c r="BS83" s="162">
        <f t="shared" si="166"/>
        <v>1.5000000000000009</v>
      </c>
      <c r="BT83" s="162">
        <f t="shared" si="118"/>
        <v>4.38923068235664</v>
      </c>
      <c r="BU83" s="171">
        <f t="shared" si="167"/>
        <v>4.38923068235664</v>
      </c>
      <c r="BV83" s="162"/>
      <c r="BW83" s="162">
        <f t="shared" si="168"/>
        <v>1.5000000000000009</v>
      </c>
      <c r="BX83" s="170">
        <f t="shared" si="169"/>
        <v>1.5000000000000009</v>
      </c>
      <c r="BY83" s="162">
        <f t="shared" si="119"/>
        <v>4.38923068235664</v>
      </c>
      <c r="BZ83" s="171">
        <f t="shared" si="170"/>
        <v>4.38923068235664</v>
      </c>
      <c r="CA83" s="162"/>
      <c r="CB83" s="162">
        <f t="shared" si="171"/>
        <v>1.5000000000000009</v>
      </c>
      <c r="CC83" s="170">
        <f t="shared" si="172"/>
        <v>1.5000000000000009</v>
      </c>
      <c r="CD83" s="162">
        <f t="shared" si="120"/>
        <v>4.38923068235664</v>
      </c>
      <c r="CE83" s="171">
        <f t="shared" si="173"/>
        <v>4.38923068235664</v>
      </c>
      <c r="CF83" s="162"/>
      <c r="CG83" s="172">
        <f t="shared" si="174"/>
        <v>1.5000000000000009</v>
      </c>
      <c r="CH83" s="172">
        <f t="shared" si="175"/>
        <v>1.5000000000000009</v>
      </c>
      <c r="CI83" s="172">
        <f t="shared" si="121"/>
        <v>4.38923068235664</v>
      </c>
      <c r="CJ83" s="171">
        <f t="shared" si="176"/>
        <v>4.38923068235664</v>
      </c>
      <c r="CK83" s="172"/>
      <c r="CL83" s="162">
        <f t="shared" si="177"/>
        <v>1.5000000000000009</v>
      </c>
      <c r="CM83" s="170">
        <f t="shared" si="178"/>
        <v>1.5000000000000009</v>
      </c>
      <c r="CN83" s="162">
        <f t="shared" si="122"/>
        <v>4.38923068235664</v>
      </c>
      <c r="CO83" s="171">
        <f t="shared" si="179"/>
        <v>4.38923068235664</v>
      </c>
      <c r="CP83" s="162"/>
      <c r="CQ83" s="162">
        <f t="shared" si="180"/>
        <v>1.5000000000000009</v>
      </c>
      <c r="CR83" s="170">
        <f t="shared" si="181"/>
        <v>1.5000000000000009</v>
      </c>
      <c r="CS83" s="162">
        <f t="shared" si="123"/>
        <v>4.38923068235664</v>
      </c>
      <c r="CT83" s="171">
        <f t="shared" si="182"/>
        <v>4.38923068235664</v>
      </c>
      <c r="CU83" s="162"/>
      <c r="CV83" s="162">
        <f t="shared" si="183"/>
        <v>1.5000000000000009</v>
      </c>
      <c r="CW83" s="162">
        <f t="shared" si="184"/>
        <v>1.5000000000000009</v>
      </c>
      <c r="CX83" s="162">
        <f t="shared" si="124"/>
        <v>4.38923068235664</v>
      </c>
      <c r="CY83" s="171">
        <f t="shared" si="185"/>
        <v>4.38923068235664</v>
      </c>
      <c r="CZ83" s="162"/>
      <c r="DA83" s="162">
        <f t="shared" si="186"/>
        <v>1.5000000000000009</v>
      </c>
      <c r="DB83" s="170">
        <f t="shared" si="187"/>
        <v>1.5000000000000009</v>
      </c>
      <c r="DC83" s="162">
        <f t="shared" si="125"/>
        <v>4.38923068235664</v>
      </c>
      <c r="DD83" s="171">
        <f t="shared" si="188"/>
        <v>4.38923068235664</v>
      </c>
      <c r="DE83" s="162"/>
      <c r="DF83" s="162">
        <f t="shared" si="189"/>
        <v>1.5000000000000009</v>
      </c>
      <c r="DG83" s="170">
        <f t="shared" si="190"/>
        <v>1.5000000000000009</v>
      </c>
      <c r="DH83" s="162">
        <f t="shared" si="126"/>
        <v>4.38923068235664</v>
      </c>
      <c r="DI83" s="171">
        <f t="shared" si="191"/>
        <v>4.38923068235664</v>
      </c>
      <c r="DJ83" s="162"/>
      <c r="DK83" s="162">
        <f t="shared" si="192"/>
        <v>1.5000000000000009</v>
      </c>
      <c r="DL83" s="162">
        <f t="shared" si="193"/>
        <v>1.5000000000000009</v>
      </c>
      <c r="DM83" s="162">
        <f t="shared" si="127"/>
        <v>4.38923068235664</v>
      </c>
      <c r="DN83" s="171">
        <f t="shared" si="194"/>
        <v>4.38923068235664</v>
      </c>
      <c r="DO83" s="162"/>
      <c r="DP83" s="162">
        <f t="shared" si="195"/>
        <v>1.5000000000000009</v>
      </c>
      <c r="DQ83" s="170">
        <f t="shared" si="196"/>
        <v>1.5000000000000009</v>
      </c>
      <c r="DR83" s="162">
        <f t="shared" si="128"/>
        <v>4.38923068235664</v>
      </c>
      <c r="DS83" s="171">
        <f t="shared" si="197"/>
        <v>4.38923068235664</v>
      </c>
      <c r="DT83" s="162"/>
      <c r="DU83" s="162">
        <f t="shared" si="198"/>
        <v>1.5000000000000009</v>
      </c>
      <c r="DV83" s="170">
        <f t="shared" si="199"/>
        <v>1.5000000000000009</v>
      </c>
      <c r="DW83" s="162">
        <f t="shared" si="129"/>
        <v>4.38923068235664</v>
      </c>
      <c r="DX83" s="171">
        <f t="shared" si="200"/>
        <v>4.38923068235664</v>
      </c>
      <c r="DY83" s="162"/>
      <c r="DZ83" s="162">
        <f t="shared" si="201"/>
        <v>1.5000000000000009</v>
      </c>
      <c r="EA83" s="162">
        <f t="shared" si="202"/>
        <v>1.5000000000000009</v>
      </c>
      <c r="EB83" s="162">
        <f t="shared" si="130"/>
        <v>4.38923068235664</v>
      </c>
      <c r="EC83" s="171">
        <f t="shared" si="203"/>
        <v>4.38923068235664</v>
      </c>
      <c r="ED83" s="162"/>
      <c r="EE83" s="162">
        <f t="shared" si="204"/>
        <v>1.5000000000000009</v>
      </c>
      <c r="EF83" s="170">
        <f t="shared" si="205"/>
        <v>1.5000000000000009</v>
      </c>
      <c r="EG83" s="162">
        <f t="shared" si="131"/>
        <v>4.38923068235664</v>
      </c>
      <c r="EH83" s="171">
        <f t="shared" si="206"/>
        <v>4.38923068235664</v>
      </c>
      <c r="EI83" s="162"/>
      <c r="EJ83" s="162">
        <f t="shared" si="207"/>
        <v>1.5000000000000009</v>
      </c>
      <c r="EK83" s="170">
        <f t="shared" si="208"/>
        <v>1.5000000000000009</v>
      </c>
      <c r="EL83" s="162">
        <f t="shared" si="132"/>
        <v>4.38923068235664</v>
      </c>
      <c r="EM83" s="171">
        <f t="shared" si="209"/>
        <v>4.38923068235664</v>
      </c>
      <c r="EN83" s="162"/>
      <c r="EO83" s="162">
        <f t="shared" si="210"/>
        <v>1.5000000000000009</v>
      </c>
      <c r="EP83" s="162">
        <f t="shared" si="211"/>
        <v>1.5000000000000009</v>
      </c>
      <c r="EQ83" s="162">
        <f t="shared" si="133"/>
        <v>4.38923068235664</v>
      </c>
      <c r="ER83" s="171">
        <f t="shared" si="212"/>
        <v>4.38923068235664</v>
      </c>
      <c r="ES83" s="162"/>
      <c r="ET83" s="162">
        <f t="shared" si="213"/>
        <v>1.5000000000000009</v>
      </c>
      <c r="EU83" s="170">
        <f t="shared" si="214"/>
        <v>1.5000000000000009</v>
      </c>
      <c r="EV83" s="162">
        <f t="shared" si="134"/>
        <v>4.38923068235664</v>
      </c>
      <c r="EW83" s="171">
        <f t="shared" si="215"/>
        <v>4.38923068235664</v>
      </c>
      <c r="EX83" s="162"/>
    </row>
    <row r="84" spans="20:154" s="181" customFormat="1" x14ac:dyDescent="0.25">
      <c r="T84" s="162">
        <f t="shared" si="135"/>
        <v>1.5200000000000009</v>
      </c>
      <c r="U84" s="170">
        <f t="shared" si="136"/>
        <v>1.5200000000000009</v>
      </c>
      <c r="V84" s="162">
        <f t="shared" si="108"/>
        <v>4.3421636077965386</v>
      </c>
      <c r="W84" s="171">
        <f t="shared" si="137"/>
        <v>4.3421636077965386</v>
      </c>
      <c r="X84" s="162"/>
      <c r="Y84" s="162">
        <f t="shared" si="138"/>
        <v>1.5200000000000009</v>
      </c>
      <c r="Z84" s="162">
        <f t="shared" si="139"/>
        <v>1.5200000000000009</v>
      </c>
      <c r="AA84" s="162">
        <f t="shared" si="109"/>
        <v>4.3421636077965386</v>
      </c>
      <c r="AB84" s="171">
        <f t="shared" si="140"/>
        <v>4.3421636077965386</v>
      </c>
      <c r="AC84" s="162"/>
      <c r="AD84" s="162">
        <f t="shared" si="141"/>
        <v>1.5200000000000009</v>
      </c>
      <c r="AE84" s="170">
        <f t="shared" si="142"/>
        <v>1.5200000000000009</v>
      </c>
      <c r="AF84" s="162">
        <f t="shared" si="110"/>
        <v>4.3421636077965386</v>
      </c>
      <c r="AG84" s="171">
        <f t="shared" si="143"/>
        <v>4.3421636077965386</v>
      </c>
      <c r="AH84" s="162"/>
      <c r="AI84" s="162">
        <f t="shared" si="144"/>
        <v>1.5200000000000009</v>
      </c>
      <c r="AJ84" s="170">
        <f t="shared" si="145"/>
        <v>1.5200000000000009</v>
      </c>
      <c r="AK84" s="162">
        <f t="shared" si="111"/>
        <v>4.3421636077965386</v>
      </c>
      <c r="AL84" s="171">
        <f t="shared" si="146"/>
        <v>4.3421636077965386</v>
      </c>
      <c r="AM84" s="162"/>
      <c r="AN84" s="162">
        <f t="shared" si="147"/>
        <v>1.5200000000000009</v>
      </c>
      <c r="AO84" s="162">
        <f t="shared" si="148"/>
        <v>1.5200000000000009</v>
      </c>
      <c r="AP84" s="162">
        <f t="shared" si="112"/>
        <v>4.3421636077965386</v>
      </c>
      <c r="AQ84" s="171">
        <f t="shared" si="149"/>
        <v>4.3421636077965386</v>
      </c>
      <c r="AR84" s="162"/>
      <c r="AS84" s="162">
        <f t="shared" si="150"/>
        <v>1.5200000000000009</v>
      </c>
      <c r="AT84" s="170">
        <f t="shared" si="151"/>
        <v>1.5200000000000009</v>
      </c>
      <c r="AU84" s="162">
        <f t="shared" si="113"/>
        <v>4.3421636077965386</v>
      </c>
      <c r="AV84" s="171">
        <f t="shared" si="152"/>
        <v>4.3421636077965386</v>
      </c>
      <c r="AW84" s="162"/>
      <c r="AX84" s="162">
        <f t="shared" si="153"/>
        <v>1.5200000000000009</v>
      </c>
      <c r="AY84" s="170">
        <f t="shared" si="154"/>
        <v>1.5200000000000009</v>
      </c>
      <c r="AZ84" s="162">
        <f t="shared" si="114"/>
        <v>4.3421636077965386</v>
      </c>
      <c r="BA84" s="171">
        <f t="shared" si="155"/>
        <v>4.3421636077965386</v>
      </c>
      <c r="BB84" s="162"/>
      <c r="BC84" s="162">
        <f t="shared" si="156"/>
        <v>1.5200000000000009</v>
      </c>
      <c r="BD84" s="162">
        <f t="shared" si="157"/>
        <v>1.5200000000000009</v>
      </c>
      <c r="BE84" s="162">
        <f t="shared" si="115"/>
        <v>4.3421636077965386</v>
      </c>
      <c r="BF84" s="171">
        <f t="shared" si="158"/>
        <v>4.3421636077965386</v>
      </c>
      <c r="BG84" s="162"/>
      <c r="BH84" s="162">
        <f t="shared" si="159"/>
        <v>1.5200000000000009</v>
      </c>
      <c r="BI84" s="170">
        <f t="shared" si="160"/>
        <v>1.5200000000000009</v>
      </c>
      <c r="BJ84" s="162">
        <f t="shared" si="116"/>
        <v>4.3421636077965386</v>
      </c>
      <c r="BK84" s="171">
        <f t="shared" si="161"/>
        <v>4.3421636077965386</v>
      </c>
      <c r="BL84" s="162"/>
      <c r="BM84" s="162">
        <f t="shared" si="162"/>
        <v>1.5200000000000009</v>
      </c>
      <c r="BN84" s="170">
        <f t="shared" si="163"/>
        <v>1.5200000000000009</v>
      </c>
      <c r="BO84" s="162">
        <f t="shared" si="117"/>
        <v>4.3421636077965386</v>
      </c>
      <c r="BP84" s="171">
        <f t="shared" si="164"/>
        <v>4.3421636077965386</v>
      </c>
      <c r="BQ84" s="162"/>
      <c r="BR84" s="162">
        <f t="shared" si="165"/>
        <v>1.5200000000000009</v>
      </c>
      <c r="BS84" s="162">
        <f t="shared" si="166"/>
        <v>1.5200000000000009</v>
      </c>
      <c r="BT84" s="162">
        <f t="shared" si="118"/>
        <v>4.3421636077965386</v>
      </c>
      <c r="BU84" s="171">
        <f t="shared" si="167"/>
        <v>4.3421636077965386</v>
      </c>
      <c r="BV84" s="162"/>
      <c r="BW84" s="162">
        <f t="shared" si="168"/>
        <v>1.5200000000000009</v>
      </c>
      <c r="BX84" s="170">
        <f t="shared" si="169"/>
        <v>1.5200000000000009</v>
      </c>
      <c r="BY84" s="162">
        <f t="shared" si="119"/>
        <v>4.3421636077965386</v>
      </c>
      <c r="BZ84" s="171">
        <f t="shared" si="170"/>
        <v>4.3421636077965386</v>
      </c>
      <c r="CA84" s="162"/>
      <c r="CB84" s="162">
        <f t="shared" si="171"/>
        <v>1.5200000000000009</v>
      </c>
      <c r="CC84" s="170">
        <f t="shared" si="172"/>
        <v>1.5200000000000009</v>
      </c>
      <c r="CD84" s="162">
        <f t="shared" si="120"/>
        <v>4.3421636077965386</v>
      </c>
      <c r="CE84" s="171">
        <f t="shared" si="173"/>
        <v>4.3421636077965386</v>
      </c>
      <c r="CF84" s="162"/>
      <c r="CG84" s="172">
        <f t="shared" si="174"/>
        <v>1.5200000000000009</v>
      </c>
      <c r="CH84" s="172">
        <f t="shared" si="175"/>
        <v>1.5200000000000009</v>
      </c>
      <c r="CI84" s="172">
        <f t="shared" si="121"/>
        <v>4.3421636077965386</v>
      </c>
      <c r="CJ84" s="171">
        <f t="shared" si="176"/>
        <v>4.3421636077965386</v>
      </c>
      <c r="CK84" s="172"/>
      <c r="CL84" s="162">
        <f t="shared" si="177"/>
        <v>1.5200000000000009</v>
      </c>
      <c r="CM84" s="170">
        <f t="shared" si="178"/>
        <v>1.5200000000000009</v>
      </c>
      <c r="CN84" s="162">
        <f t="shared" si="122"/>
        <v>4.3421636077965386</v>
      </c>
      <c r="CO84" s="171">
        <f t="shared" si="179"/>
        <v>4.3421636077965386</v>
      </c>
      <c r="CP84" s="162"/>
      <c r="CQ84" s="162">
        <f t="shared" si="180"/>
        <v>1.5200000000000009</v>
      </c>
      <c r="CR84" s="170">
        <f t="shared" si="181"/>
        <v>1.5200000000000009</v>
      </c>
      <c r="CS84" s="162">
        <f t="shared" si="123"/>
        <v>4.3421636077965386</v>
      </c>
      <c r="CT84" s="171">
        <f t="shared" si="182"/>
        <v>4.3421636077965386</v>
      </c>
      <c r="CU84" s="162"/>
      <c r="CV84" s="162">
        <f t="shared" si="183"/>
        <v>1.5200000000000009</v>
      </c>
      <c r="CW84" s="162">
        <f t="shared" si="184"/>
        <v>1.5200000000000009</v>
      </c>
      <c r="CX84" s="162">
        <f t="shared" si="124"/>
        <v>4.3421636077965386</v>
      </c>
      <c r="CY84" s="171">
        <f t="shared" si="185"/>
        <v>4.3421636077965386</v>
      </c>
      <c r="CZ84" s="162"/>
      <c r="DA84" s="162">
        <f t="shared" si="186"/>
        <v>1.5200000000000009</v>
      </c>
      <c r="DB84" s="170">
        <f t="shared" si="187"/>
        <v>1.5200000000000009</v>
      </c>
      <c r="DC84" s="162">
        <f t="shared" si="125"/>
        <v>4.3421636077965386</v>
      </c>
      <c r="DD84" s="171">
        <f t="shared" si="188"/>
        <v>4.3421636077965386</v>
      </c>
      <c r="DE84" s="162"/>
      <c r="DF84" s="162">
        <f t="shared" si="189"/>
        <v>1.5200000000000009</v>
      </c>
      <c r="DG84" s="170">
        <f t="shared" si="190"/>
        <v>1.5200000000000009</v>
      </c>
      <c r="DH84" s="162">
        <f t="shared" si="126"/>
        <v>4.3421636077965386</v>
      </c>
      <c r="DI84" s="171">
        <f t="shared" si="191"/>
        <v>4.3421636077965386</v>
      </c>
      <c r="DJ84" s="162"/>
      <c r="DK84" s="162">
        <f t="shared" si="192"/>
        <v>1.5200000000000009</v>
      </c>
      <c r="DL84" s="162">
        <f t="shared" si="193"/>
        <v>1.5200000000000009</v>
      </c>
      <c r="DM84" s="162">
        <f t="shared" si="127"/>
        <v>4.3421636077965386</v>
      </c>
      <c r="DN84" s="171">
        <f t="shared" si="194"/>
        <v>4.3421636077965386</v>
      </c>
      <c r="DO84" s="162"/>
      <c r="DP84" s="162">
        <f t="shared" si="195"/>
        <v>1.5200000000000009</v>
      </c>
      <c r="DQ84" s="170">
        <f t="shared" si="196"/>
        <v>1.5200000000000009</v>
      </c>
      <c r="DR84" s="162">
        <f t="shared" si="128"/>
        <v>4.3421636077965386</v>
      </c>
      <c r="DS84" s="171">
        <f t="shared" si="197"/>
        <v>4.3421636077965386</v>
      </c>
      <c r="DT84" s="162"/>
      <c r="DU84" s="162">
        <f t="shared" si="198"/>
        <v>1.5200000000000009</v>
      </c>
      <c r="DV84" s="170">
        <f t="shared" si="199"/>
        <v>1.5200000000000009</v>
      </c>
      <c r="DW84" s="162">
        <f t="shared" si="129"/>
        <v>4.3421636077965386</v>
      </c>
      <c r="DX84" s="171">
        <f t="shared" si="200"/>
        <v>4.3421636077965386</v>
      </c>
      <c r="DY84" s="162"/>
      <c r="DZ84" s="162">
        <f t="shared" si="201"/>
        <v>1.5200000000000009</v>
      </c>
      <c r="EA84" s="162">
        <f t="shared" si="202"/>
        <v>1.5200000000000009</v>
      </c>
      <c r="EB84" s="162">
        <f t="shared" si="130"/>
        <v>4.3421636077965386</v>
      </c>
      <c r="EC84" s="171">
        <f t="shared" si="203"/>
        <v>4.3421636077965386</v>
      </c>
      <c r="ED84" s="162"/>
      <c r="EE84" s="162">
        <f t="shared" si="204"/>
        <v>1.5200000000000009</v>
      </c>
      <c r="EF84" s="170">
        <f t="shared" si="205"/>
        <v>1.5200000000000009</v>
      </c>
      <c r="EG84" s="162">
        <f t="shared" si="131"/>
        <v>4.3421636077965386</v>
      </c>
      <c r="EH84" s="171">
        <f t="shared" si="206"/>
        <v>4.3421636077965386</v>
      </c>
      <c r="EI84" s="162"/>
      <c r="EJ84" s="162">
        <f t="shared" si="207"/>
        <v>1.5200000000000009</v>
      </c>
      <c r="EK84" s="170">
        <f t="shared" si="208"/>
        <v>1.5200000000000009</v>
      </c>
      <c r="EL84" s="162">
        <f t="shared" si="132"/>
        <v>4.3421636077965386</v>
      </c>
      <c r="EM84" s="171">
        <f t="shared" si="209"/>
        <v>4.3421636077965386</v>
      </c>
      <c r="EN84" s="162"/>
      <c r="EO84" s="162">
        <f t="shared" si="210"/>
        <v>1.5200000000000009</v>
      </c>
      <c r="EP84" s="162">
        <f t="shared" si="211"/>
        <v>1.5200000000000009</v>
      </c>
      <c r="EQ84" s="162">
        <f t="shared" si="133"/>
        <v>4.3421636077965386</v>
      </c>
      <c r="ER84" s="171">
        <f t="shared" si="212"/>
        <v>4.3421636077965386</v>
      </c>
      <c r="ES84" s="162"/>
      <c r="ET84" s="162">
        <f t="shared" si="213"/>
        <v>1.5200000000000009</v>
      </c>
      <c r="EU84" s="170">
        <f t="shared" si="214"/>
        <v>1.5200000000000009</v>
      </c>
      <c r="EV84" s="162">
        <f t="shared" si="134"/>
        <v>4.3421636077965386</v>
      </c>
      <c r="EW84" s="171">
        <f t="shared" si="215"/>
        <v>4.3421636077965386</v>
      </c>
      <c r="EX84" s="162"/>
    </row>
    <row r="85" spans="20:154" s="181" customFormat="1" x14ac:dyDescent="0.25">
      <c r="T85" s="162">
        <f t="shared" si="135"/>
        <v>1.5400000000000009</v>
      </c>
      <c r="U85" s="170">
        <f t="shared" si="136"/>
        <v>1.5400000000000009</v>
      </c>
      <c r="V85" s="162">
        <f t="shared" si="108"/>
        <v>4.2923880205085885</v>
      </c>
      <c r="W85" s="171">
        <f t="shared" si="137"/>
        <v>4.2923880205085885</v>
      </c>
      <c r="X85" s="162"/>
      <c r="Y85" s="162">
        <f t="shared" si="138"/>
        <v>1.5400000000000009</v>
      </c>
      <c r="Z85" s="162">
        <f t="shared" si="139"/>
        <v>1.5400000000000009</v>
      </c>
      <c r="AA85" s="162">
        <f t="shared" si="109"/>
        <v>4.2923880205085885</v>
      </c>
      <c r="AB85" s="171">
        <f t="shared" si="140"/>
        <v>4.2923880205085885</v>
      </c>
      <c r="AC85" s="162"/>
      <c r="AD85" s="162">
        <f t="shared" si="141"/>
        <v>1.5400000000000009</v>
      </c>
      <c r="AE85" s="170">
        <f t="shared" si="142"/>
        <v>1.5400000000000009</v>
      </c>
      <c r="AF85" s="162">
        <f t="shared" si="110"/>
        <v>4.2923880205085885</v>
      </c>
      <c r="AG85" s="171">
        <f t="shared" si="143"/>
        <v>4.2923880205085885</v>
      </c>
      <c r="AH85" s="162"/>
      <c r="AI85" s="162">
        <f t="shared" si="144"/>
        <v>1.5400000000000009</v>
      </c>
      <c r="AJ85" s="170">
        <f t="shared" si="145"/>
        <v>1.5400000000000009</v>
      </c>
      <c r="AK85" s="162">
        <f t="shared" si="111"/>
        <v>4.2923880205085885</v>
      </c>
      <c r="AL85" s="171">
        <f t="shared" si="146"/>
        <v>4.2923880205085885</v>
      </c>
      <c r="AM85" s="162"/>
      <c r="AN85" s="162">
        <f t="shared" si="147"/>
        <v>1.5400000000000009</v>
      </c>
      <c r="AO85" s="162">
        <f t="shared" si="148"/>
        <v>1.5400000000000009</v>
      </c>
      <c r="AP85" s="162">
        <f t="shared" si="112"/>
        <v>4.2923880205085885</v>
      </c>
      <c r="AQ85" s="171">
        <f t="shared" si="149"/>
        <v>4.2923880205085885</v>
      </c>
      <c r="AR85" s="162"/>
      <c r="AS85" s="162">
        <f t="shared" si="150"/>
        <v>1.5400000000000009</v>
      </c>
      <c r="AT85" s="170">
        <f t="shared" si="151"/>
        <v>1.5400000000000009</v>
      </c>
      <c r="AU85" s="162">
        <f t="shared" si="113"/>
        <v>4.2923880205085885</v>
      </c>
      <c r="AV85" s="171">
        <f t="shared" si="152"/>
        <v>4.2923880205085885</v>
      </c>
      <c r="AW85" s="162"/>
      <c r="AX85" s="162">
        <f t="shared" si="153"/>
        <v>1.5400000000000009</v>
      </c>
      <c r="AY85" s="170">
        <f t="shared" si="154"/>
        <v>1.5400000000000009</v>
      </c>
      <c r="AZ85" s="162">
        <f t="shared" si="114"/>
        <v>4.2923880205085885</v>
      </c>
      <c r="BA85" s="171">
        <f t="shared" si="155"/>
        <v>4.2923880205085885</v>
      </c>
      <c r="BB85" s="162"/>
      <c r="BC85" s="162">
        <f t="shared" si="156"/>
        <v>1.5400000000000009</v>
      </c>
      <c r="BD85" s="162">
        <f t="shared" si="157"/>
        <v>1.5400000000000009</v>
      </c>
      <c r="BE85" s="162">
        <f t="shared" si="115"/>
        <v>4.2923880205085885</v>
      </c>
      <c r="BF85" s="171">
        <f t="shared" si="158"/>
        <v>4.2923880205085885</v>
      </c>
      <c r="BG85" s="162"/>
      <c r="BH85" s="162">
        <f t="shared" si="159"/>
        <v>1.5400000000000009</v>
      </c>
      <c r="BI85" s="170">
        <f t="shared" si="160"/>
        <v>1.5400000000000009</v>
      </c>
      <c r="BJ85" s="162">
        <f t="shared" si="116"/>
        <v>4.2923880205085885</v>
      </c>
      <c r="BK85" s="171">
        <f t="shared" si="161"/>
        <v>4.2923880205085885</v>
      </c>
      <c r="BL85" s="162"/>
      <c r="BM85" s="162">
        <f t="shared" si="162"/>
        <v>1.5400000000000009</v>
      </c>
      <c r="BN85" s="170">
        <f t="shared" si="163"/>
        <v>1.5400000000000009</v>
      </c>
      <c r="BO85" s="162">
        <f t="shared" si="117"/>
        <v>4.2923880205085885</v>
      </c>
      <c r="BP85" s="171">
        <f t="shared" si="164"/>
        <v>4.2923880205085885</v>
      </c>
      <c r="BQ85" s="162"/>
      <c r="BR85" s="162">
        <f t="shared" si="165"/>
        <v>1.5400000000000009</v>
      </c>
      <c r="BS85" s="162">
        <f t="shared" si="166"/>
        <v>1.5400000000000009</v>
      </c>
      <c r="BT85" s="162">
        <f t="shared" si="118"/>
        <v>4.2923880205085885</v>
      </c>
      <c r="BU85" s="171">
        <f t="shared" si="167"/>
        <v>4.2923880205085885</v>
      </c>
      <c r="BV85" s="162"/>
      <c r="BW85" s="162">
        <f t="shared" si="168"/>
        <v>1.5400000000000009</v>
      </c>
      <c r="BX85" s="170">
        <f t="shared" si="169"/>
        <v>1.5400000000000009</v>
      </c>
      <c r="BY85" s="162">
        <f t="shared" si="119"/>
        <v>4.2923880205085885</v>
      </c>
      <c r="BZ85" s="171">
        <f t="shared" si="170"/>
        <v>4.2923880205085885</v>
      </c>
      <c r="CA85" s="162"/>
      <c r="CB85" s="162">
        <f t="shared" si="171"/>
        <v>1.5400000000000009</v>
      </c>
      <c r="CC85" s="170">
        <f t="shared" si="172"/>
        <v>1.5400000000000009</v>
      </c>
      <c r="CD85" s="162">
        <f t="shared" si="120"/>
        <v>4.2923880205085885</v>
      </c>
      <c r="CE85" s="171">
        <f t="shared" si="173"/>
        <v>4.2923880205085885</v>
      </c>
      <c r="CF85" s="162"/>
      <c r="CG85" s="172">
        <f t="shared" si="174"/>
        <v>1.5400000000000009</v>
      </c>
      <c r="CH85" s="172">
        <f t="shared" si="175"/>
        <v>1.5400000000000009</v>
      </c>
      <c r="CI85" s="172">
        <f t="shared" si="121"/>
        <v>4.2923880205085885</v>
      </c>
      <c r="CJ85" s="171">
        <f t="shared" si="176"/>
        <v>4.2923880205085885</v>
      </c>
      <c r="CK85" s="172"/>
      <c r="CL85" s="162">
        <f t="shared" si="177"/>
        <v>1.5400000000000009</v>
      </c>
      <c r="CM85" s="170">
        <f t="shared" si="178"/>
        <v>1.5400000000000009</v>
      </c>
      <c r="CN85" s="162">
        <f t="shared" si="122"/>
        <v>4.2923880205085885</v>
      </c>
      <c r="CO85" s="171">
        <f t="shared" si="179"/>
        <v>4.2923880205085885</v>
      </c>
      <c r="CP85" s="162"/>
      <c r="CQ85" s="162">
        <f t="shared" si="180"/>
        <v>1.5400000000000009</v>
      </c>
      <c r="CR85" s="170">
        <f t="shared" si="181"/>
        <v>1.5400000000000009</v>
      </c>
      <c r="CS85" s="162">
        <f t="shared" si="123"/>
        <v>4.2923880205085885</v>
      </c>
      <c r="CT85" s="171">
        <f t="shared" si="182"/>
        <v>4.2923880205085885</v>
      </c>
      <c r="CU85" s="162"/>
      <c r="CV85" s="162">
        <f t="shared" si="183"/>
        <v>1.5400000000000009</v>
      </c>
      <c r="CW85" s="162">
        <f t="shared" si="184"/>
        <v>1.5400000000000009</v>
      </c>
      <c r="CX85" s="162">
        <f t="shared" si="124"/>
        <v>4.2923880205085885</v>
      </c>
      <c r="CY85" s="171">
        <f t="shared" si="185"/>
        <v>4.2923880205085885</v>
      </c>
      <c r="CZ85" s="162"/>
      <c r="DA85" s="162">
        <f t="shared" si="186"/>
        <v>1.5400000000000009</v>
      </c>
      <c r="DB85" s="170">
        <f t="shared" si="187"/>
        <v>1.5400000000000009</v>
      </c>
      <c r="DC85" s="162">
        <f t="shared" si="125"/>
        <v>4.2923880205085885</v>
      </c>
      <c r="DD85" s="171">
        <f t="shared" si="188"/>
        <v>4.2923880205085885</v>
      </c>
      <c r="DE85" s="162"/>
      <c r="DF85" s="162">
        <f t="shared" si="189"/>
        <v>1.5400000000000009</v>
      </c>
      <c r="DG85" s="170">
        <f t="shared" si="190"/>
        <v>1.5400000000000009</v>
      </c>
      <c r="DH85" s="162">
        <f t="shared" si="126"/>
        <v>4.2923880205085885</v>
      </c>
      <c r="DI85" s="171">
        <f t="shared" si="191"/>
        <v>4.2923880205085885</v>
      </c>
      <c r="DJ85" s="162"/>
      <c r="DK85" s="162">
        <f t="shared" si="192"/>
        <v>1.5400000000000009</v>
      </c>
      <c r="DL85" s="162">
        <f t="shared" si="193"/>
        <v>1.5400000000000009</v>
      </c>
      <c r="DM85" s="162">
        <f t="shared" si="127"/>
        <v>4.2923880205085885</v>
      </c>
      <c r="DN85" s="171">
        <f t="shared" si="194"/>
        <v>4.2923880205085885</v>
      </c>
      <c r="DO85" s="162"/>
      <c r="DP85" s="162">
        <f t="shared" si="195"/>
        <v>1.5400000000000009</v>
      </c>
      <c r="DQ85" s="170">
        <f t="shared" si="196"/>
        <v>1.5400000000000009</v>
      </c>
      <c r="DR85" s="162">
        <f t="shared" si="128"/>
        <v>4.2923880205085885</v>
      </c>
      <c r="DS85" s="171">
        <f t="shared" si="197"/>
        <v>4.2923880205085885</v>
      </c>
      <c r="DT85" s="162"/>
      <c r="DU85" s="162">
        <f t="shared" si="198"/>
        <v>1.5400000000000009</v>
      </c>
      <c r="DV85" s="170">
        <f t="shared" si="199"/>
        <v>1.5400000000000009</v>
      </c>
      <c r="DW85" s="162">
        <f t="shared" si="129"/>
        <v>4.2923880205085885</v>
      </c>
      <c r="DX85" s="171">
        <f t="shared" si="200"/>
        <v>4.2923880205085885</v>
      </c>
      <c r="DY85" s="162"/>
      <c r="DZ85" s="162">
        <f t="shared" si="201"/>
        <v>1.5400000000000009</v>
      </c>
      <c r="EA85" s="162">
        <f t="shared" si="202"/>
        <v>1.5400000000000009</v>
      </c>
      <c r="EB85" s="162">
        <f t="shared" si="130"/>
        <v>4.2923880205085885</v>
      </c>
      <c r="EC85" s="171">
        <f t="shared" si="203"/>
        <v>4.2923880205085885</v>
      </c>
      <c r="ED85" s="162"/>
      <c r="EE85" s="162">
        <f t="shared" si="204"/>
        <v>1.5400000000000009</v>
      </c>
      <c r="EF85" s="170">
        <f t="shared" si="205"/>
        <v>1.5400000000000009</v>
      </c>
      <c r="EG85" s="162">
        <f t="shared" si="131"/>
        <v>4.2923880205085885</v>
      </c>
      <c r="EH85" s="171">
        <f t="shared" si="206"/>
        <v>4.2923880205085885</v>
      </c>
      <c r="EI85" s="162"/>
      <c r="EJ85" s="162">
        <f t="shared" si="207"/>
        <v>1.5400000000000009</v>
      </c>
      <c r="EK85" s="170">
        <f t="shared" si="208"/>
        <v>1.5400000000000009</v>
      </c>
      <c r="EL85" s="162">
        <f t="shared" si="132"/>
        <v>4.2923880205085885</v>
      </c>
      <c r="EM85" s="171">
        <f t="shared" si="209"/>
        <v>4.2923880205085885</v>
      </c>
      <c r="EN85" s="162"/>
      <c r="EO85" s="162">
        <f t="shared" si="210"/>
        <v>1.5400000000000009</v>
      </c>
      <c r="EP85" s="162">
        <f t="shared" si="211"/>
        <v>1.5400000000000009</v>
      </c>
      <c r="EQ85" s="162">
        <f t="shared" si="133"/>
        <v>4.2923880205085885</v>
      </c>
      <c r="ER85" s="171">
        <f t="shared" si="212"/>
        <v>4.2923880205085885</v>
      </c>
      <c r="ES85" s="162"/>
      <c r="ET85" s="162">
        <f t="shared" si="213"/>
        <v>1.5400000000000009</v>
      </c>
      <c r="EU85" s="170">
        <f t="shared" si="214"/>
        <v>1.5400000000000009</v>
      </c>
      <c r="EV85" s="162">
        <f t="shared" si="134"/>
        <v>4.2923880205085885</v>
      </c>
      <c r="EW85" s="171">
        <f t="shared" si="215"/>
        <v>4.2923880205085885</v>
      </c>
      <c r="EX85" s="162"/>
    </row>
    <row r="86" spans="20:154" s="181" customFormat="1" x14ac:dyDescent="0.25">
      <c r="T86" s="162">
        <f t="shared" si="135"/>
        <v>1.5600000000000009</v>
      </c>
      <c r="U86" s="170">
        <f t="shared" si="136"/>
        <v>1.5600000000000009</v>
      </c>
      <c r="V86" s="162">
        <f t="shared" si="108"/>
        <v>4.2399039204927975</v>
      </c>
      <c r="W86" s="171">
        <f t="shared" si="137"/>
        <v>4.2399039204927975</v>
      </c>
      <c r="X86" s="162"/>
      <c r="Y86" s="162">
        <f t="shared" si="138"/>
        <v>1.5600000000000009</v>
      </c>
      <c r="Z86" s="162">
        <f t="shared" si="139"/>
        <v>1.5600000000000009</v>
      </c>
      <c r="AA86" s="162">
        <f t="shared" si="109"/>
        <v>4.2399039204927975</v>
      </c>
      <c r="AB86" s="171">
        <f t="shared" si="140"/>
        <v>4.2399039204927975</v>
      </c>
      <c r="AC86" s="162"/>
      <c r="AD86" s="162">
        <f t="shared" si="141"/>
        <v>1.5600000000000009</v>
      </c>
      <c r="AE86" s="170">
        <f t="shared" si="142"/>
        <v>1.5600000000000009</v>
      </c>
      <c r="AF86" s="162">
        <f t="shared" si="110"/>
        <v>4.2399039204927975</v>
      </c>
      <c r="AG86" s="171">
        <f t="shared" si="143"/>
        <v>4.2399039204927975</v>
      </c>
      <c r="AH86" s="162"/>
      <c r="AI86" s="162">
        <f t="shared" si="144"/>
        <v>1.5600000000000009</v>
      </c>
      <c r="AJ86" s="170">
        <f t="shared" si="145"/>
        <v>1.5600000000000009</v>
      </c>
      <c r="AK86" s="162">
        <f t="shared" si="111"/>
        <v>4.2399039204927975</v>
      </c>
      <c r="AL86" s="171">
        <f t="shared" si="146"/>
        <v>4.2399039204927975</v>
      </c>
      <c r="AM86" s="162"/>
      <c r="AN86" s="162">
        <f t="shared" si="147"/>
        <v>1.5600000000000009</v>
      </c>
      <c r="AO86" s="162">
        <f t="shared" si="148"/>
        <v>1.5600000000000009</v>
      </c>
      <c r="AP86" s="162">
        <f t="shared" si="112"/>
        <v>4.2399039204927975</v>
      </c>
      <c r="AQ86" s="171">
        <f t="shared" si="149"/>
        <v>4.2399039204927975</v>
      </c>
      <c r="AR86" s="162"/>
      <c r="AS86" s="162">
        <f t="shared" si="150"/>
        <v>1.5600000000000009</v>
      </c>
      <c r="AT86" s="170">
        <f t="shared" si="151"/>
        <v>1.5600000000000009</v>
      </c>
      <c r="AU86" s="162">
        <f t="shared" si="113"/>
        <v>4.2399039204927975</v>
      </c>
      <c r="AV86" s="171">
        <f t="shared" si="152"/>
        <v>4.2399039204927975</v>
      </c>
      <c r="AW86" s="162"/>
      <c r="AX86" s="162">
        <f t="shared" si="153"/>
        <v>1.5600000000000009</v>
      </c>
      <c r="AY86" s="170">
        <f t="shared" si="154"/>
        <v>1.5600000000000009</v>
      </c>
      <c r="AZ86" s="162">
        <f t="shared" si="114"/>
        <v>4.2399039204927975</v>
      </c>
      <c r="BA86" s="171">
        <f t="shared" si="155"/>
        <v>4.2399039204927975</v>
      </c>
      <c r="BB86" s="162"/>
      <c r="BC86" s="162">
        <f t="shared" si="156"/>
        <v>1.5600000000000009</v>
      </c>
      <c r="BD86" s="162">
        <f t="shared" si="157"/>
        <v>1.5600000000000009</v>
      </c>
      <c r="BE86" s="162">
        <f t="shared" si="115"/>
        <v>4.2399039204927975</v>
      </c>
      <c r="BF86" s="171">
        <f t="shared" si="158"/>
        <v>4.2399039204927975</v>
      </c>
      <c r="BG86" s="162"/>
      <c r="BH86" s="162">
        <f t="shared" si="159"/>
        <v>1.5600000000000009</v>
      </c>
      <c r="BI86" s="170">
        <f t="shared" si="160"/>
        <v>1.5600000000000009</v>
      </c>
      <c r="BJ86" s="162">
        <f t="shared" si="116"/>
        <v>4.2399039204927975</v>
      </c>
      <c r="BK86" s="171">
        <f t="shared" si="161"/>
        <v>4.2399039204927975</v>
      </c>
      <c r="BL86" s="162"/>
      <c r="BM86" s="162">
        <f t="shared" si="162"/>
        <v>1.5600000000000009</v>
      </c>
      <c r="BN86" s="170">
        <f t="shared" si="163"/>
        <v>1.5600000000000009</v>
      </c>
      <c r="BO86" s="162">
        <f t="shared" si="117"/>
        <v>4.2399039204927975</v>
      </c>
      <c r="BP86" s="171">
        <f t="shared" si="164"/>
        <v>4.2399039204927975</v>
      </c>
      <c r="BQ86" s="162"/>
      <c r="BR86" s="162">
        <f t="shared" si="165"/>
        <v>1.5600000000000009</v>
      </c>
      <c r="BS86" s="162">
        <f t="shared" si="166"/>
        <v>1.5600000000000009</v>
      </c>
      <c r="BT86" s="162">
        <f t="shared" si="118"/>
        <v>4.2399039204927975</v>
      </c>
      <c r="BU86" s="171">
        <f t="shared" si="167"/>
        <v>4.2399039204927975</v>
      </c>
      <c r="BV86" s="162"/>
      <c r="BW86" s="162">
        <f t="shared" si="168"/>
        <v>1.5600000000000009</v>
      </c>
      <c r="BX86" s="170">
        <f t="shared" si="169"/>
        <v>1.5600000000000009</v>
      </c>
      <c r="BY86" s="162">
        <f t="shared" si="119"/>
        <v>4.2399039204927975</v>
      </c>
      <c r="BZ86" s="171">
        <f t="shared" si="170"/>
        <v>4.2399039204927975</v>
      </c>
      <c r="CA86" s="162"/>
      <c r="CB86" s="162">
        <f t="shared" si="171"/>
        <v>1.5600000000000009</v>
      </c>
      <c r="CC86" s="170">
        <f t="shared" si="172"/>
        <v>1.5600000000000009</v>
      </c>
      <c r="CD86" s="162">
        <f t="shared" si="120"/>
        <v>4.2399039204927975</v>
      </c>
      <c r="CE86" s="171">
        <f t="shared" si="173"/>
        <v>4.2399039204927975</v>
      </c>
      <c r="CF86" s="162"/>
      <c r="CG86" s="172">
        <f t="shared" si="174"/>
        <v>1.5600000000000009</v>
      </c>
      <c r="CH86" s="172">
        <f t="shared" si="175"/>
        <v>1.5600000000000009</v>
      </c>
      <c r="CI86" s="172">
        <f t="shared" si="121"/>
        <v>4.2399039204927975</v>
      </c>
      <c r="CJ86" s="171">
        <f t="shared" si="176"/>
        <v>4.2399039204927975</v>
      </c>
      <c r="CK86" s="172"/>
      <c r="CL86" s="162">
        <f t="shared" si="177"/>
        <v>1.5600000000000009</v>
      </c>
      <c r="CM86" s="170">
        <f t="shared" si="178"/>
        <v>1.5600000000000009</v>
      </c>
      <c r="CN86" s="162">
        <f t="shared" si="122"/>
        <v>4.2399039204927975</v>
      </c>
      <c r="CO86" s="171">
        <f t="shared" si="179"/>
        <v>4.2399039204927975</v>
      </c>
      <c r="CP86" s="162"/>
      <c r="CQ86" s="162">
        <f t="shared" si="180"/>
        <v>1.5600000000000009</v>
      </c>
      <c r="CR86" s="170">
        <f t="shared" si="181"/>
        <v>1.5600000000000009</v>
      </c>
      <c r="CS86" s="162">
        <f t="shared" si="123"/>
        <v>4.2399039204927975</v>
      </c>
      <c r="CT86" s="171">
        <f t="shared" si="182"/>
        <v>4.2399039204927975</v>
      </c>
      <c r="CU86" s="162"/>
      <c r="CV86" s="162">
        <f t="shared" si="183"/>
        <v>1.5600000000000009</v>
      </c>
      <c r="CW86" s="162">
        <f t="shared" si="184"/>
        <v>1.5600000000000009</v>
      </c>
      <c r="CX86" s="162">
        <f t="shared" si="124"/>
        <v>4.2399039204927975</v>
      </c>
      <c r="CY86" s="171">
        <f t="shared" si="185"/>
        <v>4.2399039204927975</v>
      </c>
      <c r="CZ86" s="162"/>
      <c r="DA86" s="162">
        <f t="shared" si="186"/>
        <v>1.5600000000000009</v>
      </c>
      <c r="DB86" s="170">
        <f t="shared" si="187"/>
        <v>1.5600000000000009</v>
      </c>
      <c r="DC86" s="162">
        <f t="shared" si="125"/>
        <v>4.2399039204927975</v>
      </c>
      <c r="DD86" s="171">
        <f t="shared" si="188"/>
        <v>4.2399039204927975</v>
      </c>
      <c r="DE86" s="162"/>
      <c r="DF86" s="162">
        <f t="shared" si="189"/>
        <v>1.5600000000000009</v>
      </c>
      <c r="DG86" s="170">
        <f t="shared" si="190"/>
        <v>1.5600000000000009</v>
      </c>
      <c r="DH86" s="162">
        <f t="shared" si="126"/>
        <v>4.2399039204927975</v>
      </c>
      <c r="DI86" s="171">
        <f t="shared" si="191"/>
        <v>4.2399039204927975</v>
      </c>
      <c r="DJ86" s="162"/>
      <c r="DK86" s="162">
        <f t="shared" si="192"/>
        <v>1.5600000000000009</v>
      </c>
      <c r="DL86" s="162">
        <f t="shared" si="193"/>
        <v>1.5600000000000009</v>
      </c>
      <c r="DM86" s="162">
        <f t="shared" si="127"/>
        <v>4.2399039204927975</v>
      </c>
      <c r="DN86" s="171">
        <f t="shared" si="194"/>
        <v>4.2399039204927975</v>
      </c>
      <c r="DO86" s="162"/>
      <c r="DP86" s="162">
        <f t="shared" si="195"/>
        <v>1.5600000000000009</v>
      </c>
      <c r="DQ86" s="170">
        <f t="shared" si="196"/>
        <v>1.5600000000000009</v>
      </c>
      <c r="DR86" s="162">
        <f t="shared" si="128"/>
        <v>4.2399039204927975</v>
      </c>
      <c r="DS86" s="171">
        <f t="shared" si="197"/>
        <v>4.2399039204927975</v>
      </c>
      <c r="DT86" s="162"/>
      <c r="DU86" s="162">
        <f t="shared" si="198"/>
        <v>1.5600000000000009</v>
      </c>
      <c r="DV86" s="170">
        <f t="shared" si="199"/>
        <v>1.5600000000000009</v>
      </c>
      <c r="DW86" s="162">
        <f t="shared" si="129"/>
        <v>4.2399039204927975</v>
      </c>
      <c r="DX86" s="171">
        <f t="shared" si="200"/>
        <v>4.2399039204927975</v>
      </c>
      <c r="DY86" s="162"/>
      <c r="DZ86" s="162">
        <f t="shared" si="201"/>
        <v>1.5600000000000009</v>
      </c>
      <c r="EA86" s="162">
        <f t="shared" si="202"/>
        <v>1.5600000000000009</v>
      </c>
      <c r="EB86" s="162">
        <f t="shared" si="130"/>
        <v>4.2399039204927975</v>
      </c>
      <c r="EC86" s="171">
        <f t="shared" si="203"/>
        <v>4.2399039204927975</v>
      </c>
      <c r="ED86" s="162"/>
      <c r="EE86" s="162">
        <f t="shared" si="204"/>
        <v>1.5600000000000009</v>
      </c>
      <c r="EF86" s="170">
        <f t="shared" si="205"/>
        <v>1.5600000000000009</v>
      </c>
      <c r="EG86" s="162">
        <f t="shared" si="131"/>
        <v>4.2399039204927975</v>
      </c>
      <c r="EH86" s="171">
        <f t="shared" si="206"/>
        <v>4.2399039204927975</v>
      </c>
      <c r="EI86" s="162"/>
      <c r="EJ86" s="162">
        <f t="shared" si="207"/>
        <v>1.5600000000000009</v>
      </c>
      <c r="EK86" s="170">
        <f t="shared" si="208"/>
        <v>1.5600000000000009</v>
      </c>
      <c r="EL86" s="162">
        <f t="shared" si="132"/>
        <v>4.2399039204927975</v>
      </c>
      <c r="EM86" s="171">
        <f t="shared" si="209"/>
        <v>4.2399039204927975</v>
      </c>
      <c r="EN86" s="162"/>
      <c r="EO86" s="162">
        <f t="shared" si="210"/>
        <v>1.5600000000000009</v>
      </c>
      <c r="EP86" s="162">
        <f t="shared" si="211"/>
        <v>1.5600000000000009</v>
      </c>
      <c r="EQ86" s="162">
        <f t="shared" si="133"/>
        <v>4.2399039204927975</v>
      </c>
      <c r="ER86" s="171">
        <f t="shared" si="212"/>
        <v>4.2399039204927975</v>
      </c>
      <c r="ES86" s="162"/>
      <c r="ET86" s="162">
        <f t="shared" si="213"/>
        <v>1.5600000000000009</v>
      </c>
      <c r="EU86" s="170">
        <f t="shared" si="214"/>
        <v>1.5600000000000009</v>
      </c>
      <c r="EV86" s="162">
        <f t="shared" si="134"/>
        <v>4.2399039204927975</v>
      </c>
      <c r="EW86" s="171">
        <f t="shared" si="215"/>
        <v>4.2399039204927975</v>
      </c>
      <c r="EX86" s="162"/>
    </row>
    <row r="87" spans="20:154" s="181" customFormat="1" x14ac:dyDescent="0.25">
      <c r="T87" s="162">
        <f t="shared" si="135"/>
        <v>1.580000000000001</v>
      </c>
      <c r="U87" s="170">
        <f t="shared" si="136"/>
        <v>1.580000000000001</v>
      </c>
      <c r="V87" s="162">
        <f t="shared" si="108"/>
        <v>4.1847113077491533</v>
      </c>
      <c r="W87" s="171">
        <f t="shared" si="137"/>
        <v>4.1847113077491533</v>
      </c>
      <c r="X87" s="162"/>
      <c r="Y87" s="162">
        <f t="shared" si="138"/>
        <v>1.580000000000001</v>
      </c>
      <c r="Z87" s="162">
        <f t="shared" si="139"/>
        <v>1.580000000000001</v>
      </c>
      <c r="AA87" s="162">
        <f t="shared" si="109"/>
        <v>4.1847113077491533</v>
      </c>
      <c r="AB87" s="171">
        <f t="shared" si="140"/>
        <v>4.1847113077491533</v>
      </c>
      <c r="AC87" s="162"/>
      <c r="AD87" s="162">
        <f t="shared" si="141"/>
        <v>1.580000000000001</v>
      </c>
      <c r="AE87" s="170">
        <f t="shared" si="142"/>
        <v>1.580000000000001</v>
      </c>
      <c r="AF87" s="162">
        <f t="shared" si="110"/>
        <v>4.1847113077491533</v>
      </c>
      <c r="AG87" s="171">
        <f t="shared" si="143"/>
        <v>4.1847113077491533</v>
      </c>
      <c r="AH87" s="162"/>
      <c r="AI87" s="162">
        <f t="shared" si="144"/>
        <v>1.580000000000001</v>
      </c>
      <c r="AJ87" s="170">
        <f t="shared" si="145"/>
        <v>1.580000000000001</v>
      </c>
      <c r="AK87" s="162">
        <f t="shared" si="111"/>
        <v>4.1847113077491533</v>
      </c>
      <c r="AL87" s="171">
        <f t="shared" si="146"/>
        <v>4.1847113077491533</v>
      </c>
      <c r="AM87" s="162"/>
      <c r="AN87" s="162">
        <f t="shared" si="147"/>
        <v>1.580000000000001</v>
      </c>
      <c r="AO87" s="162">
        <f t="shared" si="148"/>
        <v>1.580000000000001</v>
      </c>
      <c r="AP87" s="162">
        <f t="shared" si="112"/>
        <v>4.1847113077491533</v>
      </c>
      <c r="AQ87" s="171">
        <f t="shared" si="149"/>
        <v>4.1847113077491533</v>
      </c>
      <c r="AR87" s="162"/>
      <c r="AS87" s="162">
        <f t="shared" si="150"/>
        <v>1.580000000000001</v>
      </c>
      <c r="AT87" s="170">
        <f t="shared" si="151"/>
        <v>1.580000000000001</v>
      </c>
      <c r="AU87" s="162">
        <f t="shared" si="113"/>
        <v>4.1847113077491533</v>
      </c>
      <c r="AV87" s="171">
        <f t="shared" si="152"/>
        <v>4.1847113077491533</v>
      </c>
      <c r="AW87" s="162"/>
      <c r="AX87" s="162">
        <f t="shared" si="153"/>
        <v>1.580000000000001</v>
      </c>
      <c r="AY87" s="170">
        <f t="shared" si="154"/>
        <v>1.580000000000001</v>
      </c>
      <c r="AZ87" s="162">
        <f t="shared" si="114"/>
        <v>4.1847113077491533</v>
      </c>
      <c r="BA87" s="171">
        <f t="shared" si="155"/>
        <v>4.1847113077491533</v>
      </c>
      <c r="BB87" s="162"/>
      <c r="BC87" s="162">
        <f t="shared" si="156"/>
        <v>1.580000000000001</v>
      </c>
      <c r="BD87" s="162">
        <f t="shared" si="157"/>
        <v>1.580000000000001</v>
      </c>
      <c r="BE87" s="162">
        <f t="shared" si="115"/>
        <v>4.1847113077491533</v>
      </c>
      <c r="BF87" s="171">
        <f t="shared" si="158"/>
        <v>4.1847113077491533</v>
      </c>
      <c r="BG87" s="162"/>
      <c r="BH87" s="162">
        <f t="shared" si="159"/>
        <v>1.580000000000001</v>
      </c>
      <c r="BI87" s="170">
        <f t="shared" si="160"/>
        <v>1.580000000000001</v>
      </c>
      <c r="BJ87" s="162">
        <f t="shared" si="116"/>
        <v>4.1847113077491533</v>
      </c>
      <c r="BK87" s="171">
        <f t="shared" si="161"/>
        <v>4.1847113077491533</v>
      </c>
      <c r="BL87" s="162"/>
      <c r="BM87" s="162">
        <f t="shared" si="162"/>
        <v>1.580000000000001</v>
      </c>
      <c r="BN87" s="170">
        <f t="shared" si="163"/>
        <v>1.580000000000001</v>
      </c>
      <c r="BO87" s="162">
        <f t="shared" si="117"/>
        <v>4.1847113077491533</v>
      </c>
      <c r="BP87" s="171">
        <f t="shared" si="164"/>
        <v>4.1847113077491533</v>
      </c>
      <c r="BQ87" s="162"/>
      <c r="BR87" s="162">
        <f t="shared" si="165"/>
        <v>1.580000000000001</v>
      </c>
      <c r="BS87" s="162">
        <f t="shared" si="166"/>
        <v>1.580000000000001</v>
      </c>
      <c r="BT87" s="162">
        <f t="shared" si="118"/>
        <v>4.1847113077491533</v>
      </c>
      <c r="BU87" s="171">
        <f t="shared" si="167"/>
        <v>4.1847113077491533</v>
      </c>
      <c r="BV87" s="162"/>
      <c r="BW87" s="162">
        <f t="shared" si="168"/>
        <v>1.580000000000001</v>
      </c>
      <c r="BX87" s="170">
        <f t="shared" si="169"/>
        <v>1.580000000000001</v>
      </c>
      <c r="BY87" s="162">
        <f t="shared" si="119"/>
        <v>4.1847113077491533</v>
      </c>
      <c r="BZ87" s="171">
        <f t="shared" si="170"/>
        <v>4.1847113077491533</v>
      </c>
      <c r="CA87" s="162"/>
      <c r="CB87" s="162">
        <f t="shared" si="171"/>
        <v>1.580000000000001</v>
      </c>
      <c r="CC87" s="170">
        <f t="shared" si="172"/>
        <v>1.580000000000001</v>
      </c>
      <c r="CD87" s="162">
        <f t="shared" si="120"/>
        <v>4.1847113077491533</v>
      </c>
      <c r="CE87" s="171">
        <f t="shared" si="173"/>
        <v>4.1847113077491533</v>
      </c>
      <c r="CF87" s="162"/>
      <c r="CG87" s="172">
        <f t="shared" si="174"/>
        <v>1.580000000000001</v>
      </c>
      <c r="CH87" s="172">
        <f t="shared" si="175"/>
        <v>1.580000000000001</v>
      </c>
      <c r="CI87" s="172">
        <f t="shared" si="121"/>
        <v>4.1847113077491533</v>
      </c>
      <c r="CJ87" s="171">
        <f t="shared" si="176"/>
        <v>4.1847113077491533</v>
      </c>
      <c r="CK87" s="172"/>
      <c r="CL87" s="162">
        <f t="shared" si="177"/>
        <v>1.580000000000001</v>
      </c>
      <c r="CM87" s="170">
        <f t="shared" si="178"/>
        <v>1.580000000000001</v>
      </c>
      <c r="CN87" s="162">
        <f t="shared" si="122"/>
        <v>4.1847113077491533</v>
      </c>
      <c r="CO87" s="171">
        <f t="shared" si="179"/>
        <v>4.1847113077491533</v>
      </c>
      <c r="CP87" s="162"/>
      <c r="CQ87" s="162">
        <f t="shared" si="180"/>
        <v>1.580000000000001</v>
      </c>
      <c r="CR87" s="170">
        <f t="shared" si="181"/>
        <v>1.580000000000001</v>
      </c>
      <c r="CS87" s="162">
        <f t="shared" si="123"/>
        <v>4.1847113077491533</v>
      </c>
      <c r="CT87" s="171">
        <f t="shared" si="182"/>
        <v>4.1847113077491533</v>
      </c>
      <c r="CU87" s="162"/>
      <c r="CV87" s="162">
        <f t="shared" si="183"/>
        <v>1.580000000000001</v>
      </c>
      <c r="CW87" s="162">
        <f t="shared" si="184"/>
        <v>1.580000000000001</v>
      </c>
      <c r="CX87" s="162">
        <f t="shared" si="124"/>
        <v>4.1847113077491533</v>
      </c>
      <c r="CY87" s="171">
        <f t="shared" si="185"/>
        <v>4.1847113077491533</v>
      </c>
      <c r="CZ87" s="162"/>
      <c r="DA87" s="162">
        <f t="shared" si="186"/>
        <v>1.580000000000001</v>
      </c>
      <c r="DB87" s="170">
        <f t="shared" si="187"/>
        <v>1.580000000000001</v>
      </c>
      <c r="DC87" s="162">
        <f t="shared" si="125"/>
        <v>4.1847113077491533</v>
      </c>
      <c r="DD87" s="171">
        <f t="shared" si="188"/>
        <v>4.1847113077491533</v>
      </c>
      <c r="DE87" s="162"/>
      <c r="DF87" s="162">
        <f t="shared" si="189"/>
        <v>1.580000000000001</v>
      </c>
      <c r="DG87" s="170">
        <f t="shared" si="190"/>
        <v>1.580000000000001</v>
      </c>
      <c r="DH87" s="162">
        <f t="shared" si="126"/>
        <v>4.1847113077491533</v>
      </c>
      <c r="DI87" s="171">
        <f t="shared" si="191"/>
        <v>4.1847113077491533</v>
      </c>
      <c r="DJ87" s="162"/>
      <c r="DK87" s="162">
        <f t="shared" si="192"/>
        <v>1.580000000000001</v>
      </c>
      <c r="DL87" s="162">
        <f t="shared" si="193"/>
        <v>1.580000000000001</v>
      </c>
      <c r="DM87" s="162">
        <f t="shared" si="127"/>
        <v>4.1847113077491533</v>
      </c>
      <c r="DN87" s="171">
        <f t="shared" si="194"/>
        <v>4.1847113077491533</v>
      </c>
      <c r="DO87" s="162"/>
      <c r="DP87" s="162">
        <f t="shared" si="195"/>
        <v>1.580000000000001</v>
      </c>
      <c r="DQ87" s="170">
        <f t="shared" si="196"/>
        <v>1.580000000000001</v>
      </c>
      <c r="DR87" s="162">
        <f t="shared" si="128"/>
        <v>4.1847113077491533</v>
      </c>
      <c r="DS87" s="171">
        <f t="shared" si="197"/>
        <v>4.1847113077491533</v>
      </c>
      <c r="DT87" s="162"/>
      <c r="DU87" s="162">
        <f t="shared" si="198"/>
        <v>1.580000000000001</v>
      </c>
      <c r="DV87" s="170">
        <f t="shared" si="199"/>
        <v>1.580000000000001</v>
      </c>
      <c r="DW87" s="162">
        <f t="shared" si="129"/>
        <v>4.1847113077491533</v>
      </c>
      <c r="DX87" s="171">
        <f t="shared" si="200"/>
        <v>4.1847113077491533</v>
      </c>
      <c r="DY87" s="162"/>
      <c r="DZ87" s="162">
        <f t="shared" si="201"/>
        <v>1.580000000000001</v>
      </c>
      <c r="EA87" s="162">
        <f t="shared" si="202"/>
        <v>1.580000000000001</v>
      </c>
      <c r="EB87" s="162">
        <f t="shared" si="130"/>
        <v>4.1847113077491533</v>
      </c>
      <c r="EC87" s="171">
        <f t="shared" si="203"/>
        <v>4.1847113077491533</v>
      </c>
      <c r="ED87" s="162"/>
      <c r="EE87" s="162">
        <f t="shared" si="204"/>
        <v>1.580000000000001</v>
      </c>
      <c r="EF87" s="170">
        <f t="shared" si="205"/>
        <v>1.580000000000001</v>
      </c>
      <c r="EG87" s="162">
        <f t="shared" si="131"/>
        <v>4.1847113077491533</v>
      </c>
      <c r="EH87" s="171">
        <f t="shared" si="206"/>
        <v>4.1847113077491533</v>
      </c>
      <c r="EI87" s="162"/>
      <c r="EJ87" s="162">
        <f t="shared" si="207"/>
        <v>1.580000000000001</v>
      </c>
      <c r="EK87" s="170">
        <f t="shared" si="208"/>
        <v>1.580000000000001</v>
      </c>
      <c r="EL87" s="162">
        <f t="shared" si="132"/>
        <v>4.1847113077491533</v>
      </c>
      <c r="EM87" s="171">
        <f t="shared" si="209"/>
        <v>4.1847113077491533</v>
      </c>
      <c r="EN87" s="162"/>
      <c r="EO87" s="162">
        <f t="shared" si="210"/>
        <v>1.580000000000001</v>
      </c>
      <c r="EP87" s="162">
        <f t="shared" si="211"/>
        <v>1.580000000000001</v>
      </c>
      <c r="EQ87" s="162">
        <f t="shared" si="133"/>
        <v>4.1847113077491533</v>
      </c>
      <c r="ER87" s="171">
        <f t="shared" si="212"/>
        <v>4.1847113077491533</v>
      </c>
      <c r="ES87" s="162"/>
      <c r="ET87" s="162">
        <f t="shared" si="213"/>
        <v>1.580000000000001</v>
      </c>
      <c r="EU87" s="170">
        <f t="shared" si="214"/>
        <v>1.580000000000001</v>
      </c>
      <c r="EV87" s="162">
        <f t="shared" si="134"/>
        <v>4.1847113077491533</v>
      </c>
      <c r="EW87" s="171">
        <f t="shared" si="215"/>
        <v>4.1847113077491533</v>
      </c>
      <c r="EX87" s="162"/>
    </row>
    <row r="88" spans="20:154" s="181" customFormat="1" x14ac:dyDescent="0.25">
      <c r="T88" s="162">
        <f t="shared" si="135"/>
        <v>1.600000000000001</v>
      </c>
      <c r="U88" s="170">
        <f t="shared" si="136"/>
        <v>1.600000000000001</v>
      </c>
      <c r="V88" s="162">
        <f t="shared" si="108"/>
        <v>4.1268101822776631</v>
      </c>
      <c r="W88" s="171">
        <f t="shared" si="137"/>
        <v>4.1268101822776631</v>
      </c>
      <c r="X88" s="162"/>
      <c r="Y88" s="162">
        <f t="shared" si="138"/>
        <v>1.600000000000001</v>
      </c>
      <c r="Z88" s="162">
        <f t="shared" si="139"/>
        <v>1.600000000000001</v>
      </c>
      <c r="AA88" s="162">
        <f t="shared" si="109"/>
        <v>4.1268101822776631</v>
      </c>
      <c r="AB88" s="171">
        <f t="shared" si="140"/>
        <v>4.1268101822776631</v>
      </c>
      <c r="AC88" s="162"/>
      <c r="AD88" s="162">
        <f t="shared" si="141"/>
        <v>1.600000000000001</v>
      </c>
      <c r="AE88" s="170">
        <f t="shared" si="142"/>
        <v>1.600000000000001</v>
      </c>
      <c r="AF88" s="162">
        <f t="shared" si="110"/>
        <v>4.1268101822776631</v>
      </c>
      <c r="AG88" s="171">
        <f t="shared" si="143"/>
        <v>4.1268101822776631</v>
      </c>
      <c r="AH88" s="162"/>
      <c r="AI88" s="162">
        <f t="shared" si="144"/>
        <v>1.600000000000001</v>
      </c>
      <c r="AJ88" s="170">
        <f t="shared" si="145"/>
        <v>1.600000000000001</v>
      </c>
      <c r="AK88" s="162">
        <f t="shared" si="111"/>
        <v>4.1268101822776631</v>
      </c>
      <c r="AL88" s="171">
        <f t="shared" si="146"/>
        <v>4.1268101822776631</v>
      </c>
      <c r="AM88" s="162"/>
      <c r="AN88" s="162">
        <f t="shared" si="147"/>
        <v>1.600000000000001</v>
      </c>
      <c r="AO88" s="162">
        <f t="shared" si="148"/>
        <v>1.600000000000001</v>
      </c>
      <c r="AP88" s="162">
        <f t="shared" si="112"/>
        <v>4.1268101822776631</v>
      </c>
      <c r="AQ88" s="171">
        <f t="shared" si="149"/>
        <v>4.1268101822776631</v>
      </c>
      <c r="AR88" s="162"/>
      <c r="AS88" s="162">
        <f t="shared" si="150"/>
        <v>1.600000000000001</v>
      </c>
      <c r="AT88" s="170">
        <f t="shared" si="151"/>
        <v>1.600000000000001</v>
      </c>
      <c r="AU88" s="162">
        <f t="shared" si="113"/>
        <v>4.1268101822776631</v>
      </c>
      <c r="AV88" s="171">
        <f t="shared" si="152"/>
        <v>4.1268101822776631</v>
      </c>
      <c r="AW88" s="162"/>
      <c r="AX88" s="162">
        <f t="shared" si="153"/>
        <v>1.600000000000001</v>
      </c>
      <c r="AY88" s="170">
        <f t="shared" si="154"/>
        <v>1.600000000000001</v>
      </c>
      <c r="AZ88" s="162">
        <f t="shared" si="114"/>
        <v>4.1268101822776631</v>
      </c>
      <c r="BA88" s="171">
        <f t="shared" si="155"/>
        <v>4.1268101822776631</v>
      </c>
      <c r="BB88" s="162"/>
      <c r="BC88" s="162">
        <f t="shared" si="156"/>
        <v>1.600000000000001</v>
      </c>
      <c r="BD88" s="162">
        <f t="shared" si="157"/>
        <v>1.600000000000001</v>
      </c>
      <c r="BE88" s="162">
        <f t="shared" si="115"/>
        <v>4.1268101822776631</v>
      </c>
      <c r="BF88" s="171">
        <f t="shared" si="158"/>
        <v>4.1268101822776631</v>
      </c>
      <c r="BG88" s="162"/>
      <c r="BH88" s="162">
        <f t="shared" si="159"/>
        <v>1.600000000000001</v>
      </c>
      <c r="BI88" s="170">
        <f t="shared" si="160"/>
        <v>1.600000000000001</v>
      </c>
      <c r="BJ88" s="162">
        <f t="shared" si="116"/>
        <v>4.1268101822776631</v>
      </c>
      <c r="BK88" s="171">
        <f t="shared" si="161"/>
        <v>4.1268101822776631</v>
      </c>
      <c r="BL88" s="162"/>
      <c r="BM88" s="162">
        <f t="shared" si="162"/>
        <v>1.600000000000001</v>
      </c>
      <c r="BN88" s="170">
        <f t="shared" si="163"/>
        <v>1.600000000000001</v>
      </c>
      <c r="BO88" s="162">
        <f t="shared" si="117"/>
        <v>4.1268101822776631</v>
      </c>
      <c r="BP88" s="171">
        <f t="shared" si="164"/>
        <v>4.1268101822776631</v>
      </c>
      <c r="BQ88" s="162"/>
      <c r="BR88" s="162">
        <f t="shared" si="165"/>
        <v>1.600000000000001</v>
      </c>
      <c r="BS88" s="162">
        <f t="shared" si="166"/>
        <v>1.600000000000001</v>
      </c>
      <c r="BT88" s="162">
        <f t="shared" si="118"/>
        <v>4.1268101822776631</v>
      </c>
      <c r="BU88" s="171">
        <f t="shared" si="167"/>
        <v>4.1268101822776631</v>
      </c>
      <c r="BV88" s="162"/>
      <c r="BW88" s="162">
        <f t="shared" si="168"/>
        <v>1.600000000000001</v>
      </c>
      <c r="BX88" s="170">
        <f t="shared" si="169"/>
        <v>1.600000000000001</v>
      </c>
      <c r="BY88" s="162">
        <f t="shared" si="119"/>
        <v>4.1268101822776631</v>
      </c>
      <c r="BZ88" s="171">
        <f t="shared" si="170"/>
        <v>4.1268101822776631</v>
      </c>
      <c r="CA88" s="162"/>
      <c r="CB88" s="162">
        <f t="shared" si="171"/>
        <v>1.600000000000001</v>
      </c>
      <c r="CC88" s="170">
        <f t="shared" si="172"/>
        <v>1.600000000000001</v>
      </c>
      <c r="CD88" s="162">
        <f t="shared" si="120"/>
        <v>4.1268101822776631</v>
      </c>
      <c r="CE88" s="171">
        <f t="shared" si="173"/>
        <v>4.1268101822776631</v>
      </c>
      <c r="CF88" s="162"/>
      <c r="CG88" s="172">
        <f t="shared" si="174"/>
        <v>1.600000000000001</v>
      </c>
      <c r="CH88" s="172">
        <f t="shared" si="175"/>
        <v>1.600000000000001</v>
      </c>
      <c r="CI88" s="172">
        <f t="shared" si="121"/>
        <v>4.1268101822776631</v>
      </c>
      <c r="CJ88" s="171">
        <f t="shared" si="176"/>
        <v>4.1268101822776631</v>
      </c>
      <c r="CK88" s="172"/>
      <c r="CL88" s="162">
        <f t="shared" si="177"/>
        <v>1.600000000000001</v>
      </c>
      <c r="CM88" s="170">
        <f t="shared" si="178"/>
        <v>1.600000000000001</v>
      </c>
      <c r="CN88" s="162">
        <f t="shared" si="122"/>
        <v>4.1268101822776631</v>
      </c>
      <c r="CO88" s="171">
        <f t="shared" si="179"/>
        <v>4.1268101822776631</v>
      </c>
      <c r="CP88" s="162"/>
      <c r="CQ88" s="162">
        <f t="shared" si="180"/>
        <v>1.600000000000001</v>
      </c>
      <c r="CR88" s="170">
        <f t="shared" si="181"/>
        <v>1.600000000000001</v>
      </c>
      <c r="CS88" s="162">
        <f t="shared" si="123"/>
        <v>4.1268101822776631</v>
      </c>
      <c r="CT88" s="171">
        <f t="shared" si="182"/>
        <v>4.1268101822776631</v>
      </c>
      <c r="CU88" s="162"/>
      <c r="CV88" s="162">
        <f t="shared" si="183"/>
        <v>1.600000000000001</v>
      </c>
      <c r="CW88" s="162">
        <f t="shared" si="184"/>
        <v>1.600000000000001</v>
      </c>
      <c r="CX88" s="162">
        <f t="shared" si="124"/>
        <v>4.1268101822776631</v>
      </c>
      <c r="CY88" s="171">
        <f t="shared" si="185"/>
        <v>4.1268101822776631</v>
      </c>
      <c r="CZ88" s="162"/>
      <c r="DA88" s="162">
        <f t="shared" si="186"/>
        <v>1.600000000000001</v>
      </c>
      <c r="DB88" s="170">
        <f t="shared" si="187"/>
        <v>1.600000000000001</v>
      </c>
      <c r="DC88" s="162">
        <f t="shared" si="125"/>
        <v>4.1268101822776631</v>
      </c>
      <c r="DD88" s="171">
        <f t="shared" si="188"/>
        <v>4.1268101822776631</v>
      </c>
      <c r="DE88" s="162"/>
      <c r="DF88" s="162">
        <f t="shared" si="189"/>
        <v>1.600000000000001</v>
      </c>
      <c r="DG88" s="170">
        <f t="shared" si="190"/>
        <v>1.600000000000001</v>
      </c>
      <c r="DH88" s="162">
        <f t="shared" si="126"/>
        <v>4.1268101822776631</v>
      </c>
      <c r="DI88" s="171">
        <f t="shared" si="191"/>
        <v>4.1268101822776631</v>
      </c>
      <c r="DJ88" s="162"/>
      <c r="DK88" s="162">
        <f t="shared" si="192"/>
        <v>1.600000000000001</v>
      </c>
      <c r="DL88" s="162">
        <f t="shared" si="193"/>
        <v>1.600000000000001</v>
      </c>
      <c r="DM88" s="162">
        <f t="shared" si="127"/>
        <v>4.1268101822776631</v>
      </c>
      <c r="DN88" s="171">
        <f t="shared" si="194"/>
        <v>4.1268101822776631</v>
      </c>
      <c r="DO88" s="162"/>
      <c r="DP88" s="162">
        <f t="shared" si="195"/>
        <v>1.600000000000001</v>
      </c>
      <c r="DQ88" s="170">
        <f t="shared" si="196"/>
        <v>1.600000000000001</v>
      </c>
      <c r="DR88" s="162">
        <f t="shared" si="128"/>
        <v>4.1268101822776631</v>
      </c>
      <c r="DS88" s="171">
        <f t="shared" si="197"/>
        <v>4.1268101822776631</v>
      </c>
      <c r="DT88" s="162"/>
      <c r="DU88" s="162">
        <f t="shared" si="198"/>
        <v>1.600000000000001</v>
      </c>
      <c r="DV88" s="170">
        <f t="shared" si="199"/>
        <v>1.600000000000001</v>
      </c>
      <c r="DW88" s="162">
        <f t="shared" si="129"/>
        <v>4.1268101822776631</v>
      </c>
      <c r="DX88" s="171">
        <f t="shared" si="200"/>
        <v>4.1268101822776631</v>
      </c>
      <c r="DY88" s="162"/>
      <c r="DZ88" s="162">
        <f t="shared" si="201"/>
        <v>1.600000000000001</v>
      </c>
      <c r="EA88" s="162">
        <f t="shared" si="202"/>
        <v>1.600000000000001</v>
      </c>
      <c r="EB88" s="162">
        <f t="shared" si="130"/>
        <v>4.1268101822776631</v>
      </c>
      <c r="EC88" s="171">
        <f t="shared" si="203"/>
        <v>4.1268101822776631</v>
      </c>
      <c r="ED88" s="162"/>
      <c r="EE88" s="162">
        <f t="shared" si="204"/>
        <v>1.600000000000001</v>
      </c>
      <c r="EF88" s="170">
        <f t="shared" si="205"/>
        <v>1.600000000000001</v>
      </c>
      <c r="EG88" s="162">
        <f t="shared" si="131"/>
        <v>4.1268101822776631</v>
      </c>
      <c r="EH88" s="171">
        <f t="shared" si="206"/>
        <v>4.1268101822776631</v>
      </c>
      <c r="EI88" s="162"/>
      <c r="EJ88" s="162">
        <f t="shared" si="207"/>
        <v>1.600000000000001</v>
      </c>
      <c r="EK88" s="170">
        <f t="shared" si="208"/>
        <v>1.600000000000001</v>
      </c>
      <c r="EL88" s="162">
        <f t="shared" si="132"/>
        <v>4.1268101822776631</v>
      </c>
      <c r="EM88" s="171">
        <f t="shared" si="209"/>
        <v>4.1268101822776631</v>
      </c>
      <c r="EN88" s="162"/>
      <c r="EO88" s="162">
        <f t="shared" si="210"/>
        <v>1.600000000000001</v>
      </c>
      <c r="EP88" s="162">
        <f t="shared" si="211"/>
        <v>1.600000000000001</v>
      </c>
      <c r="EQ88" s="162">
        <f t="shared" si="133"/>
        <v>4.1268101822776631</v>
      </c>
      <c r="ER88" s="171">
        <f t="shared" si="212"/>
        <v>4.1268101822776631</v>
      </c>
      <c r="ES88" s="162"/>
      <c r="ET88" s="162">
        <f t="shared" si="213"/>
        <v>1.600000000000001</v>
      </c>
      <c r="EU88" s="170">
        <f t="shared" si="214"/>
        <v>1.600000000000001</v>
      </c>
      <c r="EV88" s="162">
        <f t="shared" si="134"/>
        <v>4.1268101822776631</v>
      </c>
      <c r="EW88" s="171">
        <f t="shared" si="215"/>
        <v>4.1268101822776631</v>
      </c>
      <c r="EX88" s="162"/>
    </row>
    <row r="89" spans="20:154" s="181" customFormat="1" x14ac:dyDescent="0.25">
      <c r="T89" s="162">
        <f t="shared" si="135"/>
        <v>1.620000000000001</v>
      </c>
      <c r="U89" s="170">
        <f t="shared" si="136"/>
        <v>1.620000000000001</v>
      </c>
      <c r="V89" s="162">
        <f t="shared" si="108"/>
        <v>4.0662005440783302</v>
      </c>
      <c r="W89" s="171">
        <f t="shared" si="137"/>
        <v>4.0662005440783302</v>
      </c>
      <c r="X89" s="162"/>
      <c r="Y89" s="162">
        <f t="shared" si="138"/>
        <v>1.620000000000001</v>
      </c>
      <c r="Z89" s="162">
        <f t="shared" si="139"/>
        <v>1.620000000000001</v>
      </c>
      <c r="AA89" s="162">
        <f t="shared" si="109"/>
        <v>4.0662005440783302</v>
      </c>
      <c r="AB89" s="171">
        <f t="shared" si="140"/>
        <v>4.0662005440783302</v>
      </c>
      <c r="AC89" s="162"/>
      <c r="AD89" s="162">
        <f t="shared" si="141"/>
        <v>1.620000000000001</v>
      </c>
      <c r="AE89" s="170">
        <f t="shared" si="142"/>
        <v>1.620000000000001</v>
      </c>
      <c r="AF89" s="162">
        <f t="shared" si="110"/>
        <v>4.0662005440783302</v>
      </c>
      <c r="AG89" s="171">
        <f t="shared" si="143"/>
        <v>4.0662005440783302</v>
      </c>
      <c r="AH89" s="162"/>
      <c r="AI89" s="162">
        <f t="shared" si="144"/>
        <v>1.620000000000001</v>
      </c>
      <c r="AJ89" s="170">
        <f t="shared" si="145"/>
        <v>1.620000000000001</v>
      </c>
      <c r="AK89" s="162">
        <f t="shared" si="111"/>
        <v>4.0662005440783302</v>
      </c>
      <c r="AL89" s="171">
        <f t="shared" si="146"/>
        <v>4.0662005440783302</v>
      </c>
      <c r="AM89" s="162"/>
      <c r="AN89" s="162">
        <f t="shared" si="147"/>
        <v>1.620000000000001</v>
      </c>
      <c r="AO89" s="162">
        <f t="shared" si="148"/>
        <v>1.620000000000001</v>
      </c>
      <c r="AP89" s="162">
        <f t="shared" si="112"/>
        <v>4.0662005440783302</v>
      </c>
      <c r="AQ89" s="171">
        <f t="shared" si="149"/>
        <v>4.0662005440783302</v>
      </c>
      <c r="AR89" s="162"/>
      <c r="AS89" s="162">
        <f t="shared" si="150"/>
        <v>1.620000000000001</v>
      </c>
      <c r="AT89" s="170">
        <f t="shared" si="151"/>
        <v>1.620000000000001</v>
      </c>
      <c r="AU89" s="162">
        <f t="shared" si="113"/>
        <v>4.0662005440783302</v>
      </c>
      <c r="AV89" s="171">
        <f t="shared" si="152"/>
        <v>4.0662005440783302</v>
      </c>
      <c r="AW89" s="162"/>
      <c r="AX89" s="162">
        <f t="shared" si="153"/>
        <v>1.620000000000001</v>
      </c>
      <c r="AY89" s="170">
        <f t="shared" si="154"/>
        <v>1.620000000000001</v>
      </c>
      <c r="AZ89" s="162">
        <f t="shared" si="114"/>
        <v>4.0662005440783302</v>
      </c>
      <c r="BA89" s="171">
        <f t="shared" si="155"/>
        <v>4.0662005440783302</v>
      </c>
      <c r="BB89" s="162"/>
      <c r="BC89" s="162">
        <f t="shared" si="156"/>
        <v>1.620000000000001</v>
      </c>
      <c r="BD89" s="162">
        <f t="shared" si="157"/>
        <v>1.620000000000001</v>
      </c>
      <c r="BE89" s="162">
        <f t="shared" si="115"/>
        <v>4.0662005440783302</v>
      </c>
      <c r="BF89" s="171">
        <f t="shared" si="158"/>
        <v>4.0662005440783302</v>
      </c>
      <c r="BG89" s="162"/>
      <c r="BH89" s="162">
        <f t="shared" si="159"/>
        <v>1.620000000000001</v>
      </c>
      <c r="BI89" s="170">
        <f t="shared" si="160"/>
        <v>1.620000000000001</v>
      </c>
      <c r="BJ89" s="162">
        <f t="shared" si="116"/>
        <v>4.0662005440783302</v>
      </c>
      <c r="BK89" s="171">
        <f t="shared" si="161"/>
        <v>4.0662005440783302</v>
      </c>
      <c r="BL89" s="162"/>
      <c r="BM89" s="162">
        <f t="shared" si="162"/>
        <v>1.620000000000001</v>
      </c>
      <c r="BN89" s="170">
        <f t="shared" si="163"/>
        <v>1.620000000000001</v>
      </c>
      <c r="BO89" s="162">
        <f t="shared" si="117"/>
        <v>4.0662005440783302</v>
      </c>
      <c r="BP89" s="171">
        <f t="shared" si="164"/>
        <v>4.0662005440783302</v>
      </c>
      <c r="BQ89" s="162"/>
      <c r="BR89" s="162">
        <f t="shared" si="165"/>
        <v>1.620000000000001</v>
      </c>
      <c r="BS89" s="162">
        <f t="shared" si="166"/>
        <v>1.620000000000001</v>
      </c>
      <c r="BT89" s="162">
        <f t="shared" si="118"/>
        <v>4.0662005440783302</v>
      </c>
      <c r="BU89" s="171">
        <f t="shared" si="167"/>
        <v>4.0662005440783302</v>
      </c>
      <c r="BV89" s="162"/>
      <c r="BW89" s="162">
        <f t="shared" si="168"/>
        <v>1.620000000000001</v>
      </c>
      <c r="BX89" s="170">
        <f t="shared" si="169"/>
        <v>1.620000000000001</v>
      </c>
      <c r="BY89" s="162">
        <f t="shared" si="119"/>
        <v>4.0662005440783302</v>
      </c>
      <c r="BZ89" s="171">
        <f t="shared" si="170"/>
        <v>4.0662005440783302</v>
      </c>
      <c r="CA89" s="162"/>
      <c r="CB89" s="162">
        <f t="shared" si="171"/>
        <v>1.620000000000001</v>
      </c>
      <c r="CC89" s="170">
        <f t="shared" si="172"/>
        <v>1.620000000000001</v>
      </c>
      <c r="CD89" s="162">
        <f t="shared" si="120"/>
        <v>4.0662005440783302</v>
      </c>
      <c r="CE89" s="171">
        <f t="shared" si="173"/>
        <v>4.0662005440783302</v>
      </c>
      <c r="CF89" s="162"/>
      <c r="CG89" s="172">
        <f t="shared" si="174"/>
        <v>1.620000000000001</v>
      </c>
      <c r="CH89" s="172">
        <f t="shared" si="175"/>
        <v>1.620000000000001</v>
      </c>
      <c r="CI89" s="172">
        <f t="shared" si="121"/>
        <v>4.0662005440783302</v>
      </c>
      <c r="CJ89" s="171">
        <f t="shared" si="176"/>
        <v>4.0662005440783302</v>
      </c>
      <c r="CK89" s="172"/>
      <c r="CL89" s="162">
        <f t="shared" si="177"/>
        <v>1.620000000000001</v>
      </c>
      <c r="CM89" s="170">
        <f t="shared" si="178"/>
        <v>1.620000000000001</v>
      </c>
      <c r="CN89" s="162">
        <f t="shared" si="122"/>
        <v>4.0662005440783302</v>
      </c>
      <c r="CO89" s="171">
        <f t="shared" si="179"/>
        <v>4.0662005440783302</v>
      </c>
      <c r="CP89" s="162"/>
      <c r="CQ89" s="162">
        <f t="shared" si="180"/>
        <v>1.620000000000001</v>
      </c>
      <c r="CR89" s="170">
        <f t="shared" si="181"/>
        <v>1.620000000000001</v>
      </c>
      <c r="CS89" s="162">
        <f t="shared" si="123"/>
        <v>4.0662005440783302</v>
      </c>
      <c r="CT89" s="171">
        <f t="shared" si="182"/>
        <v>4.0662005440783302</v>
      </c>
      <c r="CU89" s="162"/>
      <c r="CV89" s="162">
        <f t="shared" si="183"/>
        <v>1.620000000000001</v>
      </c>
      <c r="CW89" s="162">
        <f t="shared" si="184"/>
        <v>1.620000000000001</v>
      </c>
      <c r="CX89" s="162">
        <f t="shared" si="124"/>
        <v>4.0662005440783302</v>
      </c>
      <c r="CY89" s="171">
        <f t="shared" si="185"/>
        <v>4.0662005440783302</v>
      </c>
      <c r="CZ89" s="162"/>
      <c r="DA89" s="162">
        <f t="shared" si="186"/>
        <v>1.620000000000001</v>
      </c>
      <c r="DB89" s="170">
        <f t="shared" si="187"/>
        <v>1.620000000000001</v>
      </c>
      <c r="DC89" s="162">
        <f t="shared" si="125"/>
        <v>4.0662005440783302</v>
      </c>
      <c r="DD89" s="171">
        <f t="shared" si="188"/>
        <v>4.0662005440783302</v>
      </c>
      <c r="DE89" s="162"/>
      <c r="DF89" s="162">
        <f t="shared" si="189"/>
        <v>1.620000000000001</v>
      </c>
      <c r="DG89" s="170">
        <f t="shared" si="190"/>
        <v>1.620000000000001</v>
      </c>
      <c r="DH89" s="162">
        <f t="shared" si="126"/>
        <v>4.0662005440783302</v>
      </c>
      <c r="DI89" s="171">
        <f t="shared" si="191"/>
        <v>4.0662005440783302</v>
      </c>
      <c r="DJ89" s="162"/>
      <c r="DK89" s="162">
        <f t="shared" si="192"/>
        <v>1.620000000000001</v>
      </c>
      <c r="DL89" s="162">
        <f t="shared" si="193"/>
        <v>1.620000000000001</v>
      </c>
      <c r="DM89" s="162">
        <f t="shared" si="127"/>
        <v>4.0662005440783302</v>
      </c>
      <c r="DN89" s="171">
        <f t="shared" si="194"/>
        <v>4.0662005440783302</v>
      </c>
      <c r="DO89" s="162"/>
      <c r="DP89" s="162">
        <f t="shared" si="195"/>
        <v>1.620000000000001</v>
      </c>
      <c r="DQ89" s="170">
        <f t="shared" si="196"/>
        <v>1.620000000000001</v>
      </c>
      <c r="DR89" s="162">
        <f t="shared" si="128"/>
        <v>4.0662005440783302</v>
      </c>
      <c r="DS89" s="171">
        <f t="shared" si="197"/>
        <v>4.0662005440783302</v>
      </c>
      <c r="DT89" s="162"/>
      <c r="DU89" s="162">
        <f t="shared" si="198"/>
        <v>1.620000000000001</v>
      </c>
      <c r="DV89" s="170">
        <f t="shared" si="199"/>
        <v>1.620000000000001</v>
      </c>
      <c r="DW89" s="162">
        <f t="shared" si="129"/>
        <v>4.0662005440783302</v>
      </c>
      <c r="DX89" s="171">
        <f t="shared" si="200"/>
        <v>4.0662005440783302</v>
      </c>
      <c r="DY89" s="162"/>
      <c r="DZ89" s="162">
        <f t="shared" si="201"/>
        <v>1.620000000000001</v>
      </c>
      <c r="EA89" s="162">
        <f t="shared" si="202"/>
        <v>1.620000000000001</v>
      </c>
      <c r="EB89" s="162">
        <f t="shared" si="130"/>
        <v>4.0662005440783302</v>
      </c>
      <c r="EC89" s="171">
        <f t="shared" si="203"/>
        <v>4.0662005440783302</v>
      </c>
      <c r="ED89" s="162"/>
      <c r="EE89" s="162">
        <f t="shared" si="204"/>
        <v>1.620000000000001</v>
      </c>
      <c r="EF89" s="170">
        <f t="shared" si="205"/>
        <v>1.620000000000001</v>
      </c>
      <c r="EG89" s="162">
        <f t="shared" si="131"/>
        <v>4.0662005440783302</v>
      </c>
      <c r="EH89" s="171">
        <f t="shared" si="206"/>
        <v>4.0662005440783302</v>
      </c>
      <c r="EI89" s="162"/>
      <c r="EJ89" s="162">
        <f t="shared" si="207"/>
        <v>1.620000000000001</v>
      </c>
      <c r="EK89" s="170">
        <f t="shared" si="208"/>
        <v>1.620000000000001</v>
      </c>
      <c r="EL89" s="162">
        <f t="shared" si="132"/>
        <v>4.0662005440783302</v>
      </c>
      <c r="EM89" s="171">
        <f t="shared" si="209"/>
        <v>4.0662005440783302</v>
      </c>
      <c r="EN89" s="162"/>
      <c r="EO89" s="162">
        <f t="shared" si="210"/>
        <v>1.620000000000001</v>
      </c>
      <c r="EP89" s="162">
        <f t="shared" si="211"/>
        <v>1.620000000000001</v>
      </c>
      <c r="EQ89" s="162">
        <f t="shared" si="133"/>
        <v>4.0662005440783302</v>
      </c>
      <c r="ER89" s="171">
        <f t="shared" si="212"/>
        <v>4.0662005440783302</v>
      </c>
      <c r="ES89" s="162"/>
      <c r="ET89" s="162">
        <f t="shared" si="213"/>
        <v>1.620000000000001</v>
      </c>
      <c r="EU89" s="170">
        <f t="shared" si="214"/>
        <v>1.620000000000001</v>
      </c>
      <c r="EV89" s="162">
        <f t="shared" si="134"/>
        <v>4.0662005440783302</v>
      </c>
      <c r="EW89" s="171">
        <f t="shared" si="215"/>
        <v>4.0662005440783302</v>
      </c>
      <c r="EX89" s="162"/>
    </row>
    <row r="90" spans="20:154" s="181" customFormat="1" x14ac:dyDescent="0.25">
      <c r="T90" s="162">
        <f t="shared" si="135"/>
        <v>1.640000000000001</v>
      </c>
      <c r="U90" s="170">
        <f t="shared" si="136"/>
        <v>1.640000000000001</v>
      </c>
      <c r="V90" s="162">
        <f t="shared" si="108"/>
        <v>4.0028823931511459</v>
      </c>
      <c r="W90" s="171">
        <f t="shared" si="137"/>
        <v>4.0028823931511459</v>
      </c>
      <c r="X90" s="162"/>
      <c r="Y90" s="162">
        <f t="shared" si="138"/>
        <v>1.640000000000001</v>
      </c>
      <c r="Z90" s="162">
        <f t="shared" si="139"/>
        <v>1.640000000000001</v>
      </c>
      <c r="AA90" s="162">
        <f t="shared" si="109"/>
        <v>4.0028823931511459</v>
      </c>
      <c r="AB90" s="171">
        <f t="shared" si="140"/>
        <v>4.0028823931511459</v>
      </c>
      <c r="AC90" s="162"/>
      <c r="AD90" s="162">
        <f t="shared" si="141"/>
        <v>1.640000000000001</v>
      </c>
      <c r="AE90" s="170">
        <f t="shared" si="142"/>
        <v>1.640000000000001</v>
      </c>
      <c r="AF90" s="162">
        <f t="shared" si="110"/>
        <v>4.0028823931511459</v>
      </c>
      <c r="AG90" s="171">
        <f t="shared" si="143"/>
        <v>4.0028823931511459</v>
      </c>
      <c r="AH90" s="162"/>
      <c r="AI90" s="162">
        <f t="shared" si="144"/>
        <v>1.640000000000001</v>
      </c>
      <c r="AJ90" s="170">
        <f t="shared" si="145"/>
        <v>1.640000000000001</v>
      </c>
      <c r="AK90" s="162">
        <f t="shared" si="111"/>
        <v>4.0028823931511459</v>
      </c>
      <c r="AL90" s="171">
        <f t="shared" si="146"/>
        <v>4.0028823931511459</v>
      </c>
      <c r="AM90" s="162"/>
      <c r="AN90" s="162">
        <f t="shared" si="147"/>
        <v>1.640000000000001</v>
      </c>
      <c r="AO90" s="162">
        <f t="shared" si="148"/>
        <v>1.640000000000001</v>
      </c>
      <c r="AP90" s="162">
        <f t="shared" si="112"/>
        <v>4.0028823931511459</v>
      </c>
      <c r="AQ90" s="171">
        <f t="shared" si="149"/>
        <v>4.0028823931511459</v>
      </c>
      <c r="AR90" s="162"/>
      <c r="AS90" s="162">
        <f t="shared" si="150"/>
        <v>1.640000000000001</v>
      </c>
      <c r="AT90" s="170">
        <f t="shared" si="151"/>
        <v>1.640000000000001</v>
      </c>
      <c r="AU90" s="162">
        <f t="shared" si="113"/>
        <v>4.0028823931511459</v>
      </c>
      <c r="AV90" s="171">
        <f t="shared" si="152"/>
        <v>4.0028823931511459</v>
      </c>
      <c r="AW90" s="162"/>
      <c r="AX90" s="162">
        <f t="shared" si="153"/>
        <v>1.640000000000001</v>
      </c>
      <c r="AY90" s="170">
        <f t="shared" si="154"/>
        <v>1.640000000000001</v>
      </c>
      <c r="AZ90" s="162">
        <f t="shared" si="114"/>
        <v>4.0028823931511459</v>
      </c>
      <c r="BA90" s="171">
        <f t="shared" si="155"/>
        <v>4.0028823931511459</v>
      </c>
      <c r="BB90" s="162"/>
      <c r="BC90" s="162">
        <f t="shared" si="156"/>
        <v>1.640000000000001</v>
      </c>
      <c r="BD90" s="162">
        <f t="shared" si="157"/>
        <v>1.640000000000001</v>
      </c>
      <c r="BE90" s="162">
        <f t="shared" si="115"/>
        <v>4.0028823931511459</v>
      </c>
      <c r="BF90" s="171">
        <f t="shared" si="158"/>
        <v>4.0028823931511459</v>
      </c>
      <c r="BG90" s="162"/>
      <c r="BH90" s="162">
        <f t="shared" si="159"/>
        <v>1.640000000000001</v>
      </c>
      <c r="BI90" s="170">
        <f t="shared" si="160"/>
        <v>1.640000000000001</v>
      </c>
      <c r="BJ90" s="162">
        <f t="shared" si="116"/>
        <v>4.0028823931511459</v>
      </c>
      <c r="BK90" s="171">
        <f t="shared" si="161"/>
        <v>4.0028823931511459</v>
      </c>
      <c r="BL90" s="162"/>
      <c r="BM90" s="162">
        <f t="shared" si="162"/>
        <v>1.640000000000001</v>
      </c>
      <c r="BN90" s="170">
        <f t="shared" si="163"/>
        <v>1.640000000000001</v>
      </c>
      <c r="BO90" s="162">
        <f t="shared" si="117"/>
        <v>4.0028823931511459</v>
      </c>
      <c r="BP90" s="171">
        <f t="shared" si="164"/>
        <v>4.0028823931511459</v>
      </c>
      <c r="BQ90" s="162"/>
      <c r="BR90" s="162">
        <f t="shared" si="165"/>
        <v>1.640000000000001</v>
      </c>
      <c r="BS90" s="162">
        <f t="shared" si="166"/>
        <v>1.640000000000001</v>
      </c>
      <c r="BT90" s="162">
        <f t="shared" si="118"/>
        <v>4.0028823931511459</v>
      </c>
      <c r="BU90" s="171">
        <f t="shared" si="167"/>
        <v>4.0028823931511459</v>
      </c>
      <c r="BV90" s="162"/>
      <c r="BW90" s="162">
        <f t="shared" si="168"/>
        <v>1.640000000000001</v>
      </c>
      <c r="BX90" s="170">
        <f t="shared" si="169"/>
        <v>1.640000000000001</v>
      </c>
      <c r="BY90" s="162">
        <f t="shared" si="119"/>
        <v>4.0028823931511459</v>
      </c>
      <c r="BZ90" s="171">
        <f t="shared" si="170"/>
        <v>4.0028823931511459</v>
      </c>
      <c r="CA90" s="162"/>
      <c r="CB90" s="162">
        <f t="shared" si="171"/>
        <v>1.640000000000001</v>
      </c>
      <c r="CC90" s="170">
        <f t="shared" si="172"/>
        <v>1.640000000000001</v>
      </c>
      <c r="CD90" s="162">
        <f t="shared" si="120"/>
        <v>4.0028823931511459</v>
      </c>
      <c r="CE90" s="171">
        <f t="shared" si="173"/>
        <v>4.0028823931511459</v>
      </c>
      <c r="CF90" s="162"/>
      <c r="CG90" s="172">
        <f t="shared" si="174"/>
        <v>1.640000000000001</v>
      </c>
      <c r="CH90" s="172">
        <f t="shared" si="175"/>
        <v>1.640000000000001</v>
      </c>
      <c r="CI90" s="172">
        <f t="shared" si="121"/>
        <v>4.0028823931511459</v>
      </c>
      <c r="CJ90" s="171">
        <f t="shared" si="176"/>
        <v>4.0028823931511459</v>
      </c>
      <c r="CK90" s="172"/>
      <c r="CL90" s="162">
        <f t="shared" si="177"/>
        <v>1.640000000000001</v>
      </c>
      <c r="CM90" s="170">
        <f t="shared" si="178"/>
        <v>1.640000000000001</v>
      </c>
      <c r="CN90" s="162">
        <f t="shared" si="122"/>
        <v>4.0028823931511459</v>
      </c>
      <c r="CO90" s="171">
        <f t="shared" si="179"/>
        <v>4.0028823931511459</v>
      </c>
      <c r="CP90" s="162"/>
      <c r="CQ90" s="162">
        <f t="shared" si="180"/>
        <v>1.640000000000001</v>
      </c>
      <c r="CR90" s="170">
        <f t="shared" si="181"/>
        <v>1.640000000000001</v>
      </c>
      <c r="CS90" s="162">
        <f t="shared" si="123"/>
        <v>4.0028823931511459</v>
      </c>
      <c r="CT90" s="171">
        <f t="shared" si="182"/>
        <v>4.0028823931511459</v>
      </c>
      <c r="CU90" s="162"/>
      <c r="CV90" s="162">
        <f t="shared" si="183"/>
        <v>1.640000000000001</v>
      </c>
      <c r="CW90" s="162">
        <f t="shared" si="184"/>
        <v>1.640000000000001</v>
      </c>
      <c r="CX90" s="162">
        <f t="shared" si="124"/>
        <v>4.0028823931511459</v>
      </c>
      <c r="CY90" s="171">
        <f t="shared" si="185"/>
        <v>4.0028823931511459</v>
      </c>
      <c r="CZ90" s="162"/>
      <c r="DA90" s="162">
        <f t="shared" si="186"/>
        <v>1.640000000000001</v>
      </c>
      <c r="DB90" s="170">
        <f t="shared" si="187"/>
        <v>1.640000000000001</v>
      </c>
      <c r="DC90" s="162">
        <f t="shared" si="125"/>
        <v>4.0028823931511459</v>
      </c>
      <c r="DD90" s="171">
        <f t="shared" si="188"/>
        <v>4.0028823931511459</v>
      </c>
      <c r="DE90" s="162"/>
      <c r="DF90" s="162">
        <f t="shared" si="189"/>
        <v>1.640000000000001</v>
      </c>
      <c r="DG90" s="170">
        <f t="shared" si="190"/>
        <v>1.640000000000001</v>
      </c>
      <c r="DH90" s="162">
        <f t="shared" si="126"/>
        <v>4.0028823931511459</v>
      </c>
      <c r="DI90" s="171">
        <f t="shared" si="191"/>
        <v>4.0028823931511459</v>
      </c>
      <c r="DJ90" s="162"/>
      <c r="DK90" s="162">
        <f t="shared" si="192"/>
        <v>1.640000000000001</v>
      </c>
      <c r="DL90" s="162">
        <f t="shared" si="193"/>
        <v>1.640000000000001</v>
      </c>
      <c r="DM90" s="162">
        <f t="shared" si="127"/>
        <v>4.0028823931511459</v>
      </c>
      <c r="DN90" s="171">
        <f t="shared" si="194"/>
        <v>4.0028823931511459</v>
      </c>
      <c r="DO90" s="162"/>
      <c r="DP90" s="162">
        <f t="shared" si="195"/>
        <v>1.640000000000001</v>
      </c>
      <c r="DQ90" s="170">
        <f t="shared" si="196"/>
        <v>1.640000000000001</v>
      </c>
      <c r="DR90" s="162">
        <f t="shared" si="128"/>
        <v>4.0028823931511459</v>
      </c>
      <c r="DS90" s="171">
        <f t="shared" si="197"/>
        <v>4.0028823931511459</v>
      </c>
      <c r="DT90" s="162"/>
      <c r="DU90" s="162">
        <f t="shared" si="198"/>
        <v>1.640000000000001</v>
      </c>
      <c r="DV90" s="170">
        <f t="shared" si="199"/>
        <v>1.640000000000001</v>
      </c>
      <c r="DW90" s="162">
        <f t="shared" si="129"/>
        <v>4.0028823931511459</v>
      </c>
      <c r="DX90" s="171">
        <f t="shared" si="200"/>
        <v>4.0028823931511459</v>
      </c>
      <c r="DY90" s="162"/>
      <c r="DZ90" s="162">
        <f t="shared" si="201"/>
        <v>1.640000000000001</v>
      </c>
      <c r="EA90" s="162">
        <f t="shared" si="202"/>
        <v>1.640000000000001</v>
      </c>
      <c r="EB90" s="162">
        <f t="shared" si="130"/>
        <v>4.0028823931511459</v>
      </c>
      <c r="EC90" s="171">
        <f t="shared" si="203"/>
        <v>4.0028823931511459</v>
      </c>
      <c r="ED90" s="162"/>
      <c r="EE90" s="162">
        <f t="shared" si="204"/>
        <v>1.640000000000001</v>
      </c>
      <c r="EF90" s="170">
        <f t="shared" si="205"/>
        <v>1.640000000000001</v>
      </c>
      <c r="EG90" s="162">
        <f t="shared" si="131"/>
        <v>4.0028823931511459</v>
      </c>
      <c r="EH90" s="171">
        <f t="shared" si="206"/>
        <v>4.0028823931511459</v>
      </c>
      <c r="EI90" s="162"/>
      <c r="EJ90" s="162">
        <f t="shared" si="207"/>
        <v>1.640000000000001</v>
      </c>
      <c r="EK90" s="170">
        <f t="shared" si="208"/>
        <v>1.640000000000001</v>
      </c>
      <c r="EL90" s="162">
        <f t="shared" si="132"/>
        <v>4.0028823931511459</v>
      </c>
      <c r="EM90" s="171">
        <f t="shared" si="209"/>
        <v>4.0028823931511459</v>
      </c>
      <c r="EN90" s="162"/>
      <c r="EO90" s="162">
        <f t="shared" si="210"/>
        <v>1.640000000000001</v>
      </c>
      <c r="EP90" s="162">
        <f t="shared" si="211"/>
        <v>1.640000000000001</v>
      </c>
      <c r="EQ90" s="162">
        <f t="shared" si="133"/>
        <v>4.0028823931511459</v>
      </c>
      <c r="ER90" s="171">
        <f t="shared" si="212"/>
        <v>4.0028823931511459</v>
      </c>
      <c r="ES90" s="162"/>
      <c r="ET90" s="162">
        <f t="shared" si="213"/>
        <v>1.640000000000001</v>
      </c>
      <c r="EU90" s="170">
        <f t="shared" si="214"/>
        <v>1.640000000000001</v>
      </c>
      <c r="EV90" s="162">
        <f t="shared" si="134"/>
        <v>4.0028823931511459</v>
      </c>
      <c r="EW90" s="171">
        <f t="shared" si="215"/>
        <v>4.0028823931511459</v>
      </c>
      <c r="EX90" s="162"/>
    </row>
    <row r="91" spans="20:154" s="181" customFormat="1" x14ac:dyDescent="0.25">
      <c r="T91" s="162">
        <f t="shared" si="135"/>
        <v>1.660000000000001</v>
      </c>
      <c r="U91" s="170">
        <f t="shared" si="136"/>
        <v>1.660000000000001</v>
      </c>
      <c r="V91" s="162">
        <f t="shared" si="108"/>
        <v>3.9368557294961137</v>
      </c>
      <c r="W91" s="171">
        <f t="shared" si="137"/>
        <v>3.9368557294961137</v>
      </c>
      <c r="X91" s="162"/>
      <c r="Y91" s="162">
        <f t="shared" si="138"/>
        <v>1.660000000000001</v>
      </c>
      <c r="Z91" s="162">
        <f t="shared" si="139"/>
        <v>1.660000000000001</v>
      </c>
      <c r="AA91" s="162">
        <f t="shared" si="109"/>
        <v>3.9368557294961137</v>
      </c>
      <c r="AB91" s="171">
        <f t="shared" si="140"/>
        <v>3.9368557294961137</v>
      </c>
      <c r="AC91" s="162"/>
      <c r="AD91" s="162">
        <f t="shared" si="141"/>
        <v>1.660000000000001</v>
      </c>
      <c r="AE91" s="170">
        <f t="shared" si="142"/>
        <v>1.660000000000001</v>
      </c>
      <c r="AF91" s="162">
        <f t="shared" si="110"/>
        <v>3.9368557294961137</v>
      </c>
      <c r="AG91" s="171">
        <f t="shared" si="143"/>
        <v>3.9368557294961137</v>
      </c>
      <c r="AH91" s="162"/>
      <c r="AI91" s="162">
        <f t="shared" si="144"/>
        <v>1.660000000000001</v>
      </c>
      <c r="AJ91" s="170">
        <f t="shared" si="145"/>
        <v>1.660000000000001</v>
      </c>
      <c r="AK91" s="162">
        <f t="shared" si="111"/>
        <v>3.9368557294961137</v>
      </c>
      <c r="AL91" s="171">
        <f t="shared" si="146"/>
        <v>3.9368557294961137</v>
      </c>
      <c r="AM91" s="162"/>
      <c r="AN91" s="162">
        <f t="shared" si="147"/>
        <v>1.660000000000001</v>
      </c>
      <c r="AO91" s="162">
        <f t="shared" si="148"/>
        <v>1.660000000000001</v>
      </c>
      <c r="AP91" s="162">
        <f t="shared" si="112"/>
        <v>3.9368557294961137</v>
      </c>
      <c r="AQ91" s="171">
        <f t="shared" si="149"/>
        <v>3.9368557294961137</v>
      </c>
      <c r="AR91" s="162"/>
      <c r="AS91" s="162">
        <f t="shared" si="150"/>
        <v>1.660000000000001</v>
      </c>
      <c r="AT91" s="170">
        <f t="shared" si="151"/>
        <v>1.660000000000001</v>
      </c>
      <c r="AU91" s="162">
        <f t="shared" si="113"/>
        <v>3.9368557294961137</v>
      </c>
      <c r="AV91" s="171">
        <f t="shared" si="152"/>
        <v>3.9368557294961137</v>
      </c>
      <c r="AW91" s="162"/>
      <c r="AX91" s="162">
        <f t="shared" si="153"/>
        <v>1.660000000000001</v>
      </c>
      <c r="AY91" s="170">
        <f t="shared" si="154"/>
        <v>1.660000000000001</v>
      </c>
      <c r="AZ91" s="162">
        <f t="shared" si="114"/>
        <v>3.9368557294961137</v>
      </c>
      <c r="BA91" s="171">
        <f t="shared" si="155"/>
        <v>3.9368557294961137</v>
      </c>
      <c r="BB91" s="162"/>
      <c r="BC91" s="162">
        <f t="shared" si="156"/>
        <v>1.660000000000001</v>
      </c>
      <c r="BD91" s="162">
        <f t="shared" si="157"/>
        <v>1.660000000000001</v>
      </c>
      <c r="BE91" s="162">
        <f t="shared" si="115"/>
        <v>3.9368557294961137</v>
      </c>
      <c r="BF91" s="171">
        <f t="shared" si="158"/>
        <v>3.9368557294961137</v>
      </c>
      <c r="BG91" s="162"/>
      <c r="BH91" s="162">
        <f t="shared" si="159"/>
        <v>1.660000000000001</v>
      </c>
      <c r="BI91" s="170">
        <f t="shared" si="160"/>
        <v>1.660000000000001</v>
      </c>
      <c r="BJ91" s="162">
        <f t="shared" si="116"/>
        <v>3.9368557294961137</v>
      </c>
      <c r="BK91" s="171">
        <f t="shared" si="161"/>
        <v>3.9368557294961137</v>
      </c>
      <c r="BL91" s="162"/>
      <c r="BM91" s="162">
        <f t="shared" si="162"/>
        <v>1.660000000000001</v>
      </c>
      <c r="BN91" s="170">
        <f t="shared" si="163"/>
        <v>1.660000000000001</v>
      </c>
      <c r="BO91" s="162">
        <f t="shared" si="117"/>
        <v>3.9368557294961137</v>
      </c>
      <c r="BP91" s="171">
        <f t="shared" si="164"/>
        <v>3.9368557294961137</v>
      </c>
      <c r="BQ91" s="162"/>
      <c r="BR91" s="162">
        <f t="shared" si="165"/>
        <v>1.660000000000001</v>
      </c>
      <c r="BS91" s="162">
        <f t="shared" si="166"/>
        <v>1.660000000000001</v>
      </c>
      <c r="BT91" s="162">
        <f t="shared" si="118"/>
        <v>3.9368557294961137</v>
      </c>
      <c r="BU91" s="171">
        <f t="shared" si="167"/>
        <v>3.9368557294961137</v>
      </c>
      <c r="BV91" s="162"/>
      <c r="BW91" s="162">
        <f t="shared" si="168"/>
        <v>1.660000000000001</v>
      </c>
      <c r="BX91" s="170">
        <f t="shared" si="169"/>
        <v>1.660000000000001</v>
      </c>
      <c r="BY91" s="162">
        <f t="shared" si="119"/>
        <v>3.9368557294961137</v>
      </c>
      <c r="BZ91" s="171">
        <f t="shared" si="170"/>
        <v>3.9368557294961137</v>
      </c>
      <c r="CA91" s="162"/>
      <c r="CB91" s="162">
        <f t="shared" si="171"/>
        <v>1.660000000000001</v>
      </c>
      <c r="CC91" s="170">
        <f t="shared" si="172"/>
        <v>1.660000000000001</v>
      </c>
      <c r="CD91" s="162">
        <f t="shared" si="120"/>
        <v>3.9368557294961137</v>
      </c>
      <c r="CE91" s="171">
        <f t="shared" si="173"/>
        <v>3.9368557294961137</v>
      </c>
      <c r="CF91" s="162"/>
      <c r="CG91" s="172">
        <f t="shared" si="174"/>
        <v>1.660000000000001</v>
      </c>
      <c r="CH91" s="172">
        <f t="shared" si="175"/>
        <v>1.660000000000001</v>
      </c>
      <c r="CI91" s="172">
        <f t="shared" si="121"/>
        <v>3.9368557294961137</v>
      </c>
      <c r="CJ91" s="171">
        <f t="shared" si="176"/>
        <v>3.9368557294961137</v>
      </c>
      <c r="CK91" s="172"/>
      <c r="CL91" s="162">
        <f t="shared" si="177"/>
        <v>1.660000000000001</v>
      </c>
      <c r="CM91" s="170">
        <f t="shared" si="178"/>
        <v>1.660000000000001</v>
      </c>
      <c r="CN91" s="162">
        <f t="shared" si="122"/>
        <v>3.9368557294961137</v>
      </c>
      <c r="CO91" s="171">
        <f t="shared" si="179"/>
        <v>3.9368557294961137</v>
      </c>
      <c r="CP91" s="162"/>
      <c r="CQ91" s="162">
        <f t="shared" si="180"/>
        <v>1.660000000000001</v>
      </c>
      <c r="CR91" s="170">
        <f t="shared" si="181"/>
        <v>1.660000000000001</v>
      </c>
      <c r="CS91" s="162">
        <f t="shared" si="123"/>
        <v>3.9368557294961137</v>
      </c>
      <c r="CT91" s="171">
        <f t="shared" si="182"/>
        <v>3.9368557294961137</v>
      </c>
      <c r="CU91" s="162"/>
      <c r="CV91" s="162">
        <f t="shared" si="183"/>
        <v>1.660000000000001</v>
      </c>
      <c r="CW91" s="162">
        <f t="shared" si="184"/>
        <v>1.660000000000001</v>
      </c>
      <c r="CX91" s="162">
        <f t="shared" si="124"/>
        <v>3.9368557294961137</v>
      </c>
      <c r="CY91" s="171">
        <f t="shared" si="185"/>
        <v>3.9368557294961137</v>
      </c>
      <c r="CZ91" s="162"/>
      <c r="DA91" s="162">
        <f t="shared" si="186"/>
        <v>1.660000000000001</v>
      </c>
      <c r="DB91" s="170">
        <f t="shared" si="187"/>
        <v>1.660000000000001</v>
      </c>
      <c r="DC91" s="162">
        <f t="shared" si="125"/>
        <v>3.9368557294961137</v>
      </c>
      <c r="DD91" s="171">
        <f t="shared" si="188"/>
        <v>3.9368557294961137</v>
      </c>
      <c r="DE91" s="162"/>
      <c r="DF91" s="162">
        <f t="shared" si="189"/>
        <v>1.660000000000001</v>
      </c>
      <c r="DG91" s="170">
        <f t="shared" si="190"/>
        <v>1.660000000000001</v>
      </c>
      <c r="DH91" s="162">
        <f t="shared" si="126"/>
        <v>3.9368557294961137</v>
      </c>
      <c r="DI91" s="171">
        <f t="shared" si="191"/>
        <v>3.9368557294961137</v>
      </c>
      <c r="DJ91" s="162"/>
      <c r="DK91" s="162">
        <f t="shared" si="192"/>
        <v>1.660000000000001</v>
      </c>
      <c r="DL91" s="162">
        <f t="shared" si="193"/>
        <v>1.660000000000001</v>
      </c>
      <c r="DM91" s="162">
        <f t="shared" si="127"/>
        <v>3.9368557294961137</v>
      </c>
      <c r="DN91" s="171">
        <f t="shared" si="194"/>
        <v>3.9368557294961137</v>
      </c>
      <c r="DO91" s="162"/>
      <c r="DP91" s="162">
        <f t="shared" si="195"/>
        <v>1.660000000000001</v>
      </c>
      <c r="DQ91" s="170">
        <f t="shared" si="196"/>
        <v>1.660000000000001</v>
      </c>
      <c r="DR91" s="162">
        <f t="shared" si="128"/>
        <v>3.9368557294961137</v>
      </c>
      <c r="DS91" s="171">
        <f t="shared" si="197"/>
        <v>3.9368557294961137</v>
      </c>
      <c r="DT91" s="162"/>
      <c r="DU91" s="162">
        <f t="shared" si="198"/>
        <v>1.660000000000001</v>
      </c>
      <c r="DV91" s="170">
        <f t="shared" si="199"/>
        <v>1.660000000000001</v>
      </c>
      <c r="DW91" s="162">
        <f t="shared" si="129"/>
        <v>3.9368557294961137</v>
      </c>
      <c r="DX91" s="171">
        <f t="shared" si="200"/>
        <v>3.9368557294961137</v>
      </c>
      <c r="DY91" s="162"/>
      <c r="DZ91" s="162">
        <f t="shared" si="201"/>
        <v>1.660000000000001</v>
      </c>
      <c r="EA91" s="162">
        <f t="shared" si="202"/>
        <v>1.660000000000001</v>
      </c>
      <c r="EB91" s="162">
        <f t="shared" si="130"/>
        <v>3.9368557294961137</v>
      </c>
      <c r="EC91" s="171">
        <f t="shared" si="203"/>
        <v>3.9368557294961137</v>
      </c>
      <c r="ED91" s="162"/>
      <c r="EE91" s="162">
        <f t="shared" si="204"/>
        <v>1.660000000000001</v>
      </c>
      <c r="EF91" s="170">
        <f t="shared" si="205"/>
        <v>1.660000000000001</v>
      </c>
      <c r="EG91" s="162">
        <f t="shared" si="131"/>
        <v>3.9368557294961137</v>
      </c>
      <c r="EH91" s="171">
        <f t="shared" si="206"/>
        <v>3.9368557294961137</v>
      </c>
      <c r="EI91" s="162"/>
      <c r="EJ91" s="162">
        <f t="shared" si="207"/>
        <v>1.660000000000001</v>
      </c>
      <c r="EK91" s="170">
        <f t="shared" si="208"/>
        <v>1.660000000000001</v>
      </c>
      <c r="EL91" s="162">
        <f t="shared" si="132"/>
        <v>3.9368557294961137</v>
      </c>
      <c r="EM91" s="171">
        <f t="shared" si="209"/>
        <v>3.9368557294961137</v>
      </c>
      <c r="EN91" s="162"/>
      <c r="EO91" s="162">
        <f t="shared" si="210"/>
        <v>1.660000000000001</v>
      </c>
      <c r="EP91" s="162">
        <f t="shared" si="211"/>
        <v>1.660000000000001</v>
      </c>
      <c r="EQ91" s="162">
        <f t="shared" si="133"/>
        <v>3.9368557294961137</v>
      </c>
      <c r="ER91" s="171">
        <f t="shared" si="212"/>
        <v>3.9368557294961137</v>
      </c>
      <c r="ES91" s="162"/>
      <c r="ET91" s="162">
        <f t="shared" si="213"/>
        <v>1.660000000000001</v>
      </c>
      <c r="EU91" s="170">
        <f t="shared" si="214"/>
        <v>1.660000000000001</v>
      </c>
      <c r="EV91" s="162">
        <f t="shared" si="134"/>
        <v>3.9368557294961137</v>
      </c>
      <c r="EW91" s="171">
        <f t="shared" si="215"/>
        <v>3.9368557294961137</v>
      </c>
      <c r="EX91" s="162"/>
    </row>
    <row r="92" spans="20:154" s="181" customFormat="1" x14ac:dyDescent="0.25">
      <c r="T92" s="162">
        <f t="shared" si="135"/>
        <v>1.680000000000001</v>
      </c>
      <c r="U92" s="170">
        <f t="shared" si="136"/>
        <v>1.680000000000001</v>
      </c>
      <c r="V92" s="162">
        <f t="shared" si="108"/>
        <v>3.8681205531132354</v>
      </c>
      <c r="W92" s="171">
        <f t="shared" si="137"/>
        <v>3.8681205531132354</v>
      </c>
      <c r="X92" s="162"/>
      <c r="Y92" s="162">
        <f t="shared" si="138"/>
        <v>1.680000000000001</v>
      </c>
      <c r="Z92" s="162">
        <f t="shared" si="139"/>
        <v>1.680000000000001</v>
      </c>
      <c r="AA92" s="162">
        <f t="shared" si="109"/>
        <v>3.8681205531132354</v>
      </c>
      <c r="AB92" s="171">
        <f t="shared" si="140"/>
        <v>3.8681205531132354</v>
      </c>
      <c r="AC92" s="162"/>
      <c r="AD92" s="162">
        <f t="shared" si="141"/>
        <v>1.680000000000001</v>
      </c>
      <c r="AE92" s="170">
        <f t="shared" si="142"/>
        <v>1.680000000000001</v>
      </c>
      <c r="AF92" s="162">
        <f t="shared" si="110"/>
        <v>3.8681205531132354</v>
      </c>
      <c r="AG92" s="171">
        <f t="shared" si="143"/>
        <v>3.8681205531132354</v>
      </c>
      <c r="AH92" s="162"/>
      <c r="AI92" s="162">
        <f t="shared" si="144"/>
        <v>1.680000000000001</v>
      </c>
      <c r="AJ92" s="170">
        <f t="shared" si="145"/>
        <v>1.680000000000001</v>
      </c>
      <c r="AK92" s="162">
        <f t="shared" si="111"/>
        <v>3.8681205531132354</v>
      </c>
      <c r="AL92" s="171">
        <f t="shared" si="146"/>
        <v>3.8681205531132354</v>
      </c>
      <c r="AM92" s="162"/>
      <c r="AN92" s="162">
        <f t="shared" si="147"/>
        <v>1.680000000000001</v>
      </c>
      <c r="AO92" s="162">
        <f t="shared" si="148"/>
        <v>1.680000000000001</v>
      </c>
      <c r="AP92" s="162">
        <f t="shared" si="112"/>
        <v>3.8681205531132354</v>
      </c>
      <c r="AQ92" s="171">
        <f t="shared" si="149"/>
        <v>3.8681205531132354</v>
      </c>
      <c r="AR92" s="162"/>
      <c r="AS92" s="162">
        <f t="shared" si="150"/>
        <v>1.680000000000001</v>
      </c>
      <c r="AT92" s="170">
        <f t="shared" si="151"/>
        <v>1.680000000000001</v>
      </c>
      <c r="AU92" s="162">
        <f t="shared" si="113"/>
        <v>3.8681205531132354</v>
      </c>
      <c r="AV92" s="171">
        <f t="shared" si="152"/>
        <v>3.8681205531132354</v>
      </c>
      <c r="AW92" s="162"/>
      <c r="AX92" s="162">
        <f t="shared" si="153"/>
        <v>1.680000000000001</v>
      </c>
      <c r="AY92" s="170">
        <f t="shared" si="154"/>
        <v>1.680000000000001</v>
      </c>
      <c r="AZ92" s="162">
        <f t="shared" si="114"/>
        <v>3.8681205531132354</v>
      </c>
      <c r="BA92" s="171">
        <f t="shared" si="155"/>
        <v>3.8681205531132354</v>
      </c>
      <c r="BB92" s="162"/>
      <c r="BC92" s="162">
        <f t="shared" si="156"/>
        <v>1.680000000000001</v>
      </c>
      <c r="BD92" s="162">
        <f t="shared" si="157"/>
        <v>1.680000000000001</v>
      </c>
      <c r="BE92" s="162">
        <f t="shared" si="115"/>
        <v>3.8681205531132354</v>
      </c>
      <c r="BF92" s="171">
        <f t="shared" si="158"/>
        <v>3.8681205531132354</v>
      </c>
      <c r="BG92" s="162"/>
      <c r="BH92" s="162">
        <f t="shared" si="159"/>
        <v>1.680000000000001</v>
      </c>
      <c r="BI92" s="170">
        <f t="shared" si="160"/>
        <v>1.680000000000001</v>
      </c>
      <c r="BJ92" s="162">
        <f t="shared" si="116"/>
        <v>3.8681205531132354</v>
      </c>
      <c r="BK92" s="171">
        <f t="shared" si="161"/>
        <v>3.8681205531132354</v>
      </c>
      <c r="BL92" s="162"/>
      <c r="BM92" s="162">
        <f t="shared" si="162"/>
        <v>1.680000000000001</v>
      </c>
      <c r="BN92" s="170">
        <f t="shared" si="163"/>
        <v>1.680000000000001</v>
      </c>
      <c r="BO92" s="162">
        <f t="shared" si="117"/>
        <v>3.8681205531132354</v>
      </c>
      <c r="BP92" s="171">
        <f t="shared" si="164"/>
        <v>3.8681205531132354</v>
      </c>
      <c r="BQ92" s="162"/>
      <c r="BR92" s="162">
        <f t="shared" si="165"/>
        <v>1.680000000000001</v>
      </c>
      <c r="BS92" s="162">
        <f t="shared" si="166"/>
        <v>1.680000000000001</v>
      </c>
      <c r="BT92" s="162">
        <f t="shared" si="118"/>
        <v>3.8681205531132354</v>
      </c>
      <c r="BU92" s="171">
        <f t="shared" si="167"/>
        <v>3.8681205531132354</v>
      </c>
      <c r="BV92" s="162"/>
      <c r="BW92" s="162">
        <f t="shared" si="168"/>
        <v>1.680000000000001</v>
      </c>
      <c r="BX92" s="170">
        <f t="shared" si="169"/>
        <v>1.680000000000001</v>
      </c>
      <c r="BY92" s="162">
        <f t="shared" si="119"/>
        <v>3.8681205531132354</v>
      </c>
      <c r="BZ92" s="171">
        <f t="shared" si="170"/>
        <v>3.8681205531132354</v>
      </c>
      <c r="CA92" s="162"/>
      <c r="CB92" s="162">
        <f t="shared" si="171"/>
        <v>1.680000000000001</v>
      </c>
      <c r="CC92" s="170">
        <f t="shared" si="172"/>
        <v>1.680000000000001</v>
      </c>
      <c r="CD92" s="162">
        <f t="shared" si="120"/>
        <v>3.8681205531132354</v>
      </c>
      <c r="CE92" s="171">
        <f t="shared" si="173"/>
        <v>3.8681205531132354</v>
      </c>
      <c r="CF92" s="162"/>
      <c r="CG92" s="172">
        <f t="shared" si="174"/>
        <v>1.680000000000001</v>
      </c>
      <c r="CH92" s="172">
        <f t="shared" si="175"/>
        <v>1.680000000000001</v>
      </c>
      <c r="CI92" s="172">
        <f t="shared" si="121"/>
        <v>3.8681205531132354</v>
      </c>
      <c r="CJ92" s="171">
        <f t="shared" si="176"/>
        <v>3.8681205531132354</v>
      </c>
      <c r="CK92" s="172"/>
      <c r="CL92" s="162">
        <f t="shared" si="177"/>
        <v>1.680000000000001</v>
      </c>
      <c r="CM92" s="170">
        <f t="shared" si="178"/>
        <v>1.680000000000001</v>
      </c>
      <c r="CN92" s="162">
        <f t="shared" si="122"/>
        <v>3.8681205531132354</v>
      </c>
      <c r="CO92" s="171">
        <f t="shared" si="179"/>
        <v>3.8681205531132354</v>
      </c>
      <c r="CP92" s="162"/>
      <c r="CQ92" s="162">
        <f t="shared" si="180"/>
        <v>1.680000000000001</v>
      </c>
      <c r="CR92" s="170">
        <f t="shared" si="181"/>
        <v>1.680000000000001</v>
      </c>
      <c r="CS92" s="162">
        <f t="shared" si="123"/>
        <v>3.8681205531132354</v>
      </c>
      <c r="CT92" s="171">
        <f t="shared" si="182"/>
        <v>3.8681205531132354</v>
      </c>
      <c r="CU92" s="162"/>
      <c r="CV92" s="162">
        <f t="shared" si="183"/>
        <v>1.680000000000001</v>
      </c>
      <c r="CW92" s="162">
        <f t="shared" si="184"/>
        <v>1.680000000000001</v>
      </c>
      <c r="CX92" s="162">
        <f t="shared" si="124"/>
        <v>3.8681205531132354</v>
      </c>
      <c r="CY92" s="171">
        <f t="shared" si="185"/>
        <v>3.8681205531132354</v>
      </c>
      <c r="CZ92" s="162"/>
      <c r="DA92" s="162">
        <f t="shared" si="186"/>
        <v>1.680000000000001</v>
      </c>
      <c r="DB92" s="170">
        <f t="shared" si="187"/>
        <v>1.680000000000001</v>
      </c>
      <c r="DC92" s="162">
        <f t="shared" si="125"/>
        <v>3.8681205531132354</v>
      </c>
      <c r="DD92" s="171">
        <f t="shared" si="188"/>
        <v>3.8681205531132354</v>
      </c>
      <c r="DE92" s="162"/>
      <c r="DF92" s="162">
        <f t="shared" si="189"/>
        <v>1.680000000000001</v>
      </c>
      <c r="DG92" s="170">
        <f t="shared" si="190"/>
        <v>1.680000000000001</v>
      </c>
      <c r="DH92" s="162">
        <f t="shared" si="126"/>
        <v>3.8681205531132354</v>
      </c>
      <c r="DI92" s="171">
        <f t="shared" si="191"/>
        <v>3.8681205531132354</v>
      </c>
      <c r="DJ92" s="162"/>
      <c r="DK92" s="162">
        <f t="shared" si="192"/>
        <v>1.680000000000001</v>
      </c>
      <c r="DL92" s="162">
        <f t="shared" si="193"/>
        <v>1.680000000000001</v>
      </c>
      <c r="DM92" s="162">
        <f t="shared" si="127"/>
        <v>3.8681205531132354</v>
      </c>
      <c r="DN92" s="171">
        <f t="shared" si="194"/>
        <v>3.8681205531132354</v>
      </c>
      <c r="DO92" s="162"/>
      <c r="DP92" s="162">
        <f t="shared" si="195"/>
        <v>1.680000000000001</v>
      </c>
      <c r="DQ92" s="170">
        <f t="shared" si="196"/>
        <v>1.680000000000001</v>
      </c>
      <c r="DR92" s="162">
        <f t="shared" si="128"/>
        <v>3.8681205531132354</v>
      </c>
      <c r="DS92" s="171">
        <f t="shared" si="197"/>
        <v>3.8681205531132354</v>
      </c>
      <c r="DT92" s="162"/>
      <c r="DU92" s="162">
        <f t="shared" si="198"/>
        <v>1.680000000000001</v>
      </c>
      <c r="DV92" s="170">
        <f t="shared" si="199"/>
        <v>1.680000000000001</v>
      </c>
      <c r="DW92" s="162">
        <f t="shared" si="129"/>
        <v>3.8681205531132354</v>
      </c>
      <c r="DX92" s="171">
        <f t="shared" si="200"/>
        <v>3.8681205531132354</v>
      </c>
      <c r="DY92" s="162"/>
      <c r="DZ92" s="162">
        <f t="shared" si="201"/>
        <v>1.680000000000001</v>
      </c>
      <c r="EA92" s="162">
        <f t="shared" si="202"/>
        <v>1.680000000000001</v>
      </c>
      <c r="EB92" s="162">
        <f t="shared" si="130"/>
        <v>3.8681205531132354</v>
      </c>
      <c r="EC92" s="171">
        <f t="shared" si="203"/>
        <v>3.8681205531132354</v>
      </c>
      <c r="ED92" s="162"/>
      <c r="EE92" s="162">
        <f t="shared" si="204"/>
        <v>1.680000000000001</v>
      </c>
      <c r="EF92" s="170">
        <f t="shared" si="205"/>
        <v>1.680000000000001</v>
      </c>
      <c r="EG92" s="162">
        <f t="shared" si="131"/>
        <v>3.8681205531132354</v>
      </c>
      <c r="EH92" s="171">
        <f t="shared" si="206"/>
        <v>3.8681205531132354</v>
      </c>
      <c r="EI92" s="162"/>
      <c r="EJ92" s="162">
        <f t="shared" si="207"/>
        <v>1.680000000000001</v>
      </c>
      <c r="EK92" s="170">
        <f t="shared" si="208"/>
        <v>1.680000000000001</v>
      </c>
      <c r="EL92" s="162">
        <f t="shared" si="132"/>
        <v>3.8681205531132354</v>
      </c>
      <c r="EM92" s="171">
        <f t="shared" si="209"/>
        <v>3.8681205531132354</v>
      </c>
      <c r="EN92" s="162"/>
      <c r="EO92" s="162">
        <f t="shared" si="210"/>
        <v>1.680000000000001</v>
      </c>
      <c r="EP92" s="162">
        <f t="shared" si="211"/>
        <v>1.680000000000001</v>
      </c>
      <c r="EQ92" s="162">
        <f t="shared" si="133"/>
        <v>3.8681205531132354</v>
      </c>
      <c r="ER92" s="171">
        <f t="shared" si="212"/>
        <v>3.8681205531132354</v>
      </c>
      <c r="ES92" s="162"/>
      <c r="ET92" s="162">
        <f t="shared" si="213"/>
        <v>1.680000000000001</v>
      </c>
      <c r="EU92" s="170">
        <f t="shared" si="214"/>
        <v>1.680000000000001</v>
      </c>
      <c r="EV92" s="162">
        <f t="shared" si="134"/>
        <v>3.8681205531132354</v>
      </c>
      <c r="EW92" s="171">
        <f t="shared" si="215"/>
        <v>3.8681205531132354</v>
      </c>
      <c r="EX92" s="162"/>
    </row>
    <row r="93" spans="20:154" s="181" customFormat="1" x14ac:dyDescent="0.25">
      <c r="T93" s="162">
        <f t="shared" si="135"/>
        <v>1.7000000000000011</v>
      </c>
      <c r="U93" s="170">
        <f t="shared" si="136"/>
        <v>1.7000000000000011</v>
      </c>
      <c r="V93" s="162">
        <f t="shared" si="108"/>
        <v>3.7966768640025128</v>
      </c>
      <c r="W93" s="171">
        <f t="shared" si="137"/>
        <v>3.7966768640025128</v>
      </c>
      <c r="X93" s="162"/>
      <c r="Y93" s="162">
        <f t="shared" si="138"/>
        <v>1.7000000000000011</v>
      </c>
      <c r="Z93" s="162">
        <f t="shared" si="139"/>
        <v>1.7000000000000011</v>
      </c>
      <c r="AA93" s="162">
        <f t="shared" si="109"/>
        <v>3.7966768640025128</v>
      </c>
      <c r="AB93" s="171">
        <f t="shared" si="140"/>
        <v>3.7966768640025128</v>
      </c>
      <c r="AC93" s="162"/>
      <c r="AD93" s="162">
        <f t="shared" si="141"/>
        <v>1.7000000000000011</v>
      </c>
      <c r="AE93" s="170">
        <f t="shared" si="142"/>
        <v>1.7000000000000011</v>
      </c>
      <c r="AF93" s="162">
        <f t="shared" si="110"/>
        <v>3.7966768640025128</v>
      </c>
      <c r="AG93" s="171">
        <f t="shared" si="143"/>
        <v>3.7966768640025128</v>
      </c>
      <c r="AH93" s="162"/>
      <c r="AI93" s="162">
        <f t="shared" si="144"/>
        <v>1.7000000000000011</v>
      </c>
      <c r="AJ93" s="170">
        <f t="shared" si="145"/>
        <v>1.7000000000000011</v>
      </c>
      <c r="AK93" s="162">
        <f t="shared" si="111"/>
        <v>3.7966768640025128</v>
      </c>
      <c r="AL93" s="171">
        <f t="shared" si="146"/>
        <v>3.7966768640025128</v>
      </c>
      <c r="AM93" s="162"/>
      <c r="AN93" s="162">
        <f t="shared" si="147"/>
        <v>1.7000000000000011</v>
      </c>
      <c r="AO93" s="162">
        <f t="shared" si="148"/>
        <v>1.7000000000000011</v>
      </c>
      <c r="AP93" s="162">
        <f t="shared" si="112"/>
        <v>3.7966768640025128</v>
      </c>
      <c r="AQ93" s="171">
        <f t="shared" si="149"/>
        <v>3.7966768640025128</v>
      </c>
      <c r="AR93" s="162"/>
      <c r="AS93" s="162">
        <f t="shared" si="150"/>
        <v>1.7000000000000011</v>
      </c>
      <c r="AT93" s="170">
        <f t="shared" si="151"/>
        <v>1.7000000000000011</v>
      </c>
      <c r="AU93" s="162">
        <f t="shared" si="113"/>
        <v>3.7966768640025128</v>
      </c>
      <c r="AV93" s="171">
        <f t="shared" si="152"/>
        <v>3.7966768640025128</v>
      </c>
      <c r="AW93" s="162"/>
      <c r="AX93" s="162">
        <f t="shared" si="153"/>
        <v>1.7000000000000011</v>
      </c>
      <c r="AY93" s="170">
        <f t="shared" si="154"/>
        <v>1.7000000000000011</v>
      </c>
      <c r="AZ93" s="162">
        <f t="shared" si="114"/>
        <v>3.7966768640025128</v>
      </c>
      <c r="BA93" s="171">
        <f t="shared" si="155"/>
        <v>3.7966768640025128</v>
      </c>
      <c r="BB93" s="162"/>
      <c r="BC93" s="162">
        <f t="shared" si="156"/>
        <v>1.7000000000000011</v>
      </c>
      <c r="BD93" s="162">
        <f t="shared" si="157"/>
        <v>1.7000000000000011</v>
      </c>
      <c r="BE93" s="162">
        <f t="shared" si="115"/>
        <v>3.7966768640025128</v>
      </c>
      <c r="BF93" s="171">
        <f t="shared" si="158"/>
        <v>3.7966768640025128</v>
      </c>
      <c r="BG93" s="162"/>
      <c r="BH93" s="162">
        <f t="shared" si="159"/>
        <v>1.7000000000000011</v>
      </c>
      <c r="BI93" s="170">
        <f t="shared" si="160"/>
        <v>1.7000000000000011</v>
      </c>
      <c r="BJ93" s="162">
        <f t="shared" si="116"/>
        <v>3.7966768640025128</v>
      </c>
      <c r="BK93" s="171">
        <f t="shared" si="161"/>
        <v>3.7966768640025128</v>
      </c>
      <c r="BL93" s="162"/>
      <c r="BM93" s="162">
        <f t="shared" si="162"/>
        <v>1.7000000000000011</v>
      </c>
      <c r="BN93" s="170">
        <f t="shared" si="163"/>
        <v>1.7000000000000011</v>
      </c>
      <c r="BO93" s="162">
        <f t="shared" si="117"/>
        <v>3.7966768640025128</v>
      </c>
      <c r="BP93" s="171">
        <f t="shared" si="164"/>
        <v>3.7966768640025128</v>
      </c>
      <c r="BQ93" s="162"/>
      <c r="BR93" s="162">
        <f t="shared" si="165"/>
        <v>1.7000000000000011</v>
      </c>
      <c r="BS93" s="162">
        <f t="shared" si="166"/>
        <v>1.7000000000000011</v>
      </c>
      <c r="BT93" s="162">
        <f t="shared" si="118"/>
        <v>3.7966768640025128</v>
      </c>
      <c r="BU93" s="171">
        <f t="shared" si="167"/>
        <v>3.7966768640025128</v>
      </c>
      <c r="BV93" s="162"/>
      <c r="BW93" s="162">
        <f t="shared" si="168"/>
        <v>1.7000000000000011</v>
      </c>
      <c r="BX93" s="170">
        <f t="shared" si="169"/>
        <v>1.7000000000000011</v>
      </c>
      <c r="BY93" s="162">
        <f t="shared" si="119"/>
        <v>3.7966768640025128</v>
      </c>
      <c r="BZ93" s="171">
        <f t="shared" si="170"/>
        <v>3.7966768640025128</v>
      </c>
      <c r="CA93" s="162"/>
      <c r="CB93" s="162">
        <f t="shared" si="171"/>
        <v>1.7000000000000011</v>
      </c>
      <c r="CC93" s="170">
        <f t="shared" si="172"/>
        <v>1.7000000000000011</v>
      </c>
      <c r="CD93" s="162">
        <f t="shared" si="120"/>
        <v>3.7966768640025128</v>
      </c>
      <c r="CE93" s="171">
        <f t="shared" si="173"/>
        <v>3.7966768640025128</v>
      </c>
      <c r="CF93" s="162"/>
      <c r="CG93" s="172">
        <f t="shared" si="174"/>
        <v>1.7000000000000011</v>
      </c>
      <c r="CH93" s="172">
        <f t="shared" si="175"/>
        <v>1.7000000000000011</v>
      </c>
      <c r="CI93" s="172">
        <f t="shared" si="121"/>
        <v>3.7966768640025128</v>
      </c>
      <c r="CJ93" s="171">
        <f t="shared" si="176"/>
        <v>3.7966768640025128</v>
      </c>
      <c r="CK93" s="172"/>
      <c r="CL93" s="162">
        <f t="shared" si="177"/>
        <v>1.7000000000000011</v>
      </c>
      <c r="CM93" s="170">
        <f t="shared" si="178"/>
        <v>1.7000000000000011</v>
      </c>
      <c r="CN93" s="162">
        <f t="shared" si="122"/>
        <v>3.7966768640025128</v>
      </c>
      <c r="CO93" s="171">
        <f t="shared" si="179"/>
        <v>3.7966768640025128</v>
      </c>
      <c r="CP93" s="162"/>
      <c r="CQ93" s="162">
        <f t="shared" si="180"/>
        <v>1.7000000000000011</v>
      </c>
      <c r="CR93" s="170">
        <f t="shared" si="181"/>
        <v>1.7000000000000011</v>
      </c>
      <c r="CS93" s="162">
        <f t="shared" si="123"/>
        <v>3.7966768640025128</v>
      </c>
      <c r="CT93" s="171">
        <f t="shared" si="182"/>
        <v>3.7966768640025128</v>
      </c>
      <c r="CU93" s="162"/>
      <c r="CV93" s="162">
        <f t="shared" si="183"/>
        <v>1.7000000000000011</v>
      </c>
      <c r="CW93" s="162">
        <f t="shared" si="184"/>
        <v>1.7000000000000011</v>
      </c>
      <c r="CX93" s="162">
        <f t="shared" si="124"/>
        <v>3.7966768640025128</v>
      </c>
      <c r="CY93" s="171">
        <f t="shared" si="185"/>
        <v>3.7966768640025128</v>
      </c>
      <c r="CZ93" s="162"/>
      <c r="DA93" s="162">
        <f t="shared" si="186"/>
        <v>1.7000000000000011</v>
      </c>
      <c r="DB93" s="170">
        <f t="shared" si="187"/>
        <v>1.7000000000000011</v>
      </c>
      <c r="DC93" s="162">
        <f t="shared" si="125"/>
        <v>3.7966768640025128</v>
      </c>
      <c r="DD93" s="171">
        <f t="shared" si="188"/>
        <v>3.7966768640025128</v>
      </c>
      <c r="DE93" s="162"/>
      <c r="DF93" s="162">
        <f t="shared" si="189"/>
        <v>1.7000000000000011</v>
      </c>
      <c r="DG93" s="170">
        <f t="shared" si="190"/>
        <v>1.7000000000000011</v>
      </c>
      <c r="DH93" s="162">
        <f t="shared" si="126"/>
        <v>3.7966768640025128</v>
      </c>
      <c r="DI93" s="171">
        <f t="shared" si="191"/>
        <v>3.7966768640025128</v>
      </c>
      <c r="DJ93" s="162"/>
      <c r="DK93" s="162">
        <f t="shared" si="192"/>
        <v>1.7000000000000011</v>
      </c>
      <c r="DL93" s="162">
        <f t="shared" si="193"/>
        <v>1.7000000000000011</v>
      </c>
      <c r="DM93" s="162">
        <f t="shared" si="127"/>
        <v>3.7966768640025128</v>
      </c>
      <c r="DN93" s="171">
        <f t="shared" si="194"/>
        <v>3.7966768640025128</v>
      </c>
      <c r="DO93" s="162"/>
      <c r="DP93" s="162">
        <f t="shared" si="195"/>
        <v>1.7000000000000011</v>
      </c>
      <c r="DQ93" s="170">
        <f t="shared" si="196"/>
        <v>1.7000000000000011</v>
      </c>
      <c r="DR93" s="162">
        <f t="shared" si="128"/>
        <v>3.7966768640025128</v>
      </c>
      <c r="DS93" s="171">
        <f t="shared" si="197"/>
        <v>3.7966768640025128</v>
      </c>
      <c r="DT93" s="162"/>
      <c r="DU93" s="162">
        <f t="shared" si="198"/>
        <v>1.7000000000000011</v>
      </c>
      <c r="DV93" s="170">
        <f t="shared" si="199"/>
        <v>1.7000000000000011</v>
      </c>
      <c r="DW93" s="162">
        <f t="shared" si="129"/>
        <v>3.7966768640025128</v>
      </c>
      <c r="DX93" s="171">
        <f t="shared" si="200"/>
        <v>3.7966768640025128</v>
      </c>
      <c r="DY93" s="162"/>
      <c r="DZ93" s="162">
        <f t="shared" si="201"/>
        <v>1.7000000000000011</v>
      </c>
      <c r="EA93" s="162">
        <f t="shared" si="202"/>
        <v>1.7000000000000011</v>
      </c>
      <c r="EB93" s="162">
        <f t="shared" si="130"/>
        <v>3.7966768640025128</v>
      </c>
      <c r="EC93" s="171">
        <f t="shared" si="203"/>
        <v>3.7966768640025128</v>
      </c>
      <c r="ED93" s="162"/>
      <c r="EE93" s="162">
        <f t="shared" si="204"/>
        <v>1.7000000000000011</v>
      </c>
      <c r="EF93" s="170">
        <f t="shared" si="205"/>
        <v>1.7000000000000011</v>
      </c>
      <c r="EG93" s="162">
        <f t="shared" si="131"/>
        <v>3.7966768640025128</v>
      </c>
      <c r="EH93" s="171">
        <f t="shared" si="206"/>
        <v>3.7966768640025128</v>
      </c>
      <c r="EI93" s="162"/>
      <c r="EJ93" s="162">
        <f t="shared" si="207"/>
        <v>1.7000000000000011</v>
      </c>
      <c r="EK93" s="170">
        <f t="shared" si="208"/>
        <v>1.7000000000000011</v>
      </c>
      <c r="EL93" s="162">
        <f t="shared" si="132"/>
        <v>3.7966768640025128</v>
      </c>
      <c r="EM93" s="171">
        <f t="shared" si="209"/>
        <v>3.7966768640025128</v>
      </c>
      <c r="EN93" s="162"/>
      <c r="EO93" s="162">
        <f t="shared" si="210"/>
        <v>1.7000000000000011</v>
      </c>
      <c r="EP93" s="162">
        <f t="shared" si="211"/>
        <v>1.7000000000000011</v>
      </c>
      <c r="EQ93" s="162">
        <f t="shared" si="133"/>
        <v>3.7966768640025128</v>
      </c>
      <c r="ER93" s="171">
        <f t="shared" si="212"/>
        <v>3.7966768640025128</v>
      </c>
      <c r="ES93" s="162"/>
      <c r="ET93" s="162">
        <f t="shared" si="213"/>
        <v>1.7000000000000011</v>
      </c>
      <c r="EU93" s="170">
        <f t="shared" si="214"/>
        <v>1.7000000000000011</v>
      </c>
      <c r="EV93" s="162">
        <f t="shared" si="134"/>
        <v>3.7966768640025128</v>
      </c>
      <c r="EW93" s="171">
        <f t="shared" si="215"/>
        <v>3.7966768640025128</v>
      </c>
      <c r="EX93" s="162"/>
    </row>
    <row r="94" spans="20:154" s="181" customFormat="1" x14ac:dyDescent="0.25">
      <c r="T94" s="162">
        <f t="shared" si="135"/>
        <v>1.7200000000000011</v>
      </c>
      <c r="U94" s="170">
        <f t="shared" si="136"/>
        <v>1.7200000000000011</v>
      </c>
      <c r="V94" s="162">
        <f t="shared" si="108"/>
        <v>3.7225246621639405</v>
      </c>
      <c r="W94" s="171">
        <f t="shared" si="137"/>
        <v>3.7225246621639405</v>
      </c>
      <c r="X94" s="162"/>
      <c r="Y94" s="162">
        <f t="shared" si="138"/>
        <v>1.7200000000000011</v>
      </c>
      <c r="Z94" s="162">
        <f t="shared" si="139"/>
        <v>1.7200000000000011</v>
      </c>
      <c r="AA94" s="162">
        <f t="shared" si="109"/>
        <v>3.7225246621639405</v>
      </c>
      <c r="AB94" s="171">
        <f t="shared" si="140"/>
        <v>3.7225246621639405</v>
      </c>
      <c r="AC94" s="162"/>
      <c r="AD94" s="162">
        <f t="shared" si="141"/>
        <v>1.7200000000000011</v>
      </c>
      <c r="AE94" s="170">
        <f t="shared" si="142"/>
        <v>1.7200000000000011</v>
      </c>
      <c r="AF94" s="162">
        <f t="shared" si="110"/>
        <v>3.7225246621639405</v>
      </c>
      <c r="AG94" s="171">
        <f t="shared" si="143"/>
        <v>3.7225246621639405</v>
      </c>
      <c r="AH94" s="162"/>
      <c r="AI94" s="162">
        <f t="shared" si="144"/>
        <v>1.7200000000000011</v>
      </c>
      <c r="AJ94" s="170">
        <f t="shared" si="145"/>
        <v>1.7200000000000011</v>
      </c>
      <c r="AK94" s="162">
        <f t="shared" si="111"/>
        <v>3.7225246621639405</v>
      </c>
      <c r="AL94" s="171">
        <f t="shared" si="146"/>
        <v>3.7225246621639405</v>
      </c>
      <c r="AM94" s="162"/>
      <c r="AN94" s="162">
        <f t="shared" si="147"/>
        <v>1.7200000000000011</v>
      </c>
      <c r="AO94" s="162">
        <f t="shared" si="148"/>
        <v>1.7200000000000011</v>
      </c>
      <c r="AP94" s="162">
        <f t="shared" si="112"/>
        <v>3.7225246621639405</v>
      </c>
      <c r="AQ94" s="171">
        <f t="shared" si="149"/>
        <v>3.7225246621639405</v>
      </c>
      <c r="AR94" s="162"/>
      <c r="AS94" s="162">
        <f t="shared" si="150"/>
        <v>1.7200000000000011</v>
      </c>
      <c r="AT94" s="170">
        <f t="shared" si="151"/>
        <v>1.7200000000000011</v>
      </c>
      <c r="AU94" s="162">
        <f t="shared" si="113"/>
        <v>3.7225246621639405</v>
      </c>
      <c r="AV94" s="171">
        <f t="shared" si="152"/>
        <v>3.7225246621639405</v>
      </c>
      <c r="AW94" s="162"/>
      <c r="AX94" s="162">
        <f t="shared" si="153"/>
        <v>1.7200000000000011</v>
      </c>
      <c r="AY94" s="170">
        <f t="shared" si="154"/>
        <v>1.7200000000000011</v>
      </c>
      <c r="AZ94" s="162">
        <f t="shared" si="114"/>
        <v>3.7225246621639405</v>
      </c>
      <c r="BA94" s="171">
        <f t="shared" si="155"/>
        <v>3.7225246621639405</v>
      </c>
      <c r="BB94" s="162"/>
      <c r="BC94" s="162">
        <f t="shared" si="156"/>
        <v>1.7200000000000011</v>
      </c>
      <c r="BD94" s="162">
        <f t="shared" si="157"/>
        <v>1.7200000000000011</v>
      </c>
      <c r="BE94" s="162">
        <f t="shared" si="115"/>
        <v>3.7225246621639405</v>
      </c>
      <c r="BF94" s="171">
        <f t="shared" si="158"/>
        <v>3.7225246621639405</v>
      </c>
      <c r="BG94" s="162"/>
      <c r="BH94" s="162">
        <f t="shared" si="159"/>
        <v>1.7200000000000011</v>
      </c>
      <c r="BI94" s="170">
        <f t="shared" si="160"/>
        <v>1.7200000000000011</v>
      </c>
      <c r="BJ94" s="162">
        <f t="shared" si="116"/>
        <v>3.7225246621639405</v>
      </c>
      <c r="BK94" s="171">
        <f t="shared" si="161"/>
        <v>3.7225246621639405</v>
      </c>
      <c r="BL94" s="162"/>
      <c r="BM94" s="162">
        <f t="shared" si="162"/>
        <v>1.7200000000000011</v>
      </c>
      <c r="BN94" s="170">
        <f t="shared" si="163"/>
        <v>1.7200000000000011</v>
      </c>
      <c r="BO94" s="162">
        <f t="shared" si="117"/>
        <v>3.7225246621639405</v>
      </c>
      <c r="BP94" s="171">
        <f t="shared" si="164"/>
        <v>3.7225246621639405</v>
      </c>
      <c r="BQ94" s="162"/>
      <c r="BR94" s="162">
        <f t="shared" si="165"/>
        <v>1.7200000000000011</v>
      </c>
      <c r="BS94" s="162">
        <f t="shared" si="166"/>
        <v>1.7200000000000011</v>
      </c>
      <c r="BT94" s="162">
        <f t="shared" si="118"/>
        <v>3.7225246621639405</v>
      </c>
      <c r="BU94" s="171">
        <f t="shared" si="167"/>
        <v>3.7225246621639405</v>
      </c>
      <c r="BV94" s="162"/>
      <c r="BW94" s="162">
        <f t="shared" si="168"/>
        <v>1.7200000000000011</v>
      </c>
      <c r="BX94" s="170">
        <f t="shared" si="169"/>
        <v>1.7200000000000011</v>
      </c>
      <c r="BY94" s="162">
        <f t="shared" si="119"/>
        <v>3.7225246621639405</v>
      </c>
      <c r="BZ94" s="171">
        <f t="shared" si="170"/>
        <v>3.7225246621639405</v>
      </c>
      <c r="CA94" s="162"/>
      <c r="CB94" s="162">
        <f t="shared" si="171"/>
        <v>1.7200000000000011</v>
      </c>
      <c r="CC94" s="170">
        <f t="shared" si="172"/>
        <v>1.7200000000000011</v>
      </c>
      <c r="CD94" s="162">
        <f t="shared" si="120"/>
        <v>3.7225246621639405</v>
      </c>
      <c r="CE94" s="171">
        <f t="shared" si="173"/>
        <v>3.7225246621639405</v>
      </c>
      <c r="CF94" s="162"/>
      <c r="CG94" s="172">
        <f t="shared" si="174"/>
        <v>1.7200000000000011</v>
      </c>
      <c r="CH94" s="172">
        <f t="shared" si="175"/>
        <v>1.7200000000000011</v>
      </c>
      <c r="CI94" s="172">
        <f t="shared" si="121"/>
        <v>3.7225246621639405</v>
      </c>
      <c r="CJ94" s="171">
        <f t="shared" si="176"/>
        <v>3.7225246621639405</v>
      </c>
      <c r="CK94" s="172"/>
      <c r="CL94" s="162">
        <f t="shared" si="177"/>
        <v>1.7200000000000011</v>
      </c>
      <c r="CM94" s="170">
        <f t="shared" si="178"/>
        <v>1.7200000000000011</v>
      </c>
      <c r="CN94" s="162">
        <f t="shared" si="122"/>
        <v>3.7225246621639405</v>
      </c>
      <c r="CO94" s="171">
        <f t="shared" si="179"/>
        <v>3.7225246621639405</v>
      </c>
      <c r="CP94" s="162"/>
      <c r="CQ94" s="162">
        <f t="shared" si="180"/>
        <v>1.7200000000000011</v>
      </c>
      <c r="CR94" s="170">
        <f t="shared" si="181"/>
        <v>1.7200000000000011</v>
      </c>
      <c r="CS94" s="162">
        <f t="shared" si="123"/>
        <v>3.7225246621639405</v>
      </c>
      <c r="CT94" s="171">
        <f t="shared" si="182"/>
        <v>3.7225246621639405</v>
      </c>
      <c r="CU94" s="162"/>
      <c r="CV94" s="162">
        <f t="shared" si="183"/>
        <v>1.7200000000000011</v>
      </c>
      <c r="CW94" s="162">
        <f t="shared" si="184"/>
        <v>1.7200000000000011</v>
      </c>
      <c r="CX94" s="162">
        <f t="shared" si="124"/>
        <v>3.7225246621639405</v>
      </c>
      <c r="CY94" s="171">
        <f t="shared" si="185"/>
        <v>3.7225246621639405</v>
      </c>
      <c r="CZ94" s="162"/>
      <c r="DA94" s="162">
        <f t="shared" si="186"/>
        <v>1.7200000000000011</v>
      </c>
      <c r="DB94" s="170">
        <f t="shared" si="187"/>
        <v>1.7200000000000011</v>
      </c>
      <c r="DC94" s="162">
        <f t="shared" si="125"/>
        <v>3.7225246621639405</v>
      </c>
      <c r="DD94" s="171">
        <f t="shared" si="188"/>
        <v>3.7225246621639405</v>
      </c>
      <c r="DE94" s="162"/>
      <c r="DF94" s="162">
        <f t="shared" si="189"/>
        <v>1.7200000000000011</v>
      </c>
      <c r="DG94" s="170">
        <f t="shared" si="190"/>
        <v>1.7200000000000011</v>
      </c>
      <c r="DH94" s="162">
        <f t="shared" si="126"/>
        <v>3.7225246621639405</v>
      </c>
      <c r="DI94" s="171">
        <f t="shared" si="191"/>
        <v>3.7225246621639405</v>
      </c>
      <c r="DJ94" s="162"/>
      <c r="DK94" s="162">
        <f t="shared" si="192"/>
        <v>1.7200000000000011</v>
      </c>
      <c r="DL94" s="162">
        <f t="shared" si="193"/>
        <v>1.7200000000000011</v>
      </c>
      <c r="DM94" s="162">
        <f t="shared" si="127"/>
        <v>3.7225246621639405</v>
      </c>
      <c r="DN94" s="171">
        <f t="shared" si="194"/>
        <v>3.7225246621639405</v>
      </c>
      <c r="DO94" s="162"/>
      <c r="DP94" s="162">
        <f t="shared" si="195"/>
        <v>1.7200000000000011</v>
      </c>
      <c r="DQ94" s="170">
        <f t="shared" si="196"/>
        <v>1.7200000000000011</v>
      </c>
      <c r="DR94" s="162">
        <f t="shared" si="128"/>
        <v>3.7225246621639405</v>
      </c>
      <c r="DS94" s="171">
        <f t="shared" si="197"/>
        <v>3.7225246621639405</v>
      </c>
      <c r="DT94" s="162"/>
      <c r="DU94" s="162">
        <f t="shared" si="198"/>
        <v>1.7200000000000011</v>
      </c>
      <c r="DV94" s="170">
        <f t="shared" si="199"/>
        <v>1.7200000000000011</v>
      </c>
      <c r="DW94" s="162">
        <f t="shared" si="129"/>
        <v>3.7225246621639405</v>
      </c>
      <c r="DX94" s="171">
        <f t="shared" si="200"/>
        <v>3.7225246621639405</v>
      </c>
      <c r="DY94" s="162"/>
      <c r="DZ94" s="162">
        <f t="shared" si="201"/>
        <v>1.7200000000000011</v>
      </c>
      <c r="EA94" s="162">
        <f t="shared" si="202"/>
        <v>1.7200000000000011</v>
      </c>
      <c r="EB94" s="162">
        <f t="shared" si="130"/>
        <v>3.7225246621639405</v>
      </c>
      <c r="EC94" s="171">
        <f t="shared" si="203"/>
        <v>3.7225246621639405</v>
      </c>
      <c r="ED94" s="162"/>
      <c r="EE94" s="162">
        <f t="shared" si="204"/>
        <v>1.7200000000000011</v>
      </c>
      <c r="EF94" s="170">
        <f t="shared" si="205"/>
        <v>1.7200000000000011</v>
      </c>
      <c r="EG94" s="162">
        <f t="shared" si="131"/>
        <v>3.7225246621639405</v>
      </c>
      <c r="EH94" s="171">
        <f t="shared" si="206"/>
        <v>3.7225246621639405</v>
      </c>
      <c r="EI94" s="162"/>
      <c r="EJ94" s="162">
        <f t="shared" si="207"/>
        <v>1.7200000000000011</v>
      </c>
      <c r="EK94" s="170">
        <f t="shared" si="208"/>
        <v>1.7200000000000011</v>
      </c>
      <c r="EL94" s="162">
        <f t="shared" si="132"/>
        <v>3.7225246621639405</v>
      </c>
      <c r="EM94" s="171">
        <f t="shared" si="209"/>
        <v>3.7225246621639405</v>
      </c>
      <c r="EN94" s="162"/>
      <c r="EO94" s="162">
        <f t="shared" si="210"/>
        <v>1.7200000000000011</v>
      </c>
      <c r="EP94" s="162">
        <f t="shared" si="211"/>
        <v>1.7200000000000011</v>
      </c>
      <c r="EQ94" s="162">
        <f t="shared" si="133"/>
        <v>3.7225246621639405</v>
      </c>
      <c r="ER94" s="171">
        <f t="shared" si="212"/>
        <v>3.7225246621639405</v>
      </c>
      <c r="ES94" s="162"/>
      <c r="ET94" s="162">
        <f t="shared" si="213"/>
        <v>1.7200000000000011</v>
      </c>
      <c r="EU94" s="170">
        <f t="shared" si="214"/>
        <v>1.7200000000000011</v>
      </c>
      <c r="EV94" s="162">
        <f t="shared" si="134"/>
        <v>3.7225246621639405</v>
      </c>
      <c r="EW94" s="171">
        <f t="shared" si="215"/>
        <v>3.7225246621639405</v>
      </c>
      <c r="EX94" s="162"/>
    </row>
    <row r="95" spans="20:154" s="181" customFormat="1" x14ac:dyDescent="0.25">
      <c r="T95" s="162">
        <f t="shared" si="135"/>
        <v>1.7400000000000011</v>
      </c>
      <c r="U95" s="170">
        <f t="shared" si="136"/>
        <v>1.7400000000000011</v>
      </c>
      <c r="V95" s="162">
        <f t="shared" si="108"/>
        <v>3.6456639475975221</v>
      </c>
      <c r="W95" s="171">
        <f t="shared" si="137"/>
        <v>3.6456639475975221</v>
      </c>
      <c r="X95" s="162"/>
      <c r="Y95" s="162">
        <f t="shared" si="138"/>
        <v>1.7400000000000011</v>
      </c>
      <c r="Z95" s="162">
        <f t="shared" si="139"/>
        <v>1.7400000000000011</v>
      </c>
      <c r="AA95" s="162">
        <f t="shared" si="109"/>
        <v>3.6456639475975221</v>
      </c>
      <c r="AB95" s="171">
        <f t="shared" si="140"/>
        <v>3.6456639475975221</v>
      </c>
      <c r="AC95" s="162"/>
      <c r="AD95" s="162">
        <f t="shared" si="141"/>
        <v>1.7400000000000011</v>
      </c>
      <c r="AE95" s="170">
        <f t="shared" si="142"/>
        <v>1.7400000000000011</v>
      </c>
      <c r="AF95" s="162">
        <f t="shared" si="110"/>
        <v>3.6456639475975221</v>
      </c>
      <c r="AG95" s="171">
        <f t="shared" si="143"/>
        <v>3.6456639475975221</v>
      </c>
      <c r="AH95" s="162"/>
      <c r="AI95" s="162">
        <f t="shared" si="144"/>
        <v>1.7400000000000011</v>
      </c>
      <c r="AJ95" s="170">
        <f t="shared" si="145"/>
        <v>1.7400000000000011</v>
      </c>
      <c r="AK95" s="162">
        <f t="shared" si="111"/>
        <v>3.6456639475975221</v>
      </c>
      <c r="AL95" s="171">
        <f t="shared" si="146"/>
        <v>3.6456639475975221</v>
      </c>
      <c r="AM95" s="162"/>
      <c r="AN95" s="162">
        <f t="shared" si="147"/>
        <v>1.7400000000000011</v>
      </c>
      <c r="AO95" s="162">
        <f t="shared" si="148"/>
        <v>1.7400000000000011</v>
      </c>
      <c r="AP95" s="162">
        <f t="shared" si="112"/>
        <v>3.6456639475975221</v>
      </c>
      <c r="AQ95" s="171">
        <f t="shared" si="149"/>
        <v>3.6456639475975221</v>
      </c>
      <c r="AR95" s="162"/>
      <c r="AS95" s="162">
        <f t="shared" si="150"/>
        <v>1.7400000000000011</v>
      </c>
      <c r="AT95" s="170">
        <f t="shared" si="151"/>
        <v>1.7400000000000011</v>
      </c>
      <c r="AU95" s="162">
        <f t="shared" si="113"/>
        <v>3.6456639475975221</v>
      </c>
      <c r="AV95" s="171">
        <f t="shared" si="152"/>
        <v>3.6456639475975221</v>
      </c>
      <c r="AW95" s="162"/>
      <c r="AX95" s="162">
        <f t="shared" si="153"/>
        <v>1.7400000000000011</v>
      </c>
      <c r="AY95" s="170">
        <f t="shared" si="154"/>
        <v>1.7400000000000011</v>
      </c>
      <c r="AZ95" s="162">
        <f t="shared" si="114"/>
        <v>3.6456639475975221</v>
      </c>
      <c r="BA95" s="171">
        <f t="shared" si="155"/>
        <v>3.6456639475975221</v>
      </c>
      <c r="BB95" s="162"/>
      <c r="BC95" s="162">
        <f t="shared" si="156"/>
        <v>1.7400000000000011</v>
      </c>
      <c r="BD95" s="162">
        <f t="shared" si="157"/>
        <v>1.7400000000000011</v>
      </c>
      <c r="BE95" s="162">
        <f t="shared" si="115"/>
        <v>3.6456639475975221</v>
      </c>
      <c r="BF95" s="171">
        <f t="shared" si="158"/>
        <v>3.6456639475975221</v>
      </c>
      <c r="BG95" s="162"/>
      <c r="BH95" s="162">
        <f t="shared" si="159"/>
        <v>1.7400000000000011</v>
      </c>
      <c r="BI95" s="170">
        <f t="shared" si="160"/>
        <v>1.7400000000000011</v>
      </c>
      <c r="BJ95" s="162">
        <f t="shared" si="116"/>
        <v>3.6456639475975221</v>
      </c>
      <c r="BK95" s="171">
        <f t="shared" si="161"/>
        <v>3.6456639475975221</v>
      </c>
      <c r="BL95" s="162"/>
      <c r="BM95" s="162">
        <f t="shared" si="162"/>
        <v>1.7400000000000011</v>
      </c>
      <c r="BN95" s="170">
        <f t="shared" si="163"/>
        <v>1.7400000000000011</v>
      </c>
      <c r="BO95" s="162">
        <f t="shared" si="117"/>
        <v>3.6456639475975221</v>
      </c>
      <c r="BP95" s="171">
        <f t="shared" si="164"/>
        <v>3.6456639475975221</v>
      </c>
      <c r="BQ95" s="162"/>
      <c r="BR95" s="162">
        <f t="shared" si="165"/>
        <v>1.7400000000000011</v>
      </c>
      <c r="BS95" s="162">
        <f t="shared" si="166"/>
        <v>1.7400000000000011</v>
      </c>
      <c r="BT95" s="162">
        <f t="shared" si="118"/>
        <v>3.6456639475975221</v>
      </c>
      <c r="BU95" s="171">
        <f t="shared" si="167"/>
        <v>3.6456639475975221</v>
      </c>
      <c r="BV95" s="162"/>
      <c r="BW95" s="162">
        <f t="shared" si="168"/>
        <v>1.7400000000000011</v>
      </c>
      <c r="BX95" s="170">
        <f t="shared" si="169"/>
        <v>1.7400000000000011</v>
      </c>
      <c r="BY95" s="162">
        <f t="shared" si="119"/>
        <v>3.6456639475975221</v>
      </c>
      <c r="BZ95" s="171">
        <f t="shared" si="170"/>
        <v>3.6456639475975221</v>
      </c>
      <c r="CA95" s="162"/>
      <c r="CB95" s="162">
        <f t="shared" si="171"/>
        <v>1.7400000000000011</v>
      </c>
      <c r="CC95" s="170">
        <f t="shared" si="172"/>
        <v>1.7400000000000011</v>
      </c>
      <c r="CD95" s="162">
        <f t="shared" si="120"/>
        <v>3.6456639475975221</v>
      </c>
      <c r="CE95" s="171">
        <f t="shared" si="173"/>
        <v>3.6456639475975221</v>
      </c>
      <c r="CF95" s="162"/>
      <c r="CG95" s="172">
        <f t="shared" si="174"/>
        <v>1.7400000000000011</v>
      </c>
      <c r="CH95" s="172">
        <f t="shared" si="175"/>
        <v>1.7400000000000011</v>
      </c>
      <c r="CI95" s="172">
        <f t="shared" si="121"/>
        <v>3.6456639475975221</v>
      </c>
      <c r="CJ95" s="171">
        <f t="shared" si="176"/>
        <v>3.6456639475975221</v>
      </c>
      <c r="CK95" s="172"/>
      <c r="CL95" s="162">
        <f t="shared" si="177"/>
        <v>1.7400000000000011</v>
      </c>
      <c r="CM95" s="170">
        <f t="shared" si="178"/>
        <v>1.7400000000000011</v>
      </c>
      <c r="CN95" s="162">
        <f t="shared" si="122"/>
        <v>3.6456639475975221</v>
      </c>
      <c r="CO95" s="171">
        <f t="shared" si="179"/>
        <v>3.6456639475975221</v>
      </c>
      <c r="CP95" s="162"/>
      <c r="CQ95" s="162">
        <f t="shared" si="180"/>
        <v>1.7400000000000011</v>
      </c>
      <c r="CR95" s="170">
        <f t="shared" si="181"/>
        <v>1.7400000000000011</v>
      </c>
      <c r="CS95" s="162">
        <f t="shared" si="123"/>
        <v>3.6456639475975221</v>
      </c>
      <c r="CT95" s="171">
        <f t="shared" si="182"/>
        <v>3.6456639475975221</v>
      </c>
      <c r="CU95" s="162"/>
      <c r="CV95" s="162">
        <f t="shared" si="183"/>
        <v>1.7400000000000011</v>
      </c>
      <c r="CW95" s="162">
        <f t="shared" si="184"/>
        <v>1.7400000000000011</v>
      </c>
      <c r="CX95" s="162">
        <f t="shared" si="124"/>
        <v>3.6456639475975221</v>
      </c>
      <c r="CY95" s="171">
        <f t="shared" si="185"/>
        <v>3.6456639475975221</v>
      </c>
      <c r="CZ95" s="162"/>
      <c r="DA95" s="162">
        <f t="shared" si="186"/>
        <v>1.7400000000000011</v>
      </c>
      <c r="DB95" s="170">
        <f t="shared" si="187"/>
        <v>1.7400000000000011</v>
      </c>
      <c r="DC95" s="162">
        <f t="shared" si="125"/>
        <v>3.6456639475975221</v>
      </c>
      <c r="DD95" s="171">
        <f t="shared" si="188"/>
        <v>3.6456639475975221</v>
      </c>
      <c r="DE95" s="162"/>
      <c r="DF95" s="162">
        <f t="shared" si="189"/>
        <v>1.7400000000000011</v>
      </c>
      <c r="DG95" s="170">
        <f t="shared" si="190"/>
        <v>1.7400000000000011</v>
      </c>
      <c r="DH95" s="162">
        <f t="shared" si="126"/>
        <v>3.6456639475975221</v>
      </c>
      <c r="DI95" s="171">
        <f t="shared" si="191"/>
        <v>3.6456639475975221</v>
      </c>
      <c r="DJ95" s="162"/>
      <c r="DK95" s="162">
        <f t="shared" si="192"/>
        <v>1.7400000000000011</v>
      </c>
      <c r="DL95" s="162">
        <f t="shared" si="193"/>
        <v>1.7400000000000011</v>
      </c>
      <c r="DM95" s="162">
        <f t="shared" si="127"/>
        <v>3.6456639475975221</v>
      </c>
      <c r="DN95" s="171">
        <f t="shared" si="194"/>
        <v>3.6456639475975221</v>
      </c>
      <c r="DO95" s="162"/>
      <c r="DP95" s="162">
        <f t="shared" si="195"/>
        <v>1.7400000000000011</v>
      </c>
      <c r="DQ95" s="170">
        <f t="shared" si="196"/>
        <v>1.7400000000000011</v>
      </c>
      <c r="DR95" s="162">
        <f t="shared" si="128"/>
        <v>3.6456639475975221</v>
      </c>
      <c r="DS95" s="171">
        <f t="shared" si="197"/>
        <v>3.6456639475975221</v>
      </c>
      <c r="DT95" s="162"/>
      <c r="DU95" s="162">
        <f t="shared" si="198"/>
        <v>1.7400000000000011</v>
      </c>
      <c r="DV95" s="170">
        <f t="shared" si="199"/>
        <v>1.7400000000000011</v>
      </c>
      <c r="DW95" s="162">
        <f t="shared" si="129"/>
        <v>3.6456639475975221</v>
      </c>
      <c r="DX95" s="171">
        <f t="shared" si="200"/>
        <v>3.6456639475975221</v>
      </c>
      <c r="DY95" s="162"/>
      <c r="DZ95" s="162">
        <f t="shared" si="201"/>
        <v>1.7400000000000011</v>
      </c>
      <c r="EA95" s="162">
        <f t="shared" si="202"/>
        <v>1.7400000000000011</v>
      </c>
      <c r="EB95" s="162">
        <f t="shared" si="130"/>
        <v>3.6456639475975221</v>
      </c>
      <c r="EC95" s="171">
        <f t="shared" si="203"/>
        <v>3.6456639475975221</v>
      </c>
      <c r="ED95" s="162"/>
      <c r="EE95" s="162">
        <f t="shared" si="204"/>
        <v>1.7400000000000011</v>
      </c>
      <c r="EF95" s="170">
        <f t="shared" si="205"/>
        <v>1.7400000000000011</v>
      </c>
      <c r="EG95" s="162">
        <f t="shared" si="131"/>
        <v>3.6456639475975221</v>
      </c>
      <c r="EH95" s="171">
        <f t="shared" si="206"/>
        <v>3.6456639475975221</v>
      </c>
      <c r="EI95" s="162"/>
      <c r="EJ95" s="162">
        <f t="shared" si="207"/>
        <v>1.7400000000000011</v>
      </c>
      <c r="EK95" s="170">
        <f t="shared" si="208"/>
        <v>1.7400000000000011</v>
      </c>
      <c r="EL95" s="162">
        <f t="shared" si="132"/>
        <v>3.6456639475975221</v>
      </c>
      <c r="EM95" s="171">
        <f t="shared" si="209"/>
        <v>3.6456639475975221</v>
      </c>
      <c r="EN95" s="162"/>
      <c r="EO95" s="162">
        <f t="shared" si="210"/>
        <v>1.7400000000000011</v>
      </c>
      <c r="EP95" s="162">
        <f t="shared" si="211"/>
        <v>1.7400000000000011</v>
      </c>
      <c r="EQ95" s="162">
        <f t="shared" si="133"/>
        <v>3.6456639475975221</v>
      </c>
      <c r="ER95" s="171">
        <f t="shared" si="212"/>
        <v>3.6456639475975221</v>
      </c>
      <c r="ES95" s="162"/>
      <c r="ET95" s="162">
        <f t="shared" si="213"/>
        <v>1.7400000000000011</v>
      </c>
      <c r="EU95" s="170">
        <f t="shared" si="214"/>
        <v>1.7400000000000011</v>
      </c>
      <c r="EV95" s="162">
        <f t="shared" si="134"/>
        <v>3.6456639475975221</v>
      </c>
      <c r="EW95" s="171">
        <f t="shared" si="215"/>
        <v>3.6456639475975221</v>
      </c>
      <c r="EX95" s="162"/>
    </row>
    <row r="96" spans="20:154" s="181" customFormat="1" x14ac:dyDescent="0.25">
      <c r="T96" s="162">
        <f t="shared" si="135"/>
        <v>1.7600000000000011</v>
      </c>
      <c r="U96" s="170">
        <f t="shared" si="136"/>
        <v>1.7600000000000011</v>
      </c>
      <c r="V96" s="162">
        <f t="shared" si="108"/>
        <v>3.5660947203032576</v>
      </c>
      <c r="W96" s="171">
        <f t="shared" si="137"/>
        <v>3.5660947203032576</v>
      </c>
      <c r="X96" s="162"/>
      <c r="Y96" s="162">
        <f t="shared" si="138"/>
        <v>1.7600000000000011</v>
      </c>
      <c r="Z96" s="162">
        <f t="shared" si="139"/>
        <v>1.7600000000000011</v>
      </c>
      <c r="AA96" s="162">
        <f t="shared" si="109"/>
        <v>3.5660947203032576</v>
      </c>
      <c r="AB96" s="171">
        <f t="shared" si="140"/>
        <v>3.5660947203032576</v>
      </c>
      <c r="AC96" s="162"/>
      <c r="AD96" s="162">
        <f t="shared" si="141"/>
        <v>1.7600000000000011</v>
      </c>
      <c r="AE96" s="170">
        <f t="shared" si="142"/>
        <v>1.7600000000000011</v>
      </c>
      <c r="AF96" s="162">
        <f t="shared" si="110"/>
        <v>3.5660947203032576</v>
      </c>
      <c r="AG96" s="171">
        <f t="shared" si="143"/>
        <v>3.5660947203032576</v>
      </c>
      <c r="AH96" s="162"/>
      <c r="AI96" s="162">
        <f t="shared" si="144"/>
        <v>1.7600000000000011</v>
      </c>
      <c r="AJ96" s="170">
        <f t="shared" si="145"/>
        <v>1.7600000000000011</v>
      </c>
      <c r="AK96" s="162">
        <f t="shared" si="111"/>
        <v>3.5660947203032576</v>
      </c>
      <c r="AL96" s="171">
        <f t="shared" si="146"/>
        <v>3.5660947203032576</v>
      </c>
      <c r="AM96" s="162"/>
      <c r="AN96" s="162">
        <f t="shared" si="147"/>
        <v>1.7600000000000011</v>
      </c>
      <c r="AO96" s="162">
        <f t="shared" si="148"/>
        <v>1.7600000000000011</v>
      </c>
      <c r="AP96" s="162">
        <f t="shared" si="112"/>
        <v>3.5660947203032576</v>
      </c>
      <c r="AQ96" s="171">
        <f t="shared" si="149"/>
        <v>3.5660947203032576</v>
      </c>
      <c r="AR96" s="162"/>
      <c r="AS96" s="162">
        <f t="shared" si="150"/>
        <v>1.7600000000000011</v>
      </c>
      <c r="AT96" s="170">
        <f t="shared" si="151"/>
        <v>1.7600000000000011</v>
      </c>
      <c r="AU96" s="162">
        <f t="shared" si="113"/>
        <v>3.5660947203032576</v>
      </c>
      <c r="AV96" s="171">
        <f t="shared" si="152"/>
        <v>3.5660947203032576</v>
      </c>
      <c r="AW96" s="162"/>
      <c r="AX96" s="162">
        <f t="shared" si="153"/>
        <v>1.7600000000000011</v>
      </c>
      <c r="AY96" s="170">
        <f t="shared" si="154"/>
        <v>1.7600000000000011</v>
      </c>
      <c r="AZ96" s="162">
        <f t="shared" si="114"/>
        <v>3.5660947203032576</v>
      </c>
      <c r="BA96" s="171">
        <f t="shared" si="155"/>
        <v>3.5660947203032576</v>
      </c>
      <c r="BB96" s="162"/>
      <c r="BC96" s="162">
        <f t="shared" si="156"/>
        <v>1.7600000000000011</v>
      </c>
      <c r="BD96" s="162">
        <f t="shared" si="157"/>
        <v>1.7600000000000011</v>
      </c>
      <c r="BE96" s="162">
        <f t="shared" si="115"/>
        <v>3.5660947203032576</v>
      </c>
      <c r="BF96" s="171">
        <f t="shared" si="158"/>
        <v>3.5660947203032576</v>
      </c>
      <c r="BG96" s="162"/>
      <c r="BH96" s="162">
        <f t="shared" si="159"/>
        <v>1.7600000000000011</v>
      </c>
      <c r="BI96" s="170">
        <f t="shared" si="160"/>
        <v>1.7600000000000011</v>
      </c>
      <c r="BJ96" s="162">
        <f t="shared" si="116"/>
        <v>3.5660947203032576</v>
      </c>
      <c r="BK96" s="171">
        <f t="shared" si="161"/>
        <v>3.5660947203032576</v>
      </c>
      <c r="BL96" s="162"/>
      <c r="BM96" s="162">
        <f t="shared" si="162"/>
        <v>1.7600000000000011</v>
      </c>
      <c r="BN96" s="170">
        <f t="shared" si="163"/>
        <v>1.7600000000000011</v>
      </c>
      <c r="BO96" s="162">
        <f t="shared" si="117"/>
        <v>3.5660947203032576</v>
      </c>
      <c r="BP96" s="171">
        <f t="shared" si="164"/>
        <v>3.5660947203032576</v>
      </c>
      <c r="BQ96" s="162"/>
      <c r="BR96" s="162">
        <f t="shared" si="165"/>
        <v>1.7600000000000011</v>
      </c>
      <c r="BS96" s="162">
        <f t="shared" si="166"/>
        <v>1.7600000000000011</v>
      </c>
      <c r="BT96" s="162">
        <f t="shared" si="118"/>
        <v>3.5660947203032576</v>
      </c>
      <c r="BU96" s="171">
        <f t="shared" si="167"/>
        <v>3.5660947203032576</v>
      </c>
      <c r="BV96" s="162"/>
      <c r="BW96" s="162">
        <f t="shared" si="168"/>
        <v>1.7600000000000011</v>
      </c>
      <c r="BX96" s="170">
        <f t="shared" si="169"/>
        <v>1.7600000000000011</v>
      </c>
      <c r="BY96" s="162">
        <f t="shared" si="119"/>
        <v>3.5660947203032576</v>
      </c>
      <c r="BZ96" s="171">
        <f t="shared" si="170"/>
        <v>3.5660947203032576</v>
      </c>
      <c r="CA96" s="162"/>
      <c r="CB96" s="162">
        <f t="shared" si="171"/>
        <v>1.7600000000000011</v>
      </c>
      <c r="CC96" s="170">
        <f t="shared" si="172"/>
        <v>1.7600000000000011</v>
      </c>
      <c r="CD96" s="162">
        <f t="shared" si="120"/>
        <v>3.5660947203032576</v>
      </c>
      <c r="CE96" s="171">
        <f t="shared" si="173"/>
        <v>3.5660947203032576</v>
      </c>
      <c r="CF96" s="162"/>
      <c r="CG96" s="172">
        <f t="shared" si="174"/>
        <v>1.7600000000000011</v>
      </c>
      <c r="CH96" s="172">
        <f t="shared" si="175"/>
        <v>1.7600000000000011</v>
      </c>
      <c r="CI96" s="172">
        <f t="shared" si="121"/>
        <v>3.5660947203032576</v>
      </c>
      <c r="CJ96" s="171">
        <f t="shared" si="176"/>
        <v>3.5660947203032576</v>
      </c>
      <c r="CK96" s="172"/>
      <c r="CL96" s="162">
        <f t="shared" si="177"/>
        <v>1.7600000000000011</v>
      </c>
      <c r="CM96" s="170">
        <f t="shared" si="178"/>
        <v>1.7600000000000011</v>
      </c>
      <c r="CN96" s="162">
        <f t="shared" si="122"/>
        <v>3.5660947203032576</v>
      </c>
      <c r="CO96" s="171">
        <f t="shared" si="179"/>
        <v>3.5660947203032576</v>
      </c>
      <c r="CP96" s="162"/>
      <c r="CQ96" s="162">
        <f t="shared" si="180"/>
        <v>1.7600000000000011</v>
      </c>
      <c r="CR96" s="170">
        <f t="shared" si="181"/>
        <v>1.7600000000000011</v>
      </c>
      <c r="CS96" s="162">
        <f t="shared" si="123"/>
        <v>3.5660947203032576</v>
      </c>
      <c r="CT96" s="171">
        <f t="shared" si="182"/>
        <v>3.5660947203032576</v>
      </c>
      <c r="CU96" s="162"/>
      <c r="CV96" s="162">
        <f t="shared" si="183"/>
        <v>1.7600000000000011</v>
      </c>
      <c r="CW96" s="162">
        <f t="shared" si="184"/>
        <v>1.7600000000000011</v>
      </c>
      <c r="CX96" s="162">
        <f t="shared" si="124"/>
        <v>3.5660947203032576</v>
      </c>
      <c r="CY96" s="171">
        <f t="shared" si="185"/>
        <v>3.5660947203032576</v>
      </c>
      <c r="CZ96" s="162"/>
      <c r="DA96" s="162">
        <f t="shared" si="186"/>
        <v>1.7600000000000011</v>
      </c>
      <c r="DB96" s="170">
        <f t="shared" si="187"/>
        <v>1.7600000000000011</v>
      </c>
      <c r="DC96" s="162">
        <f t="shared" si="125"/>
        <v>3.5660947203032576</v>
      </c>
      <c r="DD96" s="171">
        <f t="shared" si="188"/>
        <v>3.5660947203032576</v>
      </c>
      <c r="DE96" s="162"/>
      <c r="DF96" s="162">
        <f t="shared" si="189"/>
        <v>1.7600000000000011</v>
      </c>
      <c r="DG96" s="170">
        <f t="shared" si="190"/>
        <v>1.7600000000000011</v>
      </c>
      <c r="DH96" s="162">
        <f t="shared" si="126"/>
        <v>3.5660947203032576</v>
      </c>
      <c r="DI96" s="171">
        <f t="shared" si="191"/>
        <v>3.5660947203032576</v>
      </c>
      <c r="DJ96" s="162"/>
      <c r="DK96" s="162">
        <f t="shared" si="192"/>
        <v>1.7600000000000011</v>
      </c>
      <c r="DL96" s="162">
        <f t="shared" si="193"/>
        <v>1.7600000000000011</v>
      </c>
      <c r="DM96" s="162">
        <f t="shared" si="127"/>
        <v>3.5660947203032576</v>
      </c>
      <c r="DN96" s="171">
        <f t="shared" si="194"/>
        <v>3.5660947203032576</v>
      </c>
      <c r="DO96" s="162"/>
      <c r="DP96" s="162">
        <f t="shared" si="195"/>
        <v>1.7600000000000011</v>
      </c>
      <c r="DQ96" s="170">
        <f t="shared" si="196"/>
        <v>1.7600000000000011</v>
      </c>
      <c r="DR96" s="162">
        <f t="shared" si="128"/>
        <v>3.5660947203032576</v>
      </c>
      <c r="DS96" s="171">
        <f t="shared" si="197"/>
        <v>3.5660947203032576</v>
      </c>
      <c r="DT96" s="162"/>
      <c r="DU96" s="162">
        <f t="shared" si="198"/>
        <v>1.7600000000000011</v>
      </c>
      <c r="DV96" s="170">
        <f t="shared" si="199"/>
        <v>1.7600000000000011</v>
      </c>
      <c r="DW96" s="162">
        <f t="shared" si="129"/>
        <v>3.5660947203032576</v>
      </c>
      <c r="DX96" s="171">
        <f t="shared" si="200"/>
        <v>3.5660947203032576</v>
      </c>
      <c r="DY96" s="162"/>
      <c r="DZ96" s="162">
        <f t="shared" si="201"/>
        <v>1.7600000000000011</v>
      </c>
      <c r="EA96" s="162">
        <f t="shared" si="202"/>
        <v>1.7600000000000011</v>
      </c>
      <c r="EB96" s="162">
        <f t="shared" si="130"/>
        <v>3.5660947203032576</v>
      </c>
      <c r="EC96" s="171">
        <f t="shared" si="203"/>
        <v>3.5660947203032576</v>
      </c>
      <c r="ED96" s="162"/>
      <c r="EE96" s="162">
        <f t="shared" si="204"/>
        <v>1.7600000000000011</v>
      </c>
      <c r="EF96" s="170">
        <f t="shared" si="205"/>
        <v>1.7600000000000011</v>
      </c>
      <c r="EG96" s="162">
        <f t="shared" si="131"/>
        <v>3.5660947203032576</v>
      </c>
      <c r="EH96" s="171">
        <f t="shared" si="206"/>
        <v>3.5660947203032576</v>
      </c>
      <c r="EI96" s="162"/>
      <c r="EJ96" s="162">
        <f t="shared" si="207"/>
        <v>1.7600000000000011</v>
      </c>
      <c r="EK96" s="170">
        <f t="shared" si="208"/>
        <v>1.7600000000000011</v>
      </c>
      <c r="EL96" s="162">
        <f t="shared" si="132"/>
        <v>3.5660947203032576</v>
      </c>
      <c r="EM96" s="171">
        <f t="shared" si="209"/>
        <v>3.5660947203032576</v>
      </c>
      <c r="EN96" s="162"/>
      <c r="EO96" s="162">
        <f t="shared" si="210"/>
        <v>1.7600000000000011</v>
      </c>
      <c r="EP96" s="162">
        <f t="shared" si="211"/>
        <v>1.7600000000000011</v>
      </c>
      <c r="EQ96" s="162">
        <f t="shared" si="133"/>
        <v>3.5660947203032576</v>
      </c>
      <c r="ER96" s="171">
        <f t="shared" si="212"/>
        <v>3.5660947203032576</v>
      </c>
      <c r="ES96" s="162"/>
      <c r="ET96" s="162">
        <f t="shared" si="213"/>
        <v>1.7600000000000011</v>
      </c>
      <c r="EU96" s="170">
        <f t="shared" si="214"/>
        <v>1.7600000000000011</v>
      </c>
      <c r="EV96" s="162">
        <f t="shared" si="134"/>
        <v>3.5660947203032576</v>
      </c>
      <c r="EW96" s="171">
        <f t="shared" si="215"/>
        <v>3.5660947203032576</v>
      </c>
      <c r="EX96" s="162"/>
    </row>
    <row r="97" spans="20:154" s="181" customFormat="1" x14ac:dyDescent="0.25">
      <c r="T97" s="162">
        <f t="shared" si="135"/>
        <v>1.7800000000000011</v>
      </c>
      <c r="U97" s="170">
        <f t="shared" si="136"/>
        <v>1.7800000000000011</v>
      </c>
      <c r="V97" s="162">
        <f t="shared" si="108"/>
        <v>3.4838169802811434</v>
      </c>
      <c r="W97" s="171">
        <f t="shared" si="137"/>
        <v>3.4838169802811434</v>
      </c>
      <c r="X97" s="162"/>
      <c r="Y97" s="162">
        <f t="shared" si="138"/>
        <v>1.7800000000000011</v>
      </c>
      <c r="Z97" s="162">
        <f t="shared" si="139"/>
        <v>1.7800000000000011</v>
      </c>
      <c r="AA97" s="162">
        <f t="shared" si="109"/>
        <v>3.4838169802811434</v>
      </c>
      <c r="AB97" s="171">
        <f t="shared" si="140"/>
        <v>3.4838169802811434</v>
      </c>
      <c r="AC97" s="162"/>
      <c r="AD97" s="162">
        <f t="shared" si="141"/>
        <v>1.7800000000000011</v>
      </c>
      <c r="AE97" s="170">
        <f t="shared" si="142"/>
        <v>1.7800000000000011</v>
      </c>
      <c r="AF97" s="162">
        <f t="shared" si="110"/>
        <v>3.4838169802811434</v>
      </c>
      <c r="AG97" s="171">
        <f t="shared" si="143"/>
        <v>3.4838169802811434</v>
      </c>
      <c r="AH97" s="162"/>
      <c r="AI97" s="162">
        <f t="shared" si="144"/>
        <v>1.7800000000000011</v>
      </c>
      <c r="AJ97" s="170">
        <f t="shared" si="145"/>
        <v>1.7800000000000011</v>
      </c>
      <c r="AK97" s="162">
        <f t="shared" si="111"/>
        <v>3.4838169802811434</v>
      </c>
      <c r="AL97" s="171">
        <f t="shared" si="146"/>
        <v>3.4838169802811434</v>
      </c>
      <c r="AM97" s="162"/>
      <c r="AN97" s="162">
        <f t="shared" si="147"/>
        <v>1.7800000000000011</v>
      </c>
      <c r="AO97" s="162">
        <f t="shared" si="148"/>
        <v>1.7800000000000011</v>
      </c>
      <c r="AP97" s="162">
        <f t="shared" si="112"/>
        <v>3.4838169802811434</v>
      </c>
      <c r="AQ97" s="171">
        <f t="shared" si="149"/>
        <v>3.4838169802811434</v>
      </c>
      <c r="AR97" s="162"/>
      <c r="AS97" s="162">
        <f t="shared" si="150"/>
        <v>1.7800000000000011</v>
      </c>
      <c r="AT97" s="170">
        <f t="shared" si="151"/>
        <v>1.7800000000000011</v>
      </c>
      <c r="AU97" s="162">
        <f t="shared" si="113"/>
        <v>3.4838169802811434</v>
      </c>
      <c r="AV97" s="171">
        <f t="shared" si="152"/>
        <v>3.4838169802811434</v>
      </c>
      <c r="AW97" s="162"/>
      <c r="AX97" s="162">
        <f t="shared" si="153"/>
        <v>1.7800000000000011</v>
      </c>
      <c r="AY97" s="170">
        <f t="shared" si="154"/>
        <v>1.7800000000000011</v>
      </c>
      <c r="AZ97" s="162">
        <f t="shared" si="114"/>
        <v>3.4838169802811434</v>
      </c>
      <c r="BA97" s="171">
        <f t="shared" si="155"/>
        <v>3.4838169802811434</v>
      </c>
      <c r="BB97" s="162"/>
      <c r="BC97" s="162">
        <f t="shared" si="156"/>
        <v>1.7800000000000011</v>
      </c>
      <c r="BD97" s="162">
        <f t="shared" si="157"/>
        <v>1.7800000000000011</v>
      </c>
      <c r="BE97" s="162">
        <f t="shared" si="115"/>
        <v>3.4838169802811434</v>
      </c>
      <c r="BF97" s="171">
        <f t="shared" si="158"/>
        <v>3.4838169802811434</v>
      </c>
      <c r="BG97" s="162"/>
      <c r="BH97" s="162">
        <f t="shared" si="159"/>
        <v>1.7800000000000011</v>
      </c>
      <c r="BI97" s="170">
        <f t="shared" si="160"/>
        <v>1.7800000000000011</v>
      </c>
      <c r="BJ97" s="162">
        <f t="shared" si="116"/>
        <v>3.4838169802811434</v>
      </c>
      <c r="BK97" s="171">
        <f t="shared" si="161"/>
        <v>3.4838169802811434</v>
      </c>
      <c r="BL97" s="162"/>
      <c r="BM97" s="162">
        <f t="shared" si="162"/>
        <v>1.7800000000000011</v>
      </c>
      <c r="BN97" s="170">
        <f t="shared" si="163"/>
        <v>1.7800000000000011</v>
      </c>
      <c r="BO97" s="162">
        <f t="shared" si="117"/>
        <v>3.4838169802811434</v>
      </c>
      <c r="BP97" s="171">
        <f t="shared" si="164"/>
        <v>3.4838169802811434</v>
      </c>
      <c r="BQ97" s="162"/>
      <c r="BR97" s="162">
        <f t="shared" si="165"/>
        <v>1.7800000000000011</v>
      </c>
      <c r="BS97" s="162">
        <f t="shared" si="166"/>
        <v>1.7800000000000011</v>
      </c>
      <c r="BT97" s="162">
        <f t="shared" si="118"/>
        <v>3.4838169802811434</v>
      </c>
      <c r="BU97" s="171">
        <f t="shared" si="167"/>
        <v>3.4838169802811434</v>
      </c>
      <c r="BV97" s="162"/>
      <c r="BW97" s="162">
        <f t="shared" si="168"/>
        <v>1.7800000000000011</v>
      </c>
      <c r="BX97" s="170">
        <f t="shared" si="169"/>
        <v>1.7800000000000011</v>
      </c>
      <c r="BY97" s="162">
        <f t="shared" si="119"/>
        <v>3.4838169802811434</v>
      </c>
      <c r="BZ97" s="171">
        <f t="shared" si="170"/>
        <v>3.4838169802811434</v>
      </c>
      <c r="CA97" s="162"/>
      <c r="CB97" s="162">
        <f t="shared" si="171"/>
        <v>1.7800000000000011</v>
      </c>
      <c r="CC97" s="170">
        <f t="shared" si="172"/>
        <v>1.7800000000000011</v>
      </c>
      <c r="CD97" s="162">
        <f t="shared" si="120"/>
        <v>3.4838169802811434</v>
      </c>
      <c r="CE97" s="171">
        <f t="shared" si="173"/>
        <v>3.4838169802811434</v>
      </c>
      <c r="CF97" s="162"/>
      <c r="CG97" s="172">
        <f t="shared" si="174"/>
        <v>1.7800000000000011</v>
      </c>
      <c r="CH97" s="172">
        <f t="shared" si="175"/>
        <v>1.7800000000000011</v>
      </c>
      <c r="CI97" s="172">
        <f t="shared" si="121"/>
        <v>3.4838169802811434</v>
      </c>
      <c r="CJ97" s="171">
        <f t="shared" si="176"/>
        <v>3.4838169802811434</v>
      </c>
      <c r="CK97" s="172"/>
      <c r="CL97" s="162">
        <f t="shared" si="177"/>
        <v>1.7800000000000011</v>
      </c>
      <c r="CM97" s="170">
        <f t="shared" si="178"/>
        <v>1.7800000000000011</v>
      </c>
      <c r="CN97" s="162">
        <f t="shared" si="122"/>
        <v>3.4838169802811434</v>
      </c>
      <c r="CO97" s="171">
        <f t="shared" si="179"/>
        <v>3.4838169802811434</v>
      </c>
      <c r="CP97" s="162"/>
      <c r="CQ97" s="162">
        <f t="shared" si="180"/>
        <v>1.7800000000000011</v>
      </c>
      <c r="CR97" s="170">
        <f t="shared" si="181"/>
        <v>1.7800000000000011</v>
      </c>
      <c r="CS97" s="162">
        <f t="shared" si="123"/>
        <v>3.4838169802811434</v>
      </c>
      <c r="CT97" s="171">
        <f t="shared" si="182"/>
        <v>3.4838169802811434</v>
      </c>
      <c r="CU97" s="162"/>
      <c r="CV97" s="162">
        <f t="shared" si="183"/>
        <v>1.7800000000000011</v>
      </c>
      <c r="CW97" s="162">
        <f t="shared" si="184"/>
        <v>1.7800000000000011</v>
      </c>
      <c r="CX97" s="162">
        <f t="shared" si="124"/>
        <v>3.4838169802811434</v>
      </c>
      <c r="CY97" s="171">
        <f t="shared" si="185"/>
        <v>3.4838169802811434</v>
      </c>
      <c r="CZ97" s="162"/>
      <c r="DA97" s="162">
        <f t="shared" si="186"/>
        <v>1.7800000000000011</v>
      </c>
      <c r="DB97" s="170">
        <f t="shared" si="187"/>
        <v>1.7800000000000011</v>
      </c>
      <c r="DC97" s="162">
        <f t="shared" si="125"/>
        <v>3.4838169802811434</v>
      </c>
      <c r="DD97" s="171">
        <f t="shared" si="188"/>
        <v>3.4838169802811434</v>
      </c>
      <c r="DE97" s="162"/>
      <c r="DF97" s="162">
        <f t="shared" si="189"/>
        <v>1.7800000000000011</v>
      </c>
      <c r="DG97" s="170">
        <f t="shared" si="190"/>
        <v>1.7800000000000011</v>
      </c>
      <c r="DH97" s="162">
        <f t="shared" si="126"/>
        <v>3.4838169802811434</v>
      </c>
      <c r="DI97" s="171">
        <f t="shared" si="191"/>
        <v>3.4838169802811434</v>
      </c>
      <c r="DJ97" s="162"/>
      <c r="DK97" s="162">
        <f t="shared" si="192"/>
        <v>1.7800000000000011</v>
      </c>
      <c r="DL97" s="162">
        <f t="shared" si="193"/>
        <v>1.7800000000000011</v>
      </c>
      <c r="DM97" s="162">
        <f t="shared" si="127"/>
        <v>3.4838169802811434</v>
      </c>
      <c r="DN97" s="171">
        <f t="shared" si="194"/>
        <v>3.4838169802811434</v>
      </c>
      <c r="DO97" s="162"/>
      <c r="DP97" s="162">
        <f t="shared" si="195"/>
        <v>1.7800000000000011</v>
      </c>
      <c r="DQ97" s="170">
        <f t="shared" si="196"/>
        <v>1.7800000000000011</v>
      </c>
      <c r="DR97" s="162">
        <f t="shared" si="128"/>
        <v>3.4838169802811434</v>
      </c>
      <c r="DS97" s="171">
        <f t="shared" si="197"/>
        <v>3.4838169802811434</v>
      </c>
      <c r="DT97" s="162"/>
      <c r="DU97" s="162">
        <f t="shared" si="198"/>
        <v>1.7800000000000011</v>
      </c>
      <c r="DV97" s="170">
        <f t="shared" si="199"/>
        <v>1.7800000000000011</v>
      </c>
      <c r="DW97" s="162">
        <f t="shared" si="129"/>
        <v>3.4838169802811434</v>
      </c>
      <c r="DX97" s="171">
        <f t="shared" si="200"/>
        <v>3.4838169802811434</v>
      </c>
      <c r="DY97" s="162"/>
      <c r="DZ97" s="162">
        <f t="shared" si="201"/>
        <v>1.7800000000000011</v>
      </c>
      <c r="EA97" s="162">
        <f t="shared" si="202"/>
        <v>1.7800000000000011</v>
      </c>
      <c r="EB97" s="162">
        <f t="shared" si="130"/>
        <v>3.4838169802811434</v>
      </c>
      <c r="EC97" s="171">
        <f t="shared" si="203"/>
        <v>3.4838169802811434</v>
      </c>
      <c r="ED97" s="162"/>
      <c r="EE97" s="162">
        <f t="shared" si="204"/>
        <v>1.7800000000000011</v>
      </c>
      <c r="EF97" s="170">
        <f t="shared" si="205"/>
        <v>1.7800000000000011</v>
      </c>
      <c r="EG97" s="162">
        <f t="shared" si="131"/>
        <v>3.4838169802811434</v>
      </c>
      <c r="EH97" s="171">
        <f t="shared" si="206"/>
        <v>3.4838169802811434</v>
      </c>
      <c r="EI97" s="162"/>
      <c r="EJ97" s="162">
        <f t="shared" si="207"/>
        <v>1.7800000000000011</v>
      </c>
      <c r="EK97" s="170">
        <f t="shared" si="208"/>
        <v>1.7800000000000011</v>
      </c>
      <c r="EL97" s="162">
        <f t="shared" si="132"/>
        <v>3.4838169802811434</v>
      </c>
      <c r="EM97" s="171">
        <f t="shared" si="209"/>
        <v>3.4838169802811434</v>
      </c>
      <c r="EN97" s="162"/>
      <c r="EO97" s="162">
        <f t="shared" si="210"/>
        <v>1.7800000000000011</v>
      </c>
      <c r="EP97" s="162">
        <f t="shared" si="211"/>
        <v>1.7800000000000011</v>
      </c>
      <c r="EQ97" s="162">
        <f t="shared" si="133"/>
        <v>3.4838169802811434</v>
      </c>
      <c r="ER97" s="171">
        <f t="shared" si="212"/>
        <v>3.4838169802811434</v>
      </c>
      <c r="ES97" s="162"/>
      <c r="ET97" s="162">
        <f t="shared" si="213"/>
        <v>1.7800000000000011</v>
      </c>
      <c r="EU97" s="170">
        <f t="shared" si="214"/>
        <v>1.7800000000000011</v>
      </c>
      <c r="EV97" s="162">
        <f t="shared" si="134"/>
        <v>3.4838169802811434</v>
      </c>
      <c r="EW97" s="171">
        <f t="shared" si="215"/>
        <v>3.4838169802811434</v>
      </c>
      <c r="EX97" s="162"/>
    </row>
    <row r="98" spans="20:154" s="181" customFormat="1" x14ac:dyDescent="0.25">
      <c r="T98" s="162">
        <f t="shared" si="135"/>
        <v>1.8000000000000012</v>
      </c>
      <c r="U98" s="170">
        <f t="shared" si="136"/>
        <v>1.8000000000000012</v>
      </c>
      <c r="V98" s="162">
        <f t="shared" si="108"/>
        <v>3.3988307275311831</v>
      </c>
      <c r="W98" s="171">
        <f t="shared" si="137"/>
        <v>3.3988307275311831</v>
      </c>
      <c r="X98" s="162"/>
      <c r="Y98" s="162">
        <f t="shared" si="138"/>
        <v>1.8000000000000012</v>
      </c>
      <c r="Z98" s="162">
        <f t="shared" si="139"/>
        <v>1.8000000000000012</v>
      </c>
      <c r="AA98" s="162">
        <f t="shared" si="109"/>
        <v>3.3988307275311831</v>
      </c>
      <c r="AB98" s="171">
        <f t="shared" si="140"/>
        <v>3.3988307275311831</v>
      </c>
      <c r="AC98" s="162"/>
      <c r="AD98" s="162">
        <f t="shared" si="141"/>
        <v>1.8000000000000012</v>
      </c>
      <c r="AE98" s="170">
        <f t="shared" si="142"/>
        <v>1.8000000000000012</v>
      </c>
      <c r="AF98" s="162">
        <f t="shared" si="110"/>
        <v>3.3988307275311831</v>
      </c>
      <c r="AG98" s="171">
        <f t="shared" si="143"/>
        <v>3.3988307275311831</v>
      </c>
      <c r="AH98" s="162"/>
      <c r="AI98" s="162">
        <f t="shared" si="144"/>
        <v>1.8000000000000012</v>
      </c>
      <c r="AJ98" s="170">
        <f t="shared" si="145"/>
        <v>1.8000000000000012</v>
      </c>
      <c r="AK98" s="162">
        <f t="shared" si="111"/>
        <v>3.3988307275311831</v>
      </c>
      <c r="AL98" s="171">
        <f t="shared" si="146"/>
        <v>3.3988307275311831</v>
      </c>
      <c r="AM98" s="162"/>
      <c r="AN98" s="162">
        <f t="shared" si="147"/>
        <v>1.8000000000000012</v>
      </c>
      <c r="AO98" s="162">
        <f t="shared" si="148"/>
        <v>1.8000000000000012</v>
      </c>
      <c r="AP98" s="162">
        <f t="shared" si="112"/>
        <v>3.3988307275311831</v>
      </c>
      <c r="AQ98" s="171">
        <f t="shared" si="149"/>
        <v>3.3988307275311831</v>
      </c>
      <c r="AR98" s="162"/>
      <c r="AS98" s="162">
        <f t="shared" si="150"/>
        <v>1.8000000000000012</v>
      </c>
      <c r="AT98" s="170">
        <f t="shared" si="151"/>
        <v>1.8000000000000012</v>
      </c>
      <c r="AU98" s="162">
        <f t="shared" si="113"/>
        <v>3.3988307275311831</v>
      </c>
      <c r="AV98" s="171">
        <f t="shared" si="152"/>
        <v>3.3988307275311831</v>
      </c>
      <c r="AW98" s="162"/>
      <c r="AX98" s="162">
        <f t="shared" si="153"/>
        <v>1.8000000000000012</v>
      </c>
      <c r="AY98" s="170">
        <f t="shared" si="154"/>
        <v>1.8000000000000012</v>
      </c>
      <c r="AZ98" s="162">
        <f t="shared" si="114"/>
        <v>3.3988307275311831</v>
      </c>
      <c r="BA98" s="171">
        <f t="shared" si="155"/>
        <v>3.3988307275311831</v>
      </c>
      <c r="BB98" s="162"/>
      <c r="BC98" s="162">
        <f t="shared" si="156"/>
        <v>1.8000000000000012</v>
      </c>
      <c r="BD98" s="162">
        <f t="shared" si="157"/>
        <v>1.8000000000000012</v>
      </c>
      <c r="BE98" s="162">
        <f t="shared" si="115"/>
        <v>3.3988307275311831</v>
      </c>
      <c r="BF98" s="171">
        <f t="shared" si="158"/>
        <v>3.3988307275311831</v>
      </c>
      <c r="BG98" s="162"/>
      <c r="BH98" s="162">
        <f t="shared" si="159"/>
        <v>1.8000000000000012</v>
      </c>
      <c r="BI98" s="170">
        <f t="shared" si="160"/>
        <v>1.8000000000000012</v>
      </c>
      <c r="BJ98" s="162">
        <f t="shared" si="116"/>
        <v>3.3988307275311831</v>
      </c>
      <c r="BK98" s="171">
        <f t="shared" si="161"/>
        <v>3.3988307275311831</v>
      </c>
      <c r="BL98" s="162"/>
      <c r="BM98" s="162">
        <f t="shared" si="162"/>
        <v>1.8000000000000012</v>
      </c>
      <c r="BN98" s="170">
        <f t="shared" si="163"/>
        <v>1.8000000000000012</v>
      </c>
      <c r="BO98" s="162">
        <f t="shared" si="117"/>
        <v>3.3988307275311831</v>
      </c>
      <c r="BP98" s="171">
        <f t="shared" si="164"/>
        <v>3.3988307275311831</v>
      </c>
      <c r="BQ98" s="162"/>
      <c r="BR98" s="162">
        <f t="shared" si="165"/>
        <v>1.8000000000000012</v>
      </c>
      <c r="BS98" s="162">
        <f t="shared" si="166"/>
        <v>1.8000000000000012</v>
      </c>
      <c r="BT98" s="162">
        <f t="shared" si="118"/>
        <v>3.3988307275311831</v>
      </c>
      <c r="BU98" s="171">
        <f t="shared" si="167"/>
        <v>3.3988307275311831</v>
      </c>
      <c r="BV98" s="162"/>
      <c r="BW98" s="162">
        <f t="shared" si="168"/>
        <v>1.8000000000000012</v>
      </c>
      <c r="BX98" s="170">
        <f t="shared" si="169"/>
        <v>1.8000000000000012</v>
      </c>
      <c r="BY98" s="162">
        <f t="shared" si="119"/>
        <v>3.3988307275311831</v>
      </c>
      <c r="BZ98" s="171">
        <f t="shared" si="170"/>
        <v>3.3988307275311831</v>
      </c>
      <c r="CA98" s="162"/>
      <c r="CB98" s="162">
        <f t="shared" si="171"/>
        <v>1.8000000000000012</v>
      </c>
      <c r="CC98" s="170">
        <f t="shared" si="172"/>
        <v>1.8000000000000012</v>
      </c>
      <c r="CD98" s="162">
        <f t="shared" si="120"/>
        <v>3.3988307275311831</v>
      </c>
      <c r="CE98" s="171">
        <f t="shared" si="173"/>
        <v>3.3988307275311831</v>
      </c>
      <c r="CF98" s="162"/>
      <c r="CG98" s="172">
        <f t="shared" si="174"/>
        <v>1.8000000000000012</v>
      </c>
      <c r="CH98" s="172">
        <f t="shared" si="175"/>
        <v>1.8000000000000012</v>
      </c>
      <c r="CI98" s="172">
        <f t="shared" si="121"/>
        <v>3.3988307275311831</v>
      </c>
      <c r="CJ98" s="171">
        <f t="shared" si="176"/>
        <v>3.3988307275311831</v>
      </c>
      <c r="CK98" s="172"/>
      <c r="CL98" s="162">
        <f t="shared" si="177"/>
        <v>1.8000000000000012</v>
      </c>
      <c r="CM98" s="170">
        <f t="shared" si="178"/>
        <v>1.8000000000000012</v>
      </c>
      <c r="CN98" s="162">
        <f t="shared" si="122"/>
        <v>3.3988307275311831</v>
      </c>
      <c r="CO98" s="171">
        <f t="shared" si="179"/>
        <v>3.3988307275311831</v>
      </c>
      <c r="CP98" s="162"/>
      <c r="CQ98" s="162">
        <f t="shared" si="180"/>
        <v>1.8000000000000012</v>
      </c>
      <c r="CR98" s="170">
        <f t="shared" si="181"/>
        <v>1.8000000000000012</v>
      </c>
      <c r="CS98" s="162">
        <f t="shared" si="123"/>
        <v>3.3988307275311831</v>
      </c>
      <c r="CT98" s="171">
        <f t="shared" si="182"/>
        <v>3.3988307275311831</v>
      </c>
      <c r="CU98" s="162"/>
      <c r="CV98" s="162">
        <f t="shared" si="183"/>
        <v>1.8000000000000012</v>
      </c>
      <c r="CW98" s="162">
        <f t="shared" si="184"/>
        <v>1.8000000000000012</v>
      </c>
      <c r="CX98" s="162">
        <f t="shared" si="124"/>
        <v>3.3988307275311831</v>
      </c>
      <c r="CY98" s="171">
        <f t="shared" si="185"/>
        <v>3.3988307275311831</v>
      </c>
      <c r="CZ98" s="162"/>
      <c r="DA98" s="162">
        <f t="shared" si="186"/>
        <v>1.8000000000000012</v>
      </c>
      <c r="DB98" s="170">
        <f t="shared" si="187"/>
        <v>1.8000000000000012</v>
      </c>
      <c r="DC98" s="162">
        <f t="shared" si="125"/>
        <v>3.3988307275311831</v>
      </c>
      <c r="DD98" s="171">
        <f t="shared" si="188"/>
        <v>3.3988307275311831</v>
      </c>
      <c r="DE98" s="162"/>
      <c r="DF98" s="162">
        <f t="shared" si="189"/>
        <v>1.8000000000000012</v>
      </c>
      <c r="DG98" s="170">
        <f t="shared" si="190"/>
        <v>1.8000000000000012</v>
      </c>
      <c r="DH98" s="162">
        <f t="shared" si="126"/>
        <v>3.3988307275311831</v>
      </c>
      <c r="DI98" s="171">
        <f t="shared" si="191"/>
        <v>3.3988307275311831</v>
      </c>
      <c r="DJ98" s="162"/>
      <c r="DK98" s="162">
        <f t="shared" si="192"/>
        <v>1.8000000000000012</v>
      </c>
      <c r="DL98" s="162">
        <f t="shared" si="193"/>
        <v>1.8000000000000012</v>
      </c>
      <c r="DM98" s="162">
        <f t="shared" si="127"/>
        <v>3.3988307275311831</v>
      </c>
      <c r="DN98" s="171">
        <f t="shared" si="194"/>
        <v>3.3988307275311831</v>
      </c>
      <c r="DO98" s="162"/>
      <c r="DP98" s="162">
        <f t="shared" si="195"/>
        <v>1.8000000000000012</v>
      </c>
      <c r="DQ98" s="170">
        <f t="shared" si="196"/>
        <v>1.8000000000000012</v>
      </c>
      <c r="DR98" s="162">
        <f t="shared" si="128"/>
        <v>3.3988307275311831</v>
      </c>
      <c r="DS98" s="171">
        <f t="shared" si="197"/>
        <v>3.3988307275311831</v>
      </c>
      <c r="DT98" s="162"/>
      <c r="DU98" s="162">
        <f t="shared" si="198"/>
        <v>1.8000000000000012</v>
      </c>
      <c r="DV98" s="170">
        <f t="shared" si="199"/>
        <v>1.8000000000000012</v>
      </c>
      <c r="DW98" s="162">
        <f t="shared" si="129"/>
        <v>3.3988307275311831</v>
      </c>
      <c r="DX98" s="171">
        <f t="shared" si="200"/>
        <v>3.3988307275311831</v>
      </c>
      <c r="DY98" s="162"/>
      <c r="DZ98" s="162">
        <f t="shared" si="201"/>
        <v>1.8000000000000012</v>
      </c>
      <c r="EA98" s="162">
        <f t="shared" si="202"/>
        <v>1.8000000000000012</v>
      </c>
      <c r="EB98" s="162">
        <f t="shared" si="130"/>
        <v>3.3988307275311831</v>
      </c>
      <c r="EC98" s="171">
        <f t="shared" si="203"/>
        <v>3.3988307275311831</v>
      </c>
      <c r="ED98" s="162"/>
      <c r="EE98" s="162">
        <f t="shared" si="204"/>
        <v>1.8000000000000012</v>
      </c>
      <c r="EF98" s="170">
        <f t="shared" si="205"/>
        <v>1.8000000000000012</v>
      </c>
      <c r="EG98" s="162">
        <f t="shared" si="131"/>
        <v>3.3988307275311831</v>
      </c>
      <c r="EH98" s="171">
        <f t="shared" si="206"/>
        <v>3.3988307275311831</v>
      </c>
      <c r="EI98" s="162"/>
      <c r="EJ98" s="162">
        <f t="shared" si="207"/>
        <v>1.8000000000000012</v>
      </c>
      <c r="EK98" s="170">
        <f t="shared" si="208"/>
        <v>1.8000000000000012</v>
      </c>
      <c r="EL98" s="162">
        <f t="shared" si="132"/>
        <v>3.3988307275311831</v>
      </c>
      <c r="EM98" s="171">
        <f t="shared" si="209"/>
        <v>3.3988307275311831</v>
      </c>
      <c r="EN98" s="162"/>
      <c r="EO98" s="162">
        <f t="shared" si="210"/>
        <v>1.8000000000000012</v>
      </c>
      <c r="EP98" s="162">
        <f t="shared" si="211"/>
        <v>1.8000000000000012</v>
      </c>
      <c r="EQ98" s="162">
        <f t="shared" si="133"/>
        <v>3.3988307275311831</v>
      </c>
      <c r="ER98" s="171">
        <f t="shared" si="212"/>
        <v>3.3988307275311831</v>
      </c>
      <c r="ES98" s="162"/>
      <c r="ET98" s="162">
        <f t="shared" si="213"/>
        <v>1.8000000000000012</v>
      </c>
      <c r="EU98" s="170">
        <f t="shared" si="214"/>
        <v>1.8000000000000012</v>
      </c>
      <c r="EV98" s="162">
        <f t="shared" si="134"/>
        <v>3.3988307275311831</v>
      </c>
      <c r="EW98" s="171">
        <f t="shared" si="215"/>
        <v>3.3988307275311831</v>
      </c>
      <c r="EX98" s="162"/>
    </row>
    <row r="99" spans="20:154" s="181" customFormat="1" x14ac:dyDescent="0.25">
      <c r="T99" s="162">
        <f t="shared" si="135"/>
        <v>1.8200000000000012</v>
      </c>
      <c r="U99" s="170">
        <f t="shared" si="136"/>
        <v>1.8200000000000012</v>
      </c>
      <c r="V99" s="162">
        <f t="shared" si="108"/>
        <v>3.3111359620533767</v>
      </c>
      <c r="W99" s="171">
        <f t="shared" si="137"/>
        <v>3.3111359620533767</v>
      </c>
      <c r="X99" s="162"/>
      <c r="Y99" s="162">
        <f t="shared" si="138"/>
        <v>1.8200000000000012</v>
      </c>
      <c r="Z99" s="162">
        <f t="shared" si="139"/>
        <v>1.8200000000000012</v>
      </c>
      <c r="AA99" s="162">
        <f t="shared" si="109"/>
        <v>3.3111359620533767</v>
      </c>
      <c r="AB99" s="171">
        <f t="shared" si="140"/>
        <v>3.3111359620533767</v>
      </c>
      <c r="AC99" s="162"/>
      <c r="AD99" s="162">
        <f t="shared" si="141"/>
        <v>1.8200000000000012</v>
      </c>
      <c r="AE99" s="170">
        <f t="shared" si="142"/>
        <v>1.8200000000000012</v>
      </c>
      <c r="AF99" s="162">
        <f t="shared" si="110"/>
        <v>3.3111359620533767</v>
      </c>
      <c r="AG99" s="171">
        <f t="shared" si="143"/>
        <v>3.3111359620533767</v>
      </c>
      <c r="AH99" s="162"/>
      <c r="AI99" s="162">
        <f t="shared" si="144"/>
        <v>1.8200000000000012</v>
      </c>
      <c r="AJ99" s="170">
        <f t="shared" si="145"/>
        <v>1.8200000000000012</v>
      </c>
      <c r="AK99" s="162">
        <f t="shared" si="111"/>
        <v>3.3111359620533767</v>
      </c>
      <c r="AL99" s="171">
        <f t="shared" si="146"/>
        <v>3.3111359620533767</v>
      </c>
      <c r="AM99" s="162"/>
      <c r="AN99" s="162">
        <f t="shared" si="147"/>
        <v>1.8200000000000012</v>
      </c>
      <c r="AO99" s="162">
        <f t="shared" si="148"/>
        <v>1.8200000000000012</v>
      </c>
      <c r="AP99" s="162">
        <f t="shared" si="112"/>
        <v>3.3111359620533767</v>
      </c>
      <c r="AQ99" s="171">
        <f t="shared" si="149"/>
        <v>3.3111359620533767</v>
      </c>
      <c r="AR99" s="162"/>
      <c r="AS99" s="162">
        <f t="shared" si="150"/>
        <v>1.8200000000000012</v>
      </c>
      <c r="AT99" s="170">
        <f t="shared" si="151"/>
        <v>1.8200000000000012</v>
      </c>
      <c r="AU99" s="162">
        <f t="shared" si="113"/>
        <v>3.3111359620533767</v>
      </c>
      <c r="AV99" s="171">
        <f t="shared" si="152"/>
        <v>3.3111359620533767</v>
      </c>
      <c r="AW99" s="162"/>
      <c r="AX99" s="162">
        <f t="shared" si="153"/>
        <v>1.8200000000000012</v>
      </c>
      <c r="AY99" s="170">
        <f t="shared" si="154"/>
        <v>1.8200000000000012</v>
      </c>
      <c r="AZ99" s="162">
        <f t="shared" si="114"/>
        <v>3.3111359620533767</v>
      </c>
      <c r="BA99" s="171">
        <f t="shared" si="155"/>
        <v>3.3111359620533767</v>
      </c>
      <c r="BB99" s="162"/>
      <c r="BC99" s="162">
        <f t="shared" si="156"/>
        <v>1.8200000000000012</v>
      </c>
      <c r="BD99" s="162">
        <f t="shared" si="157"/>
        <v>1.8200000000000012</v>
      </c>
      <c r="BE99" s="162">
        <f t="shared" si="115"/>
        <v>3.3111359620533767</v>
      </c>
      <c r="BF99" s="171">
        <f t="shared" si="158"/>
        <v>3.3111359620533767</v>
      </c>
      <c r="BG99" s="162"/>
      <c r="BH99" s="162">
        <f t="shared" si="159"/>
        <v>1.8200000000000012</v>
      </c>
      <c r="BI99" s="170">
        <f t="shared" si="160"/>
        <v>1.8200000000000012</v>
      </c>
      <c r="BJ99" s="162">
        <f t="shared" si="116"/>
        <v>3.3111359620533767</v>
      </c>
      <c r="BK99" s="171">
        <f t="shared" si="161"/>
        <v>3.3111359620533767</v>
      </c>
      <c r="BL99" s="162"/>
      <c r="BM99" s="162">
        <f t="shared" si="162"/>
        <v>1.8200000000000012</v>
      </c>
      <c r="BN99" s="170">
        <f t="shared" si="163"/>
        <v>1.8200000000000012</v>
      </c>
      <c r="BO99" s="162">
        <f t="shared" si="117"/>
        <v>3.3111359620533767</v>
      </c>
      <c r="BP99" s="171">
        <f t="shared" si="164"/>
        <v>3.3111359620533767</v>
      </c>
      <c r="BQ99" s="162"/>
      <c r="BR99" s="162">
        <f t="shared" si="165"/>
        <v>1.8200000000000012</v>
      </c>
      <c r="BS99" s="162">
        <f t="shared" si="166"/>
        <v>1.8200000000000012</v>
      </c>
      <c r="BT99" s="162">
        <f t="shared" si="118"/>
        <v>3.3111359620533767</v>
      </c>
      <c r="BU99" s="171">
        <f t="shared" si="167"/>
        <v>3.3111359620533767</v>
      </c>
      <c r="BV99" s="162"/>
      <c r="BW99" s="162">
        <f t="shared" si="168"/>
        <v>1.8200000000000012</v>
      </c>
      <c r="BX99" s="170">
        <f t="shared" si="169"/>
        <v>1.8200000000000012</v>
      </c>
      <c r="BY99" s="162">
        <f t="shared" si="119"/>
        <v>3.3111359620533767</v>
      </c>
      <c r="BZ99" s="171">
        <f t="shared" si="170"/>
        <v>3.3111359620533767</v>
      </c>
      <c r="CA99" s="162"/>
      <c r="CB99" s="162">
        <f t="shared" si="171"/>
        <v>1.8200000000000012</v>
      </c>
      <c r="CC99" s="170">
        <f t="shared" si="172"/>
        <v>1.8200000000000012</v>
      </c>
      <c r="CD99" s="162">
        <f t="shared" si="120"/>
        <v>3.3111359620533767</v>
      </c>
      <c r="CE99" s="171">
        <f t="shared" si="173"/>
        <v>3.3111359620533767</v>
      </c>
      <c r="CF99" s="162"/>
      <c r="CG99" s="172">
        <f t="shared" si="174"/>
        <v>1.8200000000000012</v>
      </c>
      <c r="CH99" s="172">
        <f t="shared" si="175"/>
        <v>1.8200000000000012</v>
      </c>
      <c r="CI99" s="172">
        <f t="shared" si="121"/>
        <v>3.3111359620533767</v>
      </c>
      <c r="CJ99" s="171">
        <f t="shared" si="176"/>
        <v>3.3111359620533767</v>
      </c>
      <c r="CK99" s="172"/>
      <c r="CL99" s="162">
        <f t="shared" si="177"/>
        <v>1.8200000000000012</v>
      </c>
      <c r="CM99" s="170">
        <f t="shared" si="178"/>
        <v>1.8200000000000012</v>
      </c>
      <c r="CN99" s="162">
        <f t="shared" si="122"/>
        <v>3.3111359620533767</v>
      </c>
      <c r="CO99" s="171">
        <f t="shared" si="179"/>
        <v>3.3111359620533767</v>
      </c>
      <c r="CP99" s="162"/>
      <c r="CQ99" s="162">
        <f t="shared" si="180"/>
        <v>1.8200000000000012</v>
      </c>
      <c r="CR99" s="170">
        <f t="shared" si="181"/>
        <v>1.8200000000000012</v>
      </c>
      <c r="CS99" s="162">
        <f t="shared" si="123"/>
        <v>3.3111359620533767</v>
      </c>
      <c r="CT99" s="171">
        <f t="shared" si="182"/>
        <v>3.3111359620533767</v>
      </c>
      <c r="CU99" s="162"/>
      <c r="CV99" s="162">
        <f t="shared" si="183"/>
        <v>1.8200000000000012</v>
      </c>
      <c r="CW99" s="162">
        <f t="shared" si="184"/>
        <v>1.8200000000000012</v>
      </c>
      <c r="CX99" s="162">
        <f t="shared" si="124"/>
        <v>3.3111359620533767</v>
      </c>
      <c r="CY99" s="171">
        <f t="shared" si="185"/>
        <v>3.3111359620533767</v>
      </c>
      <c r="CZ99" s="162"/>
      <c r="DA99" s="162">
        <f t="shared" si="186"/>
        <v>1.8200000000000012</v>
      </c>
      <c r="DB99" s="170">
        <f t="shared" si="187"/>
        <v>1.8200000000000012</v>
      </c>
      <c r="DC99" s="162">
        <f t="shared" si="125"/>
        <v>3.3111359620533767</v>
      </c>
      <c r="DD99" s="171">
        <f t="shared" si="188"/>
        <v>3.3111359620533767</v>
      </c>
      <c r="DE99" s="162"/>
      <c r="DF99" s="162">
        <f t="shared" si="189"/>
        <v>1.8200000000000012</v>
      </c>
      <c r="DG99" s="170">
        <f t="shared" si="190"/>
        <v>1.8200000000000012</v>
      </c>
      <c r="DH99" s="162">
        <f t="shared" si="126"/>
        <v>3.3111359620533767</v>
      </c>
      <c r="DI99" s="171">
        <f t="shared" si="191"/>
        <v>3.3111359620533767</v>
      </c>
      <c r="DJ99" s="162"/>
      <c r="DK99" s="162">
        <f t="shared" si="192"/>
        <v>1.8200000000000012</v>
      </c>
      <c r="DL99" s="162">
        <f t="shared" si="193"/>
        <v>1.8200000000000012</v>
      </c>
      <c r="DM99" s="162">
        <f t="shared" si="127"/>
        <v>3.3111359620533767</v>
      </c>
      <c r="DN99" s="171">
        <f t="shared" si="194"/>
        <v>3.3111359620533767</v>
      </c>
      <c r="DO99" s="162"/>
      <c r="DP99" s="162">
        <f t="shared" si="195"/>
        <v>1.8200000000000012</v>
      </c>
      <c r="DQ99" s="170">
        <f t="shared" si="196"/>
        <v>1.8200000000000012</v>
      </c>
      <c r="DR99" s="162">
        <f t="shared" si="128"/>
        <v>3.3111359620533767</v>
      </c>
      <c r="DS99" s="171">
        <f t="shared" si="197"/>
        <v>3.3111359620533767</v>
      </c>
      <c r="DT99" s="162"/>
      <c r="DU99" s="162">
        <f t="shared" si="198"/>
        <v>1.8200000000000012</v>
      </c>
      <c r="DV99" s="170">
        <f t="shared" si="199"/>
        <v>1.8200000000000012</v>
      </c>
      <c r="DW99" s="162">
        <f t="shared" si="129"/>
        <v>3.3111359620533767</v>
      </c>
      <c r="DX99" s="171">
        <f t="shared" si="200"/>
        <v>3.3111359620533767</v>
      </c>
      <c r="DY99" s="162"/>
      <c r="DZ99" s="162">
        <f t="shared" si="201"/>
        <v>1.8200000000000012</v>
      </c>
      <c r="EA99" s="162">
        <f t="shared" si="202"/>
        <v>1.8200000000000012</v>
      </c>
      <c r="EB99" s="162">
        <f t="shared" si="130"/>
        <v>3.3111359620533767</v>
      </c>
      <c r="EC99" s="171">
        <f t="shared" si="203"/>
        <v>3.3111359620533767</v>
      </c>
      <c r="ED99" s="162"/>
      <c r="EE99" s="162">
        <f t="shared" si="204"/>
        <v>1.8200000000000012</v>
      </c>
      <c r="EF99" s="170">
        <f t="shared" si="205"/>
        <v>1.8200000000000012</v>
      </c>
      <c r="EG99" s="162">
        <f t="shared" si="131"/>
        <v>3.3111359620533767</v>
      </c>
      <c r="EH99" s="171">
        <f t="shared" si="206"/>
        <v>3.3111359620533767</v>
      </c>
      <c r="EI99" s="162"/>
      <c r="EJ99" s="162">
        <f t="shared" si="207"/>
        <v>1.8200000000000012</v>
      </c>
      <c r="EK99" s="170">
        <f t="shared" si="208"/>
        <v>1.8200000000000012</v>
      </c>
      <c r="EL99" s="162">
        <f t="shared" si="132"/>
        <v>3.3111359620533767</v>
      </c>
      <c r="EM99" s="171">
        <f t="shared" si="209"/>
        <v>3.3111359620533767</v>
      </c>
      <c r="EN99" s="162"/>
      <c r="EO99" s="162">
        <f t="shared" si="210"/>
        <v>1.8200000000000012</v>
      </c>
      <c r="EP99" s="162">
        <f t="shared" si="211"/>
        <v>1.8200000000000012</v>
      </c>
      <c r="EQ99" s="162">
        <f t="shared" si="133"/>
        <v>3.3111359620533767</v>
      </c>
      <c r="ER99" s="171">
        <f t="shared" si="212"/>
        <v>3.3111359620533767</v>
      </c>
      <c r="ES99" s="162"/>
      <c r="ET99" s="162">
        <f t="shared" si="213"/>
        <v>1.8200000000000012</v>
      </c>
      <c r="EU99" s="170">
        <f t="shared" si="214"/>
        <v>1.8200000000000012</v>
      </c>
      <c r="EV99" s="162">
        <f t="shared" si="134"/>
        <v>3.3111359620533767</v>
      </c>
      <c r="EW99" s="171">
        <f t="shared" si="215"/>
        <v>3.3111359620533767</v>
      </c>
      <c r="EX99" s="162"/>
    </row>
    <row r="100" spans="20:154" s="181" customFormat="1" x14ac:dyDescent="0.25">
      <c r="T100" s="162">
        <f t="shared" si="135"/>
        <v>1.8400000000000012</v>
      </c>
      <c r="U100" s="170">
        <f t="shared" si="136"/>
        <v>1.8400000000000012</v>
      </c>
      <c r="V100" s="162">
        <f t="shared" si="108"/>
        <v>3.2207326838477224</v>
      </c>
      <c r="W100" s="171">
        <f t="shared" si="137"/>
        <v>3.2207326838477224</v>
      </c>
      <c r="X100" s="162"/>
      <c r="Y100" s="162">
        <f t="shared" si="138"/>
        <v>1.8400000000000012</v>
      </c>
      <c r="Z100" s="162">
        <f t="shared" si="139"/>
        <v>1.8400000000000012</v>
      </c>
      <c r="AA100" s="162">
        <f t="shared" si="109"/>
        <v>3.2207326838477224</v>
      </c>
      <c r="AB100" s="171">
        <f t="shared" si="140"/>
        <v>3.2207326838477224</v>
      </c>
      <c r="AC100" s="162"/>
      <c r="AD100" s="162">
        <f t="shared" si="141"/>
        <v>1.8400000000000012</v>
      </c>
      <c r="AE100" s="170">
        <f t="shared" si="142"/>
        <v>1.8400000000000012</v>
      </c>
      <c r="AF100" s="162">
        <f t="shared" si="110"/>
        <v>3.2207326838477224</v>
      </c>
      <c r="AG100" s="171">
        <f t="shared" si="143"/>
        <v>3.2207326838477224</v>
      </c>
      <c r="AH100" s="162"/>
      <c r="AI100" s="162">
        <f t="shared" si="144"/>
        <v>1.8400000000000012</v>
      </c>
      <c r="AJ100" s="170">
        <f t="shared" si="145"/>
        <v>1.8400000000000012</v>
      </c>
      <c r="AK100" s="162">
        <f t="shared" si="111"/>
        <v>3.2207326838477224</v>
      </c>
      <c r="AL100" s="171">
        <f t="shared" si="146"/>
        <v>3.2207326838477224</v>
      </c>
      <c r="AM100" s="162"/>
      <c r="AN100" s="162">
        <f t="shared" si="147"/>
        <v>1.8400000000000012</v>
      </c>
      <c r="AO100" s="162">
        <f t="shared" si="148"/>
        <v>1.8400000000000012</v>
      </c>
      <c r="AP100" s="162">
        <f t="shared" si="112"/>
        <v>3.2207326838477224</v>
      </c>
      <c r="AQ100" s="171">
        <f t="shared" si="149"/>
        <v>3.2207326838477224</v>
      </c>
      <c r="AR100" s="162"/>
      <c r="AS100" s="162">
        <f t="shared" si="150"/>
        <v>1.8400000000000012</v>
      </c>
      <c r="AT100" s="170">
        <f t="shared" si="151"/>
        <v>1.8400000000000012</v>
      </c>
      <c r="AU100" s="162">
        <f t="shared" si="113"/>
        <v>3.2207326838477224</v>
      </c>
      <c r="AV100" s="171">
        <f t="shared" si="152"/>
        <v>3.2207326838477224</v>
      </c>
      <c r="AW100" s="162"/>
      <c r="AX100" s="162">
        <f t="shared" si="153"/>
        <v>1.8400000000000012</v>
      </c>
      <c r="AY100" s="170">
        <f t="shared" si="154"/>
        <v>1.8400000000000012</v>
      </c>
      <c r="AZ100" s="162">
        <f t="shared" si="114"/>
        <v>3.2207326838477224</v>
      </c>
      <c r="BA100" s="171">
        <f t="shared" si="155"/>
        <v>3.2207326838477224</v>
      </c>
      <c r="BB100" s="162"/>
      <c r="BC100" s="162">
        <f t="shared" si="156"/>
        <v>1.8400000000000012</v>
      </c>
      <c r="BD100" s="162">
        <f t="shared" si="157"/>
        <v>1.8400000000000012</v>
      </c>
      <c r="BE100" s="162">
        <f t="shared" si="115"/>
        <v>3.2207326838477224</v>
      </c>
      <c r="BF100" s="171">
        <f t="shared" si="158"/>
        <v>3.2207326838477224</v>
      </c>
      <c r="BG100" s="162"/>
      <c r="BH100" s="162">
        <f t="shared" si="159"/>
        <v>1.8400000000000012</v>
      </c>
      <c r="BI100" s="170">
        <f t="shared" si="160"/>
        <v>1.8400000000000012</v>
      </c>
      <c r="BJ100" s="162">
        <f t="shared" si="116"/>
        <v>3.2207326838477224</v>
      </c>
      <c r="BK100" s="171">
        <f t="shared" si="161"/>
        <v>3.2207326838477224</v>
      </c>
      <c r="BL100" s="162"/>
      <c r="BM100" s="162">
        <f t="shared" si="162"/>
        <v>1.8400000000000012</v>
      </c>
      <c r="BN100" s="170">
        <f t="shared" si="163"/>
        <v>1.8400000000000012</v>
      </c>
      <c r="BO100" s="162">
        <f t="shared" si="117"/>
        <v>3.2207326838477224</v>
      </c>
      <c r="BP100" s="171">
        <f t="shared" si="164"/>
        <v>3.2207326838477224</v>
      </c>
      <c r="BQ100" s="162"/>
      <c r="BR100" s="162">
        <f t="shared" si="165"/>
        <v>1.8400000000000012</v>
      </c>
      <c r="BS100" s="162">
        <f t="shared" si="166"/>
        <v>1.8400000000000012</v>
      </c>
      <c r="BT100" s="162">
        <f t="shared" si="118"/>
        <v>3.2207326838477224</v>
      </c>
      <c r="BU100" s="171">
        <f t="shared" si="167"/>
        <v>3.2207326838477224</v>
      </c>
      <c r="BV100" s="162"/>
      <c r="BW100" s="162">
        <f t="shared" si="168"/>
        <v>1.8400000000000012</v>
      </c>
      <c r="BX100" s="170">
        <f t="shared" si="169"/>
        <v>1.8400000000000012</v>
      </c>
      <c r="BY100" s="162">
        <f t="shared" si="119"/>
        <v>3.2207326838477224</v>
      </c>
      <c r="BZ100" s="171">
        <f t="shared" si="170"/>
        <v>3.2207326838477224</v>
      </c>
      <c r="CA100" s="162"/>
      <c r="CB100" s="162">
        <f t="shared" si="171"/>
        <v>1.8400000000000012</v>
      </c>
      <c r="CC100" s="170">
        <f t="shared" si="172"/>
        <v>1.8400000000000012</v>
      </c>
      <c r="CD100" s="162">
        <f t="shared" si="120"/>
        <v>3.2207326838477224</v>
      </c>
      <c r="CE100" s="171">
        <f t="shared" si="173"/>
        <v>3.2207326838477224</v>
      </c>
      <c r="CF100" s="162"/>
      <c r="CG100" s="172">
        <f t="shared" si="174"/>
        <v>1.8400000000000012</v>
      </c>
      <c r="CH100" s="172">
        <f t="shared" si="175"/>
        <v>1.8400000000000012</v>
      </c>
      <c r="CI100" s="172">
        <f t="shared" si="121"/>
        <v>3.2207326838477224</v>
      </c>
      <c r="CJ100" s="171">
        <f t="shared" si="176"/>
        <v>3.2207326838477224</v>
      </c>
      <c r="CK100" s="172"/>
      <c r="CL100" s="162">
        <f t="shared" si="177"/>
        <v>1.8400000000000012</v>
      </c>
      <c r="CM100" s="170">
        <f t="shared" si="178"/>
        <v>1.8400000000000012</v>
      </c>
      <c r="CN100" s="162">
        <f t="shared" si="122"/>
        <v>3.2207326838477224</v>
      </c>
      <c r="CO100" s="171">
        <f t="shared" si="179"/>
        <v>3.2207326838477224</v>
      </c>
      <c r="CP100" s="162"/>
      <c r="CQ100" s="162">
        <f t="shared" si="180"/>
        <v>1.8400000000000012</v>
      </c>
      <c r="CR100" s="170">
        <f t="shared" si="181"/>
        <v>1.8400000000000012</v>
      </c>
      <c r="CS100" s="162">
        <f t="shared" si="123"/>
        <v>3.2207326838477224</v>
      </c>
      <c r="CT100" s="171">
        <f t="shared" si="182"/>
        <v>3.2207326838477224</v>
      </c>
      <c r="CU100" s="162"/>
      <c r="CV100" s="162">
        <f t="shared" si="183"/>
        <v>1.8400000000000012</v>
      </c>
      <c r="CW100" s="162">
        <f t="shared" si="184"/>
        <v>1.8400000000000012</v>
      </c>
      <c r="CX100" s="162">
        <f t="shared" si="124"/>
        <v>3.2207326838477224</v>
      </c>
      <c r="CY100" s="171">
        <f t="shared" si="185"/>
        <v>3.2207326838477224</v>
      </c>
      <c r="CZ100" s="162"/>
      <c r="DA100" s="162">
        <f t="shared" si="186"/>
        <v>1.8400000000000012</v>
      </c>
      <c r="DB100" s="170">
        <f t="shared" si="187"/>
        <v>1.8400000000000012</v>
      </c>
      <c r="DC100" s="162">
        <f t="shared" si="125"/>
        <v>3.2207326838477224</v>
      </c>
      <c r="DD100" s="171">
        <f t="shared" si="188"/>
        <v>3.2207326838477224</v>
      </c>
      <c r="DE100" s="162"/>
      <c r="DF100" s="162">
        <f t="shared" si="189"/>
        <v>1.8400000000000012</v>
      </c>
      <c r="DG100" s="170">
        <f t="shared" si="190"/>
        <v>1.8400000000000012</v>
      </c>
      <c r="DH100" s="162">
        <f t="shared" si="126"/>
        <v>3.2207326838477224</v>
      </c>
      <c r="DI100" s="171">
        <f t="shared" si="191"/>
        <v>3.2207326838477224</v>
      </c>
      <c r="DJ100" s="162"/>
      <c r="DK100" s="162">
        <f t="shared" si="192"/>
        <v>1.8400000000000012</v>
      </c>
      <c r="DL100" s="162">
        <f t="shared" si="193"/>
        <v>1.8400000000000012</v>
      </c>
      <c r="DM100" s="162">
        <f t="shared" si="127"/>
        <v>3.2207326838477224</v>
      </c>
      <c r="DN100" s="171">
        <f t="shared" si="194"/>
        <v>3.2207326838477224</v>
      </c>
      <c r="DO100" s="162"/>
      <c r="DP100" s="162">
        <f t="shared" si="195"/>
        <v>1.8400000000000012</v>
      </c>
      <c r="DQ100" s="170">
        <f t="shared" si="196"/>
        <v>1.8400000000000012</v>
      </c>
      <c r="DR100" s="162">
        <f t="shared" si="128"/>
        <v>3.2207326838477224</v>
      </c>
      <c r="DS100" s="171">
        <f t="shared" si="197"/>
        <v>3.2207326838477224</v>
      </c>
      <c r="DT100" s="162"/>
      <c r="DU100" s="162">
        <f t="shared" si="198"/>
        <v>1.8400000000000012</v>
      </c>
      <c r="DV100" s="170">
        <f t="shared" si="199"/>
        <v>1.8400000000000012</v>
      </c>
      <c r="DW100" s="162">
        <f t="shared" si="129"/>
        <v>3.2207326838477224</v>
      </c>
      <c r="DX100" s="171">
        <f t="shared" si="200"/>
        <v>3.2207326838477224</v>
      </c>
      <c r="DY100" s="162"/>
      <c r="DZ100" s="162">
        <f t="shared" si="201"/>
        <v>1.8400000000000012</v>
      </c>
      <c r="EA100" s="162">
        <f t="shared" si="202"/>
        <v>1.8400000000000012</v>
      </c>
      <c r="EB100" s="162">
        <f t="shared" si="130"/>
        <v>3.2207326838477224</v>
      </c>
      <c r="EC100" s="171">
        <f t="shared" si="203"/>
        <v>3.2207326838477224</v>
      </c>
      <c r="ED100" s="162"/>
      <c r="EE100" s="162">
        <f t="shared" si="204"/>
        <v>1.8400000000000012</v>
      </c>
      <c r="EF100" s="170">
        <f t="shared" si="205"/>
        <v>1.8400000000000012</v>
      </c>
      <c r="EG100" s="162">
        <f t="shared" si="131"/>
        <v>3.2207326838477224</v>
      </c>
      <c r="EH100" s="171">
        <f t="shared" si="206"/>
        <v>3.2207326838477224</v>
      </c>
      <c r="EI100" s="162"/>
      <c r="EJ100" s="162">
        <f t="shared" si="207"/>
        <v>1.8400000000000012</v>
      </c>
      <c r="EK100" s="170">
        <f t="shared" si="208"/>
        <v>1.8400000000000012</v>
      </c>
      <c r="EL100" s="162">
        <f t="shared" si="132"/>
        <v>3.2207326838477224</v>
      </c>
      <c r="EM100" s="171">
        <f t="shared" si="209"/>
        <v>3.2207326838477224</v>
      </c>
      <c r="EN100" s="162"/>
      <c r="EO100" s="162">
        <f t="shared" si="210"/>
        <v>1.8400000000000012</v>
      </c>
      <c r="EP100" s="162">
        <f t="shared" si="211"/>
        <v>1.8400000000000012</v>
      </c>
      <c r="EQ100" s="162">
        <f t="shared" si="133"/>
        <v>3.2207326838477224</v>
      </c>
      <c r="ER100" s="171">
        <f t="shared" si="212"/>
        <v>3.2207326838477224</v>
      </c>
      <c r="ES100" s="162"/>
      <c r="ET100" s="162">
        <f t="shared" si="213"/>
        <v>1.8400000000000012</v>
      </c>
      <c r="EU100" s="170">
        <f t="shared" si="214"/>
        <v>1.8400000000000012</v>
      </c>
      <c r="EV100" s="162">
        <f t="shared" si="134"/>
        <v>3.2207326838477224</v>
      </c>
      <c r="EW100" s="171">
        <f t="shared" si="215"/>
        <v>3.2207326838477224</v>
      </c>
      <c r="EX100" s="162"/>
    </row>
    <row r="101" spans="20:154" s="181" customFormat="1" x14ac:dyDescent="0.25">
      <c r="T101" s="162">
        <f t="shared" si="135"/>
        <v>1.8600000000000012</v>
      </c>
      <c r="U101" s="170">
        <f t="shared" si="136"/>
        <v>1.8600000000000012</v>
      </c>
      <c r="V101" s="162">
        <f t="shared" si="108"/>
        <v>3.1276208929142202</v>
      </c>
      <c r="W101" s="171">
        <f t="shared" si="137"/>
        <v>3.1276208929142202</v>
      </c>
      <c r="X101" s="162"/>
      <c r="Y101" s="162">
        <f t="shared" si="138"/>
        <v>1.8600000000000012</v>
      </c>
      <c r="Z101" s="162">
        <f t="shared" si="139"/>
        <v>1.8600000000000012</v>
      </c>
      <c r="AA101" s="162">
        <f t="shared" si="109"/>
        <v>3.1276208929142202</v>
      </c>
      <c r="AB101" s="171">
        <f t="shared" si="140"/>
        <v>3.1276208929142202</v>
      </c>
      <c r="AC101" s="162"/>
      <c r="AD101" s="162">
        <f t="shared" si="141"/>
        <v>1.8600000000000012</v>
      </c>
      <c r="AE101" s="170">
        <f t="shared" si="142"/>
        <v>1.8600000000000012</v>
      </c>
      <c r="AF101" s="162">
        <f t="shared" si="110"/>
        <v>3.1276208929142202</v>
      </c>
      <c r="AG101" s="171">
        <f t="shared" si="143"/>
        <v>3.1276208929142202</v>
      </c>
      <c r="AH101" s="162"/>
      <c r="AI101" s="162">
        <f t="shared" si="144"/>
        <v>1.8600000000000012</v>
      </c>
      <c r="AJ101" s="170">
        <f t="shared" si="145"/>
        <v>1.8600000000000012</v>
      </c>
      <c r="AK101" s="162">
        <f t="shared" si="111"/>
        <v>3.1276208929142202</v>
      </c>
      <c r="AL101" s="171">
        <f t="shared" si="146"/>
        <v>3.1276208929142202</v>
      </c>
      <c r="AM101" s="162"/>
      <c r="AN101" s="162">
        <f t="shared" si="147"/>
        <v>1.8600000000000012</v>
      </c>
      <c r="AO101" s="162">
        <f t="shared" si="148"/>
        <v>1.8600000000000012</v>
      </c>
      <c r="AP101" s="162">
        <f t="shared" si="112"/>
        <v>3.1276208929142202</v>
      </c>
      <c r="AQ101" s="171">
        <f t="shared" si="149"/>
        <v>3.1276208929142202</v>
      </c>
      <c r="AR101" s="162"/>
      <c r="AS101" s="162">
        <f t="shared" si="150"/>
        <v>1.8600000000000012</v>
      </c>
      <c r="AT101" s="170">
        <f t="shared" si="151"/>
        <v>1.8600000000000012</v>
      </c>
      <c r="AU101" s="162">
        <f t="shared" si="113"/>
        <v>3.1276208929142202</v>
      </c>
      <c r="AV101" s="171">
        <f t="shared" si="152"/>
        <v>3.1276208929142202</v>
      </c>
      <c r="AW101" s="162"/>
      <c r="AX101" s="162">
        <f t="shared" si="153"/>
        <v>1.8600000000000012</v>
      </c>
      <c r="AY101" s="170">
        <f t="shared" si="154"/>
        <v>1.8600000000000012</v>
      </c>
      <c r="AZ101" s="162">
        <f t="shared" si="114"/>
        <v>3.1276208929142202</v>
      </c>
      <c r="BA101" s="171">
        <f t="shared" si="155"/>
        <v>3.1276208929142202</v>
      </c>
      <c r="BB101" s="162"/>
      <c r="BC101" s="162">
        <f t="shared" si="156"/>
        <v>1.8600000000000012</v>
      </c>
      <c r="BD101" s="162">
        <f t="shared" si="157"/>
        <v>1.8600000000000012</v>
      </c>
      <c r="BE101" s="162">
        <f t="shared" si="115"/>
        <v>3.1276208929142202</v>
      </c>
      <c r="BF101" s="171">
        <f t="shared" si="158"/>
        <v>3.1276208929142202</v>
      </c>
      <c r="BG101" s="162"/>
      <c r="BH101" s="162">
        <f t="shared" si="159"/>
        <v>1.8600000000000012</v>
      </c>
      <c r="BI101" s="170">
        <f t="shared" si="160"/>
        <v>1.8600000000000012</v>
      </c>
      <c r="BJ101" s="162">
        <f t="shared" si="116"/>
        <v>3.1276208929142202</v>
      </c>
      <c r="BK101" s="171">
        <f t="shared" si="161"/>
        <v>3.1276208929142202</v>
      </c>
      <c r="BL101" s="162"/>
      <c r="BM101" s="162">
        <f t="shared" si="162"/>
        <v>1.8600000000000012</v>
      </c>
      <c r="BN101" s="170">
        <f t="shared" si="163"/>
        <v>1.8600000000000012</v>
      </c>
      <c r="BO101" s="162">
        <f t="shared" si="117"/>
        <v>3.1276208929142202</v>
      </c>
      <c r="BP101" s="171">
        <f t="shared" si="164"/>
        <v>3.1276208929142202</v>
      </c>
      <c r="BQ101" s="162"/>
      <c r="BR101" s="162">
        <f t="shared" si="165"/>
        <v>1.8600000000000012</v>
      </c>
      <c r="BS101" s="162">
        <f t="shared" si="166"/>
        <v>1.8600000000000012</v>
      </c>
      <c r="BT101" s="162">
        <f t="shared" si="118"/>
        <v>3.1276208929142202</v>
      </c>
      <c r="BU101" s="171">
        <f t="shared" si="167"/>
        <v>3.1276208929142202</v>
      </c>
      <c r="BV101" s="162"/>
      <c r="BW101" s="162">
        <f t="shared" si="168"/>
        <v>1.8600000000000012</v>
      </c>
      <c r="BX101" s="170">
        <f t="shared" si="169"/>
        <v>1.8600000000000012</v>
      </c>
      <c r="BY101" s="162">
        <f t="shared" si="119"/>
        <v>3.1276208929142202</v>
      </c>
      <c r="BZ101" s="171">
        <f t="shared" si="170"/>
        <v>3.1276208929142202</v>
      </c>
      <c r="CA101" s="162"/>
      <c r="CB101" s="162">
        <f t="shared" si="171"/>
        <v>1.8600000000000012</v>
      </c>
      <c r="CC101" s="170">
        <f t="shared" si="172"/>
        <v>1.8600000000000012</v>
      </c>
      <c r="CD101" s="162">
        <f t="shared" si="120"/>
        <v>3.1276208929142202</v>
      </c>
      <c r="CE101" s="171">
        <f t="shared" si="173"/>
        <v>3.1276208929142202</v>
      </c>
      <c r="CF101" s="162"/>
      <c r="CG101" s="172">
        <f t="shared" si="174"/>
        <v>1.8600000000000012</v>
      </c>
      <c r="CH101" s="172">
        <f t="shared" si="175"/>
        <v>1.8600000000000012</v>
      </c>
      <c r="CI101" s="172">
        <f t="shared" si="121"/>
        <v>3.1276208929142202</v>
      </c>
      <c r="CJ101" s="171">
        <f t="shared" si="176"/>
        <v>3.1276208929142202</v>
      </c>
      <c r="CK101" s="172"/>
      <c r="CL101" s="162">
        <f t="shared" si="177"/>
        <v>1.8600000000000012</v>
      </c>
      <c r="CM101" s="170">
        <f t="shared" si="178"/>
        <v>1.8600000000000012</v>
      </c>
      <c r="CN101" s="162">
        <f t="shared" si="122"/>
        <v>3.1276208929142202</v>
      </c>
      <c r="CO101" s="171">
        <f t="shared" si="179"/>
        <v>3.1276208929142202</v>
      </c>
      <c r="CP101" s="162"/>
      <c r="CQ101" s="162">
        <f t="shared" si="180"/>
        <v>1.8600000000000012</v>
      </c>
      <c r="CR101" s="170">
        <f t="shared" si="181"/>
        <v>1.8600000000000012</v>
      </c>
      <c r="CS101" s="162">
        <f t="shared" si="123"/>
        <v>3.1276208929142202</v>
      </c>
      <c r="CT101" s="171">
        <f t="shared" si="182"/>
        <v>3.1276208929142202</v>
      </c>
      <c r="CU101" s="162"/>
      <c r="CV101" s="162">
        <f t="shared" si="183"/>
        <v>1.8600000000000012</v>
      </c>
      <c r="CW101" s="162">
        <f t="shared" si="184"/>
        <v>1.8600000000000012</v>
      </c>
      <c r="CX101" s="162">
        <f t="shared" si="124"/>
        <v>3.1276208929142202</v>
      </c>
      <c r="CY101" s="171">
        <f t="shared" si="185"/>
        <v>3.1276208929142202</v>
      </c>
      <c r="CZ101" s="162"/>
      <c r="DA101" s="162">
        <f t="shared" si="186"/>
        <v>1.8600000000000012</v>
      </c>
      <c r="DB101" s="170">
        <f t="shared" si="187"/>
        <v>1.8600000000000012</v>
      </c>
      <c r="DC101" s="162">
        <f t="shared" si="125"/>
        <v>3.1276208929142202</v>
      </c>
      <c r="DD101" s="171">
        <f t="shared" si="188"/>
        <v>3.1276208929142202</v>
      </c>
      <c r="DE101" s="162"/>
      <c r="DF101" s="162">
        <f t="shared" si="189"/>
        <v>1.8600000000000012</v>
      </c>
      <c r="DG101" s="170">
        <f t="shared" si="190"/>
        <v>1.8600000000000012</v>
      </c>
      <c r="DH101" s="162">
        <f t="shared" si="126"/>
        <v>3.1276208929142202</v>
      </c>
      <c r="DI101" s="171">
        <f t="shared" si="191"/>
        <v>3.1276208929142202</v>
      </c>
      <c r="DJ101" s="162"/>
      <c r="DK101" s="162">
        <f t="shared" si="192"/>
        <v>1.8600000000000012</v>
      </c>
      <c r="DL101" s="162">
        <f t="shared" si="193"/>
        <v>1.8600000000000012</v>
      </c>
      <c r="DM101" s="162">
        <f t="shared" si="127"/>
        <v>3.1276208929142202</v>
      </c>
      <c r="DN101" s="171">
        <f t="shared" si="194"/>
        <v>3.1276208929142202</v>
      </c>
      <c r="DO101" s="162"/>
      <c r="DP101" s="162">
        <f t="shared" si="195"/>
        <v>1.8600000000000012</v>
      </c>
      <c r="DQ101" s="170">
        <f t="shared" si="196"/>
        <v>1.8600000000000012</v>
      </c>
      <c r="DR101" s="162">
        <f t="shared" si="128"/>
        <v>3.1276208929142202</v>
      </c>
      <c r="DS101" s="171">
        <f t="shared" si="197"/>
        <v>3.1276208929142202</v>
      </c>
      <c r="DT101" s="162"/>
      <c r="DU101" s="162">
        <f t="shared" si="198"/>
        <v>1.8600000000000012</v>
      </c>
      <c r="DV101" s="170">
        <f t="shared" si="199"/>
        <v>1.8600000000000012</v>
      </c>
      <c r="DW101" s="162">
        <f t="shared" si="129"/>
        <v>3.1276208929142202</v>
      </c>
      <c r="DX101" s="171">
        <f t="shared" si="200"/>
        <v>3.1276208929142202</v>
      </c>
      <c r="DY101" s="162"/>
      <c r="DZ101" s="162">
        <f t="shared" si="201"/>
        <v>1.8600000000000012</v>
      </c>
      <c r="EA101" s="162">
        <f t="shared" si="202"/>
        <v>1.8600000000000012</v>
      </c>
      <c r="EB101" s="162">
        <f t="shared" si="130"/>
        <v>3.1276208929142202</v>
      </c>
      <c r="EC101" s="171">
        <f t="shared" si="203"/>
        <v>3.1276208929142202</v>
      </c>
      <c r="ED101" s="162"/>
      <c r="EE101" s="162">
        <f t="shared" si="204"/>
        <v>1.8600000000000012</v>
      </c>
      <c r="EF101" s="170">
        <f t="shared" si="205"/>
        <v>1.8600000000000012</v>
      </c>
      <c r="EG101" s="162">
        <f t="shared" si="131"/>
        <v>3.1276208929142202</v>
      </c>
      <c r="EH101" s="171">
        <f t="shared" si="206"/>
        <v>3.1276208929142202</v>
      </c>
      <c r="EI101" s="162"/>
      <c r="EJ101" s="162">
        <f t="shared" si="207"/>
        <v>1.8600000000000012</v>
      </c>
      <c r="EK101" s="170">
        <f t="shared" si="208"/>
        <v>1.8600000000000012</v>
      </c>
      <c r="EL101" s="162">
        <f t="shared" si="132"/>
        <v>3.1276208929142202</v>
      </c>
      <c r="EM101" s="171">
        <f t="shared" si="209"/>
        <v>3.1276208929142202</v>
      </c>
      <c r="EN101" s="162"/>
      <c r="EO101" s="162">
        <f t="shared" si="210"/>
        <v>1.8600000000000012</v>
      </c>
      <c r="EP101" s="162">
        <f t="shared" si="211"/>
        <v>1.8600000000000012</v>
      </c>
      <c r="EQ101" s="162">
        <f t="shared" si="133"/>
        <v>3.1276208929142202</v>
      </c>
      <c r="ER101" s="171">
        <f t="shared" si="212"/>
        <v>3.1276208929142202</v>
      </c>
      <c r="ES101" s="162"/>
      <c r="ET101" s="162">
        <f t="shared" si="213"/>
        <v>1.8600000000000012</v>
      </c>
      <c r="EU101" s="170">
        <f t="shared" si="214"/>
        <v>1.8600000000000012</v>
      </c>
      <c r="EV101" s="162">
        <f t="shared" si="134"/>
        <v>3.1276208929142202</v>
      </c>
      <c r="EW101" s="171">
        <f t="shared" si="215"/>
        <v>3.1276208929142202</v>
      </c>
      <c r="EX101" s="162"/>
    </row>
    <row r="102" spans="20:154" s="181" customFormat="1" x14ac:dyDescent="0.25">
      <c r="T102" s="162">
        <f t="shared" si="135"/>
        <v>1.8800000000000012</v>
      </c>
      <c r="U102" s="170">
        <f t="shared" si="136"/>
        <v>1.8800000000000012</v>
      </c>
      <c r="V102" s="162">
        <f t="shared" si="108"/>
        <v>3.0318005892528701</v>
      </c>
      <c r="W102" s="171">
        <f t="shared" si="137"/>
        <v>3.0318005892528701</v>
      </c>
      <c r="X102" s="162"/>
      <c r="Y102" s="162">
        <f t="shared" si="138"/>
        <v>1.8800000000000012</v>
      </c>
      <c r="Z102" s="162">
        <f t="shared" si="139"/>
        <v>1.8800000000000012</v>
      </c>
      <c r="AA102" s="162">
        <f t="shared" si="109"/>
        <v>3.0318005892528701</v>
      </c>
      <c r="AB102" s="171">
        <f t="shared" si="140"/>
        <v>3.0318005892528701</v>
      </c>
      <c r="AC102" s="162"/>
      <c r="AD102" s="162">
        <f t="shared" si="141"/>
        <v>1.8800000000000012</v>
      </c>
      <c r="AE102" s="170">
        <f t="shared" si="142"/>
        <v>1.8800000000000012</v>
      </c>
      <c r="AF102" s="162">
        <f t="shared" si="110"/>
        <v>3.0318005892528701</v>
      </c>
      <c r="AG102" s="171">
        <f t="shared" si="143"/>
        <v>3.0318005892528701</v>
      </c>
      <c r="AH102" s="162"/>
      <c r="AI102" s="162">
        <f t="shared" si="144"/>
        <v>1.8800000000000012</v>
      </c>
      <c r="AJ102" s="170">
        <f t="shared" si="145"/>
        <v>1.8800000000000012</v>
      </c>
      <c r="AK102" s="162">
        <f t="shared" si="111"/>
        <v>3.0318005892528701</v>
      </c>
      <c r="AL102" s="171">
        <f t="shared" si="146"/>
        <v>3.0318005892528701</v>
      </c>
      <c r="AM102" s="162"/>
      <c r="AN102" s="162">
        <f t="shared" si="147"/>
        <v>1.8800000000000012</v>
      </c>
      <c r="AO102" s="162">
        <f t="shared" si="148"/>
        <v>1.8800000000000012</v>
      </c>
      <c r="AP102" s="162">
        <f t="shared" si="112"/>
        <v>3.0318005892528701</v>
      </c>
      <c r="AQ102" s="171">
        <f t="shared" si="149"/>
        <v>3.0318005892528701</v>
      </c>
      <c r="AR102" s="162"/>
      <c r="AS102" s="162">
        <f t="shared" si="150"/>
        <v>1.8800000000000012</v>
      </c>
      <c r="AT102" s="170">
        <f t="shared" si="151"/>
        <v>1.8800000000000012</v>
      </c>
      <c r="AU102" s="162">
        <f t="shared" si="113"/>
        <v>3.0318005892528701</v>
      </c>
      <c r="AV102" s="171">
        <f t="shared" si="152"/>
        <v>3.0318005892528701</v>
      </c>
      <c r="AW102" s="162"/>
      <c r="AX102" s="162">
        <f t="shared" si="153"/>
        <v>1.8800000000000012</v>
      </c>
      <c r="AY102" s="170">
        <f t="shared" si="154"/>
        <v>1.8800000000000012</v>
      </c>
      <c r="AZ102" s="162">
        <f t="shared" si="114"/>
        <v>3.0318005892528701</v>
      </c>
      <c r="BA102" s="171">
        <f t="shared" si="155"/>
        <v>3.0318005892528701</v>
      </c>
      <c r="BB102" s="162"/>
      <c r="BC102" s="162">
        <f t="shared" si="156"/>
        <v>1.8800000000000012</v>
      </c>
      <c r="BD102" s="162">
        <f t="shared" si="157"/>
        <v>1.8800000000000012</v>
      </c>
      <c r="BE102" s="162">
        <f t="shared" si="115"/>
        <v>3.0318005892528701</v>
      </c>
      <c r="BF102" s="171">
        <f t="shared" si="158"/>
        <v>3.0318005892528701</v>
      </c>
      <c r="BG102" s="162"/>
      <c r="BH102" s="162">
        <f t="shared" si="159"/>
        <v>1.8800000000000012</v>
      </c>
      <c r="BI102" s="170">
        <f t="shared" si="160"/>
        <v>1.8800000000000012</v>
      </c>
      <c r="BJ102" s="162">
        <f t="shared" si="116"/>
        <v>3.0318005892528701</v>
      </c>
      <c r="BK102" s="171">
        <f t="shared" si="161"/>
        <v>3.0318005892528701</v>
      </c>
      <c r="BL102" s="162"/>
      <c r="BM102" s="162">
        <f t="shared" si="162"/>
        <v>1.8800000000000012</v>
      </c>
      <c r="BN102" s="170">
        <f t="shared" si="163"/>
        <v>1.8800000000000012</v>
      </c>
      <c r="BO102" s="162">
        <f t="shared" si="117"/>
        <v>3.0318005892528701</v>
      </c>
      <c r="BP102" s="171">
        <f t="shared" si="164"/>
        <v>3.0318005892528701</v>
      </c>
      <c r="BQ102" s="162"/>
      <c r="BR102" s="162">
        <f t="shared" si="165"/>
        <v>1.8800000000000012</v>
      </c>
      <c r="BS102" s="162">
        <f t="shared" si="166"/>
        <v>1.8800000000000012</v>
      </c>
      <c r="BT102" s="162">
        <f t="shared" si="118"/>
        <v>3.0318005892528701</v>
      </c>
      <c r="BU102" s="171">
        <f t="shared" si="167"/>
        <v>3.0318005892528701</v>
      </c>
      <c r="BV102" s="162"/>
      <c r="BW102" s="162">
        <f t="shared" si="168"/>
        <v>1.8800000000000012</v>
      </c>
      <c r="BX102" s="170">
        <f t="shared" si="169"/>
        <v>1.8800000000000012</v>
      </c>
      <c r="BY102" s="162">
        <f t="shared" si="119"/>
        <v>3.0318005892528701</v>
      </c>
      <c r="BZ102" s="171">
        <f t="shared" si="170"/>
        <v>3.0318005892528701</v>
      </c>
      <c r="CA102" s="162"/>
      <c r="CB102" s="162">
        <f t="shared" si="171"/>
        <v>1.8800000000000012</v>
      </c>
      <c r="CC102" s="170">
        <f t="shared" si="172"/>
        <v>1.8800000000000012</v>
      </c>
      <c r="CD102" s="162">
        <f t="shared" si="120"/>
        <v>3.0318005892528701</v>
      </c>
      <c r="CE102" s="171">
        <f t="shared" si="173"/>
        <v>3.0318005892528701</v>
      </c>
      <c r="CF102" s="162"/>
      <c r="CG102" s="172">
        <f t="shared" si="174"/>
        <v>1.8800000000000012</v>
      </c>
      <c r="CH102" s="172">
        <f t="shared" si="175"/>
        <v>1.8800000000000012</v>
      </c>
      <c r="CI102" s="172">
        <f t="shared" si="121"/>
        <v>3.0318005892528701</v>
      </c>
      <c r="CJ102" s="171">
        <f t="shared" si="176"/>
        <v>3.0318005892528701</v>
      </c>
      <c r="CK102" s="172"/>
      <c r="CL102" s="162">
        <f t="shared" si="177"/>
        <v>1.8800000000000012</v>
      </c>
      <c r="CM102" s="170">
        <f t="shared" si="178"/>
        <v>1.8800000000000012</v>
      </c>
      <c r="CN102" s="162">
        <f t="shared" si="122"/>
        <v>3.0318005892528701</v>
      </c>
      <c r="CO102" s="171">
        <f t="shared" si="179"/>
        <v>3.0318005892528701</v>
      </c>
      <c r="CP102" s="162"/>
      <c r="CQ102" s="162">
        <f t="shared" si="180"/>
        <v>1.8800000000000012</v>
      </c>
      <c r="CR102" s="170">
        <f t="shared" si="181"/>
        <v>1.8800000000000012</v>
      </c>
      <c r="CS102" s="162">
        <f t="shared" si="123"/>
        <v>3.0318005892528701</v>
      </c>
      <c r="CT102" s="171">
        <f t="shared" si="182"/>
        <v>3.0318005892528701</v>
      </c>
      <c r="CU102" s="162"/>
      <c r="CV102" s="162">
        <f t="shared" si="183"/>
        <v>1.8800000000000012</v>
      </c>
      <c r="CW102" s="162">
        <f t="shared" si="184"/>
        <v>1.8800000000000012</v>
      </c>
      <c r="CX102" s="162">
        <f t="shared" si="124"/>
        <v>3.0318005892528701</v>
      </c>
      <c r="CY102" s="171">
        <f t="shared" si="185"/>
        <v>3.0318005892528701</v>
      </c>
      <c r="CZ102" s="162"/>
      <c r="DA102" s="162">
        <f t="shared" si="186"/>
        <v>1.8800000000000012</v>
      </c>
      <c r="DB102" s="170">
        <f t="shared" si="187"/>
        <v>1.8800000000000012</v>
      </c>
      <c r="DC102" s="162">
        <f t="shared" si="125"/>
        <v>3.0318005892528701</v>
      </c>
      <c r="DD102" s="171">
        <f t="shared" si="188"/>
        <v>3.0318005892528701</v>
      </c>
      <c r="DE102" s="162"/>
      <c r="DF102" s="162">
        <f t="shared" si="189"/>
        <v>1.8800000000000012</v>
      </c>
      <c r="DG102" s="170">
        <f t="shared" si="190"/>
        <v>1.8800000000000012</v>
      </c>
      <c r="DH102" s="162">
        <f t="shared" si="126"/>
        <v>3.0318005892528701</v>
      </c>
      <c r="DI102" s="171">
        <f t="shared" si="191"/>
        <v>3.0318005892528701</v>
      </c>
      <c r="DJ102" s="162"/>
      <c r="DK102" s="162">
        <f t="shared" si="192"/>
        <v>1.8800000000000012</v>
      </c>
      <c r="DL102" s="162">
        <f t="shared" si="193"/>
        <v>1.8800000000000012</v>
      </c>
      <c r="DM102" s="162">
        <f t="shared" si="127"/>
        <v>3.0318005892528701</v>
      </c>
      <c r="DN102" s="171">
        <f t="shared" si="194"/>
        <v>3.0318005892528701</v>
      </c>
      <c r="DO102" s="162"/>
      <c r="DP102" s="162">
        <f t="shared" si="195"/>
        <v>1.8800000000000012</v>
      </c>
      <c r="DQ102" s="170">
        <f t="shared" si="196"/>
        <v>1.8800000000000012</v>
      </c>
      <c r="DR102" s="162">
        <f t="shared" si="128"/>
        <v>3.0318005892528701</v>
      </c>
      <c r="DS102" s="171">
        <f t="shared" si="197"/>
        <v>3.0318005892528701</v>
      </c>
      <c r="DT102" s="162"/>
      <c r="DU102" s="162">
        <f t="shared" si="198"/>
        <v>1.8800000000000012</v>
      </c>
      <c r="DV102" s="170">
        <f t="shared" si="199"/>
        <v>1.8800000000000012</v>
      </c>
      <c r="DW102" s="162">
        <f t="shared" si="129"/>
        <v>3.0318005892528701</v>
      </c>
      <c r="DX102" s="171">
        <f t="shared" si="200"/>
        <v>3.0318005892528701</v>
      </c>
      <c r="DY102" s="162"/>
      <c r="DZ102" s="162">
        <f t="shared" si="201"/>
        <v>1.8800000000000012</v>
      </c>
      <c r="EA102" s="162">
        <f t="shared" si="202"/>
        <v>1.8800000000000012</v>
      </c>
      <c r="EB102" s="162">
        <f t="shared" si="130"/>
        <v>3.0318005892528701</v>
      </c>
      <c r="EC102" s="171">
        <f t="shared" si="203"/>
        <v>3.0318005892528701</v>
      </c>
      <c r="ED102" s="162"/>
      <c r="EE102" s="162">
        <f t="shared" si="204"/>
        <v>1.8800000000000012</v>
      </c>
      <c r="EF102" s="170">
        <f t="shared" si="205"/>
        <v>1.8800000000000012</v>
      </c>
      <c r="EG102" s="162">
        <f t="shared" si="131"/>
        <v>3.0318005892528701</v>
      </c>
      <c r="EH102" s="171">
        <f t="shared" si="206"/>
        <v>3.0318005892528701</v>
      </c>
      <c r="EI102" s="162"/>
      <c r="EJ102" s="162">
        <f t="shared" si="207"/>
        <v>1.8800000000000012</v>
      </c>
      <c r="EK102" s="170">
        <f t="shared" si="208"/>
        <v>1.8800000000000012</v>
      </c>
      <c r="EL102" s="162">
        <f t="shared" si="132"/>
        <v>3.0318005892528701</v>
      </c>
      <c r="EM102" s="171">
        <f t="shared" si="209"/>
        <v>3.0318005892528701</v>
      </c>
      <c r="EN102" s="162"/>
      <c r="EO102" s="162">
        <f t="shared" si="210"/>
        <v>1.8800000000000012</v>
      </c>
      <c r="EP102" s="162">
        <f t="shared" si="211"/>
        <v>1.8800000000000012</v>
      </c>
      <c r="EQ102" s="162">
        <f t="shared" si="133"/>
        <v>3.0318005892528701</v>
      </c>
      <c r="ER102" s="171">
        <f t="shared" si="212"/>
        <v>3.0318005892528701</v>
      </c>
      <c r="ES102" s="162"/>
      <c r="ET102" s="162">
        <f t="shared" si="213"/>
        <v>1.8800000000000012</v>
      </c>
      <c r="EU102" s="170">
        <f t="shared" si="214"/>
        <v>1.8800000000000012</v>
      </c>
      <c r="EV102" s="162">
        <f t="shared" si="134"/>
        <v>3.0318005892528701</v>
      </c>
      <c r="EW102" s="171">
        <f t="shared" si="215"/>
        <v>3.0318005892528701</v>
      </c>
      <c r="EX102" s="162"/>
    </row>
    <row r="103" spans="20:154" s="181" customFormat="1" x14ac:dyDescent="0.25">
      <c r="T103" s="162">
        <f t="shared" si="135"/>
        <v>1.9000000000000012</v>
      </c>
      <c r="U103" s="170">
        <f t="shared" si="136"/>
        <v>1.9000000000000012</v>
      </c>
      <c r="V103" s="162">
        <f t="shared" si="108"/>
        <v>2.9332717728636775</v>
      </c>
      <c r="W103" s="171">
        <f t="shared" si="137"/>
        <v>2.9332717728636775</v>
      </c>
      <c r="X103" s="162"/>
      <c r="Y103" s="162">
        <f t="shared" si="138"/>
        <v>1.9000000000000012</v>
      </c>
      <c r="Z103" s="162">
        <f t="shared" si="139"/>
        <v>1.9000000000000012</v>
      </c>
      <c r="AA103" s="162">
        <f t="shared" si="109"/>
        <v>2.9332717728636775</v>
      </c>
      <c r="AB103" s="171">
        <f t="shared" si="140"/>
        <v>2.9332717728636775</v>
      </c>
      <c r="AC103" s="162"/>
      <c r="AD103" s="162">
        <f t="shared" si="141"/>
        <v>1.9000000000000012</v>
      </c>
      <c r="AE103" s="170">
        <f t="shared" si="142"/>
        <v>1.9000000000000012</v>
      </c>
      <c r="AF103" s="162">
        <f t="shared" si="110"/>
        <v>2.9332717728636775</v>
      </c>
      <c r="AG103" s="171">
        <f t="shared" si="143"/>
        <v>2.9332717728636775</v>
      </c>
      <c r="AH103" s="162"/>
      <c r="AI103" s="162">
        <f t="shared" si="144"/>
        <v>1.9000000000000012</v>
      </c>
      <c r="AJ103" s="170">
        <f t="shared" si="145"/>
        <v>1.9000000000000012</v>
      </c>
      <c r="AK103" s="162">
        <f t="shared" si="111"/>
        <v>2.9332717728636775</v>
      </c>
      <c r="AL103" s="171">
        <f t="shared" si="146"/>
        <v>2.9332717728636775</v>
      </c>
      <c r="AM103" s="162"/>
      <c r="AN103" s="162">
        <f t="shared" si="147"/>
        <v>1.9000000000000012</v>
      </c>
      <c r="AO103" s="162">
        <f t="shared" si="148"/>
        <v>1.9000000000000012</v>
      </c>
      <c r="AP103" s="162">
        <f t="shared" si="112"/>
        <v>2.9332717728636775</v>
      </c>
      <c r="AQ103" s="171">
        <f t="shared" si="149"/>
        <v>2.9332717728636775</v>
      </c>
      <c r="AR103" s="162"/>
      <c r="AS103" s="162">
        <f t="shared" si="150"/>
        <v>1.9000000000000012</v>
      </c>
      <c r="AT103" s="170">
        <f t="shared" si="151"/>
        <v>1.9000000000000012</v>
      </c>
      <c r="AU103" s="162">
        <f t="shared" si="113"/>
        <v>2.9332717728636775</v>
      </c>
      <c r="AV103" s="171">
        <f t="shared" si="152"/>
        <v>2.9332717728636775</v>
      </c>
      <c r="AW103" s="162"/>
      <c r="AX103" s="162">
        <f t="shared" si="153"/>
        <v>1.9000000000000012</v>
      </c>
      <c r="AY103" s="170">
        <f t="shared" si="154"/>
        <v>1.9000000000000012</v>
      </c>
      <c r="AZ103" s="162">
        <f t="shared" si="114"/>
        <v>2.9332717728636775</v>
      </c>
      <c r="BA103" s="171">
        <f t="shared" si="155"/>
        <v>2.9332717728636775</v>
      </c>
      <c r="BB103" s="162"/>
      <c r="BC103" s="162">
        <f t="shared" si="156"/>
        <v>1.9000000000000012</v>
      </c>
      <c r="BD103" s="162">
        <f t="shared" si="157"/>
        <v>1.9000000000000012</v>
      </c>
      <c r="BE103" s="162">
        <f t="shared" si="115"/>
        <v>2.9332717728636775</v>
      </c>
      <c r="BF103" s="171">
        <f t="shared" si="158"/>
        <v>2.9332717728636775</v>
      </c>
      <c r="BG103" s="162"/>
      <c r="BH103" s="162">
        <f t="shared" si="159"/>
        <v>1.9000000000000012</v>
      </c>
      <c r="BI103" s="170">
        <f t="shared" si="160"/>
        <v>1.9000000000000012</v>
      </c>
      <c r="BJ103" s="162">
        <f t="shared" si="116"/>
        <v>2.9332717728636775</v>
      </c>
      <c r="BK103" s="171">
        <f t="shared" si="161"/>
        <v>2.9332717728636775</v>
      </c>
      <c r="BL103" s="162"/>
      <c r="BM103" s="162">
        <f t="shared" si="162"/>
        <v>1.9000000000000012</v>
      </c>
      <c r="BN103" s="170">
        <f t="shared" si="163"/>
        <v>1.9000000000000012</v>
      </c>
      <c r="BO103" s="162">
        <f t="shared" si="117"/>
        <v>2.9332717728636775</v>
      </c>
      <c r="BP103" s="171">
        <f t="shared" si="164"/>
        <v>2.9332717728636775</v>
      </c>
      <c r="BQ103" s="162"/>
      <c r="BR103" s="162">
        <f t="shared" si="165"/>
        <v>1.9000000000000012</v>
      </c>
      <c r="BS103" s="162">
        <f t="shared" si="166"/>
        <v>1.9000000000000012</v>
      </c>
      <c r="BT103" s="162">
        <f t="shared" si="118"/>
        <v>2.9332717728636775</v>
      </c>
      <c r="BU103" s="171">
        <f t="shared" si="167"/>
        <v>2.9332717728636775</v>
      </c>
      <c r="BV103" s="162"/>
      <c r="BW103" s="162">
        <f t="shared" si="168"/>
        <v>1.9000000000000012</v>
      </c>
      <c r="BX103" s="170">
        <f t="shared" si="169"/>
        <v>1.9000000000000012</v>
      </c>
      <c r="BY103" s="162">
        <f t="shared" si="119"/>
        <v>2.9332717728636775</v>
      </c>
      <c r="BZ103" s="171">
        <f t="shared" si="170"/>
        <v>2.9332717728636775</v>
      </c>
      <c r="CA103" s="162"/>
      <c r="CB103" s="162">
        <f t="shared" si="171"/>
        <v>1.9000000000000012</v>
      </c>
      <c r="CC103" s="170">
        <f t="shared" si="172"/>
        <v>1.9000000000000012</v>
      </c>
      <c r="CD103" s="162">
        <f t="shared" si="120"/>
        <v>2.9332717728636775</v>
      </c>
      <c r="CE103" s="171">
        <f t="shared" si="173"/>
        <v>2.9332717728636775</v>
      </c>
      <c r="CF103" s="162"/>
      <c r="CG103" s="172">
        <f t="shared" si="174"/>
        <v>1.9000000000000012</v>
      </c>
      <c r="CH103" s="172">
        <f t="shared" si="175"/>
        <v>1.9000000000000012</v>
      </c>
      <c r="CI103" s="172">
        <f t="shared" si="121"/>
        <v>2.9332717728636775</v>
      </c>
      <c r="CJ103" s="171">
        <f t="shared" si="176"/>
        <v>2.9332717728636775</v>
      </c>
      <c r="CK103" s="172"/>
      <c r="CL103" s="162">
        <f t="shared" si="177"/>
        <v>1.9000000000000012</v>
      </c>
      <c r="CM103" s="170">
        <f t="shared" si="178"/>
        <v>1.9000000000000012</v>
      </c>
      <c r="CN103" s="162">
        <f t="shared" si="122"/>
        <v>2.9332717728636775</v>
      </c>
      <c r="CO103" s="171">
        <f t="shared" si="179"/>
        <v>2.9332717728636775</v>
      </c>
      <c r="CP103" s="162"/>
      <c r="CQ103" s="162">
        <f t="shared" si="180"/>
        <v>1.9000000000000012</v>
      </c>
      <c r="CR103" s="170">
        <f t="shared" si="181"/>
        <v>1.9000000000000012</v>
      </c>
      <c r="CS103" s="162">
        <f t="shared" si="123"/>
        <v>2.9332717728636775</v>
      </c>
      <c r="CT103" s="171">
        <f t="shared" si="182"/>
        <v>2.9332717728636775</v>
      </c>
      <c r="CU103" s="162"/>
      <c r="CV103" s="162">
        <f t="shared" si="183"/>
        <v>1.9000000000000012</v>
      </c>
      <c r="CW103" s="162">
        <f t="shared" si="184"/>
        <v>1.9000000000000012</v>
      </c>
      <c r="CX103" s="162">
        <f t="shared" si="124"/>
        <v>2.9332717728636775</v>
      </c>
      <c r="CY103" s="171">
        <f t="shared" si="185"/>
        <v>2.9332717728636775</v>
      </c>
      <c r="CZ103" s="162"/>
      <c r="DA103" s="162">
        <f t="shared" si="186"/>
        <v>1.9000000000000012</v>
      </c>
      <c r="DB103" s="170">
        <f t="shared" si="187"/>
        <v>1.9000000000000012</v>
      </c>
      <c r="DC103" s="162">
        <f t="shared" si="125"/>
        <v>2.9332717728636775</v>
      </c>
      <c r="DD103" s="171">
        <f t="shared" si="188"/>
        <v>2.9332717728636775</v>
      </c>
      <c r="DE103" s="162"/>
      <c r="DF103" s="162">
        <f t="shared" si="189"/>
        <v>1.9000000000000012</v>
      </c>
      <c r="DG103" s="170">
        <f t="shared" si="190"/>
        <v>1.9000000000000012</v>
      </c>
      <c r="DH103" s="162">
        <f t="shared" si="126"/>
        <v>2.9332717728636775</v>
      </c>
      <c r="DI103" s="171">
        <f t="shared" si="191"/>
        <v>2.9332717728636775</v>
      </c>
      <c r="DJ103" s="162"/>
      <c r="DK103" s="162">
        <f t="shared" si="192"/>
        <v>1.9000000000000012</v>
      </c>
      <c r="DL103" s="162">
        <f t="shared" si="193"/>
        <v>1.9000000000000012</v>
      </c>
      <c r="DM103" s="162">
        <f t="shared" si="127"/>
        <v>2.9332717728636775</v>
      </c>
      <c r="DN103" s="171">
        <f t="shared" si="194"/>
        <v>2.9332717728636775</v>
      </c>
      <c r="DO103" s="162"/>
      <c r="DP103" s="162">
        <f t="shared" si="195"/>
        <v>1.9000000000000012</v>
      </c>
      <c r="DQ103" s="170">
        <f t="shared" si="196"/>
        <v>1.9000000000000012</v>
      </c>
      <c r="DR103" s="162">
        <f t="shared" si="128"/>
        <v>2.9332717728636775</v>
      </c>
      <c r="DS103" s="171">
        <f t="shared" si="197"/>
        <v>2.9332717728636775</v>
      </c>
      <c r="DT103" s="162"/>
      <c r="DU103" s="162">
        <f t="shared" si="198"/>
        <v>1.9000000000000012</v>
      </c>
      <c r="DV103" s="170">
        <f t="shared" si="199"/>
        <v>1.9000000000000012</v>
      </c>
      <c r="DW103" s="162">
        <f t="shared" si="129"/>
        <v>2.9332717728636775</v>
      </c>
      <c r="DX103" s="171">
        <f t="shared" si="200"/>
        <v>2.9332717728636775</v>
      </c>
      <c r="DY103" s="162"/>
      <c r="DZ103" s="162">
        <f t="shared" si="201"/>
        <v>1.9000000000000012</v>
      </c>
      <c r="EA103" s="162">
        <f t="shared" si="202"/>
        <v>1.9000000000000012</v>
      </c>
      <c r="EB103" s="162">
        <f t="shared" si="130"/>
        <v>2.9332717728636775</v>
      </c>
      <c r="EC103" s="171">
        <f t="shared" si="203"/>
        <v>2.9332717728636775</v>
      </c>
      <c r="ED103" s="162"/>
      <c r="EE103" s="162">
        <f t="shared" si="204"/>
        <v>1.9000000000000012</v>
      </c>
      <c r="EF103" s="170">
        <f t="shared" si="205"/>
        <v>1.9000000000000012</v>
      </c>
      <c r="EG103" s="162">
        <f t="shared" si="131"/>
        <v>2.9332717728636775</v>
      </c>
      <c r="EH103" s="171">
        <f t="shared" si="206"/>
        <v>2.9332717728636775</v>
      </c>
      <c r="EI103" s="162"/>
      <c r="EJ103" s="162">
        <f t="shared" si="207"/>
        <v>1.9000000000000012</v>
      </c>
      <c r="EK103" s="170">
        <f t="shared" si="208"/>
        <v>1.9000000000000012</v>
      </c>
      <c r="EL103" s="162">
        <f t="shared" si="132"/>
        <v>2.9332717728636775</v>
      </c>
      <c r="EM103" s="171">
        <f t="shared" si="209"/>
        <v>2.9332717728636775</v>
      </c>
      <c r="EN103" s="162"/>
      <c r="EO103" s="162">
        <f t="shared" si="210"/>
        <v>1.9000000000000012</v>
      </c>
      <c r="EP103" s="162">
        <f t="shared" si="211"/>
        <v>1.9000000000000012</v>
      </c>
      <c r="EQ103" s="162">
        <f t="shared" si="133"/>
        <v>2.9332717728636775</v>
      </c>
      <c r="ER103" s="171">
        <f t="shared" si="212"/>
        <v>2.9332717728636775</v>
      </c>
      <c r="ES103" s="162"/>
      <c r="ET103" s="162">
        <f t="shared" si="213"/>
        <v>1.9000000000000012</v>
      </c>
      <c r="EU103" s="170">
        <f t="shared" si="214"/>
        <v>1.9000000000000012</v>
      </c>
      <c r="EV103" s="162">
        <f t="shared" si="134"/>
        <v>2.9332717728636775</v>
      </c>
      <c r="EW103" s="171">
        <f t="shared" si="215"/>
        <v>2.9332717728636775</v>
      </c>
      <c r="EX103" s="162"/>
    </row>
    <row r="104" spans="20:154" s="181" customFormat="1" x14ac:dyDescent="0.25">
      <c r="T104" s="162">
        <f t="shared" si="135"/>
        <v>1.9200000000000013</v>
      </c>
      <c r="U104" s="170">
        <f t="shared" si="136"/>
        <v>1.9200000000000013</v>
      </c>
      <c r="V104" s="162">
        <f t="shared" si="108"/>
        <v>2.8320344437466334</v>
      </c>
      <c r="W104" s="171">
        <f t="shared" si="137"/>
        <v>2.8320344437466334</v>
      </c>
      <c r="X104" s="162"/>
      <c r="Y104" s="162">
        <f t="shared" si="138"/>
        <v>1.9200000000000013</v>
      </c>
      <c r="Z104" s="162">
        <f t="shared" si="139"/>
        <v>1.9200000000000013</v>
      </c>
      <c r="AA104" s="162">
        <f t="shared" si="109"/>
        <v>2.8320344437466334</v>
      </c>
      <c r="AB104" s="171">
        <f t="shared" si="140"/>
        <v>2.8320344437466334</v>
      </c>
      <c r="AC104" s="162"/>
      <c r="AD104" s="162">
        <f t="shared" si="141"/>
        <v>1.9200000000000013</v>
      </c>
      <c r="AE104" s="170">
        <f t="shared" si="142"/>
        <v>1.9200000000000013</v>
      </c>
      <c r="AF104" s="162">
        <f t="shared" si="110"/>
        <v>2.8320344437466334</v>
      </c>
      <c r="AG104" s="171">
        <f t="shared" si="143"/>
        <v>2.8320344437466334</v>
      </c>
      <c r="AH104" s="162"/>
      <c r="AI104" s="162">
        <f t="shared" si="144"/>
        <v>1.9200000000000013</v>
      </c>
      <c r="AJ104" s="170">
        <f t="shared" si="145"/>
        <v>1.9200000000000013</v>
      </c>
      <c r="AK104" s="162">
        <f t="shared" si="111"/>
        <v>2.8320344437466334</v>
      </c>
      <c r="AL104" s="171">
        <f t="shared" si="146"/>
        <v>2.8320344437466334</v>
      </c>
      <c r="AM104" s="162"/>
      <c r="AN104" s="162">
        <f t="shared" si="147"/>
        <v>1.9200000000000013</v>
      </c>
      <c r="AO104" s="162">
        <f t="shared" si="148"/>
        <v>1.9200000000000013</v>
      </c>
      <c r="AP104" s="162">
        <f t="shared" si="112"/>
        <v>2.8320344437466334</v>
      </c>
      <c r="AQ104" s="171">
        <f t="shared" si="149"/>
        <v>2.8320344437466334</v>
      </c>
      <c r="AR104" s="162"/>
      <c r="AS104" s="162">
        <f t="shared" si="150"/>
        <v>1.9200000000000013</v>
      </c>
      <c r="AT104" s="170">
        <f t="shared" si="151"/>
        <v>1.9200000000000013</v>
      </c>
      <c r="AU104" s="162">
        <f t="shared" si="113"/>
        <v>2.8320344437466334</v>
      </c>
      <c r="AV104" s="171">
        <f t="shared" si="152"/>
        <v>2.8320344437466334</v>
      </c>
      <c r="AW104" s="162"/>
      <c r="AX104" s="162">
        <f t="shared" si="153"/>
        <v>1.9200000000000013</v>
      </c>
      <c r="AY104" s="170">
        <f t="shared" si="154"/>
        <v>1.9200000000000013</v>
      </c>
      <c r="AZ104" s="162">
        <f t="shared" si="114"/>
        <v>2.8320344437466334</v>
      </c>
      <c r="BA104" s="171">
        <f t="shared" si="155"/>
        <v>2.8320344437466334</v>
      </c>
      <c r="BB104" s="162"/>
      <c r="BC104" s="162">
        <f t="shared" si="156"/>
        <v>1.9200000000000013</v>
      </c>
      <c r="BD104" s="162">
        <f t="shared" si="157"/>
        <v>1.9200000000000013</v>
      </c>
      <c r="BE104" s="162">
        <f t="shared" si="115"/>
        <v>2.8320344437466334</v>
      </c>
      <c r="BF104" s="171">
        <f t="shared" si="158"/>
        <v>2.8320344437466334</v>
      </c>
      <c r="BG104" s="162"/>
      <c r="BH104" s="162">
        <f t="shared" si="159"/>
        <v>1.9200000000000013</v>
      </c>
      <c r="BI104" s="170">
        <f t="shared" si="160"/>
        <v>1.9200000000000013</v>
      </c>
      <c r="BJ104" s="162">
        <f t="shared" si="116"/>
        <v>2.8320344437466334</v>
      </c>
      <c r="BK104" s="171">
        <f t="shared" si="161"/>
        <v>2.8320344437466334</v>
      </c>
      <c r="BL104" s="162"/>
      <c r="BM104" s="162">
        <f t="shared" si="162"/>
        <v>1.9200000000000013</v>
      </c>
      <c r="BN104" s="170">
        <f t="shared" si="163"/>
        <v>1.9200000000000013</v>
      </c>
      <c r="BO104" s="162">
        <f t="shared" si="117"/>
        <v>2.8320344437466334</v>
      </c>
      <c r="BP104" s="171">
        <f t="shared" si="164"/>
        <v>2.8320344437466334</v>
      </c>
      <c r="BQ104" s="162"/>
      <c r="BR104" s="162">
        <f t="shared" si="165"/>
        <v>1.9200000000000013</v>
      </c>
      <c r="BS104" s="162">
        <f t="shared" si="166"/>
        <v>1.9200000000000013</v>
      </c>
      <c r="BT104" s="162">
        <f t="shared" si="118"/>
        <v>2.8320344437466334</v>
      </c>
      <c r="BU104" s="171">
        <f t="shared" si="167"/>
        <v>2.8320344437466334</v>
      </c>
      <c r="BV104" s="162"/>
      <c r="BW104" s="162">
        <f t="shared" si="168"/>
        <v>1.9200000000000013</v>
      </c>
      <c r="BX104" s="170">
        <f t="shared" si="169"/>
        <v>1.9200000000000013</v>
      </c>
      <c r="BY104" s="162">
        <f t="shared" si="119"/>
        <v>2.8320344437466334</v>
      </c>
      <c r="BZ104" s="171">
        <f t="shared" si="170"/>
        <v>2.8320344437466334</v>
      </c>
      <c r="CA104" s="162"/>
      <c r="CB104" s="162">
        <f t="shared" si="171"/>
        <v>1.9200000000000013</v>
      </c>
      <c r="CC104" s="170">
        <f t="shared" si="172"/>
        <v>1.9200000000000013</v>
      </c>
      <c r="CD104" s="162">
        <f t="shared" si="120"/>
        <v>2.8320344437466334</v>
      </c>
      <c r="CE104" s="171">
        <f t="shared" si="173"/>
        <v>2.8320344437466334</v>
      </c>
      <c r="CF104" s="162"/>
      <c r="CG104" s="172">
        <f t="shared" si="174"/>
        <v>1.9200000000000013</v>
      </c>
      <c r="CH104" s="172">
        <f t="shared" si="175"/>
        <v>1.9200000000000013</v>
      </c>
      <c r="CI104" s="172">
        <f t="shared" si="121"/>
        <v>2.8320344437466334</v>
      </c>
      <c r="CJ104" s="171">
        <f t="shared" si="176"/>
        <v>2.8320344437466334</v>
      </c>
      <c r="CK104" s="172"/>
      <c r="CL104" s="162">
        <f t="shared" si="177"/>
        <v>1.9200000000000013</v>
      </c>
      <c r="CM104" s="170">
        <f t="shared" si="178"/>
        <v>1.9200000000000013</v>
      </c>
      <c r="CN104" s="162">
        <f t="shared" si="122"/>
        <v>2.8320344437466334</v>
      </c>
      <c r="CO104" s="171">
        <f t="shared" si="179"/>
        <v>2.8320344437466334</v>
      </c>
      <c r="CP104" s="162"/>
      <c r="CQ104" s="162">
        <f t="shared" si="180"/>
        <v>1.9200000000000013</v>
      </c>
      <c r="CR104" s="170">
        <f t="shared" si="181"/>
        <v>1.9200000000000013</v>
      </c>
      <c r="CS104" s="162">
        <f t="shared" si="123"/>
        <v>2.8320344437466334</v>
      </c>
      <c r="CT104" s="171">
        <f t="shared" si="182"/>
        <v>2.8320344437466334</v>
      </c>
      <c r="CU104" s="162"/>
      <c r="CV104" s="162">
        <f t="shared" si="183"/>
        <v>1.9200000000000013</v>
      </c>
      <c r="CW104" s="162">
        <f t="shared" si="184"/>
        <v>1.9200000000000013</v>
      </c>
      <c r="CX104" s="162">
        <f t="shared" si="124"/>
        <v>2.8320344437466334</v>
      </c>
      <c r="CY104" s="171">
        <f t="shared" si="185"/>
        <v>2.8320344437466334</v>
      </c>
      <c r="CZ104" s="162"/>
      <c r="DA104" s="162">
        <f t="shared" si="186"/>
        <v>1.9200000000000013</v>
      </c>
      <c r="DB104" s="170">
        <f t="shared" si="187"/>
        <v>1.9200000000000013</v>
      </c>
      <c r="DC104" s="162">
        <f t="shared" si="125"/>
        <v>2.8320344437466334</v>
      </c>
      <c r="DD104" s="171">
        <f t="shared" si="188"/>
        <v>2.8320344437466334</v>
      </c>
      <c r="DE104" s="162"/>
      <c r="DF104" s="162">
        <f t="shared" si="189"/>
        <v>1.9200000000000013</v>
      </c>
      <c r="DG104" s="170">
        <f t="shared" si="190"/>
        <v>1.9200000000000013</v>
      </c>
      <c r="DH104" s="162">
        <f t="shared" si="126"/>
        <v>2.8320344437466334</v>
      </c>
      <c r="DI104" s="171">
        <f t="shared" si="191"/>
        <v>2.8320344437466334</v>
      </c>
      <c r="DJ104" s="162"/>
      <c r="DK104" s="162">
        <f t="shared" si="192"/>
        <v>1.9200000000000013</v>
      </c>
      <c r="DL104" s="162">
        <f t="shared" si="193"/>
        <v>1.9200000000000013</v>
      </c>
      <c r="DM104" s="162">
        <f t="shared" si="127"/>
        <v>2.8320344437466334</v>
      </c>
      <c r="DN104" s="171">
        <f t="shared" si="194"/>
        <v>2.8320344437466334</v>
      </c>
      <c r="DO104" s="162"/>
      <c r="DP104" s="162">
        <f t="shared" si="195"/>
        <v>1.9200000000000013</v>
      </c>
      <c r="DQ104" s="170">
        <f t="shared" si="196"/>
        <v>1.9200000000000013</v>
      </c>
      <c r="DR104" s="162">
        <f t="shared" si="128"/>
        <v>2.8320344437466334</v>
      </c>
      <c r="DS104" s="171">
        <f t="shared" si="197"/>
        <v>2.8320344437466334</v>
      </c>
      <c r="DT104" s="162"/>
      <c r="DU104" s="162">
        <f t="shared" si="198"/>
        <v>1.9200000000000013</v>
      </c>
      <c r="DV104" s="170">
        <f t="shared" si="199"/>
        <v>1.9200000000000013</v>
      </c>
      <c r="DW104" s="162">
        <f t="shared" si="129"/>
        <v>2.8320344437466334</v>
      </c>
      <c r="DX104" s="171">
        <f t="shared" si="200"/>
        <v>2.8320344437466334</v>
      </c>
      <c r="DY104" s="162"/>
      <c r="DZ104" s="162">
        <f t="shared" si="201"/>
        <v>1.9200000000000013</v>
      </c>
      <c r="EA104" s="162">
        <f t="shared" si="202"/>
        <v>1.9200000000000013</v>
      </c>
      <c r="EB104" s="162">
        <f t="shared" si="130"/>
        <v>2.8320344437466334</v>
      </c>
      <c r="EC104" s="171">
        <f t="shared" si="203"/>
        <v>2.8320344437466334</v>
      </c>
      <c r="ED104" s="162"/>
      <c r="EE104" s="162">
        <f t="shared" si="204"/>
        <v>1.9200000000000013</v>
      </c>
      <c r="EF104" s="170">
        <f t="shared" si="205"/>
        <v>1.9200000000000013</v>
      </c>
      <c r="EG104" s="162">
        <f t="shared" si="131"/>
        <v>2.8320344437466334</v>
      </c>
      <c r="EH104" s="171">
        <f t="shared" si="206"/>
        <v>2.8320344437466334</v>
      </c>
      <c r="EI104" s="162"/>
      <c r="EJ104" s="162">
        <f t="shared" si="207"/>
        <v>1.9200000000000013</v>
      </c>
      <c r="EK104" s="170">
        <f t="shared" si="208"/>
        <v>1.9200000000000013</v>
      </c>
      <c r="EL104" s="162">
        <f t="shared" si="132"/>
        <v>2.8320344437466334</v>
      </c>
      <c r="EM104" s="171">
        <f t="shared" si="209"/>
        <v>2.8320344437466334</v>
      </c>
      <c r="EN104" s="162"/>
      <c r="EO104" s="162">
        <f t="shared" si="210"/>
        <v>1.9200000000000013</v>
      </c>
      <c r="EP104" s="162">
        <f t="shared" si="211"/>
        <v>1.9200000000000013</v>
      </c>
      <c r="EQ104" s="162">
        <f t="shared" si="133"/>
        <v>2.8320344437466334</v>
      </c>
      <c r="ER104" s="171">
        <f t="shared" si="212"/>
        <v>2.8320344437466334</v>
      </c>
      <c r="ES104" s="162"/>
      <c r="ET104" s="162">
        <f t="shared" si="213"/>
        <v>1.9200000000000013</v>
      </c>
      <c r="EU104" s="170">
        <f t="shared" si="214"/>
        <v>1.9200000000000013</v>
      </c>
      <c r="EV104" s="162">
        <f t="shared" si="134"/>
        <v>2.8320344437466334</v>
      </c>
      <c r="EW104" s="171">
        <f t="shared" si="215"/>
        <v>2.8320344437466334</v>
      </c>
      <c r="EX104" s="162"/>
    </row>
    <row r="105" spans="20:154" s="181" customFormat="1" x14ac:dyDescent="0.25">
      <c r="T105" s="162">
        <f t="shared" si="135"/>
        <v>1.9400000000000013</v>
      </c>
      <c r="U105" s="170">
        <f t="shared" si="136"/>
        <v>1.9400000000000013</v>
      </c>
      <c r="V105" s="162">
        <f t="shared" si="108"/>
        <v>2.728088601901745</v>
      </c>
      <c r="W105" s="171">
        <f t="shared" si="137"/>
        <v>2.728088601901745</v>
      </c>
      <c r="X105" s="162"/>
      <c r="Y105" s="162">
        <f t="shared" si="138"/>
        <v>1.9400000000000013</v>
      </c>
      <c r="Z105" s="162">
        <f t="shared" si="139"/>
        <v>1.9400000000000013</v>
      </c>
      <c r="AA105" s="162">
        <f t="shared" si="109"/>
        <v>2.728088601901745</v>
      </c>
      <c r="AB105" s="171">
        <f t="shared" si="140"/>
        <v>2.728088601901745</v>
      </c>
      <c r="AC105" s="162"/>
      <c r="AD105" s="162">
        <f t="shared" si="141"/>
        <v>1.9400000000000013</v>
      </c>
      <c r="AE105" s="170">
        <f t="shared" si="142"/>
        <v>1.9400000000000013</v>
      </c>
      <c r="AF105" s="162">
        <f t="shared" si="110"/>
        <v>2.728088601901745</v>
      </c>
      <c r="AG105" s="171">
        <f t="shared" si="143"/>
        <v>2.728088601901745</v>
      </c>
      <c r="AH105" s="162"/>
      <c r="AI105" s="162">
        <f t="shared" si="144"/>
        <v>1.9400000000000013</v>
      </c>
      <c r="AJ105" s="170">
        <f t="shared" si="145"/>
        <v>1.9400000000000013</v>
      </c>
      <c r="AK105" s="162">
        <f t="shared" si="111"/>
        <v>2.728088601901745</v>
      </c>
      <c r="AL105" s="171">
        <f t="shared" si="146"/>
        <v>2.728088601901745</v>
      </c>
      <c r="AM105" s="162"/>
      <c r="AN105" s="162">
        <f t="shared" si="147"/>
        <v>1.9400000000000013</v>
      </c>
      <c r="AO105" s="162">
        <f t="shared" si="148"/>
        <v>1.9400000000000013</v>
      </c>
      <c r="AP105" s="162">
        <f t="shared" si="112"/>
        <v>2.728088601901745</v>
      </c>
      <c r="AQ105" s="171">
        <f t="shared" si="149"/>
        <v>2.728088601901745</v>
      </c>
      <c r="AR105" s="162"/>
      <c r="AS105" s="162">
        <f t="shared" si="150"/>
        <v>1.9400000000000013</v>
      </c>
      <c r="AT105" s="170">
        <f t="shared" si="151"/>
        <v>1.9400000000000013</v>
      </c>
      <c r="AU105" s="162">
        <f t="shared" si="113"/>
        <v>2.728088601901745</v>
      </c>
      <c r="AV105" s="171">
        <f t="shared" si="152"/>
        <v>2.728088601901745</v>
      </c>
      <c r="AW105" s="162"/>
      <c r="AX105" s="162">
        <f t="shared" si="153"/>
        <v>1.9400000000000013</v>
      </c>
      <c r="AY105" s="170">
        <f t="shared" si="154"/>
        <v>1.9400000000000013</v>
      </c>
      <c r="AZ105" s="162">
        <f t="shared" si="114"/>
        <v>2.728088601901745</v>
      </c>
      <c r="BA105" s="171">
        <f t="shared" si="155"/>
        <v>2.728088601901745</v>
      </c>
      <c r="BB105" s="162"/>
      <c r="BC105" s="162">
        <f t="shared" si="156"/>
        <v>1.9400000000000013</v>
      </c>
      <c r="BD105" s="162">
        <f t="shared" si="157"/>
        <v>1.9400000000000013</v>
      </c>
      <c r="BE105" s="162">
        <f t="shared" si="115"/>
        <v>2.728088601901745</v>
      </c>
      <c r="BF105" s="171">
        <f t="shared" si="158"/>
        <v>2.728088601901745</v>
      </c>
      <c r="BG105" s="162"/>
      <c r="BH105" s="162">
        <f t="shared" si="159"/>
        <v>1.9400000000000013</v>
      </c>
      <c r="BI105" s="170">
        <f t="shared" si="160"/>
        <v>1.9400000000000013</v>
      </c>
      <c r="BJ105" s="162">
        <f t="shared" si="116"/>
        <v>2.728088601901745</v>
      </c>
      <c r="BK105" s="171">
        <f t="shared" si="161"/>
        <v>2.728088601901745</v>
      </c>
      <c r="BL105" s="162"/>
      <c r="BM105" s="162">
        <f t="shared" si="162"/>
        <v>1.9400000000000013</v>
      </c>
      <c r="BN105" s="170">
        <f t="shared" si="163"/>
        <v>1.9400000000000013</v>
      </c>
      <c r="BO105" s="162">
        <f t="shared" si="117"/>
        <v>2.728088601901745</v>
      </c>
      <c r="BP105" s="171">
        <f t="shared" si="164"/>
        <v>2.728088601901745</v>
      </c>
      <c r="BQ105" s="162"/>
      <c r="BR105" s="162">
        <f t="shared" si="165"/>
        <v>1.9400000000000013</v>
      </c>
      <c r="BS105" s="162">
        <f t="shared" si="166"/>
        <v>1.9400000000000013</v>
      </c>
      <c r="BT105" s="162">
        <f t="shared" si="118"/>
        <v>2.728088601901745</v>
      </c>
      <c r="BU105" s="171">
        <f t="shared" si="167"/>
        <v>2.728088601901745</v>
      </c>
      <c r="BV105" s="162"/>
      <c r="BW105" s="162">
        <f t="shared" si="168"/>
        <v>1.9400000000000013</v>
      </c>
      <c r="BX105" s="170">
        <f t="shared" si="169"/>
        <v>1.9400000000000013</v>
      </c>
      <c r="BY105" s="162">
        <f t="shared" si="119"/>
        <v>2.728088601901745</v>
      </c>
      <c r="BZ105" s="171">
        <f t="shared" si="170"/>
        <v>2.728088601901745</v>
      </c>
      <c r="CA105" s="162"/>
      <c r="CB105" s="162">
        <f t="shared" si="171"/>
        <v>1.9400000000000013</v>
      </c>
      <c r="CC105" s="170">
        <f t="shared" si="172"/>
        <v>1.9400000000000013</v>
      </c>
      <c r="CD105" s="162">
        <f t="shared" si="120"/>
        <v>2.728088601901745</v>
      </c>
      <c r="CE105" s="171">
        <f t="shared" si="173"/>
        <v>2.728088601901745</v>
      </c>
      <c r="CF105" s="162"/>
      <c r="CG105" s="172">
        <f t="shared" si="174"/>
        <v>1.9400000000000013</v>
      </c>
      <c r="CH105" s="172">
        <f t="shared" si="175"/>
        <v>1.9400000000000013</v>
      </c>
      <c r="CI105" s="172">
        <f t="shared" si="121"/>
        <v>2.728088601901745</v>
      </c>
      <c r="CJ105" s="171">
        <f t="shared" si="176"/>
        <v>2.728088601901745</v>
      </c>
      <c r="CK105" s="172"/>
      <c r="CL105" s="162">
        <f t="shared" si="177"/>
        <v>1.9400000000000013</v>
      </c>
      <c r="CM105" s="170">
        <f t="shared" si="178"/>
        <v>1.9400000000000013</v>
      </c>
      <c r="CN105" s="162">
        <f t="shared" si="122"/>
        <v>2.728088601901745</v>
      </c>
      <c r="CO105" s="171">
        <f t="shared" si="179"/>
        <v>2.728088601901745</v>
      </c>
      <c r="CP105" s="162"/>
      <c r="CQ105" s="162">
        <f t="shared" si="180"/>
        <v>1.9400000000000013</v>
      </c>
      <c r="CR105" s="170">
        <f t="shared" si="181"/>
        <v>1.9400000000000013</v>
      </c>
      <c r="CS105" s="162">
        <f t="shared" si="123"/>
        <v>2.728088601901745</v>
      </c>
      <c r="CT105" s="171">
        <f t="shared" si="182"/>
        <v>2.728088601901745</v>
      </c>
      <c r="CU105" s="162"/>
      <c r="CV105" s="162">
        <f t="shared" si="183"/>
        <v>1.9400000000000013</v>
      </c>
      <c r="CW105" s="162">
        <f t="shared" si="184"/>
        <v>1.9400000000000013</v>
      </c>
      <c r="CX105" s="162">
        <f t="shared" si="124"/>
        <v>2.728088601901745</v>
      </c>
      <c r="CY105" s="171">
        <f t="shared" si="185"/>
        <v>2.728088601901745</v>
      </c>
      <c r="CZ105" s="162"/>
      <c r="DA105" s="162">
        <f t="shared" si="186"/>
        <v>1.9400000000000013</v>
      </c>
      <c r="DB105" s="170">
        <f t="shared" si="187"/>
        <v>1.9400000000000013</v>
      </c>
      <c r="DC105" s="162">
        <f t="shared" si="125"/>
        <v>2.728088601901745</v>
      </c>
      <c r="DD105" s="171">
        <f t="shared" si="188"/>
        <v>2.728088601901745</v>
      </c>
      <c r="DE105" s="162"/>
      <c r="DF105" s="162">
        <f t="shared" si="189"/>
        <v>1.9400000000000013</v>
      </c>
      <c r="DG105" s="170">
        <f t="shared" si="190"/>
        <v>1.9400000000000013</v>
      </c>
      <c r="DH105" s="162">
        <f t="shared" si="126"/>
        <v>2.728088601901745</v>
      </c>
      <c r="DI105" s="171">
        <f t="shared" si="191"/>
        <v>2.728088601901745</v>
      </c>
      <c r="DJ105" s="162"/>
      <c r="DK105" s="162">
        <f t="shared" si="192"/>
        <v>1.9400000000000013</v>
      </c>
      <c r="DL105" s="162">
        <f t="shared" si="193"/>
        <v>1.9400000000000013</v>
      </c>
      <c r="DM105" s="162">
        <f t="shared" si="127"/>
        <v>2.728088601901745</v>
      </c>
      <c r="DN105" s="171">
        <f t="shared" si="194"/>
        <v>2.728088601901745</v>
      </c>
      <c r="DO105" s="162"/>
      <c r="DP105" s="162">
        <f t="shared" si="195"/>
        <v>1.9400000000000013</v>
      </c>
      <c r="DQ105" s="170">
        <f t="shared" si="196"/>
        <v>1.9400000000000013</v>
      </c>
      <c r="DR105" s="162">
        <f t="shared" si="128"/>
        <v>2.728088601901745</v>
      </c>
      <c r="DS105" s="171">
        <f t="shared" si="197"/>
        <v>2.728088601901745</v>
      </c>
      <c r="DT105" s="162"/>
      <c r="DU105" s="162">
        <f t="shared" si="198"/>
        <v>1.9400000000000013</v>
      </c>
      <c r="DV105" s="170">
        <f t="shared" si="199"/>
        <v>1.9400000000000013</v>
      </c>
      <c r="DW105" s="162">
        <f t="shared" si="129"/>
        <v>2.728088601901745</v>
      </c>
      <c r="DX105" s="171">
        <f t="shared" si="200"/>
        <v>2.728088601901745</v>
      </c>
      <c r="DY105" s="162"/>
      <c r="DZ105" s="162">
        <f t="shared" si="201"/>
        <v>1.9400000000000013</v>
      </c>
      <c r="EA105" s="162">
        <f t="shared" si="202"/>
        <v>1.9400000000000013</v>
      </c>
      <c r="EB105" s="162">
        <f t="shared" si="130"/>
        <v>2.728088601901745</v>
      </c>
      <c r="EC105" s="171">
        <f t="shared" si="203"/>
        <v>2.728088601901745</v>
      </c>
      <c r="ED105" s="162"/>
      <c r="EE105" s="162">
        <f t="shared" si="204"/>
        <v>1.9400000000000013</v>
      </c>
      <c r="EF105" s="170">
        <f t="shared" si="205"/>
        <v>1.9400000000000013</v>
      </c>
      <c r="EG105" s="162">
        <f t="shared" si="131"/>
        <v>2.728088601901745</v>
      </c>
      <c r="EH105" s="171">
        <f t="shared" si="206"/>
        <v>2.728088601901745</v>
      </c>
      <c r="EI105" s="162"/>
      <c r="EJ105" s="162">
        <f t="shared" si="207"/>
        <v>1.9400000000000013</v>
      </c>
      <c r="EK105" s="170">
        <f t="shared" si="208"/>
        <v>1.9400000000000013</v>
      </c>
      <c r="EL105" s="162">
        <f t="shared" si="132"/>
        <v>2.728088601901745</v>
      </c>
      <c r="EM105" s="171">
        <f t="shared" si="209"/>
        <v>2.728088601901745</v>
      </c>
      <c r="EN105" s="162"/>
      <c r="EO105" s="162">
        <f t="shared" si="210"/>
        <v>1.9400000000000013</v>
      </c>
      <c r="EP105" s="162">
        <f t="shared" si="211"/>
        <v>1.9400000000000013</v>
      </c>
      <c r="EQ105" s="162">
        <f t="shared" si="133"/>
        <v>2.728088601901745</v>
      </c>
      <c r="ER105" s="171">
        <f t="shared" si="212"/>
        <v>2.728088601901745</v>
      </c>
      <c r="ES105" s="162"/>
      <c r="ET105" s="162">
        <f t="shared" si="213"/>
        <v>1.9400000000000013</v>
      </c>
      <c r="EU105" s="170">
        <f t="shared" si="214"/>
        <v>1.9400000000000013</v>
      </c>
      <c r="EV105" s="162">
        <f t="shared" si="134"/>
        <v>2.728088601901745</v>
      </c>
      <c r="EW105" s="171">
        <f t="shared" si="215"/>
        <v>2.728088601901745</v>
      </c>
      <c r="EX105" s="162"/>
    </row>
    <row r="106" spans="20:154" s="181" customFormat="1" x14ac:dyDescent="0.25">
      <c r="T106" s="162">
        <f t="shared" si="135"/>
        <v>1.9600000000000013</v>
      </c>
      <c r="U106" s="170">
        <f t="shared" si="136"/>
        <v>1.9600000000000013</v>
      </c>
      <c r="V106" s="162">
        <f t="shared" si="108"/>
        <v>2.6214342473290069</v>
      </c>
      <c r="W106" s="171">
        <f t="shared" si="137"/>
        <v>2.6214342473290069</v>
      </c>
      <c r="X106" s="162"/>
      <c r="Y106" s="162">
        <f t="shared" si="138"/>
        <v>1.9600000000000013</v>
      </c>
      <c r="Z106" s="162">
        <f t="shared" si="139"/>
        <v>1.9600000000000013</v>
      </c>
      <c r="AA106" s="162">
        <f t="shared" si="109"/>
        <v>2.6214342473290069</v>
      </c>
      <c r="AB106" s="171">
        <f t="shared" si="140"/>
        <v>2.6214342473290069</v>
      </c>
      <c r="AC106" s="162"/>
      <c r="AD106" s="162">
        <f t="shared" si="141"/>
        <v>1.9600000000000013</v>
      </c>
      <c r="AE106" s="170">
        <f t="shared" si="142"/>
        <v>1.9600000000000013</v>
      </c>
      <c r="AF106" s="162">
        <f t="shared" si="110"/>
        <v>2.6214342473290069</v>
      </c>
      <c r="AG106" s="171">
        <f t="shared" si="143"/>
        <v>2.6214342473290069</v>
      </c>
      <c r="AH106" s="162"/>
      <c r="AI106" s="162">
        <f t="shared" si="144"/>
        <v>1.9600000000000013</v>
      </c>
      <c r="AJ106" s="170">
        <f t="shared" si="145"/>
        <v>1.9600000000000013</v>
      </c>
      <c r="AK106" s="162">
        <f t="shared" si="111"/>
        <v>2.6214342473290069</v>
      </c>
      <c r="AL106" s="171">
        <f t="shared" si="146"/>
        <v>2.6214342473290069</v>
      </c>
      <c r="AM106" s="162"/>
      <c r="AN106" s="162">
        <f t="shared" si="147"/>
        <v>1.9600000000000013</v>
      </c>
      <c r="AO106" s="162">
        <f t="shared" si="148"/>
        <v>1.9600000000000013</v>
      </c>
      <c r="AP106" s="162">
        <f t="shared" si="112"/>
        <v>2.6214342473290069</v>
      </c>
      <c r="AQ106" s="171">
        <f t="shared" si="149"/>
        <v>2.6214342473290069</v>
      </c>
      <c r="AR106" s="162"/>
      <c r="AS106" s="162">
        <f t="shared" si="150"/>
        <v>1.9600000000000013</v>
      </c>
      <c r="AT106" s="170">
        <f t="shared" si="151"/>
        <v>1.9600000000000013</v>
      </c>
      <c r="AU106" s="162">
        <f t="shared" si="113"/>
        <v>2.6214342473290069</v>
      </c>
      <c r="AV106" s="171">
        <f t="shared" si="152"/>
        <v>2.6214342473290069</v>
      </c>
      <c r="AW106" s="162"/>
      <c r="AX106" s="162">
        <f t="shared" si="153"/>
        <v>1.9600000000000013</v>
      </c>
      <c r="AY106" s="170">
        <f t="shared" si="154"/>
        <v>1.9600000000000013</v>
      </c>
      <c r="AZ106" s="162">
        <f t="shared" si="114"/>
        <v>2.6214342473290069</v>
      </c>
      <c r="BA106" s="171">
        <f t="shared" si="155"/>
        <v>2.6214342473290069</v>
      </c>
      <c r="BB106" s="162"/>
      <c r="BC106" s="162">
        <f t="shared" si="156"/>
        <v>1.9600000000000013</v>
      </c>
      <c r="BD106" s="162">
        <f t="shared" si="157"/>
        <v>1.9600000000000013</v>
      </c>
      <c r="BE106" s="162">
        <f t="shared" si="115"/>
        <v>2.6214342473290069</v>
      </c>
      <c r="BF106" s="171">
        <f t="shared" si="158"/>
        <v>2.6214342473290069</v>
      </c>
      <c r="BG106" s="162"/>
      <c r="BH106" s="162">
        <f t="shared" si="159"/>
        <v>1.9600000000000013</v>
      </c>
      <c r="BI106" s="170">
        <f t="shared" si="160"/>
        <v>1.9600000000000013</v>
      </c>
      <c r="BJ106" s="162">
        <f t="shared" si="116"/>
        <v>2.6214342473290069</v>
      </c>
      <c r="BK106" s="171">
        <f t="shared" si="161"/>
        <v>2.6214342473290069</v>
      </c>
      <c r="BL106" s="162"/>
      <c r="BM106" s="162">
        <f t="shared" si="162"/>
        <v>1.9600000000000013</v>
      </c>
      <c r="BN106" s="170">
        <f t="shared" si="163"/>
        <v>1.9600000000000013</v>
      </c>
      <c r="BO106" s="162">
        <f t="shared" si="117"/>
        <v>2.6214342473290069</v>
      </c>
      <c r="BP106" s="171">
        <f t="shared" si="164"/>
        <v>2.6214342473290069</v>
      </c>
      <c r="BQ106" s="162"/>
      <c r="BR106" s="162">
        <f t="shared" si="165"/>
        <v>1.9600000000000013</v>
      </c>
      <c r="BS106" s="162">
        <f t="shared" si="166"/>
        <v>1.9600000000000013</v>
      </c>
      <c r="BT106" s="162">
        <f t="shared" si="118"/>
        <v>2.6214342473290069</v>
      </c>
      <c r="BU106" s="171">
        <f t="shared" si="167"/>
        <v>2.6214342473290069</v>
      </c>
      <c r="BV106" s="162"/>
      <c r="BW106" s="162">
        <f t="shared" si="168"/>
        <v>1.9600000000000013</v>
      </c>
      <c r="BX106" s="170">
        <f t="shared" si="169"/>
        <v>1.9600000000000013</v>
      </c>
      <c r="BY106" s="162">
        <f t="shared" si="119"/>
        <v>2.6214342473290069</v>
      </c>
      <c r="BZ106" s="171">
        <f t="shared" si="170"/>
        <v>2.6214342473290069</v>
      </c>
      <c r="CA106" s="162"/>
      <c r="CB106" s="162">
        <f t="shared" si="171"/>
        <v>1.9600000000000013</v>
      </c>
      <c r="CC106" s="170">
        <f t="shared" si="172"/>
        <v>1.9600000000000013</v>
      </c>
      <c r="CD106" s="162">
        <f t="shared" si="120"/>
        <v>2.6214342473290069</v>
      </c>
      <c r="CE106" s="171">
        <f t="shared" si="173"/>
        <v>2.6214342473290069</v>
      </c>
      <c r="CF106" s="162"/>
      <c r="CG106" s="172">
        <f t="shared" si="174"/>
        <v>1.9600000000000013</v>
      </c>
      <c r="CH106" s="172">
        <f t="shared" si="175"/>
        <v>1.9600000000000013</v>
      </c>
      <c r="CI106" s="172">
        <f t="shared" si="121"/>
        <v>2.6214342473290069</v>
      </c>
      <c r="CJ106" s="171">
        <f t="shared" si="176"/>
        <v>2.6214342473290069</v>
      </c>
      <c r="CK106" s="172"/>
      <c r="CL106" s="162">
        <f t="shared" si="177"/>
        <v>1.9600000000000013</v>
      </c>
      <c r="CM106" s="170">
        <f t="shared" si="178"/>
        <v>1.9600000000000013</v>
      </c>
      <c r="CN106" s="162">
        <f t="shared" si="122"/>
        <v>2.6214342473290069</v>
      </c>
      <c r="CO106" s="171">
        <f t="shared" si="179"/>
        <v>2.6214342473290069</v>
      </c>
      <c r="CP106" s="162"/>
      <c r="CQ106" s="162">
        <f t="shared" si="180"/>
        <v>1.9600000000000013</v>
      </c>
      <c r="CR106" s="170">
        <f t="shared" si="181"/>
        <v>1.9600000000000013</v>
      </c>
      <c r="CS106" s="162">
        <f t="shared" si="123"/>
        <v>2.6214342473290069</v>
      </c>
      <c r="CT106" s="171">
        <f t="shared" si="182"/>
        <v>2.6214342473290069</v>
      </c>
      <c r="CU106" s="162"/>
      <c r="CV106" s="162">
        <f t="shared" si="183"/>
        <v>1.9600000000000013</v>
      </c>
      <c r="CW106" s="162">
        <f t="shared" si="184"/>
        <v>1.9600000000000013</v>
      </c>
      <c r="CX106" s="162">
        <f t="shared" si="124"/>
        <v>2.6214342473290069</v>
      </c>
      <c r="CY106" s="171">
        <f t="shared" si="185"/>
        <v>2.6214342473290069</v>
      </c>
      <c r="CZ106" s="162"/>
      <c r="DA106" s="162">
        <f t="shared" si="186"/>
        <v>1.9600000000000013</v>
      </c>
      <c r="DB106" s="170">
        <f t="shared" si="187"/>
        <v>1.9600000000000013</v>
      </c>
      <c r="DC106" s="162">
        <f t="shared" si="125"/>
        <v>2.6214342473290069</v>
      </c>
      <c r="DD106" s="171">
        <f t="shared" si="188"/>
        <v>2.6214342473290069</v>
      </c>
      <c r="DE106" s="162"/>
      <c r="DF106" s="162">
        <f t="shared" si="189"/>
        <v>1.9600000000000013</v>
      </c>
      <c r="DG106" s="170">
        <f t="shared" si="190"/>
        <v>1.9600000000000013</v>
      </c>
      <c r="DH106" s="162">
        <f t="shared" si="126"/>
        <v>2.6214342473290069</v>
      </c>
      <c r="DI106" s="171">
        <f t="shared" si="191"/>
        <v>2.6214342473290069</v>
      </c>
      <c r="DJ106" s="162"/>
      <c r="DK106" s="162">
        <f t="shared" si="192"/>
        <v>1.9600000000000013</v>
      </c>
      <c r="DL106" s="162">
        <f t="shared" si="193"/>
        <v>1.9600000000000013</v>
      </c>
      <c r="DM106" s="162">
        <f t="shared" si="127"/>
        <v>2.6214342473290069</v>
      </c>
      <c r="DN106" s="171">
        <f t="shared" si="194"/>
        <v>2.6214342473290069</v>
      </c>
      <c r="DO106" s="162"/>
      <c r="DP106" s="162">
        <f t="shared" si="195"/>
        <v>1.9600000000000013</v>
      </c>
      <c r="DQ106" s="170">
        <f t="shared" si="196"/>
        <v>1.9600000000000013</v>
      </c>
      <c r="DR106" s="162">
        <f t="shared" si="128"/>
        <v>2.6214342473290069</v>
      </c>
      <c r="DS106" s="171">
        <f t="shared" si="197"/>
        <v>2.6214342473290069</v>
      </c>
      <c r="DT106" s="162"/>
      <c r="DU106" s="162">
        <f t="shared" si="198"/>
        <v>1.9600000000000013</v>
      </c>
      <c r="DV106" s="170">
        <f t="shared" si="199"/>
        <v>1.9600000000000013</v>
      </c>
      <c r="DW106" s="162">
        <f t="shared" si="129"/>
        <v>2.6214342473290069</v>
      </c>
      <c r="DX106" s="171">
        <f t="shared" si="200"/>
        <v>2.6214342473290069</v>
      </c>
      <c r="DY106" s="162"/>
      <c r="DZ106" s="162">
        <f t="shared" si="201"/>
        <v>1.9600000000000013</v>
      </c>
      <c r="EA106" s="162">
        <f t="shared" si="202"/>
        <v>1.9600000000000013</v>
      </c>
      <c r="EB106" s="162">
        <f t="shared" si="130"/>
        <v>2.6214342473290069</v>
      </c>
      <c r="EC106" s="171">
        <f t="shared" si="203"/>
        <v>2.6214342473290069</v>
      </c>
      <c r="ED106" s="162"/>
      <c r="EE106" s="162">
        <f t="shared" si="204"/>
        <v>1.9600000000000013</v>
      </c>
      <c r="EF106" s="170">
        <f t="shared" si="205"/>
        <v>1.9600000000000013</v>
      </c>
      <c r="EG106" s="162">
        <f t="shared" si="131"/>
        <v>2.6214342473290069</v>
      </c>
      <c r="EH106" s="171">
        <f t="shared" si="206"/>
        <v>2.6214342473290069</v>
      </c>
      <c r="EI106" s="162"/>
      <c r="EJ106" s="162">
        <f t="shared" si="207"/>
        <v>1.9600000000000013</v>
      </c>
      <c r="EK106" s="170">
        <f t="shared" si="208"/>
        <v>1.9600000000000013</v>
      </c>
      <c r="EL106" s="162">
        <f t="shared" si="132"/>
        <v>2.6214342473290069</v>
      </c>
      <c r="EM106" s="171">
        <f t="shared" si="209"/>
        <v>2.6214342473290069</v>
      </c>
      <c r="EN106" s="162"/>
      <c r="EO106" s="162">
        <f t="shared" si="210"/>
        <v>1.9600000000000013</v>
      </c>
      <c r="EP106" s="162">
        <f t="shared" si="211"/>
        <v>1.9600000000000013</v>
      </c>
      <c r="EQ106" s="162">
        <f t="shared" si="133"/>
        <v>2.6214342473290069</v>
      </c>
      <c r="ER106" s="171">
        <f t="shared" si="212"/>
        <v>2.6214342473290069</v>
      </c>
      <c r="ES106" s="162"/>
      <c r="ET106" s="162">
        <f t="shared" si="213"/>
        <v>1.9600000000000013</v>
      </c>
      <c r="EU106" s="170">
        <f t="shared" si="214"/>
        <v>1.9600000000000013</v>
      </c>
      <c r="EV106" s="162">
        <f t="shared" si="134"/>
        <v>2.6214342473290069</v>
      </c>
      <c r="EW106" s="171">
        <f t="shared" si="215"/>
        <v>2.6214342473290069</v>
      </c>
      <c r="EX106" s="162"/>
    </row>
    <row r="107" spans="20:154" s="181" customFormat="1" x14ac:dyDescent="0.25">
      <c r="T107" s="162">
        <f t="shared" si="135"/>
        <v>1.9800000000000013</v>
      </c>
      <c r="U107" s="170">
        <f t="shared" si="136"/>
        <v>1.9800000000000013</v>
      </c>
      <c r="V107" s="162">
        <f t="shared" si="108"/>
        <v>2.5120713800284244</v>
      </c>
      <c r="W107" s="171">
        <f t="shared" si="137"/>
        <v>2.5120713800284244</v>
      </c>
      <c r="X107" s="162"/>
      <c r="Y107" s="162">
        <f t="shared" si="138"/>
        <v>1.9800000000000013</v>
      </c>
      <c r="Z107" s="162">
        <f t="shared" si="139"/>
        <v>1.9800000000000013</v>
      </c>
      <c r="AA107" s="162">
        <f t="shared" si="109"/>
        <v>2.5120713800284244</v>
      </c>
      <c r="AB107" s="171">
        <f t="shared" si="140"/>
        <v>2.5120713800284244</v>
      </c>
      <c r="AC107" s="162"/>
      <c r="AD107" s="162">
        <f t="shared" si="141"/>
        <v>1.9800000000000013</v>
      </c>
      <c r="AE107" s="170">
        <f t="shared" si="142"/>
        <v>1.9800000000000013</v>
      </c>
      <c r="AF107" s="162">
        <f t="shared" si="110"/>
        <v>2.5120713800284244</v>
      </c>
      <c r="AG107" s="171">
        <f t="shared" si="143"/>
        <v>2.5120713800284244</v>
      </c>
      <c r="AH107" s="162"/>
      <c r="AI107" s="162">
        <f t="shared" si="144"/>
        <v>1.9800000000000013</v>
      </c>
      <c r="AJ107" s="170">
        <f t="shared" si="145"/>
        <v>1.9800000000000013</v>
      </c>
      <c r="AK107" s="162">
        <f t="shared" si="111"/>
        <v>2.5120713800284244</v>
      </c>
      <c r="AL107" s="171">
        <f t="shared" si="146"/>
        <v>2.5120713800284244</v>
      </c>
      <c r="AM107" s="162"/>
      <c r="AN107" s="162">
        <f t="shared" si="147"/>
        <v>1.9800000000000013</v>
      </c>
      <c r="AO107" s="162">
        <f t="shared" si="148"/>
        <v>1.9800000000000013</v>
      </c>
      <c r="AP107" s="162">
        <f t="shared" si="112"/>
        <v>2.5120713800284244</v>
      </c>
      <c r="AQ107" s="171">
        <f t="shared" si="149"/>
        <v>2.5120713800284244</v>
      </c>
      <c r="AR107" s="162"/>
      <c r="AS107" s="162">
        <f t="shared" si="150"/>
        <v>1.9800000000000013</v>
      </c>
      <c r="AT107" s="170">
        <f t="shared" si="151"/>
        <v>1.9800000000000013</v>
      </c>
      <c r="AU107" s="162">
        <f t="shared" si="113"/>
        <v>2.5120713800284244</v>
      </c>
      <c r="AV107" s="171">
        <f t="shared" si="152"/>
        <v>2.5120713800284244</v>
      </c>
      <c r="AW107" s="162"/>
      <c r="AX107" s="162">
        <f t="shared" si="153"/>
        <v>1.9800000000000013</v>
      </c>
      <c r="AY107" s="170">
        <f t="shared" si="154"/>
        <v>1.9800000000000013</v>
      </c>
      <c r="AZ107" s="162">
        <f t="shared" si="114"/>
        <v>2.5120713800284244</v>
      </c>
      <c r="BA107" s="171">
        <f t="shared" si="155"/>
        <v>2.5120713800284244</v>
      </c>
      <c r="BB107" s="162"/>
      <c r="BC107" s="162">
        <f t="shared" si="156"/>
        <v>1.9800000000000013</v>
      </c>
      <c r="BD107" s="162">
        <f t="shared" si="157"/>
        <v>1.9800000000000013</v>
      </c>
      <c r="BE107" s="162">
        <f t="shared" si="115"/>
        <v>2.5120713800284244</v>
      </c>
      <c r="BF107" s="171">
        <f t="shared" si="158"/>
        <v>2.5120713800284244</v>
      </c>
      <c r="BG107" s="162"/>
      <c r="BH107" s="162">
        <f t="shared" si="159"/>
        <v>1.9800000000000013</v>
      </c>
      <c r="BI107" s="170">
        <f t="shared" si="160"/>
        <v>1.9800000000000013</v>
      </c>
      <c r="BJ107" s="162">
        <f t="shared" si="116"/>
        <v>2.5120713800284244</v>
      </c>
      <c r="BK107" s="171">
        <f t="shared" si="161"/>
        <v>2.5120713800284244</v>
      </c>
      <c r="BL107" s="162"/>
      <c r="BM107" s="162">
        <f t="shared" si="162"/>
        <v>1.9800000000000013</v>
      </c>
      <c r="BN107" s="170">
        <f t="shared" si="163"/>
        <v>1.9800000000000013</v>
      </c>
      <c r="BO107" s="162">
        <f t="shared" si="117"/>
        <v>2.5120713800284244</v>
      </c>
      <c r="BP107" s="171">
        <f t="shared" si="164"/>
        <v>2.5120713800284244</v>
      </c>
      <c r="BQ107" s="162"/>
      <c r="BR107" s="162">
        <f t="shared" si="165"/>
        <v>1.9800000000000013</v>
      </c>
      <c r="BS107" s="162">
        <f t="shared" si="166"/>
        <v>1.9800000000000013</v>
      </c>
      <c r="BT107" s="162">
        <f t="shared" si="118"/>
        <v>2.5120713800284244</v>
      </c>
      <c r="BU107" s="171">
        <f t="shared" si="167"/>
        <v>2.5120713800284244</v>
      </c>
      <c r="BV107" s="162"/>
      <c r="BW107" s="162">
        <f t="shared" si="168"/>
        <v>1.9800000000000013</v>
      </c>
      <c r="BX107" s="170">
        <f t="shared" si="169"/>
        <v>1.9800000000000013</v>
      </c>
      <c r="BY107" s="162">
        <f t="shared" si="119"/>
        <v>2.5120713800284244</v>
      </c>
      <c r="BZ107" s="171">
        <f t="shared" si="170"/>
        <v>2.5120713800284244</v>
      </c>
      <c r="CA107" s="162"/>
      <c r="CB107" s="162">
        <f t="shared" si="171"/>
        <v>1.9800000000000013</v>
      </c>
      <c r="CC107" s="170">
        <f t="shared" si="172"/>
        <v>1.9800000000000013</v>
      </c>
      <c r="CD107" s="162">
        <f t="shared" si="120"/>
        <v>2.5120713800284244</v>
      </c>
      <c r="CE107" s="171">
        <f t="shared" si="173"/>
        <v>2.5120713800284244</v>
      </c>
      <c r="CF107" s="162"/>
      <c r="CG107" s="172">
        <f t="shared" si="174"/>
        <v>1.9800000000000013</v>
      </c>
      <c r="CH107" s="172">
        <f t="shared" si="175"/>
        <v>1.9800000000000013</v>
      </c>
      <c r="CI107" s="172">
        <f t="shared" si="121"/>
        <v>2.5120713800284244</v>
      </c>
      <c r="CJ107" s="171">
        <f t="shared" si="176"/>
        <v>2.5120713800284244</v>
      </c>
      <c r="CK107" s="172"/>
      <c r="CL107" s="162">
        <f t="shared" si="177"/>
        <v>1.9800000000000013</v>
      </c>
      <c r="CM107" s="170">
        <f t="shared" si="178"/>
        <v>1.9800000000000013</v>
      </c>
      <c r="CN107" s="162">
        <f t="shared" si="122"/>
        <v>2.5120713800284244</v>
      </c>
      <c r="CO107" s="171">
        <f t="shared" si="179"/>
        <v>2.5120713800284244</v>
      </c>
      <c r="CP107" s="162"/>
      <c r="CQ107" s="162">
        <f t="shared" si="180"/>
        <v>1.9800000000000013</v>
      </c>
      <c r="CR107" s="170">
        <f t="shared" si="181"/>
        <v>1.9800000000000013</v>
      </c>
      <c r="CS107" s="162">
        <f t="shared" si="123"/>
        <v>2.5120713800284244</v>
      </c>
      <c r="CT107" s="171">
        <f t="shared" si="182"/>
        <v>2.5120713800284244</v>
      </c>
      <c r="CU107" s="162"/>
      <c r="CV107" s="162">
        <f t="shared" si="183"/>
        <v>1.9800000000000013</v>
      </c>
      <c r="CW107" s="162">
        <f t="shared" si="184"/>
        <v>1.9800000000000013</v>
      </c>
      <c r="CX107" s="162">
        <f t="shared" si="124"/>
        <v>2.5120713800284244</v>
      </c>
      <c r="CY107" s="171">
        <f t="shared" si="185"/>
        <v>2.5120713800284244</v>
      </c>
      <c r="CZ107" s="162"/>
      <c r="DA107" s="162">
        <f t="shared" si="186"/>
        <v>1.9800000000000013</v>
      </c>
      <c r="DB107" s="170">
        <f t="shared" si="187"/>
        <v>1.9800000000000013</v>
      </c>
      <c r="DC107" s="162">
        <f t="shared" si="125"/>
        <v>2.5120713800284244</v>
      </c>
      <c r="DD107" s="171">
        <f t="shared" si="188"/>
        <v>2.5120713800284244</v>
      </c>
      <c r="DE107" s="162"/>
      <c r="DF107" s="162">
        <f t="shared" si="189"/>
        <v>1.9800000000000013</v>
      </c>
      <c r="DG107" s="170">
        <f t="shared" si="190"/>
        <v>1.9800000000000013</v>
      </c>
      <c r="DH107" s="162">
        <f t="shared" si="126"/>
        <v>2.5120713800284244</v>
      </c>
      <c r="DI107" s="171">
        <f t="shared" si="191"/>
        <v>2.5120713800284244</v>
      </c>
      <c r="DJ107" s="162"/>
      <c r="DK107" s="162">
        <f t="shared" si="192"/>
        <v>1.9800000000000013</v>
      </c>
      <c r="DL107" s="162">
        <f t="shared" si="193"/>
        <v>1.9800000000000013</v>
      </c>
      <c r="DM107" s="162">
        <f t="shared" si="127"/>
        <v>2.5120713800284244</v>
      </c>
      <c r="DN107" s="171">
        <f t="shared" si="194"/>
        <v>2.5120713800284244</v>
      </c>
      <c r="DO107" s="162"/>
      <c r="DP107" s="162">
        <f t="shared" si="195"/>
        <v>1.9800000000000013</v>
      </c>
      <c r="DQ107" s="170">
        <f t="shared" si="196"/>
        <v>1.9800000000000013</v>
      </c>
      <c r="DR107" s="162">
        <f t="shared" si="128"/>
        <v>2.5120713800284244</v>
      </c>
      <c r="DS107" s="171">
        <f t="shared" si="197"/>
        <v>2.5120713800284244</v>
      </c>
      <c r="DT107" s="162"/>
      <c r="DU107" s="162">
        <f t="shared" si="198"/>
        <v>1.9800000000000013</v>
      </c>
      <c r="DV107" s="170">
        <f t="shared" si="199"/>
        <v>1.9800000000000013</v>
      </c>
      <c r="DW107" s="162">
        <f t="shared" si="129"/>
        <v>2.5120713800284244</v>
      </c>
      <c r="DX107" s="171">
        <f t="shared" si="200"/>
        <v>2.5120713800284244</v>
      </c>
      <c r="DY107" s="162"/>
      <c r="DZ107" s="162">
        <f t="shared" si="201"/>
        <v>1.9800000000000013</v>
      </c>
      <c r="EA107" s="162">
        <f t="shared" si="202"/>
        <v>1.9800000000000013</v>
      </c>
      <c r="EB107" s="162">
        <f t="shared" si="130"/>
        <v>2.5120713800284244</v>
      </c>
      <c r="EC107" s="171">
        <f t="shared" si="203"/>
        <v>2.5120713800284244</v>
      </c>
      <c r="ED107" s="162"/>
      <c r="EE107" s="162">
        <f t="shared" si="204"/>
        <v>1.9800000000000013</v>
      </c>
      <c r="EF107" s="170">
        <f t="shared" si="205"/>
        <v>1.9800000000000013</v>
      </c>
      <c r="EG107" s="162">
        <f t="shared" si="131"/>
        <v>2.5120713800284244</v>
      </c>
      <c r="EH107" s="171">
        <f t="shared" si="206"/>
        <v>2.5120713800284244</v>
      </c>
      <c r="EI107" s="162"/>
      <c r="EJ107" s="162">
        <f t="shared" si="207"/>
        <v>1.9800000000000013</v>
      </c>
      <c r="EK107" s="170">
        <f t="shared" si="208"/>
        <v>1.9800000000000013</v>
      </c>
      <c r="EL107" s="162">
        <f t="shared" si="132"/>
        <v>2.5120713800284244</v>
      </c>
      <c r="EM107" s="171">
        <f t="shared" si="209"/>
        <v>2.5120713800284244</v>
      </c>
      <c r="EN107" s="162"/>
      <c r="EO107" s="162">
        <f t="shared" si="210"/>
        <v>1.9800000000000013</v>
      </c>
      <c r="EP107" s="162">
        <f t="shared" si="211"/>
        <v>1.9800000000000013</v>
      </c>
      <c r="EQ107" s="162">
        <f t="shared" si="133"/>
        <v>2.5120713800284244</v>
      </c>
      <c r="ER107" s="171">
        <f t="shared" si="212"/>
        <v>2.5120713800284244</v>
      </c>
      <c r="ES107" s="162"/>
      <c r="ET107" s="162">
        <f t="shared" si="213"/>
        <v>1.9800000000000013</v>
      </c>
      <c r="EU107" s="170">
        <f t="shared" si="214"/>
        <v>1.9800000000000013</v>
      </c>
      <c r="EV107" s="162">
        <f t="shared" si="134"/>
        <v>2.5120713800284244</v>
      </c>
      <c r="EW107" s="171">
        <f t="shared" si="215"/>
        <v>2.5120713800284244</v>
      </c>
      <c r="EX107" s="162"/>
    </row>
    <row r="108" spans="20:154" s="181" customFormat="1" x14ac:dyDescent="0.25">
      <c r="T108" s="162">
        <f t="shared" si="135"/>
        <v>2.0000000000000013</v>
      </c>
      <c r="U108" s="170">
        <f t="shared" si="136"/>
        <v>2.0000000000000013</v>
      </c>
      <c r="V108" s="162">
        <f t="shared" si="108"/>
        <v>2.3999999999999941</v>
      </c>
      <c r="W108" s="171">
        <f t="shared" si="137"/>
        <v>2.3999999999999941</v>
      </c>
      <c r="X108" s="162"/>
      <c r="Y108" s="162">
        <f t="shared" si="138"/>
        <v>2.0000000000000013</v>
      </c>
      <c r="Z108" s="162">
        <f t="shared" si="139"/>
        <v>2.0000000000000013</v>
      </c>
      <c r="AA108" s="162">
        <f t="shared" si="109"/>
        <v>2.3999999999999941</v>
      </c>
      <c r="AB108" s="171">
        <f t="shared" si="140"/>
        <v>2.3999999999999941</v>
      </c>
      <c r="AC108" s="162"/>
      <c r="AD108" s="162">
        <f t="shared" si="141"/>
        <v>2.0000000000000013</v>
      </c>
      <c r="AE108" s="170">
        <f t="shared" si="142"/>
        <v>2.0000000000000013</v>
      </c>
      <c r="AF108" s="162">
        <f t="shared" si="110"/>
        <v>2.3999999999999941</v>
      </c>
      <c r="AG108" s="171">
        <f t="shared" si="143"/>
        <v>2.3999999999999941</v>
      </c>
      <c r="AH108" s="162"/>
      <c r="AI108" s="162">
        <f t="shared" si="144"/>
        <v>2.0000000000000013</v>
      </c>
      <c r="AJ108" s="170">
        <f t="shared" si="145"/>
        <v>2.0000000000000013</v>
      </c>
      <c r="AK108" s="162">
        <f t="shared" si="111"/>
        <v>2.3999999999999941</v>
      </c>
      <c r="AL108" s="171">
        <f t="shared" si="146"/>
        <v>2.3999999999999941</v>
      </c>
      <c r="AM108" s="162"/>
      <c r="AN108" s="162">
        <f t="shared" si="147"/>
        <v>2.0000000000000013</v>
      </c>
      <c r="AO108" s="162">
        <f t="shared" si="148"/>
        <v>2.0000000000000013</v>
      </c>
      <c r="AP108" s="162">
        <f t="shared" si="112"/>
        <v>2.3999999999999941</v>
      </c>
      <c r="AQ108" s="171">
        <f t="shared" si="149"/>
        <v>2.3999999999999941</v>
      </c>
      <c r="AR108" s="162"/>
      <c r="AS108" s="162">
        <f t="shared" si="150"/>
        <v>2.0000000000000013</v>
      </c>
      <c r="AT108" s="170">
        <f t="shared" si="151"/>
        <v>2.0000000000000013</v>
      </c>
      <c r="AU108" s="162">
        <f t="shared" si="113"/>
        <v>2.3999999999999941</v>
      </c>
      <c r="AV108" s="171">
        <f t="shared" si="152"/>
        <v>2.3999999999999941</v>
      </c>
      <c r="AW108" s="162"/>
      <c r="AX108" s="162">
        <f t="shared" si="153"/>
        <v>2.0000000000000013</v>
      </c>
      <c r="AY108" s="170">
        <f t="shared" si="154"/>
        <v>2.0000000000000013</v>
      </c>
      <c r="AZ108" s="162">
        <f t="shared" si="114"/>
        <v>2.3999999999999941</v>
      </c>
      <c r="BA108" s="171">
        <f t="shared" si="155"/>
        <v>2.3999999999999941</v>
      </c>
      <c r="BB108" s="162"/>
      <c r="BC108" s="162">
        <f t="shared" si="156"/>
        <v>2.0000000000000013</v>
      </c>
      <c r="BD108" s="162">
        <f t="shared" si="157"/>
        <v>2.0000000000000013</v>
      </c>
      <c r="BE108" s="162">
        <f t="shared" si="115"/>
        <v>2.3999999999999941</v>
      </c>
      <c r="BF108" s="171">
        <f t="shared" si="158"/>
        <v>2.3999999999999941</v>
      </c>
      <c r="BG108" s="162"/>
      <c r="BH108" s="162">
        <f t="shared" si="159"/>
        <v>2.0000000000000013</v>
      </c>
      <c r="BI108" s="170">
        <f t="shared" si="160"/>
        <v>2.0000000000000013</v>
      </c>
      <c r="BJ108" s="162">
        <f t="shared" si="116"/>
        <v>2.3999999999999941</v>
      </c>
      <c r="BK108" s="171">
        <f t="shared" si="161"/>
        <v>2.3999999999999941</v>
      </c>
      <c r="BL108" s="162"/>
      <c r="BM108" s="162">
        <f t="shared" si="162"/>
        <v>2.0000000000000013</v>
      </c>
      <c r="BN108" s="170">
        <f t="shared" si="163"/>
        <v>2.0000000000000013</v>
      </c>
      <c r="BO108" s="162">
        <f t="shared" si="117"/>
        <v>2.3999999999999941</v>
      </c>
      <c r="BP108" s="171">
        <f t="shared" si="164"/>
        <v>2.3999999999999941</v>
      </c>
      <c r="BQ108" s="162"/>
      <c r="BR108" s="162">
        <f t="shared" si="165"/>
        <v>2.0000000000000013</v>
      </c>
      <c r="BS108" s="162">
        <f t="shared" si="166"/>
        <v>2.0000000000000013</v>
      </c>
      <c r="BT108" s="162">
        <f t="shared" si="118"/>
        <v>2.3999999999999941</v>
      </c>
      <c r="BU108" s="171">
        <f t="shared" si="167"/>
        <v>2.3999999999999941</v>
      </c>
      <c r="BV108" s="162"/>
      <c r="BW108" s="162">
        <f t="shared" si="168"/>
        <v>2.0000000000000013</v>
      </c>
      <c r="BX108" s="170">
        <f t="shared" si="169"/>
        <v>2.0000000000000013</v>
      </c>
      <c r="BY108" s="162">
        <f t="shared" si="119"/>
        <v>2.3999999999999941</v>
      </c>
      <c r="BZ108" s="171">
        <f t="shared" si="170"/>
        <v>2.3999999999999941</v>
      </c>
      <c r="CA108" s="162"/>
      <c r="CB108" s="162">
        <f t="shared" si="171"/>
        <v>2.0000000000000013</v>
      </c>
      <c r="CC108" s="170">
        <f t="shared" si="172"/>
        <v>2.0000000000000013</v>
      </c>
      <c r="CD108" s="162">
        <f t="shared" si="120"/>
        <v>2.3999999999999941</v>
      </c>
      <c r="CE108" s="171">
        <f t="shared" si="173"/>
        <v>2.3999999999999941</v>
      </c>
      <c r="CF108" s="162"/>
      <c r="CG108" s="172">
        <f t="shared" si="174"/>
        <v>2.0000000000000013</v>
      </c>
      <c r="CH108" s="172">
        <f t="shared" si="175"/>
        <v>2.0000000000000013</v>
      </c>
      <c r="CI108" s="172">
        <f t="shared" si="121"/>
        <v>2.3999999999999941</v>
      </c>
      <c r="CJ108" s="171">
        <f t="shared" si="176"/>
        <v>2.3999999999999941</v>
      </c>
      <c r="CK108" s="172"/>
      <c r="CL108" s="162">
        <f t="shared" si="177"/>
        <v>2.0000000000000013</v>
      </c>
      <c r="CM108" s="170">
        <f t="shared" si="178"/>
        <v>2.0000000000000013</v>
      </c>
      <c r="CN108" s="162">
        <f t="shared" si="122"/>
        <v>2.3999999999999941</v>
      </c>
      <c r="CO108" s="171">
        <f t="shared" si="179"/>
        <v>2.3999999999999941</v>
      </c>
      <c r="CP108" s="162"/>
      <c r="CQ108" s="162">
        <f t="shared" si="180"/>
        <v>2.0000000000000013</v>
      </c>
      <c r="CR108" s="170">
        <f t="shared" si="181"/>
        <v>2.0000000000000013</v>
      </c>
      <c r="CS108" s="162">
        <f t="shared" si="123"/>
        <v>2.3999999999999941</v>
      </c>
      <c r="CT108" s="171">
        <f t="shared" si="182"/>
        <v>2.3999999999999941</v>
      </c>
      <c r="CU108" s="162"/>
      <c r="CV108" s="162">
        <f t="shared" si="183"/>
        <v>2.0000000000000013</v>
      </c>
      <c r="CW108" s="162">
        <f t="shared" si="184"/>
        <v>2.0000000000000013</v>
      </c>
      <c r="CX108" s="162">
        <f t="shared" si="124"/>
        <v>2.3999999999999941</v>
      </c>
      <c r="CY108" s="171">
        <f t="shared" si="185"/>
        <v>2.3999999999999941</v>
      </c>
      <c r="CZ108" s="162"/>
      <c r="DA108" s="162">
        <f t="shared" si="186"/>
        <v>2.0000000000000013</v>
      </c>
      <c r="DB108" s="170">
        <f t="shared" si="187"/>
        <v>2.0000000000000013</v>
      </c>
      <c r="DC108" s="162">
        <f t="shared" si="125"/>
        <v>2.3999999999999941</v>
      </c>
      <c r="DD108" s="171">
        <f t="shared" si="188"/>
        <v>2.3999999999999941</v>
      </c>
      <c r="DE108" s="162"/>
      <c r="DF108" s="162">
        <f t="shared" si="189"/>
        <v>2.0000000000000013</v>
      </c>
      <c r="DG108" s="170">
        <f t="shared" si="190"/>
        <v>2.0000000000000013</v>
      </c>
      <c r="DH108" s="162">
        <f t="shared" si="126"/>
        <v>2.3999999999999941</v>
      </c>
      <c r="DI108" s="171">
        <f t="shared" si="191"/>
        <v>2.3999999999999941</v>
      </c>
      <c r="DJ108" s="162"/>
      <c r="DK108" s="162">
        <f t="shared" si="192"/>
        <v>2.0000000000000013</v>
      </c>
      <c r="DL108" s="162">
        <f t="shared" si="193"/>
        <v>2.0000000000000013</v>
      </c>
      <c r="DM108" s="162">
        <f t="shared" si="127"/>
        <v>2.3999999999999941</v>
      </c>
      <c r="DN108" s="171">
        <f t="shared" si="194"/>
        <v>2.3999999999999941</v>
      </c>
      <c r="DO108" s="162"/>
      <c r="DP108" s="162">
        <f t="shared" si="195"/>
        <v>2.0000000000000013</v>
      </c>
      <c r="DQ108" s="170">
        <f t="shared" si="196"/>
        <v>2.0000000000000013</v>
      </c>
      <c r="DR108" s="162">
        <f t="shared" si="128"/>
        <v>2.3999999999999941</v>
      </c>
      <c r="DS108" s="171">
        <f t="shared" si="197"/>
        <v>2.3999999999999941</v>
      </c>
      <c r="DT108" s="162"/>
      <c r="DU108" s="162">
        <f t="shared" si="198"/>
        <v>2.0000000000000013</v>
      </c>
      <c r="DV108" s="170">
        <f t="shared" si="199"/>
        <v>2.0000000000000013</v>
      </c>
      <c r="DW108" s="162">
        <f t="shared" si="129"/>
        <v>2.3999999999999941</v>
      </c>
      <c r="DX108" s="171">
        <f t="shared" si="200"/>
        <v>2.3999999999999941</v>
      </c>
      <c r="DY108" s="162"/>
      <c r="DZ108" s="162">
        <f t="shared" si="201"/>
        <v>2.0000000000000013</v>
      </c>
      <c r="EA108" s="162">
        <f t="shared" si="202"/>
        <v>2.0000000000000013</v>
      </c>
      <c r="EB108" s="162">
        <f t="shared" si="130"/>
        <v>2.3999999999999941</v>
      </c>
      <c r="EC108" s="171">
        <f t="shared" si="203"/>
        <v>2.3999999999999941</v>
      </c>
      <c r="ED108" s="162"/>
      <c r="EE108" s="162">
        <f t="shared" si="204"/>
        <v>2.0000000000000013</v>
      </c>
      <c r="EF108" s="170">
        <f t="shared" si="205"/>
        <v>2.0000000000000013</v>
      </c>
      <c r="EG108" s="162">
        <f t="shared" si="131"/>
        <v>2.3999999999999941</v>
      </c>
      <c r="EH108" s="171">
        <f t="shared" si="206"/>
        <v>2.3999999999999941</v>
      </c>
      <c r="EI108" s="162"/>
      <c r="EJ108" s="162">
        <f t="shared" si="207"/>
        <v>2.0000000000000013</v>
      </c>
      <c r="EK108" s="170">
        <f t="shared" si="208"/>
        <v>2.0000000000000013</v>
      </c>
      <c r="EL108" s="162">
        <f t="shared" si="132"/>
        <v>2.3999999999999941</v>
      </c>
      <c r="EM108" s="171">
        <f t="shared" si="209"/>
        <v>2.3999999999999941</v>
      </c>
      <c r="EN108" s="162"/>
      <c r="EO108" s="162">
        <f t="shared" si="210"/>
        <v>2.0000000000000013</v>
      </c>
      <c r="EP108" s="162">
        <f t="shared" si="211"/>
        <v>2.0000000000000013</v>
      </c>
      <c r="EQ108" s="162">
        <f t="shared" si="133"/>
        <v>2.3999999999999941</v>
      </c>
      <c r="ER108" s="171">
        <f t="shared" si="212"/>
        <v>2.3999999999999941</v>
      </c>
      <c r="ES108" s="162"/>
      <c r="ET108" s="162">
        <f t="shared" si="213"/>
        <v>2.0000000000000013</v>
      </c>
      <c r="EU108" s="170">
        <f t="shared" si="214"/>
        <v>2.0000000000000013</v>
      </c>
      <c r="EV108" s="162">
        <f t="shared" si="134"/>
        <v>2.3999999999999941</v>
      </c>
      <c r="EW108" s="171">
        <f t="shared" si="215"/>
        <v>2.3999999999999941</v>
      </c>
      <c r="EX108" s="162"/>
    </row>
    <row r="110" spans="20:154" x14ac:dyDescent="0.25">
      <c r="T110" s="163">
        <f>$D$8-$D$9</f>
        <v>10</v>
      </c>
      <c r="U110" s="163">
        <f>$D$8</f>
        <v>10</v>
      </c>
      <c r="V110" s="163">
        <f>$D$8+$D$9</f>
        <v>10</v>
      </c>
      <c r="W110" s="163">
        <f t="shared" ref="W110" si="216">$D$8-$D$9</f>
        <v>10</v>
      </c>
      <c r="X110" s="163">
        <f t="shared" ref="X110" si="217">$D$8</f>
        <v>10</v>
      </c>
      <c r="Y110" s="163">
        <f t="shared" ref="Y110" si="218">$D$8+$D$9</f>
        <v>10</v>
      </c>
      <c r="Z110" s="163">
        <f t="shared" ref="Z110" si="219">$D$8-$D$9</f>
        <v>10</v>
      </c>
      <c r="AA110" s="163">
        <f t="shared" ref="AA110" si="220">$D$8</f>
        <v>10</v>
      </c>
      <c r="AB110" s="163">
        <f t="shared" ref="AB110" si="221">$D$8+$D$9</f>
        <v>10</v>
      </c>
      <c r="AC110" s="163">
        <f>$D$8-$D$9</f>
        <v>10</v>
      </c>
      <c r="AD110" s="163">
        <f>$D$8</f>
        <v>10</v>
      </c>
      <c r="AE110" s="163">
        <f>$D$8+$D$9</f>
        <v>10</v>
      </c>
      <c r="AF110" s="163">
        <f t="shared" ref="AF110" si="222">$D$8-$D$9</f>
        <v>10</v>
      </c>
      <c r="AG110" s="163">
        <f t="shared" ref="AG110" si="223">$D$8</f>
        <v>10</v>
      </c>
      <c r="AH110" s="163">
        <f t="shared" ref="AH110" si="224">$D$8+$D$9</f>
        <v>10</v>
      </c>
      <c r="AI110" s="163">
        <f t="shared" ref="AI110" si="225">$D$8-$D$9</f>
        <v>10</v>
      </c>
      <c r="AJ110" s="163">
        <f t="shared" ref="AJ110" si="226">$D$8</f>
        <v>10</v>
      </c>
      <c r="AK110" s="163">
        <f t="shared" ref="AK110" si="227">$D$8+$D$9</f>
        <v>10</v>
      </c>
      <c r="AL110" s="163">
        <f>$D$8-$D$9</f>
        <v>10</v>
      </c>
      <c r="AM110" s="163">
        <f>$D$8</f>
        <v>10</v>
      </c>
      <c r="AN110" s="163">
        <f>$D$8+$D$9</f>
        <v>10</v>
      </c>
      <c r="AO110" s="163">
        <f t="shared" ref="AO110" si="228">$D$8-$D$9</f>
        <v>10</v>
      </c>
      <c r="AP110" s="163">
        <f t="shared" ref="AP110" si="229">$D$8</f>
        <v>10</v>
      </c>
      <c r="AQ110" s="163">
        <f t="shared" ref="AQ110" si="230">$D$8+$D$9</f>
        <v>10</v>
      </c>
      <c r="AR110" s="163">
        <f t="shared" ref="AR110" si="231">$D$8-$D$9</f>
        <v>10</v>
      </c>
      <c r="AS110" s="163">
        <f t="shared" ref="AS110" si="232">$D$8</f>
        <v>10</v>
      </c>
      <c r="AT110" s="163">
        <f t="shared" ref="AT110" si="233">$D$8+$D$9</f>
        <v>10</v>
      </c>
    </row>
    <row r="111" spans="20:154" s="181" customFormat="1" x14ac:dyDescent="0.25">
      <c r="T111" s="163">
        <f>$D$10*(1-$D$11)</f>
        <v>20</v>
      </c>
      <c r="U111" s="163">
        <f t="shared" ref="U111:AE111" si="234">$D$10*(1-$D$11)</f>
        <v>20</v>
      </c>
      <c r="V111" s="163">
        <f t="shared" si="234"/>
        <v>20</v>
      </c>
      <c r="W111" s="163">
        <f>$D$10</f>
        <v>20</v>
      </c>
      <c r="X111" s="163">
        <f t="shared" ref="X111:Y111" si="235">$D$10</f>
        <v>20</v>
      </c>
      <c r="Y111" s="163">
        <f t="shared" si="235"/>
        <v>20</v>
      </c>
      <c r="Z111" s="163">
        <f>$D$10*(1+$D$11)</f>
        <v>20</v>
      </c>
      <c r="AA111" s="163">
        <f t="shared" ref="AA111:AB111" si="236">$D$10*(1+$D$11)</f>
        <v>20</v>
      </c>
      <c r="AB111" s="163">
        <f t="shared" si="236"/>
        <v>20</v>
      </c>
      <c r="AC111" s="163">
        <f>$D$10*(1-$D$11)</f>
        <v>20</v>
      </c>
      <c r="AD111" s="163">
        <f t="shared" si="234"/>
        <v>20</v>
      </c>
      <c r="AE111" s="163">
        <f t="shared" si="234"/>
        <v>20</v>
      </c>
      <c r="AF111" s="163">
        <f>$D$10</f>
        <v>20</v>
      </c>
      <c r="AG111" s="163">
        <f t="shared" ref="AG111:AH111" si="237">$D$10</f>
        <v>20</v>
      </c>
      <c r="AH111" s="163">
        <f t="shared" si="237"/>
        <v>20</v>
      </c>
      <c r="AI111" s="163">
        <f>$D$10*(1+$D$11)</f>
        <v>20</v>
      </c>
      <c r="AJ111" s="163">
        <f t="shared" ref="AJ111:AK111" si="238">$D$10*(1+$D$11)</f>
        <v>20</v>
      </c>
      <c r="AK111" s="163">
        <f t="shared" si="238"/>
        <v>20</v>
      </c>
      <c r="AL111" s="163">
        <f>$D$10*(1-$D$11)</f>
        <v>20</v>
      </c>
      <c r="AM111" s="163">
        <f t="shared" ref="AM111:AN111" si="239">$D$10*(1-$D$11)</f>
        <v>20</v>
      </c>
      <c r="AN111" s="163">
        <f t="shared" si="239"/>
        <v>20</v>
      </c>
      <c r="AO111" s="163">
        <f>$D$10</f>
        <v>20</v>
      </c>
      <c r="AP111" s="163">
        <f t="shared" ref="AP111:AQ111" si="240">$D$10</f>
        <v>20</v>
      </c>
      <c r="AQ111" s="163">
        <f t="shared" si="240"/>
        <v>20</v>
      </c>
      <c r="AR111" s="163">
        <f>$D$10*(1+$D$11)</f>
        <v>20</v>
      </c>
      <c r="AS111" s="163">
        <f t="shared" ref="AS111:AT111" si="241">$D$10*(1+$D$11)</f>
        <v>20</v>
      </c>
      <c r="AT111" s="163">
        <f t="shared" si="241"/>
        <v>20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4">
        <f>$D$12-$D$13</f>
        <v>80</v>
      </c>
      <c r="U112" s="164">
        <f t="shared" ref="U112:AB112" si="242">$D$12-$D$13</f>
        <v>80</v>
      </c>
      <c r="V112" s="164">
        <f t="shared" si="242"/>
        <v>80</v>
      </c>
      <c r="W112" s="164">
        <f t="shared" si="242"/>
        <v>80</v>
      </c>
      <c r="X112" s="164">
        <f t="shared" si="242"/>
        <v>80</v>
      </c>
      <c r="Y112" s="164">
        <f t="shared" si="242"/>
        <v>80</v>
      </c>
      <c r="Z112" s="164">
        <f t="shared" si="242"/>
        <v>80</v>
      </c>
      <c r="AA112" s="164">
        <f t="shared" si="242"/>
        <v>80</v>
      </c>
      <c r="AB112" s="164">
        <f t="shared" si="242"/>
        <v>80</v>
      </c>
      <c r="AC112" s="164">
        <f>$D$12</f>
        <v>80</v>
      </c>
      <c r="AD112" s="164">
        <f t="shared" ref="AD112:AK112" si="243">$D$12</f>
        <v>80</v>
      </c>
      <c r="AE112" s="164">
        <f t="shared" si="243"/>
        <v>80</v>
      </c>
      <c r="AF112" s="164">
        <f t="shared" si="243"/>
        <v>80</v>
      </c>
      <c r="AG112" s="164">
        <f t="shared" si="243"/>
        <v>80</v>
      </c>
      <c r="AH112" s="164">
        <f t="shared" si="243"/>
        <v>80</v>
      </c>
      <c r="AI112" s="164">
        <f t="shared" si="243"/>
        <v>80</v>
      </c>
      <c r="AJ112" s="164">
        <f t="shared" si="243"/>
        <v>80</v>
      </c>
      <c r="AK112" s="164">
        <f t="shared" si="243"/>
        <v>80</v>
      </c>
      <c r="AL112" s="164">
        <f>$D$12+$D$13</f>
        <v>80</v>
      </c>
      <c r="AM112" s="164">
        <f t="shared" ref="AM112:AT112" si="244">$D$12+$D$13</f>
        <v>80</v>
      </c>
      <c r="AN112" s="164">
        <f t="shared" si="244"/>
        <v>80</v>
      </c>
      <c r="AO112" s="164">
        <f t="shared" si="244"/>
        <v>80</v>
      </c>
      <c r="AP112" s="164">
        <f t="shared" si="244"/>
        <v>80</v>
      </c>
      <c r="AQ112" s="164">
        <f t="shared" si="244"/>
        <v>80</v>
      </c>
      <c r="AR112" s="164">
        <f t="shared" si="244"/>
        <v>80</v>
      </c>
      <c r="AS112" s="164">
        <f t="shared" si="244"/>
        <v>80</v>
      </c>
      <c r="AT112" s="164">
        <f t="shared" si="244"/>
        <v>80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5">
        <f>T110*TAN(RADIANS(T112))-(IF($B$4, 9.807, 32.174)*T110^2)/(2*T111^2*COS(RADIANS(T112))^2)+$D$7</f>
        <v>16.258589278414473</v>
      </c>
      <c r="U113" s="165">
        <f t="shared" ref="U113:AB113" si="245">U110*TAN(RADIANS(U112))-(IF($B$4, 9.807, 32.174)*U110^2)/(2*U111^2*COS(RADIANS(U112))^2)+$D$7</f>
        <v>16.258589278414473</v>
      </c>
      <c r="V113" s="165">
        <f t="shared" si="245"/>
        <v>16.258589278414473</v>
      </c>
      <c r="W113" s="165">
        <f t="shared" si="245"/>
        <v>16.258589278414473</v>
      </c>
      <c r="X113" s="165">
        <f t="shared" si="245"/>
        <v>16.258589278414473</v>
      </c>
      <c r="Y113" s="165">
        <f t="shared" si="245"/>
        <v>16.258589278414473</v>
      </c>
      <c r="Z113" s="165">
        <f t="shared" si="245"/>
        <v>16.258589278414473</v>
      </c>
      <c r="AA113" s="165">
        <f t="shared" si="245"/>
        <v>16.258589278414473</v>
      </c>
      <c r="AB113" s="165">
        <f t="shared" si="245"/>
        <v>16.258589278414473</v>
      </c>
      <c r="AC113" s="165">
        <f>AC110*TAN(RADIANS(AC112))-(IF($B$4, 9.807, 32.174)*AC110^2)/(2*AC111^2*COS(RADIANS(AC112))^2)+$D$7</f>
        <v>16.258589278414473</v>
      </c>
      <c r="AD113" s="165">
        <f t="shared" ref="AD113:AK113" si="246">AD110*TAN(RADIANS(AD112))-(IF($B$4, 9.807, 32.174)*AD110^2)/(2*AD111^2*COS(RADIANS(AD112))^2)+$D$7</f>
        <v>16.258589278414473</v>
      </c>
      <c r="AE113" s="165">
        <f t="shared" si="246"/>
        <v>16.258589278414473</v>
      </c>
      <c r="AF113" s="165">
        <f t="shared" si="246"/>
        <v>16.258589278414473</v>
      </c>
      <c r="AG113" s="165">
        <f t="shared" si="246"/>
        <v>16.258589278414473</v>
      </c>
      <c r="AH113" s="165">
        <f t="shared" si="246"/>
        <v>16.258589278414473</v>
      </c>
      <c r="AI113" s="165">
        <f t="shared" si="246"/>
        <v>16.258589278414473</v>
      </c>
      <c r="AJ113" s="165">
        <f t="shared" si="246"/>
        <v>16.258589278414473</v>
      </c>
      <c r="AK113" s="165">
        <f t="shared" si="246"/>
        <v>16.258589278414473</v>
      </c>
      <c r="AL113" s="165">
        <f>AL110*TAN(RADIANS(AL112))-(IF($B$4, 9.807, 32.174)*AL110^2)/(2*AL111^2*COS(RADIANS(AL112))^2)+$D$7</f>
        <v>16.258589278414473</v>
      </c>
      <c r="AM113" s="165">
        <f t="shared" ref="AM113:AT113" si="247">AM110*TAN(RADIANS(AM112))-(IF($B$4, 9.807, 32.174)*AM110^2)/(2*AM111^2*COS(RADIANS(AM112))^2)+$D$7</f>
        <v>16.258589278414473</v>
      </c>
      <c r="AN113" s="165">
        <f t="shared" si="247"/>
        <v>16.258589278414473</v>
      </c>
      <c r="AO113" s="165">
        <f t="shared" si="247"/>
        <v>16.258589278414473</v>
      </c>
      <c r="AP113" s="165">
        <f t="shared" si="247"/>
        <v>16.258589278414473</v>
      </c>
      <c r="AQ113" s="165">
        <f t="shared" si="247"/>
        <v>16.258589278414473</v>
      </c>
      <c r="AR113" s="165">
        <f t="shared" si="247"/>
        <v>16.258589278414473</v>
      </c>
      <c r="AS113" s="165">
        <f t="shared" si="247"/>
        <v>16.258589278414473</v>
      </c>
      <c r="AT113" s="165">
        <f t="shared" si="247"/>
        <v>16.258589278414473</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4">
        <f>DEGREES(ATAN(2*(T113-$D$7)/T110-TAN(RADIANS(T112))))</f>
        <v>-67.874514601509873</v>
      </c>
      <c r="U114" s="164">
        <f t="shared" ref="U114:AB114" si="248">DEGREES(ATAN(2*(U113-$D$7)/U110-TAN(RADIANS(U112))))</f>
        <v>-67.874514601509873</v>
      </c>
      <c r="V114" s="164">
        <f t="shared" si="248"/>
        <v>-67.874514601509873</v>
      </c>
      <c r="W114" s="164">
        <f t="shared" si="248"/>
        <v>-67.874514601509873</v>
      </c>
      <c r="X114" s="164">
        <f t="shared" si="248"/>
        <v>-67.874514601509873</v>
      </c>
      <c r="Y114" s="164">
        <f t="shared" si="248"/>
        <v>-67.874514601509873</v>
      </c>
      <c r="Z114" s="164">
        <f t="shared" si="248"/>
        <v>-67.874514601509873</v>
      </c>
      <c r="AA114" s="164">
        <f t="shared" si="248"/>
        <v>-67.874514601509873</v>
      </c>
      <c r="AB114" s="164">
        <f t="shared" si="248"/>
        <v>-67.874514601509873</v>
      </c>
      <c r="AC114" s="164">
        <f>DEGREES(ATAN(2*(AC113-$D$7)/AC110-TAN(RADIANS(AC112))))</f>
        <v>-67.874514601509873</v>
      </c>
      <c r="AD114" s="164">
        <f t="shared" ref="AD114:AK114" si="249">DEGREES(ATAN(2*(AD113-$D$7)/AD110-TAN(RADIANS(AD112))))</f>
        <v>-67.874514601509873</v>
      </c>
      <c r="AE114" s="164">
        <f t="shared" si="249"/>
        <v>-67.874514601509873</v>
      </c>
      <c r="AF114" s="164">
        <f t="shared" si="249"/>
        <v>-67.874514601509873</v>
      </c>
      <c r="AG114" s="164">
        <f t="shared" si="249"/>
        <v>-67.874514601509873</v>
      </c>
      <c r="AH114" s="164">
        <f t="shared" si="249"/>
        <v>-67.874514601509873</v>
      </c>
      <c r="AI114" s="164">
        <f t="shared" si="249"/>
        <v>-67.874514601509873</v>
      </c>
      <c r="AJ114" s="164">
        <f t="shared" si="249"/>
        <v>-67.874514601509873</v>
      </c>
      <c r="AK114" s="164">
        <f t="shared" si="249"/>
        <v>-67.874514601509873</v>
      </c>
      <c r="AL114" s="164">
        <f>DEGREES(ATAN(2*(AL113-$D$7)/AL110-TAN(RADIANS(AL112))))</f>
        <v>-67.874514601509873</v>
      </c>
      <c r="AM114" s="164">
        <f t="shared" ref="AM114:AT114" si="250">DEGREES(ATAN(2*(AM113-$D$7)/AM110-TAN(RADIANS(AM112))))</f>
        <v>-67.874514601509873</v>
      </c>
      <c r="AN114" s="164">
        <f t="shared" si="250"/>
        <v>-67.874514601509873</v>
      </c>
      <c r="AO114" s="164">
        <f t="shared" si="250"/>
        <v>-67.874514601509873</v>
      </c>
      <c r="AP114" s="164">
        <f t="shared" si="250"/>
        <v>-67.874514601509873</v>
      </c>
      <c r="AQ114" s="164">
        <f t="shared" si="250"/>
        <v>-67.874514601509873</v>
      </c>
      <c r="AR114" s="164">
        <f t="shared" si="250"/>
        <v>-67.874514601509873</v>
      </c>
      <c r="AS114" s="164">
        <f t="shared" si="250"/>
        <v>-67.874514601509873</v>
      </c>
      <c r="AT114" s="164">
        <f t="shared" si="250"/>
        <v>-67.874514601509873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6" spans="20:154" x14ac:dyDescent="0.25">
      <c r="T116" s="163">
        <f>$G$8-$G$9</f>
        <v>2</v>
      </c>
      <c r="U116" s="163">
        <f>$G$8</f>
        <v>2</v>
      </c>
      <c r="V116" s="163">
        <f>$G$8+$G$9</f>
        <v>2</v>
      </c>
      <c r="W116" s="163">
        <f>$G$8-$G$9</f>
        <v>2</v>
      </c>
      <c r="X116" s="163">
        <f t="shared" ref="X116" si="251">$G$8</f>
        <v>2</v>
      </c>
      <c r="Y116" s="163">
        <f>$G$8+$G$9</f>
        <v>2</v>
      </c>
      <c r="Z116" s="163">
        <f>$G$8-$G$9</f>
        <v>2</v>
      </c>
      <c r="AA116" s="163">
        <f t="shared" ref="AA116" si="252">$G$8</f>
        <v>2</v>
      </c>
      <c r="AB116" s="163">
        <f>$G$8+$G$9</f>
        <v>2</v>
      </c>
      <c r="AC116" s="163">
        <f>$G$8-$G$9</f>
        <v>2</v>
      </c>
      <c r="AD116" s="163">
        <f>$G$8</f>
        <v>2</v>
      </c>
      <c r="AE116" s="163">
        <f>$G$8+$G$9</f>
        <v>2</v>
      </c>
      <c r="AF116" s="163">
        <f>$G$8-$G$9</f>
        <v>2</v>
      </c>
      <c r="AG116" s="163">
        <f t="shared" ref="AG116" si="253">$G$8</f>
        <v>2</v>
      </c>
      <c r="AH116" s="163">
        <f>$G$8+$G$9</f>
        <v>2</v>
      </c>
      <c r="AI116" s="163">
        <f>$G$8-$G$9</f>
        <v>2</v>
      </c>
      <c r="AJ116" s="163">
        <f t="shared" ref="AJ116" si="254">$G$8</f>
        <v>2</v>
      </c>
      <c r="AK116" s="163">
        <f>$G$8+$G$9</f>
        <v>2</v>
      </c>
      <c r="AL116" s="163">
        <f>$G$8-$G$9</f>
        <v>2</v>
      </c>
      <c r="AM116" s="163">
        <f>$G$8</f>
        <v>2</v>
      </c>
      <c r="AN116" s="163">
        <f>$G$8+$G$9</f>
        <v>2</v>
      </c>
      <c r="AO116" s="163">
        <f>$G$8-$G$9</f>
        <v>2</v>
      </c>
      <c r="AP116" s="163">
        <f t="shared" ref="AP116" si="255">$G$8</f>
        <v>2</v>
      </c>
      <c r="AQ116" s="163">
        <f>$G$8+$G$9</f>
        <v>2</v>
      </c>
      <c r="AR116" s="163">
        <f>$G$8-$G$9</f>
        <v>2</v>
      </c>
      <c r="AS116" s="163">
        <f t="shared" ref="AS116" si="256">$G$8</f>
        <v>2</v>
      </c>
      <c r="AT116" s="163">
        <f>$G$8+$G$9</f>
        <v>2</v>
      </c>
    </row>
    <row r="117" spans="20:154" s="181" customFormat="1" x14ac:dyDescent="0.25">
      <c r="T117" s="163">
        <f>$G$10-$G$11</f>
        <v>2.5</v>
      </c>
      <c r="U117" s="163">
        <f t="shared" ref="U117:AE117" si="257">$G$10-$G$11</f>
        <v>2.5</v>
      </c>
      <c r="V117" s="163">
        <f t="shared" si="257"/>
        <v>2.5</v>
      </c>
      <c r="W117" s="163">
        <f>$G$10</f>
        <v>2.5</v>
      </c>
      <c r="X117" s="163">
        <f t="shared" ref="X117:Y117" si="258">$G$10</f>
        <v>2.5</v>
      </c>
      <c r="Y117" s="163">
        <f t="shared" si="258"/>
        <v>2.5</v>
      </c>
      <c r="Z117" s="163">
        <f>$G$10+$G$11</f>
        <v>2.5</v>
      </c>
      <c r="AA117" s="163">
        <f t="shared" ref="AA117:AB117" si="259">$G$10+$G$11</f>
        <v>2.5</v>
      </c>
      <c r="AB117" s="163">
        <f t="shared" si="259"/>
        <v>2.5</v>
      </c>
      <c r="AC117" s="163">
        <f>$G$10-$G$11</f>
        <v>2.5</v>
      </c>
      <c r="AD117" s="163">
        <f t="shared" si="257"/>
        <v>2.5</v>
      </c>
      <c r="AE117" s="163">
        <f t="shared" si="257"/>
        <v>2.5</v>
      </c>
      <c r="AF117" s="163">
        <f>$G$10</f>
        <v>2.5</v>
      </c>
      <c r="AG117" s="163">
        <f t="shared" ref="AG117:AH117" si="260">$G$10</f>
        <v>2.5</v>
      </c>
      <c r="AH117" s="163">
        <f t="shared" si="260"/>
        <v>2.5</v>
      </c>
      <c r="AI117" s="163">
        <f>$G$10+$G$11</f>
        <v>2.5</v>
      </c>
      <c r="AJ117" s="163">
        <f t="shared" ref="AJ117:AK117" si="261">$G$10+$G$11</f>
        <v>2.5</v>
      </c>
      <c r="AK117" s="163">
        <f t="shared" si="261"/>
        <v>2.5</v>
      </c>
      <c r="AL117" s="163">
        <f>$G$10-$G$11</f>
        <v>2.5</v>
      </c>
      <c r="AM117" s="163">
        <f t="shared" ref="AM117:AN117" si="262">$G$10-$G$11</f>
        <v>2.5</v>
      </c>
      <c r="AN117" s="163">
        <f t="shared" si="262"/>
        <v>2.5</v>
      </c>
      <c r="AO117" s="163">
        <f>$G$10</f>
        <v>2.5</v>
      </c>
      <c r="AP117" s="163">
        <f t="shared" ref="AP117:AQ117" si="263">$G$10</f>
        <v>2.5</v>
      </c>
      <c r="AQ117" s="163">
        <f t="shared" si="263"/>
        <v>2.5</v>
      </c>
      <c r="AR117" s="163">
        <f>$G$10+$G$11</f>
        <v>2.5</v>
      </c>
      <c r="AS117" s="163">
        <f t="shared" ref="AS117:AT117" si="264">$G$10+$G$11</f>
        <v>2.5</v>
      </c>
      <c r="AT117" s="163">
        <f t="shared" si="264"/>
        <v>2.5</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$G$12-$G$13</f>
        <v>-80</v>
      </c>
      <c r="U118" s="163">
        <f t="shared" ref="U118:AB118" si="265">$G$12-$G$13</f>
        <v>-80</v>
      </c>
      <c r="V118" s="163">
        <f t="shared" si="265"/>
        <v>-80</v>
      </c>
      <c r="W118" s="163">
        <f t="shared" si="265"/>
        <v>-80</v>
      </c>
      <c r="X118" s="163">
        <f t="shared" si="265"/>
        <v>-80</v>
      </c>
      <c r="Y118" s="163">
        <f t="shared" si="265"/>
        <v>-80</v>
      </c>
      <c r="Z118" s="163">
        <f t="shared" si="265"/>
        <v>-80</v>
      </c>
      <c r="AA118" s="163">
        <f t="shared" si="265"/>
        <v>-80</v>
      </c>
      <c r="AB118" s="163">
        <f t="shared" si="265"/>
        <v>-80</v>
      </c>
      <c r="AC118" s="163">
        <f>$G$12</f>
        <v>-80</v>
      </c>
      <c r="AD118" s="163">
        <f t="shared" ref="AD118:AK118" si="266">$G$12</f>
        <v>-80</v>
      </c>
      <c r="AE118" s="163">
        <f t="shared" si="266"/>
        <v>-80</v>
      </c>
      <c r="AF118" s="163">
        <f t="shared" si="266"/>
        <v>-80</v>
      </c>
      <c r="AG118" s="163">
        <f t="shared" si="266"/>
        <v>-80</v>
      </c>
      <c r="AH118" s="163">
        <f t="shared" si="266"/>
        <v>-80</v>
      </c>
      <c r="AI118" s="163">
        <f t="shared" si="266"/>
        <v>-80</v>
      </c>
      <c r="AJ118" s="163">
        <f t="shared" si="266"/>
        <v>-80</v>
      </c>
      <c r="AK118" s="163">
        <f t="shared" si="266"/>
        <v>-80</v>
      </c>
      <c r="AL118" s="163">
        <f>$G$12+$G$13</f>
        <v>-80</v>
      </c>
      <c r="AM118" s="163">
        <f t="shared" ref="AM118:AT118" si="267">$G$12+$G$13</f>
        <v>-80</v>
      </c>
      <c r="AN118" s="163">
        <f t="shared" si="267"/>
        <v>-80</v>
      </c>
      <c r="AO118" s="163">
        <f t="shared" si="267"/>
        <v>-80</v>
      </c>
      <c r="AP118" s="163">
        <f t="shared" si="267"/>
        <v>-80</v>
      </c>
      <c r="AQ118" s="163">
        <f t="shared" si="267"/>
        <v>-80</v>
      </c>
      <c r="AR118" s="163">
        <f t="shared" si="267"/>
        <v>-80</v>
      </c>
      <c r="AS118" s="163">
        <f t="shared" si="267"/>
        <v>-80</v>
      </c>
      <c r="AT118" s="163">
        <f t="shared" si="267"/>
        <v>-80</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SQRT((IF($B$4, 9.807, 32.174)*T116)/(ABS(TAN(RADIANS(T120))-TAN(RADIANS(T118)))))/COS(RADIANS(T120))</f>
        <v>9.5489346835634272</v>
      </c>
      <c r="U119" s="163">
        <f t="shared" ref="U119:AB119" si="268">SQRT((IF($B$4, 9.807, 32.174)*U116)/(ABS(TAN(RADIANS(U120))-TAN(RADIANS(U118)))))/COS(RADIANS(U120))</f>
        <v>9.5489346835634272</v>
      </c>
      <c r="V119" s="163">
        <f t="shared" si="268"/>
        <v>9.5489346835634272</v>
      </c>
      <c r="W119" s="163">
        <f t="shared" si="268"/>
        <v>9.5489346835634272</v>
      </c>
      <c r="X119" s="163">
        <f t="shared" si="268"/>
        <v>9.5489346835634272</v>
      </c>
      <c r="Y119" s="163">
        <f t="shared" si="268"/>
        <v>9.5489346835634272</v>
      </c>
      <c r="Z119" s="163">
        <f t="shared" si="268"/>
        <v>9.5489346835634272</v>
      </c>
      <c r="AA119" s="163">
        <f t="shared" si="268"/>
        <v>9.5489346835634272</v>
      </c>
      <c r="AB119" s="163">
        <f t="shared" si="268"/>
        <v>9.5489346835634272</v>
      </c>
      <c r="AC119" s="163">
        <f>SQRT((IF($B$4, 9.807, 32.174)*AC116)/(ABS(TAN(RADIANS(AC120))-TAN(RADIANS(AC118)))))/COS(RADIANS(AC120))</f>
        <v>9.5489346835634272</v>
      </c>
      <c r="AD119" s="163">
        <f t="shared" ref="AD119:AK119" si="269">SQRT((IF($B$4, 9.807, 32.174)*AD116)/(ABS(TAN(RADIANS(AD120))-TAN(RADIANS(AD118)))))/COS(RADIANS(AD120))</f>
        <v>9.5489346835634272</v>
      </c>
      <c r="AE119" s="163">
        <f t="shared" si="269"/>
        <v>9.5489346835634272</v>
      </c>
      <c r="AF119" s="163">
        <f t="shared" si="269"/>
        <v>9.5489346835634272</v>
      </c>
      <c r="AG119" s="163">
        <f t="shared" si="269"/>
        <v>9.5489346835634272</v>
      </c>
      <c r="AH119" s="163">
        <f t="shared" si="269"/>
        <v>9.5489346835634272</v>
      </c>
      <c r="AI119" s="163">
        <f t="shared" si="269"/>
        <v>9.5489346835634272</v>
      </c>
      <c r="AJ119" s="163">
        <f t="shared" si="269"/>
        <v>9.5489346835634272</v>
      </c>
      <c r="AK119" s="163">
        <f t="shared" si="269"/>
        <v>9.5489346835634272</v>
      </c>
      <c r="AL119" s="163">
        <f>SQRT((IF($B$4, 9.807, 32.174)*AL116)/(ABS(TAN(RADIANS(AL120))-TAN(RADIANS(AL118)))))/COS(RADIANS(AL120))</f>
        <v>9.5489346835634272</v>
      </c>
      <c r="AM119" s="163">
        <f t="shared" ref="AM119:AT119" si="270">SQRT((IF($B$4, 9.807, 32.174)*AM116)/(ABS(TAN(RADIANS(AM120))-TAN(RADIANS(AM118)))))/COS(RADIANS(AM120))</f>
        <v>9.5489346835634272</v>
      </c>
      <c r="AN119" s="163">
        <f t="shared" si="270"/>
        <v>9.5489346835634272</v>
      </c>
      <c r="AO119" s="163">
        <f t="shared" si="270"/>
        <v>9.5489346835634272</v>
      </c>
      <c r="AP119" s="163">
        <f t="shared" si="270"/>
        <v>9.5489346835634272</v>
      </c>
      <c r="AQ119" s="163">
        <f t="shared" si="270"/>
        <v>9.5489346835634272</v>
      </c>
      <c r="AR119" s="163">
        <f t="shared" si="270"/>
        <v>9.5489346835634272</v>
      </c>
      <c r="AS119" s="163">
        <f t="shared" si="270"/>
        <v>9.5489346835634272</v>
      </c>
      <c r="AT119" s="163">
        <f t="shared" si="270"/>
        <v>9.5489346835634272</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4">
        <f>DEGREES(ATAN(2*(T117-$T$5)/T116-TAN(RADIANS(T118))))</f>
        <v>82.759695716411017</v>
      </c>
      <c r="U120" s="164">
        <f t="shared" ref="U120:AB120" si="271">DEGREES(ATAN(2*(U117-$T$5)/U116-TAN(RADIANS(U118))))</f>
        <v>82.759695716411017</v>
      </c>
      <c r="V120" s="164">
        <f t="shared" si="271"/>
        <v>82.759695716411017</v>
      </c>
      <c r="W120" s="164">
        <f t="shared" si="271"/>
        <v>82.759695716411017</v>
      </c>
      <c r="X120" s="164">
        <f t="shared" si="271"/>
        <v>82.759695716411017</v>
      </c>
      <c r="Y120" s="164">
        <f t="shared" si="271"/>
        <v>82.759695716411017</v>
      </c>
      <c r="Z120" s="164">
        <f t="shared" si="271"/>
        <v>82.759695716411017</v>
      </c>
      <c r="AA120" s="164">
        <f t="shared" si="271"/>
        <v>82.759695716411017</v>
      </c>
      <c r="AB120" s="164">
        <f t="shared" si="271"/>
        <v>82.759695716411017</v>
      </c>
      <c r="AC120" s="164">
        <f>DEGREES(ATAN(2*(AC117-$T$5)/AC116-TAN(RADIANS(AC118))))</f>
        <v>82.759695716411017</v>
      </c>
      <c r="AD120" s="164">
        <f t="shared" ref="AD120:AK120" si="272">DEGREES(ATAN(2*(AD117-$T$5)/AD116-TAN(RADIANS(AD118))))</f>
        <v>82.759695716411017</v>
      </c>
      <c r="AE120" s="164">
        <f t="shared" si="272"/>
        <v>82.759695716411017</v>
      </c>
      <c r="AF120" s="164">
        <f t="shared" si="272"/>
        <v>82.759695716411017</v>
      </c>
      <c r="AG120" s="164">
        <f t="shared" si="272"/>
        <v>82.759695716411017</v>
      </c>
      <c r="AH120" s="164">
        <f t="shared" si="272"/>
        <v>82.759695716411017</v>
      </c>
      <c r="AI120" s="164">
        <f t="shared" si="272"/>
        <v>82.759695716411017</v>
      </c>
      <c r="AJ120" s="164">
        <f t="shared" si="272"/>
        <v>82.759695716411017</v>
      </c>
      <c r="AK120" s="164">
        <f t="shared" si="272"/>
        <v>82.759695716411017</v>
      </c>
      <c r="AL120" s="164">
        <f>DEGREES(ATAN(2*(AL117-$T$5)/AL116-TAN(RADIANS(AL118))))</f>
        <v>82.759695716411017</v>
      </c>
      <c r="AM120" s="164">
        <f t="shared" ref="AM120:AT120" si="273">DEGREES(ATAN(2*(AM117-$T$5)/AM116-TAN(RADIANS(AM118))))</f>
        <v>82.759695716411017</v>
      </c>
      <c r="AN120" s="164">
        <f t="shared" si="273"/>
        <v>82.759695716411017</v>
      </c>
      <c r="AO120" s="164">
        <f t="shared" si="273"/>
        <v>82.759695716411017</v>
      </c>
      <c r="AP120" s="164">
        <f t="shared" si="273"/>
        <v>82.759695716411017</v>
      </c>
      <c r="AQ120" s="164">
        <f t="shared" si="273"/>
        <v>82.759695716411017</v>
      </c>
      <c r="AR120" s="164">
        <f t="shared" si="273"/>
        <v>82.759695716411017</v>
      </c>
      <c r="AS120" s="164">
        <f t="shared" si="273"/>
        <v>82.759695716411017</v>
      </c>
      <c r="AT120" s="164">
        <f t="shared" si="273"/>
        <v>82.759695716411017</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6">
    <mergeCell ref="C32:G35"/>
    <mergeCell ref="C23:G26"/>
    <mergeCell ref="I3:J3"/>
    <mergeCell ref="C6:D6"/>
    <mergeCell ref="F6:G6"/>
    <mergeCell ref="C28:G30"/>
  </mergeCells>
  <conditionalFormatting sqref="G8 D8 D10">
    <cfRule type="cellIs" dxfId="53" priority="39" operator="lessThanOrEqual">
      <formula>0</formula>
    </cfRule>
  </conditionalFormatting>
  <conditionalFormatting sqref="G7 G9:G11 G13 D7 D9 D11 D13 D15:D16 G15:G16">
    <cfRule type="cellIs" dxfId="52" priority="38" operator="lessThan">
      <formula>0</formula>
    </cfRule>
  </conditionalFormatting>
  <conditionalFormatting sqref="G12">
    <cfRule type="expression" dxfId="51" priority="36">
      <formula>OR($G$12+$G$13&gt;=90, $G$12-$G$13&lt;=-90)</formula>
    </cfRule>
  </conditionalFormatting>
  <conditionalFormatting sqref="D7:D13 G7:G13 D15:D16 G15:G16">
    <cfRule type="expression" dxfId="50" priority="34">
      <formula>ISTEXT(D7)</formula>
    </cfRule>
  </conditionalFormatting>
  <conditionalFormatting sqref="D7:D13 G7:G13 I3">
    <cfRule type="containsBlanks" dxfId="49" priority="33">
      <formula>LEN(TRIM(D3))=0</formula>
    </cfRule>
  </conditionalFormatting>
  <conditionalFormatting sqref="D12">
    <cfRule type="expression" dxfId="48" priority="35">
      <formula>OR($D$12+$D$13&gt;=90, $D$12-$D$13&lt;=-90)</formula>
    </cfRule>
  </conditionalFormatting>
  <conditionalFormatting sqref="D18:D19">
    <cfRule type="cellIs" dxfId="47" priority="29" operator="lessThanOrEqual">
      <formula>0</formula>
    </cfRule>
  </conditionalFormatting>
  <conditionalFormatting sqref="D21">
    <cfRule type="cellIs" dxfId="46" priority="13" operator="lessThanOrEqual">
      <formula>0</formula>
    </cfRule>
  </conditionalFormatting>
  <conditionalFormatting sqref="G9">
    <cfRule type="cellIs" dxfId="45" priority="3" operator="greaterThanOrEqual">
      <formula>$G$8</formula>
    </cfRule>
  </conditionalFormatting>
  <conditionalFormatting sqref="D9">
    <cfRule type="cellIs" dxfId="44" priority="2" operator="greaterThanOrEqual">
      <formula>$D$8</formula>
    </cfRule>
  </conditionalFormatting>
  <conditionalFormatting sqref="D11">
    <cfRule type="cellIs" dxfId="43" priority="1" operator="greaterThanOrEqual">
      <formula>1</formula>
    </cfRule>
  </conditionalFormatting>
  <dataValidations disablePrompts="1" count="1">
    <dataValidation type="list" allowBlank="1" showInputMessage="1" showErrorMessage="1" sqref="I3">
      <formula1>"Forward,Reverse"</formula1>
    </dataValidation>
  </dataValidations>
  <pageMargins left="0.7" right="0.7" top="0.75" bottom="0.75" header="0.3" footer="0.3"/>
  <pageSetup orientation="portrait" r:id="rId1"/>
  <ignoredErrors>
    <ignoredError sqref="F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6" t="s">
        <v>95</v>
      </c>
      <c r="G6" s="216"/>
      <c r="I6" s="216" t="s">
        <v>98</v>
      </c>
      <c r="J6" s="216"/>
    </row>
    <row r="7" spans="2:19" ht="14.45" x14ac:dyDescent="0.3">
      <c r="C7" s="88" t="s">
        <v>102</v>
      </c>
      <c r="D7" s="11" t="s">
        <v>26</v>
      </c>
      <c r="F7" s="88" t="s">
        <v>105</v>
      </c>
      <c r="G7" s="11">
        <v>50</v>
      </c>
      <c r="I7" s="88" t="str">
        <f>"Estimated Dist. (" &amp; IF($B$4, "mm", "in") &amp; ")"</f>
        <v>Estimated Dist. (mm)</v>
      </c>
      <c r="J7" s="51">
        <v>70</v>
      </c>
      <c r="M7" s="114" t="s">
        <v>227</v>
      </c>
      <c r="N7" s="115" t="s">
        <v>228</v>
      </c>
      <c r="O7" s="114" t="s">
        <v>222</v>
      </c>
      <c r="P7" s="114" t="s">
        <v>229</v>
      </c>
      <c r="Q7" s="114" t="s">
        <v>230</v>
      </c>
      <c r="R7" s="114" t="s">
        <v>231</v>
      </c>
      <c r="S7" s="116" t="s">
        <v>232</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3" t="s">
        <v>20</v>
      </c>
      <c r="D16" s="233"/>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2" priority="3">
      <formula>ISTEXT(D7)</formula>
    </cfRule>
    <cfRule type="cellIs" dxfId="41" priority="8" operator="lessThanOrEqual">
      <formula>0</formula>
    </cfRule>
  </conditionalFormatting>
  <conditionalFormatting sqref="D7 D9 D12 G7 J7:J9">
    <cfRule type="containsBlanks" dxfId="40" priority="4">
      <formula>LEN(TRIM(D7))=0</formula>
    </cfRule>
    <cfRule type="containsBlanks" dxfId="39" priority="7">
      <formula>LEN(TRIM(D7))=0</formula>
    </cfRule>
  </conditionalFormatting>
  <conditionalFormatting sqref="G11:G13">
    <cfRule type="expression" dxfId="38" priority="2">
      <formula>ISERROR($G$11)</formula>
    </cfRule>
    <cfRule type="expression" dxfId="37" priority="6">
      <formula>$G$13&lt;=0</formula>
    </cfRule>
  </conditionalFormatting>
  <conditionalFormatting sqref="J11:J14">
    <cfRule type="expression" dxfId="36" priority="1">
      <formula>ISERROR($J$11)</formula>
    </cfRule>
    <cfRule type="expression" dxfId="35"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6" t="s">
        <v>116</v>
      </c>
      <c r="G6" s="216"/>
      <c r="I6" s="216" t="s">
        <v>121</v>
      </c>
      <c r="J6" s="216"/>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4" priority="4">
      <formula>LEN(TRIM(D7))=0</formula>
    </cfRule>
    <cfRule type="cellIs" dxfId="33" priority="5" operator="lessThanOrEqual">
      <formula>0</formula>
    </cfRule>
  </conditionalFormatting>
  <conditionalFormatting sqref="G10:G11">
    <cfRule type="expression" dxfId="32" priority="3">
      <formula>$G$10&lt;=0</formula>
    </cfRule>
  </conditionalFormatting>
  <conditionalFormatting sqref="J10:J11">
    <cfRule type="expression" dxfId="31" priority="2">
      <formula>$J$10&lt;=0</formula>
    </cfRule>
  </conditionalFormatting>
  <conditionalFormatting sqref="D7:D8 D10:D12 J7:J8">
    <cfRule type="expression" dxfId="30"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4" t="s">
        <v>127</v>
      </c>
      <c r="D19" s="234"/>
    </row>
    <row r="20" spans="3:4" ht="14.45" customHeight="1" x14ac:dyDescent="0.3">
      <c r="C20" s="235" t="s">
        <v>128</v>
      </c>
      <c r="D20" s="235"/>
    </row>
  </sheetData>
  <sheetProtection sheet="1" objects="1" scenarios="1" formatCells="0" formatColumns="0" formatRows="0"/>
  <mergeCells count="2">
    <mergeCell ref="C19:D19"/>
    <mergeCell ref="C20:D20"/>
  </mergeCells>
  <conditionalFormatting sqref="D11:D13 D15:D17">
    <cfRule type="expression" dxfId="29" priority="5">
      <formula>NOT(AND(INT($D$11)=$D$11, INT($D$15)=$D$15))</formula>
    </cfRule>
  </conditionalFormatting>
  <conditionalFormatting sqref="C19:D20">
    <cfRule type="expression" dxfId="28" priority="4">
      <formula>AND(INT($D$11)=$D$11, INT($D$15)=$D$15)</formula>
    </cfRule>
  </conditionalFormatting>
  <conditionalFormatting sqref="D6 D8:D9">
    <cfRule type="expression" dxfId="27" priority="1">
      <formula>ISTEXT(D6)</formula>
    </cfRule>
    <cfRule type="containsBlanks" dxfId="26" priority="2">
      <formula>LEN(TRIM(D6))=0</formula>
    </cfRule>
    <cfRule type="cellIs" dxfId="2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6" t="s">
        <v>154</v>
      </c>
      <c r="O12" s="237"/>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4" priority="5">
      <formula>AND(COUNTBLANK(D$7:D$16)&lt;10, ISBLANK(D7))</formula>
    </cfRule>
    <cfRule type="cellIs" dxfId="23" priority="8" operator="lessThan">
      <formula>0</formula>
    </cfRule>
  </conditionalFormatting>
  <conditionalFormatting sqref="N16:N17">
    <cfRule type="cellIs" dxfId="22" priority="7" operator="lessThanOrEqual">
      <formula>$I$40</formula>
    </cfRule>
  </conditionalFormatting>
  <conditionalFormatting sqref="N7:Q9">
    <cfRule type="expression" dxfId="21" priority="3">
      <formula>AND(COUNTBLANK(N$7:N$9)&lt;3, ISBLANK(N7))</formula>
    </cfRule>
  </conditionalFormatting>
  <conditionalFormatting sqref="D7:K10 D12:K12 D14:K16 N7:Q9 N14:N15">
    <cfRule type="expression" dxfId="20" priority="4">
      <formula>ISTEXT(D7)</formula>
    </cfRule>
  </conditionalFormatting>
  <conditionalFormatting sqref="D8:K8">
    <cfRule type="cellIs" dxfId="19"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209</v>
      </c>
    </row>
    <row r="3" spans="3:16" ht="14.45" x14ac:dyDescent="0.3">
      <c r="K3" s="78" t="s">
        <v>98</v>
      </c>
      <c r="M3" s="111" t="b">
        <v>1</v>
      </c>
      <c r="N3" s="109"/>
      <c r="O3" s="112" t="b">
        <v>1</v>
      </c>
      <c r="P3" s="110"/>
    </row>
    <row r="4" spans="3:16" ht="18.75" x14ac:dyDescent="0.25">
      <c r="C4" s="216" t="s">
        <v>95</v>
      </c>
      <c r="D4" s="216"/>
      <c r="F4" s="216" t="s">
        <v>98</v>
      </c>
      <c r="G4" s="216"/>
      <c r="I4" s="239" t="s">
        <v>226</v>
      </c>
    </row>
    <row r="5" spans="3:16" ht="15" customHeight="1" x14ac:dyDescent="0.25">
      <c r="C5" s="88" t="s">
        <v>167</v>
      </c>
      <c r="D5" s="51">
        <v>40</v>
      </c>
      <c r="F5" s="88" t="s">
        <v>169</v>
      </c>
      <c r="G5" s="51">
        <v>120</v>
      </c>
      <c r="I5" s="240"/>
    </row>
    <row r="6" spans="3:16" x14ac:dyDescent="0.25">
      <c r="C6" s="88" t="s">
        <v>168</v>
      </c>
      <c r="D6" s="51">
        <v>90</v>
      </c>
      <c r="F6" s="88" t="s">
        <v>170</v>
      </c>
      <c r="G6" s="51">
        <v>10</v>
      </c>
      <c r="I6" s="240"/>
    </row>
    <row r="7" spans="3:16" x14ac:dyDescent="0.25">
      <c r="C7" s="88" t="s">
        <v>169</v>
      </c>
      <c r="D7" s="51">
        <v>100</v>
      </c>
      <c r="F7" s="88" t="s">
        <v>171</v>
      </c>
      <c r="G7" s="51">
        <v>100</v>
      </c>
      <c r="I7" s="240"/>
    </row>
    <row r="8" spans="3:16" x14ac:dyDescent="0.25">
      <c r="C8" s="88" t="s">
        <v>170</v>
      </c>
      <c r="D8" s="51">
        <v>20</v>
      </c>
      <c r="F8" s="88" t="s">
        <v>172</v>
      </c>
      <c r="G8" s="51">
        <v>50</v>
      </c>
      <c r="I8" s="241"/>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9" t="s">
        <v>177</v>
      </c>
    </row>
    <row r="11" spans="3:16" x14ac:dyDescent="0.25">
      <c r="I11" s="240"/>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0"/>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1"/>
    </row>
    <row r="30" spans="11:18" x14ac:dyDescent="0.25">
      <c r="K30" s="238" t="s">
        <v>224</v>
      </c>
      <c r="L30" s="238"/>
      <c r="M30" s="238"/>
      <c r="N30" s="238"/>
      <c r="O30" s="238"/>
      <c r="P30" s="238"/>
      <c r="Q30" s="238"/>
      <c r="R30" s="238"/>
    </row>
    <row r="31" spans="11:18" x14ac:dyDescent="0.25">
      <c r="K31" s="1" t="s">
        <v>225</v>
      </c>
    </row>
    <row r="32" spans="11:18" x14ac:dyDescent="0.25">
      <c r="K32" s="1" t="s">
        <v>178</v>
      </c>
    </row>
    <row r="33" spans="11:18" x14ac:dyDescent="0.25">
      <c r="K33" s="3" t="s">
        <v>167</v>
      </c>
      <c r="L33" s="3" t="s">
        <v>168</v>
      </c>
      <c r="M33" s="3" t="s">
        <v>169</v>
      </c>
      <c r="N33" s="3" t="s">
        <v>170</v>
      </c>
      <c r="O33" s="3" t="s">
        <v>175</v>
      </c>
      <c r="P33" s="3" t="s">
        <v>176</v>
      </c>
      <c r="Q33" s="3" t="s">
        <v>222</v>
      </c>
      <c r="R33" s="3" t="s">
        <v>223</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8" priority="7" operator="lessThan">
      <formula>0</formula>
    </cfRule>
  </conditionalFormatting>
  <conditionalFormatting sqref="D7 G5">
    <cfRule type="cellIs" dxfId="17" priority="6" operator="equal">
      <formula>0</formula>
    </cfRule>
  </conditionalFormatting>
  <conditionalFormatting sqref="D5:D10 G5:G10">
    <cfRule type="expression" dxfId="16" priority="4">
      <formula>ISTEXT(D5)</formula>
    </cfRule>
  </conditionalFormatting>
  <conditionalFormatting sqref="D5:D10 G5:G10 K3">
    <cfRule type="containsBlanks" dxfId="15" priority="5">
      <formula>LEN(TRIM(D3))=0</formula>
    </cfRule>
  </conditionalFormatting>
  <conditionalFormatting sqref="D5:D10">
    <cfRule type="expression" dxfId="14" priority="3">
      <formula>ISERROR($D$12:$D$13)</formula>
    </cfRule>
  </conditionalFormatting>
  <conditionalFormatting sqref="G9:G10">
    <cfRule type="cellIs" dxfId="13" priority="2" operator="notBetween">
      <formula>180</formula>
      <formula>-90</formula>
    </cfRule>
  </conditionalFormatting>
  <conditionalFormatting sqref="G5:G10">
    <cfRule type="expression" dxfId="12"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234</v>
      </c>
      <c r="B1" s="132" t="s">
        <v>235</v>
      </c>
      <c r="C1" s="132" t="s">
        <v>337</v>
      </c>
      <c r="E1" s="132" t="s">
        <v>236</v>
      </c>
      <c r="F1" s="132" t="s">
        <v>338</v>
      </c>
      <c r="G1" s="132" t="s">
        <v>340</v>
      </c>
      <c r="H1" s="132" t="s">
        <v>339</v>
      </c>
      <c r="I1" s="132" t="s">
        <v>237</v>
      </c>
      <c r="J1" s="132" t="s">
        <v>341</v>
      </c>
      <c r="K1" s="132" t="s">
        <v>342</v>
      </c>
      <c r="L1" s="132" t="s">
        <v>343</v>
      </c>
    </row>
    <row r="2" spans="1:21" ht="14.25" customHeight="1" x14ac:dyDescent="0.25">
      <c r="A2" s="132" t="s">
        <v>117</v>
      </c>
      <c r="B2" s="132" t="s">
        <v>11</v>
      </c>
      <c r="C2" s="132">
        <v>-1</v>
      </c>
      <c r="D2" s="132" t="str">
        <f t="shared" ref="D2" si="0">A2&amp;" "&amp;B2&amp;" "&amp;C2</f>
        <v>1/2" Hex AM 9015 -1</v>
      </c>
      <c r="E2" s="132">
        <v>1</v>
      </c>
      <c r="F2" s="132">
        <v>1</v>
      </c>
      <c r="G2" s="132">
        <v>1</v>
      </c>
      <c r="H2" s="132">
        <v>1</v>
      </c>
      <c r="I2" s="132">
        <v>1</v>
      </c>
    </row>
    <row r="3" spans="1:21" ht="14.25" customHeight="1" x14ac:dyDescent="0.25">
      <c r="A3" s="132" t="s">
        <v>117</v>
      </c>
      <c r="B3" s="132" t="s">
        <v>327</v>
      </c>
      <c r="C3" s="132">
        <v>-1</v>
      </c>
      <c r="D3" s="132" t="str">
        <f t="shared" ref="D3:D11" si="1">A3&amp;" "&amp;B3&amp;" "&amp;C3</f>
        <v>1/2" Hex BB RS-550 -1</v>
      </c>
      <c r="E3" s="132">
        <v>1</v>
      </c>
      <c r="F3" s="132">
        <v>1</v>
      </c>
      <c r="G3" s="132">
        <v>1</v>
      </c>
      <c r="H3" s="132">
        <v>1</v>
      </c>
      <c r="I3" s="132">
        <v>1</v>
      </c>
      <c r="O3" s="132" t="s">
        <v>238</v>
      </c>
    </row>
    <row r="4" spans="1:21" ht="14.25" customHeight="1" x14ac:dyDescent="0.25">
      <c r="A4" s="132" t="s">
        <v>117</v>
      </c>
      <c r="B4" s="132" t="s">
        <v>328</v>
      </c>
      <c r="C4" s="132">
        <v>-1</v>
      </c>
      <c r="D4" s="132" t="str">
        <f t="shared" si="1"/>
        <v>1/2" Hex BB RS-775 -1</v>
      </c>
      <c r="E4" s="132">
        <v>1</v>
      </c>
      <c r="F4" s="132">
        <v>1</v>
      </c>
      <c r="G4" s="132">
        <v>1</v>
      </c>
      <c r="H4" s="132">
        <v>1</v>
      </c>
      <c r="I4" s="132">
        <v>1</v>
      </c>
      <c r="O4" s="132" t="s">
        <v>117</v>
      </c>
      <c r="P4" s="132">
        <v>39.99</v>
      </c>
      <c r="Q4" s="132">
        <f>Q6+13.99</f>
        <v>31.979999999999997</v>
      </c>
      <c r="R4" s="132">
        <v>0.34</v>
      </c>
      <c r="S4" s="132">
        <v>0.22</v>
      </c>
      <c r="T4" s="132" t="s">
        <v>239</v>
      </c>
      <c r="U4" s="132" t="s">
        <v>240</v>
      </c>
    </row>
    <row r="5" spans="1:21" ht="14.25" customHeight="1" x14ac:dyDescent="0.25">
      <c r="A5" s="132" t="s">
        <v>117</v>
      </c>
      <c r="B5" s="132" t="s">
        <v>8</v>
      </c>
      <c r="C5" s="132">
        <v>-1</v>
      </c>
      <c r="D5" s="132" t="str">
        <f t="shared" si="1"/>
        <v>1/2" Hex BAG Motor -1</v>
      </c>
      <c r="E5" s="132">
        <v>1</v>
      </c>
      <c r="F5" s="132">
        <v>1</v>
      </c>
      <c r="G5" s="132">
        <v>1</v>
      </c>
      <c r="H5" s="132">
        <v>1</v>
      </c>
      <c r="I5" s="132">
        <v>1</v>
      </c>
      <c r="O5" s="132" t="s">
        <v>241</v>
      </c>
      <c r="P5" s="132">
        <v>39.99</v>
      </c>
      <c r="Q5" s="132">
        <f>Q6+9.99</f>
        <v>27.979999999999997</v>
      </c>
      <c r="R5" s="132">
        <v>0.34</v>
      </c>
      <c r="S5" s="132">
        <v>0.22</v>
      </c>
      <c r="T5" s="132" t="s">
        <v>242</v>
      </c>
      <c r="U5" s="132" t="s">
        <v>243</v>
      </c>
    </row>
    <row r="6" spans="1:21" ht="14.25" customHeight="1" x14ac:dyDescent="0.25">
      <c r="A6" s="132" t="s">
        <v>117</v>
      </c>
      <c r="B6" s="132" t="s">
        <v>256</v>
      </c>
      <c r="C6" s="132">
        <v>-1</v>
      </c>
      <c r="D6" s="132" t="str">
        <f t="shared" si="1"/>
        <v>1/2" Hex 775pro -1</v>
      </c>
      <c r="E6" s="132">
        <v>1</v>
      </c>
      <c r="F6" s="132">
        <v>1</v>
      </c>
      <c r="G6" s="132">
        <v>1</v>
      </c>
      <c r="H6" s="132">
        <v>1</v>
      </c>
      <c r="I6" s="132">
        <v>1</v>
      </c>
      <c r="O6" s="132" t="s">
        <v>244</v>
      </c>
      <c r="P6" s="132">
        <v>39.99</v>
      </c>
      <c r="Q6" s="132">
        <v>17.989999999999998</v>
      </c>
      <c r="R6" s="132">
        <v>0.34</v>
      </c>
      <c r="S6" s="132">
        <v>0.22</v>
      </c>
      <c r="T6" s="132" t="s">
        <v>245</v>
      </c>
      <c r="U6" s="132" t="s">
        <v>246</v>
      </c>
    </row>
    <row r="7" spans="1:21" ht="14.25" customHeight="1" x14ac:dyDescent="0.25">
      <c r="A7" s="132" t="s">
        <v>117</v>
      </c>
      <c r="B7" s="132" t="s">
        <v>7</v>
      </c>
      <c r="C7" s="132">
        <v>-1</v>
      </c>
      <c r="D7" s="132" t="str">
        <f t="shared" si="1"/>
        <v>1/2" Hex Mini CIM -1</v>
      </c>
      <c r="E7" s="132">
        <v>1</v>
      </c>
      <c r="F7" s="132">
        <v>1</v>
      </c>
      <c r="G7" s="132">
        <v>1</v>
      </c>
      <c r="H7" s="132">
        <v>1</v>
      </c>
      <c r="I7" s="132">
        <v>0</v>
      </c>
      <c r="O7" s="132" t="s">
        <v>247</v>
      </c>
      <c r="P7" s="132">
        <v>39.99</v>
      </c>
      <c r="Q7" s="132">
        <f>Q6+9.99</f>
        <v>27.979999999999997</v>
      </c>
      <c r="R7" s="132">
        <v>0.34</v>
      </c>
      <c r="S7" s="132">
        <v>0.22</v>
      </c>
      <c r="T7" s="132" t="s">
        <v>248</v>
      </c>
      <c r="U7" s="132" t="s">
        <v>249</v>
      </c>
    </row>
    <row r="8" spans="1:21" ht="14.25" customHeight="1" x14ac:dyDescent="0.25">
      <c r="A8" s="132" t="s">
        <v>117</v>
      </c>
      <c r="B8" s="132" t="s">
        <v>6</v>
      </c>
      <c r="C8" s="132">
        <v>-1</v>
      </c>
      <c r="D8" s="132" t="str">
        <f t="shared" si="1"/>
        <v>1/2" Hex CIM -1</v>
      </c>
      <c r="E8" s="132">
        <v>1</v>
      </c>
      <c r="F8" s="132">
        <v>1</v>
      </c>
      <c r="G8" s="132">
        <v>1</v>
      </c>
      <c r="H8" s="132">
        <v>1</v>
      </c>
      <c r="I8" s="132">
        <v>0</v>
      </c>
      <c r="O8" s="132" t="s">
        <v>250</v>
      </c>
      <c r="P8" s="132">
        <v>44.99</v>
      </c>
      <c r="Q8" s="132">
        <v>24.99</v>
      </c>
      <c r="R8" s="132">
        <v>0.34</v>
      </c>
      <c r="S8" s="132">
        <v>0.22</v>
      </c>
      <c r="T8" s="132" t="s">
        <v>251</v>
      </c>
      <c r="U8" s="132" t="s">
        <v>252</v>
      </c>
    </row>
    <row r="9" spans="1:21" ht="14.25" customHeight="1" x14ac:dyDescent="0.25">
      <c r="A9" s="132" t="s">
        <v>117</v>
      </c>
      <c r="B9" s="132" t="s">
        <v>9</v>
      </c>
      <c r="C9" s="132">
        <v>-1</v>
      </c>
      <c r="D9" s="132" t="str">
        <f t="shared" si="1"/>
        <v>1/2" Hex NEO -1</v>
      </c>
      <c r="E9" s="132">
        <v>1</v>
      </c>
      <c r="F9" s="132">
        <v>1</v>
      </c>
      <c r="G9" s="132">
        <v>1</v>
      </c>
      <c r="H9" s="132">
        <v>1</v>
      </c>
      <c r="I9" s="132">
        <v>0</v>
      </c>
    </row>
    <row r="10" spans="1:21" ht="14.25" customHeight="1" x14ac:dyDescent="0.25">
      <c r="A10" s="132" t="s">
        <v>117</v>
      </c>
      <c r="B10" s="132" t="s">
        <v>334</v>
      </c>
      <c r="C10" s="132">
        <v>-1</v>
      </c>
      <c r="D10" s="132" t="str">
        <f t="shared" si="1"/>
        <v>1/2" Hex Falcon 500 -1</v>
      </c>
      <c r="E10" s="132">
        <v>1</v>
      </c>
      <c r="F10" s="132">
        <v>1</v>
      </c>
      <c r="G10" s="132">
        <v>1</v>
      </c>
      <c r="H10" s="132">
        <v>1</v>
      </c>
      <c r="I10" s="132">
        <v>0</v>
      </c>
    </row>
    <row r="11" spans="1:21" ht="14.25" customHeight="1" x14ac:dyDescent="0.25">
      <c r="A11" s="132" t="s">
        <v>241</v>
      </c>
      <c r="B11" s="132" t="s">
        <v>11</v>
      </c>
      <c r="C11" s="132">
        <v>-1</v>
      </c>
      <c r="D11" s="132" t="str">
        <f t="shared" si="1"/>
        <v>1/2" Round AM 9015 -1</v>
      </c>
      <c r="E11" s="132">
        <v>1</v>
      </c>
      <c r="F11" s="132">
        <v>1</v>
      </c>
      <c r="G11" s="132">
        <v>1</v>
      </c>
      <c r="H11" s="132">
        <v>1</v>
      </c>
      <c r="I11" s="132">
        <v>1</v>
      </c>
      <c r="O11" s="132" t="s">
        <v>253</v>
      </c>
    </row>
    <row r="12" spans="1:21" ht="14.25" customHeight="1" x14ac:dyDescent="0.25">
      <c r="A12" s="132" t="s">
        <v>241</v>
      </c>
      <c r="B12" s="132" t="s">
        <v>327</v>
      </c>
      <c r="C12" s="132">
        <v>-1</v>
      </c>
      <c r="D12" s="132" t="str">
        <f t="shared" ref="D12:D20" si="2">A12&amp;" "&amp;B12&amp;" "&amp;C12</f>
        <v>1/2" Round BB RS-550 -1</v>
      </c>
      <c r="E12" s="132">
        <v>1</v>
      </c>
      <c r="F12" s="132">
        <v>1</v>
      </c>
      <c r="G12" s="132">
        <v>1</v>
      </c>
      <c r="H12" s="132">
        <v>1</v>
      </c>
      <c r="I12" s="132">
        <v>1</v>
      </c>
      <c r="O12" s="132" t="s">
        <v>11</v>
      </c>
      <c r="P12" s="132">
        <v>0</v>
      </c>
      <c r="Q12" s="132">
        <v>12.98</v>
      </c>
      <c r="R12" s="132">
        <v>0</v>
      </c>
      <c r="S12" s="132">
        <v>0</v>
      </c>
      <c r="U12" s="132" t="s">
        <v>254</v>
      </c>
    </row>
    <row r="13" spans="1:21" ht="14.25" customHeight="1" x14ac:dyDescent="0.25">
      <c r="A13" s="132" t="s">
        <v>241</v>
      </c>
      <c r="B13" s="132" t="s">
        <v>328</v>
      </c>
      <c r="C13" s="132">
        <v>-1</v>
      </c>
      <c r="D13" s="132" t="str">
        <f t="shared" si="2"/>
        <v>1/2" Round BB RS-775 -1</v>
      </c>
      <c r="E13" s="132">
        <v>1</v>
      </c>
      <c r="F13" s="132">
        <v>1</v>
      </c>
      <c r="G13" s="132">
        <v>1</v>
      </c>
      <c r="H13" s="132">
        <v>1</v>
      </c>
      <c r="I13" s="132">
        <v>1</v>
      </c>
      <c r="O13" s="132" t="s">
        <v>331</v>
      </c>
      <c r="P13" s="132">
        <v>0</v>
      </c>
      <c r="Q13" s="132">
        <v>0</v>
      </c>
      <c r="R13" s="132">
        <v>0</v>
      </c>
      <c r="S13" s="132">
        <v>0</v>
      </c>
    </row>
    <row r="14" spans="1:21" ht="14.25" customHeight="1" x14ac:dyDescent="0.25">
      <c r="A14" s="132" t="s">
        <v>241</v>
      </c>
      <c r="B14" s="132" t="s">
        <v>8</v>
      </c>
      <c r="C14" s="132">
        <v>-1</v>
      </c>
      <c r="D14" s="132" t="str">
        <f t="shared" si="2"/>
        <v>1/2" Round BAG Motor -1</v>
      </c>
      <c r="E14" s="132">
        <v>1</v>
      </c>
      <c r="F14" s="132">
        <v>1</v>
      </c>
      <c r="G14" s="132">
        <v>1</v>
      </c>
      <c r="H14" s="132">
        <v>1</v>
      </c>
      <c r="I14" s="132">
        <v>1</v>
      </c>
      <c r="O14" s="132" t="s">
        <v>327</v>
      </c>
      <c r="P14" s="132">
        <v>0</v>
      </c>
      <c r="Q14" s="132">
        <v>0</v>
      </c>
      <c r="R14" s="132">
        <v>0</v>
      </c>
      <c r="S14" s="132">
        <v>0</v>
      </c>
    </row>
    <row r="15" spans="1:21" ht="14.25" customHeight="1" x14ac:dyDescent="0.25">
      <c r="A15" s="132" t="s">
        <v>241</v>
      </c>
      <c r="B15" s="132" t="s">
        <v>256</v>
      </c>
      <c r="C15" s="132">
        <v>-1</v>
      </c>
      <c r="D15" s="132" t="str">
        <f t="shared" si="2"/>
        <v>1/2" Round 775pro -1</v>
      </c>
      <c r="E15" s="132">
        <v>1</v>
      </c>
      <c r="F15" s="132">
        <v>1</v>
      </c>
      <c r="G15" s="132">
        <v>1</v>
      </c>
      <c r="H15" s="132">
        <v>1</v>
      </c>
      <c r="I15" s="132">
        <v>1</v>
      </c>
      <c r="O15" s="132" t="s">
        <v>328</v>
      </c>
      <c r="P15" s="132">
        <v>0</v>
      </c>
      <c r="Q15" s="132">
        <v>12.98</v>
      </c>
      <c r="R15" s="132">
        <v>0</v>
      </c>
      <c r="S15" s="132">
        <v>0</v>
      </c>
      <c r="U15" s="132" t="s">
        <v>254</v>
      </c>
    </row>
    <row r="16" spans="1:21" ht="14.25" customHeight="1" x14ac:dyDescent="0.25">
      <c r="A16" s="132" t="s">
        <v>241</v>
      </c>
      <c r="B16" s="132" t="s">
        <v>7</v>
      </c>
      <c r="C16" s="132">
        <v>-1</v>
      </c>
      <c r="D16" s="132" t="str">
        <f t="shared" si="2"/>
        <v>1/2" Round Mini CIM -1</v>
      </c>
      <c r="E16" s="132">
        <v>1</v>
      </c>
      <c r="F16" s="132">
        <v>1</v>
      </c>
      <c r="G16" s="132">
        <v>1</v>
      </c>
      <c r="H16" s="132">
        <v>1</v>
      </c>
      <c r="I16" s="132">
        <v>0</v>
      </c>
      <c r="O16" s="132" t="s">
        <v>8</v>
      </c>
      <c r="P16" s="132">
        <v>0</v>
      </c>
      <c r="Q16" s="132">
        <v>12.98</v>
      </c>
      <c r="R16" s="132">
        <v>0</v>
      </c>
      <c r="S16" s="132">
        <v>0</v>
      </c>
      <c r="U16" s="132" t="s">
        <v>254</v>
      </c>
    </row>
    <row r="17" spans="1:21" ht="14.25" customHeight="1" x14ac:dyDescent="0.25">
      <c r="A17" s="132" t="s">
        <v>241</v>
      </c>
      <c r="B17" s="132" t="s">
        <v>6</v>
      </c>
      <c r="C17" s="132">
        <v>-1</v>
      </c>
      <c r="D17" s="132" t="str">
        <f t="shared" si="2"/>
        <v>1/2" Round CIM -1</v>
      </c>
      <c r="E17" s="132">
        <v>1</v>
      </c>
      <c r="F17" s="132">
        <v>1</v>
      </c>
      <c r="G17" s="132">
        <v>1</v>
      </c>
      <c r="H17" s="132">
        <v>1</v>
      </c>
      <c r="I17" s="132">
        <v>0</v>
      </c>
      <c r="O17" s="132" t="s">
        <v>7</v>
      </c>
      <c r="P17" s="132">
        <v>4.99</v>
      </c>
      <c r="Q17" s="132">
        <v>11.98</v>
      </c>
      <c r="R17" s="132">
        <v>0.7</v>
      </c>
      <c r="S17" s="132">
        <v>0.7</v>
      </c>
      <c r="T17" s="132" t="s">
        <v>255</v>
      </c>
      <c r="U17" s="132" t="s">
        <v>255</v>
      </c>
    </row>
    <row r="18" spans="1:21" ht="14.25" customHeight="1" x14ac:dyDescent="0.25">
      <c r="A18" s="132" t="s">
        <v>241</v>
      </c>
      <c r="B18" s="132" t="s">
        <v>9</v>
      </c>
      <c r="C18" s="132">
        <v>-1</v>
      </c>
      <c r="D18" s="132" t="str">
        <f t="shared" si="2"/>
        <v>1/2" Round NEO -1</v>
      </c>
      <c r="E18" s="132">
        <v>1</v>
      </c>
      <c r="F18" s="132">
        <v>1</v>
      </c>
      <c r="G18" s="132">
        <v>1</v>
      </c>
      <c r="H18" s="132">
        <v>1</v>
      </c>
      <c r="I18" s="132">
        <v>0</v>
      </c>
      <c r="O18" s="132" t="s">
        <v>6</v>
      </c>
      <c r="P18" s="132">
        <v>4.99</v>
      </c>
      <c r="Q18" s="132">
        <v>11.98</v>
      </c>
      <c r="R18" s="132">
        <v>0.7</v>
      </c>
      <c r="S18" s="132">
        <v>0.7</v>
      </c>
      <c r="T18" s="132" t="s">
        <v>255</v>
      </c>
      <c r="U18" s="132" t="s">
        <v>255</v>
      </c>
    </row>
    <row r="19" spans="1:21" ht="14.25" customHeight="1" x14ac:dyDescent="0.25">
      <c r="A19" s="132" t="s">
        <v>241</v>
      </c>
      <c r="B19" s="132" t="s">
        <v>334</v>
      </c>
      <c r="C19" s="132">
        <v>-1</v>
      </c>
      <c r="D19" s="132" t="str">
        <f t="shared" si="2"/>
        <v>1/2" Round Falcon 500 -1</v>
      </c>
      <c r="E19" s="132">
        <v>1</v>
      </c>
      <c r="F19" s="132">
        <v>1</v>
      </c>
      <c r="G19" s="132">
        <v>1</v>
      </c>
      <c r="H19" s="132">
        <v>1</v>
      </c>
      <c r="I19" s="132">
        <v>0</v>
      </c>
      <c r="O19" s="132" t="s">
        <v>256</v>
      </c>
      <c r="P19" s="132">
        <v>0</v>
      </c>
      <c r="Q19" s="132">
        <v>12.98</v>
      </c>
      <c r="R19" s="132">
        <v>0</v>
      </c>
      <c r="S19" s="132">
        <v>0</v>
      </c>
      <c r="U19" s="132" t="s">
        <v>254</v>
      </c>
    </row>
    <row r="20" spans="1:21" ht="14.25" customHeight="1" x14ac:dyDescent="0.25">
      <c r="A20" s="132" t="s">
        <v>244</v>
      </c>
      <c r="B20" s="132" t="s">
        <v>11</v>
      </c>
      <c r="C20" s="132">
        <v>-1</v>
      </c>
      <c r="D20" s="132" t="str">
        <f t="shared" si="2"/>
        <v>3/8" Hex AM 9015 -1</v>
      </c>
      <c r="E20" s="132">
        <v>1</v>
      </c>
      <c r="F20" s="132">
        <v>1</v>
      </c>
      <c r="G20" s="132">
        <v>1</v>
      </c>
      <c r="H20" s="132">
        <v>1</v>
      </c>
      <c r="I20" s="132">
        <v>1</v>
      </c>
      <c r="O20" s="132" t="s">
        <v>9</v>
      </c>
      <c r="P20" s="132">
        <v>4.99</v>
      </c>
      <c r="Q20" s="132">
        <v>11.98</v>
      </c>
      <c r="R20" s="132">
        <v>0.7</v>
      </c>
      <c r="S20" s="132">
        <v>0.7</v>
      </c>
      <c r="T20" s="132" t="s">
        <v>255</v>
      </c>
      <c r="U20" s="132" t="s">
        <v>255</v>
      </c>
    </row>
    <row r="21" spans="1:21" ht="14.25" customHeight="1" x14ac:dyDescent="0.25">
      <c r="A21" s="132" t="s">
        <v>244</v>
      </c>
      <c r="B21" s="132" t="s">
        <v>327</v>
      </c>
      <c r="C21" s="132">
        <v>-1</v>
      </c>
      <c r="D21" s="132" t="str">
        <f t="shared" ref="D21:D46" si="3">A21&amp;" "&amp;B21&amp;" "&amp;C21</f>
        <v>3/8" Hex BB RS-550 -1</v>
      </c>
      <c r="E21" s="132">
        <v>1</v>
      </c>
      <c r="F21" s="132">
        <v>1</v>
      </c>
      <c r="G21" s="132">
        <v>1</v>
      </c>
      <c r="H21" s="132">
        <v>1</v>
      </c>
      <c r="I21" s="132">
        <v>1</v>
      </c>
      <c r="O21" s="132" t="s">
        <v>334</v>
      </c>
      <c r="P21" s="132">
        <v>4.99</v>
      </c>
      <c r="Q21" s="132">
        <v>11.98</v>
      </c>
      <c r="R21" s="132">
        <v>0.7</v>
      </c>
      <c r="S21" s="132">
        <v>0.7</v>
      </c>
      <c r="T21" s="132" t="s">
        <v>255</v>
      </c>
      <c r="U21" s="132" t="s">
        <v>255</v>
      </c>
    </row>
    <row r="22" spans="1:21" ht="14.25" customHeight="1" x14ac:dyDescent="0.25">
      <c r="A22" s="132" t="s">
        <v>244</v>
      </c>
      <c r="B22" s="132" t="s">
        <v>328</v>
      </c>
      <c r="C22" s="132">
        <v>-1</v>
      </c>
      <c r="D22" s="132" t="str">
        <f t="shared" si="3"/>
        <v>3/8" Hex BB RS-775 -1</v>
      </c>
      <c r="E22" s="132">
        <v>1</v>
      </c>
      <c r="F22" s="132">
        <v>1</v>
      </c>
      <c r="G22" s="132">
        <v>1</v>
      </c>
      <c r="H22" s="132">
        <v>1</v>
      </c>
      <c r="I22" s="132">
        <v>1</v>
      </c>
    </row>
    <row r="23" spans="1:21" ht="14.25" customHeight="1" x14ac:dyDescent="0.25">
      <c r="A23" s="132" t="s">
        <v>244</v>
      </c>
      <c r="B23" s="132" t="s">
        <v>8</v>
      </c>
      <c r="C23" s="132">
        <v>-1</v>
      </c>
      <c r="D23" s="132" t="str">
        <f t="shared" si="3"/>
        <v>3/8" Hex BAG Motor -1</v>
      </c>
      <c r="E23" s="132">
        <v>1</v>
      </c>
      <c r="F23" s="132">
        <v>1</v>
      </c>
      <c r="G23" s="132">
        <v>1</v>
      </c>
      <c r="H23" s="132">
        <v>1</v>
      </c>
      <c r="I23" s="132">
        <v>1</v>
      </c>
    </row>
    <row r="24" spans="1:21" ht="14.25" customHeight="1" x14ac:dyDescent="0.25">
      <c r="A24" s="132" t="s">
        <v>244</v>
      </c>
      <c r="B24" s="132" t="s">
        <v>256</v>
      </c>
      <c r="C24" s="132">
        <v>-1</v>
      </c>
      <c r="D24" s="132" t="str">
        <f t="shared" si="3"/>
        <v>3/8" Hex 775pro -1</v>
      </c>
      <c r="E24" s="132">
        <v>1</v>
      </c>
      <c r="F24" s="132">
        <v>1</v>
      </c>
      <c r="G24" s="132">
        <v>1</v>
      </c>
      <c r="H24" s="132">
        <v>1</v>
      </c>
      <c r="I24" s="132">
        <v>1</v>
      </c>
      <c r="O24" s="132" t="s">
        <v>257</v>
      </c>
    </row>
    <row r="25" spans="1:21" ht="14.25" customHeight="1" x14ac:dyDescent="0.25">
      <c r="A25" s="132" t="s">
        <v>244</v>
      </c>
      <c r="B25" s="132" t="s">
        <v>7</v>
      </c>
      <c r="C25" s="132">
        <v>-1</v>
      </c>
      <c r="D25" s="132" t="str">
        <f t="shared" si="3"/>
        <v>3/8" Hex Mini CIM -1</v>
      </c>
      <c r="E25" s="132">
        <v>1</v>
      </c>
      <c r="F25" s="132">
        <v>1</v>
      </c>
      <c r="G25" s="132">
        <v>1</v>
      </c>
      <c r="H25" s="132">
        <v>1</v>
      </c>
      <c r="I25" s="132">
        <v>0</v>
      </c>
      <c r="O25" s="132" t="s">
        <v>258</v>
      </c>
      <c r="P25" s="132">
        <v>0</v>
      </c>
      <c r="Q25" s="132">
        <v>0</v>
      </c>
      <c r="R25" s="132">
        <v>0</v>
      </c>
      <c r="S25" s="132">
        <v>0</v>
      </c>
    </row>
    <row r="26" spans="1:21" ht="14.25" customHeight="1" x14ac:dyDescent="0.25">
      <c r="A26" s="132" t="s">
        <v>244</v>
      </c>
      <c r="B26" s="132" t="s">
        <v>6</v>
      </c>
      <c r="C26" s="132">
        <v>-1</v>
      </c>
      <c r="D26" s="132" t="str">
        <f t="shared" si="3"/>
        <v>3/8" Hex CIM -1</v>
      </c>
      <c r="E26" s="132">
        <v>1</v>
      </c>
      <c r="F26" s="132">
        <v>1</v>
      </c>
      <c r="G26" s="132">
        <v>1</v>
      </c>
      <c r="H26" s="132">
        <v>1</v>
      </c>
      <c r="I26" s="132">
        <v>0</v>
      </c>
      <c r="O26" s="132" t="s">
        <v>259</v>
      </c>
      <c r="P26" s="132">
        <v>24.98</v>
      </c>
      <c r="Q26" s="132">
        <v>16.98</v>
      </c>
      <c r="R26" s="132">
        <v>0.2</v>
      </c>
      <c r="S26" s="132">
        <v>0.18</v>
      </c>
      <c r="T26" s="132" t="s">
        <v>260</v>
      </c>
      <c r="U26" s="132" t="s">
        <v>261</v>
      </c>
    </row>
    <row r="27" spans="1:21" ht="14.25" customHeight="1" x14ac:dyDescent="0.25">
      <c r="A27" s="132" t="s">
        <v>244</v>
      </c>
      <c r="B27" s="132" t="s">
        <v>9</v>
      </c>
      <c r="C27" s="132">
        <v>-1</v>
      </c>
      <c r="D27" s="132" t="str">
        <f t="shared" si="3"/>
        <v>3/8" Hex NEO -1</v>
      </c>
      <c r="E27" s="132">
        <v>1</v>
      </c>
      <c r="F27" s="132">
        <v>1</v>
      </c>
      <c r="G27" s="132">
        <v>1</v>
      </c>
      <c r="H27" s="132">
        <v>1</v>
      </c>
      <c r="I27" s="132">
        <v>0</v>
      </c>
      <c r="O27" s="132" t="s">
        <v>262</v>
      </c>
      <c r="P27" s="132">
        <v>24.98</v>
      </c>
      <c r="Q27" s="132">
        <v>16.98</v>
      </c>
      <c r="R27" s="132">
        <v>0.2</v>
      </c>
      <c r="S27" s="132">
        <v>0.18</v>
      </c>
      <c r="T27" s="132" t="s">
        <v>263</v>
      </c>
      <c r="U27" s="132" t="s">
        <v>264</v>
      </c>
    </row>
    <row r="28" spans="1:21" ht="14.25" customHeight="1" x14ac:dyDescent="0.25">
      <c r="A28" s="132" t="s">
        <v>244</v>
      </c>
      <c r="B28" s="132" t="s">
        <v>334</v>
      </c>
      <c r="C28" s="132">
        <v>-1</v>
      </c>
      <c r="D28" s="132" t="str">
        <f t="shared" si="3"/>
        <v>3/8" Hex Falcon 500 -1</v>
      </c>
      <c r="E28" s="132">
        <v>1</v>
      </c>
      <c r="F28" s="132">
        <v>1</v>
      </c>
      <c r="G28" s="132">
        <v>1</v>
      </c>
      <c r="H28" s="132">
        <v>1</v>
      </c>
      <c r="I28" s="132">
        <v>0</v>
      </c>
      <c r="O28" s="132" t="s">
        <v>265</v>
      </c>
      <c r="P28" s="132">
        <v>24.98</v>
      </c>
      <c r="Q28" s="132">
        <v>16.98</v>
      </c>
      <c r="R28" s="132">
        <v>0.2</v>
      </c>
      <c r="S28" s="132">
        <v>0.18</v>
      </c>
      <c r="T28" s="132" t="s">
        <v>266</v>
      </c>
      <c r="U28" s="132" t="s">
        <v>267</v>
      </c>
    </row>
    <row r="29" spans="1:21" ht="14.25" customHeight="1" x14ac:dyDescent="0.25">
      <c r="A29" s="132" t="s">
        <v>247</v>
      </c>
      <c r="B29" s="132" t="s">
        <v>11</v>
      </c>
      <c r="C29" s="132">
        <v>-1</v>
      </c>
      <c r="D29" s="132" t="str">
        <f t="shared" si="3"/>
        <v>CIM Motor AM 9015 -1</v>
      </c>
      <c r="E29" s="132">
        <v>1</v>
      </c>
      <c r="F29" s="132">
        <v>1</v>
      </c>
      <c r="G29" s="132">
        <v>1</v>
      </c>
      <c r="H29" s="132">
        <v>1</v>
      </c>
      <c r="I29" s="132">
        <v>1</v>
      </c>
      <c r="O29" s="132" t="s">
        <v>268</v>
      </c>
      <c r="P29" s="132">
        <v>24.98</v>
      </c>
      <c r="Q29" s="132">
        <v>16.98</v>
      </c>
      <c r="R29" s="132">
        <v>0.2</v>
      </c>
      <c r="S29" s="132">
        <v>0.18</v>
      </c>
      <c r="T29" s="132" t="s">
        <v>269</v>
      </c>
      <c r="U29" s="132" t="s">
        <v>270</v>
      </c>
    </row>
    <row r="30" spans="1:21" ht="14.25" customHeight="1" x14ac:dyDescent="0.25">
      <c r="A30" s="132" t="s">
        <v>247</v>
      </c>
      <c r="B30" s="132" t="s">
        <v>327</v>
      </c>
      <c r="C30" s="132">
        <v>-1</v>
      </c>
      <c r="D30" s="132" t="str">
        <f t="shared" si="3"/>
        <v>CIM Motor BB RS-550 -1</v>
      </c>
      <c r="E30" s="132">
        <v>1</v>
      </c>
      <c r="F30" s="132">
        <v>1</v>
      </c>
      <c r="G30" s="132">
        <v>1</v>
      </c>
      <c r="H30" s="132">
        <v>1</v>
      </c>
      <c r="I30" s="132">
        <v>1</v>
      </c>
      <c r="O30" s="132" t="s">
        <v>271</v>
      </c>
      <c r="P30" s="132">
        <v>24.98</v>
      </c>
      <c r="Q30" s="132">
        <v>16.98</v>
      </c>
      <c r="R30" s="132">
        <v>0.2</v>
      </c>
      <c r="S30" s="132">
        <v>0.18</v>
      </c>
      <c r="T30" s="132" t="s">
        <v>272</v>
      </c>
      <c r="U30" s="132" t="s">
        <v>273</v>
      </c>
    </row>
    <row r="31" spans="1:21" ht="14.25" customHeight="1" x14ac:dyDescent="0.25">
      <c r="A31" s="132" t="s">
        <v>247</v>
      </c>
      <c r="B31" s="132" t="s">
        <v>328</v>
      </c>
      <c r="C31" s="132">
        <v>-1</v>
      </c>
      <c r="D31" s="132" t="str">
        <f t="shared" si="3"/>
        <v>CIM Motor BB RS-775 -1</v>
      </c>
      <c r="E31" s="132">
        <v>1</v>
      </c>
      <c r="F31" s="132">
        <v>1</v>
      </c>
      <c r="G31" s="132">
        <v>1</v>
      </c>
      <c r="H31" s="132">
        <v>1</v>
      </c>
      <c r="I31" s="132">
        <v>1</v>
      </c>
      <c r="O31" s="132" t="s">
        <v>274</v>
      </c>
      <c r="P31" s="132">
        <v>24.98</v>
      </c>
      <c r="Q31" s="132">
        <v>16.98</v>
      </c>
      <c r="R31" s="132">
        <v>0.2</v>
      </c>
      <c r="S31" s="132">
        <v>0.18</v>
      </c>
      <c r="T31" s="132" t="s">
        <v>275</v>
      </c>
      <c r="U31" s="132" t="s">
        <v>276</v>
      </c>
    </row>
    <row r="32" spans="1:21" ht="14.25" customHeight="1" x14ac:dyDescent="0.25">
      <c r="A32" s="132" t="s">
        <v>247</v>
      </c>
      <c r="B32" s="132" t="s">
        <v>8</v>
      </c>
      <c r="C32" s="132">
        <v>-1</v>
      </c>
      <c r="D32" s="132" t="str">
        <f t="shared" si="3"/>
        <v>CIM Motor BAG Motor -1</v>
      </c>
      <c r="E32" s="132">
        <v>1</v>
      </c>
      <c r="F32" s="132">
        <v>1</v>
      </c>
      <c r="G32" s="132">
        <v>1</v>
      </c>
      <c r="H32" s="132">
        <v>1</v>
      </c>
      <c r="I32" s="132">
        <v>1</v>
      </c>
    </row>
    <row r="33" spans="1:22" ht="14.25" customHeight="1" x14ac:dyDescent="0.25">
      <c r="A33" s="132" t="s">
        <v>247</v>
      </c>
      <c r="B33" s="132" t="s">
        <v>256</v>
      </c>
      <c r="C33" s="132">
        <v>-1</v>
      </c>
      <c r="D33" s="132" t="str">
        <f t="shared" si="3"/>
        <v>CIM Motor 775pro -1</v>
      </c>
      <c r="E33" s="132">
        <v>1</v>
      </c>
      <c r="F33" s="132">
        <v>1</v>
      </c>
      <c r="G33" s="132">
        <v>1</v>
      </c>
      <c r="H33" s="132">
        <v>1</v>
      </c>
      <c r="I33" s="132">
        <v>1</v>
      </c>
    </row>
    <row r="34" spans="1:22" ht="14.25" customHeight="1" x14ac:dyDescent="0.25">
      <c r="A34" s="132" t="s">
        <v>247</v>
      </c>
      <c r="B34" s="132" t="s">
        <v>7</v>
      </c>
      <c r="C34" s="132">
        <v>-1</v>
      </c>
      <c r="D34" s="132" t="str">
        <f t="shared" si="3"/>
        <v>CIM Motor Mini CIM -1</v>
      </c>
      <c r="E34" s="132">
        <v>1</v>
      </c>
      <c r="F34" s="132">
        <v>1</v>
      </c>
      <c r="G34" s="132">
        <v>1</v>
      </c>
      <c r="H34" s="132">
        <v>1</v>
      </c>
      <c r="I34" s="132">
        <v>0</v>
      </c>
      <c r="O34" s="132" t="s">
        <v>277</v>
      </c>
    </row>
    <row r="35" spans="1:22" ht="14.25" customHeight="1" x14ac:dyDescent="0.25">
      <c r="A35" s="132" t="s">
        <v>247</v>
      </c>
      <c r="B35" s="132" t="s">
        <v>6</v>
      </c>
      <c r="C35" s="132">
        <v>-1</v>
      </c>
      <c r="D35" s="132" t="str">
        <f t="shared" si="3"/>
        <v>CIM Motor CIM -1</v>
      </c>
      <c r="E35" s="132">
        <v>1</v>
      </c>
      <c r="F35" s="132">
        <v>1</v>
      </c>
      <c r="G35" s="132">
        <v>1</v>
      </c>
      <c r="H35" s="132">
        <v>1</v>
      </c>
      <c r="I35" s="132">
        <v>0</v>
      </c>
      <c r="O35" s="132" t="s">
        <v>258</v>
      </c>
      <c r="P35" s="132">
        <v>0</v>
      </c>
      <c r="R35" s="132">
        <v>0</v>
      </c>
    </row>
    <row r="36" spans="1:22" ht="14.25" customHeight="1" x14ac:dyDescent="0.25">
      <c r="A36" s="132" t="s">
        <v>247</v>
      </c>
      <c r="B36" s="132" t="s">
        <v>9</v>
      </c>
      <c r="C36" s="132">
        <v>-1</v>
      </c>
      <c r="D36" s="132" t="str">
        <f t="shared" si="3"/>
        <v>CIM Motor NEO -1</v>
      </c>
      <c r="E36" s="132">
        <v>1</v>
      </c>
      <c r="F36" s="132">
        <v>1</v>
      </c>
      <c r="G36" s="132">
        <v>1</v>
      </c>
      <c r="H36" s="132">
        <v>1</v>
      </c>
      <c r="I36" s="132">
        <v>0</v>
      </c>
      <c r="O36" s="132" t="s">
        <v>278</v>
      </c>
      <c r="P36" s="132">
        <v>41.97</v>
      </c>
      <c r="R36" s="132">
        <v>0.31</v>
      </c>
      <c r="T36" s="132" t="s">
        <v>279</v>
      </c>
      <c r="U36" s="132" t="s">
        <v>279</v>
      </c>
      <c r="V36" s="132" t="s">
        <v>279</v>
      </c>
    </row>
    <row r="37" spans="1:22" ht="14.25" customHeight="1" x14ac:dyDescent="0.25">
      <c r="A37" s="132" t="s">
        <v>247</v>
      </c>
      <c r="B37" s="132" t="s">
        <v>334</v>
      </c>
      <c r="C37" s="132">
        <v>-1</v>
      </c>
      <c r="D37" s="132" t="str">
        <f t="shared" si="3"/>
        <v>CIM Motor Falcon 500 -1</v>
      </c>
      <c r="E37" s="132">
        <v>1</v>
      </c>
      <c r="F37" s="132">
        <v>1</v>
      </c>
      <c r="G37" s="132">
        <v>1</v>
      </c>
      <c r="H37" s="132">
        <v>1</v>
      </c>
      <c r="I37" s="132">
        <v>0</v>
      </c>
      <c r="O37" s="132" t="s">
        <v>280</v>
      </c>
      <c r="P37" s="132">
        <v>42.97</v>
      </c>
      <c r="R37" s="132">
        <v>0.31</v>
      </c>
      <c r="T37" s="132" t="s">
        <v>281</v>
      </c>
      <c r="U37" s="132" t="s">
        <v>282</v>
      </c>
      <c r="V37" s="132" t="s">
        <v>283</v>
      </c>
    </row>
    <row r="38" spans="1:22" ht="14.25" customHeight="1" x14ac:dyDescent="0.25">
      <c r="A38" s="132" t="s">
        <v>250</v>
      </c>
      <c r="B38" s="132" t="s">
        <v>11</v>
      </c>
      <c r="C38" s="132">
        <v>-1</v>
      </c>
      <c r="D38" s="132" t="str">
        <f t="shared" si="3"/>
        <v>Female AM 9015 -1</v>
      </c>
      <c r="E38" s="132">
        <v>1</v>
      </c>
      <c r="F38" s="132">
        <v>1</v>
      </c>
      <c r="G38" s="132">
        <v>1</v>
      </c>
      <c r="H38" s="132">
        <v>1</v>
      </c>
      <c r="I38" s="132">
        <v>1</v>
      </c>
      <c r="O38" s="132" t="s">
        <v>284</v>
      </c>
      <c r="P38" s="132">
        <v>42.97</v>
      </c>
      <c r="R38" s="132">
        <v>0.31</v>
      </c>
      <c r="T38" s="132" t="s">
        <v>285</v>
      </c>
      <c r="U38" s="132" t="s">
        <v>286</v>
      </c>
      <c r="V38" s="132" t="s">
        <v>287</v>
      </c>
    </row>
    <row r="39" spans="1:22" ht="14.25" customHeight="1" x14ac:dyDescent="0.25">
      <c r="A39" s="132" t="s">
        <v>250</v>
      </c>
      <c r="B39" s="132" t="s">
        <v>327</v>
      </c>
      <c r="C39" s="132">
        <v>-1</v>
      </c>
      <c r="D39" s="132" t="str">
        <f t="shared" si="3"/>
        <v>Female BB RS-550 -1</v>
      </c>
      <c r="E39" s="132">
        <v>1</v>
      </c>
      <c r="F39" s="132">
        <v>1</v>
      </c>
      <c r="G39" s="132">
        <v>1</v>
      </c>
      <c r="H39" s="132">
        <v>1</v>
      </c>
      <c r="I39" s="132">
        <v>1</v>
      </c>
      <c r="O39" s="132" t="s">
        <v>288</v>
      </c>
      <c r="P39" s="132">
        <v>56.97</v>
      </c>
      <c r="R39" s="132">
        <v>0.34</v>
      </c>
      <c r="T39" s="132" t="s">
        <v>289</v>
      </c>
      <c r="U39" s="132" t="s">
        <v>289</v>
      </c>
      <c r="V39" s="132" t="s">
        <v>289</v>
      </c>
    </row>
    <row r="40" spans="1:22" ht="14.25" customHeight="1" x14ac:dyDescent="0.25">
      <c r="A40" s="132" t="s">
        <v>250</v>
      </c>
      <c r="B40" s="132" t="s">
        <v>328</v>
      </c>
      <c r="C40" s="132">
        <v>-1</v>
      </c>
      <c r="D40" s="132" t="str">
        <f t="shared" si="3"/>
        <v>Female BB RS-775 -1</v>
      </c>
      <c r="E40" s="132">
        <v>1</v>
      </c>
      <c r="F40" s="132">
        <v>1</v>
      </c>
      <c r="G40" s="132">
        <v>1</v>
      </c>
      <c r="H40" s="132">
        <v>1</v>
      </c>
      <c r="I40" s="132">
        <v>1</v>
      </c>
      <c r="O40" s="132" t="s">
        <v>290</v>
      </c>
      <c r="P40" s="132">
        <v>57.97</v>
      </c>
      <c r="R40" s="132">
        <v>0.34</v>
      </c>
      <c r="T40" s="132" t="s">
        <v>291</v>
      </c>
      <c r="U40" s="132" t="s">
        <v>292</v>
      </c>
      <c r="V40" s="132" t="s">
        <v>293</v>
      </c>
    </row>
    <row r="41" spans="1:22" ht="14.25" customHeight="1" x14ac:dyDescent="0.25">
      <c r="A41" s="132" t="s">
        <v>250</v>
      </c>
      <c r="B41" s="132" t="s">
        <v>8</v>
      </c>
      <c r="C41" s="132">
        <v>-1</v>
      </c>
      <c r="D41" s="132" t="str">
        <f t="shared" si="3"/>
        <v>Female BAG Motor -1</v>
      </c>
      <c r="E41" s="132">
        <v>1</v>
      </c>
      <c r="F41" s="132">
        <v>1</v>
      </c>
      <c r="G41" s="132">
        <v>1</v>
      </c>
      <c r="H41" s="132">
        <v>1</v>
      </c>
      <c r="I41" s="132">
        <v>1</v>
      </c>
      <c r="O41" s="132" t="s">
        <v>294</v>
      </c>
      <c r="P41" s="132">
        <v>57.97</v>
      </c>
      <c r="R41" s="132">
        <v>0.34</v>
      </c>
      <c r="T41" s="132" t="s">
        <v>295</v>
      </c>
      <c r="U41" s="132" t="s">
        <v>296</v>
      </c>
      <c r="V41" s="132" t="s">
        <v>297</v>
      </c>
    </row>
    <row r="42" spans="1:22" ht="14.25" customHeight="1" x14ac:dyDescent="0.25">
      <c r="A42" s="132" t="s">
        <v>250</v>
      </c>
      <c r="B42" s="132" t="s">
        <v>256</v>
      </c>
      <c r="C42" s="132">
        <v>-1</v>
      </c>
      <c r="D42" s="132" t="str">
        <f t="shared" si="3"/>
        <v>Female 775pro -1</v>
      </c>
      <c r="E42" s="132">
        <v>1</v>
      </c>
      <c r="F42" s="132">
        <v>1</v>
      </c>
      <c r="G42" s="132">
        <v>1</v>
      </c>
      <c r="H42" s="132">
        <v>1</v>
      </c>
      <c r="I42" s="132">
        <v>1</v>
      </c>
      <c r="O42" s="132" t="s">
        <v>277</v>
      </c>
      <c r="P42" s="132">
        <v>14.98</v>
      </c>
      <c r="R42" s="132">
        <v>0.2</v>
      </c>
      <c r="T42" s="132" t="s">
        <v>298</v>
      </c>
    </row>
    <row r="43" spans="1:22" ht="14.25" customHeight="1" x14ac:dyDescent="0.25">
      <c r="A43" s="132" t="s">
        <v>250</v>
      </c>
      <c r="B43" s="132" t="s">
        <v>7</v>
      </c>
      <c r="C43" s="132">
        <v>-1</v>
      </c>
      <c r="D43" s="132" t="str">
        <f t="shared" si="3"/>
        <v>Female Mini CIM -1</v>
      </c>
      <c r="E43" s="132">
        <v>1</v>
      </c>
      <c r="F43" s="132">
        <v>1</v>
      </c>
      <c r="G43" s="132">
        <v>1</v>
      </c>
      <c r="H43" s="132">
        <v>1</v>
      </c>
      <c r="I43" s="132">
        <v>0</v>
      </c>
    </row>
    <row r="44" spans="1:22" ht="14.25" customHeight="1" x14ac:dyDescent="0.25">
      <c r="A44" s="132" t="s">
        <v>250</v>
      </c>
      <c r="B44" s="132" t="s">
        <v>6</v>
      </c>
      <c r="C44" s="132">
        <v>-1</v>
      </c>
      <c r="D44" s="132" t="str">
        <f t="shared" si="3"/>
        <v>Female CIM -1</v>
      </c>
      <c r="E44" s="132">
        <v>1</v>
      </c>
      <c r="F44" s="132">
        <v>1</v>
      </c>
      <c r="G44" s="132">
        <v>1</v>
      </c>
      <c r="H44" s="132">
        <v>1</v>
      </c>
      <c r="I44" s="132">
        <v>0</v>
      </c>
    </row>
    <row r="45" spans="1:22" ht="14.25" customHeight="1" x14ac:dyDescent="0.25">
      <c r="A45" s="132" t="s">
        <v>250</v>
      </c>
      <c r="B45" s="132" t="s">
        <v>9</v>
      </c>
      <c r="C45" s="132">
        <v>-1</v>
      </c>
      <c r="D45" s="132" t="str">
        <f t="shared" si="3"/>
        <v>Female NEO -1</v>
      </c>
      <c r="E45" s="132">
        <v>1</v>
      </c>
      <c r="F45" s="132">
        <v>1</v>
      </c>
      <c r="G45" s="132">
        <v>1</v>
      </c>
      <c r="H45" s="132">
        <v>1</v>
      </c>
      <c r="I45" s="132">
        <v>0</v>
      </c>
      <c r="O45" s="132" t="s">
        <v>299</v>
      </c>
    </row>
    <row r="46" spans="1:22" ht="14.25" customHeight="1" x14ac:dyDescent="0.25">
      <c r="A46" s="132" t="s">
        <v>250</v>
      </c>
      <c r="B46" s="132" t="s">
        <v>334</v>
      </c>
      <c r="C46" s="132">
        <v>-1</v>
      </c>
      <c r="D46" s="132" t="str">
        <f t="shared" si="3"/>
        <v>Female Falcon 500 -1</v>
      </c>
      <c r="E46" s="132">
        <v>1</v>
      </c>
      <c r="F46" s="132">
        <v>1</v>
      </c>
      <c r="G46" s="132">
        <v>1</v>
      </c>
      <c r="H46" s="132">
        <v>1</v>
      </c>
      <c r="I46" s="132">
        <v>0</v>
      </c>
      <c r="O46" s="132" t="s">
        <v>60</v>
      </c>
      <c r="P46" s="132">
        <v>67.95</v>
      </c>
      <c r="T46" s="132" t="s">
        <v>300</v>
      </c>
      <c r="U46" s="132" t="s">
        <v>301</v>
      </c>
      <c r="V46" s="132" t="s">
        <v>302</v>
      </c>
    </row>
    <row r="47" spans="1:22" ht="14.25" customHeight="1" x14ac:dyDescent="0.25">
      <c r="A47" s="132" t="s">
        <v>117</v>
      </c>
      <c r="B47" s="132" t="s">
        <v>11</v>
      </c>
      <c r="C47" s="132">
        <v>-3</v>
      </c>
      <c r="D47" s="132" t="str">
        <f>A47&amp;" "&amp;B47&amp;" "&amp;C47</f>
        <v>1/2" Hex AM 9015 -3</v>
      </c>
      <c r="E47" s="132">
        <v>1</v>
      </c>
      <c r="I47" s="132">
        <v>1</v>
      </c>
      <c r="O47" s="132" t="s">
        <v>303</v>
      </c>
      <c r="P47" s="132">
        <v>0</v>
      </c>
    </row>
    <row r="48" spans="1:22" ht="14.25" customHeight="1" x14ac:dyDescent="0.25">
      <c r="A48" s="132" t="s">
        <v>117</v>
      </c>
      <c r="B48" s="132" t="s">
        <v>11</v>
      </c>
      <c r="C48" s="132">
        <v>-4</v>
      </c>
      <c r="D48" s="132" t="str">
        <f t="shared" ref="D48:D52" si="4">A48&amp;" "&amp;B48&amp;" "&amp;C48</f>
        <v>1/2" Hex AM 9015 -4</v>
      </c>
      <c r="E48" s="132">
        <v>1</v>
      </c>
      <c r="I48" s="132">
        <v>1</v>
      </c>
    </row>
    <row r="49" spans="1:20" ht="14.25" customHeight="1" x14ac:dyDescent="0.25">
      <c r="A49" s="132" t="s">
        <v>117</v>
      </c>
      <c r="B49" s="132" t="s">
        <v>11</v>
      </c>
      <c r="C49" s="132">
        <v>-5</v>
      </c>
      <c r="D49" s="132" t="str">
        <f t="shared" si="4"/>
        <v>1/2" Hex AM 9015 -5</v>
      </c>
      <c r="E49" s="132">
        <v>1</v>
      </c>
      <c r="I49" s="132">
        <v>1</v>
      </c>
    </row>
    <row r="50" spans="1:20" ht="14.25" customHeight="1" x14ac:dyDescent="0.25">
      <c r="A50" s="132" t="s">
        <v>117</v>
      </c>
      <c r="B50" s="132" t="s">
        <v>11</v>
      </c>
      <c r="C50" s="132">
        <v>-7</v>
      </c>
      <c r="D50" s="132" t="str">
        <f t="shared" si="4"/>
        <v>1/2" Hex AM 9015 -7</v>
      </c>
      <c r="E50" s="132">
        <v>1</v>
      </c>
      <c r="I50" s="132">
        <v>1</v>
      </c>
      <c r="O50" s="132" t="s">
        <v>304</v>
      </c>
    </row>
    <row r="51" spans="1:20" ht="14.25" customHeight="1" x14ac:dyDescent="0.25">
      <c r="A51" s="132" t="s">
        <v>117</v>
      </c>
      <c r="B51" s="132" t="s">
        <v>11</v>
      </c>
      <c r="C51" s="132">
        <v>-9</v>
      </c>
      <c r="D51" s="132" t="str">
        <f t="shared" si="4"/>
        <v>1/2" Hex AM 9015 -9</v>
      </c>
      <c r="E51" s="132">
        <v>1</v>
      </c>
      <c r="I51" s="132">
        <v>1</v>
      </c>
      <c r="O51" s="132" t="s">
        <v>60</v>
      </c>
      <c r="P51" s="132">
        <v>84.99</v>
      </c>
      <c r="R51" s="132">
        <v>0.57999999999999996</v>
      </c>
      <c r="T51" s="132" t="s">
        <v>305</v>
      </c>
    </row>
    <row r="52" spans="1:20" ht="14.25" customHeight="1" x14ac:dyDescent="0.25">
      <c r="A52" s="132" t="s">
        <v>117</v>
      </c>
      <c r="B52" s="132" t="s">
        <v>11</v>
      </c>
      <c r="C52" s="132">
        <v>-10</v>
      </c>
      <c r="D52" s="132" t="str">
        <f t="shared" si="4"/>
        <v>1/2" Hex AM 9015 -10</v>
      </c>
      <c r="E52" s="132">
        <v>1</v>
      </c>
      <c r="I52" s="132">
        <v>1</v>
      </c>
      <c r="O52" s="132" t="s">
        <v>303</v>
      </c>
      <c r="P52" s="132">
        <v>0</v>
      </c>
      <c r="R52" s="132">
        <v>0</v>
      </c>
    </row>
    <row r="53" spans="1:20" ht="14.25" customHeight="1" x14ac:dyDescent="0.25">
      <c r="A53" s="132" t="s">
        <v>117</v>
      </c>
      <c r="B53" s="132" t="s">
        <v>11</v>
      </c>
      <c r="C53" s="132">
        <v>9</v>
      </c>
      <c r="D53" s="132" t="str">
        <f>A53&amp;" "&amp;B53&amp;" "&amp;C53</f>
        <v>1/2" Hex AM 9015 9</v>
      </c>
      <c r="E53" s="132">
        <v>10</v>
      </c>
      <c r="I53" s="132">
        <v>10</v>
      </c>
    </row>
    <row r="54" spans="1:20" ht="14.25" customHeight="1" x14ac:dyDescent="0.25">
      <c r="A54" s="132" t="s">
        <v>117</v>
      </c>
      <c r="B54" s="132" t="s">
        <v>11</v>
      </c>
      <c r="C54" s="132">
        <v>12</v>
      </c>
      <c r="D54" s="132" t="str">
        <f t="shared" ref="D54:D79" si="5">A54&amp;" "&amp;B54&amp;" "&amp;C54</f>
        <v>1/2" Hex AM 9015 12</v>
      </c>
      <c r="E54" s="132">
        <v>10</v>
      </c>
      <c r="I54" s="132">
        <v>7</v>
      </c>
    </row>
    <row r="55" spans="1:20" ht="14.25" customHeight="1" x14ac:dyDescent="0.25">
      <c r="A55" s="132" t="s">
        <v>117</v>
      </c>
      <c r="B55" s="132" t="s">
        <v>11</v>
      </c>
      <c r="C55" s="132">
        <v>15</v>
      </c>
      <c r="D55" s="132" t="str">
        <f t="shared" si="5"/>
        <v>1/2" Hex AM 9015 15</v>
      </c>
      <c r="E55" s="132">
        <v>10</v>
      </c>
      <c r="I55" s="132">
        <v>5</v>
      </c>
      <c r="O55" s="132" t="s">
        <v>306</v>
      </c>
    </row>
    <row r="56" spans="1:20" ht="14.25" customHeight="1" x14ac:dyDescent="0.25">
      <c r="A56" s="132" t="s">
        <v>117</v>
      </c>
      <c r="B56" s="132" t="s">
        <v>11</v>
      </c>
      <c r="C56" s="132">
        <v>16</v>
      </c>
      <c r="D56" s="132" t="str">
        <f t="shared" si="5"/>
        <v>1/2" Hex AM 9015 16</v>
      </c>
      <c r="E56" s="132">
        <v>10</v>
      </c>
      <c r="I56" s="132">
        <v>5</v>
      </c>
      <c r="O56" s="132" t="s">
        <v>60</v>
      </c>
      <c r="P56" s="132">
        <v>14.99</v>
      </c>
      <c r="T56" s="132" t="s">
        <v>307</v>
      </c>
    </row>
    <row r="57" spans="1:20" ht="14.25" customHeight="1" x14ac:dyDescent="0.25">
      <c r="A57" s="132" t="s">
        <v>117</v>
      </c>
      <c r="B57" s="132" t="s">
        <v>11</v>
      </c>
      <c r="C57" s="132">
        <v>20</v>
      </c>
      <c r="D57" s="132" t="str">
        <f t="shared" si="5"/>
        <v>1/2" Hex AM 9015 20</v>
      </c>
      <c r="E57" s="132">
        <v>10</v>
      </c>
      <c r="I57" s="132">
        <v>4</v>
      </c>
      <c r="O57" s="132" t="s">
        <v>303</v>
      </c>
      <c r="P57" s="132">
        <v>0</v>
      </c>
    </row>
    <row r="58" spans="1:20" ht="14.25" customHeight="1" x14ac:dyDescent="0.25">
      <c r="A58" s="132" t="s">
        <v>117</v>
      </c>
      <c r="B58" s="132" t="s">
        <v>11</v>
      </c>
      <c r="C58" s="132">
        <v>21</v>
      </c>
      <c r="D58" s="132" t="str">
        <f t="shared" si="5"/>
        <v>1/2" Hex AM 9015 21</v>
      </c>
      <c r="E58" s="132">
        <v>10</v>
      </c>
      <c r="I58" s="132">
        <v>4</v>
      </c>
    </row>
    <row r="59" spans="1:20" ht="14.25" customHeight="1" x14ac:dyDescent="0.25">
      <c r="A59" s="132" t="s">
        <v>117</v>
      </c>
      <c r="B59" s="132" t="s">
        <v>11</v>
      </c>
      <c r="C59" s="132">
        <v>25</v>
      </c>
      <c r="D59" s="132" t="str">
        <f t="shared" si="5"/>
        <v>1/2" Hex AM 9015 25</v>
      </c>
      <c r="E59" s="132">
        <v>7</v>
      </c>
      <c r="I59" s="132">
        <v>3</v>
      </c>
      <c r="O59" s="132" t="s">
        <v>308</v>
      </c>
    </row>
    <row r="60" spans="1:20" ht="14.25" customHeight="1" x14ac:dyDescent="0.25">
      <c r="A60" s="132" t="s">
        <v>117</v>
      </c>
      <c r="B60" s="132" t="s">
        <v>11</v>
      </c>
      <c r="C60" s="132">
        <v>27</v>
      </c>
      <c r="D60" s="132" t="str">
        <f t="shared" si="5"/>
        <v>1/2" Hex AM 9015 27</v>
      </c>
      <c r="E60" s="132">
        <v>7</v>
      </c>
      <c r="I60" s="132">
        <v>3</v>
      </c>
      <c r="O60" s="132" t="s">
        <v>60</v>
      </c>
      <c r="P60" s="132">
        <v>49.99</v>
      </c>
      <c r="R60" s="132">
        <v>0.08</v>
      </c>
      <c r="T60" s="132" t="s">
        <v>309</v>
      </c>
    </row>
    <row r="61" spans="1:20" ht="14.25" customHeight="1" x14ac:dyDescent="0.25">
      <c r="A61" s="132" t="s">
        <v>117</v>
      </c>
      <c r="B61" s="132" t="s">
        <v>11</v>
      </c>
      <c r="C61" s="132">
        <v>28</v>
      </c>
      <c r="D61" s="132" t="str">
        <f t="shared" si="5"/>
        <v>1/2" Hex AM 9015 28</v>
      </c>
      <c r="E61" s="132">
        <v>7</v>
      </c>
      <c r="I61" s="132">
        <v>3</v>
      </c>
      <c r="O61" s="132" t="s">
        <v>303</v>
      </c>
      <c r="P61" s="132">
        <v>0</v>
      </c>
      <c r="R61" s="132">
        <v>0</v>
      </c>
    </row>
    <row r="62" spans="1:20" ht="14.25" customHeight="1" x14ac:dyDescent="0.25">
      <c r="A62" s="132" t="s">
        <v>117</v>
      </c>
      <c r="B62" s="132" t="s">
        <v>11</v>
      </c>
      <c r="C62" s="132">
        <v>30</v>
      </c>
      <c r="D62" s="132" t="str">
        <f t="shared" si="5"/>
        <v>1/2" Hex AM 9015 30</v>
      </c>
      <c r="E62" s="132">
        <v>7</v>
      </c>
      <c r="I62" s="132">
        <v>3</v>
      </c>
    </row>
    <row r="63" spans="1:20" ht="14.25" customHeight="1" x14ac:dyDescent="0.25">
      <c r="A63" s="132" t="s">
        <v>117</v>
      </c>
      <c r="B63" s="132" t="s">
        <v>11</v>
      </c>
      <c r="C63" s="132">
        <v>35</v>
      </c>
      <c r="D63" s="132" t="str">
        <f t="shared" si="5"/>
        <v>1/2" Hex AM 9015 35</v>
      </c>
      <c r="E63" s="132">
        <v>5</v>
      </c>
      <c r="I63" s="132">
        <v>1</v>
      </c>
    </row>
    <row r="64" spans="1:20" ht="14.25" customHeight="1" x14ac:dyDescent="0.25">
      <c r="A64" s="132" t="s">
        <v>117</v>
      </c>
      <c r="B64" s="132" t="s">
        <v>11</v>
      </c>
      <c r="C64" s="132">
        <v>36</v>
      </c>
      <c r="D64" s="132" t="str">
        <f t="shared" si="5"/>
        <v>1/2" Hex AM 9015 36</v>
      </c>
      <c r="E64" s="132">
        <v>5</v>
      </c>
      <c r="I64" s="132">
        <v>1</v>
      </c>
    </row>
    <row r="65" spans="1:9" ht="14.25" customHeight="1" x14ac:dyDescent="0.25">
      <c r="A65" s="132" t="s">
        <v>117</v>
      </c>
      <c r="B65" s="132" t="s">
        <v>11</v>
      </c>
      <c r="C65" s="132">
        <v>40</v>
      </c>
      <c r="D65" s="132" t="str">
        <f t="shared" si="5"/>
        <v>1/2" Hex AM 9015 40</v>
      </c>
      <c r="E65" s="132">
        <v>5</v>
      </c>
      <c r="I65" s="132">
        <v>1</v>
      </c>
    </row>
    <row r="66" spans="1:9" ht="14.25" customHeight="1" x14ac:dyDescent="0.25">
      <c r="A66" s="132" t="s">
        <v>117</v>
      </c>
      <c r="B66" s="132" t="s">
        <v>11</v>
      </c>
      <c r="C66" s="132">
        <v>45</v>
      </c>
      <c r="D66" s="132" t="str">
        <f t="shared" si="5"/>
        <v>1/2" Hex AM 9015 45</v>
      </c>
      <c r="E66" s="132">
        <v>5</v>
      </c>
      <c r="I66" s="132">
        <v>1</v>
      </c>
    </row>
    <row r="67" spans="1:9" ht="14.25" customHeight="1" x14ac:dyDescent="0.25">
      <c r="A67" s="132" t="s">
        <v>117</v>
      </c>
      <c r="B67" s="132" t="s">
        <v>11</v>
      </c>
      <c r="C67" s="132">
        <v>49</v>
      </c>
      <c r="D67" s="132" t="str">
        <f t="shared" si="5"/>
        <v>1/2" Hex AM 9015 49</v>
      </c>
      <c r="E67" s="132">
        <v>5</v>
      </c>
      <c r="I67" s="132">
        <v>1</v>
      </c>
    </row>
    <row r="68" spans="1:9" ht="14.25" customHeight="1" x14ac:dyDescent="0.25">
      <c r="A68" s="132" t="s">
        <v>117</v>
      </c>
      <c r="B68" s="132" t="s">
        <v>11</v>
      </c>
      <c r="C68" s="132">
        <v>50</v>
      </c>
      <c r="D68" s="132" t="str">
        <f t="shared" si="5"/>
        <v>1/2" Hex AM 9015 50</v>
      </c>
      <c r="E68" s="132">
        <v>5</v>
      </c>
      <c r="I68" s="132">
        <v>1</v>
      </c>
    </row>
    <row r="69" spans="1:9" ht="14.25" customHeight="1" x14ac:dyDescent="0.25">
      <c r="A69" s="132" t="s">
        <v>117</v>
      </c>
      <c r="B69" s="132" t="s">
        <v>11</v>
      </c>
      <c r="C69" s="132">
        <v>63</v>
      </c>
      <c r="D69" s="132" t="str">
        <f t="shared" si="5"/>
        <v>1/2" Hex AM 9015 63</v>
      </c>
      <c r="E69" s="132">
        <v>5</v>
      </c>
      <c r="I69" s="132">
        <v>1</v>
      </c>
    </row>
    <row r="70" spans="1:9" ht="14.25" customHeight="1" x14ac:dyDescent="0.25">
      <c r="A70" s="132" t="s">
        <v>117</v>
      </c>
      <c r="B70" s="132" t="s">
        <v>11</v>
      </c>
      <c r="C70" s="132">
        <v>70</v>
      </c>
      <c r="D70" s="132" t="str">
        <f t="shared" si="5"/>
        <v>1/2" Hex AM 9015 70</v>
      </c>
      <c r="E70" s="132">
        <v>4</v>
      </c>
      <c r="I70" s="132">
        <v>1</v>
      </c>
    </row>
    <row r="71" spans="1:9" ht="14.25" customHeight="1" x14ac:dyDescent="0.25">
      <c r="A71" s="132" t="s">
        <v>117</v>
      </c>
      <c r="B71" s="132" t="s">
        <v>11</v>
      </c>
      <c r="C71" s="132">
        <v>81</v>
      </c>
      <c r="D71" s="132" t="str">
        <f t="shared" si="5"/>
        <v>1/2" Hex AM 9015 81</v>
      </c>
      <c r="E71" s="132">
        <v>4</v>
      </c>
      <c r="I71" s="132">
        <v>1</v>
      </c>
    </row>
    <row r="72" spans="1:9" ht="14.25" customHeight="1" x14ac:dyDescent="0.25">
      <c r="A72" s="132" t="s">
        <v>117</v>
      </c>
      <c r="B72" s="132" t="s">
        <v>11</v>
      </c>
      <c r="C72" s="132">
        <v>90</v>
      </c>
      <c r="D72" s="132" t="str">
        <f t="shared" si="5"/>
        <v>1/2" Hex AM 9015 90</v>
      </c>
      <c r="E72" s="132">
        <v>3</v>
      </c>
      <c r="I72" s="132">
        <v>1</v>
      </c>
    </row>
    <row r="73" spans="1:9" ht="14.25" customHeight="1" x14ac:dyDescent="0.25">
      <c r="A73" s="132" t="s">
        <v>117</v>
      </c>
      <c r="B73" s="132" t="s">
        <v>11</v>
      </c>
      <c r="C73" s="132">
        <v>100</v>
      </c>
      <c r="D73" s="132" t="str">
        <f t="shared" si="5"/>
        <v>1/2" Hex AM 9015 100</v>
      </c>
      <c r="E73" s="132">
        <v>3</v>
      </c>
      <c r="I73" s="132">
        <v>0</v>
      </c>
    </row>
    <row r="74" spans="1:9" ht="14.25" customHeight="1" x14ac:dyDescent="0.25">
      <c r="A74" s="132" t="s">
        <v>117</v>
      </c>
      <c r="B74" s="132" t="s">
        <v>327</v>
      </c>
      <c r="C74" s="132">
        <v>-3</v>
      </c>
      <c r="D74" s="132" t="str">
        <f t="shared" si="5"/>
        <v>1/2" Hex BB RS-550 -3</v>
      </c>
      <c r="E74" s="132">
        <v>1</v>
      </c>
      <c r="F74" s="132">
        <v>1</v>
      </c>
      <c r="G74" s="132">
        <v>1</v>
      </c>
      <c r="H74" s="132">
        <v>1</v>
      </c>
      <c r="I74" s="132">
        <v>1</v>
      </c>
    </row>
    <row r="75" spans="1:9" ht="14.25" customHeight="1" x14ac:dyDescent="0.25">
      <c r="A75" s="132" t="s">
        <v>117</v>
      </c>
      <c r="B75" s="132" t="s">
        <v>327</v>
      </c>
      <c r="C75" s="132">
        <v>-4</v>
      </c>
      <c r="D75" s="132" t="str">
        <f t="shared" si="5"/>
        <v>1/2" Hex BB RS-550 -4</v>
      </c>
      <c r="E75" s="132">
        <v>1</v>
      </c>
      <c r="F75" s="132">
        <v>1</v>
      </c>
      <c r="G75" s="132">
        <v>1</v>
      </c>
      <c r="H75" s="132">
        <v>1</v>
      </c>
      <c r="I75" s="132">
        <v>1</v>
      </c>
    </row>
    <row r="76" spans="1:9" ht="14.25" customHeight="1" x14ac:dyDescent="0.25">
      <c r="A76" s="132" t="s">
        <v>117</v>
      </c>
      <c r="B76" s="132" t="s">
        <v>327</v>
      </c>
      <c r="C76" s="132">
        <v>-5</v>
      </c>
      <c r="D76" s="132" t="str">
        <f t="shared" si="5"/>
        <v>1/2" Hex BB RS-550 -5</v>
      </c>
      <c r="E76" s="132">
        <v>1</v>
      </c>
      <c r="F76" s="132">
        <v>1</v>
      </c>
      <c r="G76" s="132">
        <v>1</v>
      </c>
      <c r="H76" s="132">
        <v>1</v>
      </c>
      <c r="I76" s="132">
        <v>1</v>
      </c>
    </row>
    <row r="77" spans="1:9" ht="14.25" customHeight="1" x14ac:dyDescent="0.25">
      <c r="A77" s="132" t="s">
        <v>117</v>
      </c>
      <c r="B77" s="132" t="s">
        <v>327</v>
      </c>
      <c r="C77" s="132">
        <v>-7</v>
      </c>
      <c r="D77" s="132" t="str">
        <f t="shared" si="5"/>
        <v>1/2" Hex BB RS-550 -7</v>
      </c>
      <c r="E77" s="132">
        <v>1</v>
      </c>
      <c r="F77" s="132">
        <v>1</v>
      </c>
      <c r="G77" s="132">
        <v>1</v>
      </c>
      <c r="H77" s="132">
        <v>0</v>
      </c>
      <c r="I77" s="132">
        <v>1</v>
      </c>
    </row>
    <row r="78" spans="1:9" ht="14.25" customHeight="1" x14ac:dyDescent="0.25">
      <c r="A78" s="132" t="s">
        <v>117</v>
      </c>
      <c r="B78" s="132" t="s">
        <v>327</v>
      </c>
      <c r="C78" s="132">
        <v>-9</v>
      </c>
      <c r="D78" s="132" t="str">
        <f t="shared" si="5"/>
        <v>1/2" Hex BB RS-550 -9</v>
      </c>
      <c r="E78" s="132">
        <v>1</v>
      </c>
      <c r="F78" s="132">
        <v>1</v>
      </c>
      <c r="G78" s="132">
        <v>0</v>
      </c>
      <c r="H78" s="132">
        <v>0</v>
      </c>
      <c r="I78" s="132">
        <v>1</v>
      </c>
    </row>
    <row r="79" spans="1:9" ht="14.25" customHeight="1" x14ac:dyDescent="0.25">
      <c r="A79" s="132" t="s">
        <v>117</v>
      </c>
      <c r="B79" s="132" t="s">
        <v>327</v>
      </c>
      <c r="C79" s="132">
        <v>-10</v>
      </c>
      <c r="D79" s="132" t="str">
        <f t="shared" si="5"/>
        <v>1/2" Hex BB RS-550 -10</v>
      </c>
      <c r="E79" s="132">
        <v>1</v>
      </c>
      <c r="F79" s="132">
        <v>1</v>
      </c>
      <c r="G79" s="132">
        <v>0</v>
      </c>
      <c r="H79" s="132">
        <v>0</v>
      </c>
      <c r="I79" s="132">
        <v>1</v>
      </c>
    </row>
    <row r="80" spans="1:9" ht="14.25" customHeight="1" x14ac:dyDescent="0.25">
      <c r="A80" s="132" t="s">
        <v>117</v>
      </c>
      <c r="B80" s="132" t="s">
        <v>327</v>
      </c>
      <c r="C80" s="132">
        <v>9</v>
      </c>
      <c r="D80" s="132" t="str">
        <f>A80&amp;" "&amp;B80&amp;" "&amp;C80</f>
        <v>1/2" Hex BB RS-550 9</v>
      </c>
      <c r="E80" s="132">
        <v>10</v>
      </c>
      <c r="F80" s="132">
        <v>10</v>
      </c>
      <c r="G80" s="132">
        <v>1</v>
      </c>
      <c r="H80" s="132">
        <v>0</v>
      </c>
      <c r="I80" s="132">
        <v>10</v>
      </c>
    </row>
    <row r="81" spans="1:9" ht="14.25" customHeight="1" x14ac:dyDescent="0.25">
      <c r="A81" s="132" t="s">
        <v>117</v>
      </c>
      <c r="B81" s="132" t="s">
        <v>327</v>
      </c>
      <c r="C81" s="132">
        <v>12</v>
      </c>
      <c r="D81" s="132" t="str">
        <f t="shared" ref="D81:D106" si="6">A81&amp;" "&amp;B81&amp;" "&amp;C81</f>
        <v>1/2" Hex BB RS-550 12</v>
      </c>
      <c r="E81" s="132">
        <v>10</v>
      </c>
      <c r="F81" s="132">
        <v>7</v>
      </c>
      <c r="G81" s="132">
        <v>0</v>
      </c>
      <c r="H81" s="132">
        <v>0</v>
      </c>
      <c r="I81" s="132">
        <v>7</v>
      </c>
    </row>
    <row r="82" spans="1:9" ht="14.25" customHeight="1" x14ac:dyDescent="0.25">
      <c r="A82" s="132" t="s">
        <v>117</v>
      </c>
      <c r="B82" s="132" t="s">
        <v>327</v>
      </c>
      <c r="C82" s="132">
        <v>15</v>
      </c>
      <c r="D82" s="132" t="str">
        <f t="shared" si="6"/>
        <v>1/2" Hex BB RS-550 15</v>
      </c>
      <c r="E82" s="132">
        <v>10</v>
      </c>
      <c r="F82" s="132">
        <v>5</v>
      </c>
      <c r="G82" s="132">
        <v>0</v>
      </c>
      <c r="H82" s="132">
        <v>0</v>
      </c>
      <c r="I82" s="132">
        <v>5</v>
      </c>
    </row>
    <row r="83" spans="1:9" ht="14.25" customHeight="1" x14ac:dyDescent="0.25">
      <c r="A83" s="132" t="s">
        <v>117</v>
      </c>
      <c r="B83" s="132" t="s">
        <v>327</v>
      </c>
      <c r="C83" s="132">
        <v>16</v>
      </c>
      <c r="D83" s="132" t="str">
        <f t="shared" si="6"/>
        <v>1/2" Hex BB RS-550 16</v>
      </c>
      <c r="E83" s="132">
        <v>10</v>
      </c>
      <c r="F83" s="132">
        <v>5</v>
      </c>
      <c r="G83" s="132">
        <v>0</v>
      </c>
      <c r="H83" s="132">
        <v>0</v>
      </c>
      <c r="I83" s="132">
        <v>5</v>
      </c>
    </row>
    <row r="84" spans="1:9" ht="14.25" customHeight="1" x14ac:dyDescent="0.25">
      <c r="A84" s="132" t="s">
        <v>117</v>
      </c>
      <c r="B84" s="132" t="s">
        <v>327</v>
      </c>
      <c r="C84" s="132">
        <v>20</v>
      </c>
      <c r="D84" s="132" t="str">
        <f t="shared" si="6"/>
        <v>1/2" Hex BB RS-550 20</v>
      </c>
      <c r="E84" s="132">
        <v>9</v>
      </c>
      <c r="F84" s="132">
        <v>5</v>
      </c>
      <c r="G84" s="132">
        <v>0</v>
      </c>
      <c r="H84" s="132">
        <v>0</v>
      </c>
      <c r="I84" s="132">
        <v>4</v>
      </c>
    </row>
    <row r="85" spans="1:9" ht="14.25" customHeight="1" x14ac:dyDescent="0.25">
      <c r="A85" s="132" t="s">
        <v>117</v>
      </c>
      <c r="B85" s="132" t="s">
        <v>327</v>
      </c>
      <c r="C85" s="132">
        <v>21</v>
      </c>
      <c r="D85" s="132" t="str">
        <f t="shared" si="6"/>
        <v>1/2" Hex BB RS-550 21</v>
      </c>
      <c r="E85" s="132">
        <v>9</v>
      </c>
      <c r="F85" s="132">
        <v>5</v>
      </c>
      <c r="G85" s="132">
        <v>0</v>
      </c>
      <c r="H85" s="132">
        <v>0</v>
      </c>
      <c r="I85" s="132">
        <v>4</v>
      </c>
    </row>
    <row r="86" spans="1:9" ht="14.25" customHeight="1" x14ac:dyDescent="0.25">
      <c r="A86" s="132" t="s">
        <v>117</v>
      </c>
      <c r="B86" s="132" t="s">
        <v>327</v>
      </c>
      <c r="C86" s="132">
        <v>25</v>
      </c>
      <c r="D86" s="132" t="str">
        <f t="shared" si="6"/>
        <v>1/2" Hex BB RS-550 25</v>
      </c>
      <c r="E86" s="132">
        <v>7</v>
      </c>
      <c r="F86" s="132">
        <v>5</v>
      </c>
      <c r="G86" s="132">
        <v>0</v>
      </c>
      <c r="H86" s="132">
        <v>0</v>
      </c>
      <c r="I86" s="132">
        <v>3</v>
      </c>
    </row>
    <row r="87" spans="1:9" ht="14.25" customHeight="1" x14ac:dyDescent="0.25">
      <c r="A87" s="132" t="s">
        <v>117</v>
      </c>
      <c r="B87" s="132" t="s">
        <v>327</v>
      </c>
      <c r="C87" s="132">
        <v>27</v>
      </c>
      <c r="D87" s="132" t="str">
        <f t="shared" si="6"/>
        <v>1/2" Hex BB RS-550 27</v>
      </c>
      <c r="E87" s="132">
        <v>7</v>
      </c>
      <c r="F87" s="132">
        <v>5</v>
      </c>
      <c r="G87" s="132">
        <v>0</v>
      </c>
      <c r="H87" s="132">
        <v>0</v>
      </c>
      <c r="I87" s="132">
        <v>3</v>
      </c>
    </row>
    <row r="88" spans="1:9" ht="14.25" customHeight="1" x14ac:dyDescent="0.25">
      <c r="A88" s="132" t="s">
        <v>117</v>
      </c>
      <c r="B88" s="132" t="s">
        <v>327</v>
      </c>
      <c r="C88" s="132">
        <v>28</v>
      </c>
      <c r="D88" s="132" t="str">
        <f t="shared" si="6"/>
        <v>1/2" Hex BB RS-550 28</v>
      </c>
      <c r="E88" s="132">
        <v>7</v>
      </c>
      <c r="F88" s="132">
        <v>5</v>
      </c>
      <c r="G88" s="132">
        <v>0</v>
      </c>
      <c r="H88" s="132">
        <v>0</v>
      </c>
      <c r="I88" s="132">
        <v>3</v>
      </c>
    </row>
    <row r="89" spans="1:9" ht="14.25" customHeight="1" x14ac:dyDescent="0.25">
      <c r="A89" s="132" t="s">
        <v>117</v>
      </c>
      <c r="B89" s="132" t="s">
        <v>327</v>
      </c>
      <c r="C89" s="132">
        <v>30</v>
      </c>
      <c r="D89" s="132" t="str">
        <f t="shared" si="6"/>
        <v>1/2" Hex BB RS-550 30</v>
      </c>
      <c r="E89" s="132">
        <v>5</v>
      </c>
      <c r="F89" s="132">
        <v>5</v>
      </c>
      <c r="G89" s="132">
        <v>0</v>
      </c>
      <c r="H89" s="132">
        <v>0</v>
      </c>
      <c r="I89" s="132">
        <v>3</v>
      </c>
    </row>
    <row r="90" spans="1:9" ht="14.25" customHeight="1" x14ac:dyDescent="0.25">
      <c r="A90" s="132" t="s">
        <v>117</v>
      </c>
      <c r="B90" s="132" t="s">
        <v>327</v>
      </c>
      <c r="C90" s="132">
        <v>35</v>
      </c>
      <c r="D90" s="132" t="str">
        <f t="shared" si="6"/>
        <v>1/2" Hex BB RS-550 35</v>
      </c>
      <c r="E90" s="132">
        <v>5</v>
      </c>
      <c r="F90" s="132">
        <v>4</v>
      </c>
      <c r="G90" s="132">
        <v>0</v>
      </c>
      <c r="H90" s="132">
        <v>0</v>
      </c>
      <c r="I90" s="132">
        <v>1</v>
      </c>
    </row>
    <row r="91" spans="1:9" ht="14.25" customHeight="1" x14ac:dyDescent="0.25">
      <c r="A91" s="132" t="s">
        <v>117</v>
      </c>
      <c r="B91" s="132" t="s">
        <v>327</v>
      </c>
      <c r="C91" s="132">
        <v>36</v>
      </c>
      <c r="D91" s="132" t="str">
        <f t="shared" si="6"/>
        <v>1/2" Hex BB RS-550 36</v>
      </c>
      <c r="E91" s="132">
        <v>5</v>
      </c>
      <c r="F91" s="132">
        <v>4</v>
      </c>
      <c r="G91" s="132">
        <v>0</v>
      </c>
      <c r="H91" s="132">
        <v>0</v>
      </c>
      <c r="I91" s="132">
        <v>1</v>
      </c>
    </row>
    <row r="92" spans="1:9" ht="14.25" customHeight="1" x14ac:dyDescent="0.25">
      <c r="A92" s="132" t="s">
        <v>117</v>
      </c>
      <c r="B92" s="132" t="s">
        <v>327</v>
      </c>
      <c r="C92" s="132">
        <v>40</v>
      </c>
      <c r="D92" s="132" t="str">
        <f t="shared" si="6"/>
        <v>1/2" Hex BB RS-550 40</v>
      </c>
      <c r="E92" s="132">
        <v>5</v>
      </c>
      <c r="F92" s="132">
        <v>3</v>
      </c>
      <c r="G92" s="132">
        <v>0</v>
      </c>
      <c r="H92" s="132">
        <v>0</v>
      </c>
      <c r="I92" s="132">
        <v>5</v>
      </c>
    </row>
    <row r="93" spans="1:9" ht="14.25" customHeight="1" x14ac:dyDescent="0.25">
      <c r="A93" s="132" t="s">
        <v>117</v>
      </c>
      <c r="B93" s="132" t="s">
        <v>327</v>
      </c>
      <c r="C93" s="132">
        <v>45</v>
      </c>
      <c r="D93" s="132" t="str">
        <f t="shared" si="6"/>
        <v>1/2" Hex BB RS-550 45</v>
      </c>
      <c r="E93" s="132">
        <v>5</v>
      </c>
      <c r="F93" s="132">
        <v>3</v>
      </c>
      <c r="G93" s="132">
        <v>0</v>
      </c>
      <c r="H93" s="132">
        <v>0</v>
      </c>
      <c r="I93" s="132">
        <v>4</v>
      </c>
    </row>
    <row r="94" spans="1:9" ht="14.25" customHeight="1" x14ac:dyDescent="0.25">
      <c r="A94" s="132" t="s">
        <v>117</v>
      </c>
      <c r="B94" s="132" t="s">
        <v>327</v>
      </c>
      <c r="C94" s="132">
        <v>49</v>
      </c>
      <c r="D94" s="132" t="str">
        <f t="shared" si="6"/>
        <v>1/2" Hex BB RS-550 49</v>
      </c>
      <c r="E94" s="132">
        <v>5</v>
      </c>
      <c r="F94" s="132">
        <v>3</v>
      </c>
      <c r="G94" s="132">
        <v>0</v>
      </c>
      <c r="H94" s="132">
        <v>0</v>
      </c>
      <c r="I94" s="132">
        <v>4</v>
      </c>
    </row>
    <row r="95" spans="1:9" ht="14.25" customHeight="1" x14ac:dyDescent="0.25">
      <c r="A95" s="132" t="s">
        <v>117</v>
      </c>
      <c r="B95" s="132" t="s">
        <v>327</v>
      </c>
      <c r="C95" s="132">
        <v>50</v>
      </c>
      <c r="D95" s="132" t="str">
        <f t="shared" si="6"/>
        <v>1/2" Hex BB RS-550 50</v>
      </c>
      <c r="E95" s="132">
        <v>5</v>
      </c>
      <c r="F95" s="132">
        <v>3</v>
      </c>
      <c r="G95" s="132">
        <v>0</v>
      </c>
      <c r="H95" s="132">
        <v>0</v>
      </c>
      <c r="I95" s="132">
        <v>1</v>
      </c>
    </row>
    <row r="96" spans="1:9" ht="14.25" customHeight="1" x14ac:dyDescent="0.25">
      <c r="A96" s="132" t="s">
        <v>117</v>
      </c>
      <c r="B96" s="132" t="s">
        <v>327</v>
      </c>
      <c r="C96" s="132">
        <v>63</v>
      </c>
      <c r="D96" s="132" t="str">
        <f t="shared" si="6"/>
        <v>1/2" Hex BB RS-550 63</v>
      </c>
      <c r="E96" s="132">
        <v>4</v>
      </c>
      <c r="F96" s="132">
        <v>1</v>
      </c>
      <c r="G96" s="132">
        <v>0</v>
      </c>
      <c r="H96" s="132">
        <v>0</v>
      </c>
      <c r="I96" s="132">
        <v>1</v>
      </c>
    </row>
    <row r="97" spans="1:9" ht="14.25" customHeight="1" x14ac:dyDescent="0.25">
      <c r="A97" s="132" t="s">
        <v>117</v>
      </c>
      <c r="B97" s="132" t="s">
        <v>327</v>
      </c>
      <c r="C97" s="132">
        <v>70</v>
      </c>
      <c r="D97" s="132" t="str">
        <f t="shared" si="6"/>
        <v>1/2" Hex BB RS-550 70</v>
      </c>
      <c r="E97" s="132">
        <v>4</v>
      </c>
      <c r="F97" s="132">
        <v>1</v>
      </c>
      <c r="G97" s="132">
        <v>0</v>
      </c>
      <c r="H97" s="132">
        <v>0</v>
      </c>
      <c r="I97" s="132">
        <v>1</v>
      </c>
    </row>
    <row r="98" spans="1:9" ht="14.25" customHeight="1" x14ac:dyDescent="0.25">
      <c r="A98" s="132" t="s">
        <v>117</v>
      </c>
      <c r="B98" s="132" t="s">
        <v>327</v>
      </c>
      <c r="C98" s="132">
        <v>81</v>
      </c>
      <c r="D98" s="132" t="str">
        <f t="shared" si="6"/>
        <v>1/2" Hex BB RS-550 81</v>
      </c>
      <c r="E98" s="132">
        <v>3</v>
      </c>
      <c r="F98" s="132">
        <v>1</v>
      </c>
      <c r="G98" s="132">
        <v>0</v>
      </c>
      <c r="H98" s="132">
        <v>0</v>
      </c>
      <c r="I98" s="132">
        <v>1</v>
      </c>
    </row>
    <row r="99" spans="1:9" ht="14.25" customHeight="1" x14ac:dyDescent="0.25">
      <c r="A99" s="132" t="s">
        <v>117</v>
      </c>
      <c r="B99" s="132" t="s">
        <v>327</v>
      </c>
      <c r="C99" s="132">
        <v>90</v>
      </c>
      <c r="D99" s="132" t="str">
        <f t="shared" si="6"/>
        <v>1/2" Hex BB RS-550 90</v>
      </c>
      <c r="E99" s="132">
        <v>3</v>
      </c>
      <c r="F99" s="132">
        <v>1</v>
      </c>
      <c r="G99" s="132">
        <v>0</v>
      </c>
      <c r="H99" s="132">
        <v>0</v>
      </c>
      <c r="I99" s="132">
        <v>1</v>
      </c>
    </row>
    <row r="100" spans="1:9" ht="14.25" customHeight="1" x14ac:dyDescent="0.25">
      <c r="A100" s="132" t="s">
        <v>117</v>
      </c>
      <c r="B100" s="132" t="s">
        <v>327</v>
      </c>
      <c r="C100" s="132">
        <v>100</v>
      </c>
      <c r="D100" s="132" t="str">
        <f t="shared" si="6"/>
        <v>1/2" Hex BB RS-550 100</v>
      </c>
      <c r="E100" s="132">
        <v>3</v>
      </c>
      <c r="F100" s="132">
        <v>0</v>
      </c>
      <c r="G100" s="132">
        <v>0</v>
      </c>
      <c r="H100" s="132">
        <v>0</v>
      </c>
      <c r="I100" s="132">
        <v>0</v>
      </c>
    </row>
    <row r="101" spans="1:9" ht="14.25" customHeight="1" x14ac:dyDescent="0.25">
      <c r="A101" s="132" t="s">
        <v>117</v>
      </c>
      <c r="B101" s="132" t="s">
        <v>328</v>
      </c>
      <c r="C101" s="132">
        <v>-3</v>
      </c>
      <c r="D101" s="132" t="str">
        <f t="shared" si="6"/>
        <v>1/2" Hex BB RS-775 -3</v>
      </c>
      <c r="E101" s="132">
        <v>1</v>
      </c>
      <c r="F101" s="132">
        <v>1</v>
      </c>
      <c r="G101" s="132">
        <v>1</v>
      </c>
      <c r="H101" s="132">
        <v>0</v>
      </c>
      <c r="I101" s="132">
        <v>1</v>
      </c>
    </row>
    <row r="102" spans="1:9" ht="14.25" customHeight="1" x14ac:dyDescent="0.25">
      <c r="A102" s="132" t="s">
        <v>117</v>
      </c>
      <c r="B102" s="132" t="s">
        <v>328</v>
      </c>
      <c r="C102" s="132">
        <v>-4</v>
      </c>
      <c r="D102" s="132" t="str">
        <f t="shared" si="6"/>
        <v>1/2" Hex BB RS-775 -4</v>
      </c>
      <c r="E102" s="132">
        <v>1</v>
      </c>
      <c r="F102" s="132">
        <v>1</v>
      </c>
      <c r="G102" s="132">
        <v>1</v>
      </c>
      <c r="H102" s="132">
        <v>0</v>
      </c>
      <c r="I102" s="132">
        <v>1</v>
      </c>
    </row>
    <row r="103" spans="1:9" ht="14.25" customHeight="1" x14ac:dyDescent="0.25">
      <c r="A103" s="132" t="s">
        <v>117</v>
      </c>
      <c r="B103" s="132" t="s">
        <v>328</v>
      </c>
      <c r="C103" s="132">
        <v>-5</v>
      </c>
      <c r="D103" s="132" t="str">
        <f t="shared" si="6"/>
        <v>1/2" Hex BB RS-775 -5</v>
      </c>
      <c r="E103" s="132">
        <v>1</v>
      </c>
      <c r="F103" s="132">
        <v>1</v>
      </c>
      <c r="G103" s="132">
        <v>1</v>
      </c>
      <c r="H103" s="132">
        <v>0</v>
      </c>
      <c r="I103" s="132">
        <v>1</v>
      </c>
    </row>
    <row r="104" spans="1:9" ht="14.25" customHeight="1" x14ac:dyDescent="0.25">
      <c r="A104" s="132" t="s">
        <v>117</v>
      </c>
      <c r="B104" s="132" t="s">
        <v>328</v>
      </c>
      <c r="C104" s="132">
        <v>-7</v>
      </c>
      <c r="D104" s="132" t="str">
        <f t="shared" si="6"/>
        <v>1/2" Hex BB RS-775 -7</v>
      </c>
      <c r="E104" s="132">
        <v>1</v>
      </c>
      <c r="F104" s="132">
        <v>1</v>
      </c>
      <c r="G104" s="132">
        <v>0</v>
      </c>
      <c r="H104" s="132">
        <v>0</v>
      </c>
      <c r="I104" s="132">
        <v>1</v>
      </c>
    </row>
    <row r="105" spans="1:9" ht="14.25" customHeight="1" x14ac:dyDescent="0.25">
      <c r="A105" s="132" t="s">
        <v>117</v>
      </c>
      <c r="B105" s="132" t="s">
        <v>328</v>
      </c>
      <c r="C105" s="132">
        <v>-9</v>
      </c>
      <c r="D105" s="132" t="str">
        <f t="shared" si="6"/>
        <v>1/2" Hex BB RS-775 -9</v>
      </c>
      <c r="E105" s="132">
        <v>1</v>
      </c>
      <c r="F105" s="132">
        <v>1</v>
      </c>
      <c r="G105" s="132">
        <v>0</v>
      </c>
      <c r="H105" s="132">
        <v>0</v>
      </c>
      <c r="I105" s="132">
        <v>1</v>
      </c>
    </row>
    <row r="106" spans="1:9" ht="14.25" customHeight="1" x14ac:dyDescent="0.25">
      <c r="A106" s="132" t="s">
        <v>117</v>
      </c>
      <c r="B106" s="132" t="s">
        <v>328</v>
      </c>
      <c r="C106" s="132">
        <v>-10</v>
      </c>
      <c r="D106" s="132" t="str">
        <f t="shared" si="6"/>
        <v>1/2" Hex BB RS-775 -10</v>
      </c>
      <c r="E106" s="132">
        <v>1</v>
      </c>
      <c r="F106" s="132">
        <v>1</v>
      </c>
      <c r="G106" s="132">
        <v>0</v>
      </c>
      <c r="H106" s="132">
        <v>0</v>
      </c>
      <c r="I106" s="132">
        <v>1</v>
      </c>
    </row>
    <row r="107" spans="1:9" ht="14.25" customHeight="1" x14ac:dyDescent="0.25">
      <c r="A107" s="132" t="s">
        <v>117</v>
      </c>
      <c r="B107" s="132" t="s">
        <v>328</v>
      </c>
      <c r="C107" s="132">
        <v>9</v>
      </c>
      <c r="D107" s="132" t="str">
        <f>A107&amp;" "&amp;B107&amp;" "&amp;C107</f>
        <v>1/2" Hex BB RS-775 9</v>
      </c>
      <c r="E107" s="132">
        <v>10</v>
      </c>
      <c r="F107" s="132">
        <v>5</v>
      </c>
      <c r="G107" s="132">
        <v>0</v>
      </c>
      <c r="H107" s="132">
        <v>0</v>
      </c>
      <c r="I107" s="132">
        <v>10</v>
      </c>
    </row>
    <row r="108" spans="1:9" ht="14.25" customHeight="1" x14ac:dyDescent="0.25">
      <c r="A108" s="132" t="s">
        <v>117</v>
      </c>
      <c r="B108" s="132" t="s">
        <v>328</v>
      </c>
      <c r="C108" s="132">
        <v>12</v>
      </c>
      <c r="D108" s="132" t="str">
        <f t="shared" ref="D108:D133" si="7">A108&amp;" "&amp;B108&amp;" "&amp;C108</f>
        <v>1/2" Hex BB RS-775 12</v>
      </c>
      <c r="E108" s="132">
        <v>10</v>
      </c>
      <c r="F108" s="132">
        <v>5</v>
      </c>
      <c r="G108" s="132">
        <v>0</v>
      </c>
      <c r="H108" s="132">
        <v>0</v>
      </c>
      <c r="I108" s="132">
        <v>10</v>
      </c>
    </row>
    <row r="109" spans="1:9" ht="14.25" customHeight="1" x14ac:dyDescent="0.25">
      <c r="A109" s="132" t="s">
        <v>117</v>
      </c>
      <c r="B109" s="132" t="s">
        <v>328</v>
      </c>
      <c r="C109" s="132">
        <v>15</v>
      </c>
      <c r="D109" s="132" t="str">
        <f t="shared" si="7"/>
        <v>1/2" Hex BB RS-775 15</v>
      </c>
      <c r="E109" s="132">
        <v>10</v>
      </c>
      <c r="F109" s="132">
        <v>5</v>
      </c>
      <c r="G109" s="132">
        <v>0</v>
      </c>
      <c r="H109" s="132">
        <v>0</v>
      </c>
      <c r="I109" s="132">
        <v>7</v>
      </c>
    </row>
    <row r="110" spans="1:9" ht="14.25" customHeight="1" x14ac:dyDescent="0.25">
      <c r="A110" s="132" t="s">
        <v>117</v>
      </c>
      <c r="B110" s="132" t="s">
        <v>328</v>
      </c>
      <c r="C110" s="132">
        <v>16</v>
      </c>
      <c r="D110" s="132" t="str">
        <f t="shared" si="7"/>
        <v>1/2" Hex BB RS-775 16</v>
      </c>
      <c r="E110" s="132">
        <v>10</v>
      </c>
      <c r="F110" s="132">
        <v>5</v>
      </c>
      <c r="G110" s="132">
        <v>0</v>
      </c>
      <c r="H110" s="132">
        <v>0</v>
      </c>
      <c r="I110" s="132">
        <v>7</v>
      </c>
    </row>
    <row r="111" spans="1:9" ht="14.25" customHeight="1" x14ac:dyDescent="0.25">
      <c r="A111" s="132" t="s">
        <v>117</v>
      </c>
      <c r="B111" s="132" t="s">
        <v>328</v>
      </c>
      <c r="C111" s="132">
        <v>20</v>
      </c>
      <c r="D111" s="132" t="str">
        <f t="shared" si="7"/>
        <v>1/2" Hex BB RS-775 20</v>
      </c>
      <c r="E111" s="132">
        <v>10</v>
      </c>
      <c r="F111" s="132">
        <v>4</v>
      </c>
      <c r="G111" s="132">
        <v>0</v>
      </c>
      <c r="H111" s="132">
        <v>0</v>
      </c>
      <c r="I111" s="132">
        <v>5</v>
      </c>
    </row>
    <row r="112" spans="1:9" ht="14.25" customHeight="1" x14ac:dyDescent="0.25">
      <c r="A112" s="132" t="s">
        <v>117</v>
      </c>
      <c r="B112" s="132" t="s">
        <v>328</v>
      </c>
      <c r="C112" s="132">
        <v>21</v>
      </c>
      <c r="D112" s="132" t="str">
        <f t="shared" si="7"/>
        <v>1/2" Hex BB RS-775 21</v>
      </c>
      <c r="E112" s="132">
        <v>10</v>
      </c>
      <c r="F112" s="132">
        <v>4</v>
      </c>
      <c r="G112" s="132">
        <v>0</v>
      </c>
      <c r="H112" s="132">
        <v>0</v>
      </c>
      <c r="I112" s="132">
        <v>5</v>
      </c>
    </row>
    <row r="113" spans="1:9" ht="14.25" customHeight="1" x14ac:dyDescent="0.25">
      <c r="A113" s="132" t="s">
        <v>117</v>
      </c>
      <c r="B113" s="132" t="s">
        <v>328</v>
      </c>
      <c r="C113" s="132">
        <v>25</v>
      </c>
      <c r="D113" s="132" t="str">
        <f t="shared" si="7"/>
        <v>1/2" Hex BB RS-775 25</v>
      </c>
      <c r="E113" s="132">
        <v>7</v>
      </c>
      <c r="F113" s="132">
        <v>3</v>
      </c>
      <c r="G113" s="132">
        <v>0</v>
      </c>
      <c r="H113" s="132">
        <v>0</v>
      </c>
      <c r="I113" s="132">
        <v>5</v>
      </c>
    </row>
    <row r="114" spans="1:9" ht="14.25" customHeight="1" x14ac:dyDescent="0.25">
      <c r="A114" s="132" t="s">
        <v>117</v>
      </c>
      <c r="B114" s="132" t="s">
        <v>328</v>
      </c>
      <c r="C114" s="132">
        <v>27</v>
      </c>
      <c r="D114" s="132" t="str">
        <f t="shared" si="7"/>
        <v>1/2" Hex BB RS-775 27</v>
      </c>
      <c r="E114" s="132">
        <v>7</v>
      </c>
      <c r="F114" s="132">
        <v>3</v>
      </c>
      <c r="G114" s="132">
        <v>0</v>
      </c>
      <c r="H114" s="132">
        <v>0</v>
      </c>
      <c r="I114" s="132">
        <v>4</v>
      </c>
    </row>
    <row r="115" spans="1:9" ht="14.25" customHeight="1" x14ac:dyDescent="0.25">
      <c r="A115" s="132" t="s">
        <v>117</v>
      </c>
      <c r="B115" s="132" t="s">
        <v>328</v>
      </c>
      <c r="C115" s="132">
        <v>28</v>
      </c>
      <c r="D115" s="132" t="str">
        <f t="shared" si="7"/>
        <v>1/2" Hex BB RS-775 28</v>
      </c>
      <c r="E115" s="132">
        <v>7</v>
      </c>
      <c r="F115" s="132">
        <v>3</v>
      </c>
      <c r="G115" s="132">
        <v>0</v>
      </c>
      <c r="H115" s="132">
        <v>0</v>
      </c>
      <c r="I115" s="132">
        <v>4</v>
      </c>
    </row>
    <row r="116" spans="1:9" ht="14.25" customHeight="1" x14ac:dyDescent="0.25">
      <c r="A116" s="132" t="s">
        <v>117</v>
      </c>
      <c r="B116" s="132" t="s">
        <v>328</v>
      </c>
      <c r="C116" s="132">
        <v>30</v>
      </c>
      <c r="D116" s="132" t="str">
        <f t="shared" si="7"/>
        <v>1/2" Hex BB RS-775 30</v>
      </c>
      <c r="E116" s="132">
        <v>7</v>
      </c>
      <c r="F116" s="132">
        <v>3</v>
      </c>
      <c r="G116" s="132">
        <v>0</v>
      </c>
      <c r="H116" s="132">
        <v>0</v>
      </c>
      <c r="I116" s="132">
        <v>4</v>
      </c>
    </row>
    <row r="117" spans="1:9" ht="14.25" customHeight="1" x14ac:dyDescent="0.25">
      <c r="A117" s="132" t="s">
        <v>117</v>
      </c>
      <c r="B117" s="132" t="s">
        <v>328</v>
      </c>
      <c r="C117" s="132">
        <v>35</v>
      </c>
      <c r="D117" s="132" t="str">
        <f t="shared" si="7"/>
        <v>1/2" Hex BB RS-775 35</v>
      </c>
      <c r="E117" s="132">
        <v>5</v>
      </c>
      <c r="F117" s="132">
        <v>1</v>
      </c>
      <c r="G117" s="132">
        <v>0</v>
      </c>
      <c r="H117" s="132">
        <v>0</v>
      </c>
      <c r="I117" s="132">
        <v>3</v>
      </c>
    </row>
    <row r="118" spans="1:9" ht="14.25" customHeight="1" x14ac:dyDescent="0.25">
      <c r="A118" s="132" t="s">
        <v>117</v>
      </c>
      <c r="B118" s="132" t="s">
        <v>328</v>
      </c>
      <c r="C118" s="132">
        <v>36</v>
      </c>
      <c r="D118" s="132" t="str">
        <f t="shared" si="7"/>
        <v>1/2" Hex BB RS-775 36</v>
      </c>
      <c r="E118" s="132">
        <v>5</v>
      </c>
      <c r="F118" s="132">
        <v>1</v>
      </c>
      <c r="G118" s="132">
        <v>0</v>
      </c>
      <c r="H118" s="132">
        <v>0</v>
      </c>
      <c r="I118" s="132">
        <v>3</v>
      </c>
    </row>
    <row r="119" spans="1:9" ht="14.25" customHeight="1" x14ac:dyDescent="0.25">
      <c r="A119" s="132" t="s">
        <v>117</v>
      </c>
      <c r="B119" s="132" t="s">
        <v>328</v>
      </c>
      <c r="C119" s="132">
        <v>40</v>
      </c>
      <c r="D119" s="132" t="str">
        <f t="shared" si="7"/>
        <v>1/2" Hex BB RS-775 40</v>
      </c>
      <c r="E119" s="132">
        <v>5</v>
      </c>
      <c r="F119" s="132">
        <v>1</v>
      </c>
      <c r="G119" s="132">
        <v>0</v>
      </c>
      <c r="H119" s="132">
        <v>0</v>
      </c>
      <c r="I119" s="132">
        <v>3</v>
      </c>
    </row>
    <row r="120" spans="1:9" ht="14.25" customHeight="1" x14ac:dyDescent="0.25">
      <c r="A120" s="132" t="s">
        <v>117</v>
      </c>
      <c r="B120" s="132" t="s">
        <v>328</v>
      </c>
      <c r="C120" s="132">
        <v>45</v>
      </c>
      <c r="D120" s="132" t="str">
        <f t="shared" si="7"/>
        <v>1/2" Hex BB RS-775 45</v>
      </c>
      <c r="E120" s="132">
        <v>5</v>
      </c>
      <c r="F120" s="132">
        <v>1</v>
      </c>
      <c r="G120" s="132">
        <v>0</v>
      </c>
      <c r="H120" s="132">
        <v>0</v>
      </c>
      <c r="I120" s="132">
        <v>1</v>
      </c>
    </row>
    <row r="121" spans="1:9" ht="14.25" customHeight="1" x14ac:dyDescent="0.25">
      <c r="A121" s="132" t="s">
        <v>117</v>
      </c>
      <c r="B121" s="132" t="s">
        <v>328</v>
      </c>
      <c r="C121" s="132">
        <v>49</v>
      </c>
      <c r="D121" s="132" t="str">
        <f t="shared" si="7"/>
        <v>1/2" Hex BB RS-775 49</v>
      </c>
      <c r="E121" s="132">
        <v>5</v>
      </c>
      <c r="F121" s="132">
        <v>1</v>
      </c>
      <c r="G121" s="132">
        <v>0</v>
      </c>
      <c r="H121" s="132">
        <v>0</v>
      </c>
      <c r="I121" s="132">
        <v>1</v>
      </c>
    </row>
    <row r="122" spans="1:9" ht="14.25" customHeight="1" x14ac:dyDescent="0.25">
      <c r="A122" s="132" t="s">
        <v>117</v>
      </c>
      <c r="B122" s="132" t="s">
        <v>328</v>
      </c>
      <c r="C122" s="132">
        <v>50</v>
      </c>
      <c r="D122" s="132" t="str">
        <f t="shared" si="7"/>
        <v>1/2" Hex BB RS-775 50</v>
      </c>
      <c r="E122" s="132">
        <v>5</v>
      </c>
      <c r="F122" s="132">
        <v>1</v>
      </c>
      <c r="G122" s="132">
        <v>0</v>
      </c>
      <c r="H122" s="132">
        <v>0</v>
      </c>
      <c r="I122" s="132">
        <v>1</v>
      </c>
    </row>
    <row r="123" spans="1:9" ht="14.25" customHeight="1" x14ac:dyDescent="0.25">
      <c r="A123" s="132" t="s">
        <v>117</v>
      </c>
      <c r="B123" s="132" t="s">
        <v>328</v>
      </c>
      <c r="C123" s="132">
        <v>63</v>
      </c>
      <c r="D123" s="132" t="str">
        <f t="shared" si="7"/>
        <v>1/2" Hex BB RS-775 63</v>
      </c>
      <c r="E123" s="132">
        <v>5</v>
      </c>
      <c r="F123" s="132">
        <v>0</v>
      </c>
      <c r="G123" s="132">
        <v>0</v>
      </c>
      <c r="H123" s="132">
        <v>0</v>
      </c>
      <c r="I123" s="132">
        <v>1</v>
      </c>
    </row>
    <row r="124" spans="1:9" ht="14.25" customHeight="1" x14ac:dyDescent="0.25">
      <c r="A124" s="132" t="s">
        <v>117</v>
      </c>
      <c r="B124" s="132" t="s">
        <v>328</v>
      </c>
      <c r="C124" s="132">
        <v>70</v>
      </c>
      <c r="D124" s="132" t="str">
        <f t="shared" si="7"/>
        <v>1/2" Hex BB RS-775 70</v>
      </c>
      <c r="E124" s="132">
        <v>4</v>
      </c>
      <c r="F124" s="132">
        <v>0</v>
      </c>
      <c r="G124" s="132">
        <v>0</v>
      </c>
      <c r="H124" s="132">
        <v>0</v>
      </c>
      <c r="I124" s="132">
        <v>1</v>
      </c>
    </row>
    <row r="125" spans="1:9" ht="14.25" customHeight="1" x14ac:dyDescent="0.25">
      <c r="A125" s="132" t="s">
        <v>117</v>
      </c>
      <c r="B125" s="132" t="s">
        <v>328</v>
      </c>
      <c r="C125" s="132">
        <v>81</v>
      </c>
      <c r="D125" s="132" t="str">
        <f t="shared" si="7"/>
        <v>1/2" Hex BB RS-775 81</v>
      </c>
      <c r="E125" s="132">
        <v>4</v>
      </c>
      <c r="F125" s="132">
        <v>0</v>
      </c>
      <c r="G125" s="132">
        <v>0</v>
      </c>
      <c r="H125" s="132">
        <v>0</v>
      </c>
      <c r="I125" s="132">
        <v>1</v>
      </c>
    </row>
    <row r="126" spans="1:9" ht="14.25" customHeight="1" x14ac:dyDescent="0.25">
      <c r="A126" s="132" t="s">
        <v>117</v>
      </c>
      <c r="B126" s="132" t="s">
        <v>328</v>
      </c>
      <c r="C126" s="132">
        <v>90</v>
      </c>
      <c r="D126" s="132" t="str">
        <f t="shared" si="7"/>
        <v>1/2" Hex BB RS-775 90</v>
      </c>
      <c r="E126" s="132">
        <v>3</v>
      </c>
      <c r="F126" s="132">
        <v>0</v>
      </c>
      <c r="G126" s="132">
        <v>0</v>
      </c>
      <c r="H126" s="132">
        <v>0</v>
      </c>
      <c r="I126" s="132">
        <v>1</v>
      </c>
    </row>
    <row r="127" spans="1:9" ht="14.25" customHeight="1" x14ac:dyDescent="0.25">
      <c r="A127" s="132" t="s">
        <v>117</v>
      </c>
      <c r="B127" s="132" t="s">
        <v>328</v>
      </c>
      <c r="C127" s="132">
        <v>100</v>
      </c>
      <c r="D127" s="132" t="str">
        <f t="shared" si="7"/>
        <v>1/2" Hex BB RS-775 100</v>
      </c>
      <c r="E127" s="132">
        <v>3</v>
      </c>
      <c r="F127" s="132">
        <v>0</v>
      </c>
      <c r="G127" s="132">
        <v>0</v>
      </c>
      <c r="H127" s="132">
        <v>0</v>
      </c>
      <c r="I127" s="132">
        <v>1</v>
      </c>
    </row>
    <row r="128" spans="1:9" ht="14.25" customHeight="1" x14ac:dyDescent="0.25">
      <c r="A128" s="132" t="s">
        <v>117</v>
      </c>
      <c r="B128" s="132" t="s">
        <v>8</v>
      </c>
      <c r="C128" s="132">
        <v>-3</v>
      </c>
      <c r="D128" s="132" t="str">
        <f t="shared" si="7"/>
        <v>1/2" Hex BAG Motor -3</v>
      </c>
      <c r="E128" s="132">
        <v>1</v>
      </c>
      <c r="F128" s="132">
        <v>1</v>
      </c>
      <c r="G128" s="132">
        <v>1</v>
      </c>
      <c r="H128" s="132">
        <v>0</v>
      </c>
      <c r="I128" s="132">
        <v>1</v>
      </c>
    </row>
    <row r="129" spans="1:9" ht="14.25" customHeight="1" x14ac:dyDescent="0.25">
      <c r="A129" s="132" t="s">
        <v>117</v>
      </c>
      <c r="B129" s="132" t="s">
        <v>8</v>
      </c>
      <c r="C129" s="132">
        <v>-4</v>
      </c>
      <c r="D129" s="132" t="str">
        <f t="shared" si="7"/>
        <v>1/2" Hex BAG Motor -4</v>
      </c>
      <c r="E129" s="132">
        <v>1</v>
      </c>
      <c r="F129" s="132">
        <v>1</v>
      </c>
      <c r="G129" s="132">
        <v>1</v>
      </c>
      <c r="H129" s="132">
        <v>0</v>
      </c>
      <c r="I129" s="132">
        <v>1</v>
      </c>
    </row>
    <row r="130" spans="1:9" ht="14.25" customHeight="1" x14ac:dyDescent="0.25">
      <c r="A130" s="132" t="s">
        <v>117</v>
      </c>
      <c r="B130" s="132" t="s">
        <v>8</v>
      </c>
      <c r="C130" s="132">
        <v>-5</v>
      </c>
      <c r="D130" s="132" t="str">
        <f t="shared" si="7"/>
        <v>1/2" Hex BAG Motor -5</v>
      </c>
      <c r="E130" s="132">
        <v>1</v>
      </c>
      <c r="F130" s="132">
        <v>1</v>
      </c>
      <c r="G130" s="132">
        <v>1</v>
      </c>
      <c r="H130" s="132">
        <v>0</v>
      </c>
      <c r="I130" s="132">
        <v>1</v>
      </c>
    </row>
    <row r="131" spans="1:9" ht="14.25" customHeight="1" x14ac:dyDescent="0.25">
      <c r="A131" s="132" t="s">
        <v>117</v>
      </c>
      <c r="B131" s="132" t="s">
        <v>8</v>
      </c>
      <c r="C131" s="132">
        <v>-7</v>
      </c>
      <c r="D131" s="132" t="str">
        <f t="shared" si="7"/>
        <v>1/2" Hex BAG Motor -7</v>
      </c>
      <c r="E131" s="132">
        <v>1</v>
      </c>
      <c r="F131" s="132">
        <v>1</v>
      </c>
      <c r="G131" s="132">
        <v>1</v>
      </c>
      <c r="H131" s="132">
        <v>0</v>
      </c>
      <c r="I131" s="132">
        <v>1</v>
      </c>
    </row>
    <row r="132" spans="1:9" ht="14.25" customHeight="1" x14ac:dyDescent="0.25">
      <c r="A132" s="132" t="s">
        <v>117</v>
      </c>
      <c r="B132" s="132" t="s">
        <v>8</v>
      </c>
      <c r="C132" s="132">
        <v>-9</v>
      </c>
      <c r="D132" s="132" t="str">
        <f t="shared" si="7"/>
        <v>1/2" Hex BAG Motor -9</v>
      </c>
      <c r="E132" s="132">
        <v>1</v>
      </c>
      <c r="F132" s="132">
        <v>1</v>
      </c>
      <c r="G132" s="132">
        <v>0</v>
      </c>
      <c r="H132" s="132">
        <v>0</v>
      </c>
      <c r="I132" s="132">
        <v>1</v>
      </c>
    </row>
    <row r="133" spans="1:9" ht="14.25" customHeight="1" x14ac:dyDescent="0.25">
      <c r="A133" s="132" t="s">
        <v>117</v>
      </c>
      <c r="B133" s="132" t="s">
        <v>8</v>
      </c>
      <c r="C133" s="132">
        <v>-10</v>
      </c>
      <c r="D133" s="132" t="str">
        <f t="shared" si="7"/>
        <v>1/2" Hex BAG Motor -10</v>
      </c>
      <c r="E133" s="132">
        <v>1</v>
      </c>
      <c r="F133" s="132">
        <v>1</v>
      </c>
      <c r="G133" s="132">
        <v>0</v>
      </c>
      <c r="H133" s="132">
        <v>0</v>
      </c>
      <c r="I133" s="132">
        <v>1</v>
      </c>
    </row>
    <row r="134" spans="1:9" ht="14.25" customHeight="1" x14ac:dyDescent="0.25">
      <c r="A134" s="132" t="s">
        <v>117</v>
      </c>
      <c r="B134" s="132" t="s">
        <v>8</v>
      </c>
      <c r="C134" s="132">
        <v>9</v>
      </c>
      <c r="D134" s="132" t="str">
        <f t="shared" ref="D134:D154" si="8">A134&amp;" "&amp;B134&amp;" "&amp;C134</f>
        <v>1/2" Hex BAG Motor 9</v>
      </c>
      <c r="E134" s="132">
        <v>10</v>
      </c>
      <c r="F134" s="132">
        <v>10</v>
      </c>
      <c r="G134" s="132">
        <v>1</v>
      </c>
      <c r="H134" s="132">
        <v>0</v>
      </c>
      <c r="I134" s="132">
        <v>9</v>
      </c>
    </row>
    <row r="135" spans="1:9" ht="14.25" customHeight="1" x14ac:dyDescent="0.25">
      <c r="A135" s="132" t="s">
        <v>117</v>
      </c>
      <c r="B135" s="132" t="s">
        <v>8</v>
      </c>
      <c r="C135" s="132">
        <v>12</v>
      </c>
      <c r="D135" s="132" t="str">
        <f t="shared" si="8"/>
        <v>1/2" Hex BAG Motor 12</v>
      </c>
      <c r="E135" s="132">
        <v>10</v>
      </c>
      <c r="F135" s="132">
        <v>9</v>
      </c>
      <c r="G135" s="132">
        <v>1</v>
      </c>
      <c r="H135" s="132">
        <v>0</v>
      </c>
      <c r="I135" s="132">
        <v>5</v>
      </c>
    </row>
    <row r="136" spans="1:9" ht="14.25" customHeight="1" x14ac:dyDescent="0.25">
      <c r="A136" s="132" t="s">
        <v>117</v>
      </c>
      <c r="B136" s="132" t="s">
        <v>8</v>
      </c>
      <c r="C136" s="132">
        <v>15</v>
      </c>
      <c r="D136" s="132" t="str">
        <f t="shared" si="8"/>
        <v>1/2" Hex BAG Motor 15</v>
      </c>
      <c r="E136" s="132">
        <v>10</v>
      </c>
      <c r="F136" s="132">
        <v>7</v>
      </c>
      <c r="G136" s="132">
        <v>0</v>
      </c>
      <c r="H136" s="132">
        <v>0</v>
      </c>
      <c r="I136" s="132">
        <v>5</v>
      </c>
    </row>
    <row r="137" spans="1:9" ht="14.25" customHeight="1" x14ac:dyDescent="0.25">
      <c r="A137" s="132" t="s">
        <v>117</v>
      </c>
      <c r="B137" s="132" t="s">
        <v>8</v>
      </c>
      <c r="C137" s="132">
        <v>16</v>
      </c>
      <c r="D137" s="132" t="str">
        <f t="shared" si="8"/>
        <v>1/2" Hex BAG Motor 16</v>
      </c>
      <c r="E137" s="132">
        <v>10</v>
      </c>
      <c r="F137" s="132">
        <v>5</v>
      </c>
      <c r="G137" s="132">
        <v>0</v>
      </c>
      <c r="H137" s="132">
        <v>0</v>
      </c>
      <c r="I137" s="132">
        <v>5</v>
      </c>
    </row>
    <row r="138" spans="1:9" ht="14.25" customHeight="1" x14ac:dyDescent="0.25">
      <c r="A138" s="132" t="s">
        <v>117</v>
      </c>
      <c r="B138" s="132" t="s">
        <v>8</v>
      </c>
      <c r="C138" s="132">
        <v>20</v>
      </c>
      <c r="D138" s="132" t="str">
        <f t="shared" si="8"/>
        <v>1/2" Hex BAG Motor 20</v>
      </c>
      <c r="E138" s="132">
        <v>9</v>
      </c>
      <c r="F138" s="132">
        <v>5</v>
      </c>
      <c r="G138" s="132">
        <v>0</v>
      </c>
      <c r="H138" s="132">
        <v>0</v>
      </c>
      <c r="I138" s="132">
        <v>4</v>
      </c>
    </row>
    <row r="139" spans="1:9" ht="14.25" customHeight="1" x14ac:dyDescent="0.25">
      <c r="A139" s="132" t="s">
        <v>117</v>
      </c>
      <c r="B139" s="132" t="s">
        <v>8</v>
      </c>
      <c r="C139" s="132">
        <v>21</v>
      </c>
      <c r="D139" s="132" t="str">
        <f t="shared" si="8"/>
        <v>1/2" Hex BAG Motor 21</v>
      </c>
      <c r="E139" s="132">
        <v>9</v>
      </c>
      <c r="F139" s="132">
        <v>5</v>
      </c>
      <c r="G139" s="132">
        <v>0</v>
      </c>
      <c r="H139" s="132">
        <v>0</v>
      </c>
      <c r="I139" s="132">
        <v>3</v>
      </c>
    </row>
    <row r="140" spans="1:9" ht="14.25" customHeight="1" x14ac:dyDescent="0.25">
      <c r="A140" s="132" t="s">
        <v>117</v>
      </c>
      <c r="B140" s="132" t="s">
        <v>8</v>
      </c>
      <c r="C140" s="132">
        <v>25</v>
      </c>
      <c r="D140" s="132" t="str">
        <f t="shared" si="8"/>
        <v>1/2" Hex BAG Motor 25</v>
      </c>
      <c r="E140" s="132">
        <v>7</v>
      </c>
      <c r="F140" s="132">
        <v>5</v>
      </c>
      <c r="G140" s="132">
        <v>0</v>
      </c>
      <c r="H140" s="132">
        <v>0</v>
      </c>
      <c r="I140" s="132">
        <v>3</v>
      </c>
    </row>
    <row r="141" spans="1:9" ht="14.25" customHeight="1" x14ac:dyDescent="0.25">
      <c r="A141" s="132" t="s">
        <v>117</v>
      </c>
      <c r="B141" s="132" t="s">
        <v>8</v>
      </c>
      <c r="C141" s="132">
        <v>27</v>
      </c>
      <c r="D141" s="132" t="str">
        <f t="shared" si="8"/>
        <v>1/2" Hex BAG Motor 27</v>
      </c>
      <c r="E141" s="132">
        <v>7</v>
      </c>
      <c r="F141" s="132">
        <v>5</v>
      </c>
      <c r="G141" s="132">
        <v>0</v>
      </c>
      <c r="H141" s="132">
        <v>0</v>
      </c>
      <c r="I141" s="132">
        <v>3</v>
      </c>
    </row>
    <row r="142" spans="1:9" ht="14.25" customHeight="1" x14ac:dyDescent="0.25">
      <c r="A142" s="132" t="s">
        <v>117</v>
      </c>
      <c r="B142" s="132" t="s">
        <v>8</v>
      </c>
      <c r="C142" s="132">
        <v>28</v>
      </c>
      <c r="D142" s="132" t="str">
        <f t="shared" si="8"/>
        <v>1/2" Hex BAG Motor 28</v>
      </c>
      <c r="E142" s="132">
        <v>7</v>
      </c>
      <c r="F142" s="132">
        <v>5</v>
      </c>
      <c r="G142" s="132">
        <v>0</v>
      </c>
      <c r="H142" s="132">
        <v>0</v>
      </c>
      <c r="I142" s="132">
        <v>1</v>
      </c>
    </row>
    <row r="143" spans="1:9" ht="14.25" customHeight="1" x14ac:dyDescent="0.25">
      <c r="A143" s="132" t="s">
        <v>117</v>
      </c>
      <c r="B143" s="132" t="s">
        <v>8</v>
      </c>
      <c r="C143" s="132">
        <v>30</v>
      </c>
      <c r="D143" s="132" t="str">
        <f t="shared" si="8"/>
        <v>1/2" Hex BAG Motor 30</v>
      </c>
      <c r="E143" s="132">
        <v>5</v>
      </c>
      <c r="F143" s="132">
        <v>5</v>
      </c>
      <c r="G143" s="132">
        <v>0</v>
      </c>
      <c r="H143" s="132">
        <v>0</v>
      </c>
      <c r="I143" s="132">
        <v>1</v>
      </c>
    </row>
    <row r="144" spans="1:9" ht="14.25" customHeight="1" x14ac:dyDescent="0.25">
      <c r="A144" s="132" t="s">
        <v>117</v>
      </c>
      <c r="B144" s="132" t="s">
        <v>8</v>
      </c>
      <c r="C144" s="132">
        <v>35</v>
      </c>
      <c r="D144" s="132" t="str">
        <f t="shared" si="8"/>
        <v>1/2" Hex BAG Motor 35</v>
      </c>
      <c r="E144" s="132">
        <v>5</v>
      </c>
      <c r="F144" s="132">
        <v>4</v>
      </c>
      <c r="G144" s="132">
        <v>0</v>
      </c>
      <c r="H144" s="132">
        <v>0</v>
      </c>
      <c r="I144" s="132">
        <v>1</v>
      </c>
    </row>
    <row r="145" spans="1:9" ht="14.25" customHeight="1" x14ac:dyDescent="0.25">
      <c r="A145" s="132" t="s">
        <v>117</v>
      </c>
      <c r="B145" s="132" t="s">
        <v>8</v>
      </c>
      <c r="C145" s="132">
        <v>36</v>
      </c>
      <c r="D145" s="132" t="str">
        <f t="shared" si="8"/>
        <v>1/2" Hex BAG Motor 36</v>
      </c>
      <c r="E145" s="132">
        <v>5</v>
      </c>
      <c r="F145" s="132">
        <v>4</v>
      </c>
      <c r="G145" s="132">
        <v>0</v>
      </c>
      <c r="H145" s="132">
        <v>0</v>
      </c>
      <c r="I145" s="132">
        <v>1</v>
      </c>
    </row>
    <row r="146" spans="1:9" ht="14.25" customHeight="1" x14ac:dyDescent="0.25">
      <c r="A146" s="132" t="s">
        <v>117</v>
      </c>
      <c r="B146" s="132" t="s">
        <v>8</v>
      </c>
      <c r="C146" s="132">
        <v>40</v>
      </c>
      <c r="D146" s="132" t="str">
        <f t="shared" si="8"/>
        <v>1/2" Hex BAG Motor 40</v>
      </c>
      <c r="E146" s="132">
        <v>5</v>
      </c>
      <c r="F146" s="132">
        <v>4</v>
      </c>
      <c r="G146" s="132">
        <v>0</v>
      </c>
      <c r="H146" s="132">
        <v>0</v>
      </c>
      <c r="I146" s="132">
        <v>1</v>
      </c>
    </row>
    <row r="147" spans="1:9" ht="14.25" customHeight="1" x14ac:dyDescent="0.25">
      <c r="A147" s="132" t="s">
        <v>117</v>
      </c>
      <c r="B147" s="132" t="s">
        <v>8</v>
      </c>
      <c r="C147" s="132">
        <v>45</v>
      </c>
      <c r="D147" s="132" t="str">
        <f t="shared" si="8"/>
        <v>1/2" Hex BAG Motor 45</v>
      </c>
      <c r="E147" s="132">
        <v>5</v>
      </c>
      <c r="F147" s="132">
        <v>3</v>
      </c>
      <c r="G147" s="132">
        <v>0</v>
      </c>
      <c r="H147" s="132">
        <v>0</v>
      </c>
      <c r="I147" s="132">
        <v>1</v>
      </c>
    </row>
    <row r="148" spans="1:9" ht="14.25" customHeight="1" x14ac:dyDescent="0.25">
      <c r="A148" s="132" t="s">
        <v>117</v>
      </c>
      <c r="B148" s="132" t="s">
        <v>8</v>
      </c>
      <c r="C148" s="132">
        <v>49</v>
      </c>
      <c r="D148" s="132" t="str">
        <f t="shared" si="8"/>
        <v>1/2" Hex BAG Motor 49</v>
      </c>
      <c r="E148" s="132">
        <v>5</v>
      </c>
      <c r="F148" s="132">
        <v>3</v>
      </c>
      <c r="G148" s="132">
        <v>0</v>
      </c>
      <c r="H148" s="132">
        <v>0</v>
      </c>
      <c r="I148" s="132">
        <v>1</v>
      </c>
    </row>
    <row r="149" spans="1:9" ht="14.25" customHeight="1" x14ac:dyDescent="0.25">
      <c r="A149" s="132" t="s">
        <v>117</v>
      </c>
      <c r="B149" s="132" t="s">
        <v>8</v>
      </c>
      <c r="C149" s="132">
        <v>50</v>
      </c>
      <c r="D149" s="132" t="str">
        <f t="shared" si="8"/>
        <v>1/2" Hex BAG Motor 50</v>
      </c>
      <c r="E149" s="132">
        <v>5</v>
      </c>
      <c r="F149" s="132">
        <v>3</v>
      </c>
      <c r="G149" s="132">
        <v>0</v>
      </c>
      <c r="H149" s="132">
        <v>0</v>
      </c>
      <c r="I149" s="132">
        <v>1</v>
      </c>
    </row>
    <row r="150" spans="1:9" ht="14.25" customHeight="1" x14ac:dyDescent="0.25">
      <c r="A150" s="132" t="s">
        <v>117</v>
      </c>
      <c r="B150" s="132" t="s">
        <v>8</v>
      </c>
      <c r="C150" s="132">
        <v>63</v>
      </c>
      <c r="D150" s="132" t="str">
        <f t="shared" si="8"/>
        <v>1/2" Hex BAG Motor 63</v>
      </c>
      <c r="E150" s="132">
        <v>4</v>
      </c>
      <c r="F150" s="132">
        <v>1</v>
      </c>
      <c r="G150" s="132">
        <v>0</v>
      </c>
      <c r="H150" s="132">
        <v>0</v>
      </c>
      <c r="I150" s="132">
        <v>1</v>
      </c>
    </row>
    <row r="151" spans="1:9" ht="14.25" customHeight="1" x14ac:dyDescent="0.25">
      <c r="A151" s="132" t="s">
        <v>117</v>
      </c>
      <c r="B151" s="132" t="s">
        <v>8</v>
      </c>
      <c r="C151" s="132">
        <v>70</v>
      </c>
      <c r="D151" s="132" t="str">
        <f t="shared" si="8"/>
        <v>1/2" Hex BAG Motor 70</v>
      </c>
      <c r="E151" s="132">
        <v>4</v>
      </c>
      <c r="F151" s="132">
        <v>1</v>
      </c>
      <c r="G151" s="132">
        <v>0</v>
      </c>
      <c r="H151" s="132">
        <v>0</v>
      </c>
      <c r="I151" s="132">
        <v>1</v>
      </c>
    </row>
    <row r="152" spans="1:9" ht="14.25" customHeight="1" x14ac:dyDescent="0.25">
      <c r="A152" s="132" t="s">
        <v>117</v>
      </c>
      <c r="B152" s="132" t="s">
        <v>8</v>
      </c>
      <c r="C152" s="132">
        <v>81</v>
      </c>
      <c r="D152" s="132" t="str">
        <f t="shared" si="8"/>
        <v>1/2" Hex BAG Motor 81</v>
      </c>
      <c r="E152" s="132">
        <v>3</v>
      </c>
      <c r="F152" s="132">
        <v>1</v>
      </c>
      <c r="G152" s="132">
        <v>0</v>
      </c>
      <c r="H152" s="132">
        <v>0</v>
      </c>
      <c r="I152" s="132">
        <v>1</v>
      </c>
    </row>
    <row r="153" spans="1:9" ht="14.25" customHeight="1" x14ac:dyDescent="0.25">
      <c r="A153" s="132" t="s">
        <v>117</v>
      </c>
      <c r="B153" s="132" t="s">
        <v>8</v>
      </c>
      <c r="C153" s="132">
        <v>90</v>
      </c>
      <c r="D153" s="132" t="str">
        <f t="shared" si="8"/>
        <v>1/2" Hex BAG Motor 90</v>
      </c>
      <c r="E153" s="132">
        <v>3</v>
      </c>
      <c r="F153" s="132">
        <v>1</v>
      </c>
      <c r="G153" s="132">
        <v>0</v>
      </c>
      <c r="H153" s="132">
        <v>0</v>
      </c>
      <c r="I153" s="132">
        <v>0</v>
      </c>
    </row>
    <row r="154" spans="1:9" ht="14.25" customHeight="1" x14ac:dyDescent="0.25">
      <c r="A154" s="132" t="s">
        <v>117</v>
      </c>
      <c r="B154" s="132" t="s">
        <v>8</v>
      </c>
      <c r="C154" s="132">
        <v>100</v>
      </c>
      <c r="D154" s="132" t="str">
        <f t="shared" si="8"/>
        <v>1/2" Hex BAG Motor 100</v>
      </c>
      <c r="E154" s="132">
        <v>3</v>
      </c>
      <c r="F154" s="132">
        <v>1</v>
      </c>
      <c r="G154" s="132">
        <v>0</v>
      </c>
      <c r="H154" s="132">
        <v>0</v>
      </c>
      <c r="I154" s="132">
        <v>0</v>
      </c>
    </row>
    <row r="155" spans="1:9" ht="14.25" customHeight="1" x14ac:dyDescent="0.25">
      <c r="A155" s="132" t="s">
        <v>117</v>
      </c>
      <c r="B155" s="132" t="s">
        <v>256</v>
      </c>
      <c r="C155" s="132">
        <v>-3</v>
      </c>
      <c r="D155" s="132" t="str">
        <f t="shared" ref="D155:D160" si="9">A155&amp;" "&amp;B155&amp;" "&amp;C155</f>
        <v>1/2" Hex 775pro -3</v>
      </c>
      <c r="E155" s="132">
        <v>1</v>
      </c>
      <c r="F155" s="132">
        <v>1</v>
      </c>
      <c r="G155" s="132">
        <v>1</v>
      </c>
      <c r="H155" s="132">
        <v>0</v>
      </c>
      <c r="I155" s="132">
        <v>1</v>
      </c>
    </row>
    <row r="156" spans="1:9" ht="14.25" customHeight="1" x14ac:dyDescent="0.25">
      <c r="A156" s="132" t="s">
        <v>117</v>
      </c>
      <c r="B156" s="132" t="s">
        <v>256</v>
      </c>
      <c r="C156" s="132">
        <v>-4</v>
      </c>
      <c r="D156" s="132" t="str">
        <f t="shared" si="9"/>
        <v>1/2" Hex 775pro -4</v>
      </c>
      <c r="E156" s="132">
        <v>1</v>
      </c>
      <c r="F156" s="132">
        <v>1</v>
      </c>
      <c r="G156" s="132">
        <v>1</v>
      </c>
      <c r="H156" s="132">
        <v>0</v>
      </c>
      <c r="I156" s="132">
        <v>1</v>
      </c>
    </row>
    <row r="157" spans="1:9" ht="14.25" customHeight="1" x14ac:dyDescent="0.25">
      <c r="A157" s="132" t="s">
        <v>117</v>
      </c>
      <c r="B157" s="132" t="s">
        <v>256</v>
      </c>
      <c r="C157" s="132">
        <v>-5</v>
      </c>
      <c r="D157" s="132" t="str">
        <f t="shared" si="9"/>
        <v>1/2" Hex 775pro -5</v>
      </c>
      <c r="E157" s="132">
        <v>1</v>
      </c>
      <c r="F157" s="132">
        <v>1</v>
      </c>
      <c r="G157" s="132">
        <v>1</v>
      </c>
      <c r="H157" s="132">
        <v>0</v>
      </c>
      <c r="I157" s="132">
        <v>1</v>
      </c>
    </row>
    <row r="158" spans="1:9" ht="14.25" customHeight="1" x14ac:dyDescent="0.25">
      <c r="A158" s="132" t="s">
        <v>117</v>
      </c>
      <c r="B158" s="132" t="s">
        <v>256</v>
      </c>
      <c r="C158" s="132">
        <v>-7</v>
      </c>
      <c r="D158" s="132" t="str">
        <f t="shared" si="9"/>
        <v>1/2" Hex 775pro -7</v>
      </c>
      <c r="E158" s="132">
        <v>1</v>
      </c>
      <c r="F158" s="132">
        <v>1</v>
      </c>
      <c r="G158" s="132">
        <v>0</v>
      </c>
      <c r="H158" s="132">
        <v>0</v>
      </c>
      <c r="I158" s="132">
        <v>1</v>
      </c>
    </row>
    <row r="159" spans="1:9" ht="14.25" customHeight="1" x14ac:dyDescent="0.25">
      <c r="A159" s="132" t="s">
        <v>117</v>
      </c>
      <c r="B159" s="132" t="s">
        <v>256</v>
      </c>
      <c r="C159" s="132">
        <v>-9</v>
      </c>
      <c r="D159" s="132" t="str">
        <f t="shared" si="9"/>
        <v>1/2" Hex 775pro -9</v>
      </c>
      <c r="E159" s="132">
        <v>1</v>
      </c>
      <c r="F159" s="132">
        <v>1</v>
      </c>
      <c r="G159" s="132">
        <v>0</v>
      </c>
      <c r="H159" s="132">
        <v>0</v>
      </c>
      <c r="I159" s="132">
        <v>1</v>
      </c>
    </row>
    <row r="160" spans="1:9" ht="14.25" customHeight="1" x14ac:dyDescent="0.25">
      <c r="A160" s="132" t="s">
        <v>117</v>
      </c>
      <c r="B160" s="132" t="s">
        <v>256</v>
      </c>
      <c r="C160" s="132">
        <v>-10</v>
      </c>
      <c r="D160" s="132" t="str">
        <f t="shared" si="9"/>
        <v>1/2" Hex 775pro -10</v>
      </c>
      <c r="E160" s="132">
        <v>1</v>
      </c>
      <c r="F160" s="132">
        <v>1</v>
      </c>
      <c r="G160" s="132">
        <v>0</v>
      </c>
      <c r="H160" s="132">
        <v>0</v>
      </c>
      <c r="I160" s="132">
        <v>1</v>
      </c>
    </row>
    <row r="161" spans="1:9" ht="14.25" customHeight="1" x14ac:dyDescent="0.25">
      <c r="A161" s="132" t="s">
        <v>117</v>
      </c>
      <c r="B161" s="132" t="s">
        <v>256</v>
      </c>
      <c r="C161" s="132">
        <v>9</v>
      </c>
      <c r="D161" s="132" t="str">
        <f t="shared" ref="D161:D181" si="10">A161&amp;" "&amp;B161&amp;" "&amp;C161</f>
        <v>1/2" Hex 775pro 9</v>
      </c>
      <c r="E161" s="132">
        <v>10</v>
      </c>
      <c r="F161" s="132">
        <v>7</v>
      </c>
      <c r="G161" s="132">
        <v>0</v>
      </c>
      <c r="H161" s="132">
        <v>0</v>
      </c>
      <c r="I161" s="132">
        <v>5</v>
      </c>
    </row>
    <row r="162" spans="1:9" ht="14.25" customHeight="1" x14ac:dyDescent="0.25">
      <c r="A162" s="132" t="s">
        <v>117</v>
      </c>
      <c r="B162" s="132" t="s">
        <v>256</v>
      </c>
      <c r="C162" s="132">
        <v>12</v>
      </c>
      <c r="D162" s="132" t="str">
        <f t="shared" si="10"/>
        <v>1/2" Hex 775pro 12</v>
      </c>
      <c r="E162" s="132">
        <v>10</v>
      </c>
      <c r="F162" s="132">
        <v>5</v>
      </c>
      <c r="G162" s="132">
        <v>0</v>
      </c>
      <c r="H162" s="132">
        <v>0</v>
      </c>
      <c r="I162" s="132">
        <v>4</v>
      </c>
    </row>
    <row r="163" spans="1:9" ht="14.25" customHeight="1" x14ac:dyDescent="0.25">
      <c r="A163" s="132" t="s">
        <v>117</v>
      </c>
      <c r="B163" s="132" t="s">
        <v>256</v>
      </c>
      <c r="C163" s="132">
        <v>15</v>
      </c>
      <c r="D163" s="132" t="str">
        <f t="shared" si="10"/>
        <v>1/2" Hex 775pro 15</v>
      </c>
      <c r="E163" s="132">
        <v>9</v>
      </c>
      <c r="F163" s="132">
        <v>5</v>
      </c>
      <c r="G163" s="132">
        <v>0</v>
      </c>
      <c r="H163" s="132">
        <v>0</v>
      </c>
      <c r="I163" s="132">
        <v>3</v>
      </c>
    </row>
    <row r="164" spans="1:9" ht="14.25" customHeight="1" x14ac:dyDescent="0.25">
      <c r="A164" s="132" t="s">
        <v>117</v>
      </c>
      <c r="B164" s="132" t="s">
        <v>256</v>
      </c>
      <c r="C164" s="132">
        <v>16</v>
      </c>
      <c r="D164" s="132" t="str">
        <f t="shared" si="10"/>
        <v>1/2" Hex 775pro 16</v>
      </c>
      <c r="E164" s="132">
        <v>7</v>
      </c>
      <c r="F164" s="132">
        <v>5</v>
      </c>
      <c r="G164" s="132">
        <v>0</v>
      </c>
      <c r="H164" s="132">
        <v>0</v>
      </c>
      <c r="I164" s="132">
        <v>3</v>
      </c>
    </row>
    <row r="165" spans="1:9" ht="14.25" customHeight="1" x14ac:dyDescent="0.25">
      <c r="A165" s="132" t="s">
        <v>117</v>
      </c>
      <c r="B165" s="132" t="s">
        <v>256</v>
      </c>
      <c r="C165" s="132">
        <v>20</v>
      </c>
      <c r="D165" s="132" t="str">
        <f t="shared" si="10"/>
        <v>1/2" Hex 775pro 20</v>
      </c>
      <c r="E165" s="132">
        <v>5</v>
      </c>
      <c r="F165" s="132">
        <v>5</v>
      </c>
      <c r="G165" s="132">
        <v>0</v>
      </c>
      <c r="H165" s="132">
        <v>0</v>
      </c>
      <c r="I165" s="132">
        <v>1</v>
      </c>
    </row>
    <row r="166" spans="1:9" ht="14.25" customHeight="1" x14ac:dyDescent="0.25">
      <c r="A166" s="132" t="s">
        <v>117</v>
      </c>
      <c r="B166" s="132" t="s">
        <v>256</v>
      </c>
      <c r="C166" s="132">
        <v>21</v>
      </c>
      <c r="D166" s="132" t="str">
        <f t="shared" si="10"/>
        <v>1/2" Hex 775pro 21</v>
      </c>
      <c r="E166" s="132">
        <v>5</v>
      </c>
      <c r="F166" s="132">
        <v>5</v>
      </c>
      <c r="G166" s="132">
        <v>0</v>
      </c>
      <c r="H166" s="132">
        <v>0</v>
      </c>
      <c r="I166" s="132">
        <v>1</v>
      </c>
    </row>
    <row r="167" spans="1:9" ht="14.25" customHeight="1" x14ac:dyDescent="0.25">
      <c r="A167" s="132" t="s">
        <v>117</v>
      </c>
      <c r="B167" s="132" t="s">
        <v>256</v>
      </c>
      <c r="C167" s="132">
        <v>25</v>
      </c>
      <c r="D167" s="132" t="str">
        <f t="shared" si="10"/>
        <v>1/2" Hex 775pro 25</v>
      </c>
      <c r="E167" s="132">
        <v>5</v>
      </c>
      <c r="F167" s="132">
        <v>4</v>
      </c>
      <c r="G167" s="132">
        <v>0</v>
      </c>
      <c r="H167" s="132">
        <v>0</v>
      </c>
      <c r="I167" s="132">
        <v>1</v>
      </c>
    </row>
    <row r="168" spans="1:9" ht="14.25" customHeight="1" x14ac:dyDescent="0.25">
      <c r="A168" s="132" t="s">
        <v>117</v>
      </c>
      <c r="B168" s="132" t="s">
        <v>256</v>
      </c>
      <c r="C168" s="132">
        <v>27</v>
      </c>
      <c r="D168" s="132" t="str">
        <f t="shared" si="10"/>
        <v>1/2" Hex 775pro 27</v>
      </c>
      <c r="E168" s="132">
        <v>5</v>
      </c>
      <c r="F168" s="132">
        <v>4</v>
      </c>
      <c r="G168" s="132">
        <v>0</v>
      </c>
      <c r="H168" s="132">
        <v>0</v>
      </c>
      <c r="I168" s="132">
        <v>1</v>
      </c>
    </row>
    <row r="169" spans="1:9" ht="14.25" customHeight="1" x14ac:dyDescent="0.25">
      <c r="A169" s="132" t="s">
        <v>117</v>
      </c>
      <c r="B169" s="132" t="s">
        <v>256</v>
      </c>
      <c r="C169" s="132">
        <v>28</v>
      </c>
      <c r="D169" s="132" t="str">
        <f t="shared" si="10"/>
        <v>1/2" Hex 775pro 28</v>
      </c>
      <c r="E169" s="132">
        <v>5</v>
      </c>
      <c r="F169" s="132">
        <v>3</v>
      </c>
      <c r="G169" s="132">
        <v>0</v>
      </c>
      <c r="H169" s="132">
        <v>0</v>
      </c>
      <c r="I169" s="132">
        <v>1</v>
      </c>
    </row>
    <row r="170" spans="1:9" ht="14.25" customHeight="1" x14ac:dyDescent="0.25">
      <c r="A170" s="132" t="s">
        <v>117</v>
      </c>
      <c r="B170" s="132" t="s">
        <v>256</v>
      </c>
      <c r="C170" s="132">
        <v>30</v>
      </c>
      <c r="D170" s="132" t="str">
        <f t="shared" si="10"/>
        <v>1/2" Hex 775pro 30</v>
      </c>
      <c r="E170" s="132">
        <v>5</v>
      </c>
      <c r="F170" s="132">
        <v>3</v>
      </c>
      <c r="G170" s="132">
        <v>0</v>
      </c>
      <c r="H170" s="132">
        <v>0</v>
      </c>
      <c r="I170" s="132">
        <v>1</v>
      </c>
    </row>
    <row r="171" spans="1:9" ht="14.25" customHeight="1" x14ac:dyDescent="0.25">
      <c r="A171" s="132" t="s">
        <v>117</v>
      </c>
      <c r="B171" s="132" t="s">
        <v>256</v>
      </c>
      <c r="C171" s="132">
        <v>35</v>
      </c>
      <c r="D171" s="132" t="str">
        <f t="shared" si="10"/>
        <v>1/2" Hex 775pro 35</v>
      </c>
      <c r="E171" s="132">
        <v>5</v>
      </c>
      <c r="F171" s="132">
        <v>3</v>
      </c>
      <c r="G171" s="132">
        <v>0</v>
      </c>
      <c r="H171" s="132">
        <v>0</v>
      </c>
      <c r="I171" s="132">
        <v>1</v>
      </c>
    </row>
    <row r="172" spans="1:9" ht="14.25" customHeight="1" x14ac:dyDescent="0.25">
      <c r="A172" s="132" t="s">
        <v>117</v>
      </c>
      <c r="B172" s="132" t="s">
        <v>256</v>
      </c>
      <c r="C172" s="132">
        <v>36</v>
      </c>
      <c r="D172" s="132" t="str">
        <f t="shared" si="10"/>
        <v>1/2" Hex 775pro 36</v>
      </c>
      <c r="E172" s="132">
        <v>5</v>
      </c>
      <c r="F172" s="132">
        <v>3</v>
      </c>
      <c r="G172" s="132">
        <v>0</v>
      </c>
      <c r="H172" s="132">
        <v>0</v>
      </c>
      <c r="I172" s="132">
        <v>1</v>
      </c>
    </row>
    <row r="173" spans="1:9" ht="14.25" customHeight="1" x14ac:dyDescent="0.25">
      <c r="A173" s="132" t="s">
        <v>117</v>
      </c>
      <c r="B173" s="132" t="s">
        <v>256</v>
      </c>
      <c r="C173" s="132">
        <v>40</v>
      </c>
      <c r="D173" s="132" t="str">
        <f t="shared" si="10"/>
        <v>1/2" Hex 775pro 40</v>
      </c>
      <c r="E173" s="132">
        <v>5</v>
      </c>
      <c r="F173" s="132">
        <v>1</v>
      </c>
      <c r="G173" s="132">
        <v>0</v>
      </c>
      <c r="H173" s="132">
        <v>0</v>
      </c>
      <c r="I173" s="132">
        <v>1</v>
      </c>
    </row>
    <row r="174" spans="1:9" ht="14.25" customHeight="1" x14ac:dyDescent="0.25">
      <c r="A174" s="132" t="s">
        <v>117</v>
      </c>
      <c r="B174" s="132" t="s">
        <v>256</v>
      </c>
      <c r="C174" s="132">
        <v>45</v>
      </c>
      <c r="D174" s="132" t="str">
        <f t="shared" si="10"/>
        <v>1/2" Hex 775pro 45</v>
      </c>
      <c r="E174" s="132">
        <v>4</v>
      </c>
      <c r="F174" s="132">
        <v>1</v>
      </c>
      <c r="G174" s="132">
        <v>0</v>
      </c>
      <c r="H174" s="132">
        <v>0</v>
      </c>
      <c r="I174" s="132">
        <v>1</v>
      </c>
    </row>
    <row r="175" spans="1:9" ht="14.25" customHeight="1" x14ac:dyDescent="0.25">
      <c r="A175" s="132" t="s">
        <v>117</v>
      </c>
      <c r="B175" s="132" t="s">
        <v>256</v>
      </c>
      <c r="C175" s="132">
        <v>49</v>
      </c>
      <c r="D175" s="132" t="str">
        <f t="shared" si="10"/>
        <v>1/2" Hex 775pro 49</v>
      </c>
      <c r="E175" s="132">
        <v>4</v>
      </c>
      <c r="F175" s="132">
        <v>1</v>
      </c>
      <c r="G175" s="132">
        <v>0</v>
      </c>
      <c r="H175" s="132">
        <v>0</v>
      </c>
      <c r="I175" s="132">
        <v>1</v>
      </c>
    </row>
    <row r="176" spans="1:9" ht="14.25" customHeight="1" x14ac:dyDescent="0.25">
      <c r="A176" s="132" t="s">
        <v>117</v>
      </c>
      <c r="B176" s="132" t="s">
        <v>256</v>
      </c>
      <c r="C176" s="132">
        <v>50</v>
      </c>
      <c r="D176" s="132" t="str">
        <f t="shared" si="10"/>
        <v>1/2" Hex 775pro 50</v>
      </c>
      <c r="E176" s="132">
        <v>4</v>
      </c>
      <c r="F176" s="132">
        <v>1</v>
      </c>
      <c r="G176" s="132">
        <v>0</v>
      </c>
      <c r="H176" s="132">
        <v>0</v>
      </c>
      <c r="I176" s="132">
        <v>0</v>
      </c>
    </row>
    <row r="177" spans="1:9" ht="14.25" customHeight="1" x14ac:dyDescent="0.25">
      <c r="A177" s="132" t="s">
        <v>117</v>
      </c>
      <c r="B177" s="132" t="s">
        <v>256</v>
      </c>
      <c r="C177" s="132">
        <v>63</v>
      </c>
      <c r="D177" s="132" t="str">
        <f t="shared" si="10"/>
        <v>1/2" Hex 775pro 63</v>
      </c>
      <c r="E177" s="132">
        <v>3</v>
      </c>
      <c r="F177" s="132">
        <v>1</v>
      </c>
      <c r="G177" s="132">
        <v>0</v>
      </c>
      <c r="H177" s="132">
        <v>0</v>
      </c>
      <c r="I177" s="132">
        <v>0</v>
      </c>
    </row>
    <row r="178" spans="1:9" ht="14.25" customHeight="1" x14ac:dyDescent="0.25">
      <c r="A178" s="132" t="s">
        <v>117</v>
      </c>
      <c r="B178" s="132" t="s">
        <v>256</v>
      </c>
      <c r="C178" s="132">
        <v>70</v>
      </c>
      <c r="D178" s="132" t="str">
        <f t="shared" si="10"/>
        <v>1/2" Hex 775pro 70</v>
      </c>
      <c r="E178" s="132">
        <v>3</v>
      </c>
      <c r="F178" s="132">
        <v>0</v>
      </c>
      <c r="G178" s="132">
        <v>0</v>
      </c>
      <c r="H178" s="132">
        <v>0</v>
      </c>
      <c r="I178" s="132">
        <v>0</v>
      </c>
    </row>
    <row r="179" spans="1:9" ht="14.25" customHeight="1" x14ac:dyDescent="0.25">
      <c r="A179" s="132" t="s">
        <v>117</v>
      </c>
      <c r="B179" s="132" t="s">
        <v>256</v>
      </c>
      <c r="C179" s="132">
        <v>81</v>
      </c>
      <c r="D179" s="132" t="str">
        <f t="shared" si="10"/>
        <v>1/2" Hex 775pro 81</v>
      </c>
      <c r="E179" s="132">
        <v>1</v>
      </c>
      <c r="F179" s="132">
        <v>0</v>
      </c>
      <c r="G179" s="132">
        <v>0</v>
      </c>
      <c r="H179" s="132">
        <v>0</v>
      </c>
      <c r="I179" s="132">
        <v>0</v>
      </c>
    </row>
    <row r="180" spans="1:9" ht="14.25" customHeight="1" x14ac:dyDescent="0.25">
      <c r="A180" s="132" t="s">
        <v>117</v>
      </c>
      <c r="B180" s="132" t="s">
        <v>256</v>
      </c>
      <c r="C180" s="132">
        <v>90</v>
      </c>
      <c r="D180" s="132" t="str">
        <f t="shared" si="10"/>
        <v>1/2" Hex 775pro 90</v>
      </c>
      <c r="E180" s="132">
        <v>1</v>
      </c>
      <c r="F180" s="132">
        <v>0</v>
      </c>
      <c r="G180" s="132">
        <v>0</v>
      </c>
      <c r="H180" s="132">
        <v>0</v>
      </c>
      <c r="I180" s="132">
        <v>0</v>
      </c>
    </row>
    <row r="181" spans="1:9" ht="14.25" customHeight="1" x14ac:dyDescent="0.25">
      <c r="A181" s="132" t="s">
        <v>117</v>
      </c>
      <c r="B181" s="132" t="s">
        <v>256</v>
      </c>
      <c r="C181" s="132">
        <v>100</v>
      </c>
      <c r="D181" s="132" t="str">
        <f t="shared" si="10"/>
        <v>1/2" Hex 775pro 100</v>
      </c>
      <c r="E181" s="132">
        <v>1</v>
      </c>
      <c r="F181" s="132">
        <v>0</v>
      </c>
      <c r="G181" s="132">
        <v>0</v>
      </c>
      <c r="H181" s="132">
        <v>0</v>
      </c>
      <c r="I181" s="132">
        <v>0</v>
      </c>
    </row>
    <row r="182" spans="1:9" ht="14.25" customHeight="1" x14ac:dyDescent="0.25">
      <c r="A182" s="132" t="s">
        <v>117</v>
      </c>
      <c r="B182" s="132" t="s">
        <v>7</v>
      </c>
      <c r="C182" s="132">
        <v>-3</v>
      </c>
      <c r="D182" s="132" t="str">
        <f t="shared" ref="D182:D187" si="11">A182&amp;" "&amp;B182&amp;" "&amp;C182</f>
        <v>1/2" Hex Mini CIM -3</v>
      </c>
      <c r="E182" s="132">
        <v>1</v>
      </c>
      <c r="I182" s="132">
        <v>0</v>
      </c>
    </row>
    <row r="183" spans="1:9" ht="14.25" customHeight="1" x14ac:dyDescent="0.25">
      <c r="A183" s="132" t="s">
        <v>117</v>
      </c>
      <c r="B183" s="132" t="s">
        <v>7</v>
      </c>
      <c r="C183" s="132">
        <v>-4</v>
      </c>
      <c r="D183" s="132" t="str">
        <f t="shared" si="11"/>
        <v>1/2" Hex Mini CIM -4</v>
      </c>
      <c r="E183" s="132">
        <v>1</v>
      </c>
      <c r="I183" s="132">
        <v>0</v>
      </c>
    </row>
    <row r="184" spans="1:9" ht="14.25" customHeight="1" x14ac:dyDescent="0.25">
      <c r="A184" s="132" t="s">
        <v>117</v>
      </c>
      <c r="B184" s="132" t="s">
        <v>7</v>
      </c>
      <c r="C184" s="132">
        <v>-5</v>
      </c>
      <c r="D184" s="132" t="str">
        <f t="shared" si="11"/>
        <v>1/2" Hex Mini CIM -5</v>
      </c>
      <c r="E184" s="132">
        <v>1</v>
      </c>
      <c r="I184" s="132">
        <v>0</v>
      </c>
    </row>
    <row r="185" spans="1:9" ht="14.25" customHeight="1" x14ac:dyDescent="0.25">
      <c r="A185" s="132" t="s">
        <v>117</v>
      </c>
      <c r="B185" s="132" t="s">
        <v>7</v>
      </c>
      <c r="C185" s="132">
        <v>-7</v>
      </c>
      <c r="D185" s="132" t="str">
        <f t="shared" si="11"/>
        <v>1/2" Hex Mini CIM -7</v>
      </c>
      <c r="E185" s="132">
        <v>1</v>
      </c>
      <c r="I185" s="132">
        <v>0</v>
      </c>
    </row>
    <row r="186" spans="1:9" ht="14.25" customHeight="1" x14ac:dyDescent="0.25">
      <c r="A186" s="132" t="s">
        <v>117</v>
      </c>
      <c r="B186" s="132" t="s">
        <v>7</v>
      </c>
      <c r="C186" s="132">
        <v>-9</v>
      </c>
      <c r="D186" s="132" t="str">
        <f t="shared" si="11"/>
        <v>1/2" Hex Mini CIM -9</v>
      </c>
      <c r="E186" s="132">
        <v>1</v>
      </c>
      <c r="I186" s="132">
        <v>0</v>
      </c>
    </row>
    <row r="187" spans="1:9" ht="14.25" customHeight="1" x14ac:dyDescent="0.25">
      <c r="A187" s="132" t="s">
        <v>117</v>
      </c>
      <c r="B187" s="132" t="s">
        <v>7</v>
      </c>
      <c r="C187" s="132">
        <v>-10</v>
      </c>
      <c r="D187" s="132" t="str">
        <f t="shared" si="11"/>
        <v>1/2" Hex Mini CIM -10</v>
      </c>
      <c r="E187" s="132">
        <v>1</v>
      </c>
      <c r="I187" s="132">
        <v>0</v>
      </c>
    </row>
    <row r="188" spans="1:9" ht="14.25" customHeight="1" x14ac:dyDescent="0.25">
      <c r="A188" s="132" t="s">
        <v>117</v>
      </c>
      <c r="B188" s="132" t="s">
        <v>7</v>
      </c>
      <c r="C188" s="132">
        <v>9</v>
      </c>
      <c r="D188" s="132" t="str">
        <f t="shared" ref="D188:D208" si="12">A188&amp;" "&amp;B188&amp;" "&amp;C188</f>
        <v>1/2" Hex Mini CIM 9</v>
      </c>
      <c r="E188" s="132">
        <v>7</v>
      </c>
      <c r="I188" s="132">
        <v>0</v>
      </c>
    </row>
    <row r="189" spans="1:9" ht="14.25" customHeight="1" x14ac:dyDescent="0.25">
      <c r="A189" s="132" t="s">
        <v>117</v>
      </c>
      <c r="B189" s="132" t="s">
        <v>7</v>
      </c>
      <c r="C189" s="132">
        <v>12</v>
      </c>
      <c r="D189" s="132" t="str">
        <f t="shared" si="12"/>
        <v>1/2" Hex Mini CIM 12</v>
      </c>
      <c r="E189" s="132">
        <v>5</v>
      </c>
      <c r="I189" s="132">
        <v>0</v>
      </c>
    </row>
    <row r="190" spans="1:9" ht="14.25" customHeight="1" x14ac:dyDescent="0.25">
      <c r="A190" s="132" t="s">
        <v>117</v>
      </c>
      <c r="B190" s="132" t="s">
        <v>7</v>
      </c>
      <c r="C190" s="132">
        <v>15</v>
      </c>
      <c r="D190" s="132" t="str">
        <f t="shared" si="12"/>
        <v>1/2" Hex Mini CIM 15</v>
      </c>
      <c r="E190" s="132">
        <v>5</v>
      </c>
      <c r="I190" s="132">
        <v>0</v>
      </c>
    </row>
    <row r="191" spans="1:9" ht="14.25" customHeight="1" x14ac:dyDescent="0.25">
      <c r="A191" s="132" t="s">
        <v>117</v>
      </c>
      <c r="B191" s="132" t="s">
        <v>7</v>
      </c>
      <c r="C191" s="132">
        <v>16</v>
      </c>
      <c r="D191" s="132" t="str">
        <f t="shared" si="12"/>
        <v>1/2" Hex Mini CIM 16</v>
      </c>
      <c r="E191" s="132">
        <v>5</v>
      </c>
      <c r="I191" s="132">
        <v>0</v>
      </c>
    </row>
    <row r="192" spans="1:9" ht="14.25" customHeight="1" x14ac:dyDescent="0.25">
      <c r="A192" s="132" t="s">
        <v>117</v>
      </c>
      <c r="B192" s="132" t="s">
        <v>7</v>
      </c>
      <c r="C192" s="132">
        <v>20</v>
      </c>
      <c r="D192" s="132" t="str">
        <f t="shared" si="12"/>
        <v>1/2" Hex Mini CIM 20</v>
      </c>
      <c r="E192" s="132">
        <v>5</v>
      </c>
      <c r="I192" s="132">
        <v>0</v>
      </c>
    </row>
    <row r="193" spans="1:9" ht="14.25" customHeight="1" x14ac:dyDescent="0.25">
      <c r="A193" s="132" t="s">
        <v>117</v>
      </c>
      <c r="B193" s="132" t="s">
        <v>7</v>
      </c>
      <c r="C193" s="132">
        <v>21</v>
      </c>
      <c r="D193" s="132" t="str">
        <f t="shared" si="12"/>
        <v>1/2" Hex Mini CIM 21</v>
      </c>
      <c r="E193" s="132">
        <v>5</v>
      </c>
      <c r="I193" s="132">
        <v>0</v>
      </c>
    </row>
    <row r="194" spans="1:9" ht="14.25" customHeight="1" x14ac:dyDescent="0.25">
      <c r="A194" s="132" t="s">
        <v>117</v>
      </c>
      <c r="B194" s="132" t="s">
        <v>7</v>
      </c>
      <c r="C194" s="132">
        <v>25</v>
      </c>
      <c r="D194" s="132" t="str">
        <f t="shared" si="12"/>
        <v>1/2" Hex Mini CIM 25</v>
      </c>
      <c r="E194" s="132">
        <v>4</v>
      </c>
      <c r="I194" s="132">
        <v>0</v>
      </c>
    </row>
    <row r="195" spans="1:9" ht="14.25" customHeight="1" x14ac:dyDescent="0.25">
      <c r="A195" s="132" t="s">
        <v>117</v>
      </c>
      <c r="B195" s="132" t="s">
        <v>7</v>
      </c>
      <c r="C195" s="132">
        <v>27</v>
      </c>
      <c r="D195" s="132" t="str">
        <f t="shared" si="12"/>
        <v>1/2" Hex Mini CIM 27</v>
      </c>
      <c r="E195" s="132">
        <v>4</v>
      </c>
      <c r="I195" s="132">
        <v>0</v>
      </c>
    </row>
    <row r="196" spans="1:9" ht="14.25" customHeight="1" x14ac:dyDescent="0.25">
      <c r="A196" s="132" t="s">
        <v>117</v>
      </c>
      <c r="B196" s="132" t="s">
        <v>7</v>
      </c>
      <c r="C196" s="132">
        <v>28</v>
      </c>
      <c r="D196" s="132" t="str">
        <f t="shared" si="12"/>
        <v>1/2" Hex Mini CIM 28</v>
      </c>
      <c r="E196" s="132">
        <v>3</v>
      </c>
      <c r="I196" s="132">
        <v>0</v>
      </c>
    </row>
    <row r="197" spans="1:9" ht="14.25" customHeight="1" x14ac:dyDescent="0.25">
      <c r="A197" s="132" t="s">
        <v>117</v>
      </c>
      <c r="B197" s="132" t="s">
        <v>7</v>
      </c>
      <c r="C197" s="132">
        <v>30</v>
      </c>
      <c r="D197" s="132" t="str">
        <f t="shared" si="12"/>
        <v>1/2" Hex Mini CIM 30</v>
      </c>
      <c r="E197" s="132">
        <v>3</v>
      </c>
      <c r="I197" s="132">
        <v>0</v>
      </c>
    </row>
    <row r="198" spans="1:9" ht="14.25" customHeight="1" x14ac:dyDescent="0.25">
      <c r="A198" s="132" t="s">
        <v>117</v>
      </c>
      <c r="B198" s="132" t="s">
        <v>7</v>
      </c>
      <c r="C198" s="132">
        <v>35</v>
      </c>
      <c r="D198" s="132" t="str">
        <f t="shared" si="12"/>
        <v>1/2" Hex Mini CIM 35</v>
      </c>
      <c r="E198" s="132">
        <v>3</v>
      </c>
      <c r="I198" s="132">
        <v>0</v>
      </c>
    </row>
    <row r="199" spans="1:9" ht="14.25" customHeight="1" x14ac:dyDescent="0.25">
      <c r="A199" s="132" t="s">
        <v>117</v>
      </c>
      <c r="B199" s="132" t="s">
        <v>7</v>
      </c>
      <c r="C199" s="132">
        <v>36</v>
      </c>
      <c r="D199" s="132" t="str">
        <f t="shared" si="12"/>
        <v>1/2" Hex Mini CIM 36</v>
      </c>
      <c r="E199" s="132">
        <v>3</v>
      </c>
      <c r="I199" s="132">
        <v>0</v>
      </c>
    </row>
    <row r="200" spans="1:9" ht="14.25" customHeight="1" x14ac:dyDescent="0.25">
      <c r="A200" s="132" t="s">
        <v>117</v>
      </c>
      <c r="B200" s="132" t="s">
        <v>7</v>
      </c>
      <c r="C200" s="132">
        <v>40</v>
      </c>
      <c r="D200" s="132" t="str">
        <f t="shared" si="12"/>
        <v>1/2" Hex Mini CIM 40</v>
      </c>
      <c r="E200" s="132">
        <v>1</v>
      </c>
      <c r="I200" s="132">
        <v>0</v>
      </c>
    </row>
    <row r="201" spans="1:9" ht="14.25" customHeight="1" x14ac:dyDescent="0.25">
      <c r="A201" s="132" t="s">
        <v>117</v>
      </c>
      <c r="B201" s="132" t="s">
        <v>7</v>
      </c>
      <c r="C201" s="132">
        <v>45</v>
      </c>
      <c r="D201" s="132" t="str">
        <f t="shared" si="12"/>
        <v>1/2" Hex Mini CIM 45</v>
      </c>
      <c r="E201" s="132">
        <v>1</v>
      </c>
      <c r="I201" s="132">
        <v>0</v>
      </c>
    </row>
    <row r="202" spans="1:9" ht="14.25" customHeight="1" x14ac:dyDescent="0.25">
      <c r="A202" s="132" t="s">
        <v>117</v>
      </c>
      <c r="B202" s="132" t="s">
        <v>7</v>
      </c>
      <c r="C202" s="132">
        <v>49</v>
      </c>
      <c r="D202" s="132" t="str">
        <f t="shared" si="12"/>
        <v>1/2" Hex Mini CIM 49</v>
      </c>
      <c r="E202" s="132">
        <v>1</v>
      </c>
      <c r="I202" s="132">
        <v>0</v>
      </c>
    </row>
    <row r="203" spans="1:9" ht="14.25" customHeight="1" x14ac:dyDescent="0.25">
      <c r="A203" s="132" t="s">
        <v>117</v>
      </c>
      <c r="B203" s="132" t="s">
        <v>7</v>
      </c>
      <c r="C203" s="132">
        <v>50</v>
      </c>
      <c r="D203" s="132" t="str">
        <f t="shared" si="12"/>
        <v>1/2" Hex Mini CIM 50</v>
      </c>
      <c r="E203" s="132">
        <v>1</v>
      </c>
      <c r="I203" s="132">
        <v>0</v>
      </c>
    </row>
    <row r="204" spans="1:9" ht="14.25" customHeight="1" x14ac:dyDescent="0.25">
      <c r="A204" s="132" t="s">
        <v>117</v>
      </c>
      <c r="B204" s="132" t="s">
        <v>7</v>
      </c>
      <c r="C204" s="132">
        <v>63</v>
      </c>
      <c r="D204" s="132" t="str">
        <f t="shared" si="12"/>
        <v>1/2" Hex Mini CIM 63</v>
      </c>
      <c r="E204" s="132">
        <v>1</v>
      </c>
      <c r="I204" s="132">
        <v>0</v>
      </c>
    </row>
    <row r="205" spans="1:9" ht="14.25" customHeight="1" x14ac:dyDescent="0.25">
      <c r="A205" s="132" t="s">
        <v>117</v>
      </c>
      <c r="B205" s="132" t="s">
        <v>7</v>
      </c>
      <c r="C205" s="132">
        <v>70</v>
      </c>
      <c r="D205" s="132" t="str">
        <f t="shared" si="12"/>
        <v>1/2" Hex Mini CIM 70</v>
      </c>
      <c r="E205" s="132">
        <v>0</v>
      </c>
      <c r="I205" s="132">
        <v>0</v>
      </c>
    </row>
    <row r="206" spans="1:9" ht="14.25" customHeight="1" x14ac:dyDescent="0.25">
      <c r="A206" s="132" t="s">
        <v>117</v>
      </c>
      <c r="B206" s="132" t="s">
        <v>7</v>
      </c>
      <c r="C206" s="132">
        <v>81</v>
      </c>
      <c r="D206" s="132" t="str">
        <f t="shared" si="12"/>
        <v>1/2" Hex Mini CIM 81</v>
      </c>
      <c r="E206" s="132">
        <v>0</v>
      </c>
      <c r="I206" s="132">
        <v>0</v>
      </c>
    </row>
    <row r="207" spans="1:9" ht="14.25" customHeight="1" x14ac:dyDescent="0.25">
      <c r="A207" s="132" t="s">
        <v>117</v>
      </c>
      <c r="B207" s="132" t="s">
        <v>7</v>
      </c>
      <c r="C207" s="132">
        <v>90</v>
      </c>
      <c r="D207" s="132" t="str">
        <f t="shared" si="12"/>
        <v>1/2" Hex Mini CIM 90</v>
      </c>
      <c r="E207" s="132">
        <v>0</v>
      </c>
      <c r="I207" s="132">
        <v>0</v>
      </c>
    </row>
    <row r="208" spans="1:9" ht="14.25" customHeight="1" x14ac:dyDescent="0.25">
      <c r="A208" s="132" t="s">
        <v>117</v>
      </c>
      <c r="B208" s="132" t="s">
        <v>7</v>
      </c>
      <c r="C208" s="132">
        <v>100</v>
      </c>
      <c r="D208" s="132" t="str">
        <f t="shared" si="12"/>
        <v>1/2" Hex Mini CIM 100</v>
      </c>
      <c r="E208" s="132">
        <v>0</v>
      </c>
      <c r="I208" s="132">
        <v>0</v>
      </c>
    </row>
    <row r="209" spans="1:9" ht="14.25" customHeight="1" x14ac:dyDescent="0.25">
      <c r="A209" s="132" t="s">
        <v>117</v>
      </c>
      <c r="B209" s="132" t="s">
        <v>6</v>
      </c>
      <c r="C209" s="132">
        <v>-3</v>
      </c>
      <c r="D209" s="132" t="str">
        <f t="shared" ref="D209:D214" si="13">A209&amp;" "&amp;B209&amp;" "&amp;C209</f>
        <v>1/2" Hex CIM -3</v>
      </c>
      <c r="E209" s="132">
        <v>1</v>
      </c>
      <c r="I209" s="132">
        <v>0</v>
      </c>
    </row>
    <row r="210" spans="1:9" ht="14.25" customHeight="1" x14ac:dyDescent="0.25">
      <c r="A210" s="132" t="s">
        <v>117</v>
      </c>
      <c r="B210" s="132" t="s">
        <v>6</v>
      </c>
      <c r="C210" s="132">
        <v>-4</v>
      </c>
      <c r="D210" s="132" t="str">
        <f t="shared" si="13"/>
        <v>1/2" Hex CIM -4</v>
      </c>
      <c r="E210" s="132">
        <v>1</v>
      </c>
      <c r="I210" s="132">
        <v>0</v>
      </c>
    </row>
    <row r="211" spans="1:9" ht="14.25" customHeight="1" x14ac:dyDescent="0.25">
      <c r="A211" s="132" t="s">
        <v>117</v>
      </c>
      <c r="B211" s="132" t="s">
        <v>6</v>
      </c>
      <c r="C211" s="132">
        <v>-5</v>
      </c>
      <c r="D211" s="132" t="str">
        <f t="shared" si="13"/>
        <v>1/2" Hex CIM -5</v>
      </c>
      <c r="E211" s="132">
        <v>1</v>
      </c>
      <c r="I211" s="132">
        <v>0</v>
      </c>
    </row>
    <row r="212" spans="1:9" ht="14.25" customHeight="1" x14ac:dyDescent="0.25">
      <c r="A212" s="132" t="s">
        <v>117</v>
      </c>
      <c r="B212" s="132" t="s">
        <v>6</v>
      </c>
      <c r="C212" s="132">
        <v>-7</v>
      </c>
      <c r="D212" s="132" t="str">
        <f t="shared" si="13"/>
        <v>1/2" Hex CIM -7</v>
      </c>
      <c r="E212" s="132">
        <v>1</v>
      </c>
      <c r="I212" s="132">
        <v>0</v>
      </c>
    </row>
    <row r="213" spans="1:9" ht="14.25" customHeight="1" x14ac:dyDescent="0.25">
      <c r="A213" s="132" t="s">
        <v>117</v>
      </c>
      <c r="B213" s="132" t="s">
        <v>6</v>
      </c>
      <c r="C213" s="132">
        <v>-9</v>
      </c>
      <c r="D213" s="132" t="str">
        <f t="shared" si="13"/>
        <v>1/2" Hex CIM -9</v>
      </c>
      <c r="E213" s="132">
        <v>1</v>
      </c>
      <c r="I213" s="132">
        <v>0</v>
      </c>
    </row>
    <row r="214" spans="1:9" ht="14.25" customHeight="1" x14ac:dyDescent="0.25">
      <c r="A214" s="132" t="s">
        <v>117</v>
      </c>
      <c r="B214" s="132" t="s">
        <v>6</v>
      </c>
      <c r="C214" s="132">
        <v>-10</v>
      </c>
      <c r="D214" s="132" t="str">
        <f t="shared" si="13"/>
        <v>1/2" Hex CIM -10</v>
      </c>
      <c r="E214" s="132">
        <v>1</v>
      </c>
      <c r="I214" s="132">
        <v>0</v>
      </c>
    </row>
    <row r="215" spans="1:9" ht="14.25" customHeight="1" x14ac:dyDescent="0.25">
      <c r="A215" s="132" t="s">
        <v>117</v>
      </c>
      <c r="B215" s="132" t="s">
        <v>6</v>
      </c>
      <c r="C215" s="132">
        <v>9</v>
      </c>
      <c r="D215" s="132" t="str">
        <f t="shared" ref="D215:D235" si="14">A215&amp;" "&amp;B215&amp;" "&amp;C215</f>
        <v>1/2" Hex CIM 9</v>
      </c>
      <c r="E215" s="132">
        <v>5</v>
      </c>
      <c r="I215" s="132">
        <v>0</v>
      </c>
    </row>
    <row r="216" spans="1:9" ht="14.25" customHeight="1" x14ac:dyDescent="0.25">
      <c r="A216" s="132" t="s">
        <v>117</v>
      </c>
      <c r="B216" s="132" t="s">
        <v>6</v>
      </c>
      <c r="C216" s="132">
        <v>12</v>
      </c>
      <c r="D216" s="132" t="str">
        <f t="shared" si="14"/>
        <v>1/2" Hex CIM 12</v>
      </c>
      <c r="E216" s="132">
        <v>5</v>
      </c>
      <c r="I216" s="132">
        <v>0</v>
      </c>
    </row>
    <row r="217" spans="1:9" ht="14.25" customHeight="1" x14ac:dyDescent="0.25">
      <c r="A217" s="132" t="s">
        <v>117</v>
      </c>
      <c r="B217" s="132" t="s">
        <v>6</v>
      </c>
      <c r="C217" s="132">
        <v>15</v>
      </c>
      <c r="D217" s="132" t="str">
        <f t="shared" si="14"/>
        <v>1/2" Hex CIM 15</v>
      </c>
      <c r="E217" s="132">
        <v>4</v>
      </c>
      <c r="I217" s="132">
        <v>0</v>
      </c>
    </row>
    <row r="218" spans="1:9" ht="14.25" customHeight="1" x14ac:dyDescent="0.25">
      <c r="A218" s="132" t="s">
        <v>117</v>
      </c>
      <c r="B218" s="132" t="s">
        <v>6</v>
      </c>
      <c r="C218" s="132">
        <v>16</v>
      </c>
      <c r="D218" s="132" t="str">
        <f t="shared" si="14"/>
        <v>1/2" Hex CIM 16</v>
      </c>
      <c r="E218" s="132">
        <v>4</v>
      </c>
      <c r="I218" s="132">
        <v>0</v>
      </c>
    </row>
    <row r="219" spans="1:9" ht="14.25" customHeight="1" x14ac:dyDescent="0.25">
      <c r="A219" s="132" t="s">
        <v>117</v>
      </c>
      <c r="B219" s="132" t="s">
        <v>6</v>
      </c>
      <c r="C219" s="132">
        <v>20</v>
      </c>
      <c r="D219" s="132" t="str">
        <f t="shared" si="14"/>
        <v>1/2" Hex CIM 20</v>
      </c>
      <c r="E219" s="132">
        <v>3</v>
      </c>
      <c r="I219" s="132">
        <v>0</v>
      </c>
    </row>
    <row r="220" spans="1:9" ht="14.25" customHeight="1" x14ac:dyDescent="0.25">
      <c r="A220" s="132" t="s">
        <v>117</v>
      </c>
      <c r="B220" s="132" t="s">
        <v>6</v>
      </c>
      <c r="C220" s="132">
        <v>21</v>
      </c>
      <c r="D220" s="132" t="str">
        <f t="shared" si="14"/>
        <v>1/2" Hex CIM 21</v>
      </c>
      <c r="E220" s="132">
        <v>3</v>
      </c>
      <c r="I220" s="132">
        <v>0</v>
      </c>
    </row>
    <row r="221" spans="1:9" ht="14.25" customHeight="1" x14ac:dyDescent="0.25">
      <c r="A221" s="132" t="s">
        <v>117</v>
      </c>
      <c r="B221" s="132" t="s">
        <v>6</v>
      </c>
      <c r="C221" s="132">
        <v>25</v>
      </c>
      <c r="D221" s="132" t="str">
        <f t="shared" si="14"/>
        <v>1/2" Hex CIM 25</v>
      </c>
      <c r="E221" s="132">
        <v>1</v>
      </c>
      <c r="I221" s="132">
        <v>0</v>
      </c>
    </row>
    <row r="222" spans="1:9" ht="14.25" customHeight="1" x14ac:dyDescent="0.25">
      <c r="A222" s="132" t="s">
        <v>117</v>
      </c>
      <c r="B222" s="132" t="s">
        <v>6</v>
      </c>
      <c r="C222" s="132">
        <v>27</v>
      </c>
      <c r="D222" s="132" t="str">
        <f t="shared" si="14"/>
        <v>1/2" Hex CIM 27</v>
      </c>
      <c r="E222" s="132">
        <v>1</v>
      </c>
      <c r="I222" s="132">
        <v>0</v>
      </c>
    </row>
    <row r="223" spans="1:9" ht="14.25" customHeight="1" x14ac:dyDescent="0.25">
      <c r="A223" s="132" t="s">
        <v>117</v>
      </c>
      <c r="B223" s="132" t="s">
        <v>6</v>
      </c>
      <c r="C223" s="132">
        <v>28</v>
      </c>
      <c r="D223" s="132" t="str">
        <f t="shared" si="14"/>
        <v>1/2" Hex CIM 28</v>
      </c>
      <c r="E223" s="132">
        <v>1</v>
      </c>
      <c r="I223" s="132">
        <v>0</v>
      </c>
    </row>
    <row r="224" spans="1:9" ht="14.25" customHeight="1" x14ac:dyDescent="0.25">
      <c r="A224" s="132" t="s">
        <v>117</v>
      </c>
      <c r="B224" s="132" t="s">
        <v>6</v>
      </c>
      <c r="C224" s="132">
        <v>30</v>
      </c>
      <c r="D224" s="132" t="str">
        <f t="shared" si="14"/>
        <v>1/2" Hex CIM 30</v>
      </c>
      <c r="E224" s="132">
        <v>1</v>
      </c>
      <c r="I224" s="132">
        <v>0</v>
      </c>
    </row>
    <row r="225" spans="1:9" ht="14.25" customHeight="1" x14ac:dyDescent="0.25">
      <c r="A225" s="132" t="s">
        <v>117</v>
      </c>
      <c r="B225" s="132" t="s">
        <v>6</v>
      </c>
      <c r="C225" s="132">
        <v>35</v>
      </c>
      <c r="D225" s="132" t="str">
        <f t="shared" si="14"/>
        <v>1/2" Hex CIM 35</v>
      </c>
      <c r="E225" s="132">
        <v>1</v>
      </c>
      <c r="I225" s="132">
        <v>0</v>
      </c>
    </row>
    <row r="226" spans="1:9" ht="14.25" customHeight="1" x14ac:dyDescent="0.25">
      <c r="A226" s="132" t="s">
        <v>117</v>
      </c>
      <c r="B226" s="132" t="s">
        <v>6</v>
      </c>
      <c r="C226" s="132">
        <v>36</v>
      </c>
      <c r="D226" s="132" t="str">
        <f t="shared" si="14"/>
        <v>1/2" Hex CIM 36</v>
      </c>
      <c r="E226" s="132">
        <v>1</v>
      </c>
      <c r="I226" s="132">
        <v>0</v>
      </c>
    </row>
    <row r="227" spans="1:9" ht="14.25" customHeight="1" x14ac:dyDescent="0.25">
      <c r="A227" s="132" t="s">
        <v>117</v>
      </c>
      <c r="B227" s="132" t="s">
        <v>6</v>
      </c>
      <c r="C227" s="132">
        <v>40</v>
      </c>
      <c r="D227" s="132" t="str">
        <f t="shared" si="14"/>
        <v>1/2" Hex CIM 40</v>
      </c>
      <c r="E227" s="132">
        <v>1</v>
      </c>
      <c r="I227" s="132">
        <v>0</v>
      </c>
    </row>
    <row r="228" spans="1:9" ht="14.25" customHeight="1" x14ac:dyDescent="0.25">
      <c r="A228" s="132" t="s">
        <v>117</v>
      </c>
      <c r="B228" s="132" t="s">
        <v>6</v>
      </c>
      <c r="C228" s="132">
        <v>45</v>
      </c>
      <c r="D228" s="132" t="str">
        <f t="shared" si="14"/>
        <v>1/2" Hex CIM 45</v>
      </c>
      <c r="E228" s="132">
        <v>1</v>
      </c>
      <c r="I228" s="132">
        <v>0</v>
      </c>
    </row>
    <row r="229" spans="1:9" ht="14.25" customHeight="1" x14ac:dyDescent="0.25">
      <c r="A229" s="132" t="s">
        <v>117</v>
      </c>
      <c r="B229" s="132" t="s">
        <v>6</v>
      </c>
      <c r="C229" s="132">
        <v>49</v>
      </c>
      <c r="D229" s="132" t="str">
        <f t="shared" si="14"/>
        <v>1/2" Hex CIM 49</v>
      </c>
      <c r="E229" s="132">
        <v>0</v>
      </c>
      <c r="I229" s="132">
        <v>0</v>
      </c>
    </row>
    <row r="230" spans="1:9" ht="14.25" customHeight="1" x14ac:dyDescent="0.25">
      <c r="A230" s="132" t="s">
        <v>117</v>
      </c>
      <c r="B230" s="132" t="s">
        <v>6</v>
      </c>
      <c r="C230" s="132">
        <v>50</v>
      </c>
      <c r="D230" s="132" t="str">
        <f t="shared" si="14"/>
        <v>1/2" Hex CIM 50</v>
      </c>
      <c r="E230" s="132">
        <v>1</v>
      </c>
      <c r="I230" s="132">
        <v>0</v>
      </c>
    </row>
    <row r="231" spans="1:9" ht="14.25" customHeight="1" x14ac:dyDescent="0.25">
      <c r="A231" s="132" t="s">
        <v>117</v>
      </c>
      <c r="B231" s="132" t="s">
        <v>6</v>
      </c>
      <c r="C231" s="132">
        <v>63</v>
      </c>
      <c r="D231" s="132" t="str">
        <f t="shared" si="14"/>
        <v>1/2" Hex CIM 63</v>
      </c>
      <c r="E231" s="132">
        <v>0</v>
      </c>
      <c r="I231" s="132">
        <v>0</v>
      </c>
    </row>
    <row r="232" spans="1:9" ht="14.25" customHeight="1" x14ac:dyDescent="0.25">
      <c r="A232" s="132" t="s">
        <v>117</v>
      </c>
      <c r="B232" s="132" t="s">
        <v>6</v>
      </c>
      <c r="C232" s="132">
        <v>70</v>
      </c>
      <c r="D232" s="132" t="str">
        <f t="shared" si="14"/>
        <v>1/2" Hex CIM 70</v>
      </c>
      <c r="E232" s="132">
        <v>0</v>
      </c>
      <c r="I232" s="132">
        <v>0</v>
      </c>
    </row>
    <row r="233" spans="1:9" ht="14.25" customHeight="1" x14ac:dyDescent="0.25">
      <c r="A233" s="132" t="s">
        <v>117</v>
      </c>
      <c r="B233" s="132" t="s">
        <v>6</v>
      </c>
      <c r="C233" s="132">
        <v>81</v>
      </c>
      <c r="D233" s="132" t="str">
        <f t="shared" si="14"/>
        <v>1/2" Hex CIM 81</v>
      </c>
      <c r="E233" s="132">
        <v>0</v>
      </c>
      <c r="I233" s="132">
        <v>0</v>
      </c>
    </row>
    <row r="234" spans="1:9" ht="14.25" customHeight="1" x14ac:dyDescent="0.25">
      <c r="A234" s="132" t="s">
        <v>117</v>
      </c>
      <c r="B234" s="132" t="s">
        <v>6</v>
      </c>
      <c r="C234" s="132">
        <v>90</v>
      </c>
      <c r="D234" s="132" t="str">
        <f t="shared" si="14"/>
        <v>1/2" Hex CIM 90</v>
      </c>
      <c r="E234" s="132">
        <v>0</v>
      </c>
      <c r="I234" s="132">
        <v>0</v>
      </c>
    </row>
    <row r="235" spans="1:9" ht="14.25" customHeight="1" x14ac:dyDescent="0.25">
      <c r="A235" s="132" t="s">
        <v>117</v>
      </c>
      <c r="B235" s="132" t="s">
        <v>6</v>
      </c>
      <c r="C235" s="132">
        <v>100</v>
      </c>
      <c r="D235" s="132" t="str">
        <f t="shared" si="14"/>
        <v>1/2" Hex CIM 100</v>
      </c>
      <c r="E235" s="132">
        <v>0</v>
      </c>
      <c r="I235" s="132">
        <v>0</v>
      </c>
    </row>
    <row r="236" spans="1:9" ht="14.25" customHeight="1" x14ac:dyDescent="0.25">
      <c r="A236" s="132" t="s">
        <v>117</v>
      </c>
      <c r="B236" s="132" t="s">
        <v>9</v>
      </c>
      <c r="C236" s="132">
        <v>-3</v>
      </c>
      <c r="D236" s="132" t="str">
        <f t="shared" ref="D236:D241" si="15">A236&amp;" "&amp;B236&amp;" "&amp;C236</f>
        <v>1/2" Hex NEO -3</v>
      </c>
      <c r="E236" s="132">
        <v>1</v>
      </c>
      <c r="I236" s="132">
        <v>0</v>
      </c>
    </row>
    <row r="237" spans="1:9" ht="14.25" customHeight="1" x14ac:dyDescent="0.25">
      <c r="A237" s="132" t="s">
        <v>117</v>
      </c>
      <c r="B237" s="132" t="s">
        <v>9</v>
      </c>
      <c r="C237" s="132">
        <v>-4</v>
      </c>
      <c r="D237" s="132" t="str">
        <f t="shared" si="15"/>
        <v>1/2" Hex NEO -4</v>
      </c>
      <c r="E237" s="132">
        <v>1</v>
      </c>
      <c r="I237" s="132">
        <v>0</v>
      </c>
    </row>
    <row r="238" spans="1:9" ht="14.25" customHeight="1" x14ac:dyDescent="0.25">
      <c r="A238" s="132" t="s">
        <v>117</v>
      </c>
      <c r="B238" s="132" t="s">
        <v>9</v>
      </c>
      <c r="C238" s="132">
        <v>-5</v>
      </c>
      <c r="D238" s="132" t="str">
        <f t="shared" si="15"/>
        <v>1/2" Hex NEO -5</v>
      </c>
      <c r="E238" s="132">
        <v>1</v>
      </c>
      <c r="I238" s="132">
        <v>0</v>
      </c>
    </row>
    <row r="239" spans="1:9" ht="14.25" customHeight="1" x14ac:dyDescent="0.25">
      <c r="A239" s="132" t="s">
        <v>117</v>
      </c>
      <c r="B239" s="132" t="s">
        <v>9</v>
      </c>
      <c r="C239" s="132">
        <v>-7</v>
      </c>
      <c r="D239" s="132" t="str">
        <f t="shared" si="15"/>
        <v>1/2" Hex NEO -7</v>
      </c>
      <c r="E239" s="132">
        <v>1</v>
      </c>
      <c r="I239" s="132">
        <v>0</v>
      </c>
    </row>
    <row r="240" spans="1:9" ht="14.25" customHeight="1" x14ac:dyDescent="0.25">
      <c r="A240" s="132" t="s">
        <v>117</v>
      </c>
      <c r="B240" s="132" t="s">
        <v>9</v>
      </c>
      <c r="C240" s="132">
        <v>-9</v>
      </c>
      <c r="D240" s="132" t="str">
        <f t="shared" si="15"/>
        <v>1/2" Hex NEO -9</v>
      </c>
      <c r="E240" s="132">
        <v>1</v>
      </c>
      <c r="I240" s="132">
        <v>0</v>
      </c>
    </row>
    <row r="241" spans="1:9" ht="14.25" customHeight="1" x14ac:dyDescent="0.25">
      <c r="A241" s="132" t="s">
        <v>117</v>
      </c>
      <c r="B241" s="132" t="s">
        <v>9</v>
      </c>
      <c r="C241" s="132">
        <v>-10</v>
      </c>
      <c r="D241" s="132" t="str">
        <f t="shared" si="15"/>
        <v>1/2" Hex NEO -10</v>
      </c>
      <c r="E241" s="132">
        <v>1</v>
      </c>
      <c r="I241" s="132">
        <v>0</v>
      </c>
    </row>
    <row r="242" spans="1:9" ht="14.25" customHeight="1" x14ac:dyDescent="0.25">
      <c r="A242" s="132" t="s">
        <v>117</v>
      </c>
      <c r="B242" s="132" t="s">
        <v>9</v>
      </c>
      <c r="C242" s="132">
        <v>9</v>
      </c>
      <c r="D242" s="132" t="str">
        <f t="shared" ref="D242:D262" si="16">A242&amp;" "&amp;B242&amp;" "&amp;C242</f>
        <v>1/2" Hex NEO 9</v>
      </c>
      <c r="E242" s="132">
        <v>5</v>
      </c>
      <c r="I242" s="132">
        <v>0</v>
      </c>
    </row>
    <row r="243" spans="1:9" ht="14.25" customHeight="1" x14ac:dyDescent="0.25">
      <c r="A243" s="132" t="s">
        <v>117</v>
      </c>
      <c r="B243" s="132" t="s">
        <v>9</v>
      </c>
      <c r="C243" s="132">
        <v>12</v>
      </c>
      <c r="D243" s="132" t="str">
        <f t="shared" si="16"/>
        <v>1/2" Hex NEO 12</v>
      </c>
      <c r="E243" s="132">
        <v>3</v>
      </c>
      <c r="I243" s="132">
        <v>0</v>
      </c>
    </row>
    <row r="244" spans="1:9" ht="14.25" customHeight="1" x14ac:dyDescent="0.25">
      <c r="A244" s="132" t="s">
        <v>117</v>
      </c>
      <c r="B244" s="132" t="s">
        <v>9</v>
      </c>
      <c r="C244" s="132">
        <v>15</v>
      </c>
      <c r="D244" s="132" t="str">
        <f t="shared" si="16"/>
        <v>1/2" Hex NEO 15</v>
      </c>
      <c r="E244" s="132">
        <v>3</v>
      </c>
      <c r="I244" s="132">
        <v>0</v>
      </c>
    </row>
    <row r="245" spans="1:9" ht="14.25" customHeight="1" x14ac:dyDescent="0.25">
      <c r="A245" s="132" t="s">
        <v>117</v>
      </c>
      <c r="B245" s="132" t="s">
        <v>9</v>
      </c>
      <c r="C245" s="132">
        <v>16</v>
      </c>
      <c r="D245" s="132" t="str">
        <f t="shared" si="16"/>
        <v>1/2" Hex NEO 16</v>
      </c>
      <c r="E245" s="132">
        <v>1</v>
      </c>
      <c r="I245" s="132">
        <v>0</v>
      </c>
    </row>
    <row r="246" spans="1:9" ht="14.25" customHeight="1" x14ac:dyDescent="0.25">
      <c r="A246" s="132" t="s">
        <v>117</v>
      </c>
      <c r="B246" s="132" t="s">
        <v>9</v>
      </c>
      <c r="C246" s="132">
        <v>20</v>
      </c>
      <c r="D246" s="132" t="str">
        <f t="shared" si="16"/>
        <v>1/2" Hex NEO 20</v>
      </c>
      <c r="E246" s="132">
        <v>1</v>
      </c>
      <c r="I246" s="132">
        <v>0</v>
      </c>
    </row>
    <row r="247" spans="1:9" ht="14.25" customHeight="1" x14ac:dyDescent="0.25">
      <c r="A247" s="132" t="s">
        <v>117</v>
      </c>
      <c r="B247" s="132" t="s">
        <v>9</v>
      </c>
      <c r="C247" s="132">
        <v>21</v>
      </c>
      <c r="D247" s="132" t="str">
        <f t="shared" si="16"/>
        <v>1/2" Hex NEO 21</v>
      </c>
      <c r="E247" s="132">
        <v>1</v>
      </c>
      <c r="I247" s="132">
        <v>0</v>
      </c>
    </row>
    <row r="248" spans="1:9" ht="14.25" customHeight="1" x14ac:dyDescent="0.25">
      <c r="A248" s="132" t="s">
        <v>117</v>
      </c>
      <c r="B248" s="132" t="s">
        <v>9</v>
      </c>
      <c r="C248" s="132">
        <v>25</v>
      </c>
      <c r="D248" s="132" t="str">
        <f t="shared" si="16"/>
        <v>1/2" Hex NEO 25</v>
      </c>
      <c r="E248" s="132">
        <v>1</v>
      </c>
      <c r="I248" s="132">
        <v>0</v>
      </c>
    </row>
    <row r="249" spans="1:9" ht="14.25" customHeight="1" x14ac:dyDescent="0.25">
      <c r="A249" s="132" t="s">
        <v>117</v>
      </c>
      <c r="B249" s="132" t="s">
        <v>9</v>
      </c>
      <c r="C249" s="132">
        <v>27</v>
      </c>
      <c r="D249" s="132" t="str">
        <f t="shared" si="16"/>
        <v>1/2" Hex NEO 27</v>
      </c>
      <c r="E249" s="132">
        <v>1</v>
      </c>
      <c r="I249" s="132">
        <v>0</v>
      </c>
    </row>
    <row r="250" spans="1:9" ht="14.25" customHeight="1" x14ac:dyDescent="0.25">
      <c r="A250" s="132" t="s">
        <v>117</v>
      </c>
      <c r="B250" s="132" t="s">
        <v>9</v>
      </c>
      <c r="C250" s="132">
        <v>28</v>
      </c>
      <c r="D250" s="132" t="str">
        <f t="shared" si="16"/>
        <v>1/2" Hex NEO 28</v>
      </c>
      <c r="E250" s="132">
        <v>1</v>
      </c>
      <c r="I250" s="132">
        <v>0</v>
      </c>
    </row>
    <row r="251" spans="1:9" ht="14.25" customHeight="1" x14ac:dyDescent="0.25">
      <c r="A251" s="132" t="s">
        <v>117</v>
      </c>
      <c r="B251" s="132" t="s">
        <v>9</v>
      </c>
      <c r="C251" s="132">
        <v>30</v>
      </c>
      <c r="D251" s="132" t="str">
        <f t="shared" si="16"/>
        <v>1/2" Hex NEO 30</v>
      </c>
      <c r="E251" s="132">
        <v>1</v>
      </c>
      <c r="I251" s="132">
        <v>0</v>
      </c>
    </row>
    <row r="252" spans="1:9" ht="14.25" customHeight="1" x14ac:dyDescent="0.25">
      <c r="A252" s="132" t="s">
        <v>117</v>
      </c>
      <c r="B252" s="132" t="s">
        <v>9</v>
      </c>
      <c r="C252" s="132">
        <v>35</v>
      </c>
      <c r="D252" s="132" t="str">
        <f t="shared" si="16"/>
        <v>1/2" Hex NEO 35</v>
      </c>
      <c r="E252" s="132">
        <v>1</v>
      </c>
      <c r="I252" s="132">
        <v>0</v>
      </c>
    </row>
    <row r="253" spans="1:9" ht="14.25" customHeight="1" x14ac:dyDescent="0.25">
      <c r="A253" s="132" t="s">
        <v>117</v>
      </c>
      <c r="B253" s="132" t="s">
        <v>9</v>
      </c>
      <c r="C253" s="132">
        <v>36</v>
      </c>
      <c r="D253" s="132" t="str">
        <f t="shared" si="16"/>
        <v>1/2" Hex NEO 36</v>
      </c>
      <c r="E253" s="132">
        <v>1</v>
      </c>
      <c r="I253" s="132">
        <v>0</v>
      </c>
    </row>
    <row r="254" spans="1:9" ht="14.25" customHeight="1" x14ac:dyDescent="0.25">
      <c r="A254" s="132" t="s">
        <v>117</v>
      </c>
      <c r="B254" s="132" t="s">
        <v>9</v>
      </c>
      <c r="C254" s="132">
        <v>40</v>
      </c>
      <c r="D254" s="132" t="str">
        <f t="shared" si="16"/>
        <v>1/2" Hex NEO 40</v>
      </c>
      <c r="E254" s="132">
        <v>1</v>
      </c>
      <c r="I254" s="132">
        <v>0</v>
      </c>
    </row>
    <row r="255" spans="1:9" ht="14.25" customHeight="1" x14ac:dyDescent="0.25">
      <c r="A255" s="132" t="s">
        <v>117</v>
      </c>
      <c r="B255" s="132" t="s">
        <v>9</v>
      </c>
      <c r="C255" s="132">
        <v>45</v>
      </c>
      <c r="D255" s="132" t="str">
        <f t="shared" si="16"/>
        <v>1/2" Hex NEO 45</v>
      </c>
      <c r="E255" s="132">
        <v>1</v>
      </c>
      <c r="I255" s="132">
        <v>0</v>
      </c>
    </row>
    <row r="256" spans="1:9" ht="14.25" customHeight="1" x14ac:dyDescent="0.25">
      <c r="A256" s="132" t="s">
        <v>117</v>
      </c>
      <c r="B256" s="132" t="s">
        <v>9</v>
      </c>
      <c r="C256" s="132">
        <v>49</v>
      </c>
      <c r="D256" s="132" t="str">
        <f t="shared" si="16"/>
        <v>1/2" Hex NEO 49</v>
      </c>
      <c r="E256" s="132">
        <v>0</v>
      </c>
      <c r="I256" s="132">
        <v>0</v>
      </c>
    </row>
    <row r="257" spans="1:9" ht="14.25" customHeight="1" x14ac:dyDescent="0.25">
      <c r="A257" s="132" t="s">
        <v>117</v>
      </c>
      <c r="B257" s="132" t="s">
        <v>9</v>
      </c>
      <c r="C257" s="132">
        <v>50</v>
      </c>
      <c r="D257" s="132" t="str">
        <f t="shared" si="16"/>
        <v>1/2" Hex NEO 50</v>
      </c>
      <c r="E257" s="132">
        <v>0</v>
      </c>
      <c r="I257" s="132">
        <v>0</v>
      </c>
    </row>
    <row r="258" spans="1:9" ht="14.25" customHeight="1" x14ac:dyDescent="0.25">
      <c r="A258" s="132" t="s">
        <v>117</v>
      </c>
      <c r="B258" s="132" t="s">
        <v>9</v>
      </c>
      <c r="C258" s="132">
        <v>63</v>
      </c>
      <c r="D258" s="132" t="str">
        <f t="shared" si="16"/>
        <v>1/2" Hex NEO 63</v>
      </c>
      <c r="E258" s="132">
        <v>0</v>
      </c>
      <c r="I258" s="132">
        <v>0</v>
      </c>
    </row>
    <row r="259" spans="1:9" ht="14.25" customHeight="1" x14ac:dyDescent="0.25">
      <c r="A259" s="132" t="s">
        <v>117</v>
      </c>
      <c r="B259" s="132" t="s">
        <v>9</v>
      </c>
      <c r="C259" s="132">
        <v>70</v>
      </c>
      <c r="D259" s="132" t="str">
        <f t="shared" si="16"/>
        <v>1/2" Hex NEO 70</v>
      </c>
      <c r="E259" s="132">
        <v>0</v>
      </c>
      <c r="I259" s="132">
        <v>0</v>
      </c>
    </row>
    <row r="260" spans="1:9" ht="14.25" customHeight="1" x14ac:dyDescent="0.25">
      <c r="A260" s="132" t="s">
        <v>117</v>
      </c>
      <c r="B260" s="132" t="s">
        <v>9</v>
      </c>
      <c r="C260" s="132">
        <v>81</v>
      </c>
      <c r="D260" s="132" t="str">
        <f t="shared" si="16"/>
        <v>1/2" Hex NEO 81</v>
      </c>
      <c r="E260" s="132">
        <v>0</v>
      </c>
      <c r="I260" s="132">
        <v>0</v>
      </c>
    </row>
    <row r="261" spans="1:9" ht="14.25" customHeight="1" x14ac:dyDescent="0.25">
      <c r="A261" s="132" t="s">
        <v>117</v>
      </c>
      <c r="B261" s="132" t="s">
        <v>9</v>
      </c>
      <c r="C261" s="132">
        <v>90</v>
      </c>
      <c r="D261" s="132" t="str">
        <f t="shared" si="16"/>
        <v>1/2" Hex NEO 90</v>
      </c>
      <c r="E261" s="132">
        <v>0</v>
      </c>
      <c r="I261" s="132">
        <v>0</v>
      </c>
    </row>
    <row r="262" spans="1:9" ht="14.25" customHeight="1" x14ac:dyDescent="0.25">
      <c r="A262" s="132" t="s">
        <v>117</v>
      </c>
      <c r="B262" s="132" t="s">
        <v>9</v>
      </c>
      <c r="C262" s="132">
        <v>100</v>
      </c>
      <c r="D262" s="132" t="str">
        <f t="shared" si="16"/>
        <v>1/2" Hex NEO 100</v>
      </c>
      <c r="E262" s="132">
        <v>0</v>
      </c>
      <c r="I262" s="132">
        <v>0</v>
      </c>
    </row>
    <row r="263" spans="1:9" ht="14.25" customHeight="1" x14ac:dyDescent="0.25">
      <c r="A263" s="132" t="s">
        <v>117</v>
      </c>
      <c r="B263" s="132" t="s">
        <v>334</v>
      </c>
      <c r="C263" s="132">
        <v>-3</v>
      </c>
      <c r="D263" s="132" t="str">
        <f t="shared" ref="D263:D268" si="17">A263&amp;" "&amp;B263&amp;" "&amp;C263</f>
        <v>1/2" Hex Falcon 500 -3</v>
      </c>
      <c r="E263" s="132">
        <v>1</v>
      </c>
      <c r="I263" s="132">
        <v>0</v>
      </c>
    </row>
    <row r="264" spans="1:9" ht="14.25" customHeight="1" x14ac:dyDescent="0.25">
      <c r="A264" s="132" t="s">
        <v>117</v>
      </c>
      <c r="B264" s="132" t="s">
        <v>334</v>
      </c>
      <c r="C264" s="132">
        <v>-4</v>
      </c>
      <c r="D264" s="132" t="str">
        <f t="shared" si="17"/>
        <v>1/2" Hex Falcon 500 -4</v>
      </c>
      <c r="E264" s="132">
        <v>1</v>
      </c>
      <c r="I264" s="132">
        <v>0</v>
      </c>
    </row>
    <row r="265" spans="1:9" ht="14.25" customHeight="1" x14ac:dyDescent="0.25">
      <c r="A265" s="132" t="s">
        <v>117</v>
      </c>
      <c r="B265" s="132" t="s">
        <v>334</v>
      </c>
      <c r="C265" s="132">
        <v>-5</v>
      </c>
      <c r="D265" s="132" t="str">
        <f t="shared" si="17"/>
        <v>1/2" Hex Falcon 500 -5</v>
      </c>
      <c r="E265" s="132">
        <v>1</v>
      </c>
      <c r="I265" s="132">
        <v>0</v>
      </c>
    </row>
    <row r="266" spans="1:9" ht="14.25" customHeight="1" x14ac:dyDescent="0.25">
      <c r="A266" s="132" t="s">
        <v>117</v>
      </c>
      <c r="B266" s="132" t="s">
        <v>334</v>
      </c>
      <c r="C266" s="132">
        <v>-7</v>
      </c>
      <c r="D266" s="132" t="str">
        <f t="shared" si="17"/>
        <v>1/2" Hex Falcon 500 -7</v>
      </c>
      <c r="E266" s="132">
        <v>1</v>
      </c>
      <c r="I266" s="132">
        <v>0</v>
      </c>
    </row>
    <row r="267" spans="1:9" ht="14.25" customHeight="1" x14ac:dyDescent="0.25">
      <c r="A267" s="132" t="s">
        <v>117</v>
      </c>
      <c r="B267" s="132" t="s">
        <v>334</v>
      </c>
      <c r="C267" s="132">
        <v>-9</v>
      </c>
      <c r="D267" s="132" t="str">
        <f t="shared" si="17"/>
        <v>1/2" Hex Falcon 500 -9</v>
      </c>
      <c r="E267" s="132">
        <v>1</v>
      </c>
      <c r="I267" s="132">
        <v>0</v>
      </c>
    </row>
    <row r="268" spans="1:9" ht="14.25" customHeight="1" x14ac:dyDescent="0.25">
      <c r="A268" s="132" t="s">
        <v>117</v>
      </c>
      <c r="B268" s="132" t="s">
        <v>334</v>
      </c>
      <c r="C268" s="132">
        <v>-10</v>
      </c>
      <c r="D268" s="132" t="str">
        <f t="shared" si="17"/>
        <v>1/2" Hex Falcon 500 -10</v>
      </c>
      <c r="E268" s="132">
        <v>1</v>
      </c>
      <c r="I268" s="132">
        <v>0</v>
      </c>
    </row>
    <row r="269" spans="1:9" ht="14.25" customHeight="1" x14ac:dyDescent="0.25">
      <c r="A269" s="132" t="s">
        <v>117</v>
      </c>
      <c r="B269" s="132" t="s">
        <v>334</v>
      </c>
      <c r="C269" s="132">
        <v>9</v>
      </c>
      <c r="D269" s="132" t="str">
        <f t="shared" ref="D269:D289" si="18">A269&amp;" "&amp;B269&amp;" "&amp;C269</f>
        <v>1/2" Hex Falcon 500 9</v>
      </c>
      <c r="E269" s="132">
        <v>3</v>
      </c>
      <c r="I269" s="132">
        <v>0</v>
      </c>
    </row>
    <row r="270" spans="1:9" ht="14.25" customHeight="1" x14ac:dyDescent="0.25">
      <c r="A270" s="132" t="s">
        <v>117</v>
      </c>
      <c r="B270" s="132" t="s">
        <v>334</v>
      </c>
      <c r="C270" s="132">
        <v>12</v>
      </c>
      <c r="D270" s="132" t="str">
        <f t="shared" si="18"/>
        <v>1/2" Hex Falcon 500 12</v>
      </c>
      <c r="E270" s="132">
        <v>1</v>
      </c>
      <c r="I270" s="132">
        <v>0</v>
      </c>
    </row>
    <row r="271" spans="1:9" ht="14.25" customHeight="1" x14ac:dyDescent="0.25">
      <c r="A271" s="132" t="s">
        <v>117</v>
      </c>
      <c r="B271" s="132" t="s">
        <v>334</v>
      </c>
      <c r="C271" s="132">
        <v>15</v>
      </c>
      <c r="D271" s="132" t="str">
        <f t="shared" si="18"/>
        <v>1/2" Hex Falcon 500 15</v>
      </c>
      <c r="E271" s="132">
        <v>1</v>
      </c>
      <c r="I271" s="132">
        <v>0</v>
      </c>
    </row>
    <row r="272" spans="1:9" ht="14.25" customHeight="1" x14ac:dyDescent="0.25">
      <c r="A272" s="132" t="s">
        <v>117</v>
      </c>
      <c r="B272" s="132" t="s">
        <v>334</v>
      </c>
      <c r="C272" s="132">
        <v>16</v>
      </c>
      <c r="D272" s="132" t="str">
        <f t="shared" si="18"/>
        <v>1/2" Hex Falcon 500 16</v>
      </c>
      <c r="E272" s="132">
        <v>1</v>
      </c>
      <c r="I272" s="132">
        <v>0</v>
      </c>
    </row>
    <row r="273" spans="1:9" ht="14.25" customHeight="1" x14ac:dyDescent="0.25">
      <c r="A273" s="132" t="s">
        <v>117</v>
      </c>
      <c r="B273" s="132" t="s">
        <v>334</v>
      </c>
      <c r="C273" s="132">
        <v>20</v>
      </c>
      <c r="D273" s="132" t="str">
        <f t="shared" si="18"/>
        <v>1/2" Hex Falcon 500 20</v>
      </c>
      <c r="E273" s="132">
        <v>1</v>
      </c>
      <c r="I273" s="132">
        <v>0</v>
      </c>
    </row>
    <row r="274" spans="1:9" ht="14.25" customHeight="1" x14ac:dyDescent="0.25">
      <c r="A274" s="132" t="s">
        <v>117</v>
      </c>
      <c r="B274" s="132" t="s">
        <v>334</v>
      </c>
      <c r="C274" s="132">
        <v>21</v>
      </c>
      <c r="D274" s="132" t="str">
        <f t="shared" si="18"/>
        <v>1/2" Hex Falcon 500 21</v>
      </c>
      <c r="E274" s="132">
        <v>1</v>
      </c>
      <c r="I274" s="132">
        <v>0</v>
      </c>
    </row>
    <row r="275" spans="1:9" ht="14.25" customHeight="1" x14ac:dyDescent="0.25">
      <c r="A275" s="132" t="s">
        <v>117</v>
      </c>
      <c r="B275" s="132" t="s">
        <v>334</v>
      </c>
      <c r="C275" s="132">
        <v>25</v>
      </c>
      <c r="D275" s="132" t="str">
        <f t="shared" si="18"/>
        <v>1/2" Hex Falcon 500 25</v>
      </c>
      <c r="E275" s="132">
        <v>1</v>
      </c>
      <c r="I275" s="132">
        <v>0</v>
      </c>
    </row>
    <row r="276" spans="1:9" ht="14.25" customHeight="1" x14ac:dyDescent="0.25">
      <c r="A276" s="132" t="s">
        <v>117</v>
      </c>
      <c r="B276" s="132" t="s">
        <v>334</v>
      </c>
      <c r="C276" s="132">
        <v>27</v>
      </c>
      <c r="D276" s="132" t="str">
        <f t="shared" si="18"/>
        <v>1/2" Hex Falcon 500 27</v>
      </c>
      <c r="E276" s="132">
        <v>1</v>
      </c>
      <c r="I276" s="132">
        <v>0</v>
      </c>
    </row>
    <row r="277" spans="1:9" ht="14.25" customHeight="1" x14ac:dyDescent="0.25">
      <c r="A277" s="132" t="s">
        <v>117</v>
      </c>
      <c r="B277" s="132" t="s">
        <v>334</v>
      </c>
      <c r="C277" s="132">
        <v>28</v>
      </c>
      <c r="D277" s="132" t="str">
        <f t="shared" si="18"/>
        <v>1/2" Hex Falcon 500 28</v>
      </c>
      <c r="E277" s="132">
        <v>1</v>
      </c>
      <c r="I277" s="132">
        <v>0</v>
      </c>
    </row>
    <row r="278" spans="1:9" ht="14.25" customHeight="1" x14ac:dyDescent="0.25">
      <c r="A278" s="132" t="s">
        <v>117</v>
      </c>
      <c r="B278" s="132" t="s">
        <v>334</v>
      </c>
      <c r="C278" s="132">
        <v>30</v>
      </c>
      <c r="D278" s="132" t="str">
        <f t="shared" si="18"/>
        <v>1/2" Hex Falcon 500 30</v>
      </c>
      <c r="E278" s="132">
        <v>1</v>
      </c>
      <c r="I278" s="132">
        <v>0</v>
      </c>
    </row>
    <row r="279" spans="1:9" ht="14.25" customHeight="1" x14ac:dyDescent="0.25">
      <c r="A279" s="132" t="s">
        <v>117</v>
      </c>
      <c r="B279" s="132" t="s">
        <v>334</v>
      </c>
      <c r="C279" s="132">
        <v>35</v>
      </c>
      <c r="D279" s="132" t="str">
        <f t="shared" si="18"/>
        <v>1/2" Hex Falcon 500 35</v>
      </c>
      <c r="E279" s="132">
        <v>0</v>
      </c>
      <c r="I279" s="132">
        <v>0</v>
      </c>
    </row>
    <row r="280" spans="1:9" ht="14.25" customHeight="1" x14ac:dyDescent="0.25">
      <c r="A280" s="132" t="s">
        <v>117</v>
      </c>
      <c r="B280" s="132" t="s">
        <v>334</v>
      </c>
      <c r="C280" s="132">
        <v>36</v>
      </c>
      <c r="D280" s="132" t="str">
        <f t="shared" si="18"/>
        <v>1/2" Hex Falcon 500 36</v>
      </c>
      <c r="E280" s="132">
        <v>0</v>
      </c>
      <c r="I280" s="132">
        <v>0</v>
      </c>
    </row>
    <row r="281" spans="1:9" ht="14.25" customHeight="1" x14ac:dyDescent="0.25">
      <c r="A281" s="132" t="s">
        <v>117</v>
      </c>
      <c r="B281" s="132" t="s">
        <v>334</v>
      </c>
      <c r="C281" s="132">
        <v>40</v>
      </c>
      <c r="D281" s="132" t="str">
        <f t="shared" si="18"/>
        <v>1/2" Hex Falcon 500 40</v>
      </c>
      <c r="E281" s="132">
        <v>0</v>
      </c>
      <c r="I281" s="132">
        <v>0</v>
      </c>
    </row>
    <row r="282" spans="1:9" ht="14.25" customHeight="1" x14ac:dyDescent="0.25">
      <c r="A282" s="132" t="s">
        <v>117</v>
      </c>
      <c r="B282" s="132" t="s">
        <v>334</v>
      </c>
      <c r="C282" s="132">
        <v>45</v>
      </c>
      <c r="D282" s="132" t="str">
        <f t="shared" si="18"/>
        <v>1/2" Hex Falcon 500 45</v>
      </c>
      <c r="E282" s="132">
        <v>0</v>
      </c>
      <c r="I282" s="132">
        <v>0</v>
      </c>
    </row>
    <row r="283" spans="1:9" ht="14.25" customHeight="1" x14ac:dyDescent="0.25">
      <c r="A283" s="132" t="s">
        <v>117</v>
      </c>
      <c r="B283" s="132" t="s">
        <v>334</v>
      </c>
      <c r="C283" s="132">
        <v>49</v>
      </c>
      <c r="D283" s="132" t="str">
        <f t="shared" si="18"/>
        <v>1/2" Hex Falcon 500 49</v>
      </c>
      <c r="E283" s="132">
        <v>0</v>
      </c>
      <c r="I283" s="132">
        <v>0</v>
      </c>
    </row>
    <row r="284" spans="1:9" ht="14.25" customHeight="1" x14ac:dyDescent="0.25">
      <c r="A284" s="132" t="s">
        <v>117</v>
      </c>
      <c r="B284" s="132" t="s">
        <v>334</v>
      </c>
      <c r="C284" s="132">
        <v>50</v>
      </c>
      <c r="D284" s="132" t="str">
        <f t="shared" si="18"/>
        <v>1/2" Hex Falcon 500 50</v>
      </c>
      <c r="E284" s="132">
        <v>0</v>
      </c>
      <c r="I284" s="132">
        <v>0</v>
      </c>
    </row>
    <row r="285" spans="1:9" ht="14.25" customHeight="1" x14ac:dyDescent="0.25">
      <c r="A285" s="132" t="s">
        <v>117</v>
      </c>
      <c r="B285" s="132" t="s">
        <v>334</v>
      </c>
      <c r="C285" s="132">
        <v>63</v>
      </c>
      <c r="D285" s="132" t="str">
        <f t="shared" si="18"/>
        <v>1/2" Hex Falcon 500 63</v>
      </c>
      <c r="E285" s="132">
        <v>0</v>
      </c>
      <c r="I285" s="132">
        <v>0</v>
      </c>
    </row>
    <row r="286" spans="1:9" ht="14.25" customHeight="1" x14ac:dyDescent="0.25">
      <c r="A286" s="132" t="s">
        <v>117</v>
      </c>
      <c r="B286" s="132" t="s">
        <v>334</v>
      </c>
      <c r="C286" s="132">
        <v>70</v>
      </c>
      <c r="D286" s="132" t="str">
        <f t="shared" si="18"/>
        <v>1/2" Hex Falcon 500 70</v>
      </c>
      <c r="E286" s="132">
        <v>0</v>
      </c>
      <c r="I286" s="132">
        <v>0</v>
      </c>
    </row>
    <row r="287" spans="1:9" ht="14.25" customHeight="1" x14ac:dyDescent="0.25">
      <c r="A287" s="132" t="s">
        <v>117</v>
      </c>
      <c r="B287" s="132" t="s">
        <v>334</v>
      </c>
      <c r="C287" s="132">
        <v>81</v>
      </c>
      <c r="D287" s="132" t="str">
        <f t="shared" si="18"/>
        <v>1/2" Hex Falcon 500 81</v>
      </c>
      <c r="E287" s="132">
        <v>0</v>
      </c>
      <c r="I287" s="132">
        <v>0</v>
      </c>
    </row>
    <row r="288" spans="1:9" ht="14.25" customHeight="1" x14ac:dyDescent="0.25">
      <c r="A288" s="132" t="s">
        <v>117</v>
      </c>
      <c r="B288" s="132" t="s">
        <v>334</v>
      </c>
      <c r="C288" s="132">
        <v>90</v>
      </c>
      <c r="D288" s="132" t="str">
        <f t="shared" si="18"/>
        <v>1/2" Hex Falcon 500 90</v>
      </c>
      <c r="E288" s="132">
        <v>0</v>
      </c>
      <c r="I288" s="132">
        <v>0</v>
      </c>
    </row>
    <row r="289" spans="1:9" ht="14.25" customHeight="1" x14ac:dyDescent="0.25">
      <c r="A289" s="132" t="s">
        <v>117</v>
      </c>
      <c r="B289" s="132" t="s">
        <v>334</v>
      </c>
      <c r="C289" s="132">
        <v>100</v>
      </c>
      <c r="D289" s="132" t="str">
        <f t="shared" si="18"/>
        <v>1/2" Hex Falcon 500 100</v>
      </c>
      <c r="E289" s="132">
        <v>0</v>
      </c>
      <c r="I289" s="132">
        <v>0</v>
      </c>
    </row>
    <row r="290" spans="1:9" ht="14.25" customHeight="1" x14ac:dyDescent="0.25">
      <c r="A290" s="132" t="s">
        <v>241</v>
      </c>
      <c r="B290" s="132" t="s">
        <v>11</v>
      </c>
      <c r="C290" s="132">
        <v>-3</v>
      </c>
      <c r="D290" s="132" t="str">
        <f t="shared" ref="D290:D295" si="19">A290&amp;" "&amp;B290&amp;" "&amp;C290</f>
        <v>1/2" Round AM 9015 -3</v>
      </c>
      <c r="E290" s="132">
        <v>1</v>
      </c>
      <c r="I290" s="132">
        <v>1</v>
      </c>
    </row>
    <row r="291" spans="1:9" ht="14.25" customHeight="1" x14ac:dyDescent="0.25">
      <c r="A291" s="132" t="s">
        <v>241</v>
      </c>
      <c r="B291" s="132" t="s">
        <v>11</v>
      </c>
      <c r="C291" s="132">
        <v>-4</v>
      </c>
      <c r="D291" s="132" t="str">
        <f t="shared" si="19"/>
        <v>1/2" Round AM 9015 -4</v>
      </c>
      <c r="E291" s="132">
        <v>1</v>
      </c>
      <c r="I291" s="132">
        <v>1</v>
      </c>
    </row>
    <row r="292" spans="1:9" ht="14.25" customHeight="1" x14ac:dyDescent="0.25">
      <c r="A292" s="132" t="s">
        <v>241</v>
      </c>
      <c r="B292" s="132" t="s">
        <v>11</v>
      </c>
      <c r="C292" s="132">
        <v>-5</v>
      </c>
      <c r="D292" s="132" t="str">
        <f t="shared" si="19"/>
        <v>1/2" Round AM 9015 -5</v>
      </c>
      <c r="E292" s="132">
        <v>1</v>
      </c>
      <c r="I292" s="132">
        <v>1</v>
      </c>
    </row>
    <row r="293" spans="1:9" ht="14.25" customHeight="1" x14ac:dyDescent="0.25">
      <c r="A293" s="132" t="s">
        <v>241</v>
      </c>
      <c r="B293" s="132" t="s">
        <v>11</v>
      </c>
      <c r="C293" s="132">
        <v>-7</v>
      </c>
      <c r="D293" s="132" t="str">
        <f t="shared" si="19"/>
        <v>1/2" Round AM 9015 -7</v>
      </c>
      <c r="E293" s="132">
        <v>1</v>
      </c>
      <c r="I293" s="132">
        <v>1</v>
      </c>
    </row>
    <row r="294" spans="1:9" ht="14.25" customHeight="1" x14ac:dyDescent="0.25">
      <c r="A294" s="132" t="s">
        <v>241</v>
      </c>
      <c r="B294" s="132" t="s">
        <v>11</v>
      </c>
      <c r="C294" s="132">
        <v>-9</v>
      </c>
      <c r="D294" s="132" t="str">
        <f t="shared" si="19"/>
        <v>1/2" Round AM 9015 -9</v>
      </c>
      <c r="E294" s="132">
        <v>1</v>
      </c>
      <c r="I294" s="132">
        <v>1</v>
      </c>
    </row>
    <row r="295" spans="1:9" ht="14.25" customHeight="1" x14ac:dyDescent="0.25">
      <c r="A295" s="132" t="s">
        <v>241</v>
      </c>
      <c r="B295" s="132" t="s">
        <v>11</v>
      </c>
      <c r="C295" s="132">
        <v>-10</v>
      </c>
      <c r="D295" s="132" t="str">
        <f t="shared" si="19"/>
        <v>1/2" Round AM 9015 -10</v>
      </c>
      <c r="E295" s="132">
        <v>1</v>
      </c>
      <c r="I295" s="132">
        <v>1</v>
      </c>
    </row>
    <row r="296" spans="1:9" ht="14.25" customHeight="1" x14ac:dyDescent="0.25">
      <c r="A296" s="132" t="s">
        <v>241</v>
      </c>
      <c r="B296" s="132" t="s">
        <v>11</v>
      </c>
      <c r="C296" s="132">
        <v>9</v>
      </c>
      <c r="D296" s="132" t="str">
        <f t="shared" ref="D296:D316" si="20">A296&amp;" "&amp;B296&amp;" "&amp;C296</f>
        <v>1/2" Round AM 9015 9</v>
      </c>
      <c r="E296" s="132">
        <v>10</v>
      </c>
      <c r="I296" s="132">
        <v>10</v>
      </c>
    </row>
    <row r="297" spans="1:9" ht="14.25" customHeight="1" x14ac:dyDescent="0.25">
      <c r="A297" s="132" t="s">
        <v>241</v>
      </c>
      <c r="B297" s="132" t="s">
        <v>11</v>
      </c>
      <c r="C297" s="132">
        <v>12</v>
      </c>
      <c r="D297" s="132" t="str">
        <f t="shared" si="20"/>
        <v>1/2" Round AM 9015 12</v>
      </c>
      <c r="E297" s="132">
        <v>10</v>
      </c>
      <c r="I297" s="132">
        <v>7</v>
      </c>
    </row>
    <row r="298" spans="1:9" ht="14.25" customHeight="1" x14ac:dyDescent="0.25">
      <c r="A298" s="132" t="s">
        <v>241</v>
      </c>
      <c r="B298" s="132" t="s">
        <v>11</v>
      </c>
      <c r="C298" s="132">
        <v>15</v>
      </c>
      <c r="D298" s="132" t="str">
        <f t="shared" si="20"/>
        <v>1/2" Round AM 9015 15</v>
      </c>
      <c r="E298" s="132">
        <v>10</v>
      </c>
      <c r="I298" s="132">
        <v>5</v>
      </c>
    </row>
    <row r="299" spans="1:9" ht="14.25" customHeight="1" x14ac:dyDescent="0.25">
      <c r="A299" s="132" t="s">
        <v>241</v>
      </c>
      <c r="B299" s="132" t="s">
        <v>11</v>
      </c>
      <c r="C299" s="132">
        <v>16</v>
      </c>
      <c r="D299" s="132" t="str">
        <f t="shared" si="20"/>
        <v>1/2" Round AM 9015 16</v>
      </c>
      <c r="E299" s="132">
        <v>10</v>
      </c>
      <c r="I299" s="132">
        <v>5</v>
      </c>
    </row>
    <row r="300" spans="1:9" ht="14.25" customHeight="1" x14ac:dyDescent="0.25">
      <c r="A300" s="132" t="s">
        <v>241</v>
      </c>
      <c r="B300" s="132" t="s">
        <v>11</v>
      </c>
      <c r="C300" s="132">
        <v>20</v>
      </c>
      <c r="D300" s="132" t="str">
        <f t="shared" si="20"/>
        <v>1/2" Round AM 9015 20</v>
      </c>
      <c r="E300" s="132">
        <v>10</v>
      </c>
      <c r="I300" s="132">
        <v>4</v>
      </c>
    </row>
    <row r="301" spans="1:9" ht="14.25" customHeight="1" x14ac:dyDescent="0.25">
      <c r="A301" s="132" t="s">
        <v>241</v>
      </c>
      <c r="B301" s="132" t="s">
        <v>11</v>
      </c>
      <c r="C301" s="132">
        <v>21</v>
      </c>
      <c r="D301" s="132" t="str">
        <f t="shared" si="20"/>
        <v>1/2" Round AM 9015 21</v>
      </c>
      <c r="E301" s="132">
        <v>10</v>
      </c>
      <c r="I301" s="132">
        <v>4</v>
      </c>
    </row>
    <row r="302" spans="1:9" ht="14.25" customHeight="1" x14ac:dyDescent="0.25">
      <c r="A302" s="132" t="s">
        <v>241</v>
      </c>
      <c r="B302" s="132" t="s">
        <v>11</v>
      </c>
      <c r="C302" s="132">
        <v>25</v>
      </c>
      <c r="D302" s="132" t="str">
        <f t="shared" si="20"/>
        <v>1/2" Round AM 9015 25</v>
      </c>
      <c r="E302" s="132">
        <v>7</v>
      </c>
      <c r="I302" s="132">
        <v>3</v>
      </c>
    </row>
    <row r="303" spans="1:9" ht="14.25" customHeight="1" x14ac:dyDescent="0.25">
      <c r="A303" s="132" t="s">
        <v>241</v>
      </c>
      <c r="B303" s="132" t="s">
        <v>11</v>
      </c>
      <c r="C303" s="132">
        <v>27</v>
      </c>
      <c r="D303" s="132" t="str">
        <f t="shared" si="20"/>
        <v>1/2" Round AM 9015 27</v>
      </c>
      <c r="E303" s="132">
        <v>7</v>
      </c>
      <c r="I303" s="132">
        <v>3</v>
      </c>
    </row>
    <row r="304" spans="1:9" ht="14.25" customHeight="1" x14ac:dyDescent="0.25">
      <c r="A304" s="132" t="s">
        <v>241</v>
      </c>
      <c r="B304" s="132" t="s">
        <v>11</v>
      </c>
      <c r="C304" s="132">
        <v>28</v>
      </c>
      <c r="D304" s="132" t="str">
        <f t="shared" si="20"/>
        <v>1/2" Round AM 9015 28</v>
      </c>
      <c r="E304" s="132">
        <v>7</v>
      </c>
      <c r="I304" s="132">
        <v>3</v>
      </c>
    </row>
    <row r="305" spans="1:9" ht="14.25" customHeight="1" x14ac:dyDescent="0.25">
      <c r="A305" s="132" t="s">
        <v>241</v>
      </c>
      <c r="B305" s="132" t="s">
        <v>11</v>
      </c>
      <c r="C305" s="132">
        <v>30</v>
      </c>
      <c r="D305" s="132" t="str">
        <f t="shared" si="20"/>
        <v>1/2" Round AM 9015 30</v>
      </c>
      <c r="E305" s="132">
        <v>7</v>
      </c>
      <c r="I305" s="132">
        <v>3</v>
      </c>
    </row>
    <row r="306" spans="1:9" ht="14.25" customHeight="1" x14ac:dyDescent="0.25">
      <c r="A306" s="132" t="s">
        <v>241</v>
      </c>
      <c r="B306" s="132" t="s">
        <v>11</v>
      </c>
      <c r="C306" s="132">
        <v>35</v>
      </c>
      <c r="D306" s="132" t="str">
        <f t="shared" si="20"/>
        <v>1/2" Round AM 9015 35</v>
      </c>
      <c r="E306" s="132">
        <v>5</v>
      </c>
      <c r="I306" s="132">
        <v>1</v>
      </c>
    </row>
    <row r="307" spans="1:9" ht="14.25" customHeight="1" x14ac:dyDescent="0.25">
      <c r="A307" s="132" t="s">
        <v>241</v>
      </c>
      <c r="B307" s="132" t="s">
        <v>11</v>
      </c>
      <c r="C307" s="132">
        <v>36</v>
      </c>
      <c r="D307" s="132" t="str">
        <f t="shared" si="20"/>
        <v>1/2" Round AM 9015 36</v>
      </c>
      <c r="E307" s="132">
        <v>5</v>
      </c>
      <c r="I307" s="132">
        <v>1</v>
      </c>
    </row>
    <row r="308" spans="1:9" ht="14.25" customHeight="1" x14ac:dyDescent="0.25">
      <c r="A308" s="132" t="s">
        <v>241</v>
      </c>
      <c r="B308" s="132" t="s">
        <v>11</v>
      </c>
      <c r="C308" s="132">
        <v>40</v>
      </c>
      <c r="D308" s="132" t="str">
        <f t="shared" si="20"/>
        <v>1/2" Round AM 9015 40</v>
      </c>
      <c r="E308" s="132">
        <v>5</v>
      </c>
      <c r="I308" s="132">
        <v>1</v>
      </c>
    </row>
    <row r="309" spans="1:9" ht="14.25" customHeight="1" x14ac:dyDescent="0.25">
      <c r="A309" s="132" t="s">
        <v>241</v>
      </c>
      <c r="B309" s="132" t="s">
        <v>11</v>
      </c>
      <c r="C309" s="132">
        <v>45</v>
      </c>
      <c r="D309" s="132" t="str">
        <f t="shared" si="20"/>
        <v>1/2" Round AM 9015 45</v>
      </c>
      <c r="E309" s="132">
        <v>5</v>
      </c>
      <c r="I309" s="132">
        <v>1</v>
      </c>
    </row>
    <row r="310" spans="1:9" ht="14.25" customHeight="1" x14ac:dyDescent="0.25">
      <c r="A310" s="132" t="s">
        <v>241</v>
      </c>
      <c r="B310" s="132" t="s">
        <v>11</v>
      </c>
      <c r="C310" s="132">
        <v>49</v>
      </c>
      <c r="D310" s="132" t="str">
        <f t="shared" si="20"/>
        <v>1/2" Round AM 9015 49</v>
      </c>
      <c r="E310" s="132">
        <v>5</v>
      </c>
      <c r="I310" s="132">
        <v>1</v>
      </c>
    </row>
    <row r="311" spans="1:9" ht="14.25" customHeight="1" x14ac:dyDescent="0.25">
      <c r="A311" s="132" t="s">
        <v>241</v>
      </c>
      <c r="B311" s="132" t="s">
        <v>11</v>
      </c>
      <c r="C311" s="132">
        <v>50</v>
      </c>
      <c r="D311" s="132" t="str">
        <f t="shared" si="20"/>
        <v>1/2" Round AM 9015 50</v>
      </c>
      <c r="E311" s="132">
        <v>5</v>
      </c>
      <c r="I311" s="132">
        <v>1</v>
      </c>
    </row>
    <row r="312" spans="1:9" ht="14.25" customHeight="1" x14ac:dyDescent="0.25">
      <c r="A312" s="132" t="s">
        <v>241</v>
      </c>
      <c r="B312" s="132" t="s">
        <v>11</v>
      </c>
      <c r="C312" s="132">
        <v>63</v>
      </c>
      <c r="D312" s="132" t="str">
        <f t="shared" si="20"/>
        <v>1/2" Round AM 9015 63</v>
      </c>
      <c r="E312" s="132">
        <v>4</v>
      </c>
      <c r="I312" s="132">
        <v>1</v>
      </c>
    </row>
    <row r="313" spans="1:9" ht="14.25" customHeight="1" x14ac:dyDescent="0.25">
      <c r="A313" s="132" t="s">
        <v>241</v>
      </c>
      <c r="B313" s="132" t="s">
        <v>11</v>
      </c>
      <c r="C313" s="132">
        <v>70</v>
      </c>
      <c r="D313" s="132" t="str">
        <f t="shared" si="20"/>
        <v>1/2" Round AM 9015 70</v>
      </c>
      <c r="E313" s="132">
        <v>4</v>
      </c>
      <c r="I313" s="132">
        <v>1</v>
      </c>
    </row>
    <row r="314" spans="1:9" ht="14.25" customHeight="1" x14ac:dyDescent="0.25">
      <c r="A314" s="132" t="s">
        <v>241</v>
      </c>
      <c r="B314" s="132" t="s">
        <v>11</v>
      </c>
      <c r="C314" s="132">
        <v>81</v>
      </c>
      <c r="D314" s="132" t="str">
        <f t="shared" si="20"/>
        <v>1/2" Round AM 9015 81</v>
      </c>
      <c r="E314" s="132">
        <v>3</v>
      </c>
      <c r="I314" s="132">
        <v>1</v>
      </c>
    </row>
    <row r="315" spans="1:9" ht="14.25" customHeight="1" x14ac:dyDescent="0.25">
      <c r="A315" s="132" t="s">
        <v>241</v>
      </c>
      <c r="B315" s="132" t="s">
        <v>11</v>
      </c>
      <c r="C315" s="132">
        <v>90</v>
      </c>
      <c r="D315" s="132" t="str">
        <f t="shared" si="20"/>
        <v>1/2" Round AM 9015 90</v>
      </c>
      <c r="E315" s="132">
        <v>3</v>
      </c>
      <c r="I315" s="132">
        <v>1</v>
      </c>
    </row>
    <row r="316" spans="1:9" ht="14.25" customHeight="1" x14ac:dyDescent="0.25">
      <c r="A316" s="132" t="s">
        <v>241</v>
      </c>
      <c r="B316" s="132" t="s">
        <v>11</v>
      </c>
      <c r="C316" s="132">
        <v>100</v>
      </c>
      <c r="D316" s="132" t="str">
        <f t="shared" si="20"/>
        <v>1/2" Round AM 9015 100</v>
      </c>
      <c r="E316" s="132">
        <v>1</v>
      </c>
      <c r="I316" s="132">
        <v>0</v>
      </c>
    </row>
    <row r="317" spans="1:9" ht="14.25" customHeight="1" x14ac:dyDescent="0.25">
      <c r="A317" s="132" t="s">
        <v>241</v>
      </c>
      <c r="B317" s="132" t="s">
        <v>327</v>
      </c>
      <c r="C317" s="132">
        <v>-3</v>
      </c>
      <c r="D317" s="132" t="str">
        <f t="shared" ref="D317:D322" si="21">A317&amp;" "&amp;B317&amp;" "&amp;C317</f>
        <v>1/2" Round BB RS-550 -3</v>
      </c>
      <c r="E317" s="132">
        <v>1</v>
      </c>
      <c r="F317" s="132">
        <v>1</v>
      </c>
      <c r="G317" s="132">
        <v>1</v>
      </c>
      <c r="H317" s="132">
        <v>1</v>
      </c>
      <c r="I317" s="132">
        <v>1</v>
      </c>
    </row>
    <row r="318" spans="1:9" ht="14.25" customHeight="1" x14ac:dyDescent="0.25">
      <c r="A318" s="132" t="s">
        <v>241</v>
      </c>
      <c r="B318" s="132" t="s">
        <v>327</v>
      </c>
      <c r="C318" s="132">
        <v>-4</v>
      </c>
      <c r="D318" s="132" t="str">
        <f t="shared" si="21"/>
        <v>1/2" Round BB RS-550 -4</v>
      </c>
      <c r="E318" s="132">
        <v>1</v>
      </c>
      <c r="F318" s="132">
        <v>1</v>
      </c>
      <c r="G318" s="132">
        <v>1</v>
      </c>
      <c r="H318" s="132">
        <v>0</v>
      </c>
      <c r="I318" s="132">
        <v>1</v>
      </c>
    </row>
    <row r="319" spans="1:9" ht="14.25" customHeight="1" x14ac:dyDescent="0.25">
      <c r="A319" s="132" t="s">
        <v>241</v>
      </c>
      <c r="B319" s="132" t="s">
        <v>327</v>
      </c>
      <c r="C319" s="132">
        <v>-5</v>
      </c>
      <c r="D319" s="132" t="str">
        <f t="shared" si="21"/>
        <v>1/2" Round BB RS-550 -5</v>
      </c>
      <c r="E319" s="132">
        <v>1</v>
      </c>
      <c r="F319" s="132">
        <v>1</v>
      </c>
      <c r="G319" s="132">
        <v>1</v>
      </c>
      <c r="H319" s="132">
        <v>0</v>
      </c>
      <c r="I319" s="132">
        <v>1</v>
      </c>
    </row>
    <row r="320" spans="1:9" ht="14.25" customHeight="1" x14ac:dyDescent="0.25">
      <c r="A320" s="132" t="s">
        <v>241</v>
      </c>
      <c r="B320" s="132" t="s">
        <v>327</v>
      </c>
      <c r="C320" s="132">
        <v>-7</v>
      </c>
      <c r="D320" s="132" t="str">
        <f t="shared" si="21"/>
        <v>1/2" Round BB RS-550 -7</v>
      </c>
      <c r="E320" s="132">
        <v>1</v>
      </c>
      <c r="F320" s="132">
        <v>1</v>
      </c>
      <c r="G320" s="132">
        <v>1</v>
      </c>
      <c r="H320" s="132">
        <v>0</v>
      </c>
      <c r="I320" s="132">
        <v>1</v>
      </c>
    </row>
    <row r="321" spans="1:9" ht="14.25" customHeight="1" x14ac:dyDescent="0.25">
      <c r="A321" s="132" t="s">
        <v>241</v>
      </c>
      <c r="B321" s="132" t="s">
        <v>327</v>
      </c>
      <c r="C321" s="132">
        <v>-9</v>
      </c>
      <c r="D321" s="132" t="str">
        <f t="shared" si="21"/>
        <v>1/2" Round BB RS-550 -9</v>
      </c>
      <c r="E321" s="132">
        <v>1</v>
      </c>
      <c r="F321" s="132">
        <v>1</v>
      </c>
      <c r="G321" s="132">
        <v>0</v>
      </c>
      <c r="H321" s="132">
        <v>0</v>
      </c>
      <c r="I321" s="132">
        <v>1</v>
      </c>
    </row>
    <row r="322" spans="1:9" ht="14.25" customHeight="1" x14ac:dyDescent="0.25">
      <c r="A322" s="132" t="s">
        <v>241</v>
      </c>
      <c r="B322" s="132" t="s">
        <v>327</v>
      </c>
      <c r="C322" s="132">
        <v>-10</v>
      </c>
      <c r="D322" s="132" t="str">
        <f t="shared" si="21"/>
        <v>1/2" Round BB RS-550 -10</v>
      </c>
      <c r="E322" s="132">
        <v>1</v>
      </c>
      <c r="F322" s="132">
        <v>1</v>
      </c>
      <c r="G322" s="132">
        <v>0</v>
      </c>
      <c r="H322" s="132">
        <v>0</v>
      </c>
      <c r="I322" s="132">
        <v>1</v>
      </c>
    </row>
    <row r="323" spans="1:9" ht="14.25" customHeight="1" x14ac:dyDescent="0.25">
      <c r="A323" s="132" t="s">
        <v>241</v>
      </c>
      <c r="B323" s="132" t="s">
        <v>327</v>
      </c>
      <c r="C323" s="132">
        <v>9</v>
      </c>
      <c r="D323" s="132" t="str">
        <f t="shared" ref="D323:D343" si="22">A323&amp;" "&amp;B323&amp;" "&amp;C323</f>
        <v>1/2" Round BB RS-550 9</v>
      </c>
      <c r="E323" s="132">
        <v>10</v>
      </c>
      <c r="F323" s="132">
        <v>10</v>
      </c>
      <c r="G323" s="132">
        <v>1</v>
      </c>
      <c r="H323" s="132">
        <v>0</v>
      </c>
      <c r="I323" s="132">
        <v>10</v>
      </c>
    </row>
    <row r="324" spans="1:9" ht="14.25" customHeight="1" x14ac:dyDescent="0.25">
      <c r="A324" s="132" t="s">
        <v>241</v>
      </c>
      <c r="B324" s="132" t="s">
        <v>327</v>
      </c>
      <c r="C324" s="132">
        <v>12</v>
      </c>
      <c r="D324" s="132" t="str">
        <f t="shared" si="22"/>
        <v>1/2" Round BB RS-550 12</v>
      </c>
      <c r="E324" s="132">
        <v>10</v>
      </c>
      <c r="F324" s="132">
        <v>7</v>
      </c>
      <c r="G324" s="132">
        <v>0</v>
      </c>
      <c r="H324" s="132">
        <v>0</v>
      </c>
      <c r="I324" s="132">
        <v>7</v>
      </c>
    </row>
    <row r="325" spans="1:9" ht="14.25" customHeight="1" x14ac:dyDescent="0.25">
      <c r="A325" s="132" t="s">
        <v>241</v>
      </c>
      <c r="B325" s="132" t="s">
        <v>327</v>
      </c>
      <c r="C325" s="132">
        <v>15</v>
      </c>
      <c r="D325" s="132" t="str">
        <f t="shared" si="22"/>
        <v>1/2" Round BB RS-550 15</v>
      </c>
      <c r="E325" s="132">
        <v>10</v>
      </c>
      <c r="F325" s="132">
        <v>5</v>
      </c>
      <c r="G325" s="132">
        <v>0</v>
      </c>
      <c r="H325" s="132">
        <v>0</v>
      </c>
      <c r="I325" s="132">
        <v>5</v>
      </c>
    </row>
    <row r="326" spans="1:9" ht="14.25" customHeight="1" x14ac:dyDescent="0.25">
      <c r="A326" s="132" t="s">
        <v>241</v>
      </c>
      <c r="B326" s="132" t="s">
        <v>327</v>
      </c>
      <c r="C326" s="132">
        <v>16</v>
      </c>
      <c r="D326" s="132" t="str">
        <f t="shared" si="22"/>
        <v>1/2" Round BB RS-550 16</v>
      </c>
      <c r="E326" s="132">
        <v>10</v>
      </c>
      <c r="F326" s="132">
        <v>5</v>
      </c>
      <c r="G326" s="132">
        <v>0</v>
      </c>
      <c r="H326" s="132">
        <v>0</v>
      </c>
      <c r="I326" s="132">
        <v>5</v>
      </c>
    </row>
    <row r="327" spans="1:9" ht="14.25" customHeight="1" x14ac:dyDescent="0.25">
      <c r="A327" s="132" t="s">
        <v>241</v>
      </c>
      <c r="B327" s="132" t="s">
        <v>327</v>
      </c>
      <c r="C327" s="132">
        <v>20</v>
      </c>
      <c r="D327" s="132" t="str">
        <f t="shared" si="22"/>
        <v>1/2" Round BB RS-550 20</v>
      </c>
      <c r="E327" s="132">
        <v>9</v>
      </c>
      <c r="F327" s="132">
        <v>5</v>
      </c>
      <c r="G327" s="132">
        <v>0</v>
      </c>
      <c r="H327" s="132">
        <v>0</v>
      </c>
      <c r="I327" s="132">
        <v>4</v>
      </c>
    </row>
    <row r="328" spans="1:9" ht="14.25" customHeight="1" x14ac:dyDescent="0.25">
      <c r="A328" s="132" t="s">
        <v>241</v>
      </c>
      <c r="B328" s="132" t="s">
        <v>327</v>
      </c>
      <c r="C328" s="132">
        <v>21</v>
      </c>
      <c r="D328" s="132" t="str">
        <f t="shared" si="22"/>
        <v>1/2" Round BB RS-550 21</v>
      </c>
      <c r="E328" s="132">
        <v>9</v>
      </c>
      <c r="F328" s="132">
        <v>5</v>
      </c>
      <c r="G328" s="132">
        <v>0</v>
      </c>
      <c r="H328" s="132">
        <v>0</v>
      </c>
      <c r="I328" s="132">
        <v>4</v>
      </c>
    </row>
    <row r="329" spans="1:9" ht="14.25" customHeight="1" x14ac:dyDescent="0.25">
      <c r="A329" s="132" t="s">
        <v>241</v>
      </c>
      <c r="B329" s="132" t="s">
        <v>327</v>
      </c>
      <c r="C329" s="132">
        <v>25</v>
      </c>
      <c r="D329" s="132" t="str">
        <f t="shared" si="22"/>
        <v>1/2" Round BB RS-550 25</v>
      </c>
      <c r="E329" s="132">
        <v>7</v>
      </c>
      <c r="F329" s="132">
        <v>5</v>
      </c>
      <c r="G329" s="132">
        <v>0</v>
      </c>
      <c r="H329" s="132">
        <v>0</v>
      </c>
      <c r="I329" s="132">
        <v>3</v>
      </c>
    </row>
    <row r="330" spans="1:9" ht="14.25" customHeight="1" x14ac:dyDescent="0.25">
      <c r="A330" s="132" t="s">
        <v>241</v>
      </c>
      <c r="B330" s="132" t="s">
        <v>327</v>
      </c>
      <c r="C330" s="132">
        <v>27</v>
      </c>
      <c r="D330" s="132" t="str">
        <f t="shared" si="22"/>
        <v>1/2" Round BB RS-550 27</v>
      </c>
      <c r="E330" s="132">
        <v>7</v>
      </c>
      <c r="F330" s="132">
        <v>4</v>
      </c>
      <c r="G330" s="132">
        <v>0</v>
      </c>
      <c r="H330" s="132">
        <v>0</v>
      </c>
      <c r="I330" s="132">
        <v>3</v>
      </c>
    </row>
    <row r="331" spans="1:9" ht="14.25" customHeight="1" x14ac:dyDescent="0.25">
      <c r="A331" s="132" t="s">
        <v>241</v>
      </c>
      <c r="B331" s="132" t="s">
        <v>327</v>
      </c>
      <c r="C331" s="132">
        <v>28</v>
      </c>
      <c r="D331" s="132" t="str">
        <f t="shared" si="22"/>
        <v>1/2" Round BB RS-550 28</v>
      </c>
      <c r="E331" s="132">
        <v>7</v>
      </c>
      <c r="F331" s="132">
        <v>4</v>
      </c>
      <c r="G331" s="132">
        <v>0</v>
      </c>
      <c r="H331" s="132">
        <v>0</v>
      </c>
      <c r="I331" s="132">
        <v>3</v>
      </c>
    </row>
    <row r="332" spans="1:9" ht="14.25" customHeight="1" x14ac:dyDescent="0.25">
      <c r="A332" s="132" t="s">
        <v>241</v>
      </c>
      <c r="B332" s="132" t="s">
        <v>327</v>
      </c>
      <c r="C332" s="132">
        <v>30</v>
      </c>
      <c r="D332" s="132" t="str">
        <f t="shared" si="22"/>
        <v>1/2" Round BB RS-550 30</v>
      </c>
      <c r="E332" s="132">
        <v>5</v>
      </c>
      <c r="F332" s="132">
        <v>4</v>
      </c>
      <c r="G332" s="132">
        <v>0</v>
      </c>
      <c r="H332" s="132">
        <v>0</v>
      </c>
      <c r="I332" s="132">
        <v>3</v>
      </c>
    </row>
    <row r="333" spans="1:9" ht="14.25" customHeight="1" x14ac:dyDescent="0.25">
      <c r="A333" s="132" t="s">
        <v>241</v>
      </c>
      <c r="B333" s="132" t="s">
        <v>327</v>
      </c>
      <c r="C333" s="132">
        <v>35</v>
      </c>
      <c r="D333" s="132" t="str">
        <f t="shared" si="22"/>
        <v>1/2" Round BB RS-550 35</v>
      </c>
      <c r="E333" s="132">
        <v>5</v>
      </c>
      <c r="F333" s="132">
        <v>3</v>
      </c>
      <c r="G333" s="132">
        <v>0</v>
      </c>
      <c r="H333" s="132">
        <v>0</v>
      </c>
      <c r="I333" s="132">
        <v>1</v>
      </c>
    </row>
    <row r="334" spans="1:9" ht="14.25" customHeight="1" x14ac:dyDescent="0.25">
      <c r="A334" s="132" t="s">
        <v>241</v>
      </c>
      <c r="B334" s="132" t="s">
        <v>327</v>
      </c>
      <c r="C334" s="132">
        <v>36</v>
      </c>
      <c r="D334" s="132" t="str">
        <f t="shared" si="22"/>
        <v>1/2" Round BB RS-550 36</v>
      </c>
      <c r="E334" s="132">
        <v>5</v>
      </c>
      <c r="F334" s="132">
        <v>3</v>
      </c>
      <c r="G334" s="132">
        <v>0</v>
      </c>
      <c r="H334" s="132">
        <v>0</v>
      </c>
      <c r="I334" s="132">
        <v>1</v>
      </c>
    </row>
    <row r="335" spans="1:9" ht="14.25" customHeight="1" x14ac:dyDescent="0.25">
      <c r="A335" s="132" t="s">
        <v>241</v>
      </c>
      <c r="B335" s="132" t="s">
        <v>327</v>
      </c>
      <c r="C335" s="132">
        <v>40</v>
      </c>
      <c r="D335" s="132" t="str">
        <f t="shared" si="22"/>
        <v>1/2" Round BB RS-550 40</v>
      </c>
      <c r="E335" s="132">
        <v>5</v>
      </c>
      <c r="F335" s="132">
        <v>3</v>
      </c>
      <c r="G335" s="132">
        <v>0</v>
      </c>
      <c r="H335" s="132">
        <v>0</v>
      </c>
      <c r="I335" s="132">
        <v>1</v>
      </c>
    </row>
    <row r="336" spans="1:9" ht="14.25" customHeight="1" x14ac:dyDescent="0.25">
      <c r="A336" s="132" t="s">
        <v>241</v>
      </c>
      <c r="B336" s="132" t="s">
        <v>327</v>
      </c>
      <c r="C336" s="132">
        <v>45</v>
      </c>
      <c r="D336" s="132" t="str">
        <f t="shared" si="22"/>
        <v>1/2" Round BB RS-550 45</v>
      </c>
      <c r="E336" s="132">
        <v>5</v>
      </c>
      <c r="F336" s="132">
        <v>1</v>
      </c>
      <c r="G336" s="132">
        <v>0</v>
      </c>
      <c r="H336" s="132">
        <v>0</v>
      </c>
      <c r="I336" s="132">
        <v>1</v>
      </c>
    </row>
    <row r="337" spans="1:9" ht="14.25" customHeight="1" x14ac:dyDescent="0.25">
      <c r="A337" s="132" t="s">
        <v>241</v>
      </c>
      <c r="B337" s="132" t="s">
        <v>327</v>
      </c>
      <c r="C337" s="132">
        <v>49</v>
      </c>
      <c r="D337" s="132" t="str">
        <f t="shared" si="22"/>
        <v>1/2" Round BB RS-550 49</v>
      </c>
      <c r="E337" s="132">
        <v>5</v>
      </c>
      <c r="F337" s="132">
        <v>1</v>
      </c>
      <c r="G337" s="132">
        <v>0</v>
      </c>
      <c r="H337" s="132">
        <v>0</v>
      </c>
      <c r="I337" s="132">
        <v>1</v>
      </c>
    </row>
    <row r="338" spans="1:9" ht="14.25" customHeight="1" x14ac:dyDescent="0.25">
      <c r="A338" s="132" t="s">
        <v>241</v>
      </c>
      <c r="B338" s="132" t="s">
        <v>327</v>
      </c>
      <c r="C338" s="132">
        <v>50</v>
      </c>
      <c r="D338" s="132" t="str">
        <f t="shared" si="22"/>
        <v>1/2" Round BB RS-550 50</v>
      </c>
      <c r="E338" s="132">
        <v>5</v>
      </c>
      <c r="F338" s="132">
        <v>1</v>
      </c>
      <c r="G338" s="132">
        <v>0</v>
      </c>
      <c r="H338" s="132">
        <v>0</v>
      </c>
      <c r="I338" s="132">
        <v>1</v>
      </c>
    </row>
    <row r="339" spans="1:9" ht="14.25" customHeight="1" x14ac:dyDescent="0.25">
      <c r="A339" s="132" t="s">
        <v>241</v>
      </c>
      <c r="B339" s="132" t="s">
        <v>327</v>
      </c>
      <c r="C339" s="132">
        <v>63</v>
      </c>
      <c r="D339" s="132" t="str">
        <f t="shared" si="22"/>
        <v>1/2" Round BB RS-550 63</v>
      </c>
      <c r="E339" s="132">
        <v>4</v>
      </c>
      <c r="F339" s="132">
        <v>1</v>
      </c>
      <c r="G339" s="132">
        <v>0</v>
      </c>
      <c r="H339" s="132">
        <v>0</v>
      </c>
      <c r="I339" s="132">
        <v>1</v>
      </c>
    </row>
    <row r="340" spans="1:9" ht="14.25" customHeight="1" x14ac:dyDescent="0.25">
      <c r="A340" s="132" t="s">
        <v>241</v>
      </c>
      <c r="B340" s="132" t="s">
        <v>327</v>
      </c>
      <c r="C340" s="132">
        <v>70</v>
      </c>
      <c r="D340" s="132" t="str">
        <f t="shared" si="22"/>
        <v>1/2" Round BB RS-550 70</v>
      </c>
      <c r="E340" s="132">
        <v>3</v>
      </c>
      <c r="F340" s="132">
        <v>1</v>
      </c>
      <c r="G340" s="132">
        <v>0</v>
      </c>
      <c r="H340" s="132">
        <v>0</v>
      </c>
      <c r="I340" s="132">
        <v>1</v>
      </c>
    </row>
    <row r="341" spans="1:9" ht="14.25" customHeight="1" x14ac:dyDescent="0.25">
      <c r="A341" s="132" t="s">
        <v>241</v>
      </c>
      <c r="B341" s="132" t="s">
        <v>327</v>
      </c>
      <c r="C341" s="132">
        <v>81</v>
      </c>
      <c r="D341" s="132" t="str">
        <f t="shared" si="22"/>
        <v>1/2" Round BB RS-550 81</v>
      </c>
      <c r="E341" s="132">
        <v>3</v>
      </c>
      <c r="F341" s="132">
        <v>1</v>
      </c>
      <c r="G341" s="132">
        <v>0</v>
      </c>
      <c r="H341" s="132">
        <v>0</v>
      </c>
      <c r="I341" s="132">
        <v>1</v>
      </c>
    </row>
    <row r="342" spans="1:9" ht="14.25" customHeight="1" x14ac:dyDescent="0.25">
      <c r="A342" s="132" t="s">
        <v>241</v>
      </c>
      <c r="B342" s="132" t="s">
        <v>327</v>
      </c>
      <c r="C342" s="132">
        <v>90</v>
      </c>
      <c r="D342" s="132" t="str">
        <f t="shared" si="22"/>
        <v>1/2" Round BB RS-550 90</v>
      </c>
      <c r="E342" s="132">
        <v>1</v>
      </c>
      <c r="F342" s="132">
        <v>1</v>
      </c>
      <c r="G342" s="132">
        <v>0</v>
      </c>
      <c r="H342" s="132">
        <v>0</v>
      </c>
      <c r="I342" s="132">
        <v>1</v>
      </c>
    </row>
    <row r="343" spans="1:9" ht="14.25" customHeight="1" x14ac:dyDescent="0.25">
      <c r="A343" s="132" t="s">
        <v>241</v>
      </c>
      <c r="B343" s="132" t="s">
        <v>327</v>
      </c>
      <c r="C343" s="132">
        <v>100</v>
      </c>
      <c r="D343" s="132" t="str">
        <f t="shared" si="22"/>
        <v>1/2" Round BB RS-550 100</v>
      </c>
      <c r="E343" s="132">
        <v>1</v>
      </c>
      <c r="F343" s="132">
        <v>0</v>
      </c>
      <c r="G343" s="132">
        <v>0</v>
      </c>
      <c r="H343" s="132">
        <v>0</v>
      </c>
      <c r="I343" s="132">
        <v>0</v>
      </c>
    </row>
    <row r="344" spans="1:9" ht="14.25" customHeight="1" x14ac:dyDescent="0.25">
      <c r="A344" s="132" t="s">
        <v>241</v>
      </c>
      <c r="B344" s="132" t="s">
        <v>328</v>
      </c>
      <c r="C344" s="132">
        <v>-3</v>
      </c>
      <c r="D344" s="132" t="str">
        <f t="shared" ref="D344:D349" si="23">A344&amp;" "&amp;B344&amp;" "&amp;C344</f>
        <v>1/2" Round BB RS-775 -3</v>
      </c>
      <c r="E344" s="132">
        <v>1</v>
      </c>
      <c r="F344" s="132">
        <v>1</v>
      </c>
      <c r="G344" s="132">
        <v>1</v>
      </c>
      <c r="H344" s="132">
        <v>0</v>
      </c>
      <c r="I344" s="132">
        <v>1</v>
      </c>
    </row>
    <row r="345" spans="1:9" ht="14.25" customHeight="1" x14ac:dyDescent="0.25">
      <c r="A345" s="132" t="s">
        <v>241</v>
      </c>
      <c r="B345" s="132" t="s">
        <v>328</v>
      </c>
      <c r="C345" s="132">
        <v>-4</v>
      </c>
      <c r="D345" s="132" t="str">
        <f t="shared" si="23"/>
        <v>1/2" Round BB RS-775 -4</v>
      </c>
      <c r="E345" s="132">
        <v>1</v>
      </c>
      <c r="F345" s="132">
        <v>1</v>
      </c>
      <c r="G345" s="132">
        <v>1</v>
      </c>
      <c r="H345" s="132">
        <v>0</v>
      </c>
      <c r="I345" s="132">
        <v>1</v>
      </c>
    </row>
    <row r="346" spans="1:9" ht="14.25" customHeight="1" x14ac:dyDescent="0.25">
      <c r="A346" s="132" t="s">
        <v>241</v>
      </c>
      <c r="B346" s="132" t="s">
        <v>328</v>
      </c>
      <c r="C346" s="132">
        <v>-5</v>
      </c>
      <c r="D346" s="132" t="str">
        <f t="shared" si="23"/>
        <v>1/2" Round BB RS-775 -5</v>
      </c>
      <c r="E346" s="132">
        <v>1</v>
      </c>
      <c r="F346" s="132">
        <v>1</v>
      </c>
      <c r="G346" s="132">
        <v>1</v>
      </c>
      <c r="H346" s="132">
        <v>0</v>
      </c>
      <c r="I346" s="132">
        <v>1</v>
      </c>
    </row>
    <row r="347" spans="1:9" ht="14.25" customHeight="1" x14ac:dyDescent="0.25">
      <c r="A347" s="132" t="s">
        <v>241</v>
      </c>
      <c r="B347" s="132" t="s">
        <v>328</v>
      </c>
      <c r="C347" s="132">
        <v>-7</v>
      </c>
      <c r="D347" s="132" t="str">
        <f t="shared" si="23"/>
        <v>1/2" Round BB RS-775 -7</v>
      </c>
      <c r="E347" s="132">
        <v>1</v>
      </c>
      <c r="F347" s="132">
        <v>1</v>
      </c>
      <c r="G347" s="132">
        <v>0</v>
      </c>
      <c r="H347" s="132">
        <v>0</v>
      </c>
      <c r="I347" s="132">
        <v>1</v>
      </c>
    </row>
    <row r="348" spans="1:9" ht="14.25" customHeight="1" x14ac:dyDescent="0.25">
      <c r="A348" s="132" t="s">
        <v>241</v>
      </c>
      <c r="B348" s="132" t="s">
        <v>328</v>
      </c>
      <c r="C348" s="132">
        <v>-9</v>
      </c>
      <c r="D348" s="132" t="str">
        <f t="shared" si="23"/>
        <v>1/2" Round BB RS-775 -9</v>
      </c>
      <c r="E348" s="132">
        <v>1</v>
      </c>
      <c r="F348" s="132">
        <v>1</v>
      </c>
      <c r="G348" s="132">
        <v>0</v>
      </c>
      <c r="H348" s="132">
        <v>0</v>
      </c>
      <c r="I348" s="132">
        <v>1</v>
      </c>
    </row>
    <row r="349" spans="1:9" ht="14.25" customHeight="1" x14ac:dyDescent="0.25">
      <c r="A349" s="132" t="s">
        <v>241</v>
      </c>
      <c r="B349" s="132" t="s">
        <v>328</v>
      </c>
      <c r="C349" s="132">
        <v>-10</v>
      </c>
      <c r="D349" s="132" t="str">
        <f t="shared" si="23"/>
        <v>1/2" Round BB RS-775 -10</v>
      </c>
      <c r="E349" s="132">
        <v>1</v>
      </c>
      <c r="F349" s="132">
        <v>1</v>
      </c>
      <c r="G349" s="132">
        <v>0</v>
      </c>
      <c r="H349" s="132">
        <v>0</v>
      </c>
      <c r="I349" s="132">
        <v>1</v>
      </c>
    </row>
    <row r="350" spans="1:9" ht="14.25" customHeight="1" x14ac:dyDescent="0.25">
      <c r="A350" s="132" t="s">
        <v>241</v>
      </c>
      <c r="B350" s="132" t="s">
        <v>328</v>
      </c>
      <c r="C350" s="132">
        <v>9</v>
      </c>
      <c r="D350" s="132" t="str">
        <f t="shared" ref="D350:D370" si="24">A350&amp;" "&amp;B350&amp;" "&amp;C350</f>
        <v>1/2" Round BB RS-775 9</v>
      </c>
      <c r="E350" s="132">
        <v>10</v>
      </c>
      <c r="F350" s="132">
        <v>5</v>
      </c>
      <c r="G350" s="132">
        <v>0</v>
      </c>
      <c r="H350" s="132">
        <v>0</v>
      </c>
      <c r="I350" s="132">
        <v>10</v>
      </c>
    </row>
    <row r="351" spans="1:9" ht="14.25" customHeight="1" x14ac:dyDescent="0.25">
      <c r="A351" s="132" t="s">
        <v>241</v>
      </c>
      <c r="B351" s="132" t="s">
        <v>328</v>
      </c>
      <c r="C351" s="132">
        <v>12</v>
      </c>
      <c r="D351" s="132" t="str">
        <f t="shared" si="24"/>
        <v>1/2" Round BB RS-775 12</v>
      </c>
      <c r="E351" s="132">
        <v>10</v>
      </c>
      <c r="F351" s="132">
        <v>5</v>
      </c>
      <c r="G351" s="132">
        <v>0</v>
      </c>
      <c r="H351" s="132">
        <v>0</v>
      </c>
      <c r="I351" s="132">
        <v>10</v>
      </c>
    </row>
    <row r="352" spans="1:9" ht="14.25" customHeight="1" x14ac:dyDescent="0.25">
      <c r="A352" s="132" t="s">
        <v>241</v>
      </c>
      <c r="B352" s="132" t="s">
        <v>328</v>
      </c>
      <c r="C352" s="132">
        <v>15</v>
      </c>
      <c r="D352" s="132" t="str">
        <f t="shared" si="24"/>
        <v>1/2" Round BB RS-775 15</v>
      </c>
      <c r="E352" s="132">
        <v>7</v>
      </c>
      <c r="F352" s="132">
        <v>5</v>
      </c>
      <c r="G352" s="132">
        <v>0</v>
      </c>
      <c r="H352" s="132">
        <v>0</v>
      </c>
      <c r="I352" s="132">
        <v>7</v>
      </c>
    </row>
    <row r="353" spans="1:9" ht="14.25" customHeight="1" x14ac:dyDescent="0.25">
      <c r="A353" s="132" t="s">
        <v>241</v>
      </c>
      <c r="B353" s="132" t="s">
        <v>328</v>
      </c>
      <c r="C353" s="132">
        <v>16</v>
      </c>
      <c r="D353" s="132" t="str">
        <f t="shared" si="24"/>
        <v>1/2" Round BB RS-775 16</v>
      </c>
      <c r="E353" s="132">
        <v>7</v>
      </c>
      <c r="F353" s="132">
        <v>5</v>
      </c>
      <c r="G353" s="132">
        <v>0</v>
      </c>
      <c r="H353" s="132">
        <v>0</v>
      </c>
      <c r="I353" s="132">
        <v>7</v>
      </c>
    </row>
    <row r="354" spans="1:9" ht="14.25" customHeight="1" x14ac:dyDescent="0.25">
      <c r="A354" s="132" t="s">
        <v>241</v>
      </c>
      <c r="B354" s="132" t="s">
        <v>328</v>
      </c>
      <c r="C354" s="132">
        <v>20</v>
      </c>
      <c r="D354" s="132" t="str">
        <f t="shared" si="24"/>
        <v>1/2" Round BB RS-775 20</v>
      </c>
      <c r="E354" s="132">
        <v>5</v>
      </c>
      <c r="F354" s="132">
        <v>4</v>
      </c>
      <c r="G354" s="132">
        <v>0</v>
      </c>
      <c r="H354" s="132">
        <v>0</v>
      </c>
      <c r="I354" s="132">
        <v>5</v>
      </c>
    </row>
    <row r="355" spans="1:9" ht="14.25" customHeight="1" x14ac:dyDescent="0.25">
      <c r="A355" s="132" t="s">
        <v>241</v>
      </c>
      <c r="B355" s="132" t="s">
        <v>328</v>
      </c>
      <c r="C355" s="132">
        <v>21</v>
      </c>
      <c r="D355" s="132" t="str">
        <f t="shared" si="24"/>
        <v>1/2" Round BB RS-775 21</v>
      </c>
      <c r="E355" s="132">
        <v>5</v>
      </c>
      <c r="F355" s="132">
        <v>3</v>
      </c>
      <c r="G355" s="132">
        <v>0</v>
      </c>
      <c r="H355" s="132">
        <v>0</v>
      </c>
      <c r="I355" s="132">
        <v>5</v>
      </c>
    </row>
    <row r="356" spans="1:9" ht="14.25" customHeight="1" x14ac:dyDescent="0.25">
      <c r="A356" s="132" t="s">
        <v>241</v>
      </c>
      <c r="B356" s="132" t="s">
        <v>328</v>
      </c>
      <c r="C356" s="132">
        <v>25</v>
      </c>
      <c r="D356" s="132" t="str">
        <f t="shared" si="24"/>
        <v>1/2" Round BB RS-775 25</v>
      </c>
      <c r="E356" s="132">
        <v>5</v>
      </c>
      <c r="F356" s="132">
        <v>3</v>
      </c>
      <c r="G356" s="132">
        <v>0</v>
      </c>
      <c r="H356" s="132">
        <v>0</v>
      </c>
      <c r="I356" s="132">
        <v>5</v>
      </c>
    </row>
    <row r="357" spans="1:9" ht="14.25" customHeight="1" x14ac:dyDescent="0.25">
      <c r="A357" s="132" t="s">
        <v>241</v>
      </c>
      <c r="B357" s="132" t="s">
        <v>328</v>
      </c>
      <c r="C357" s="132">
        <v>27</v>
      </c>
      <c r="D357" s="132" t="str">
        <f t="shared" si="24"/>
        <v>1/2" Round BB RS-775 27</v>
      </c>
      <c r="E357" s="132">
        <v>5</v>
      </c>
      <c r="F357" s="132">
        <v>3</v>
      </c>
      <c r="G357" s="132">
        <v>0</v>
      </c>
      <c r="H357" s="132">
        <v>0</v>
      </c>
      <c r="I357" s="132">
        <v>4</v>
      </c>
    </row>
    <row r="358" spans="1:9" ht="14.25" customHeight="1" x14ac:dyDescent="0.25">
      <c r="A358" s="132" t="s">
        <v>241</v>
      </c>
      <c r="B358" s="132" t="s">
        <v>328</v>
      </c>
      <c r="C358" s="132">
        <v>28</v>
      </c>
      <c r="D358" s="132" t="str">
        <f t="shared" si="24"/>
        <v>1/2" Round BB RS-775 28</v>
      </c>
      <c r="E358" s="132">
        <v>5</v>
      </c>
      <c r="F358" s="132">
        <v>1</v>
      </c>
      <c r="G358" s="132">
        <v>0</v>
      </c>
      <c r="H358" s="132">
        <v>0</v>
      </c>
      <c r="I358" s="132">
        <v>4</v>
      </c>
    </row>
    <row r="359" spans="1:9" ht="14.25" customHeight="1" x14ac:dyDescent="0.25">
      <c r="A359" s="132" t="s">
        <v>241</v>
      </c>
      <c r="B359" s="132" t="s">
        <v>328</v>
      </c>
      <c r="C359" s="132">
        <v>30</v>
      </c>
      <c r="D359" s="132" t="str">
        <f t="shared" si="24"/>
        <v>1/2" Round BB RS-775 30</v>
      </c>
      <c r="E359" s="132">
        <v>5</v>
      </c>
      <c r="F359" s="132">
        <v>1</v>
      </c>
      <c r="G359" s="132">
        <v>0</v>
      </c>
      <c r="H359" s="132">
        <v>0</v>
      </c>
      <c r="I359" s="132">
        <v>4</v>
      </c>
    </row>
    <row r="360" spans="1:9" ht="14.25" customHeight="1" x14ac:dyDescent="0.25">
      <c r="A360" s="132" t="s">
        <v>241</v>
      </c>
      <c r="B360" s="132" t="s">
        <v>328</v>
      </c>
      <c r="C360" s="132">
        <v>35</v>
      </c>
      <c r="D360" s="132" t="str">
        <f t="shared" si="24"/>
        <v>1/2" Round BB RS-775 35</v>
      </c>
      <c r="E360" s="132">
        <v>4</v>
      </c>
      <c r="F360" s="132">
        <v>1</v>
      </c>
      <c r="G360" s="132">
        <v>0</v>
      </c>
      <c r="H360" s="132">
        <v>0</v>
      </c>
      <c r="I360" s="132">
        <v>3</v>
      </c>
    </row>
    <row r="361" spans="1:9" ht="14.25" customHeight="1" x14ac:dyDescent="0.25">
      <c r="A361" s="132" t="s">
        <v>241</v>
      </c>
      <c r="B361" s="132" t="s">
        <v>328</v>
      </c>
      <c r="C361" s="132">
        <v>36</v>
      </c>
      <c r="D361" s="132" t="str">
        <f t="shared" si="24"/>
        <v>1/2" Round BB RS-775 36</v>
      </c>
      <c r="E361" s="132">
        <v>4</v>
      </c>
      <c r="F361" s="132">
        <v>1</v>
      </c>
      <c r="G361" s="132">
        <v>0</v>
      </c>
      <c r="H361" s="132">
        <v>0</v>
      </c>
      <c r="I361" s="132">
        <v>3</v>
      </c>
    </row>
    <row r="362" spans="1:9" ht="14.25" customHeight="1" x14ac:dyDescent="0.25">
      <c r="A362" s="132" t="s">
        <v>241</v>
      </c>
      <c r="B362" s="132" t="s">
        <v>328</v>
      </c>
      <c r="C362" s="132">
        <v>40</v>
      </c>
      <c r="D362" s="132" t="str">
        <f t="shared" si="24"/>
        <v>1/2" Round BB RS-775 40</v>
      </c>
      <c r="E362" s="132">
        <v>4</v>
      </c>
      <c r="F362" s="132">
        <v>1</v>
      </c>
      <c r="G362" s="132">
        <v>0</v>
      </c>
      <c r="H362" s="132">
        <v>0</v>
      </c>
      <c r="I362" s="132">
        <v>3</v>
      </c>
    </row>
    <row r="363" spans="1:9" ht="14.25" customHeight="1" x14ac:dyDescent="0.25">
      <c r="A363" s="132" t="s">
        <v>241</v>
      </c>
      <c r="B363" s="132" t="s">
        <v>328</v>
      </c>
      <c r="C363" s="132">
        <v>45</v>
      </c>
      <c r="D363" s="132" t="str">
        <f t="shared" si="24"/>
        <v>1/2" Round BB RS-775 45</v>
      </c>
      <c r="E363" s="132">
        <v>3</v>
      </c>
      <c r="F363" s="132">
        <v>1</v>
      </c>
      <c r="G363" s="132">
        <v>0</v>
      </c>
      <c r="H363" s="132">
        <v>0</v>
      </c>
      <c r="I363" s="132">
        <v>1</v>
      </c>
    </row>
    <row r="364" spans="1:9" ht="14.25" customHeight="1" x14ac:dyDescent="0.25">
      <c r="A364" s="132" t="s">
        <v>241</v>
      </c>
      <c r="B364" s="132" t="s">
        <v>328</v>
      </c>
      <c r="C364" s="132">
        <v>49</v>
      </c>
      <c r="D364" s="132" t="str">
        <f t="shared" si="24"/>
        <v>1/2" Round BB RS-775 49</v>
      </c>
      <c r="E364" s="132">
        <v>3</v>
      </c>
      <c r="F364" s="132">
        <v>1</v>
      </c>
      <c r="G364" s="132">
        <v>0</v>
      </c>
      <c r="H364" s="132">
        <v>0</v>
      </c>
      <c r="I364" s="132">
        <v>1</v>
      </c>
    </row>
    <row r="365" spans="1:9" ht="14.25" customHeight="1" x14ac:dyDescent="0.25">
      <c r="A365" s="132" t="s">
        <v>241</v>
      </c>
      <c r="B365" s="132" t="s">
        <v>328</v>
      </c>
      <c r="C365" s="132">
        <v>50</v>
      </c>
      <c r="D365" s="132" t="str">
        <f t="shared" si="24"/>
        <v>1/2" Round BB RS-775 50</v>
      </c>
      <c r="E365" s="132">
        <v>3</v>
      </c>
      <c r="F365" s="132">
        <v>1</v>
      </c>
      <c r="G365" s="132">
        <v>0</v>
      </c>
      <c r="H365" s="132">
        <v>0</v>
      </c>
      <c r="I365" s="132">
        <v>1</v>
      </c>
    </row>
    <row r="366" spans="1:9" ht="14.25" customHeight="1" x14ac:dyDescent="0.25">
      <c r="A366" s="132" t="s">
        <v>241</v>
      </c>
      <c r="B366" s="132" t="s">
        <v>328</v>
      </c>
      <c r="C366" s="132">
        <v>63</v>
      </c>
      <c r="D366" s="132" t="str">
        <f t="shared" si="24"/>
        <v>1/2" Round BB RS-775 63</v>
      </c>
      <c r="E366" s="132">
        <v>1</v>
      </c>
      <c r="F366" s="132">
        <v>0</v>
      </c>
      <c r="G366" s="132">
        <v>0</v>
      </c>
      <c r="H366" s="132">
        <v>0</v>
      </c>
      <c r="I366" s="132">
        <v>1</v>
      </c>
    </row>
    <row r="367" spans="1:9" ht="14.25" customHeight="1" x14ac:dyDescent="0.25">
      <c r="A367" s="132" t="s">
        <v>241</v>
      </c>
      <c r="B367" s="132" t="s">
        <v>328</v>
      </c>
      <c r="C367" s="132">
        <v>70</v>
      </c>
      <c r="D367" s="132" t="str">
        <f t="shared" si="24"/>
        <v>1/2" Round BB RS-775 70</v>
      </c>
      <c r="E367" s="132">
        <v>1</v>
      </c>
      <c r="F367" s="132">
        <v>0</v>
      </c>
      <c r="G367" s="132">
        <v>0</v>
      </c>
      <c r="H367" s="132">
        <v>0</v>
      </c>
      <c r="I367" s="132">
        <v>1</v>
      </c>
    </row>
    <row r="368" spans="1:9" ht="14.25" customHeight="1" x14ac:dyDescent="0.25">
      <c r="A368" s="132" t="s">
        <v>241</v>
      </c>
      <c r="B368" s="132" t="s">
        <v>328</v>
      </c>
      <c r="C368" s="132">
        <v>81</v>
      </c>
      <c r="D368" s="132" t="str">
        <f t="shared" si="24"/>
        <v>1/2" Round BB RS-775 81</v>
      </c>
      <c r="E368" s="132">
        <v>1</v>
      </c>
      <c r="F368" s="132">
        <v>0</v>
      </c>
      <c r="G368" s="132">
        <v>0</v>
      </c>
      <c r="H368" s="132">
        <v>0</v>
      </c>
      <c r="I368" s="132">
        <v>1</v>
      </c>
    </row>
    <row r="369" spans="1:9" ht="14.25" customHeight="1" x14ac:dyDescent="0.25">
      <c r="A369" s="132" t="s">
        <v>241</v>
      </c>
      <c r="B369" s="132" t="s">
        <v>328</v>
      </c>
      <c r="C369" s="132">
        <v>90</v>
      </c>
      <c r="D369" s="132" t="str">
        <f t="shared" si="24"/>
        <v>1/2" Round BB RS-775 90</v>
      </c>
      <c r="E369" s="132">
        <v>1</v>
      </c>
      <c r="F369" s="132">
        <v>0</v>
      </c>
      <c r="G369" s="132">
        <v>0</v>
      </c>
      <c r="H369" s="132">
        <v>0</v>
      </c>
      <c r="I369" s="132">
        <v>1</v>
      </c>
    </row>
    <row r="370" spans="1:9" ht="14.25" customHeight="1" x14ac:dyDescent="0.25">
      <c r="A370" s="132" t="s">
        <v>241</v>
      </c>
      <c r="B370" s="132" t="s">
        <v>328</v>
      </c>
      <c r="C370" s="132">
        <v>100</v>
      </c>
      <c r="D370" s="132" t="str">
        <f t="shared" si="24"/>
        <v>1/2" Round BB RS-775 100</v>
      </c>
      <c r="E370" s="132">
        <v>1</v>
      </c>
      <c r="F370" s="132">
        <v>0</v>
      </c>
      <c r="G370" s="132">
        <v>0</v>
      </c>
      <c r="H370" s="132">
        <v>0</v>
      </c>
      <c r="I370" s="132">
        <v>1</v>
      </c>
    </row>
    <row r="371" spans="1:9" ht="14.25" customHeight="1" x14ac:dyDescent="0.25">
      <c r="A371" s="132" t="s">
        <v>241</v>
      </c>
      <c r="B371" s="132" t="s">
        <v>8</v>
      </c>
      <c r="C371" s="132">
        <v>-3</v>
      </c>
      <c r="D371" s="132" t="str">
        <f t="shared" ref="D371:D376" si="25">A371&amp;" "&amp;B371&amp;" "&amp;C371</f>
        <v>1/2" Round BAG Motor -3</v>
      </c>
      <c r="E371" s="132">
        <v>1</v>
      </c>
      <c r="F371" s="132">
        <v>1</v>
      </c>
      <c r="G371" s="132">
        <v>1</v>
      </c>
      <c r="H371" s="132">
        <v>0</v>
      </c>
      <c r="I371" s="132">
        <v>1</v>
      </c>
    </row>
    <row r="372" spans="1:9" ht="14.25" customHeight="1" x14ac:dyDescent="0.25">
      <c r="A372" s="132" t="s">
        <v>241</v>
      </c>
      <c r="B372" s="132" t="s">
        <v>8</v>
      </c>
      <c r="C372" s="132">
        <v>-4</v>
      </c>
      <c r="D372" s="132" t="str">
        <f t="shared" si="25"/>
        <v>1/2" Round BAG Motor -4</v>
      </c>
      <c r="E372" s="132">
        <v>1</v>
      </c>
      <c r="F372" s="132">
        <v>1</v>
      </c>
      <c r="G372" s="132">
        <v>1</v>
      </c>
      <c r="H372" s="132">
        <v>0</v>
      </c>
      <c r="I372" s="132">
        <v>1</v>
      </c>
    </row>
    <row r="373" spans="1:9" ht="14.25" customHeight="1" x14ac:dyDescent="0.25">
      <c r="A373" s="132" t="s">
        <v>241</v>
      </c>
      <c r="B373" s="132" t="s">
        <v>8</v>
      </c>
      <c r="C373" s="132">
        <v>-5</v>
      </c>
      <c r="D373" s="132" t="str">
        <f t="shared" si="25"/>
        <v>1/2" Round BAG Motor -5</v>
      </c>
      <c r="E373" s="132">
        <v>1</v>
      </c>
      <c r="F373" s="132">
        <v>1</v>
      </c>
      <c r="G373" s="132">
        <v>1</v>
      </c>
      <c r="H373" s="132">
        <v>0</v>
      </c>
      <c r="I373" s="132">
        <v>1</v>
      </c>
    </row>
    <row r="374" spans="1:9" ht="14.25" customHeight="1" x14ac:dyDescent="0.25">
      <c r="A374" s="132" t="s">
        <v>241</v>
      </c>
      <c r="B374" s="132" t="s">
        <v>8</v>
      </c>
      <c r="C374" s="132">
        <v>-7</v>
      </c>
      <c r="D374" s="132" t="str">
        <f t="shared" si="25"/>
        <v>1/2" Round BAG Motor -7</v>
      </c>
      <c r="E374" s="132">
        <v>1</v>
      </c>
      <c r="F374" s="132">
        <v>1</v>
      </c>
      <c r="G374" s="132">
        <v>1</v>
      </c>
      <c r="H374" s="132">
        <v>0</v>
      </c>
      <c r="I374" s="132">
        <v>1</v>
      </c>
    </row>
    <row r="375" spans="1:9" ht="14.25" customHeight="1" x14ac:dyDescent="0.25">
      <c r="A375" s="132" t="s">
        <v>241</v>
      </c>
      <c r="B375" s="132" t="s">
        <v>8</v>
      </c>
      <c r="C375" s="132">
        <v>-9</v>
      </c>
      <c r="D375" s="132" t="str">
        <f t="shared" si="25"/>
        <v>1/2" Round BAG Motor -9</v>
      </c>
      <c r="E375" s="132">
        <v>1</v>
      </c>
      <c r="F375" s="132">
        <v>1</v>
      </c>
      <c r="G375" s="132">
        <v>0</v>
      </c>
      <c r="H375" s="132">
        <v>0</v>
      </c>
      <c r="I375" s="132">
        <v>1</v>
      </c>
    </row>
    <row r="376" spans="1:9" ht="14.25" customHeight="1" x14ac:dyDescent="0.25">
      <c r="A376" s="132" t="s">
        <v>241</v>
      </c>
      <c r="B376" s="132" t="s">
        <v>8</v>
      </c>
      <c r="C376" s="132">
        <v>-10</v>
      </c>
      <c r="D376" s="132" t="str">
        <f t="shared" si="25"/>
        <v>1/2" Round BAG Motor -10</v>
      </c>
      <c r="E376" s="132">
        <v>1</v>
      </c>
      <c r="F376" s="132">
        <v>1</v>
      </c>
      <c r="G376" s="132">
        <v>0</v>
      </c>
      <c r="H376" s="132">
        <v>0</v>
      </c>
      <c r="I376" s="132">
        <v>1</v>
      </c>
    </row>
    <row r="377" spans="1:9" ht="14.25" customHeight="1" x14ac:dyDescent="0.25">
      <c r="A377" s="132" t="s">
        <v>241</v>
      </c>
      <c r="B377" s="132" t="s">
        <v>8</v>
      </c>
      <c r="C377" s="132">
        <v>9</v>
      </c>
      <c r="D377" s="132" t="str">
        <f t="shared" ref="D377:D397" si="26">A377&amp;" "&amp;B377&amp;" "&amp;C377</f>
        <v>1/2" Round BAG Motor 9</v>
      </c>
      <c r="E377" s="132">
        <v>10</v>
      </c>
      <c r="F377" s="132">
        <v>10</v>
      </c>
      <c r="G377" s="132">
        <v>1</v>
      </c>
      <c r="H377" s="132">
        <v>0</v>
      </c>
      <c r="I377" s="132">
        <v>9</v>
      </c>
    </row>
    <row r="378" spans="1:9" ht="14.25" customHeight="1" x14ac:dyDescent="0.25">
      <c r="A378" s="132" t="s">
        <v>241</v>
      </c>
      <c r="B378" s="132" t="s">
        <v>8</v>
      </c>
      <c r="C378" s="132">
        <v>12</v>
      </c>
      <c r="D378" s="132" t="str">
        <f t="shared" si="26"/>
        <v>1/2" Round BAG Motor 12</v>
      </c>
      <c r="E378" s="132">
        <v>10</v>
      </c>
      <c r="F378" s="132">
        <v>9</v>
      </c>
      <c r="G378" s="132">
        <v>1</v>
      </c>
      <c r="H378" s="132">
        <v>0</v>
      </c>
      <c r="I378" s="132">
        <v>5</v>
      </c>
    </row>
    <row r="379" spans="1:9" ht="14.25" customHeight="1" x14ac:dyDescent="0.25">
      <c r="A379" s="132" t="s">
        <v>241</v>
      </c>
      <c r="B379" s="132" t="s">
        <v>8</v>
      </c>
      <c r="C379" s="132">
        <v>15</v>
      </c>
      <c r="D379" s="132" t="str">
        <f t="shared" si="26"/>
        <v>1/2" Round BAG Motor 15</v>
      </c>
      <c r="E379" s="132">
        <v>10</v>
      </c>
      <c r="F379" s="132">
        <v>7</v>
      </c>
      <c r="G379" s="132">
        <v>0</v>
      </c>
      <c r="H379" s="132">
        <v>0</v>
      </c>
      <c r="I379" s="132">
        <v>5</v>
      </c>
    </row>
    <row r="380" spans="1:9" ht="14.25" customHeight="1" x14ac:dyDescent="0.25">
      <c r="A380" s="132" t="s">
        <v>241</v>
      </c>
      <c r="B380" s="132" t="s">
        <v>8</v>
      </c>
      <c r="C380" s="132">
        <v>16</v>
      </c>
      <c r="D380" s="132" t="str">
        <f t="shared" si="26"/>
        <v>1/2" Round BAG Motor 16</v>
      </c>
      <c r="E380" s="132">
        <v>10</v>
      </c>
      <c r="F380" s="132">
        <v>5</v>
      </c>
      <c r="G380" s="132">
        <v>0</v>
      </c>
      <c r="H380" s="132">
        <v>0</v>
      </c>
      <c r="I380" s="132">
        <v>5</v>
      </c>
    </row>
    <row r="381" spans="1:9" ht="14.25" customHeight="1" x14ac:dyDescent="0.25">
      <c r="A381" s="132" t="s">
        <v>241</v>
      </c>
      <c r="B381" s="132" t="s">
        <v>8</v>
      </c>
      <c r="C381" s="132">
        <v>20</v>
      </c>
      <c r="D381" s="132" t="str">
        <f t="shared" si="26"/>
        <v>1/2" Round BAG Motor 20</v>
      </c>
      <c r="E381" s="132">
        <v>10</v>
      </c>
      <c r="F381" s="132">
        <v>5</v>
      </c>
      <c r="G381" s="132">
        <v>0</v>
      </c>
      <c r="H381" s="132">
        <v>0</v>
      </c>
      <c r="I381" s="132">
        <v>4</v>
      </c>
    </row>
    <row r="382" spans="1:9" ht="14.25" customHeight="1" x14ac:dyDescent="0.25">
      <c r="A382" s="132" t="s">
        <v>241</v>
      </c>
      <c r="B382" s="132" t="s">
        <v>8</v>
      </c>
      <c r="C382" s="132">
        <v>21</v>
      </c>
      <c r="D382" s="132" t="str">
        <f t="shared" si="26"/>
        <v>1/2" Round BAG Motor 21</v>
      </c>
      <c r="E382" s="132">
        <v>10</v>
      </c>
      <c r="F382" s="132">
        <v>5</v>
      </c>
      <c r="G382" s="132">
        <v>0</v>
      </c>
      <c r="H382" s="132">
        <v>0</v>
      </c>
      <c r="I382" s="132">
        <v>3</v>
      </c>
    </row>
    <row r="383" spans="1:9" ht="14.25" customHeight="1" x14ac:dyDescent="0.25">
      <c r="A383" s="132" t="s">
        <v>241</v>
      </c>
      <c r="B383" s="132" t="s">
        <v>8</v>
      </c>
      <c r="C383" s="132">
        <v>25</v>
      </c>
      <c r="D383" s="132" t="str">
        <f t="shared" si="26"/>
        <v>1/2" Round BAG Motor 25</v>
      </c>
      <c r="E383" s="132">
        <v>7</v>
      </c>
      <c r="F383" s="132">
        <v>5</v>
      </c>
      <c r="G383" s="132">
        <v>0</v>
      </c>
      <c r="H383" s="132">
        <v>0</v>
      </c>
      <c r="I383" s="132">
        <v>3</v>
      </c>
    </row>
    <row r="384" spans="1:9" ht="14.25" customHeight="1" x14ac:dyDescent="0.25">
      <c r="A384" s="132" t="s">
        <v>241</v>
      </c>
      <c r="B384" s="132" t="s">
        <v>8</v>
      </c>
      <c r="C384" s="132">
        <v>27</v>
      </c>
      <c r="D384" s="132" t="str">
        <f t="shared" si="26"/>
        <v>1/2" Round BAG Motor 27</v>
      </c>
      <c r="E384" s="132">
        <v>7</v>
      </c>
      <c r="F384" s="132">
        <v>5</v>
      </c>
      <c r="G384" s="132">
        <v>0</v>
      </c>
      <c r="H384" s="132">
        <v>0</v>
      </c>
      <c r="I384" s="132">
        <v>3</v>
      </c>
    </row>
    <row r="385" spans="1:9" ht="14.25" customHeight="1" x14ac:dyDescent="0.25">
      <c r="A385" s="132" t="s">
        <v>241</v>
      </c>
      <c r="B385" s="132" t="s">
        <v>8</v>
      </c>
      <c r="C385" s="132">
        <v>28</v>
      </c>
      <c r="D385" s="132" t="str">
        <f t="shared" si="26"/>
        <v>1/2" Round BAG Motor 28</v>
      </c>
      <c r="E385" s="132">
        <v>7</v>
      </c>
      <c r="F385" s="132">
        <v>5</v>
      </c>
      <c r="G385" s="132">
        <v>0</v>
      </c>
      <c r="H385" s="132">
        <v>0</v>
      </c>
      <c r="I385" s="132">
        <v>1</v>
      </c>
    </row>
    <row r="386" spans="1:9" ht="14.25" customHeight="1" x14ac:dyDescent="0.25">
      <c r="A386" s="132" t="s">
        <v>241</v>
      </c>
      <c r="B386" s="132" t="s">
        <v>8</v>
      </c>
      <c r="C386" s="132">
        <v>30</v>
      </c>
      <c r="D386" s="132" t="str">
        <f t="shared" si="26"/>
        <v>1/2" Round BAG Motor 30</v>
      </c>
      <c r="E386" s="132">
        <v>7</v>
      </c>
      <c r="F386" s="132">
        <v>4</v>
      </c>
      <c r="G386" s="132">
        <v>0</v>
      </c>
      <c r="H386" s="132">
        <v>0</v>
      </c>
      <c r="I386" s="132">
        <v>1</v>
      </c>
    </row>
    <row r="387" spans="1:9" ht="14.25" customHeight="1" x14ac:dyDescent="0.25">
      <c r="A387" s="132" t="s">
        <v>241</v>
      </c>
      <c r="B387" s="132" t="s">
        <v>8</v>
      </c>
      <c r="C387" s="132">
        <v>35</v>
      </c>
      <c r="D387" s="132" t="str">
        <f t="shared" si="26"/>
        <v>1/2" Round BAG Motor 35</v>
      </c>
      <c r="E387" s="132">
        <v>5</v>
      </c>
      <c r="F387" s="132">
        <v>4</v>
      </c>
      <c r="G387" s="132">
        <v>0</v>
      </c>
      <c r="H387" s="132">
        <v>0</v>
      </c>
      <c r="I387" s="132">
        <v>1</v>
      </c>
    </row>
    <row r="388" spans="1:9" ht="14.25" customHeight="1" x14ac:dyDescent="0.25">
      <c r="A388" s="132" t="s">
        <v>241</v>
      </c>
      <c r="B388" s="132" t="s">
        <v>8</v>
      </c>
      <c r="C388" s="132">
        <v>36</v>
      </c>
      <c r="D388" s="132" t="str">
        <f t="shared" si="26"/>
        <v>1/2" Round BAG Motor 36</v>
      </c>
      <c r="E388" s="132">
        <v>5</v>
      </c>
      <c r="F388" s="132">
        <v>4</v>
      </c>
      <c r="G388" s="132">
        <v>0</v>
      </c>
      <c r="H388" s="132">
        <v>0</v>
      </c>
      <c r="I388" s="132">
        <v>1</v>
      </c>
    </row>
    <row r="389" spans="1:9" ht="14.25" customHeight="1" x14ac:dyDescent="0.25">
      <c r="A389" s="132" t="s">
        <v>241</v>
      </c>
      <c r="B389" s="132" t="s">
        <v>8</v>
      </c>
      <c r="C389" s="132">
        <v>40</v>
      </c>
      <c r="D389" s="132" t="str">
        <f t="shared" si="26"/>
        <v>1/2" Round BAG Motor 40</v>
      </c>
      <c r="E389" s="132">
        <v>5</v>
      </c>
      <c r="F389" s="132">
        <v>3</v>
      </c>
      <c r="G389" s="132">
        <v>0</v>
      </c>
      <c r="H389" s="132">
        <v>0</v>
      </c>
      <c r="I389" s="132">
        <v>1</v>
      </c>
    </row>
    <row r="390" spans="1:9" ht="14.25" customHeight="1" x14ac:dyDescent="0.25">
      <c r="A390" s="132" t="s">
        <v>241</v>
      </c>
      <c r="B390" s="132" t="s">
        <v>8</v>
      </c>
      <c r="C390" s="132">
        <v>45</v>
      </c>
      <c r="D390" s="132" t="str">
        <f t="shared" si="26"/>
        <v>1/2" Round BAG Motor 45</v>
      </c>
      <c r="E390" s="132">
        <v>5</v>
      </c>
      <c r="F390" s="132">
        <v>3</v>
      </c>
      <c r="G390" s="132">
        <v>0</v>
      </c>
      <c r="H390" s="132">
        <v>0</v>
      </c>
      <c r="I390" s="132">
        <v>1</v>
      </c>
    </row>
    <row r="391" spans="1:9" ht="14.25" customHeight="1" x14ac:dyDescent="0.25">
      <c r="A391" s="132" t="s">
        <v>241</v>
      </c>
      <c r="B391" s="132" t="s">
        <v>8</v>
      </c>
      <c r="C391" s="132">
        <v>49</v>
      </c>
      <c r="D391" s="132" t="str">
        <f t="shared" si="26"/>
        <v>1/2" Round BAG Motor 49</v>
      </c>
      <c r="E391" s="132">
        <v>5</v>
      </c>
      <c r="F391" s="132">
        <v>1</v>
      </c>
      <c r="G391" s="132">
        <v>0</v>
      </c>
      <c r="H391" s="132">
        <v>0</v>
      </c>
      <c r="I391" s="132">
        <v>1</v>
      </c>
    </row>
    <row r="392" spans="1:9" ht="14.25" customHeight="1" x14ac:dyDescent="0.25">
      <c r="A392" s="132" t="s">
        <v>241</v>
      </c>
      <c r="B392" s="132" t="s">
        <v>8</v>
      </c>
      <c r="C392" s="132">
        <v>50</v>
      </c>
      <c r="D392" s="132" t="str">
        <f t="shared" si="26"/>
        <v>1/2" Round BAG Motor 50</v>
      </c>
      <c r="E392" s="132">
        <v>5</v>
      </c>
      <c r="F392" s="132">
        <v>1</v>
      </c>
      <c r="G392" s="132">
        <v>0</v>
      </c>
      <c r="H392" s="132">
        <v>0</v>
      </c>
      <c r="I392" s="132">
        <v>1</v>
      </c>
    </row>
    <row r="393" spans="1:9" ht="14.25" customHeight="1" x14ac:dyDescent="0.25">
      <c r="A393" s="132" t="s">
        <v>241</v>
      </c>
      <c r="B393" s="132" t="s">
        <v>8</v>
      </c>
      <c r="C393" s="132">
        <v>63</v>
      </c>
      <c r="D393" s="132" t="str">
        <f t="shared" si="26"/>
        <v>1/2" Round BAG Motor 63</v>
      </c>
      <c r="E393" s="132">
        <v>4</v>
      </c>
      <c r="F393" s="132">
        <v>1</v>
      </c>
      <c r="G393" s="132">
        <v>0</v>
      </c>
      <c r="H393" s="132">
        <v>0</v>
      </c>
      <c r="I393" s="132">
        <v>1</v>
      </c>
    </row>
    <row r="394" spans="1:9" ht="14.25" customHeight="1" x14ac:dyDescent="0.25">
      <c r="A394" s="132" t="s">
        <v>241</v>
      </c>
      <c r="B394" s="132" t="s">
        <v>8</v>
      </c>
      <c r="C394" s="132">
        <v>70</v>
      </c>
      <c r="D394" s="132" t="str">
        <f t="shared" si="26"/>
        <v>1/2" Round BAG Motor 70</v>
      </c>
      <c r="E394" s="132">
        <v>4</v>
      </c>
      <c r="F394" s="132">
        <v>1</v>
      </c>
      <c r="G394" s="132">
        <v>0</v>
      </c>
      <c r="H394" s="132">
        <v>0</v>
      </c>
      <c r="I394" s="132">
        <v>1</v>
      </c>
    </row>
    <row r="395" spans="1:9" ht="14.25" customHeight="1" x14ac:dyDescent="0.25">
      <c r="A395" s="132" t="s">
        <v>241</v>
      </c>
      <c r="B395" s="132" t="s">
        <v>8</v>
      </c>
      <c r="C395" s="132">
        <v>81</v>
      </c>
      <c r="D395" s="132" t="str">
        <f t="shared" si="26"/>
        <v>1/2" Round BAG Motor 81</v>
      </c>
      <c r="E395" s="132">
        <v>3</v>
      </c>
      <c r="F395" s="132">
        <v>1</v>
      </c>
      <c r="G395" s="132">
        <v>0</v>
      </c>
      <c r="H395" s="132">
        <v>0</v>
      </c>
      <c r="I395" s="132">
        <v>1</v>
      </c>
    </row>
    <row r="396" spans="1:9" ht="14.25" customHeight="1" x14ac:dyDescent="0.25">
      <c r="A396" s="132" t="s">
        <v>241</v>
      </c>
      <c r="B396" s="132" t="s">
        <v>8</v>
      </c>
      <c r="C396" s="132">
        <v>90</v>
      </c>
      <c r="D396" s="132" t="str">
        <f t="shared" si="26"/>
        <v>1/2" Round BAG Motor 90</v>
      </c>
      <c r="E396" s="132">
        <v>3</v>
      </c>
      <c r="F396" s="132">
        <v>1</v>
      </c>
      <c r="G396" s="132">
        <v>0</v>
      </c>
      <c r="H396" s="132">
        <v>0</v>
      </c>
      <c r="I396" s="132">
        <v>0</v>
      </c>
    </row>
    <row r="397" spans="1:9" ht="14.25" customHeight="1" x14ac:dyDescent="0.25">
      <c r="A397" s="132" t="s">
        <v>241</v>
      </c>
      <c r="B397" s="132" t="s">
        <v>8</v>
      </c>
      <c r="C397" s="132">
        <v>100</v>
      </c>
      <c r="D397" s="132" t="str">
        <f t="shared" si="26"/>
        <v>1/2" Round BAG Motor 100</v>
      </c>
      <c r="E397" s="132">
        <v>1</v>
      </c>
      <c r="F397" s="132">
        <v>1</v>
      </c>
      <c r="G397" s="132">
        <v>0</v>
      </c>
      <c r="H397" s="132">
        <v>0</v>
      </c>
      <c r="I397" s="132">
        <v>0</v>
      </c>
    </row>
    <row r="398" spans="1:9" ht="14.25" customHeight="1" x14ac:dyDescent="0.25">
      <c r="A398" s="132" t="s">
        <v>241</v>
      </c>
      <c r="B398" s="132" t="s">
        <v>256</v>
      </c>
      <c r="C398" s="132">
        <v>-3</v>
      </c>
      <c r="D398" s="132" t="str">
        <f t="shared" ref="D398:D403" si="27">A398&amp;" "&amp;B398&amp;" "&amp;C398</f>
        <v>1/2" Round 775pro -3</v>
      </c>
      <c r="E398" s="132">
        <v>1</v>
      </c>
      <c r="F398" s="132">
        <v>1</v>
      </c>
      <c r="G398" s="132">
        <v>1</v>
      </c>
      <c r="H398" s="132">
        <v>0</v>
      </c>
      <c r="I398" s="132">
        <v>1</v>
      </c>
    </row>
    <row r="399" spans="1:9" ht="14.25" customHeight="1" x14ac:dyDescent="0.25">
      <c r="A399" s="132" t="s">
        <v>241</v>
      </c>
      <c r="B399" s="132" t="s">
        <v>256</v>
      </c>
      <c r="C399" s="132">
        <v>-4</v>
      </c>
      <c r="D399" s="132" t="str">
        <f t="shared" si="27"/>
        <v>1/2" Round 775pro -4</v>
      </c>
      <c r="E399" s="132">
        <v>1</v>
      </c>
      <c r="F399" s="132">
        <v>1</v>
      </c>
      <c r="G399" s="132">
        <v>1</v>
      </c>
      <c r="H399" s="132">
        <v>0</v>
      </c>
      <c r="I399" s="132">
        <v>1</v>
      </c>
    </row>
    <row r="400" spans="1:9" ht="14.25" customHeight="1" x14ac:dyDescent="0.25">
      <c r="A400" s="132" t="s">
        <v>241</v>
      </c>
      <c r="B400" s="132" t="s">
        <v>256</v>
      </c>
      <c r="C400" s="132">
        <v>-5</v>
      </c>
      <c r="D400" s="132" t="str">
        <f t="shared" si="27"/>
        <v>1/2" Round 775pro -5</v>
      </c>
      <c r="E400" s="132">
        <v>1</v>
      </c>
      <c r="F400" s="132">
        <v>1</v>
      </c>
      <c r="G400" s="132">
        <v>1</v>
      </c>
      <c r="H400" s="132">
        <v>0</v>
      </c>
      <c r="I400" s="132">
        <v>1</v>
      </c>
    </row>
    <row r="401" spans="1:9" ht="14.25" customHeight="1" x14ac:dyDescent="0.25">
      <c r="A401" s="132" t="s">
        <v>241</v>
      </c>
      <c r="B401" s="132" t="s">
        <v>256</v>
      </c>
      <c r="C401" s="132">
        <v>-7</v>
      </c>
      <c r="D401" s="132" t="str">
        <f t="shared" si="27"/>
        <v>1/2" Round 775pro -7</v>
      </c>
      <c r="E401" s="132">
        <v>1</v>
      </c>
      <c r="F401" s="132">
        <v>1</v>
      </c>
      <c r="G401" s="132">
        <v>0</v>
      </c>
      <c r="H401" s="132">
        <v>0</v>
      </c>
      <c r="I401" s="132">
        <v>1</v>
      </c>
    </row>
    <row r="402" spans="1:9" ht="14.25" customHeight="1" x14ac:dyDescent="0.25">
      <c r="A402" s="132" t="s">
        <v>241</v>
      </c>
      <c r="B402" s="132" t="s">
        <v>256</v>
      </c>
      <c r="C402" s="132">
        <v>-9</v>
      </c>
      <c r="D402" s="132" t="str">
        <f t="shared" si="27"/>
        <v>1/2" Round 775pro -9</v>
      </c>
      <c r="E402" s="132">
        <v>1</v>
      </c>
      <c r="F402" s="132">
        <v>1</v>
      </c>
      <c r="G402" s="132">
        <v>0</v>
      </c>
      <c r="H402" s="132">
        <v>0</v>
      </c>
      <c r="I402" s="132">
        <v>1</v>
      </c>
    </row>
    <row r="403" spans="1:9" ht="14.25" customHeight="1" x14ac:dyDescent="0.25">
      <c r="A403" s="132" t="s">
        <v>241</v>
      </c>
      <c r="B403" s="132" t="s">
        <v>256</v>
      </c>
      <c r="C403" s="132">
        <v>-10</v>
      </c>
      <c r="D403" s="132" t="str">
        <f t="shared" si="27"/>
        <v>1/2" Round 775pro -10</v>
      </c>
      <c r="E403" s="132">
        <v>1</v>
      </c>
      <c r="F403" s="132">
        <v>1</v>
      </c>
      <c r="G403" s="132">
        <v>0</v>
      </c>
      <c r="H403" s="132">
        <v>0</v>
      </c>
      <c r="I403" s="132">
        <v>1</v>
      </c>
    </row>
    <row r="404" spans="1:9" ht="14.25" customHeight="1" x14ac:dyDescent="0.25">
      <c r="A404" s="132" t="s">
        <v>241</v>
      </c>
      <c r="B404" s="132" t="s">
        <v>256</v>
      </c>
      <c r="C404" s="132">
        <v>9</v>
      </c>
      <c r="D404" s="132" t="str">
        <f t="shared" ref="D404:D424" si="28">A404&amp;" "&amp;B404&amp;" "&amp;C404</f>
        <v>1/2" Round 775pro 9</v>
      </c>
      <c r="E404" s="132">
        <v>10</v>
      </c>
      <c r="F404" s="132">
        <v>7</v>
      </c>
      <c r="G404" s="132">
        <v>0</v>
      </c>
      <c r="H404" s="132">
        <v>0</v>
      </c>
      <c r="I404" s="132">
        <v>5</v>
      </c>
    </row>
    <row r="405" spans="1:9" ht="14.25" customHeight="1" x14ac:dyDescent="0.25">
      <c r="A405" s="132" t="s">
        <v>241</v>
      </c>
      <c r="B405" s="132" t="s">
        <v>256</v>
      </c>
      <c r="C405" s="132">
        <v>12</v>
      </c>
      <c r="D405" s="132" t="str">
        <f t="shared" si="28"/>
        <v>1/2" Round 775pro 12</v>
      </c>
      <c r="E405" s="132">
        <v>10</v>
      </c>
      <c r="F405" s="132">
        <v>5</v>
      </c>
      <c r="G405" s="132">
        <v>0</v>
      </c>
      <c r="H405" s="132">
        <v>0</v>
      </c>
      <c r="I405" s="132">
        <v>4</v>
      </c>
    </row>
    <row r="406" spans="1:9" ht="14.25" customHeight="1" x14ac:dyDescent="0.25">
      <c r="A406" s="132" t="s">
        <v>241</v>
      </c>
      <c r="B406" s="132" t="s">
        <v>256</v>
      </c>
      <c r="C406" s="132">
        <v>15</v>
      </c>
      <c r="D406" s="132" t="str">
        <f t="shared" si="28"/>
        <v>1/2" Round 775pro 15</v>
      </c>
      <c r="E406" s="132">
        <v>9</v>
      </c>
      <c r="F406" s="132">
        <v>5</v>
      </c>
      <c r="G406" s="132">
        <v>0</v>
      </c>
      <c r="H406" s="132">
        <v>0</v>
      </c>
      <c r="I406" s="132">
        <v>3</v>
      </c>
    </row>
    <row r="407" spans="1:9" ht="14.25" customHeight="1" x14ac:dyDescent="0.25">
      <c r="A407" s="132" t="s">
        <v>241</v>
      </c>
      <c r="B407" s="132" t="s">
        <v>256</v>
      </c>
      <c r="C407" s="132">
        <v>16</v>
      </c>
      <c r="D407" s="132" t="str">
        <f t="shared" si="28"/>
        <v>1/2" Round 775pro 16</v>
      </c>
      <c r="E407" s="132">
        <v>7</v>
      </c>
      <c r="F407" s="132">
        <v>5</v>
      </c>
      <c r="G407" s="132">
        <v>0</v>
      </c>
      <c r="H407" s="132">
        <v>0</v>
      </c>
      <c r="I407" s="132">
        <v>3</v>
      </c>
    </row>
    <row r="408" spans="1:9" ht="14.25" customHeight="1" x14ac:dyDescent="0.25">
      <c r="A408" s="132" t="s">
        <v>241</v>
      </c>
      <c r="B408" s="132" t="s">
        <v>256</v>
      </c>
      <c r="C408" s="132">
        <v>20</v>
      </c>
      <c r="D408" s="132" t="str">
        <f t="shared" si="28"/>
        <v>1/2" Round 775pro 20</v>
      </c>
      <c r="E408" s="132">
        <v>5</v>
      </c>
      <c r="F408" s="132">
        <v>4</v>
      </c>
      <c r="G408" s="132">
        <v>0</v>
      </c>
      <c r="H408" s="132">
        <v>0</v>
      </c>
      <c r="I408" s="132">
        <v>1</v>
      </c>
    </row>
    <row r="409" spans="1:9" ht="14.25" customHeight="1" x14ac:dyDescent="0.25">
      <c r="A409" s="132" t="s">
        <v>241</v>
      </c>
      <c r="B409" s="132" t="s">
        <v>256</v>
      </c>
      <c r="C409" s="132">
        <v>21</v>
      </c>
      <c r="D409" s="132" t="str">
        <f t="shared" si="28"/>
        <v>1/2" Round 775pro 21</v>
      </c>
      <c r="E409" s="132">
        <v>5</v>
      </c>
      <c r="F409" s="132">
        <v>4</v>
      </c>
      <c r="G409" s="132">
        <v>0</v>
      </c>
      <c r="H409" s="132">
        <v>0</v>
      </c>
      <c r="I409" s="132">
        <v>1</v>
      </c>
    </row>
    <row r="410" spans="1:9" ht="14.25" customHeight="1" x14ac:dyDescent="0.25">
      <c r="A410" s="132" t="s">
        <v>241</v>
      </c>
      <c r="B410" s="132" t="s">
        <v>256</v>
      </c>
      <c r="C410" s="132">
        <v>25</v>
      </c>
      <c r="D410" s="132" t="str">
        <f t="shared" si="28"/>
        <v>1/2" Round 775pro 25</v>
      </c>
      <c r="E410" s="132">
        <v>5</v>
      </c>
      <c r="F410" s="132">
        <v>3</v>
      </c>
      <c r="G410" s="132">
        <v>0</v>
      </c>
      <c r="H410" s="132">
        <v>0</v>
      </c>
      <c r="I410" s="132">
        <v>1</v>
      </c>
    </row>
    <row r="411" spans="1:9" ht="14.25" customHeight="1" x14ac:dyDescent="0.25">
      <c r="A411" s="132" t="s">
        <v>241</v>
      </c>
      <c r="B411" s="132" t="s">
        <v>256</v>
      </c>
      <c r="C411" s="132">
        <v>27</v>
      </c>
      <c r="D411" s="132" t="str">
        <f t="shared" si="28"/>
        <v>1/2" Round 775pro 27</v>
      </c>
      <c r="E411" s="132">
        <v>5</v>
      </c>
      <c r="F411" s="132">
        <v>3</v>
      </c>
      <c r="G411" s="132">
        <v>0</v>
      </c>
      <c r="H411" s="132">
        <v>0</v>
      </c>
      <c r="I411" s="132">
        <v>1</v>
      </c>
    </row>
    <row r="412" spans="1:9" ht="14.25" customHeight="1" x14ac:dyDescent="0.25">
      <c r="A412" s="132" t="s">
        <v>241</v>
      </c>
      <c r="B412" s="132" t="s">
        <v>256</v>
      </c>
      <c r="C412" s="132">
        <v>28</v>
      </c>
      <c r="D412" s="132" t="str">
        <f t="shared" si="28"/>
        <v>1/2" Round 775pro 28</v>
      </c>
      <c r="E412" s="132">
        <v>5</v>
      </c>
      <c r="F412" s="132">
        <v>3</v>
      </c>
      <c r="G412" s="132">
        <v>0</v>
      </c>
      <c r="H412" s="132">
        <v>0</v>
      </c>
      <c r="I412" s="132">
        <v>1</v>
      </c>
    </row>
    <row r="413" spans="1:9" ht="14.25" customHeight="1" x14ac:dyDescent="0.25">
      <c r="A413" s="132" t="s">
        <v>241</v>
      </c>
      <c r="B413" s="132" t="s">
        <v>256</v>
      </c>
      <c r="C413" s="132">
        <v>30</v>
      </c>
      <c r="D413" s="132" t="str">
        <f t="shared" si="28"/>
        <v>1/2" Round 775pro 30</v>
      </c>
      <c r="E413" s="132">
        <v>5</v>
      </c>
      <c r="F413" s="132">
        <v>3</v>
      </c>
      <c r="G413" s="132">
        <v>0</v>
      </c>
      <c r="H413" s="132">
        <v>0</v>
      </c>
      <c r="I413" s="132">
        <v>1</v>
      </c>
    </row>
    <row r="414" spans="1:9" ht="14.25" customHeight="1" x14ac:dyDescent="0.25">
      <c r="A414" s="132" t="s">
        <v>241</v>
      </c>
      <c r="B414" s="132" t="s">
        <v>256</v>
      </c>
      <c r="C414" s="132">
        <v>35</v>
      </c>
      <c r="D414" s="132" t="str">
        <f t="shared" si="28"/>
        <v>1/2" Round 775pro 35</v>
      </c>
      <c r="E414" s="132">
        <v>5</v>
      </c>
      <c r="F414" s="132">
        <v>1</v>
      </c>
      <c r="G414" s="132">
        <v>0</v>
      </c>
      <c r="H414" s="132">
        <v>0</v>
      </c>
      <c r="I414" s="132">
        <v>1</v>
      </c>
    </row>
    <row r="415" spans="1:9" ht="14.25" customHeight="1" x14ac:dyDescent="0.25">
      <c r="A415" s="132" t="s">
        <v>241</v>
      </c>
      <c r="B415" s="132" t="s">
        <v>256</v>
      </c>
      <c r="C415" s="132">
        <v>36</v>
      </c>
      <c r="D415" s="132" t="str">
        <f t="shared" si="28"/>
        <v>1/2" Round 775pro 36</v>
      </c>
      <c r="E415" s="132">
        <v>5</v>
      </c>
      <c r="F415" s="132">
        <v>1</v>
      </c>
      <c r="G415" s="132">
        <v>0</v>
      </c>
      <c r="H415" s="132">
        <v>0</v>
      </c>
      <c r="I415" s="132">
        <v>1</v>
      </c>
    </row>
    <row r="416" spans="1:9" ht="14.25" customHeight="1" x14ac:dyDescent="0.25">
      <c r="A416" s="132" t="s">
        <v>241</v>
      </c>
      <c r="B416" s="132" t="s">
        <v>256</v>
      </c>
      <c r="C416" s="132">
        <v>40</v>
      </c>
      <c r="D416" s="132" t="str">
        <f t="shared" si="28"/>
        <v>1/2" Round 775pro 40</v>
      </c>
      <c r="E416" s="132">
        <v>4</v>
      </c>
      <c r="F416" s="132">
        <v>1</v>
      </c>
      <c r="G416" s="132">
        <v>0</v>
      </c>
      <c r="H416" s="132">
        <v>0</v>
      </c>
      <c r="I416" s="132">
        <v>1</v>
      </c>
    </row>
    <row r="417" spans="1:9" ht="14.25" customHeight="1" x14ac:dyDescent="0.25">
      <c r="A417" s="132" t="s">
        <v>241</v>
      </c>
      <c r="B417" s="132" t="s">
        <v>256</v>
      </c>
      <c r="C417" s="132">
        <v>45</v>
      </c>
      <c r="D417" s="132" t="str">
        <f t="shared" si="28"/>
        <v>1/2" Round 775pro 45</v>
      </c>
      <c r="E417" s="132">
        <v>4</v>
      </c>
      <c r="F417" s="132">
        <v>1</v>
      </c>
      <c r="G417" s="132">
        <v>0</v>
      </c>
      <c r="H417" s="132">
        <v>0</v>
      </c>
      <c r="I417" s="132">
        <v>1</v>
      </c>
    </row>
    <row r="418" spans="1:9" ht="14.25" customHeight="1" x14ac:dyDescent="0.25">
      <c r="A418" s="132" t="s">
        <v>241</v>
      </c>
      <c r="B418" s="132" t="s">
        <v>256</v>
      </c>
      <c r="C418" s="132">
        <v>49</v>
      </c>
      <c r="D418" s="132" t="str">
        <f t="shared" si="28"/>
        <v>1/2" Round 775pro 49</v>
      </c>
      <c r="E418" s="132">
        <v>3</v>
      </c>
      <c r="F418" s="132">
        <v>1</v>
      </c>
      <c r="G418" s="132">
        <v>0</v>
      </c>
      <c r="H418" s="132">
        <v>0</v>
      </c>
      <c r="I418" s="132">
        <v>1</v>
      </c>
    </row>
    <row r="419" spans="1:9" ht="14.25" customHeight="1" x14ac:dyDescent="0.25">
      <c r="A419" s="132" t="s">
        <v>241</v>
      </c>
      <c r="B419" s="132" t="s">
        <v>256</v>
      </c>
      <c r="C419" s="132">
        <v>50</v>
      </c>
      <c r="D419" s="132" t="str">
        <f t="shared" si="28"/>
        <v>1/2" Round 775pro 50</v>
      </c>
      <c r="E419" s="132">
        <v>3</v>
      </c>
      <c r="F419" s="132">
        <v>1</v>
      </c>
      <c r="G419" s="132">
        <v>0</v>
      </c>
      <c r="H419" s="132">
        <v>0</v>
      </c>
      <c r="I419" s="132">
        <v>0</v>
      </c>
    </row>
    <row r="420" spans="1:9" ht="14.25" customHeight="1" x14ac:dyDescent="0.25">
      <c r="A420" s="132" t="s">
        <v>241</v>
      </c>
      <c r="B420" s="132" t="s">
        <v>256</v>
      </c>
      <c r="C420" s="132">
        <v>63</v>
      </c>
      <c r="D420" s="132" t="str">
        <f t="shared" si="28"/>
        <v>1/2" Round 775pro 63</v>
      </c>
      <c r="E420" s="132">
        <v>1</v>
      </c>
      <c r="F420" s="132">
        <v>1</v>
      </c>
      <c r="G420" s="132">
        <v>0</v>
      </c>
      <c r="H420" s="132">
        <v>0</v>
      </c>
      <c r="I420" s="132">
        <v>0</v>
      </c>
    </row>
    <row r="421" spans="1:9" ht="14.25" customHeight="1" x14ac:dyDescent="0.25">
      <c r="A421" s="132" t="s">
        <v>241</v>
      </c>
      <c r="B421" s="132" t="s">
        <v>256</v>
      </c>
      <c r="C421" s="132">
        <v>70</v>
      </c>
      <c r="D421" s="132" t="str">
        <f t="shared" si="28"/>
        <v>1/2" Round 775pro 70</v>
      </c>
      <c r="E421" s="132">
        <v>1</v>
      </c>
      <c r="F421" s="132">
        <v>0</v>
      </c>
      <c r="G421" s="132">
        <v>0</v>
      </c>
      <c r="H421" s="132">
        <v>0</v>
      </c>
      <c r="I421" s="132">
        <v>0</v>
      </c>
    </row>
    <row r="422" spans="1:9" ht="14.25" customHeight="1" x14ac:dyDescent="0.25">
      <c r="A422" s="132" t="s">
        <v>241</v>
      </c>
      <c r="B422" s="132" t="s">
        <v>256</v>
      </c>
      <c r="C422" s="132">
        <v>81</v>
      </c>
      <c r="D422" s="132" t="str">
        <f t="shared" si="28"/>
        <v>1/2" Round 775pro 81</v>
      </c>
      <c r="E422" s="132">
        <v>1</v>
      </c>
      <c r="F422" s="132">
        <v>0</v>
      </c>
      <c r="G422" s="132">
        <v>0</v>
      </c>
      <c r="H422" s="132">
        <v>0</v>
      </c>
      <c r="I422" s="132">
        <v>0</v>
      </c>
    </row>
    <row r="423" spans="1:9" ht="14.25" customHeight="1" x14ac:dyDescent="0.25">
      <c r="A423" s="132" t="s">
        <v>241</v>
      </c>
      <c r="B423" s="132" t="s">
        <v>256</v>
      </c>
      <c r="C423" s="132">
        <v>90</v>
      </c>
      <c r="D423" s="132" t="str">
        <f t="shared" si="28"/>
        <v>1/2" Round 775pro 90</v>
      </c>
      <c r="E423" s="132">
        <v>1</v>
      </c>
      <c r="F423" s="132">
        <v>0</v>
      </c>
      <c r="G423" s="132">
        <v>0</v>
      </c>
      <c r="H423" s="132">
        <v>0</v>
      </c>
      <c r="I423" s="132">
        <v>0</v>
      </c>
    </row>
    <row r="424" spans="1:9" ht="14.25" customHeight="1" x14ac:dyDescent="0.25">
      <c r="A424" s="132" t="s">
        <v>241</v>
      </c>
      <c r="B424" s="132" t="s">
        <v>256</v>
      </c>
      <c r="C424" s="132">
        <v>100</v>
      </c>
      <c r="D424" s="132" t="str">
        <f t="shared" si="28"/>
        <v>1/2" Round 775pro 100</v>
      </c>
      <c r="E424" s="132">
        <v>1</v>
      </c>
      <c r="F424" s="132">
        <v>0</v>
      </c>
      <c r="G424" s="132">
        <v>0</v>
      </c>
      <c r="H424" s="132">
        <v>0</v>
      </c>
      <c r="I424" s="132">
        <v>0</v>
      </c>
    </row>
    <row r="425" spans="1:9" ht="14.25" customHeight="1" x14ac:dyDescent="0.25">
      <c r="A425" s="132" t="s">
        <v>241</v>
      </c>
      <c r="B425" s="132" t="s">
        <v>7</v>
      </c>
      <c r="C425" s="132">
        <v>-3</v>
      </c>
      <c r="D425" s="132" t="str">
        <f t="shared" ref="D425:D430" si="29">A425&amp;" "&amp;B425&amp;" "&amp;C425</f>
        <v>1/2" Round Mini CIM -3</v>
      </c>
      <c r="E425" s="132">
        <v>1</v>
      </c>
      <c r="I425" s="132">
        <v>0</v>
      </c>
    </row>
    <row r="426" spans="1:9" ht="14.25" customHeight="1" x14ac:dyDescent="0.25">
      <c r="A426" s="132" t="s">
        <v>241</v>
      </c>
      <c r="B426" s="132" t="s">
        <v>7</v>
      </c>
      <c r="C426" s="132">
        <v>-4</v>
      </c>
      <c r="D426" s="132" t="str">
        <f t="shared" si="29"/>
        <v>1/2" Round Mini CIM -4</v>
      </c>
      <c r="E426" s="132">
        <v>1</v>
      </c>
      <c r="I426" s="132">
        <v>0</v>
      </c>
    </row>
    <row r="427" spans="1:9" ht="14.25" customHeight="1" x14ac:dyDescent="0.25">
      <c r="A427" s="132" t="s">
        <v>241</v>
      </c>
      <c r="B427" s="132" t="s">
        <v>7</v>
      </c>
      <c r="C427" s="132">
        <v>-5</v>
      </c>
      <c r="D427" s="132" t="str">
        <f t="shared" si="29"/>
        <v>1/2" Round Mini CIM -5</v>
      </c>
      <c r="E427" s="132">
        <v>1</v>
      </c>
      <c r="I427" s="132">
        <v>0</v>
      </c>
    </row>
    <row r="428" spans="1:9" ht="14.25" customHeight="1" x14ac:dyDescent="0.25">
      <c r="A428" s="132" t="s">
        <v>241</v>
      </c>
      <c r="B428" s="132" t="s">
        <v>7</v>
      </c>
      <c r="C428" s="132">
        <v>-7</v>
      </c>
      <c r="D428" s="132" t="str">
        <f t="shared" si="29"/>
        <v>1/2" Round Mini CIM -7</v>
      </c>
      <c r="E428" s="132">
        <v>1</v>
      </c>
      <c r="I428" s="132">
        <v>0</v>
      </c>
    </row>
    <row r="429" spans="1:9" ht="14.25" customHeight="1" x14ac:dyDescent="0.25">
      <c r="A429" s="132" t="s">
        <v>241</v>
      </c>
      <c r="B429" s="132" t="s">
        <v>7</v>
      </c>
      <c r="C429" s="132">
        <v>-9</v>
      </c>
      <c r="D429" s="132" t="str">
        <f t="shared" si="29"/>
        <v>1/2" Round Mini CIM -9</v>
      </c>
      <c r="E429" s="132">
        <v>1</v>
      </c>
      <c r="I429" s="132">
        <v>0</v>
      </c>
    </row>
    <row r="430" spans="1:9" ht="14.25" customHeight="1" x14ac:dyDescent="0.25">
      <c r="A430" s="132" t="s">
        <v>241</v>
      </c>
      <c r="B430" s="132" t="s">
        <v>7</v>
      </c>
      <c r="C430" s="132">
        <v>-10</v>
      </c>
      <c r="D430" s="132" t="str">
        <f t="shared" si="29"/>
        <v>1/2" Round Mini CIM -10</v>
      </c>
      <c r="E430" s="132">
        <v>1</v>
      </c>
      <c r="I430" s="132">
        <v>0</v>
      </c>
    </row>
    <row r="431" spans="1:9" ht="14.25" customHeight="1" x14ac:dyDescent="0.25">
      <c r="A431" s="132" t="s">
        <v>241</v>
      </c>
      <c r="B431" s="132" t="s">
        <v>7</v>
      </c>
      <c r="C431" s="132">
        <v>9</v>
      </c>
      <c r="D431" s="132" t="str">
        <f t="shared" ref="D431:D451" si="30">A431&amp;" "&amp;B431&amp;" "&amp;C431</f>
        <v>1/2" Round Mini CIM 9</v>
      </c>
      <c r="E431" s="132">
        <v>7</v>
      </c>
      <c r="I431" s="132">
        <v>0</v>
      </c>
    </row>
    <row r="432" spans="1:9" ht="14.25" customHeight="1" x14ac:dyDescent="0.25">
      <c r="A432" s="132" t="s">
        <v>241</v>
      </c>
      <c r="B432" s="132" t="s">
        <v>7</v>
      </c>
      <c r="C432" s="132">
        <v>12</v>
      </c>
      <c r="D432" s="132" t="str">
        <f t="shared" si="30"/>
        <v>1/2" Round Mini CIM 12</v>
      </c>
      <c r="E432" s="132">
        <v>5</v>
      </c>
      <c r="I432" s="132">
        <v>0</v>
      </c>
    </row>
    <row r="433" spans="1:9" ht="14.25" customHeight="1" x14ac:dyDescent="0.25">
      <c r="A433" s="132" t="s">
        <v>241</v>
      </c>
      <c r="B433" s="132" t="s">
        <v>7</v>
      </c>
      <c r="C433" s="132">
        <v>15</v>
      </c>
      <c r="D433" s="132" t="str">
        <f t="shared" si="30"/>
        <v>1/2" Round Mini CIM 15</v>
      </c>
      <c r="E433" s="132">
        <v>5</v>
      </c>
      <c r="I433" s="132">
        <v>0</v>
      </c>
    </row>
    <row r="434" spans="1:9" ht="14.25" customHeight="1" x14ac:dyDescent="0.25">
      <c r="A434" s="132" t="s">
        <v>241</v>
      </c>
      <c r="B434" s="132" t="s">
        <v>7</v>
      </c>
      <c r="C434" s="132">
        <v>16</v>
      </c>
      <c r="D434" s="132" t="str">
        <f t="shared" si="30"/>
        <v>1/2" Round Mini CIM 16</v>
      </c>
      <c r="E434" s="132">
        <v>5</v>
      </c>
      <c r="I434" s="132">
        <v>0</v>
      </c>
    </row>
    <row r="435" spans="1:9" ht="14.25" customHeight="1" x14ac:dyDescent="0.25">
      <c r="A435" s="132" t="s">
        <v>241</v>
      </c>
      <c r="B435" s="132" t="s">
        <v>7</v>
      </c>
      <c r="C435" s="132">
        <v>20</v>
      </c>
      <c r="D435" s="132" t="str">
        <f t="shared" si="30"/>
        <v>1/2" Round Mini CIM 20</v>
      </c>
      <c r="E435" s="132">
        <v>4</v>
      </c>
      <c r="I435" s="132">
        <v>0</v>
      </c>
    </row>
    <row r="436" spans="1:9" ht="14.25" customHeight="1" x14ac:dyDescent="0.25">
      <c r="A436" s="132" t="s">
        <v>241</v>
      </c>
      <c r="B436" s="132" t="s">
        <v>7</v>
      </c>
      <c r="C436" s="132">
        <v>21</v>
      </c>
      <c r="D436" s="132" t="str">
        <f t="shared" si="30"/>
        <v>1/2" Round Mini CIM 21</v>
      </c>
      <c r="E436" s="132">
        <v>4</v>
      </c>
      <c r="I436" s="132">
        <v>0</v>
      </c>
    </row>
    <row r="437" spans="1:9" ht="14.25" customHeight="1" x14ac:dyDescent="0.25">
      <c r="A437" s="132" t="s">
        <v>241</v>
      </c>
      <c r="B437" s="132" t="s">
        <v>7</v>
      </c>
      <c r="C437" s="132">
        <v>25</v>
      </c>
      <c r="D437" s="132" t="str">
        <f t="shared" si="30"/>
        <v>1/2" Round Mini CIM 25</v>
      </c>
      <c r="E437" s="132">
        <v>3</v>
      </c>
      <c r="I437" s="132">
        <v>0</v>
      </c>
    </row>
    <row r="438" spans="1:9" ht="14.25" customHeight="1" x14ac:dyDescent="0.25">
      <c r="A438" s="132" t="s">
        <v>241</v>
      </c>
      <c r="B438" s="132" t="s">
        <v>7</v>
      </c>
      <c r="C438" s="132">
        <v>27</v>
      </c>
      <c r="D438" s="132" t="str">
        <f t="shared" si="30"/>
        <v>1/2" Round Mini CIM 27</v>
      </c>
      <c r="E438" s="132">
        <v>3</v>
      </c>
      <c r="I438" s="132">
        <v>0</v>
      </c>
    </row>
    <row r="439" spans="1:9" ht="14.25" customHeight="1" x14ac:dyDescent="0.25">
      <c r="A439" s="132" t="s">
        <v>241</v>
      </c>
      <c r="B439" s="132" t="s">
        <v>7</v>
      </c>
      <c r="C439" s="132">
        <v>28</v>
      </c>
      <c r="D439" s="132" t="str">
        <f t="shared" si="30"/>
        <v>1/2" Round Mini CIM 28</v>
      </c>
      <c r="E439" s="132">
        <v>3</v>
      </c>
      <c r="I439" s="132">
        <v>0</v>
      </c>
    </row>
    <row r="440" spans="1:9" ht="14.25" customHeight="1" x14ac:dyDescent="0.25">
      <c r="A440" s="132" t="s">
        <v>241</v>
      </c>
      <c r="B440" s="132" t="s">
        <v>7</v>
      </c>
      <c r="C440" s="132">
        <v>30</v>
      </c>
      <c r="D440" s="132" t="str">
        <f t="shared" si="30"/>
        <v>1/2" Round Mini CIM 30</v>
      </c>
      <c r="E440" s="132">
        <v>1</v>
      </c>
      <c r="I440" s="132">
        <v>0</v>
      </c>
    </row>
    <row r="441" spans="1:9" ht="14.25" customHeight="1" x14ac:dyDescent="0.25">
      <c r="A441" s="132" t="s">
        <v>241</v>
      </c>
      <c r="B441" s="132" t="s">
        <v>7</v>
      </c>
      <c r="C441" s="132">
        <v>35</v>
      </c>
      <c r="D441" s="132" t="str">
        <f t="shared" si="30"/>
        <v>1/2" Round Mini CIM 35</v>
      </c>
      <c r="E441" s="132">
        <v>1</v>
      </c>
      <c r="I441" s="132">
        <v>0</v>
      </c>
    </row>
    <row r="442" spans="1:9" ht="14.25" customHeight="1" x14ac:dyDescent="0.25">
      <c r="A442" s="132" t="s">
        <v>241</v>
      </c>
      <c r="B442" s="132" t="s">
        <v>7</v>
      </c>
      <c r="C442" s="132">
        <v>36</v>
      </c>
      <c r="D442" s="132" t="str">
        <f t="shared" si="30"/>
        <v>1/2" Round Mini CIM 36</v>
      </c>
      <c r="E442" s="132">
        <v>1</v>
      </c>
      <c r="I442" s="132">
        <v>0</v>
      </c>
    </row>
    <row r="443" spans="1:9" ht="14.25" customHeight="1" x14ac:dyDescent="0.25">
      <c r="A443" s="132" t="s">
        <v>241</v>
      </c>
      <c r="B443" s="132" t="s">
        <v>7</v>
      </c>
      <c r="C443" s="132">
        <v>40</v>
      </c>
      <c r="D443" s="132" t="str">
        <f t="shared" si="30"/>
        <v>1/2" Round Mini CIM 40</v>
      </c>
      <c r="E443" s="132">
        <v>1</v>
      </c>
      <c r="I443" s="132">
        <v>0</v>
      </c>
    </row>
    <row r="444" spans="1:9" ht="14.25" customHeight="1" x14ac:dyDescent="0.25">
      <c r="A444" s="132" t="s">
        <v>241</v>
      </c>
      <c r="B444" s="132" t="s">
        <v>7</v>
      </c>
      <c r="C444" s="132">
        <v>45</v>
      </c>
      <c r="D444" s="132" t="str">
        <f t="shared" si="30"/>
        <v>1/2" Round Mini CIM 45</v>
      </c>
      <c r="E444" s="132">
        <v>1</v>
      </c>
      <c r="I444" s="132">
        <v>0</v>
      </c>
    </row>
    <row r="445" spans="1:9" ht="14.25" customHeight="1" x14ac:dyDescent="0.25">
      <c r="A445" s="132" t="s">
        <v>241</v>
      </c>
      <c r="B445" s="132" t="s">
        <v>7</v>
      </c>
      <c r="C445" s="132">
        <v>49</v>
      </c>
      <c r="D445" s="132" t="str">
        <f t="shared" si="30"/>
        <v>1/2" Round Mini CIM 49</v>
      </c>
      <c r="E445" s="132">
        <v>1</v>
      </c>
      <c r="I445" s="132">
        <v>0</v>
      </c>
    </row>
    <row r="446" spans="1:9" ht="14.25" customHeight="1" x14ac:dyDescent="0.25">
      <c r="A446" s="132" t="s">
        <v>241</v>
      </c>
      <c r="B446" s="132" t="s">
        <v>7</v>
      </c>
      <c r="C446" s="132">
        <v>50</v>
      </c>
      <c r="D446" s="132" t="str">
        <f t="shared" si="30"/>
        <v>1/2" Round Mini CIM 50</v>
      </c>
      <c r="E446" s="132">
        <v>1</v>
      </c>
      <c r="I446" s="132">
        <v>0</v>
      </c>
    </row>
    <row r="447" spans="1:9" ht="14.25" customHeight="1" x14ac:dyDescent="0.25">
      <c r="A447" s="132" t="s">
        <v>241</v>
      </c>
      <c r="B447" s="132" t="s">
        <v>7</v>
      </c>
      <c r="C447" s="132">
        <v>63</v>
      </c>
      <c r="D447" s="132" t="str">
        <f t="shared" si="30"/>
        <v>1/2" Round Mini CIM 63</v>
      </c>
      <c r="E447" s="132">
        <v>1</v>
      </c>
      <c r="I447" s="132">
        <v>0</v>
      </c>
    </row>
    <row r="448" spans="1:9" ht="14.25" customHeight="1" x14ac:dyDescent="0.25">
      <c r="A448" s="132" t="s">
        <v>241</v>
      </c>
      <c r="B448" s="132" t="s">
        <v>7</v>
      </c>
      <c r="C448" s="132">
        <v>70</v>
      </c>
      <c r="D448" s="132" t="str">
        <f t="shared" si="30"/>
        <v>1/2" Round Mini CIM 70</v>
      </c>
      <c r="E448" s="132">
        <v>0</v>
      </c>
      <c r="I448" s="132">
        <v>0</v>
      </c>
    </row>
    <row r="449" spans="1:9" ht="14.25" customHeight="1" x14ac:dyDescent="0.25">
      <c r="A449" s="132" t="s">
        <v>241</v>
      </c>
      <c r="B449" s="132" t="s">
        <v>7</v>
      </c>
      <c r="C449" s="132">
        <v>81</v>
      </c>
      <c r="D449" s="132" t="str">
        <f t="shared" si="30"/>
        <v>1/2" Round Mini CIM 81</v>
      </c>
      <c r="E449" s="132">
        <v>0</v>
      </c>
      <c r="I449" s="132">
        <v>0</v>
      </c>
    </row>
    <row r="450" spans="1:9" ht="14.25" customHeight="1" x14ac:dyDescent="0.25">
      <c r="A450" s="132" t="s">
        <v>241</v>
      </c>
      <c r="B450" s="132" t="s">
        <v>7</v>
      </c>
      <c r="C450" s="132">
        <v>90</v>
      </c>
      <c r="D450" s="132" t="str">
        <f t="shared" si="30"/>
        <v>1/2" Round Mini CIM 90</v>
      </c>
      <c r="E450" s="132">
        <v>0</v>
      </c>
      <c r="I450" s="132">
        <v>0</v>
      </c>
    </row>
    <row r="451" spans="1:9" ht="14.25" customHeight="1" x14ac:dyDescent="0.25">
      <c r="A451" s="132" t="s">
        <v>241</v>
      </c>
      <c r="B451" s="132" t="s">
        <v>7</v>
      </c>
      <c r="C451" s="132">
        <v>100</v>
      </c>
      <c r="D451" s="132" t="str">
        <f t="shared" si="30"/>
        <v>1/2" Round Mini CIM 100</v>
      </c>
      <c r="E451" s="132">
        <v>0</v>
      </c>
      <c r="I451" s="132">
        <v>0</v>
      </c>
    </row>
    <row r="452" spans="1:9" ht="14.25" customHeight="1" x14ac:dyDescent="0.25">
      <c r="A452" s="132" t="s">
        <v>241</v>
      </c>
      <c r="B452" s="132" t="s">
        <v>6</v>
      </c>
      <c r="C452" s="132">
        <v>-3</v>
      </c>
      <c r="D452" s="132" t="str">
        <f t="shared" ref="D452:D457" si="31">A452&amp;" "&amp;B452&amp;" "&amp;C452</f>
        <v>1/2" Round CIM -3</v>
      </c>
      <c r="E452" s="132">
        <v>1</v>
      </c>
      <c r="I452" s="132">
        <v>0</v>
      </c>
    </row>
    <row r="453" spans="1:9" ht="14.25" customHeight="1" x14ac:dyDescent="0.25">
      <c r="A453" s="132" t="s">
        <v>241</v>
      </c>
      <c r="B453" s="132" t="s">
        <v>6</v>
      </c>
      <c r="C453" s="132">
        <v>-4</v>
      </c>
      <c r="D453" s="132" t="str">
        <f t="shared" si="31"/>
        <v>1/2" Round CIM -4</v>
      </c>
      <c r="E453" s="132">
        <v>1</v>
      </c>
      <c r="I453" s="132">
        <v>0</v>
      </c>
    </row>
    <row r="454" spans="1:9" ht="14.25" customHeight="1" x14ac:dyDescent="0.25">
      <c r="A454" s="132" t="s">
        <v>241</v>
      </c>
      <c r="B454" s="132" t="s">
        <v>6</v>
      </c>
      <c r="C454" s="132">
        <v>-5</v>
      </c>
      <c r="D454" s="132" t="str">
        <f t="shared" si="31"/>
        <v>1/2" Round CIM -5</v>
      </c>
      <c r="E454" s="132">
        <v>1</v>
      </c>
      <c r="I454" s="132">
        <v>0</v>
      </c>
    </row>
    <row r="455" spans="1:9" ht="14.25" customHeight="1" x14ac:dyDescent="0.25">
      <c r="A455" s="132" t="s">
        <v>241</v>
      </c>
      <c r="B455" s="132" t="s">
        <v>6</v>
      </c>
      <c r="C455" s="132">
        <v>-7</v>
      </c>
      <c r="D455" s="132" t="str">
        <f t="shared" si="31"/>
        <v>1/2" Round CIM -7</v>
      </c>
      <c r="E455" s="132">
        <v>1</v>
      </c>
      <c r="I455" s="132">
        <v>0</v>
      </c>
    </row>
    <row r="456" spans="1:9" ht="14.25" customHeight="1" x14ac:dyDescent="0.25">
      <c r="A456" s="132" t="s">
        <v>241</v>
      </c>
      <c r="B456" s="132" t="s">
        <v>6</v>
      </c>
      <c r="C456" s="132">
        <v>-9</v>
      </c>
      <c r="D456" s="132" t="str">
        <f t="shared" si="31"/>
        <v>1/2" Round CIM -9</v>
      </c>
      <c r="E456" s="132">
        <v>1</v>
      </c>
      <c r="I456" s="132">
        <v>0</v>
      </c>
    </row>
    <row r="457" spans="1:9" ht="14.25" customHeight="1" x14ac:dyDescent="0.25">
      <c r="A457" s="132" t="s">
        <v>241</v>
      </c>
      <c r="B457" s="132" t="s">
        <v>6</v>
      </c>
      <c r="C457" s="132">
        <v>-10</v>
      </c>
      <c r="D457" s="132" t="str">
        <f t="shared" si="31"/>
        <v>1/2" Round CIM -10</v>
      </c>
      <c r="E457" s="132">
        <v>1</v>
      </c>
      <c r="I457" s="132">
        <v>0</v>
      </c>
    </row>
    <row r="458" spans="1:9" ht="14.25" customHeight="1" x14ac:dyDescent="0.25">
      <c r="A458" s="132" t="s">
        <v>241</v>
      </c>
      <c r="B458" s="132" t="s">
        <v>6</v>
      </c>
      <c r="C458" s="132">
        <v>9</v>
      </c>
      <c r="D458" s="132" t="str">
        <f t="shared" ref="D458:D478" si="32">A458&amp;" "&amp;B458&amp;" "&amp;C458</f>
        <v>1/2" Round CIM 9</v>
      </c>
      <c r="E458" s="132">
        <v>5</v>
      </c>
      <c r="I458" s="132">
        <v>0</v>
      </c>
    </row>
    <row r="459" spans="1:9" ht="14.25" customHeight="1" x14ac:dyDescent="0.25">
      <c r="A459" s="132" t="s">
        <v>241</v>
      </c>
      <c r="B459" s="132" t="s">
        <v>6</v>
      </c>
      <c r="C459" s="132">
        <v>12</v>
      </c>
      <c r="D459" s="132" t="str">
        <f t="shared" si="32"/>
        <v>1/2" Round CIM 12</v>
      </c>
      <c r="E459" s="132">
        <v>4</v>
      </c>
      <c r="I459" s="132">
        <v>0</v>
      </c>
    </row>
    <row r="460" spans="1:9" ht="14.25" customHeight="1" x14ac:dyDescent="0.25">
      <c r="A460" s="132" t="s">
        <v>241</v>
      </c>
      <c r="B460" s="132" t="s">
        <v>6</v>
      </c>
      <c r="C460" s="132">
        <v>15</v>
      </c>
      <c r="D460" s="132" t="str">
        <f t="shared" si="32"/>
        <v>1/2" Round CIM 15</v>
      </c>
      <c r="E460" s="132">
        <v>3</v>
      </c>
      <c r="I460" s="132">
        <v>0</v>
      </c>
    </row>
    <row r="461" spans="1:9" ht="14.25" customHeight="1" x14ac:dyDescent="0.25">
      <c r="A461" s="132" t="s">
        <v>241</v>
      </c>
      <c r="B461" s="132" t="s">
        <v>6</v>
      </c>
      <c r="C461" s="132">
        <v>16</v>
      </c>
      <c r="D461" s="132" t="str">
        <f t="shared" si="32"/>
        <v>1/2" Round CIM 16</v>
      </c>
      <c r="E461" s="132">
        <v>3</v>
      </c>
      <c r="I461" s="132">
        <v>0</v>
      </c>
    </row>
    <row r="462" spans="1:9" ht="14.25" customHeight="1" x14ac:dyDescent="0.25">
      <c r="A462" s="132" t="s">
        <v>241</v>
      </c>
      <c r="B462" s="132" t="s">
        <v>6</v>
      </c>
      <c r="C462" s="132">
        <v>20</v>
      </c>
      <c r="D462" s="132" t="str">
        <f t="shared" si="32"/>
        <v>1/2" Round CIM 20</v>
      </c>
      <c r="E462" s="132">
        <v>1</v>
      </c>
      <c r="I462" s="132">
        <v>0</v>
      </c>
    </row>
    <row r="463" spans="1:9" ht="14.25" customHeight="1" x14ac:dyDescent="0.25">
      <c r="A463" s="132" t="s">
        <v>241</v>
      </c>
      <c r="B463" s="132" t="s">
        <v>6</v>
      </c>
      <c r="C463" s="132">
        <v>21</v>
      </c>
      <c r="D463" s="132" t="str">
        <f t="shared" si="32"/>
        <v>1/2" Round CIM 21</v>
      </c>
      <c r="E463" s="132">
        <v>1</v>
      </c>
      <c r="I463" s="132">
        <v>0</v>
      </c>
    </row>
    <row r="464" spans="1:9" ht="14.25" customHeight="1" x14ac:dyDescent="0.25">
      <c r="A464" s="132" t="s">
        <v>241</v>
      </c>
      <c r="B464" s="132" t="s">
        <v>6</v>
      </c>
      <c r="C464" s="132">
        <v>25</v>
      </c>
      <c r="D464" s="132" t="str">
        <f t="shared" si="32"/>
        <v>1/2" Round CIM 25</v>
      </c>
      <c r="E464" s="132">
        <v>1</v>
      </c>
      <c r="I464" s="132">
        <v>0</v>
      </c>
    </row>
    <row r="465" spans="1:9" ht="14.25" customHeight="1" x14ac:dyDescent="0.25">
      <c r="A465" s="132" t="s">
        <v>241</v>
      </c>
      <c r="B465" s="132" t="s">
        <v>6</v>
      </c>
      <c r="C465" s="132">
        <v>27</v>
      </c>
      <c r="D465" s="132" t="str">
        <f t="shared" si="32"/>
        <v>1/2" Round CIM 27</v>
      </c>
      <c r="E465" s="132">
        <v>1</v>
      </c>
      <c r="I465" s="132">
        <v>0</v>
      </c>
    </row>
    <row r="466" spans="1:9" ht="14.25" customHeight="1" x14ac:dyDescent="0.25">
      <c r="A466" s="132" t="s">
        <v>241</v>
      </c>
      <c r="B466" s="132" t="s">
        <v>6</v>
      </c>
      <c r="C466" s="132">
        <v>28</v>
      </c>
      <c r="D466" s="132" t="str">
        <f t="shared" si="32"/>
        <v>1/2" Round CIM 28</v>
      </c>
      <c r="E466" s="132">
        <v>1</v>
      </c>
      <c r="I466" s="132">
        <v>0</v>
      </c>
    </row>
    <row r="467" spans="1:9" ht="14.25" customHeight="1" x14ac:dyDescent="0.25">
      <c r="A467" s="132" t="s">
        <v>241</v>
      </c>
      <c r="B467" s="132" t="s">
        <v>6</v>
      </c>
      <c r="C467" s="132">
        <v>30</v>
      </c>
      <c r="D467" s="132" t="str">
        <f t="shared" si="32"/>
        <v>1/2" Round CIM 30</v>
      </c>
      <c r="E467" s="132">
        <v>1</v>
      </c>
      <c r="I467" s="132">
        <v>0</v>
      </c>
    </row>
    <row r="468" spans="1:9" ht="14.25" customHeight="1" x14ac:dyDescent="0.25">
      <c r="A468" s="132" t="s">
        <v>241</v>
      </c>
      <c r="B468" s="132" t="s">
        <v>6</v>
      </c>
      <c r="C468" s="132">
        <v>35</v>
      </c>
      <c r="D468" s="132" t="str">
        <f t="shared" si="32"/>
        <v>1/2" Round CIM 35</v>
      </c>
      <c r="E468" s="132">
        <v>1</v>
      </c>
      <c r="I468" s="132">
        <v>0</v>
      </c>
    </row>
    <row r="469" spans="1:9" ht="14.25" customHeight="1" x14ac:dyDescent="0.25">
      <c r="A469" s="132" t="s">
        <v>241</v>
      </c>
      <c r="B469" s="132" t="s">
        <v>6</v>
      </c>
      <c r="C469" s="132">
        <v>36</v>
      </c>
      <c r="D469" s="132" t="str">
        <f t="shared" si="32"/>
        <v>1/2" Round CIM 36</v>
      </c>
      <c r="E469" s="132">
        <v>1</v>
      </c>
      <c r="I469" s="132">
        <v>0</v>
      </c>
    </row>
    <row r="470" spans="1:9" ht="14.25" customHeight="1" x14ac:dyDescent="0.25">
      <c r="A470" s="132" t="s">
        <v>241</v>
      </c>
      <c r="B470" s="132" t="s">
        <v>6</v>
      </c>
      <c r="C470" s="132">
        <v>40</v>
      </c>
      <c r="D470" s="132" t="str">
        <f t="shared" si="32"/>
        <v>1/2" Round CIM 40</v>
      </c>
      <c r="E470" s="132">
        <v>1</v>
      </c>
      <c r="I470" s="132">
        <v>0</v>
      </c>
    </row>
    <row r="471" spans="1:9" ht="14.25" customHeight="1" x14ac:dyDescent="0.25">
      <c r="A471" s="132" t="s">
        <v>241</v>
      </c>
      <c r="B471" s="132" t="s">
        <v>6</v>
      </c>
      <c r="C471" s="132">
        <v>45</v>
      </c>
      <c r="D471" s="132" t="str">
        <f t="shared" si="32"/>
        <v>1/2" Round CIM 45</v>
      </c>
      <c r="E471" s="132">
        <v>1</v>
      </c>
      <c r="I471" s="132">
        <v>0</v>
      </c>
    </row>
    <row r="472" spans="1:9" ht="14.25" customHeight="1" x14ac:dyDescent="0.25">
      <c r="A472" s="132" t="s">
        <v>241</v>
      </c>
      <c r="B472" s="132" t="s">
        <v>6</v>
      </c>
      <c r="C472" s="132">
        <v>49</v>
      </c>
      <c r="D472" s="132" t="str">
        <f t="shared" si="32"/>
        <v>1/2" Round CIM 49</v>
      </c>
      <c r="E472" s="132">
        <v>0</v>
      </c>
      <c r="I472" s="132">
        <v>0</v>
      </c>
    </row>
    <row r="473" spans="1:9" ht="14.25" customHeight="1" x14ac:dyDescent="0.25">
      <c r="A473" s="132" t="s">
        <v>241</v>
      </c>
      <c r="B473" s="132" t="s">
        <v>6</v>
      </c>
      <c r="C473" s="132">
        <v>50</v>
      </c>
      <c r="D473" s="132" t="str">
        <f t="shared" si="32"/>
        <v>1/2" Round CIM 50</v>
      </c>
      <c r="E473" s="132">
        <v>1</v>
      </c>
      <c r="I473" s="132">
        <v>0</v>
      </c>
    </row>
    <row r="474" spans="1:9" ht="14.25" customHeight="1" x14ac:dyDescent="0.25">
      <c r="A474" s="132" t="s">
        <v>241</v>
      </c>
      <c r="B474" s="132" t="s">
        <v>6</v>
      </c>
      <c r="C474" s="132">
        <v>63</v>
      </c>
      <c r="D474" s="132" t="str">
        <f t="shared" si="32"/>
        <v>1/2" Round CIM 63</v>
      </c>
      <c r="E474" s="132">
        <v>0</v>
      </c>
      <c r="I474" s="132">
        <v>0</v>
      </c>
    </row>
    <row r="475" spans="1:9" ht="14.25" customHeight="1" x14ac:dyDescent="0.25">
      <c r="A475" s="132" t="s">
        <v>241</v>
      </c>
      <c r="B475" s="132" t="s">
        <v>6</v>
      </c>
      <c r="C475" s="132">
        <v>70</v>
      </c>
      <c r="D475" s="132" t="str">
        <f t="shared" si="32"/>
        <v>1/2" Round CIM 70</v>
      </c>
      <c r="E475" s="132">
        <v>0</v>
      </c>
      <c r="I475" s="132">
        <v>0</v>
      </c>
    </row>
    <row r="476" spans="1:9" ht="14.25" customHeight="1" x14ac:dyDescent="0.25">
      <c r="A476" s="132" t="s">
        <v>241</v>
      </c>
      <c r="B476" s="132" t="s">
        <v>6</v>
      </c>
      <c r="C476" s="132">
        <v>81</v>
      </c>
      <c r="D476" s="132" t="str">
        <f t="shared" si="32"/>
        <v>1/2" Round CIM 81</v>
      </c>
      <c r="E476" s="132">
        <v>0</v>
      </c>
      <c r="I476" s="132">
        <v>0</v>
      </c>
    </row>
    <row r="477" spans="1:9" ht="14.25" customHeight="1" x14ac:dyDescent="0.25">
      <c r="A477" s="132" t="s">
        <v>241</v>
      </c>
      <c r="B477" s="132" t="s">
        <v>6</v>
      </c>
      <c r="C477" s="132">
        <v>90</v>
      </c>
      <c r="D477" s="132" t="str">
        <f t="shared" si="32"/>
        <v>1/2" Round CIM 90</v>
      </c>
      <c r="E477" s="132">
        <v>0</v>
      </c>
      <c r="I477" s="132">
        <v>0</v>
      </c>
    </row>
    <row r="478" spans="1:9" ht="14.25" customHeight="1" x14ac:dyDescent="0.25">
      <c r="A478" s="132" t="s">
        <v>241</v>
      </c>
      <c r="B478" s="132" t="s">
        <v>6</v>
      </c>
      <c r="C478" s="132">
        <v>100</v>
      </c>
      <c r="D478" s="132" t="str">
        <f t="shared" si="32"/>
        <v>1/2" Round CIM 100</v>
      </c>
      <c r="E478" s="132">
        <v>0</v>
      </c>
      <c r="I478" s="132">
        <v>0</v>
      </c>
    </row>
    <row r="479" spans="1:9" ht="14.25" customHeight="1" x14ac:dyDescent="0.25">
      <c r="A479" s="132" t="s">
        <v>241</v>
      </c>
      <c r="B479" s="132" t="s">
        <v>9</v>
      </c>
      <c r="C479" s="132">
        <v>-3</v>
      </c>
      <c r="D479" s="132" t="str">
        <f t="shared" ref="D479:D484" si="33">A479&amp;" "&amp;B479&amp;" "&amp;C479</f>
        <v>1/2" Round NEO -3</v>
      </c>
      <c r="E479" s="132">
        <v>1</v>
      </c>
      <c r="I479" s="132">
        <v>0</v>
      </c>
    </row>
    <row r="480" spans="1:9" ht="14.25" customHeight="1" x14ac:dyDescent="0.25">
      <c r="A480" s="132" t="s">
        <v>241</v>
      </c>
      <c r="B480" s="132" t="s">
        <v>9</v>
      </c>
      <c r="C480" s="132">
        <v>-4</v>
      </c>
      <c r="D480" s="132" t="str">
        <f t="shared" si="33"/>
        <v>1/2" Round NEO -4</v>
      </c>
      <c r="E480" s="132">
        <v>1</v>
      </c>
      <c r="I480" s="132">
        <v>0</v>
      </c>
    </row>
    <row r="481" spans="1:9" ht="14.25" customHeight="1" x14ac:dyDescent="0.25">
      <c r="A481" s="132" t="s">
        <v>241</v>
      </c>
      <c r="B481" s="132" t="s">
        <v>9</v>
      </c>
      <c r="C481" s="132">
        <v>-5</v>
      </c>
      <c r="D481" s="132" t="str">
        <f t="shared" si="33"/>
        <v>1/2" Round NEO -5</v>
      </c>
      <c r="E481" s="132">
        <v>1</v>
      </c>
      <c r="I481" s="132">
        <v>0</v>
      </c>
    </row>
    <row r="482" spans="1:9" ht="14.25" customHeight="1" x14ac:dyDescent="0.25">
      <c r="A482" s="132" t="s">
        <v>241</v>
      </c>
      <c r="B482" s="132" t="s">
        <v>9</v>
      </c>
      <c r="C482" s="132">
        <v>-7</v>
      </c>
      <c r="D482" s="132" t="str">
        <f t="shared" si="33"/>
        <v>1/2" Round NEO -7</v>
      </c>
      <c r="E482" s="132">
        <v>1</v>
      </c>
      <c r="I482" s="132">
        <v>0</v>
      </c>
    </row>
    <row r="483" spans="1:9" ht="14.25" customHeight="1" x14ac:dyDescent="0.25">
      <c r="A483" s="132" t="s">
        <v>241</v>
      </c>
      <c r="B483" s="132" t="s">
        <v>9</v>
      </c>
      <c r="C483" s="132">
        <v>-9</v>
      </c>
      <c r="D483" s="132" t="str">
        <f t="shared" si="33"/>
        <v>1/2" Round NEO -9</v>
      </c>
      <c r="E483" s="132">
        <v>1</v>
      </c>
      <c r="I483" s="132">
        <v>0</v>
      </c>
    </row>
    <row r="484" spans="1:9" ht="14.25" customHeight="1" x14ac:dyDescent="0.25">
      <c r="A484" s="132" t="s">
        <v>241</v>
      </c>
      <c r="B484" s="132" t="s">
        <v>9</v>
      </c>
      <c r="C484" s="132">
        <v>-10</v>
      </c>
      <c r="D484" s="132" t="str">
        <f t="shared" si="33"/>
        <v>1/2" Round NEO -10</v>
      </c>
      <c r="E484" s="132">
        <v>1</v>
      </c>
      <c r="I484" s="132">
        <v>0</v>
      </c>
    </row>
    <row r="485" spans="1:9" ht="14.25" customHeight="1" x14ac:dyDescent="0.25">
      <c r="A485" s="132" t="s">
        <v>241</v>
      </c>
      <c r="B485" s="132" t="s">
        <v>9</v>
      </c>
      <c r="C485" s="132">
        <v>9</v>
      </c>
      <c r="D485" s="132" t="str">
        <f t="shared" ref="D485:D505" si="34">A485&amp;" "&amp;B485&amp;" "&amp;C485</f>
        <v>1/2" Round NEO 9</v>
      </c>
      <c r="E485" s="132">
        <v>4</v>
      </c>
      <c r="I485" s="132">
        <v>0</v>
      </c>
    </row>
    <row r="486" spans="1:9" ht="14.25" customHeight="1" x14ac:dyDescent="0.25">
      <c r="A486" s="132" t="s">
        <v>241</v>
      </c>
      <c r="B486" s="132" t="s">
        <v>9</v>
      </c>
      <c r="C486" s="132">
        <v>12</v>
      </c>
      <c r="D486" s="132" t="str">
        <f t="shared" si="34"/>
        <v>1/2" Round NEO 12</v>
      </c>
      <c r="E486" s="132">
        <v>3</v>
      </c>
      <c r="I486" s="132">
        <v>0</v>
      </c>
    </row>
    <row r="487" spans="1:9" ht="14.25" customHeight="1" x14ac:dyDescent="0.25">
      <c r="A487" s="132" t="s">
        <v>241</v>
      </c>
      <c r="B487" s="132" t="s">
        <v>9</v>
      </c>
      <c r="C487" s="132">
        <v>15</v>
      </c>
      <c r="D487" s="132" t="str">
        <f t="shared" si="34"/>
        <v>1/2" Round NEO 15</v>
      </c>
      <c r="E487" s="132">
        <v>1</v>
      </c>
      <c r="I487" s="132">
        <v>0</v>
      </c>
    </row>
    <row r="488" spans="1:9" ht="14.25" customHeight="1" x14ac:dyDescent="0.25">
      <c r="A488" s="132" t="s">
        <v>241</v>
      </c>
      <c r="B488" s="132" t="s">
        <v>9</v>
      </c>
      <c r="C488" s="132">
        <v>16</v>
      </c>
      <c r="D488" s="132" t="str">
        <f t="shared" si="34"/>
        <v>1/2" Round NEO 16</v>
      </c>
      <c r="E488" s="132">
        <v>1</v>
      </c>
      <c r="I488" s="132">
        <v>0</v>
      </c>
    </row>
    <row r="489" spans="1:9" ht="14.25" customHeight="1" x14ac:dyDescent="0.25">
      <c r="A489" s="132" t="s">
        <v>241</v>
      </c>
      <c r="B489" s="132" t="s">
        <v>9</v>
      </c>
      <c r="C489" s="132">
        <v>20</v>
      </c>
      <c r="D489" s="132" t="str">
        <f t="shared" si="34"/>
        <v>1/2" Round NEO 20</v>
      </c>
      <c r="E489" s="132">
        <v>1</v>
      </c>
      <c r="I489" s="132">
        <v>0</v>
      </c>
    </row>
    <row r="490" spans="1:9" ht="14.25" customHeight="1" x14ac:dyDescent="0.25">
      <c r="A490" s="132" t="s">
        <v>241</v>
      </c>
      <c r="B490" s="132" t="s">
        <v>9</v>
      </c>
      <c r="C490" s="132">
        <v>21</v>
      </c>
      <c r="D490" s="132" t="str">
        <f t="shared" si="34"/>
        <v>1/2" Round NEO 21</v>
      </c>
      <c r="E490" s="132">
        <v>1</v>
      </c>
      <c r="I490" s="132">
        <v>0</v>
      </c>
    </row>
    <row r="491" spans="1:9" ht="14.25" customHeight="1" x14ac:dyDescent="0.25">
      <c r="A491" s="132" t="s">
        <v>241</v>
      </c>
      <c r="B491" s="132" t="s">
        <v>9</v>
      </c>
      <c r="C491" s="132">
        <v>25</v>
      </c>
      <c r="D491" s="132" t="str">
        <f t="shared" si="34"/>
        <v>1/2" Round NEO 25</v>
      </c>
      <c r="E491" s="132">
        <v>1</v>
      </c>
      <c r="I491" s="132">
        <v>0</v>
      </c>
    </row>
    <row r="492" spans="1:9" ht="14.25" customHeight="1" x14ac:dyDescent="0.25">
      <c r="A492" s="132" t="s">
        <v>241</v>
      </c>
      <c r="B492" s="132" t="s">
        <v>9</v>
      </c>
      <c r="C492" s="132">
        <v>27</v>
      </c>
      <c r="D492" s="132" t="str">
        <f t="shared" si="34"/>
        <v>1/2" Round NEO 27</v>
      </c>
      <c r="E492" s="132">
        <v>1</v>
      </c>
      <c r="I492" s="132">
        <v>0</v>
      </c>
    </row>
    <row r="493" spans="1:9" ht="14.25" customHeight="1" x14ac:dyDescent="0.25">
      <c r="A493" s="132" t="s">
        <v>241</v>
      </c>
      <c r="B493" s="132" t="s">
        <v>9</v>
      </c>
      <c r="C493" s="132">
        <v>28</v>
      </c>
      <c r="D493" s="132" t="str">
        <f t="shared" si="34"/>
        <v>1/2" Round NEO 28</v>
      </c>
      <c r="E493" s="132">
        <v>1</v>
      </c>
      <c r="I493" s="132">
        <v>0</v>
      </c>
    </row>
    <row r="494" spans="1:9" ht="14.25" customHeight="1" x14ac:dyDescent="0.25">
      <c r="A494" s="132" t="s">
        <v>241</v>
      </c>
      <c r="B494" s="132" t="s">
        <v>9</v>
      </c>
      <c r="C494" s="132">
        <v>30</v>
      </c>
      <c r="D494" s="132" t="str">
        <f t="shared" si="34"/>
        <v>1/2" Round NEO 30</v>
      </c>
      <c r="E494" s="132">
        <v>1</v>
      </c>
      <c r="I494" s="132">
        <v>0</v>
      </c>
    </row>
    <row r="495" spans="1:9" ht="14.25" customHeight="1" x14ac:dyDescent="0.25">
      <c r="A495" s="132" t="s">
        <v>241</v>
      </c>
      <c r="B495" s="132" t="s">
        <v>9</v>
      </c>
      <c r="C495" s="132">
        <v>35</v>
      </c>
      <c r="D495" s="132" t="str">
        <f t="shared" si="34"/>
        <v>1/2" Round NEO 35</v>
      </c>
      <c r="E495" s="132">
        <v>1</v>
      </c>
      <c r="I495" s="132">
        <v>0</v>
      </c>
    </row>
    <row r="496" spans="1:9" ht="14.25" customHeight="1" x14ac:dyDescent="0.25">
      <c r="A496" s="132" t="s">
        <v>241</v>
      </c>
      <c r="B496" s="132" t="s">
        <v>9</v>
      </c>
      <c r="C496" s="132">
        <v>36</v>
      </c>
      <c r="D496" s="132" t="str">
        <f t="shared" si="34"/>
        <v>1/2" Round NEO 36</v>
      </c>
      <c r="E496" s="132">
        <v>1</v>
      </c>
      <c r="I496" s="132">
        <v>0</v>
      </c>
    </row>
    <row r="497" spans="1:9" ht="14.25" customHeight="1" x14ac:dyDescent="0.25">
      <c r="A497" s="132" t="s">
        <v>241</v>
      </c>
      <c r="B497" s="132" t="s">
        <v>9</v>
      </c>
      <c r="C497" s="132">
        <v>40</v>
      </c>
      <c r="D497" s="132" t="str">
        <f t="shared" si="34"/>
        <v>1/2" Round NEO 40</v>
      </c>
      <c r="E497" s="132">
        <v>0</v>
      </c>
      <c r="I497" s="132">
        <v>0</v>
      </c>
    </row>
    <row r="498" spans="1:9" ht="14.25" customHeight="1" x14ac:dyDescent="0.25">
      <c r="A498" s="132" t="s">
        <v>241</v>
      </c>
      <c r="B498" s="132" t="s">
        <v>9</v>
      </c>
      <c r="C498" s="132">
        <v>45</v>
      </c>
      <c r="D498" s="132" t="str">
        <f t="shared" si="34"/>
        <v>1/2" Round NEO 45</v>
      </c>
      <c r="E498" s="132">
        <v>0</v>
      </c>
      <c r="I498" s="132">
        <v>0</v>
      </c>
    </row>
    <row r="499" spans="1:9" ht="14.25" customHeight="1" x14ac:dyDescent="0.25">
      <c r="A499" s="132" t="s">
        <v>241</v>
      </c>
      <c r="B499" s="132" t="s">
        <v>9</v>
      </c>
      <c r="C499" s="132">
        <v>49</v>
      </c>
      <c r="D499" s="132" t="str">
        <f t="shared" si="34"/>
        <v>1/2" Round NEO 49</v>
      </c>
      <c r="E499" s="132">
        <v>0</v>
      </c>
      <c r="I499" s="132">
        <v>0</v>
      </c>
    </row>
    <row r="500" spans="1:9" ht="14.25" customHeight="1" x14ac:dyDescent="0.25">
      <c r="A500" s="132" t="s">
        <v>241</v>
      </c>
      <c r="B500" s="132" t="s">
        <v>9</v>
      </c>
      <c r="C500" s="132">
        <v>50</v>
      </c>
      <c r="D500" s="132" t="str">
        <f t="shared" si="34"/>
        <v>1/2" Round NEO 50</v>
      </c>
      <c r="E500" s="132">
        <v>0</v>
      </c>
      <c r="I500" s="132">
        <v>0</v>
      </c>
    </row>
    <row r="501" spans="1:9" ht="14.25" customHeight="1" x14ac:dyDescent="0.25">
      <c r="A501" s="132" t="s">
        <v>241</v>
      </c>
      <c r="B501" s="132" t="s">
        <v>9</v>
      </c>
      <c r="C501" s="132">
        <v>63</v>
      </c>
      <c r="D501" s="132" t="str">
        <f t="shared" si="34"/>
        <v>1/2" Round NEO 63</v>
      </c>
      <c r="E501" s="132">
        <v>0</v>
      </c>
      <c r="I501" s="132">
        <v>0</v>
      </c>
    </row>
    <row r="502" spans="1:9" ht="14.25" customHeight="1" x14ac:dyDescent="0.25">
      <c r="A502" s="132" t="s">
        <v>241</v>
      </c>
      <c r="B502" s="132" t="s">
        <v>9</v>
      </c>
      <c r="C502" s="132">
        <v>70</v>
      </c>
      <c r="D502" s="132" t="str">
        <f t="shared" si="34"/>
        <v>1/2" Round NEO 70</v>
      </c>
      <c r="E502" s="132">
        <v>0</v>
      </c>
      <c r="I502" s="132">
        <v>0</v>
      </c>
    </row>
    <row r="503" spans="1:9" ht="14.25" customHeight="1" x14ac:dyDescent="0.25">
      <c r="A503" s="132" t="s">
        <v>241</v>
      </c>
      <c r="B503" s="132" t="s">
        <v>9</v>
      </c>
      <c r="C503" s="132">
        <v>81</v>
      </c>
      <c r="D503" s="132" t="str">
        <f t="shared" si="34"/>
        <v>1/2" Round NEO 81</v>
      </c>
      <c r="E503" s="132">
        <v>0</v>
      </c>
      <c r="I503" s="132">
        <v>0</v>
      </c>
    </row>
    <row r="504" spans="1:9" ht="14.25" customHeight="1" x14ac:dyDescent="0.25">
      <c r="A504" s="132" t="s">
        <v>241</v>
      </c>
      <c r="B504" s="132" t="s">
        <v>9</v>
      </c>
      <c r="C504" s="132">
        <v>90</v>
      </c>
      <c r="D504" s="132" t="str">
        <f t="shared" si="34"/>
        <v>1/2" Round NEO 90</v>
      </c>
      <c r="E504" s="132">
        <v>0</v>
      </c>
      <c r="I504" s="132">
        <v>0</v>
      </c>
    </row>
    <row r="505" spans="1:9" ht="14.25" customHeight="1" x14ac:dyDescent="0.25">
      <c r="A505" s="132" t="s">
        <v>241</v>
      </c>
      <c r="B505" s="132" t="s">
        <v>9</v>
      </c>
      <c r="C505" s="132">
        <v>100</v>
      </c>
      <c r="D505" s="132" t="str">
        <f t="shared" si="34"/>
        <v>1/2" Round NEO 100</v>
      </c>
      <c r="E505" s="132">
        <v>0</v>
      </c>
      <c r="I505" s="132">
        <v>0</v>
      </c>
    </row>
    <row r="506" spans="1:9" ht="14.25" customHeight="1" x14ac:dyDescent="0.25">
      <c r="A506" s="132" t="s">
        <v>241</v>
      </c>
      <c r="B506" s="132" t="s">
        <v>334</v>
      </c>
      <c r="C506" s="132">
        <v>-3</v>
      </c>
      <c r="D506" s="132" t="str">
        <f t="shared" ref="D506:D511" si="35">A506&amp;" "&amp;B506&amp;" "&amp;C506</f>
        <v>1/2" Round Falcon 500 -3</v>
      </c>
      <c r="E506" s="132">
        <v>1</v>
      </c>
      <c r="I506" s="132">
        <v>0</v>
      </c>
    </row>
    <row r="507" spans="1:9" ht="14.25" customHeight="1" x14ac:dyDescent="0.25">
      <c r="A507" s="132" t="s">
        <v>241</v>
      </c>
      <c r="B507" s="132" t="s">
        <v>334</v>
      </c>
      <c r="C507" s="132">
        <v>-4</v>
      </c>
      <c r="D507" s="132" t="str">
        <f t="shared" si="35"/>
        <v>1/2" Round Falcon 500 -4</v>
      </c>
      <c r="E507" s="132">
        <v>1</v>
      </c>
      <c r="I507" s="132">
        <v>0</v>
      </c>
    </row>
    <row r="508" spans="1:9" ht="14.25" customHeight="1" x14ac:dyDescent="0.25">
      <c r="A508" s="132" t="s">
        <v>241</v>
      </c>
      <c r="B508" s="132" t="s">
        <v>334</v>
      </c>
      <c r="C508" s="132">
        <v>-5</v>
      </c>
      <c r="D508" s="132" t="str">
        <f t="shared" si="35"/>
        <v>1/2" Round Falcon 500 -5</v>
      </c>
      <c r="E508" s="132">
        <v>1</v>
      </c>
      <c r="I508" s="132">
        <v>0</v>
      </c>
    </row>
    <row r="509" spans="1:9" ht="14.25" customHeight="1" x14ac:dyDescent="0.25">
      <c r="A509" s="132" t="s">
        <v>241</v>
      </c>
      <c r="B509" s="132" t="s">
        <v>334</v>
      </c>
      <c r="C509" s="132">
        <v>-7</v>
      </c>
      <c r="D509" s="132" t="str">
        <f t="shared" si="35"/>
        <v>1/2" Round Falcon 500 -7</v>
      </c>
      <c r="E509" s="132">
        <v>1</v>
      </c>
      <c r="I509" s="132">
        <v>0</v>
      </c>
    </row>
    <row r="510" spans="1:9" ht="14.25" customHeight="1" x14ac:dyDescent="0.25">
      <c r="A510" s="132" t="s">
        <v>241</v>
      </c>
      <c r="B510" s="132" t="s">
        <v>334</v>
      </c>
      <c r="C510" s="132">
        <v>-9</v>
      </c>
      <c r="D510" s="132" t="str">
        <f t="shared" si="35"/>
        <v>1/2" Round Falcon 500 -9</v>
      </c>
      <c r="E510" s="132">
        <v>1</v>
      </c>
      <c r="I510" s="132">
        <v>0</v>
      </c>
    </row>
    <row r="511" spans="1:9" ht="14.25" customHeight="1" x14ac:dyDescent="0.25">
      <c r="A511" s="132" t="s">
        <v>241</v>
      </c>
      <c r="B511" s="132" t="s">
        <v>334</v>
      </c>
      <c r="C511" s="132">
        <v>-10</v>
      </c>
      <c r="D511" s="132" t="str">
        <f t="shared" si="35"/>
        <v>1/2" Round Falcon 500 -10</v>
      </c>
      <c r="E511" s="132">
        <v>1</v>
      </c>
      <c r="I511" s="132">
        <v>0</v>
      </c>
    </row>
    <row r="512" spans="1:9" ht="14.25" customHeight="1" x14ac:dyDescent="0.25">
      <c r="A512" s="132" t="s">
        <v>241</v>
      </c>
      <c r="B512" s="132" t="s">
        <v>334</v>
      </c>
      <c r="C512" s="132">
        <v>9</v>
      </c>
      <c r="D512" s="132" t="str">
        <f t="shared" ref="D512:D532" si="36">A512&amp;" "&amp;B512&amp;" "&amp;C512</f>
        <v>1/2" Round Falcon 500 9</v>
      </c>
      <c r="E512" s="132">
        <v>3</v>
      </c>
      <c r="I512" s="132">
        <v>0</v>
      </c>
    </row>
    <row r="513" spans="1:9" ht="14.25" customHeight="1" x14ac:dyDescent="0.25">
      <c r="A513" s="132" t="s">
        <v>241</v>
      </c>
      <c r="B513" s="132" t="s">
        <v>334</v>
      </c>
      <c r="C513" s="132">
        <v>12</v>
      </c>
      <c r="D513" s="132" t="str">
        <f t="shared" si="36"/>
        <v>1/2" Round Falcon 500 12</v>
      </c>
      <c r="E513" s="132">
        <v>1</v>
      </c>
      <c r="I513" s="132">
        <v>0</v>
      </c>
    </row>
    <row r="514" spans="1:9" ht="14.25" customHeight="1" x14ac:dyDescent="0.25">
      <c r="A514" s="132" t="s">
        <v>241</v>
      </c>
      <c r="B514" s="132" t="s">
        <v>334</v>
      </c>
      <c r="C514" s="132">
        <v>15</v>
      </c>
      <c r="D514" s="132" t="str">
        <f t="shared" si="36"/>
        <v>1/2" Round Falcon 500 15</v>
      </c>
      <c r="E514" s="132">
        <v>1</v>
      </c>
      <c r="I514" s="132">
        <v>0</v>
      </c>
    </row>
    <row r="515" spans="1:9" ht="14.25" customHeight="1" x14ac:dyDescent="0.25">
      <c r="A515" s="132" t="s">
        <v>241</v>
      </c>
      <c r="B515" s="132" t="s">
        <v>334</v>
      </c>
      <c r="C515" s="132">
        <v>16</v>
      </c>
      <c r="D515" s="132" t="str">
        <f t="shared" si="36"/>
        <v>1/2" Round Falcon 500 16</v>
      </c>
      <c r="E515" s="132">
        <v>1</v>
      </c>
      <c r="I515" s="132">
        <v>0</v>
      </c>
    </row>
    <row r="516" spans="1:9" ht="14.25" customHeight="1" x14ac:dyDescent="0.25">
      <c r="A516" s="132" t="s">
        <v>241</v>
      </c>
      <c r="B516" s="132" t="s">
        <v>334</v>
      </c>
      <c r="C516" s="132">
        <v>20</v>
      </c>
      <c r="D516" s="132" t="str">
        <f t="shared" si="36"/>
        <v>1/2" Round Falcon 500 20</v>
      </c>
      <c r="E516" s="132">
        <v>1</v>
      </c>
      <c r="I516" s="132">
        <v>0</v>
      </c>
    </row>
    <row r="517" spans="1:9" ht="14.25" customHeight="1" x14ac:dyDescent="0.25">
      <c r="A517" s="132" t="s">
        <v>241</v>
      </c>
      <c r="B517" s="132" t="s">
        <v>334</v>
      </c>
      <c r="C517" s="132">
        <v>21</v>
      </c>
      <c r="D517" s="132" t="str">
        <f t="shared" si="36"/>
        <v>1/2" Round Falcon 500 21</v>
      </c>
      <c r="E517" s="132">
        <v>1</v>
      </c>
      <c r="I517" s="132">
        <v>0</v>
      </c>
    </row>
    <row r="518" spans="1:9" ht="14.25" customHeight="1" x14ac:dyDescent="0.25">
      <c r="A518" s="132" t="s">
        <v>241</v>
      </c>
      <c r="B518" s="132" t="s">
        <v>334</v>
      </c>
      <c r="C518" s="132">
        <v>25</v>
      </c>
      <c r="D518" s="132" t="str">
        <f t="shared" si="36"/>
        <v>1/2" Round Falcon 500 25</v>
      </c>
      <c r="E518" s="132">
        <v>1</v>
      </c>
      <c r="I518" s="132">
        <v>0</v>
      </c>
    </row>
    <row r="519" spans="1:9" ht="14.25" customHeight="1" x14ac:dyDescent="0.25">
      <c r="A519" s="132" t="s">
        <v>241</v>
      </c>
      <c r="B519" s="132" t="s">
        <v>334</v>
      </c>
      <c r="C519" s="132">
        <v>27</v>
      </c>
      <c r="D519" s="132" t="str">
        <f t="shared" si="36"/>
        <v>1/2" Round Falcon 500 27</v>
      </c>
      <c r="E519" s="132">
        <v>1</v>
      </c>
      <c r="I519" s="132">
        <v>0</v>
      </c>
    </row>
    <row r="520" spans="1:9" ht="14.25" customHeight="1" x14ac:dyDescent="0.25">
      <c r="A520" s="132" t="s">
        <v>241</v>
      </c>
      <c r="B520" s="132" t="s">
        <v>334</v>
      </c>
      <c r="C520" s="132">
        <v>28</v>
      </c>
      <c r="D520" s="132" t="str">
        <f t="shared" si="36"/>
        <v>1/2" Round Falcon 500 28</v>
      </c>
      <c r="E520" s="132">
        <v>0</v>
      </c>
      <c r="I520" s="132">
        <v>0</v>
      </c>
    </row>
    <row r="521" spans="1:9" ht="14.25" customHeight="1" x14ac:dyDescent="0.25">
      <c r="A521" s="132" t="s">
        <v>241</v>
      </c>
      <c r="B521" s="132" t="s">
        <v>334</v>
      </c>
      <c r="C521" s="132">
        <v>30</v>
      </c>
      <c r="D521" s="132" t="str">
        <f t="shared" si="36"/>
        <v>1/2" Round Falcon 500 30</v>
      </c>
      <c r="E521" s="132">
        <v>0</v>
      </c>
      <c r="I521" s="132">
        <v>0</v>
      </c>
    </row>
    <row r="522" spans="1:9" ht="14.25" customHeight="1" x14ac:dyDescent="0.25">
      <c r="A522" s="132" t="s">
        <v>241</v>
      </c>
      <c r="B522" s="132" t="s">
        <v>334</v>
      </c>
      <c r="C522" s="132">
        <v>35</v>
      </c>
      <c r="D522" s="132" t="str">
        <f t="shared" si="36"/>
        <v>1/2" Round Falcon 500 35</v>
      </c>
      <c r="E522" s="132">
        <v>0</v>
      </c>
      <c r="I522" s="132">
        <v>0</v>
      </c>
    </row>
    <row r="523" spans="1:9" ht="14.25" customHeight="1" x14ac:dyDescent="0.25">
      <c r="A523" s="132" t="s">
        <v>241</v>
      </c>
      <c r="B523" s="132" t="s">
        <v>334</v>
      </c>
      <c r="C523" s="132">
        <v>36</v>
      </c>
      <c r="D523" s="132" t="str">
        <f t="shared" si="36"/>
        <v>1/2" Round Falcon 500 36</v>
      </c>
      <c r="E523" s="132">
        <v>0</v>
      </c>
      <c r="I523" s="132">
        <v>0</v>
      </c>
    </row>
    <row r="524" spans="1:9" ht="14.25" customHeight="1" x14ac:dyDescent="0.25">
      <c r="A524" s="132" t="s">
        <v>241</v>
      </c>
      <c r="B524" s="132" t="s">
        <v>334</v>
      </c>
      <c r="C524" s="132">
        <v>40</v>
      </c>
      <c r="D524" s="132" t="str">
        <f t="shared" si="36"/>
        <v>1/2" Round Falcon 500 40</v>
      </c>
      <c r="E524" s="132">
        <v>0</v>
      </c>
      <c r="I524" s="132">
        <v>0</v>
      </c>
    </row>
    <row r="525" spans="1:9" ht="14.25" customHeight="1" x14ac:dyDescent="0.25">
      <c r="A525" s="132" t="s">
        <v>241</v>
      </c>
      <c r="B525" s="132" t="s">
        <v>334</v>
      </c>
      <c r="C525" s="132">
        <v>45</v>
      </c>
      <c r="D525" s="132" t="str">
        <f t="shared" si="36"/>
        <v>1/2" Round Falcon 500 45</v>
      </c>
      <c r="E525" s="132">
        <v>0</v>
      </c>
      <c r="I525" s="132">
        <v>0</v>
      </c>
    </row>
    <row r="526" spans="1:9" ht="14.25" customHeight="1" x14ac:dyDescent="0.25">
      <c r="A526" s="132" t="s">
        <v>241</v>
      </c>
      <c r="B526" s="132" t="s">
        <v>334</v>
      </c>
      <c r="C526" s="132">
        <v>49</v>
      </c>
      <c r="D526" s="132" t="str">
        <f t="shared" si="36"/>
        <v>1/2" Round Falcon 500 49</v>
      </c>
      <c r="E526" s="132">
        <v>0</v>
      </c>
      <c r="I526" s="132">
        <v>0</v>
      </c>
    </row>
    <row r="527" spans="1:9" ht="14.25" customHeight="1" x14ac:dyDescent="0.25">
      <c r="A527" s="132" t="s">
        <v>241</v>
      </c>
      <c r="B527" s="132" t="s">
        <v>334</v>
      </c>
      <c r="C527" s="132">
        <v>50</v>
      </c>
      <c r="D527" s="132" t="str">
        <f t="shared" si="36"/>
        <v>1/2" Round Falcon 500 50</v>
      </c>
      <c r="E527" s="132">
        <v>0</v>
      </c>
      <c r="I527" s="132">
        <v>0</v>
      </c>
    </row>
    <row r="528" spans="1:9" ht="14.25" customHeight="1" x14ac:dyDescent="0.25">
      <c r="A528" s="132" t="s">
        <v>241</v>
      </c>
      <c r="B528" s="132" t="s">
        <v>334</v>
      </c>
      <c r="C528" s="132">
        <v>63</v>
      </c>
      <c r="D528" s="132" t="str">
        <f t="shared" si="36"/>
        <v>1/2" Round Falcon 500 63</v>
      </c>
      <c r="E528" s="132">
        <v>0</v>
      </c>
      <c r="I528" s="132">
        <v>0</v>
      </c>
    </row>
    <row r="529" spans="1:9" ht="14.25" customHeight="1" x14ac:dyDescent="0.25">
      <c r="A529" s="132" t="s">
        <v>241</v>
      </c>
      <c r="B529" s="132" t="s">
        <v>334</v>
      </c>
      <c r="C529" s="132">
        <v>70</v>
      </c>
      <c r="D529" s="132" t="str">
        <f t="shared" si="36"/>
        <v>1/2" Round Falcon 500 70</v>
      </c>
      <c r="E529" s="132">
        <v>0</v>
      </c>
      <c r="I529" s="132">
        <v>0</v>
      </c>
    </row>
    <row r="530" spans="1:9" ht="14.25" customHeight="1" x14ac:dyDescent="0.25">
      <c r="A530" s="132" t="s">
        <v>241</v>
      </c>
      <c r="B530" s="132" t="s">
        <v>334</v>
      </c>
      <c r="C530" s="132">
        <v>81</v>
      </c>
      <c r="D530" s="132" t="str">
        <f t="shared" si="36"/>
        <v>1/2" Round Falcon 500 81</v>
      </c>
      <c r="E530" s="132">
        <v>0</v>
      </c>
      <c r="I530" s="132">
        <v>0</v>
      </c>
    </row>
    <row r="531" spans="1:9" ht="14.25" customHeight="1" x14ac:dyDescent="0.25">
      <c r="A531" s="132" t="s">
        <v>241</v>
      </c>
      <c r="B531" s="132" t="s">
        <v>334</v>
      </c>
      <c r="C531" s="132">
        <v>90</v>
      </c>
      <c r="D531" s="132" t="str">
        <f t="shared" si="36"/>
        <v>1/2" Round Falcon 500 90</v>
      </c>
      <c r="E531" s="132">
        <v>0</v>
      </c>
      <c r="I531" s="132">
        <v>0</v>
      </c>
    </row>
    <row r="532" spans="1:9" ht="14.25" customHeight="1" x14ac:dyDescent="0.25">
      <c r="A532" s="132" t="s">
        <v>241</v>
      </c>
      <c r="B532" s="132" t="s">
        <v>334</v>
      </c>
      <c r="C532" s="132">
        <v>100</v>
      </c>
      <c r="D532" s="132" t="str">
        <f t="shared" si="36"/>
        <v>1/2" Round Falcon 500 100</v>
      </c>
      <c r="E532" s="132">
        <v>0</v>
      </c>
      <c r="I532" s="132">
        <v>0</v>
      </c>
    </row>
    <row r="533" spans="1:9" ht="14.25" customHeight="1" x14ac:dyDescent="0.25">
      <c r="A533" s="132" t="s">
        <v>244</v>
      </c>
      <c r="B533" s="132" t="s">
        <v>11</v>
      </c>
      <c r="C533" s="132">
        <v>-3</v>
      </c>
      <c r="D533" s="132" t="str">
        <f t="shared" ref="D533:D538" si="37">A533&amp;" "&amp;B533&amp;" "&amp;C533</f>
        <v>3/8" Hex AM 9015 -3</v>
      </c>
      <c r="E533" s="132">
        <v>1</v>
      </c>
      <c r="I533" s="132">
        <v>1</v>
      </c>
    </row>
    <row r="534" spans="1:9" ht="14.25" customHeight="1" x14ac:dyDescent="0.25">
      <c r="A534" s="132" t="s">
        <v>244</v>
      </c>
      <c r="B534" s="132" t="s">
        <v>11</v>
      </c>
      <c r="C534" s="132">
        <v>-4</v>
      </c>
      <c r="D534" s="132" t="str">
        <f t="shared" si="37"/>
        <v>3/8" Hex AM 9015 -4</v>
      </c>
      <c r="E534" s="132">
        <v>1</v>
      </c>
      <c r="I534" s="132">
        <v>1</v>
      </c>
    </row>
    <row r="535" spans="1:9" ht="14.25" customHeight="1" x14ac:dyDescent="0.25">
      <c r="A535" s="132" t="s">
        <v>244</v>
      </c>
      <c r="B535" s="132" t="s">
        <v>11</v>
      </c>
      <c r="C535" s="132">
        <v>-5</v>
      </c>
      <c r="D535" s="132" t="str">
        <f t="shared" si="37"/>
        <v>3/8" Hex AM 9015 -5</v>
      </c>
      <c r="E535" s="132">
        <v>1</v>
      </c>
      <c r="I535" s="132">
        <v>1</v>
      </c>
    </row>
    <row r="536" spans="1:9" ht="14.25" customHeight="1" x14ac:dyDescent="0.25">
      <c r="A536" s="132" t="s">
        <v>244</v>
      </c>
      <c r="B536" s="132" t="s">
        <v>11</v>
      </c>
      <c r="C536" s="132">
        <v>-7</v>
      </c>
      <c r="D536" s="132" t="str">
        <f t="shared" si="37"/>
        <v>3/8" Hex AM 9015 -7</v>
      </c>
      <c r="E536" s="132">
        <v>1</v>
      </c>
      <c r="I536" s="132">
        <v>1</v>
      </c>
    </row>
    <row r="537" spans="1:9" ht="14.25" customHeight="1" x14ac:dyDescent="0.25">
      <c r="A537" s="132" t="s">
        <v>244</v>
      </c>
      <c r="B537" s="132" t="s">
        <v>11</v>
      </c>
      <c r="C537" s="132">
        <v>-9</v>
      </c>
      <c r="D537" s="132" t="str">
        <f t="shared" si="37"/>
        <v>3/8" Hex AM 9015 -9</v>
      </c>
      <c r="E537" s="132">
        <v>1</v>
      </c>
      <c r="I537" s="132">
        <v>1</v>
      </c>
    </row>
    <row r="538" spans="1:9" ht="14.25" customHeight="1" x14ac:dyDescent="0.25">
      <c r="A538" s="132" t="s">
        <v>244</v>
      </c>
      <c r="B538" s="132" t="s">
        <v>11</v>
      </c>
      <c r="C538" s="132">
        <v>-10</v>
      </c>
      <c r="D538" s="132" t="str">
        <f t="shared" si="37"/>
        <v>3/8" Hex AM 9015 -10</v>
      </c>
      <c r="E538" s="132">
        <v>1</v>
      </c>
      <c r="I538" s="132">
        <v>1</v>
      </c>
    </row>
    <row r="539" spans="1:9" ht="14.25" customHeight="1" x14ac:dyDescent="0.25">
      <c r="A539" s="132" t="s">
        <v>244</v>
      </c>
      <c r="B539" s="132" t="s">
        <v>11</v>
      </c>
      <c r="C539" s="132">
        <v>9</v>
      </c>
      <c r="D539" s="132" t="str">
        <f t="shared" ref="D539:D559" si="38">A539&amp;" "&amp;B539&amp;" "&amp;C539</f>
        <v>3/8" Hex AM 9015 9</v>
      </c>
      <c r="E539" s="132">
        <v>10</v>
      </c>
      <c r="I539" s="132">
        <v>10</v>
      </c>
    </row>
    <row r="540" spans="1:9" ht="14.25" customHeight="1" x14ac:dyDescent="0.25">
      <c r="A540" s="132" t="s">
        <v>244</v>
      </c>
      <c r="B540" s="132" t="s">
        <v>11</v>
      </c>
      <c r="C540" s="132">
        <v>12</v>
      </c>
      <c r="D540" s="132" t="str">
        <f t="shared" si="38"/>
        <v>3/8" Hex AM 9015 12</v>
      </c>
      <c r="E540" s="132">
        <v>10</v>
      </c>
      <c r="I540" s="132">
        <v>7</v>
      </c>
    </row>
    <row r="541" spans="1:9" ht="14.25" customHeight="1" x14ac:dyDescent="0.25">
      <c r="A541" s="132" t="s">
        <v>244</v>
      </c>
      <c r="B541" s="132" t="s">
        <v>11</v>
      </c>
      <c r="C541" s="132">
        <v>15</v>
      </c>
      <c r="D541" s="132" t="str">
        <f t="shared" si="38"/>
        <v>3/8" Hex AM 9015 15</v>
      </c>
      <c r="E541" s="132">
        <v>7</v>
      </c>
      <c r="I541" s="132">
        <v>5</v>
      </c>
    </row>
    <row r="542" spans="1:9" ht="14.25" customHeight="1" x14ac:dyDescent="0.25">
      <c r="A542" s="132" t="s">
        <v>244</v>
      </c>
      <c r="B542" s="132" t="s">
        <v>11</v>
      </c>
      <c r="C542" s="132">
        <v>16</v>
      </c>
      <c r="D542" s="132" t="str">
        <f t="shared" si="38"/>
        <v>3/8" Hex AM 9015 16</v>
      </c>
      <c r="E542" s="132">
        <v>7</v>
      </c>
      <c r="I542" s="132">
        <v>5</v>
      </c>
    </row>
    <row r="543" spans="1:9" ht="14.25" customHeight="1" x14ac:dyDescent="0.25">
      <c r="A543" s="132" t="s">
        <v>244</v>
      </c>
      <c r="B543" s="132" t="s">
        <v>11</v>
      </c>
      <c r="C543" s="132">
        <v>20</v>
      </c>
      <c r="D543" s="132" t="str">
        <f t="shared" si="38"/>
        <v>3/8" Hex AM 9015 20</v>
      </c>
      <c r="E543" s="132">
        <v>5</v>
      </c>
      <c r="I543" s="132">
        <v>4</v>
      </c>
    </row>
    <row r="544" spans="1:9" ht="14.25" customHeight="1" x14ac:dyDescent="0.25">
      <c r="A544" s="132" t="s">
        <v>244</v>
      </c>
      <c r="B544" s="132" t="s">
        <v>11</v>
      </c>
      <c r="C544" s="132">
        <v>21</v>
      </c>
      <c r="D544" s="132" t="str">
        <f t="shared" si="38"/>
        <v>3/8" Hex AM 9015 21</v>
      </c>
      <c r="E544" s="132">
        <v>5</v>
      </c>
      <c r="I544" s="132">
        <v>4</v>
      </c>
    </row>
    <row r="545" spans="1:9" ht="14.25" customHeight="1" x14ac:dyDescent="0.25">
      <c r="A545" s="132" t="s">
        <v>244</v>
      </c>
      <c r="B545" s="132" t="s">
        <v>11</v>
      </c>
      <c r="C545" s="132">
        <v>25</v>
      </c>
      <c r="D545" s="132" t="str">
        <f t="shared" si="38"/>
        <v>3/8" Hex AM 9015 25</v>
      </c>
      <c r="E545" s="132">
        <v>5</v>
      </c>
      <c r="I545" s="132">
        <v>3</v>
      </c>
    </row>
    <row r="546" spans="1:9" ht="14.25" customHeight="1" x14ac:dyDescent="0.25">
      <c r="A546" s="132" t="s">
        <v>244</v>
      </c>
      <c r="B546" s="132" t="s">
        <v>11</v>
      </c>
      <c r="C546" s="132">
        <v>27</v>
      </c>
      <c r="D546" s="132" t="str">
        <f t="shared" si="38"/>
        <v>3/8" Hex AM 9015 27</v>
      </c>
      <c r="E546" s="132">
        <v>4</v>
      </c>
      <c r="I546" s="132">
        <v>3</v>
      </c>
    </row>
    <row r="547" spans="1:9" ht="14.25" customHeight="1" x14ac:dyDescent="0.25">
      <c r="A547" s="132" t="s">
        <v>244</v>
      </c>
      <c r="B547" s="132" t="s">
        <v>11</v>
      </c>
      <c r="C547" s="132">
        <v>28</v>
      </c>
      <c r="D547" s="132" t="str">
        <f t="shared" si="38"/>
        <v>3/8" Hex AM 9015 28</v>
      </c>
      <c r="E547" s="132">
        <v>4</v>
      </c>
      <c r="I547" s="132">
        <v>3</v>
      </c>
    </row>
    <row r="548" spans="1:9" ht="14.25" customHeight="1" x14ac:dyDescent="0.25">
      <c r="A548" s="132" t="s">
        <v>244</v>
      </c>
      <c r="B548" s="132" t="s">
        <v>11</v>
      </c>
      <c r="C548" s="132">
        <v>30</v>
      </c>
      <c r="D548" s="132" t="str">
        <f t="shared" si="38"/>
        <v>3/8" Hex AM 9015 30</v>
      </c>
      <c r="E548" s="132">
        <v>4</v>
      </c>
      <c r="I548" s="132">
        <v>3</v>
      </c>
    </row>
    <row r="549" spans="1:9" ht="14.25" customHeight="1" x14ac:dyDescent="0.25">
      <c r="A549" s="132" t="s">
        <v>244</v>
      </c>
      <c r="B549" s="132" t="s">
        <v>11</v>
      </c>
      <c r="C549" s="132">
        <v>35</v>
      </c>
      <c r="D549" s="132" t="str">
        <f t="shared" si="38"/>
        <v>3/8" Hex AM 9015 35</v>
      </c>
      <c r="E549" s="132">
        <v>3</v>
      </c>
      <c r="I549" s="132">
        <v>1</v>
      </c>
    </row>
    <row r="550" spans="1:9" ht="14.25" customHeight="1" x14ac:dyDescent="0.25">
      <c r="A550" s="132" t="s">
        <v>244</v>
      </c>
      <c r="B550" s="132" t="s">
        <v>11</v>
      </c>
      <c r="C550" s="132">
        <v>36</v>
      </c>
      <c r="D550" s="132" t="str">
        <f t="shared" si="38"/>
        <v>3/8" Hex AM 9015 36</v>
      </c>
      <c r="E550" s="132">
        <v>3</v>
      </c>
      <c r="I550" s="132">
        <v>1</v>
      </c>
    </row>
    <row r="551" spans="1:9" ht="14.25" customHeight="1" x14ac:dyDescent="0.25">
      <c r="A551" s="132" t="s">
        <v>244</v>
      </c>
      <c r="B551" s="132" t="s">
        <v>11</v>
      </c>
      <c r="C551" s="132">
        <v>40</v>
      </c>
      <c r="D551" s="132" t="str">
        <f t="shared" si="38"/>
        <v>3/8" Hex AM 9015 40</v>
      </c>
      <c r="E551" s="132">
        <v>3</v>
      </c>
      <c r="I551" s="132">
        <v>1</v>
      </c>
    </row>
    <row r="552" spans="1:9" ht="14.25" customHeight="1" x14ac:dyDescent="0.25">
      <c r="A552" s="132" t="s">
        <v>244</v>
      </c>
      <c r="B552" s="132" t="s">
        <v>11</v>
      </c>
      <c r="C552" s="132">
        <v>45</v>
      </c>
      <c r="D552" s="132" t="str">
        <f t="shared" si="38"/>
        <v>3/8" Hex AM 9015 45</v>
      </c>
      <c r="E552" s="132">
        <v>1</v>
      </c>
      <c r="I552" s="132">
        <v>1</v>
      </c>
    </row>
    <row r="553" spans="1:9" ht="14.25" customHeight="1" x14ac:dyDescent="0.25">
      <c r="A553" s="132" t="s">
        <v>244</v>
      </c>
      <c r="B553" s="132" t="s">
        <v>11</v>
      </c>
      <c r="C553" s="132">
        <v>49</v>
      </c>
      <c r="D553" s="132" t="str">
        <f t="shared" si="38"/>
        <v>3/8" Hex AM 9015 49</v>
      </c>
      <c r="E553" s="132">
        <v>1</v>
      </c>
      <c r="I553" s="132">
        <v>1</v>
      </c>
    </row>
    <row r="554" spans="1:9" ht="14.25" customHeight="1" x14ac:dyDescent="0.25">
      <c r="A554" s="132" t="s">
        <v>244</v>
      </c>
      <c r="B554" s="132" t="s">
        <v>11</v>
      </c>
      <c r="C554" s="132">
        <v>50</v>
      </c>
      <c r="D554" s="132" t="str">
        <f t="shared" si="38"/>
        <v>3/8" Hex AM 9015 50</v>
      </c>
      <c r="E554" s="132">
        <v>1</v>
      </c>
      <c r="I554" s="132">
        <v>1</v>
      </c>
    </row>
    <row r="555" spans="1:9" ht="14.25" customHeight="1" x14ac:dyDescent="0.25">
      <c r="A555" s="132" t="s">
        <v>244</v>
      </c>
      <c r="B555" s="132" t="s">
        <v>11</v>
      </c>
      <c r="C555" s="132">
        <v>63</v>
      </c>
      <c r="D555" s="132" t="str">
        <f t="shared" si="38"/>
        <v>3/8" Hex AM 9015 63</v>
      </c>
      <c r="E555" s="132">
        <v>1</v>
      </c>
      <c r="I555" s="132">
        <v>1</v>
      </c>
    </row>
    <row r="556" spans="1:9" ht="14.25" customHeight="1" x14ac:dyDescent="0.25">
      <c r="A556" s="132" t="s">
        <v>244</v>
      </c>
      <c r="B556" s="132" t="s">
        <v>11</v>
      </c>
      <c r="C556" s="132">
        <v>70</v>
      </c>
      <c r="D556" s="132" t="str">
        <f t="shared" si="38"/>
        <v>3/8" Hex AM 9015 70</v>
      </c>
      <c r="E556" s="132">
        <v>1</v>
      </c>
      <c r="I556" s="132">
        <v>1</v>
      </c>
    </row>
    <row r="557" spans="1:9" ht="14.25" customHeight="1" x14ac:dyDescent="0.25">
      <c r="A557" s="132" t="s">
        <v>244</v>
      </c>
      <c r="B557" s="132" t="s">
        <v>11</v>
      </c>
      <c r="C557" s="132">
        <v>81</v>
      </c>
      <c r="D557" s="132" t="str">
        <f t="shared" si="38"/>
        <v>3/8" Hex AM 9015 81</v>
      </c>
      <c r="E557" s="132">
        <v>1</v>
      </c>
      <c r="I557" s="132">
        <v>1</v>
      </c>
    </row>
    <row r="558" spans="1:9" ht="14.25" customHeight="1" x14ac:dyDescent="0.25">
      <c r="A558" s="132" t="s">
        <v>244</v>
      </c>
      <c r="B558" s="132" t="s">
        <v>11</v>
      </c>
      <c r="C558" s="132">
        <v>90</v>
      </c>
      <c r="D558" s="132" t="str">
        <f t="shared" si="38"/>
        <v>3/8" Hex AM 9015 90</v>
      </c>
      <c r="E558" s="132">
        <v>1</v>
      </c>
      <c r="I558" s="132">
        <v>1</v>
      </c>
    </row>
    <row r="559" spans="1:9" ht="14.25" customHeight="1" x14ac:dyDescent="0.25">
      <c r="A559" s="132" t="s">
        <v>244</v>
      </c>
      <c r="B559" s="132" t="s">
        <v>11</v>
      </c>
      <c r="C559" s="132">
        <v>100</v>
      </c>
      <c r="D559" s="132" t="str">
        <f t="shared" si="38"/>
        <v>3/8" Hex AM 9015 100</v>
      </c>
      <c r="E559" s="132">
        <v>1</v>
      </c>
      <c r="I559" s="132">
        <v>0</v>
      </c>
    </row>
    <row r="560" spans="1:9" ht="14.25" customHeight="1" x14ac:dyDescent="0.25">
      <c r="A560" s="132" t="s">
        <v>244</v>
      </c>
      <c r="B560" s="132" t="s">
        <v>327</v>
      </c>
      <c r="C560" s="132">
        <v>-3</v>
      </c>
      <c r="D560" s="132" t="str">
        <f t="shared" ref="D560:D565" si="39">A560&amp;" "&amp;B560&amp;" "&amp;C560</f>
        <v>3/8" Hex BB RS-550 -3</v>
      </c>
      <c r="E560" s="132">
        <v>1</v>
      </c>
      <c r="F560" s="132">
        <v>1</v>
      </c>
      <c r="G560" s="132">
        <v>1</v>
      </c>
      <c r="H560" s="132">
        <v>1</v>
      </c>
      <c r="I560" s="132">
        <v>1</v>
      </c>
    </row>
    <row r="561" spans="1:9" ht="14.25" customHeight="1" x14ac:dyDescent="0.25">
      <c r="A561" s="132" t="s">
        <v>244</v>
      </c>
      <c r="B561" s="132" t="s">
        <v>327</v>
      </c>
      <c r="C561" s="132">
        <v>-4</v>
      </c>
      <c r="D561" s="132" t="str">
        <f t="shared" si="39"/>
        <v>3/8" Hex BB RS-550 -4</v>
      </c>
      <c r="E561" s="132">
        <v>1</v>
      </c>
      <c r="F561" s="132">
        <v>1</v>
      </c>
      <c r="G561" s="132">
        <v>1</v>
      </c>
      <c r="H561" s="132">
        <v>1</v>
      </c>
      <c r="I561" s="132">
        <v>1</v>
      </c>
    </row>
    <row r="562" spans="1:9" ht="14.25" customHeight="1" x14ac:dyDescent="0.25">
      <c r="A562" s="132" t="s">
        <v>244</v>
      </c>
      <c r="B562" s="132" t="s">
        <v>327</v>
      </c>
      <c r="C562" s="132">
        <v>-5</v>
      </c>
      <c r="D562" s="132" t="str">
        <f t="shared" si="39"/>
        <v>3/8" Hex BB RS-550 -5</v>
      </c>
      <c r="E562" s="132">
        <v>1</v>
      </c>
      <c r="F562" s="132">
        <v>1</v>
      </c>
      <c r="G562" s="132">
        <v>0</v>
      </c>
      <c r="H562" s="132">
        <v>1</v>
      </c>
      <c r="I562" s="132">
        <v>1</v>
      </c>
    </row>
    <row r="563" spans="1:9" ht="14.25" customHeight="1" x14ac:dyDescent="0.25">
      <c r="A563" s="132" t="s">
        <v>244</v>
      </c>
      <c r="B563" s="132" t="s">
        <v>327</v>
      </c>
      <c r="C563" s="132">
        <v>-7</v>
      </c>
      <c r="D563" s="132" t="str">
        <f t="shared" si="39"/>
        <v>3/8" Hex BB RS-550 -7</v>
      </c>
      <c r="E563" s="132">
        <v>1</v>
      </c>
      <c r="F563" s="132">
        <v>1</v>
      </c>
      <c r="G563" s="132">
        <v>0</v>
      </c>
      <c r="H563" s="132">
        <v>0</v>
      </c>
      <c r="I563" s="132">
        <v>1</v>
      </c>
    </row>
    <row r="564" spans="1:9" ht="14.25" customHeight="1" x14ac:dyDescent="0.25">
      <c r="A564" s="132" t="s">
        <v>244</v>
      </c>
      <c r="B564" s="132" t="s">
        <v>327</v>
      </c>
      <c r="C564" s="132">
        <v>-9</v>
      </c>
      <c r="D564" s="132" t="str">
        <f t="shared" si="39"/>
        <v>3/8" Hex BB RS-550 -9</v>
      </c>
      <c r="E564" s="132">
        <v>1</v>
      </c>
      <c r="F564" s="132">
        <v>1</v>
      </c>
      <c r="G564" s="132">
        <v>0</v>
      </c>
      <c r="H564" s="132">
        <v>0</v>
      </c>
      <c r="I564" s="132">
        <v>1</v>
      </c>
    </row>
    <row r="565" spans="1:9" ht="14.25" customHeight="1" x14ac:dyDescent="0.25">
      <c r="A565" s="132" t="s">
        <v>244</v>
      </c>
      <c r="B565" s="132" t="s">
        <v>327</v>
      </c>
      <c r="C565" s="132">
        <v>-10</v>
      </c>
      <c r="D565" s="132" t="str">
        <f t="shared" si="39"/>
        <v>3/8" Hex BB RS-550 -10</v>
      </c>
      <c r="E565" s="132">
        <v>1</v>
      </c>
      <c r="F565" s="132">
        <v>1</v>
      </c>
      <c r="G565" s="132">
        <v>0</v>
      </c>
      <c r="H565" s="132">
        <v>0</v>
      </c>
      <c r="I565" s="132">
        <v>1</v>
      </c>
    </row>
    <row r="566" spans="1:9" ht="14.25" customHeight="1" x14ac:dyDescent="0.25">
      <c r="A566" s="132" t="s">
        <v>244</v>
      </c>
      <c r="B566" s="132" t="s">
        <v>327</v>
      </c>
      <c r="C566" s="132">
        <v>9</v>
      </c>
      <c r="D566" s="132" t="str">
        <f t="shared" ref="D566:D586" si="40">A566&amp;" "&amp;B566&amp;" "&amp;C566</f>
        <v>3/8" Hex BB RS-550 9</v>
      </c>
      <c r="E566" s="132">
        <v>10</v>
      </c>
      <c r="F566" s="132">
        <v>5</v>
      </c>
      <c r="G566" s="132">
        <v>0</v>
      </c>
      <c r="H566" s="132">
        <v>0</v>
      </c>
      <c r="I566" s="132">
        <v>10</v>
      </c>
    </row>
    <row r="567" spans="1:9" ht="14.25" customHeight="1" x14ac:dyDescent="0.25">
      <c r="A567" s="132" t="s">
        <v>244</v>
      </c>
      <c r="B567" s="132" t="s">
        <v>327</v>
      </c>
      <c r="C567" s="132">
        <v>12</v>
      </c>
      <c r="D567" s="132" t="str">
        <f t="shared" si="40"/>
        <v>3/8" Hex BB RS-550 12</v>
      </c>
      <c r="E567" s="132">
        <v>9</v>
      </c>
      <c r="F567" s="132">
        <v>4</v>
      </c>
      <c r="G567" s="132">
        <v>0</v>
      </c>
      <c r="H567" s="132">
        <v>0</v>
      </c>
      <c r="I567" s="132">
        <v>7</v>
      </c>
    </row>
    <row r="568" spans="1:9" ht="14.25" customHeight="1" x14ac:dyDescent="0.25">
      <c r="A568" s="132" t="s">
        <v>244</v>
      </c>
      <c r="B568" s="132" t="s">
        <v>327</v>
      </c>
      <c r="C568" s="132">
        <v>15</v>
      </c>
      <c r="D568" s="132" t="str">
        <f t="shared" si="40"/>
        <v>3/8" Hex BB RS-550 15</v>
      </c>
      <c r="E568" s="132">
        <v>7</v>
      </c>
      <c r="F568" s="132">
        <v>3</v>
      </c>
      <c r="G568" s="132">
        <v>0</v>
      </c>
      <c r="H568" s="132">
        <v>0</v>
      </c>
      <c r="I568" s="132">
        <v>5</v>
      </c>
    </row>
    <row r="569" spans="1:9" ht="14.25" customHeight="1" x14ac:dyDescent="0.25">
      <c r="A569" s="132" t="s">
        <v>244</v>
      </c>
      <c r="B569" s="132" t="s">
        <v>327</v>
      </c>
      <c r="C569" s="132">
        <v>16</v>
      </c>
      <c r="D569" s="132" t="str">
        <f t="shared" si="40"/>
        <v>3/8" Hex BB RS-550 16</v>
      </c>
      <c r="E569" s="132">
        <v>7</v>
      </c>
      <c r="F569" s="132">
        <v>3</v>
      </c>
      <c r="G569" s="132">
        <v>0</v>
      </c>
      <c r="H569" s="132">
        <v>0</v>
      </c>
      <c r="I569" s="132">
        <v>5</v>
      </c>
    </row>
    <row r="570" spans="1:9" ht="14.25" customHeight="1" x14ac:dyDescent="0.25">
      <c r="A570" s="132" t="s">
        <v>244</v>
      </c>
      <c r="B570" s="132" t="s">
        <v>327</v>
      </c>
      <c r="C570" s="132">
        <v>20</v>
      </c>
      <c r="D570" s="132" t="str">
        <f t="shared" si="40"/>
        <v>3/8" Hex BB RS-550 20</v>
      </c>
      <c r="E570" s="132">
        <v>5</v>
      </c>
      <c r="F570" s="132">
        <v>1</v>
      </c>
      <c r="G570" s="132">
        <v>0</v>
      </c>
      <c r="H570" s="132">
        <v>0</v>
      </c>
      <c r="I570" s="132">
        <v>4</v>
      </c>
    </row>
    <row r="571" spans="1:9" ht="14.25" customHeight="1" x14ac:dyDescent="0.25">
      <c r="A571" s="132" t="s">
        <v>244</v>
      </c>
      <c r="B571" s="132" t="s">
        <v>327</v>
      </c>
      <c r="C571" s="132">
        <v>21</v>
      </c>
      <c r="D571" s="132" t="str">
        <f t="shared" si="40"/>
        <v>3/8" Hex BB RS-550 21</v>
      </c>
      <c r="E571" s="132">
        <v>5</v>
      </c>
      <c r="F571" s="132">
        <v>1</v>
      </c>
      <c r="G571" s="132">
        <v>0</v>
      </c>
      <c r="H571" s="132">
        <v>0</v>
      </c>
      <c r="I571" s="132">
        <v>4</v>
      </c>
    </row>
    <row r="572" spans="1:9" ht="14.25" customHeight="1" x14ac:dyDescent="0.25">
      <c r="A572" s="132" t="s">
        <v>244</v>
      </c>
      <c r="B572" s="132" t="s">
        <v>327</v>
      </c>
      <c r="C572" s="132">
        <v>25</v>
      </c>
      <c r="D572" s="132" t="str">
        <f t="shared" si="40"/>
        <v>3/8" Hex BB RS-550 25</v>
      </c>
      <c r="E572" s="132">
        <v>4</v>
      </c>
      <c r="F572" s="132">
        <v>1</v>
      </c>
      <c r="G572" s="132">
        <v>0</v>
      </c>
      <c r="H572" s="132">
        <v>0</v>
      </c>
      <c r="I572" s="132">
        <v>3</v>
      </c>
    </row>
    <row r="573" spans="1:9" ht="14.25" customHeight="1" x14ac:dyDescent="0.25">
      <c r="A573" s="132" t="s">
        <v>244</v>
      </c>
      <c r="B573" s="132" t="s">
        <v>327</v>
      </c>
      <c r="C573" s="132">
        <v>27</v>
      </c>
      <c r="D573" s="132" t="str">
        <f t="shared" si="40"/>
        <v>3/8" Hex BB RS-550 27</v>
      </c>
      <c r="E573" s="132">
        <v>4</v>
      </c>
      <c r="F573" s="132">
        <v>1</v>
      </c>
      <c r="G573" s="132">
        <v>0</v>
      </c>
      <c r="H573" s="132">
        <v>0</v>
      </c>
      <c r="I573" s="132">
        <v>3</v>
      </c>
    </row>
    <row r="574" spans="1:9" ht="14.25" customHeight="1" x14ac:dyDescent="0.25">
      <c r="A574" s="132" t="s">
        <v>244</v>
      </c>
      <c r="B574" s="132" t="s">
        <v>327</v>
      </c>
      <c r="C574" s="132">
        <v>28</v>
      </c>
      <c r="D574" s="132" t="str">
        <f t="shared" si="40"/>
        <v>3/8" Hex BB RS-550 28</v>
      </c>
      <c r="E574" s="132">
        <v>4</v>
      </c>
      <c r="F574" s="132">
        <v>1</v>
      </c>
      <c r="G574" s="132">
        <v>0</v>
      </c>
      <c r="H574" s="132">
        <v>0</v>
      </c>
      <c r="I574" s="132">
        <v>3</v>
      </c>
    </row>
    <row r="575" spans="1:9" ht="14.25" customHeight="1" x14ac:dyDescent="0.25">
      <c r="A575" s="132" t="s">
        <v>244</v>
      </c>
      <c r="B575" s="132" t="s">
        <v>327</v>
      </c>
      <c r="C575" s="132">
        <v>30</v>
      </c>
      <c r="D575" s="132" t="str">
        <f t="shared" si="40"/>
        <v>3/8" Hex BB RS-550 30</v>
      </c>
      <c r="E575" s="132">
        <v>3</v>
      </c>
      <c r="F575" s="132">
        <v>1</v>
      </c>
      <c r="G575" s="132">
        <v>0</v>
      </c>
      <c r="H575" s="132">
        <v>0</v>
      </c>
      <c r="I575" s="132">
        <v>3</v>
      </c>
    </row>
    <row r="576" spans="1:9" ht="14.25" customHeight="1" x14ac:dyDescent="0.25">
      <c r="A576" s="132" t="s">
        <v>244</v>
      </c>
      <c r="B576" s="132" t="s">
        <v>327</v>
      </c>
      <c r="C576" s="132">
        <v>35</v>
      </c>
      <c r="D576" s="132" t="str">
        <f t="shared" si="40"/>
        <v>3/8" Hex BB RS-550 35</v>
      </c>
      <c r="E576" s="132">
        <v>3</v>
      </c>
      <c r="F576" s="132">
        <v>1</v>
      </c>
      <c r="G576" s="132">
        <v>0</v>
      </c>
      <c r="H576" s="132">
        <v>0</v>
      </c>
      <c r="I576" s="132">
        <v>1</v>
      </c>
    </row>
    <row r="577" spans="1:9" ht="14.25" customHeight="1" x14ac:dyDescent="0.25">
      <c r="A577" s="132" t="s">
        <v>244</v>
      </c>
      <c r="B577" s="132" t="s">
        <v>327</v>
      </c>
      <c r="C577" s="132">
        <v>36</v>
      </c>
      <c r="D577" s="132" t="str">
        <f t="shared" si="40"/>
        <v>3/8" Hex BB RS-550 36</v>
      </c>
      <c r="E577" s="132">
        <v>3</v>
      </c>
      <c r="F577" s="132">
        <v>1</v>
      </c>
      <c r="G577" s="132">
        <v>0</v>
      </c>
      <c r="H577" s="132">
        <v>0</v>
      </c>
      <c r="I577" s="132">
        <v>1</v>
      </c>
    </row>
    <row r="578" spans="1:9" ht="14.25" customHeight="1" x14ac:dyDescent="0.25">
      <c r="A578" s="132" t="s">
        <v>244</v>
      </c>
      <c r="B578" s="132" t="s">
        <v>327</v>
      </c>
      <c r="C578" s="132">
        <v>40</v>
      </c>
      <c r="D578" s="132" t="str">
        <f t="shared" si="40"/>
        <v>3/8" Hex BB RS-550 40</v>
      </c>
      <c r="E578" s="132">
        <v>1</v>
      </c>
      <c r="F578" s="132">
        <v>1</v>
      </c>
      <c r="G578" s="132">
        <v>0</v>
      </c>
      <c r="H578" s="132">
        <v>0</v>
      </c>
      <c r="I578" s="132">
        <v>5</v>
      </c>
    </row>
    <row r="579" spans="1:9" ht="14.25" customHeight="1" x14ac:dyDescent="0.25">
      <c r="A579" s="132" t="s">
        <v>244</v>
      </c>
      <c r="B579" s="132" t="s">
        <v>327</v>
      </c>
      <c r="C579" s="132">
        <v>45</v>
      </c>
      <c r="D579" s="132" t="str">
        <f t="shared" si="40"/>
        <v>3/8" Hex BB RS-550 45</v>
      </c>
      <c r="E579" s="132">
        <v>1</v>
      </c>
      <c r="F579" s="132">
        <v>1</v>
      </c>
      <c r="G579" s="132">
        <v>0</v>
      </c>
      <c r="H579" s="132">
        <v>0</v>
      </c>
      <c r="I579" s="132">
        <v>4</v>
      </c>
    </row>
    <row r="580" spans="1:9" ht="14.25" customHeight="1" x14ac:dyDescent="0.25">
      <c r="A580" s="132" t="s">
        <v>244</v>
      </c>
      <c r="B580" s="132" t="s">
        <v>327</v>
      </c>
      <c r="C580" s="132">
        <v>49</v>
      </c>
      <c r="D580" s="132" t="str">
        <f t="shared" si="40"/>
        <v>3/8" Hex BB RS-550 49</v>
      </c>
      <c r="E580" s="132">
        <v>1</v>
      </c>
      <c r="F580" s="132">
        <v>1</v>
      </c>
      <c r="G580" s="132">
        <v>0</v>
      </c>
      <c r="H580" s="132">
        <v>0</v>
      </c>
      <c r="I580" s="132">
        <v>4</v>
      </c>
    </row>
    <row r="581" spans="1:9" ht="14.25" customHeight="1" x14ac:dyDescent="0.25">
      <c r="A581" s="132" t="s">
        <v>244</v>
      </c>
      <c r="B581" s="132" t="s">
        <v>327</v>
      </c>
      <c r="C581" s="132">
        <v>50</v>
      </c>
      <c r="D581" s="132" t="str">
        <f t="shared" si="40"/>
        <v>3/8" Hex BB RS-550 50</v>
      </c>
      <c r="E581" s="132">
        <v>1</v>
      </c>
      <c r="F581" s="132">
        <v>1</v>
      </c>
      <c r="G581" s="132">
        <v>0</v>
      </c>
      <c r="H581" s="132">
        <v>0</v>
      </c>
      <c r="I581" s="132">
        <v>1</v>
      </c>
    </row>
    <row r="582" spans="1:9" ht="14.25" customHeight="1" x14ac:dyDescent="0.25">
      <c r="A582" s="132" t="s">
        <v>244</v>
      </c>
      <c r="B582" s="132" t="s">
        <v>327</v>
      </c>
      <c r="C582" s="132">
        <v>63</v>
      </c>
      <c r="D582" s="132" t="str">
        <f t="shared" si="40"/>
        <v>3/8" Hex BB RS-550 63</v>
      </c>
      <c r="E582" s="132">
        <v>1</v>
      </c>
      <c r="F582" s="132">
        <v>0</v>
      </c>
      <c r="G582" s="132">
        <v>0</v>
      </c>
      <c r="H582" s="132">
        <v>0</v>
      </c>
      <c r="I582" s="132">
        <v>1</v>
      </c>
    </row>
    <row r="583" spans="1:9" ht="14.25" customHeight="1" x14ac:dyDescent="0.25">
      <c r="A583" s="132" t="s">
        <v>244</v>
      </c>
      <c r="B583" s="132" t="s">
        <v>327</v>
      </c>
      <c r="C583" s="132">
        <v>70</v>
      </c>
      <c r="D583" s="132" t="str">
        <f t="shared" si="40"/>
        <v>3/8" Hex BB RS-550 70</v>
      </c>
      <c r="E583" s="132">
        <v>1</v>
      </c>
      <c r="F583" s="132">
        <v>0</v>
      </c>
      <c r="G583" s="132">
        <v>0</v>
      </c>
      <c r="H583" s="132">
        <v>0</v>
      </c>
      <c r="I583" s="132">
        <v>1</v>
      </c>
    </row>
    <row r="584" spans="1:9" ht="14.25" customHeight="1" x14ac:dyDescent="0.25">
      <c r="A584" s="132" t="s">
        <v>244</v>
      </c>
      <c r="B584" s="132" t="s">
        <v>327</v>
      </c>
      <c r="C584" s="132">
        <v>81</v>
      </c>
      <c r="D584" s="132" t="str">
        <f t="shared" si="40"/>
        <v>3/8" Hex BB RS-550 81</v>
      </c>
      <c r="E584" s="132">
        <v>1</v>
      </c>
      <c r="F584" s="132">
        <v>0</v>
      </c>
      <c r="G584" s="132">
        <v>0</v>
      </c>
      <c r="H584" s="132">
        <v>0</v>
      </c>
      <c r="I584" s="132">
        <v>1</v>
      </c>
    </row>
    <row r="585" spans="1:9" ht="14.25" customHeight="1" x14ac:dyDescent="0.25">
      <c r="A585" s="132" t="s">
        <v>244</v>
      </c>
      <c r="B585" s="132" t="s">
        <v>327</v>
      </c>
      <c r="C585" s="132">
        <v>90</v>
      </c>
      <c r="D585" s="132" t="str">
        <f t="shared" si="40"/>
        <v>3/8" Hex BB RS-550 90</v>
      </c>
      <c r="E585" s="132">
        <v>1</v>
      </c>
      <c r="F585" s="132">
        <v>0</v>
      </c>
      <c r="G585" s="132">
        <v>0</v>
      </c>
      <c r="H585" s="132">
        <v>0</v>
      </c>
      <c r="I585" s="132">
        <v>1</v>
      </c>
    </row>
    <row r="586" spans="1:9" ht="14.25" customHeight="1" x14ac:dyDescent="0.25">
      <c r="A586" s="132" t="s">
        <v>244</v>
      </c>
      <c r="B586" s="132" t="s">
        <v>327</v>
      </c>
      <c r="C586" s="132">
        <v>100</v>
      </c>
      <c r="D586" s="132" t="str">
        <f t="shared" si="40"/>
        <v>3/8" Hex BB RS-550 100</v>
      </c>
      <c r="E586" s="132">
        <v>1</v>
      </c>
      <c r="F586" s="132">
        <v>0</v>
      </c>
      <c r="G586" s="132">
        <v>0</v>
      </c>
      <c r="H586" s="132">
        <v>0</v>
      </c>
      <c r="I586" s="132">
        <v>0</v>
      </c>
    </row>
    <row r="587" spans="1:9" ht="14.25" customHeight="1" x14ac:dyDescent="0.25">
      <c r="A587" s="132" t="s">
        <v>244</v>
      </c>
      <c r="B587" s="132" t="s">
        <v>328</v>
      </c>
      <c r="C587" s="132">
        <v>-3</v>
      </c>
      <c r="D587" s="132" t="str">
        <f t="shared" ref="D587:D592" si="41">A587&amp;" "&amp;B587&amp;" "&amp;C587</f>
        <v>3/8" Hex BB RS-775 -3</v>
      </c>
      <c r="E587" s="132">
        <v>1</v>
      </c>
      <c r="F587" s="132">
        <v>1</v>
      </c>
      <c r="G587" s="132">
        <v>0</v>
      </c>
      <c r="H587" s="132">
        <v>0</v>
      </c>
      <c r="I587" s="132">
        <v>1</v>
      </c>
    </row>
    <row r="588" spans="1:9" ht="14.25" customHeight="1" x14ac:dyDescent="0.25">
      <c r="A588" s="132" t="s">
        <v>244</v>
      </c>
      <c r="B588" s="132" t="s">
        <v>328</v>
      </c>
      <c r="C588" s="132">
        <v>-4</v>
      </c>
      <c r="D588" s="132" t="str">
        <f t="shared" si="41"/>
        <v>3/8" Hex BB RS-775 -4</v>
      </c>
      <c r="E588" s="132">
        <v>1</v>
      </c>
      <c r="F588" s="132">
        <v>1</v>
      </c>
      <c r="G588" s="132">
        <v>0</v>
      </c>
      <c r="H588" s="132">
        <v>0</v>
      </c>
      <c r="I588" s="132">
        <v>1</v>
      </c>
    </row>
    <row r="589" spans="1:9" ht="14.25" customHeight="1" x14ac:dyDescent="0.25">
      <c r="A589" s="132" t="s">
        <v>244</v>
      </c>
      <c r="B589" s="132" t="s">
        <v>328</v>
      </c>
      <c r="C589" s="132">
        <v>-5</v>
      </c>
      <c r="D589" s="132" t="str">
        <f t="shared" si="41"/>
        <v>3/8" Hex BB RS-775 -5</v>
      </c>
      <c r="E589" s="132">
        <v>1</v>
      </c>
      <c r="F589" s="132">
        <v>1</v>
      </c>
      <c r="G589" s="132">
        <v>0</v>
      </c>
      <c r="H589" s="132">
        <v>0</v>
      </c>
      <c r="I589" s="132">
        <v>1</v>
      </c>
    </row>
    <row r="590" spans="1:9" ht="14.25" customHeight="1" x14ac:dyDescent="0.25">
      <c r="A590" s="132" t="s">
        <v>244</v>
      </c>
      <c r="B590" s="132" t="s">
        <v>328</v>
      </c>
      <c r="C590" s="132">
        <v>-7</v>
      </c>
      <c r="D590" s="132" t="str">
        <f t="shared" si="41"/>
        <v>3/8" Hex BB RS-775 -7</v>
      </c>
      <c r="E590" s="132">
        <v>1</v>
      </c>
      <c r="F590" s="132">
        <v>1</v>
      </c>
      <c r="G590" s="132">
        <v>0</v>
      </c>
      <c r="H590" s="132">
        <v>0</v>
      </c>
      <c r="I590" s="132">
        <v>1</v>
      </c>
    </row>
    <row r="591" spans="1:9" ht="14.25" customHeight="1" x14ac:dyDescent="0.25">
      <c r="A591" s="132" t="s">
        <v>244</v>
      </c>
      <c r="B591" s="132" t="s">
        <v>328</v>
      </c>
      <c r="C591" s="132">
        <v>-9</v>
      </c>
      <c r="D591" s="132" t="str">
        <f t="shared" si="41"/>
        <v>3/8" Hex BB RS-775 -9</v>
      </c>
      <c r="E591" s="132">
        <v>1</v>
      </c>
      <c r="F591" s="132">
        <v>1</v>
      </c>
      <c r="G591" s="132">
        <v>0</v>
      </c>
      <c r="H591" s="132">
        <v>0</v>
      </c>
      <c r="I591" s="132">
        <v>1</v>
      </c>
    </row>
    <row r="592" spans="1:9" ht="14.25" customHeight="1" x14ac:dyDescent="0.25">
      <c r="A592" s="132" t="s">
        <v>244</v>
      </c>
      <c r="B592" s="132" t="s">
        <v>328</v>
      </c>
      <c r="C592" s="132">
        <v>-10</v>
      </c>
      <c r="D592" s="132" t="str">
        <f t="shared" si="41"/>
        <v>3/8" Hex BB RS-775 -10</v>
      </c>
      <c r="E592" s="132">
        <v>1</v>
      </c>
      <c r="F592" s="132">
        <v>1</v>
      </c>
      <c r="G592" s="132">
        <v>0</v>
      </c>
      <c r="H592" s="132">
        <v>0</v>
      </c>
      <c r="I592" s="132">
        <v>1</v>
      </c>
    </row>
    <row r="593" spans="1:9" ht="14.25" customHeight="1" x14ac:dyDescent="0.25">
      <c r="A593" s="132" t="s">
        <v>244</v>
      </c>
      <c r="B593" s="132" t="s">
        <v>328</v>
      </c>
      <c r="C593" s="132">
        <v>9</v>
      </c>
      <c r="D593" s="132" t="str">
        <f t="shared" ref="D593:D613" si="42">A593&amp;" "&amp;B593&amp;" "&amp;C593</f>
        <v>3/8" Hex BB RS-775 9</v>
      </c>
      <c r="E593" s="132">
        <v>7</v>
      </c>
      <c r="F593" s="132">
        <v>3</v>
      </c>
      <c r="G593" s="132">
        <v>0</v>
      </c>
      <c r="H593" s="132">
        <v>0</v>
      </c>
      <c r="I593" s="132">
        <v>10</v>
      </c>
    </row>
    <row r="594" spans="1:9" ht="14.25" customHeight="1" x14ac:dyDescent="0.25">
      <c r="A594" s="132" t="s">
        <v>244</v>
      </c>
      <c r="B594" s="132" t="s">
        <v>328</v>
      </c>
      <c r="C594" s="132">
        <v>12</v>
      </c>
      <c r="D594" s="132" t="str">
        <f t="shared" si="42"/>
        <v>3/8" Hex BB RS-775 12</v>
      </c>
      <c r="E594" s="132">
        <v>5</v>
      </c>
      <c r="F594" s="132">
        <v>1</v>
      </c>
      <c r="G594" s="132">
        <v>0</v>
      </c>
      <c r="H594" s="132">
        <v>0</v>
      </c>
      <c r="I594" s="132">
        <v>10</v>
      </c>
    </row>
    <row r="595" spans="1:9" ht="14.25" customHeight="1" x14ac:dyDescent="0.25">
      <c r="A595" s="132" t="s">
        <v>244</v>
      </c>
      <c r="B595" s="132" t="s">
        <v>328</v>
      </c>
      <c r="C595" s="132">
        <v>15</v>
      </c>
      <c r="D595" s="132" t="str">
        <f t="shared" si="42"/>
        <v>3/8" Hex BB RS-775 15</v>
      </c>
      <c r="E595" s="132">
        <v>4</v>
      </c>
      <c r="F595" s="132">
        <v>1</v>
      </c>
      <c r="G595" s="132">
        <v>0</v>
      </c>
      <c r="H595" s="132">
        <v>0</v>
      </c>
      <c r="I595" s="132">
        <v>7</v>
      </c>
    </row>
    <row r="596" spans="1:9" ht="14.25" customHeight="1" x14ac:dyDescent="0.25">
      <c r="A596" s="132" t="s">
        <v>244</v>
      </c>
      <c r="B596" s="132" t="s">
        <v>328</v>
      </c>
      <c r="C596" s="132">
        <v>16</v>
      </c>
      <c r="D596" s="132" t="str">
        <f t="shared" si="42"/>
        <v>3/8" Hex BB RS-775 16</v>
      </c>
      <c r="E596" s="132">
        <v>4</v>
      </c>
      <c r="F596" s="132">
        <v>1</v>
      </c>
      <c r="G596" s="132">
        <v>0</v>
      </c>
      <c r="H596" s="132">
        <v>0</v>
      </c>
      <c r="I596" s="132">
        <v>7</v>
      </c>
    </row>
    <row r="597" spans="1:9" ht="14.25" customHeight="1" x14ac:dyDescent="0.25">
      <c r="A597" s="132" t="s">
        <v>244</v>
      </c>
      <c r="B597" s="132" t="s">
        <v>328</v>
      </c>
      <c r="C597" s="132">
        <v>20</v>
      </c>
      <c r="D597" s="132" t="str">
        <f t="shared" si="42"/>
        <v>3/8" Hex BB RS-775 20</v>
      </c>
      <c r="E597" s="132">
        <v>3</v>
      </c>
      <c r="F597" s="132">
        <v>1</v>
      </c>
      <c r="G597" s="132">
        <v>0</v>
      </c>
      <c r="H597" s="132">
        <v>0</v>
      </c>
      <c r="I597" s="132">
        <v>5</v>
      </c>
    </row>
    <row r="598" spans="1:9" ht="14.25" customHeight="1" x14ac:dyDescent="0.25">
      <c r="A598" s="132" t="s">
        <v>244</v>
      </c>
      <c r="B598" s="132" t="s">
        <v>328</v>
      </c>
      <c r="C598" s="132">
        <v>21</v>
      </c>
      <c r="D598" s="132" t="str">
        <f t="shared" si="42"/>
        <v>3/8" Hex BB RS-775 21</v>
      </c>
      <c r="E598" s="132">
        <v>3</v>
      </c>
      <c r="F598" s="132">
        <v>1</v>
      </c>
      <c r="G598" s="132">
        <v>0</v>
      </c>
      <c r="H598" s="132">
        <v>0</v>
      </c>
      <c r="I598" s="132">
        <v>5</v>
      </c>
    </row>
    <row r="599" spans="1:9" ht="14.25" customHeight="1" x14ac:dyDescent="0.25">
      <c r="A599" s="132" t="s">
        <v>244</v>
      </c>
      <c r="B599" s="132" t="s">
        <v>328</v>
      </c>
      <c r="C599" s="132">
        <v>25</v>
      </c>
      <c r="D599" s="132" t="str">
        <f t="shared" si="42"/>
        <v>3/8" Hex BB RS-775 25</v>
      </c>
      <c r="E599" s="132">
        <v>1</v>
      </c>
      <c r="F599" s="132">
        <v>1</v>
      </c>
      <c r="G599" s="132">
        <v>0</v>
      </c>
      <c r="H599" s="132">
        <v>0</v>
      </c>
      <c r="I599" s="132">
        <v>5</v>
      </c>
    </row>
    <row r="600" spans="1:9" ht="14.25" customHeight="1" x14ac:dyDescent="0.25">
      <c r="A600" s="132" t="s">
        <v>244</v>
      </c>
      <c r="B600" s="132" t="s">
        <v>328</v>
      </c>
      <c r="C600" s="132">
        <v>27</v>
      </c>
      <c r="D600" s="132" t="str">
        <f t="shared" si="42"/>
        <v>3/8" Hex BB RS-775 27</v>
      </c>
      <c r="E600" s="132">
        <v>1</v>
      </c>
      <c r="F600" s="132">
        <v>1</v>
      </c>
      <c r="G600" s="132">
        <v>0</v>
      </c>
      <c r="H600" s="132">
        <v>0</v>
      </c>
      <c r="I600" s="132">
        <v>4</v>
      </c>
    </row>
    <row r="601" spans="1:9" ht="14.25" customHeight="1" x14ac:dyDescent="0.25">
      <c r="A601" s="132" t="s">
        <v>244</v>
      </c>
      <c r="B601" s="132" t="s">
        <v>328</v>
      </c>
      <c r="C601" s="132">
        <v>28</v>
      </c>
      <c r="D601" s="132" t="str">
        <f t="shared" si="42"/>
        <v>3/8" Hex BB RS-775 28</v>
      </c>
      <c r="E601" s="132">
        <v>1</v>
      </c>
      <c r="F601" s="132">
        <v>1</v>
      </c>
      <c r="G601" s="132">
        <v>0</v>
      </c>
      <c r="H601" s="132">
        <v>0</v>
      </c>
      <c r="I601" s="132">
        <v>4</v>
      </c>
    </row>
    <row r="602" spans="1:9" ht="14.25" customHeight="1" x14ac:dyDescent="0.25">
      <c r="A602" s="132" t="s">
        <v>244</v>
      </c>
      <c r="B602" s="132" t="s">
        <v>328</v>
      </c>
      <c r="C602" s="132">
        <v>30</v>
      </c>
      <c r="D602" s="132" t="str">
        <f t="shared" si="42"/>
        <v>3/8" Hex BB RS-775 30</v>
      </c>
      <c r="E602" s="132">
        <v>1</v>
      </c>
      <c r="F602" s="132">
        <v>1</v>
      </c>
      <c r="G602" s="132">
        <v>0</v>
      </c>
      <c r="H602" s="132">
        <v>0</v>
      </c>
      <c r="I602" s="132">
        <v>4</v>
      </c>
    </row>
    <row r="603" spans="1:9" ht="14.25" customHeight="1" x14ac:dyDescent="0.25">
      <c r="A603" s="132" t="s">
        <v>244</v>
      </c>
      <c r="B603" s="132" t="s">
        <v>328</v>
      </c>
      <c r="C603" s="132">
        <v>35</v>
      </c>
      <c r="D603" s="132" t="str">
        <f t="shared" si="42"/>
        <v>3/8" Hex BB RS-775 35</v>
      </c>
      <c r="E603" s="132">
        <v>1</v>
      </c>
      <c r="F603" s="132">
        <v>1</v>
      </c>
      <c r="G603" s="132">
        <v>0</v>
      </c>
      <c r="H603" s="132">
        <v>0</v>
      </c>
      <c r="I603" s="132">
        <v>3</v>
      </c>
    </row>
    <row r="604" spans="1:9" ht="14.25" customHeight="1" x14ac:dyDescent="0.25">
      <c r="A604" s="132" t="s">
        <v>244</v>
      </c>
      <c r="B604" s="132" t="s">
        <v>328</v>
      </c>
      <c r="C604" s="132">
        <v>36</v>
      </c>
      <c r="D604" s="132" t="str">
        <f t="shared" si="42"/>
        <v>3/8" Hex BB RS-775 36</v>
      </c>
      <c r="E604" s="132">
        <v>1</v>
      </c>
      <c r="F604" s="132">
        <v>0</v>
      </c>
      <c r="G604" s="132">
        <v>0</v>
      </c>
      <c r="H604" s="132">
        <v>0</v>
      </c>
      <c r="I604" s="132">
        <v>3</v>
      </c>
    </row>
    <row r="605" spans="1:9" ht="14.25" customHeight="1" x14ac:dyDescent="0.25">
      <c r="A605" s="132" t="s">
        <v>244</v>
      </c>
      <c r="B605" s="132" t="s">
        <v>328</v>
      </c>
      <c r="C605" s="132">
        <v>40</v>
      </c>
      <c r="D605" s="132" t="str">
        <f t="shared" si="42"/>
        <v>3/8" Hex BB RS-775 40</v>
      </c>
      <c r="E605" s="132">
        <v>1</v>
      </c>
      <c r="F605" s="132">
        <v>0</v>
      </c>
      <c r="G605" s="132">
        <v>0</v>
      </c>
      <c r="H605" s="132">
        <v>0</v>
      </c>
      <c r="I605" s="132">
        <v>3</v>
      </c>
    </row>
    <row r="606" spans="1:9" ht="14.25" customHeight="1" x14ac:dyDescent="0.25">
      <c r="A606" s="132" t="s">
        <v>244</v>
      </c>
      <c r="B606" s="132" t="s">
        <v>328</v>
      </c>
      <c r="C606" s="132">
        <v>45</v>
      </c>
      <c r="D606" s="132" t="str">
        <f t="shared" si="42"/>
        <v>3/8" Hex BB RS-775 45</v>
      </c>
      <c r="E606" s="132">
        <v>1</v>
      </c>
      <c r="F606" s="132">
        <v>0</v>
      </c>
      <c r="G606" s="132">
        <v>0</v>
      </c>
      <c r="H606" s="132">
        <v>0</v>
      </c>
      <c r="I606" s="132">
        <v>1</v>
      </c>
    </row>
    <row r="607" spans="1:9" ht="14.25" customHeight="1" x14ac:dyDescent="0.25">
      <c r="A607" s="132" t="s">
        <v>244</v>
      </c>
      <c r="B607" s="132" t="s">
        <v>328</v>
      </c>
      <c r="C607" s="132">
        <v>49</v>
      </c>
      <c r="D607" s="132" t="str">
        <f t="shared" si="42"/>
        <v>3/8" Hex BB RS-775 49</v>
      </c>
      <c r="E607" s="132">
        <v>1</v>
      </c>
      <c r="F607" s="132">
        <v>0</v>
      </c>
      <c r="G607" s="132">
        <v>0</v>
      </c>
      <c r="H607" s="132">
        <v>0</v>
      </c>
      <c r="I607" s="132">
        <v>1</v>
      </c>
    </row>
    <row r="608" spans="1:9" ht="14.25" customHeight="1" x14ac:dyDescent="0.25">
      <c r="A608" s="132" t="s">
        <v>244</v>
      </c>
      <c r="B608" s="132" t="s">
        <v>328</v>
      </c>
      <c r="C608" s="132">
        <v>50</v>
      </c>
      <c r="D608" s="132" t="str">
        <f t="shared" si="42"/>
        <v>3/8" Hex BB RS-775 50</v>
      </c>
      <c r="E608" s="132">
        <v>1</v>
      </c>
      <c r="F608" s="132">
        <v>0</v>
      </c>
      <c r="G608" s="132">
        <v>0</v>
      </c>
      <c r="H608" s="132">
        <v>0</v>
      </c>
      <c r="I608" s="132">
        <v>1</v>
      </c>
    </row>
    <row r="609" spans="1:9" ht="14.25" customHeight="1" x14ac:dyDescent="0.25">
      <c r="A609" s="132" t="s">
        <v>244</v>
      </c>
      <c r="B609" s="132" t="s">
        <v>328</v>
      </c>
      <c r="C609" s="132">
        <v>63</v>
      </c>
      <c r="D609" s="132" t="str">
        <f t="shared" si="42"/>
        <v>3/8" Hex BB RS-775 63</v>
      </c>
      <c r="E609" s="132">
        <v>1</v>
      </c>
      <c r="F609" s="132">
        <v>0</v>
      </c>
      <c r="G609" s="132">
        <v>0</v>
      </c>
      <c r="H609" s="132">
        <v>0</v>
      </c>
      <c r="I609" s="132">
        <v>1</v>
      </c>
    </row>
    <row r="610" spans="1:9" ht="14.25" customHeight="1" x14ac:dyDescent="0.25">
      <c r="A610" s="132" t="s">
        <v>244</v>
      </c>
      <c r="B610" s="132" t="s">
        <v>328</v>
      </c>
      <c r="C610" s="132">
        <v>70</v>
      </c>
      <c r="D610" s="132" t="str">
        <f t="shared" si="42"/>
        <v>3/8" Hex BB RS-775 70</v>
      </c>
      <c r="E610" s="132">
        <v>1</v>
      </c>
      <c r="F610" s="132">
        <v>0</v>
      </c>
      <c r="G610" s="132">
        <v>0</v>
      </c>
      <c r="H610" s="132">
        <v>0</v>
      </c>
      <c r="I610" s="132">
        <v>1</v>
      </c>
    </row>
    <row r="611" spans="1:9" ht="14.25" customHeight="1" x14ac:dyDescent="0.25">
      <c r="A611" s="132" t="s">
        <v>244</v>
      </c>
      <c r="B611" s="132" t="s">
        <v>328</v>
      </c>
      <c r="C611" s="132">
        <v>81</v>
      </c>
      <c r="D611" s="132" t="str">
        <f t="shared" si="42"/>
        <v>3/8" Hex BB RS-775 81</v>
      </c>
      <c r="E611" s="132">
        <v>0</v>
      </c>
      <c r="F611" s="132">
        <v>0</v>
      </c>
      <c r="G611" s="132">
        <v>0</v>
      </c>
      <c r="H611" s="132">
        <v>0</v>
      </c>
      <c r="I611" s="132">
        <v>1</v>
      </c>
    </row>
    <row r="612" spans="1:9" ht="14.25" customHeight="1" x14ac:dyDescent="0.25">
      <c r="A612" s="132" t="s">
        <v>244</v>
      </c>
      <c r="B612" s="132" t="s">
        <v>328</v>
      </c>
      <c r="C612" s="132">
        <v>90</v>
      </c>
      <c r="D612" s="132" t="str">
        <f t="shared" si="42"/>
        <v>3/8" Hex BB RS-775 90</v>
      </c>
      <c r="E612" s="132">
        <v>0</v>
      </c>
      <c r="F612" s="132">
        <v>0</v>
      </c>
      <c r="G612" s="132">
        <v>0</v>
      </c>
      <c r="H612" s="132">
        <v>0</v>
      </c>
      <c r="I612" s="132">
        <v>1</v>
      </c>
    </row>
    <row r="613" spans="1:9" ht="14.25" customHeight="1" x14ac:dyDescent="0.25">
      <c r="A613" s="132" t="s">
        <v>244</v>
      </c>
      <c r="B613" s="132" t="s">
        <v>328</v>
      </c>
      <c r="C613" s="132">
        <v>100</v>
      </c>
      <c r="D613" s="132" t="str">
        <f t="shared" si="42"/>
        <v>3/8" Hex BB RS-775 100</v>
      </c>
      <c r="E613" s="132">
        <v>0</v>
      </c>
      <c r="F613" s="132">
        <v>0</v>
      </c>
      <c r="G613" s="132">
        <v>0</v>
      </c>
      <c r="H613" s="132">
        <v>0</v>
      </c>
      <c r="I613" s="132">
        <v>1</v>
      </c>
    </row>
    <row r="614" spans="1:9" ht="14.25" customHeight="1" x14ac:dyDescent="0.25">
      <c r="A614" s="132" t="s">
        <v>244</v>
      </c>
      <c r="B614" s="132" t="s">
        <v>8</v>
      </c>
      <c r="C614" s="132">
        <v>-3</v>
      </c>
      <c r="D614" s="132" t="str">
        <f t="shared" ref="D614:D619" si="43">A614&amp;" "&amp;B614&amp;" "&amp;C614</f>
        <v>3/8" Hex BAG Motor -3</v>
      </c>
      <c r="E614" s="132">
        <v>1</v>
      </c>
      <c r="F614" s="132">
        <v>1</v>
      </c>
      <c r="G614" s="132">
        <v>1</v>
      </c>
      <c r="H614" s="132">
        <v>0</v>
      </c>
      <c r="I614" s="132">
        <v>1</v>
      </c>
    </row>
    <row r="615" spans="1:9" ht="14.25" customHeight="1" x14ac:dyDescent="0.25">
      <c r="A615" s="132" t="s">
        <v>244</v>
      </c>
      <c r="B615" s="132" t="s">
        <v>8</v>
      </c>
      <c r="C615" s="132">
        <v>-4</v>
      </c>
      <c r="D615" s="132" t="str">
        <f t="shared" si="43"/>
        <v>3/8" Hex BAG Motor -4</v>
      </c>
      <c r="E615" s="132">
        <v>1</v>
      </c>
      <c r="F615" s="132">
        <v>1</v>
      </c>
      <c r="G615" s="132">
        <v>1</v>
      </c>
      <c r="H615" s="132">
        <v>0</v>
      </c>
      <c r="I615" s="132">
        <v>1</v>
      </c>
    </row>
    <row r="616" spans="1:9" ht="14.25" customHeight="1" x14ac:dyDescent="0.25">
      <c r="A616" s="132" t="s">
        <v>244</v>
      </c>
      <c r="B616" s="132" t="s">
        <v>8</v>
      </c>
      <c r="C616" s="132">
        <v>-5</v>
      </c>
      <c r="D616" s="132" t="str">
        <f t="shared" si="43"/>
        <v>3/8" Hex BAG Motor -5</v>
      </c>
      <c r="E616" s="132">
        <v>1</v>
      </c>
      <c r="F616" s="132">
        <v>1</v>
      </c>
      <c r="G616" s="132">
        <v>0</v>
      </c>
      <c r="H616" s="132">
        <v>0</v>
      </c>
      <c r="I616" s="132">
        <v>1</v>
      </c>
    </row>
    <row r="617" spans="1:9" ht="14.25" customHeight="1" x14ac:dyDescent="0.25">
      <c r="A617" s="132" t="s">
        <v>244</v>
      </c>
      <c r="B617" s="132" t="s">
        <v>8</v>
      </c>
      <c r="C617" s="132">
        <v>-7</v>
      </c>
      <c r="D617" s="132" t="str">
        <f t="shared" si="43"/>
        <v>3/8" Hex BAG Motor -7</v>
      </c>
      <c r="E617" s="132">
        <v>1</v>
      </c>
      <c r="F617" s="132">
        <v>1</v>
      </c>
      <c r="G617" s="132">
        <v>0</v>
      </c>
      <c r="H617" s="132">
        <v>0</v>
      </c>
      <c r="I617" s="132">
        <v>1</v>
      </c>
    </row>
    <row r="618" spans="1:9" ht="14.25" customHeight="1" x14ac:dyDescent="0.25">
      <c r="A618" s="132" t="s">
        <v>244</v>
      </c>
      <c r="B618" s="132" t="s">
        <v>8</v>
      </c>
      <c r="C618" s="132">
        <v>-9</v>
      </c>
      <c r="D618" s="132" t="str">
        <f t="shared" si="43"/>
        <v>3/8" Hex BAG Motor -9</v>
      </c>
      <c r="E618" s="132">
        <v>1</v>
      </c>
      <c r="F618" s="132">
        <v>1</v>
      </c>
      <c r="G618" s="132">
        <v>0</v>
      </c>
      <c r="H618" s="132">
        <v>0</v>
      </c>
      <c r="I618" s="132">
        <v>1</v>
      </c>
    </row>
    <row r="619" spans="1:9" ht="14.25" customHeight="1" x14ac:dyDescent="0.25">
      <c r="A619" s="132" t="s">
        <v>244</v>
      </c>
      <c r="B619" s="132" t="s">
        <v>8</v>
      </c>
      <c r="C619" s="132">
        <v>-10</v>
      </c>
      <c r="D619" s="132" t="str">
        <f t="shared" si="43"/>
        <v>3/8" Hex BAG Motor -10</v>
      </c>
      <c r="E619" s="132">
        <v>1</v>
      </c>
      <c r="F619" s="132">
        <v>1</v>
      </c>
      <c r="G619" s="132">
        <v>0</v>
      </c>
      <c r="H619" s="132">
        <v>0</v>
      </c>
      <c r="I619" s="132">
        <v>1</v>
      </c>
    </row>
    <row r="620" spans="1:9" ht="14.25" customHeight="1" x14ac:dyDescent="0.25">
      <c r="A620" s="132" t="s">
        <v>244</v>
      </c>
      <c r="B620" s="132" t="s">
        <v>8</v>
      </c>
      <c r="C620" s="132">
        <v>9</v>
      </c>
      <c r="D620" s="132" t="str">
        <f t="shared" ref="D620:D640" si="44">A620&amp;" "&amp;B620&amp;" "&amp;C620</f>
        <v>3/8" Hex BAG Motor 9</v>
      </c>
      <c r="E620" s="132">
        <v>10</v>
      </c>
      <c r="F620" s="132">
        <v>5</v>
      </c>
      <c r="G620" s="132">
        <v>0</v>
      </c>
      <c r="H620" s="132">
        <v>0</v>
      </c>
      <c r="I620" s="132">
        <v>9</v>
      </c>
    </row>
    <row r="621" spans="1:9" ht="14.25" customHeight="1" x14ac:dyDescent="0.25">
      <c r="A621" s="132" t="s">
        <v>244</v>
      </c>
      <c r="B621" s="132" t="s">
        <v>8</v>
      </c>
      <c r="C621" s="132">
        <v>12</v>
      </c>
      <c r="D621" s="132" t="str">
        <f t="shared" si="44"/>
        <v>3/8" Hex BAG Motor 12</v>
      </c>
      <c r="E621" s="132">
        <v>10</v>
      </c>
      <c r="F621" s="132">
        <v>5</v>
      </c>
      <c r="G621" s="132">
        <v>0</v>
      </c>
      <c r="H621" s="132">
        <v>0</v>
      </c>
      <c r="I621" s="132">
        <v>5</v>
      </c>
    </row>
    <row r="622" spans="1:9" ht="14.25" customHeight="1" x14ac:dyDescent="0.25">
      <c r="A622" s="132" t="s">
        <v>244</v>
      </c>
      <c r="B622" s="132" t="s">
        <v>8</v>
      </c>
      <c r="C622" s="132">
        <v>15</v>
      </c>
      <c r="D622" s="132" t="str">
        <f t="shared" si="44"/>
        <v>3/8" Hex BAG Motor 15</v>
      </c>
      <c r="E622" s="132">
        <v>7</v>
      </c>
      <c r="F622" s="132">
        <v>4</v>
      </c>
      <c r="G622" s="132">
        <v>0</v>
      </c>
      <c r="H622" s="132">
        <v>0</v>
      </c>
      <c r="I622" s="132">
        <v>5</v>
      </c>
    </row>
    <row r="623" spans="1:9" ht="14.25" customHeight="1" x14ac:dyDescent="0.25">
      <c r="A623" s="132" t="s">
        <v>244</v>
      </c>
      <c r="B623" s="132" t="s">
        <v>8</v>
      </c>
      <c r="C623" s="132">
        <v>16</v>
      </c>
      <c r="D623" s="132" t="str">
        <f t="shared" si="44"/>
        <v>3/8" Hex BAG Motor 16</v>
      </c>
      <c r="E623" s="132">
        <v>7</v>
      </c>
      <c r="F623" s="132">
        <v>3</v>
      </c>
      <c r="G623" s="132">
        <v>0</v>
      </c>
      <c r="H623" s="132">
        <v>0</v>
      </c>
      <c r="I623" s="132">
        <v>5</v>
      </c>
    </row>
    <row r="624" spans="1:9" ht="14.25" customHeight="1" x14ac:dyDescent="0.25">
      <c r="A624" s="132" t="s">
        <v>244</v>
      </c>
      <c r="B624" s="132" t="s">
        <v>8</v>
      </c>
      <c r="C624" s="132">
        <v>20</v>
      </c>
      <c r="D624" s="132" t="str">
        <f t="shared" si="44"/>
        <v>3/8" Hex BAG Motor 20</v>
      </c>
      <c r="E624" s="132">
        <v>5</v>
      </c>
      <c r="F624" s="132">
        <v>3</v>
      </c>
      <c r="G624" s="132">
        <v>0</v>
      </c>
      <c r="H624" s="132">
        <v>0</v>
      </c>
      <c r="I624" s="132">
        <v>4</v>
      </c>
    </row>
    <row r="625" spans="1:9" ht="14.25" customHeight="1" x14ac:dyDescent="0.25">
      <c r="A625" s="132" t="s">
        <v>244</v>
      </c>
      <c r="B625" s="132" t="s">
        <v>8</v>
      </c>
      <c r="C625" s="132">
        <v>21</v>
      </c>
      <c r="D625" s="132" t="str">
        <f t="shared" si="44"/>
        <v>3/8" Hex BAG Motor 21</v>
      </c>
      <c r="E625" s="132">
        <v>5</v>
      </c>
      <c r="F625" s="132">
        <v>1</v>
      </c>
      <c r="G625" s="132">
        <v>0</v>
      </c>
      <c r="H625" s="132">
        <v>0</v>
      </c>
      <c r="I625" s="132">
        <v>3</v>
      </c>
    </row>
    <row r="626" spans="1:9" ht="14.25" customHeight="1" x14ac:dyDescent="0.25">
      <c r="A626" s="132" t="s">
        <v>244</v>
      </c>
      <c r="B626" s="132" t="s">
        <v>8</v>
      </c>
      <c r="C626" s="132">
        <v>25</v>
      </c>
      <c r="D626" s="132" t="str">
        <f t="shared" si="44"/>
        <v>3/8" Hex BAG Motor 25</v>
      </c>
      <c r="E626" s="132">
        <v>5</v>
      </c>
      <c r="F626" s="132">
        <v>1</v>
      </c>
      <c r="G626" s="132">
        <v>0</v>
      </c>
      <c r="H626" s="132">
        <v>0</v>
      </c>
      <c r="I626" s="132">
        <v>3</v>
      </c>
    </row>
    <row r="627" spans="1:9" ht="14.25" customHeight="1" x14ac:dyDescent="0.25">
      <c r="A627" s="132" t="s">
        <v>244</v>
      </c>
      <c r="B627" s="132" t="s">
        <v>8</v>
      </c>
      <c r="C627" s="132">
        <v>27</v>
      </c>
      <c r="D627" s="132" t="str">
        <f t="shared" si="44"/>
        <v>3/8" Hex BAG Motor 27</v>
      </c>
      <c r="E627" s="132">
        <v>4</v>
      </c>
      <c r="F627" s="132">
        <v>1</v>
      </c>
      <c r="G627" s="132">
        <v>0</v>
      </c>
      <c r="H627" s="132">
        <v>0</v>
      </c>
      <c r="I627" s="132">
        <v>3</v>
      </c>
    </row>
    <row r="628" spans="1:9" ht="14.25" customHeight="1" x14ac:dyDescent="0.25">
      <c r="A628" s="132" t="s">
        <v>244</v>
      </c>
      <c r="B628" s="132" t="s">
        <v>8</v>
      </c>
      <c r="C628" s="132">
        <v>28</v>
      </c>
      <c r="D628" s="132" t="str">
        <f t="shared" si="44"/>
        <v>3/8" Hex BAG Motor 28</v>
      </c>
      <c r="E628" s="132">
        <v>4</v>
      </c>
      <c r="F628" s="132">
        <v>1</v>
      </c>
      <c r="G628" s="132">
        <v>0</v>
      </c>
      <c r="H628" s="132">
        <v>0</v>
      </c>
      <c r="I628" s="132">
        <v>1</v>
      </c>
    </row>
    <row r="629" spans="1:9" ht="14.25" customHeight="1" x14ac:dyDescent="0.25">
      <c r="A629" s="132" t="s">
        <v>244</v>
      </c>
      <c r="B629" s="132" t="s">
        <v>8</v>
      </c>
      <c r="C629" s="132">
        <v>30</v>
      </c>
      <c r="D629" s="132" t="str">
        <f t="shared" si="44"/>
        <v>3/8" Hex BAG Motor 30</v>
      </c>
      <c r="E629" s="132">
        <v>4</v>
      </c>
      <c r="F629" s="132">
        <v>1</v>
      </c>
      <c r="G629" s="132">
        <v>0</v>
      </c>
      <c r="H629" s="132">
        <v>0</v>
      </c>
      <c r="I629" s="132">
        <v>1</v>
      </c>
    </row>
    <row r="630" spans="1:9" ht="14.25" customHeight="1" x14ac:dyDescent="0.25">
      <c r="A630" s="132" t="s">
        <v>244</v>
      </c>
      <c r="B630" s="132" t="s">
        <v>8</v>
      </c>
      <c r="C630" s="132">
        <v>35</v>
      </c>
      <c r="D630" s="132" t="str">
        <f t="shared" si="44"/>
        <v>3/8" Hex BAG Motor 35</v>
      </c>
      <c r="E630" s="132">
        <v>3</v>
      </c>
      <c r="F630" s="132">
        <v>1</v>
      </c>
      <c r="G630" s="132">
        <v>0</v>
      </c>
      <c r="H630" s="132">
        <v>0</v>
      </c>
      <c r="I630" s="132">
        <v>1</v>
      </c>
    </row>
    <row r="631" spans="1:9" ht="14.25" customHeight="1" x14ac:dyDescent="0.25">
      <c r="A631" s="132" t="s">
        <v>244</v>
      </c>
      <c r="B631" s="132" t="s">
        <v>8</v>
      </c>
      <c r="C631" s="132">
        <v>36</v>
      </c>
      <c r="D631" s="132" t="str">
        <f t="shared" si="44"/>
        <v>3/8" Hex BAG Motor 36</v>
      </c>
      <c r="E631" s="132">
        <v>3</v>
      </c>
      <c r="F631" s="132">
        <v>1</v>
      </c>
      <c r="G631" s="132">
        <v>0</v>
      </c>
      <c r="H631" s="132">
        <v>0</v>
      </c>
      <c r="I631" s="132">
        <v>1</v>
      </c>
    </row>
    <row r="632" spans="1:9" ht="14.25" customHeight="1" x14ac:dyDescent="0.25">
      <c r="A632" s="132" t="s">
        <v>244</v>
      </c>
      <c r="B632" s="132" t="s">
        <v>8</v>
      </c>
      <c r="C632" s="132">
        <v>40</v>
      </c>
      <c r="D632" s="132" t="str">
        <f t="shared" si="44"/>
        <v>3/8" Hex BAG Motor 40</v>
      </c>
      <c r="E632" s="132">
        <v>3</v>
      </c>
      <c r="F632" s="132">
        <v>1</v>
      </c>
      <c r="G632" s="132">
        <v>0</v>
      </c>
      <c r="H632" s="132">
        <v>0</v>
      </c>
      <c r="I632" s="132">
        <v>1</v>
      </c>
    </row>
    <row r="633" spans="1:9" ht="14.25" customHeight="1" x14ac:dyDescent="0.25">
      <c r="A633" s="132" t="s">
        <v>244</v>
      </c>
      <c r="B633" s="132" t="s">
        <v>8</v>
      </c>
      <c r="C633" s="132">
        <v>45</v>
      </c>
      <c r="D633" s="132" t="str">
        <f t="shared" si="44"/>
        <v>3/8" Hex BAG Motor 45</v>
      </c>
      <c r="E633" s="132">
        <v>1</v>
      </c>
      <c r="F633" s="132">
        <v>1</v>
      </c>
      <c r="G633" s="132">
        <v>0</v>
      </c>
      <c r="H633" s="132">
        <v>0</v>
      </c>
      <c r="I633" s="132">
        <v>1</v>
      </c>
    </row>
    <row r="634" spans="1:9" ht="14.25" customHeight="1" x14ac:dyDescent="0.25">
      <c r="A634" s="132" t="s">
        <v>244</v>
      </c>
      <c r="B634" s="132" t="s">
        <v>8</v>
      </c>
      <c r="C634" s="132">
        <v>49</v>
      </c>
      <c r="D634" s="132" t="str">
        <f t="shared" si="44"/>
        <v>3/8" Hex BAG Motor 49</v>
      </c>
      <c r="E634" s="132">
        <v>1</v>
      </c>
      <c r="F634" s="132">
        <v>1</v>
      </c>
      <c r="G634" s="132">
        <v>0</v>
      </c>
      <c r="H634" s="132">
        <v>0</v>
      </c>
      <c r="I634" s="132">
        <v>1</v>
      </c>
    </row>
    <row r="635" spans="1:9" ht="14.25" customHeight="1" x14ac:dyDescent="0.25">
      <c r="A635" s="132" t="s">
        <v>244</v>
      </c>
      <c r="B635" s="132" t="s">
        <v>8</v>
      </c>
      <c r="C635" s="132">
        <v>50</v>
      </c>
      <c r="D635" s="132" t="str">
        <f t="shared" si="44"/>
        <v>3/8" Hex BAG Motor 50</v>
      </c>
      <c r="E635" s="132">
        <v>1</v>
      </c>
      <c r="F635" s="132">
        <v>1</v>
      </c>
      <c r="G635" s="132">
        <v>0</v>
      </c>
      <c r="H635" s="132">
        <v>0</v>
      </c>
      <c r="I635" s="132">
        <v>1</v>
      </c>
    </row>
    <row r="636" spans="1:9" ht="14.25" customHeight="1" x14ac:dyDescent="0.25">
      <c r="A636" s="132" t="s">
        <v>244</v>
      </c>
      <c r="B636" s="132" t="s">
        <v>8</v>
      </c>
      <c r="C636" s="132">
        <v>63</v>
      </c>
      <c r="D636" s="132" t="str">
        <f t="shared" si="44"/>
        <v>3/8" Hex BAG Motor 63</v>
      </c>
      <c r="E636" s="132">
        <v>1</v>
      </c>
      <c r="F636" s="132">
        <v>0</v>
      </c>
      <c r="G636" s="132">
        <v>0</v>
      </c>
      <c r="H636" s="132">
        <v>0</v>
      </c>
      <c r="I636" s="132">
        <v>1</v>
      </c>
    </row>
    <row r="637" spans="1:9" ht="14.25" customHeight="1" x14ac:dyDescent="0.25">
      <c r="A637" s="132" t="s">
        <v>244</v>
      </c>
      <c r="B637" s="132" t="s">
        <v>8</v>
      </c>
      <c r="C637" s="132">
        <v>70</v>
      </c>
      <c r="D637" s="132" t="str">
        <f t="shared" si="44"/>
        <v>3/8" Hex BAG Motor 70</v>
      </c>
      <c r="E637" s="132">
        <v>1</v>
      </c>
      <c r="F637" s="132">
        <v>0</v>
      </c>
      <c r="G637" s="132">
        <v>0</v>
      </c>
      <c r="H637" s="132">
        <v>0</v>
      </c>
      <c r="I637" s="132">
        <v>1</v>
      </c>
    </row>
    <row r="638" spans="1:9" ht="14.25" customHeight="1" x14ac:dyDescent="0.25">
      <c r="A638" s="132" t="s">
        <v>244</v>
      </c>
      <c r="B638" s="132" t="s">
        <v>8</v>
      </c>
      <c r="C638" s="132">
        <v>81</v>
      </c>
      <c r="D638" s="132" t="str">
        <f t="shared" si="44"/>
        <v>3/8" Hex BAG Motor 81</v>
      </c>
      <c r="E638" s="132">
        <v>1</v>
      </c>
      <c r="F638" s="132">
        <v>0</v>
      </c>
      <c r="G638" s="132">
        <v>0</v>
      </c>
      <c r="H638" s="132">
        <v>0</v>
      </c>
      <c r="I638" s="132">
        <v>1</v>
      </c>
    </row>
    <row r="639" spans="1:9" ht="14.25" customHeight="1" x14ac:dyDescent="0.25">
      <c r="A639" s="132" t="s">
        <v>244</v>
      </c>
      <c r="B639" s="132" t="s">
        <v>8</v>
      </c>
      <c r="C639" s="132">
        <v>90</v>
      </c>
      <c r="D639" s="132" t="str">
        <f t="shared" si="44"/>
        <v>3/8" Hex BAG Motor 90</v>
      </c>
      <c r="E639" s="132">
        <v>1</v>
      </c>
      <c r="F639" s="132">
        <v>0</v>
      </c>
      <c r="G639" s="132">
        <v>0</v>
      </c>
      <c r="H639" s="132">
        <v>0</v>
      </c>
      <c r="I639" s="132">
        <v>0</v>
      </c>
    </row>
    <row r="640" spans="1:9" ht="14.25" customHeight="1" x14ac:dyDescent="0.25">
      <c r="A640" s="132" t="s">
        <v>244</v>
      </c>
      <c r="B640" s="132" t="s">
        <v>8</v>
      </c>
      <c r="C640" s="132">
        <v>100</v>
      </c>
      <c r="D640" s="132" t="str">
        <f t="shared" si="44"/>
        <v>3/8" Hex BAG Motor 100</v>
      </c>
      <c r="E640" s="132">
        <v>1</v>
      </c>
      <c r="F640" s="132">
        <v>0</v>
      </c>
      <c r="G640" s="132">
        <v>0</v>
      </c>
      <c r="H640" s="132">
        <v>0</v>
      </c>
      <c r="I640" s="132">
        <v>0</v>
      </c>
    </row>
    <row r="641" spans="1:9" ht="14.25" customHeight="1" x14ac:dyDescent="0.25">
      <c r="A641" s="132" t="s">
        <v>244</v>
      </c>
      <c r="B641" s="132" t="s">
        <v>256</v>
      </c>
      <c r="C641" s="132">
        <v>-3</v>
      </c>
      <c r="D641" s="132" t="str">
        <f t="shared" ref="D641:D646" si="45">A641&amp;" "&amp;B641&amp;" "&amp;C641</f>
        <v>3/8" Hex 775pro -3</v>
      </c>
      <c r="E641" s="132">
        <v>1</v>
      </c>
      <c r="F641" s="132">
        <v>1</v>
      </c>
      <c r="G641" s="132">
        <v>0</v>
      </c>
      <c r="H641" s="132">
        <v>0</v>
      </c>
      <c r="I641" s="132">
        <v>1</v>
      </c>
    </row>
    <row r="642" spans="1:9" ht="14.25" customHeight="1" x14ac:dyDescent="0.25">
      <c r="A642" s="132" t="s">
        <v>244</v>
      </c>
      <c r="B642" s="132" t="s">
        <v>256</v>
      </c>
      <c r="C642" s="132">
        <v>-4</v>
      </c>
      <c r="D642" s="132" t="str">
        <f t="shared" si="45"/>
        <v>3/8" Hex 775pro -4</v>
      </c>
      <c r="E642" s="132">
        <v>1</v>
      </c>
      <c r="F642" s="132">
        <v>1</v>
      </c>
      <c r="G642" s="132">
        <v>0</v>
      </c>
      <c r="H642" s="132">
        <v>0</v>
      </c>
      <c r="I642" s="132">
        <v>1</v>
      </c>
    </row>
    <row r="643" spans="1:9" ht="14.25" customHeight="1" x14ac:dyDescent="0.25">
      <c r="A643" s="132" t="s">
        <v>244</v>
      </c>
      <c r="B643" s="132" t="s">
        <v>256</v>
      </c>
      <c r="C643" s="132">
        <v>-5</v>
      </c>
      <c r="D643" s="132" t="str">
        <f t="shared" si="45"/>
        <v>3/8" Hex 775pro -5</v>
      </c>
      <c r="E643" s="132">
        <v>1</v>
      </c>
      <c r="F643" s="132">
        <v>1</v>
      </c>
      <c r="G643" s="132">
        <v>0</v>
      </c>
      <c r="H643" s="132">
        <v>0</v>
      </c>
      <c r="I643" s="132">
        <v>1</v>
      </c>
    </row>
    <row r="644" spans="1:9" ht="14.25" customHeight="1" x14ac:dyDescent="0.25">
      <c r="A644" s="132" t="s">
        <v>244</v>
      </c>
      <c r="B644" s="132" t="s">
        <v>256</v>
      </c>
      <c r="C644" s="132">
        <v>-7</v>
      </c>
      <c r="D644" s="132" t="str">
        <f t="shared" si="45"/>
        <v>3/8" Hex 775pro -7</v>
      </c>
      <c r="E644" s="132">
        <v>1</v>
      </c>
      <c r="F644" s="132">
        <v>1</v>
      </c>
      <c r="G644" s="132">
        <v>0</v>
      </c>
      <c r="H644" s="132">
        <v>0</v>
      </c>
      <c r="I644" s="132">
        <v>1</v>
      </c>
    </row>
    <row r="645" spans="1:9" ht="14.25" customHeight="1" x14ac:dyDescent="0.25">
      <c r="A645" s="132" t="s">
        <v>244</v>
      </c>
      <c r="B645" s="132" t="s">
        <v>256</v>
      </c>
      <c r="C645" s="132">
        <v>-9</v>
      </c>
      <c r="D645" s="132" t="str">
        <f t="shared" si="45"/>
        <v>3/8" Hex 775pro -9</v>
      </c>
      <c r="E645" s="132">
        <v>1</v>
      </c>
      <c r="F645" s="132">
        <v>1</v>
      </c>
      <c r="G645" s="132">
        <v>0</v>
      </c>
      <c r="H645" s="132">
        <v>0</v>
      </c>
      <c r="I645" s="132">
        <v>1</v>
      </c>
    </row>
    <row r="646" spans="1:9" ht="14.25" customHeight="1" x14ac:dyDescent="0.25">
      <c r="A646" s="132" t="s">
        <v>244</v>
      </c>
      <c r="B646" s="132" t="s">
        <v>256</v>
      </c>
      <c r="C646" s="132">
        <v>-10</v>
      </c>
      <c r="D646" s="132" t="str">
        <f t="shared" si="45"/>
        <v>3/8" Hex 775pro -10</v>
      </c>
      <c r="E646" s="132">
        <v>1</v>
      </c>
      <c r="F646" s="132">
        <v>1</v>
      </c>
      <c r="G646" s="132">
        <v>0</v>
      </c>
      <c r="H646" s="132">
        <v>0</v>
      </c>
      <c r="I646" s="132">
        <v>1</v>
      </c>
    </row>
    <row r="647" spans="1:9" ht="14.25" customHeight="1" x14ac:dyDescent="0.25">
      <c r="A647" s="132" t="s">
        <v>244</v>
      </c>
      <c r="B647" s="132" t="s">
        <v>256</v>
      </c>
      <c r="C647" s="132">
        <v>9</v>
      </c>
      <c r="D647" s="132" t="str">
        <f t="shared" ref="D647:D667" si="46">A647&amp;" "&amp;B647&amp;" "&amp;C647</f>
        <v>3/8" Hex 775pro 9</v>
      </c>
      <c r="E647" s="132">
        <v>7</v>
      </c>
      <c r="F647" s="132">
        <v>4</v>
      </c>
      <c r="G647" s="132">
        <v>0</v>
      </c>
      <c r="H647" s="132">
        <v>0</v>
      </c>
      <c r="I647" s="132">
        <v>5</v>
      </c>
    </row>
    <row r="648" spans="1:9" ht="14.25" customHeight="1" x14ac:dyDescent="0.25">
      <c r="A648" s="132" t="s">
        <v>244</v>
      </c>
      <c r="B648" s="132" t="s">
        <v>256</v>
      </c>
      <c r="C648" s="132">
        <v>12</v>
      </c>
      <c r="D648" s="132" t="str">
        <f t="shared" si="46"/>
        <v>3/8" Hex 775pro 12</v>
      </c>
      <c r="E648" s="132">
        <v>5</v>
      </c>
      <c r="F648" s="132">
        <v>3</v>
      </c>
      <c r="G648" s="132">
        <v>0</v>
      </c>
      <c r="H648" s="132">
        <v>0</v>
      </c>
      <c r="I648" s="132">
        <v>4</v>
      </c>
    </row>
    <row r="649" spans="1:9" ht="14.25" customHeight="1" x14ac:dyDescent="0.25">
      <c r="A649" s="132" t="s">
        <v>244</v>
      </c>
      <c r="B649" s="132" t="s">
        <v>256</v>
      </c>
      <c r="C649" s="132">
        <v>15</v>
      </c>
      <c r="D649" s="132" t="str">
        <f t="shared" si="46"/>
        <v>3/8" Hex 775pro 15</v>
      </c>
      <c r="E649" s="132">
        <v>5</v>
      </c>
      <c r="F649" s="132">
        <v>1</v>
      </c>
      <c r="G649" s="132">
        <v>0</v>
      </c>
      <c r="H649" s="132">
        <v>0</v>
      </c>
      <c r="I649" s="132">
        <v>3</v>
      </c>
    </row>
    <row r="650" spans="1:9" ht="14.25" customHeight="1" x14ac:dyDescent="0.25">
      <c r="A650" s="132" t="s">
        <v>244</v>
      </c>
      <c r="B650" s="132" t="s">
        <v>256</v>
      </c>
      <c r="C650" s="132">
        <v>16</v>
      </c>
      <c r="D650" s="132" t="str">
        <f t="shared" si="46"/>
        <v>3/8" Hex 775pro 16</v>
      </c>
      <c r="E650" s="132">
        <v>4</v>
      </c>
      <c r="F650" s="132">
        <v>1</v>
      </c>
      <c r="G650" s="132">
        <v>0</v>
      </c>
      <c r="H650" s="132">
        <v>0</v>
      </c>
      <c r="I650" s="132">
        <v>3</v>
      </c>
    </row>
    <row r="651" spans="1:9" ht="14.25" customHeight="1" x14ac:dyDescent="0.25">
      <c r="A651" s="132" t="s">
        <v>244</v>
      </c>
      <c r="B651" s="132" t="s">
        <v>256</v>
      </c>
      <c r="C651" s="132">
        <v>20</v>
      </c>
      <c r="D651" s="132" t="str">
        <f t="shared" si="46"/>
        <v>3/8" Hex 775pro 20</v>
      </c>
      <c r="E651" s="132">
        <v>3</v>
      </c>
      <c r="F651" s="132">
        <v>1</v>
      </c>
      <c r="G651" s="132">
        <v>0</v>
      </c>
      <c r="H651" s="132">
        <v>0</v>
      </c>
      <c r="I651" s="132">
        <v>1</v>
      </c>
    </row>
    <row r="652" spans="1:9" ht="14.25" customHeight="1" x14ac:dyDescent="0.25">
      <c r="A652" s="132" t="s">
        <v>244</v>
      </c>
      <c r="B652" s="132" t="s">
        <v>256</v>
      </c>
      <c r="C652" s="132">
        <v>21</v>
      </c>
      <c r="D652" s="132" t="str">
        <f t="shared" si="46"/>
        <v>3/8" Hex 775pro 21</v>
      </c>
      <c r="E652" s="132">
        <v>3</v>
      </c>
      <c r="F652" s="132">
        <v>1</v>
      </c>
      <c r="G652" s="132">
        <v>0</v>
      </c>
      <c r="H652" s="132">
        <v>0</v>
      </c>
      <c r="I652" s="132">
        <v>1</v>
      </c>
    </row>
    <row r="653" spans="1:9" ht="14.25" customHeight="1" x14ac:dyDescent="0.25">
      <c r="A653" s="132" t="s">
        <v>244</v>
      </c>
      <c r="B653" s="132" t="s">
        <v>256</v>
      </c>
      <c r="C653" s="132">
        <v>25</v>
      </c>
      <c r="D653" s="132" t="str">
        <f t="shared" si="46"/>
        <v>3/8" Hex 775pro 25</v>
      </c>
      <c r="E653" s="132">
        <v>3</v>
      </c>
      <c r="F653" s="132">
        <v>1</v>
      </c>
      <c r="G653" s="132">
        <v>0</v>
      </c>
      <c r="H653" s="132">
        <v>0</v>
      </c>
      <c r="I653" s="132">
        <v>1</v>
      </c>
    </row>
    <row r="654" spans="1:9" ht="14.25" customHeight="1" x14ac:dyDescent="0.25">
      <c r="A654" s="132" t="s">
        <v>244</v>
      </c>
      <c r="B654" s="132" t="s">
        <v>256</v>
      </c>
      <c r="C654" s="132">
        <v>27</v>
      </c>
      <c r="D654" s="132" t="str">
        <f t="shared" si="46"/>
        <v>3/8" Hex 775pro 27</v>
      </c>
      <c r="E654" s="132">
        <v>1</v>
      </c>
      <c r="F654" s="132">
        <v>1</v>
      </c>
      <c r="G654" s="132">
        <v>0</v>
      </c>
      <c r="H654" s="132">
        <v>0</v>
      </c>
      <c r="I654" s="132">
        <v>1</v>
      </c>
    </row>
    <row r="655" spans="1:9" ht="14.25" customHeight="1" x14ac:dyDescent="0.25">
      <c r="A655" s="132" t="s">
        <v>244</v>
      </c>
      <c r="B655" s="132" t="s">
        <v>256</v>
      </c>
      <c r="C655" s="132">
        <v>28</v>
      </c>
      <c r="D655" s="132" t="str">
        <f t="shared" si="46"/>
        <v>3/8" Hex 775pro 28</v>
      </c>
      <c r="E655" s="132">
        <v>1</v>
      </c>
      <c r="F655" s="132">
        <v>1</v>
      </c>
      <c r="G655" s="132">
        <v>0</v>
      </c>
      <c r="H655" s="132">
        <v>0</v>
      </c>
      <c r="I655" s="132">
        <v>1</v>
      </c>
    </row>
    <row r="656" spans="1:9" ht="14.25" customHeight="1" x14ac:dyDescent="0.25">
      <c r="A656" s="132" t="s">
        <v>244</v>
      </c>
      <c r="B656" s="132" t="s">
        <v>256</v>
      </c>
      <c r="C656" s="132">
        <v>30</v>
      </c>
      <c r="D656" s="132" t="str">
        <f t="shared" si="46"/>
        <v>3/8" Hex 775pro 30</v>
      </c>
      <c r="E656" s="132">
        <v>1</v>
      </c>
      <c r="F656" s="132">
        <v>1</v>
      </c>
      <c r="G656" s="132">
        <v>0</v>
      </c>
      <c r="H656" s="132">
        <v>0</v>
      </c>
      <c r="I656" s="132">
        <v>1</v>
      </c>
    </row>
    <row r="657" spans="1:9" ht="14.25" customHeight="1" x14ac:dyDescent="0.25">
      <c r="A657" s="132" t="s">
        <v>244</v>
      </c>
      <c r="B657" s="132" t="s">
        <v>256</v>
      </c>
      <c r="C657" s="132">
        <v>35</v>
      </c>
      <c r="D657" s="132" t="str">
        <f t="shared" si="46"/>
        <v>3/8" Hex 775pro 35</v>
      </c>
      <c r="E657" s="132">
        <v>1</v>
      </c>
      <c r="F657" s="132">
        <v>1</v>
      </c>
      <c r="G657" s="132">
        <v>0</v>
      </c>
      <c r="H657" s="132">
        <v>0</v>
      </c>
      <c r="I657" s="132">
        <v>1</v>
      </c>
    </row>
    <row r="658" spans="1:9" ht="14.25" customHeight="1" x14ac:dyDescent="0.25">
      <c r="A658" s="132" t="s">
        <v>244</v>
      </c>
      <c r="B658" s="132" t="s">
        <v>256</v>
      </c>
      <c r="C658" s="132">
        <v>36</v>
      </c>
      <c r="D658" s="132" t="str">
        <f t="shared" si="46"/>
        <v>3/8" Hex 775pro 36</v>
      </c>
      <c r="E658" s="132">
        <v>1</v>
      </c>
      <c r="F658" s="132">
        <v>1</v>
      </c>
      <c r="G658" s="132">
        <v>0</v>
      </c>
      <c r="H658" s="132">
        <v>0</v>
      </c>
      <c r="I658" s="132">
        <v>1</v>
      </c>
    </row>
    <row r="659" spans="1:9" ht="14.25" customHeight="1" x14ac:dyDescent="0.25">
      <c r="A659" s="132" t="s">
        <v>244</v>
      </c>
      <c r="B659" s="132" t="s">
        <v>256</v>
      </c>
      <c r="C659" s="132">
        <v>40</v>
      </c>
      <c r="D659" s="132" t="str">
        <f t="shared" si="46"/>
        <v>3/8" Hex 775pro 40</v>
      </c>
      <c r="E659" s="132">
        <v>1</v>
      </c>
      <c r="F659" s="132">
        <v>0</v>
      </c>
      <c r="G659" s="132">
        <v>0</v>
      </c>
      <c r="H659" s="132">
        <v>0</v>
      </c>
      <c r="I659" s="132">
        <v>1</v>
      </c>
    </row>
    <row r="660" spans="1:9" ht="14.25" customHeight="1" x14ac:dyDescent="0.25">
      <c r="A660" s="132" t="s">
        <v>244</v>
      </c>
      <c r="B660" s="132" t="s">
        <v>256</v>
      </c>
      <c r="C660" s="132">
        <v>45</v>
      </c>
      <c r="D660" s="132" t="str">
        <f t="shared" si="46"/>
        <v>3/8" Hex 775pro 45</v>
      </c>
      <c r="E660" s="132">
        <v>1</v>
      </c>
      <c r="F660" s="132">
        <v>0</v>
      </c>
      <c r="G660" s="132">
        <v>0</v>
      </c>
      <c r="H660" s="132">
        <v>0</v>
      </c>
      <c r="I660" s="132">
        <v>1</v>
      </c>
    </row>
    <row r="661" spans="1:9" ht="14.25" customHeight="1" x14ac:dyDescent="0.25">
      <c r="A661" s="132" t="s">
        <v>244</v>
      </c>
      <c r="B661" s="132" t="s">
        <v>256</v>
      </c>
      <c r="C661" s="132">
        <v>49</v>
      </c>
      <c r="D661" s="132" t="str">
        <f t="shared" si="46"/>
        <v>3/8" Hex 775pro 49</v>
      </c>
      <c r="E661" s="132">
        <v>1</v>
      </c>
      <c r="F661" s="132">
        <v>0</v>
      </c>
      <c r="G661" s="132">
        <v>0</v>
      </c>
      <c r="H661" s="132">
        <v>0</v>
      </c>
      <c r="I661" s="132">
        <v>1</v>
      </c>
    </row>
    <row r="662" spans="1:9" ht="14.25" customHeight="1" x14ac:dyDescent="0.25">
      <c r="A662" s="132" t="s">
        <v>244</v>
      </c>
      <c r="B662" s="132" t="s">
        <v>256</v>
      </c>
      <c r="C662" s="132">
        <v>50</v>
      </c>
      <c r="D662" s="132" t="str">
        <f t="shared" si="46"/>
        <v>3/8" Hex 775pro 50</v>
      </c>
      <c r="E662" s="132">
        <v>1</v>
      </c>
      <c r="F662" s="132">
        <v>0</v>
      </c>
      <c r="G662" s="132">
        <v>0</v>
      </c>
      <c r="H662" s="132">
        <v>0</v>
      </c>
      <c r="I662" s="132">
        <v>0</v>
      </c>
    </row>
    <row r="663" spans="1:9" ht="14.25" customHeight="1" x14ac:dyDescent="0.25">
      <c r="A663" s="132" t="s">
        <v>244</v>
      </c>
      <c r="B663" s="132" t="s">
        <v>256</v>
      </c>
      <c r="C663" s="132">
        <v>63</v>
      </c>
      <c r="D663" s="132" t="str">
        <f t="shared" si="46"/>
        <v>3/8" Hex 775pro 63</v>
      </c>
      <c r="E663" s="132">
        <v>1</v>
      </c>
      <c r="F663" s="132">
        <v>0</v>
      </c>
      <c r="G663" s="132">
        <v>0</v>
      </c>
      <c r="H663" s="132">
        <v>0</v>
      </c>
      <c r="I663" s="132">
        <v>0</v>
      </c>
    </row>
    <row r="664" spans="1:9" ht="14.25" customHeight="1" x14ac:dyDescent="0.25">
      <c r="A664" s="132" t="s">
        <v>244</v>
      </c>
      <c r="B664" s="132" t="s">
        <v>256</v>
      </c>
      <c r="C664" s="132">
        <v>70</v>
      </c>
      <c r="D664" s="132" t="str">
        <f t="shared" si="46"/>
        <v>3/8" Hex 775pro 70</v>
      </c>
      <c r="E664" s="132">
        <v>1</v>
      </c>
      <c r="F664" s="132">
        <v>0</v>
      </c>
      <c r="G664" s="132">
        <v>0</v>
      </c>
      <c r="H664" s="132">
        <v>0</v>
      </c>
      <c r="I664" s="132">
        <v>0</v>
      </c>
    </row>
    <row r="665" spans="1:9" ht="14.25" customHeight="1" x14ac:dyDescent="0.25">
      <c r="A665" s="132" t="s">
        <v>244</v>
      </c>
      <c r="B665" s="132" t="s">
        <v>256</v>
      </c>
      <c r="C665" s="132">
        <v>81</v>
      </c>
      <c r="D665" s="132" t="str">
        <f t="shared" si="46"/>
        <v>3/8" Hex 775pro 81</v>
      </c>
      <c r="E665" s="132">
        <v>0</v>
      </c>
      <c r="F665" s="132">
        <v>0</v>
      </c>
      <c r="G665" s="132">
        <v>0</v>
      </c>
      <c r="H665" s="132">
        <v>0</v>
      </c>
      <c r="I665" s="132">
        <v>0</v>
      </c>
    </row>
    <row r="666" spans="1:9" ht="14.25" customHeight="1" x14ac:dyDescent="0.25">
      <c r="A666" s="132" t="s">
        <v>244</v>
      </c>
      <c r="B666" s="132" t="s">
        <v>256</v>
      </c>
      <c r="C666" s="132">
        <v>90</v>
      </c>
      <c r="D666" s="132" t="str">
        <f t="shared" si="46"/>
        <v>3/8" Hex 775pro 90</v>
      </c>
      <c r="E666" s="132">
        <v>0</v>
      </c>
      <c r="F666" s="132">
        <v>0</v>
      </c>
      <c r="G666" s="132">
        <v>0</v>
      </c>
      <c r="H666" s="132">
        <v>0</v>
      </c>
      <c r="I666" s="132">
        <v>0</v>
      </c>
    </row>
    <row r="667" spans="1:9" ht="14.25" customHeight="1" x14ac:dyDescent="0.25">
      <c r="A667" s="132" t="s">
        <v>244</v>
      </c>
      <c r="B667" s="132" t="s">
        <v>256</v>
      </c>
      <c r="C667" s="132">
        <v>100</v>
      </c>
      <c r="D667" s="132" t="str">
        <f t="shared" si="46"/>
        <v>3/8" Hex 775pro 100</v>
      </c>
      <c r="E667" s="132">
        <v>0</v>
      </c>
      <c r="F667" s="132">
        <v>0</v>
      </c>
      <c r="G667" s="132">
        <v>0</v>
      </c>
      <c r="H667" s="132">
        <v>0</v>
      </c>
      <c r="I667" s="132">
        <v>0</v>
      </c>
    </row>
    <row r="668" spans="1:9" ht="14.25" customHeight="1" x14ac:dyDescent="0.25">
      <c r="A668" s="132" t="s">
        <v>244</v>
      </c>
      <c r="B668" s="132" t="s">
        <v>7</v>
      </c>
      <c r="C668" s="132">
        <v>-3</v>
      </c>
      <c r="D668" s="132" t="str">
        <f t="shared" ref="D668:D673" si="47">A668&amp;" "&amp;B668&amp;" "&amp;C668</f>
        <v>3/8" Hex Mini CIM -3</v>
      </c>
      <c r="E668" s="132">
        <v>1</v>
      </c>
      <c r="I668" s="132">
        <v>0</v>
      </c>
    </row>
    <row r="669" spans="1:9" ht="14.25" customHeight="1" x14ac:dyDescent="0.25">
      <c r="A669" s="132" t="s">
        <v>244</v>
      </c>
      <c r="B669" s="132" t="s">
        <v>7</v>
      </c>
      <c r="C669" s="132">
        <v>-4</v>
      </c>
      <c r="D669" s="132" t="str">
        <f t="shared" si="47"/>
        <v>3/8" Hex Mini CIM -4</v>
      </c>
      <c r="E669" s="132">
        <v>1</v>
      </c>
      <c r="I669" s="132">
        <v>0</v>
      </c>
    </row>
    <row r="670" spans="1:9" ht="14.25" customHeight="1" x14ac:dyDescent="0.25">
      <c r="A670" s="132" t="s">
        <v>244</v>
      </c>
      <c r="B670" s="132" t="s">
        <v>7</v>
      </c>
      <c r="C670" s="132">
        <v>-5</v>
      </c>
      <c r="D670" s="132" t="str">
        <f t="shared" si="47"/>
        <v>3/8" Hex Mini CIM -5</v>
      </c>
      <c r="E670" s="132">
        <v>1</v>
      </c>
      <c r="I670" s="132">
        <v>0</v>
      </c>
    </row>
    <row r="671" spans="1:9" ht="14.25" customHeight="1" x14ac:dyDescent="0.25">
      <c r="A671" s="132" t="s">
        <v>244</v>
      </c>
      <c r="B671" s="132" t="s">
        <v>7</v>
      </c>
      <c r="C671" s="132">
        <v>-7</v>
      </c>
      <c r="D671" s="132" t="str">
        <f t="shared" si="47"/>
        <v>3/8" Hex Mini CIM -7</v>
      </c>
      <c r="E671" s="132">
        <v>1</v>
      </c>
      <c r="I671" s="132">
        <v>0</v>
      </c>
    </row>
    <row r="672" spans="1:9" ht="14.25" customHeight="1" x14ac:dyDescent="0.25">
      <c r="A672" s="132" t="s">
        <v>244</v>
      </c>
      <c r="B672" s="132" t="s">
        <v>7</v>
      </c>
      <c r="C672" s="132">
        <v>-9</v>
      </c>
      <c r="D672" s="132" t="str">
        <f t="shared" si="47"/>
        <v>3/8" Hex Mini CIM -9</v>
      </c>
      <c r="E672" s="132">
        <v>1</v>
      </c>
      <c r="I672" s="132">
        <v>0</v>
      </c>
    </row>
    <row r="673" spans="1:9" ht="14.25" customHeight="1" x14ac:dyDescent="0.25">
      <c r="A673" s="132" t="s">
        <v>244</v>
      </c>
      <c r="B673" s="132" t="s">
        <v>7</v>
      </c>
      <c r="C673" s="132">
        <v>-10</v>
      </c>
      <c r="D673" s="132" t="str">
        <f t="shared" si="47"/>
        <v>3/8" Hex Mini CIM -10</v>
      </c>
      <c r="E673" s="132">
        <v>1</v>
      </c>
      <c r="I673" s="132">
        <v>0</v>
      </c>
    </row>
    <row r="674" spans="1:9" ht="14.25" customHeight="1" x14ac:dyDescent="0.25">
      <c r="A674" s="132" t="s">
        <v>244</v>
      </c>
      <c r="B674" s="132" t="s">
        <v>7</v>
      </c>
      <c r="C674" s="132">
        <v>9</v>
      </c>
      <c r="D674" s="132" t="str">
        <f t="shared" ref="D674:D694" si="48">A674&amp;" "&amp;B674&amp;" "&amp;C674</f>
        <v>3/8" Hex Mini CIM 9</v>
      </c>
      <c r="E674" s="132">
        <v>4</v>
      </c>
      <c r="I674" s="132">
        <v>0</v>
      </c>
    </row>
    <row r="675" spans="1:9" ht="14.25" customHeight="1" x14ac:dyDescent="0.25">
      <c r="A675" s="132" t="s">
        <v>244</v>
      </c>
      <c r="B675" s="132" t="s">
        <v>7</v>
      </c>
      <c r="C675" s="132">
        <v>12</v>
      </c>
      <c r="D675" s="132" t="str">
        <f t="shared" si="48"/>
        <v>3/8" Hex Mini CIM 12</v>
      </c>
      <c r="E675" s="132">
        <v>3</v>
      </c>
      <c r="I675" s="132">
        <v>0</v>
      </c>
    </row>
    <row r="676" spans="1:9" ht="14.25" customHeight="1" x14ac:dyDescent="0.25">
      <c r="A676" s="132" t="s">
        <v>244</v>
      </c>
      <c r="B676" s="132" t="s">
        <v>7</v>
      </c>
      <c r="C676" s="132">
        <v>15</v>
      </c>
      <c r="D676" s="132" t="str">
        <f t="shared" si="48"/>
        <v>3/8" Hex Mini CIM 15</v>
      </c>
      <c r="E676" s="132">
        <v>1</v>
      </c>
      <c r="I676" s="132">
        <v>0</v>
      </c>
    </row>
    <row r="677" spans="1:9" ht="14.25" customHeight="1" x14ac:dyDescent="0.25">
      <c r="A677" s="132" t="s">
        <v>244</v>
      </c>
      <c r="B677" s="132" t="s">
        <v>7</v>
      </c>
      <c r="C677" s="132">
        <v>16</v>
      </c>
      <c r="D677" s="132" t="str">
        <f t="shared" si="48"/>
        <v>3/8" Hex Mini CIM 16</v>
      </c>
      <c r="E677" s="132">
        <v>1</v>
      </c>
      <c r="I677" s="132">
        <v>0</v>
      </c>
    </row>
    <row r="678" spans="1:9" ht="14.25" customHeight="1" x14ac:dyDescent="0.25">
      <c r="A678" s="132" t="s">
        <v>244</v>
      </c>
      <c r="B678" s="132" t="s">
        <v>7</v>
      </c>
      <c r="C678" s="132">
        <v>20</v>
      </c>
      <c r="D678" s="132" t="str">
        <f t="shared" si="48"/>
        <v>3/8" Hex Mini CIM 20</v>
      </c>
      <c r="E678" s="132">
        <v>1</v>
      </c>
      <c r="I678" s="132">
        <v>0</v>
      </c>
    </row>
    <row r="679" spans="1:9" ht="14.25" customHeight="1" x14ac:dyDescent="0.25">
      <c r="A679" s="132" t="s">
        <v>244</v>
      </c>
      <c r="B679" s="132" t="s">
        <v>7</v>
      </c>
      <c r="C679" s="132">
        <v>21</v>
      </c>
      <c r="D679" s="132" t="str">
        <f t="shared" si="48"/>
        <v>3/8" Hex Mini CIM 21</v>
      </c>
      <c r="E679" s="132">
        <v>1</v>
      </c>
      <c r="I679" s="132">
        <v>0</v>
      </c>
    </row>
    <row r="680" spans="1:9" ht="14.25" customHeight="1" x14ac:dyDescent="0.25">
      <c r="A680" s="132" t="s">
        <v>244</v>
      </c>
      <c r="B680" s="132" t="s">
        <v>7</v>
      </c>
      <c r="C680" s="132">
        <v>25</v>
      </c>
      <c r="D680" s="132" t="str">
        <f t="shared" si="48"/>
        <v>3/8" Hex Mini CIM 25</v>
      </c>
      <c r="E680" s="132">
        <v>1</v>
      </c>
      <c r="I680" s="132">
        <v>0</v>
      </c>
    </row>
    <row r="681" spans="1:9" ht="14.25" customHeight="1" x14ac:dyDescent="0.25">
      <c r="A681" s="132" t="s">
        <v>244</v>
      </c>
      <c r="B681" s="132" t="s">
        <v>7</v>
      </c>
      <c r="C681" s="132">
        <v>27</v>
      </c>
      <c r="D681" s="132" t="str">
        <f t="shared" si="48"/>
        <v>3/8" Hex Mini CIM 27</v>
      </c>
      <c r="E681" s="132">
        <v>1</v>
      </c>
      <c r="I681" s="132">
        <v>0</v>
      </c>
    </row>
    <row r="682" spans="1:9" ht="14.25" customHeight="1" x14ac:dyDescent="0.25">
      <c r="A682" s="132" t="s">
        <v>244</v>
      </c>
      <c r="B682" s="132" t="s">
        <v>7</v>
      </c>
      <c r="C682" s="132">
        <v>28</v>
      </c>
      <c r="D682" s="132" t="str">
        <f t="shared" si="48"/>
        <v>3/8" Hex Mini CIM 28</v>
      </c>
      <c r="E682" s="132">
        <v>1</v>
      </c>
      <c r="I682" s="132">
        <v>0</v>
      </c>
    </row>
    <row r="683" spans="1:9" ht="14.25" customHeight="1" x14ac:dyDescent="0.25">
      <c r="A683" s="132" t="s">
        <v>244</v>
      </c>
      <c r="B683" s="132" t="s">
        <v>7</v>
      </c>
      <c r="C683" s="132">
        <v>30</v>
      </c>
      <c r="D683" s="132" t="str">
        <f t="shared" si="48"/>
        <v>3/8" Hex Mini CIM 30</v>
      </c>
      <c r="E683" s="132">
        <v>1</v>
      </c>
      <c r="I683" s="132">
        <v>0</v>
      </c>
    </row>
    <row r="684" spans="1:9" ht="14.25" customHeight="1" x14ac:dyDescent="0.25">
      <c r="A684" s="132" t="s">
        <v>244</v>
      </c>
      <c r="B684" s="132" t="s">
        <v>7</v>
      </c>
      <c r="C684" s="132">
        <v>35</v>
      </c>
      <c r="D684" s="132" t="str">
        <f t="shared" si="48"/>
        <v>3/8" Hex Mini CIM 35</v>
      </c>
      <c r="E684" s="132">
        <v>1</v>
      </c>
      <c r="I684" s="132">
        <v>0</v>
      </c>
    </row>
    <row r="685" spans="1:9" ht="14.25" customHeight="1" x14ac:dyDescent="0.25">
      <c r="A685" s="132" t="s">
        <v>244</v>
      </c>
      <c r="B685" s="132" t="s">
        <v>7</v>
      </c>
      <c r="C685" s="132">
        <v>36</v>
      </c>
      <c r="D685" s="132" t="str">
        <f t="shared" si="48"/>
        <v>3/8" Hex Mini CIM 36</v>
      </c>
      <c r="E685" s="132">
        <v>1</v>
      </c>
      <c r="I685" s="132">
        <v>0</v>
      </c>
    </row>
    <row r="686" spans="1:9" ht="14.25" customHeight="1" x14ac:dyDescent="0.25">
      <c r="A686" s="132" t="s">
        <v>244</v>
      </c>
      <c r="B686" s="132" t="s">
        <v>7</v>
      </c>
      <c r="C686" s="132">
        <v>40</v>
      </c>
      <c r="D686" s="132" t="str">
        <f t="shared" si="48"/>
        <v>3/8" Hex Mini CIM 40</v>
      </c>
      <c r="E686" s="132">
        <v>0</v>
      </c>
      <c r="I686" s="132">
        <v>0</v>
      </c>
    </row>
    <row r="687" spans="1:9" ht="14.25" customHeight="1" x14ac:dyDescent="0.25">
      <c r="A687" s="132" t="s">
        <v>244</v>
      </c>
      <c r="B687" s="132" t="s">
        <v>7</v>
      </c>
      <c r="C687" s="132">
        <v>45</v>
      </c>
      <c r="D687" s="132" t="str">
        <f t="shared" si="48"/>
        <v>3/8" Hex Mini CIM 45</v>
      </c>
      <c r="E687" s="132">
        <v>0</v>
      </c>
      <c r="I687" s="132">
        <v>0</v>
      </c>
    </row>
    <row r="688" spans="1:9" ht="14.25" customHeight="1" x14ac:dyDescent="0.25">
      <c r="A688" s="132" t="s">
        <v>244</v>
      </c>
      <c r="B688" s="132" t="s">
        <v>7</v>
      </c>
      <c r="C688" s="132">
        <v>49</v>
      </c>
      <c r="D688" s="132" t="str">
        <f t="shared" si="48"/>
        <v>3/8" Hex Mini CIM 49</v>
      </c>
      <c r="E688" s="132">
        <v>0</v>
      </c>
      <c r="I688" s="132">
        <v>0</v>
      </c>
    </row>
    <row r="689" spans="1:9" ht="14.25" customHeight="1" x14ac:dyDescent="0.25">
      <c r="A689" s="132" t="s">
        <v>244</v>
      </c>
      <c r="B689" s="132" t="s">
        <v>7</v>
      </c>
      <c r="C689" s="132">
        <v>50</v>
      </c>
      <c r="D689" s="132" t="str">
        <f t="shared" si="48"/>
        <v>3/8" Hex Mini CIM 50</v>
      </c>
      <c r="E689" s="132">
        <v>0</v>
      </c>
      <c r="I689" s="132">
        <v>0</v>
      </c>
    </row>
    <row r="690" spans="1:9" ht="14.25" customHeight="1" x14ac:dyDescent="0.25">
      <c r="A690" s="132" t="s">
        <v>244</v>
      </c>
      <c r="B690" s="132" t="s">
        <v>7</v>
      </c>
      <c r="C690" s="132">
        <v>63</v>
      </c>
      <c r="D690" s="132" t="str">
        <f t="shared" si="48"/>
        <v>3/8" Hex Mini CIM 63</v>
      </c>
      <c r="E690" s="132">
        <v>0</v>
      </c>
      <c r="I690" s="132">
        <v>0</v>
      </c>
    </row>
    <row r="691" spans="1:9" ht="14.25" customHeight="1" x14ac:dyDescent="0.25">
      <c r="A691" s="132" t="s">
        <v>244</v>
      </c>
      <c r="B691" s="132" t="s">
        <v>7</v>
      </c>
      <c r="C691" s="132">
        <v>70</v>
      </c>
      <c r="D691" s="132" t="str">
        <f t="shared" si="48"/>
        <v>3/8" Hex Mini CIM 70</v>
      </c>
      <c r="E691" s="132">
        <v>0</v>
      </c>
      <c r="I691" s="132">
        <v>0</v>
      </c>
    </row>
    <row r="692" spans="1:9" ht="14.25" customHeight="1" x14ac:dyDescent="0.25">
      <c r="A692" s="132" t="s">
        <v>244</v>
      </c>
      <c r="B692" s="132" t="s">
        <v>7</v>
      </c>
      <c r="C692" s="132">
        <v>81</v>
      </c>
      <c r="D692" s="132" t="str">
        <f t="shared" si="48"/>
        <v>3/8" Hex Mini CIM 81</v>
      </c>
      <c r="E692" s="132">
        <v>0</v>
      </c>
      <c r="I692" s="132">
        <v>0</v>
      </c>
    </row>
    <row r="693" spans="1:9" ht="14.25" customHeight="1" x14ac:dyDescent="0.25">
      <c r="A693" s="132" t="s">
        <v>244</v>
      </c>
      <c r="B693" s="132" t="s">
        <v>7</v>
      </c>
      <c r="C693" s="132">
        <v>90</v>
      </c>
      <c r="D693" s="132" t="str">
        <f t="shared" si="48"/>
        <v>3/8" Hex Mini CIM 90</v>
      </c>
      <c r="E693" s="132">
        <v>0</v>
      </c>
      <c r="I693" s="132">
        <v>0</v>
      </c>
    </row>
    <row r="694" spans="1:9" ht="14.25" customHeight="1" x14ac:dyDescent="0.25">
      <c r="A694" s="132" t="s">
        <v>244</v>
      </c>
      <c r="B694" s="132" t="s">
        <v>7</v>
      </c>
      <c r="C694" s="132">
        <v>100</v>
      </c>
      <c r="D694" s="132" t="str">
        <f t="shared" si="48"/>
        <v>3/8" Hex Mini CIM 100</v>
      </c>
      <c r="E694" s="132">
        <v>0</v>
      </c>
      <c r="I694" s="132">
        <v>0</v>
      </c>
    </row>
    <row r="695" spans="1:9" ht="14.25" customHeight="1" x14ac:dyDescent="0.25">
      <c r="A695" s="132" t="s">
        <v>244</v>
      </c>
      <c r="B695" s="132" t="s">
        <v>6</v>
      </c>
      <c r="C695" s="132">
        <v>-3</v>
      </c>
      <c r="D695" s="132" t="str">
        <f t="shared" ref="D695:D700" si="49">A695&amp;" "&amp;B695&amp;" "&amp;C695</f>
        <v>3/8" Hex CIM -3</v>
      </c>
      <c r="E695" s="132">
        <v>1</v>
      </c>
      <c r="I695" s="132">
        <v>0</v>
      </c>
    </row>
    <row r="696" spans="1:9" ht="14.25" customHeight="1" x14ac:dyDescent="0.25">
      <c r="A696" s="132" t="s">
        <v>244</v>
      </c>
      <c r="B696" s="132" t="s">
        <v>6</v>
      </c>
      <c r="C696" s="132">
        <v>-4</v>
      </c>
      <c r="D696" s="132" t="str">
        <f t="shared" si="49"/>
        <v>3/8" Hex CIM -4</v>
      </c>
      <c r="E696" s="132">
        <v>1</v>
      </c>
      <c r="I696" s="132">
        <v>0</v>
      </c>
    </row>
    <row r="697" spans="1:9" ht="14.25" customHeight="1" x14ac:dyDescent="0.25">
      <c r="A697" s="132" t="s">
        <v>244</v>
      </c>
      <c r="B697" s="132" t="s">
        <v>6</v>
      </c>
      <c r="C697" s="132">
        <v>-5</v>
      </c>
      <c r="D697" s="132" t="str">
        <f t="shared" si="49"/>
        <v>3/8" Hex CIM -5</v>
      </c>
      <c r="E697" s="132">
        <v>1</v>
      </c>
      <c r="I697" s="132">
        <v>0</v>
      </c>
    </row>
    <row r="698" spans="1:9" ht="14.25" customHeight="1" x14ac:dyDescent="0.25">
      <c r="A698" s="132" t="s">
        <v>244</v>
      </c>
      <c r="B698" s="132" t="s">
        <v>6</v>
      </c>
      <c r="C698" s="132">
        <v>-7</v>
      </c>
      <c r="D698" s="132" t="str">
        <f t="shared" si="49"/>
        <v>3/8" Hex CIM -7</v>
      </c>
      <c r="E698" s="132">
        <v>1</v>
      </c>
      <c r="I698" s="132">
        <v>0</v>
      </c>
    </row>
    <row r="699" spans="1:9" ht="14.25" customHeight="1" x14ac:dyDescent="0.25">
      <c r="A699" s="132" t="s">
        <v>244</v>
      </c>
      <c r="B699" s="132" t="s">
        <v>6</v>
      </c>
      <c r="C699" s="132">
        <v>-9</v>
      </c>
      <c r="D699" s="132" t="str">
        <f t="shared" si="49"/>
        <v>3/8" Hex CIM -9</v>
      </c>
      <c r="E699" s="132">
        <v>1</v>
      </c>
      <c r="I699" s="132">
        <v>0</v>
      </c>
    </row>
    <row r="700" spans="1:9" ht="14.25" customHeight="1" x14ac:dyDescent="0.25">
      <c r="A700" s="132" t="s">
        <v>244</v>
      </c>
      <c r="B700" s="132" t="s">
        <v>6</v>
      </c>
      <c r="C700" s="132">
        <v>-10</v>
      </c>
      <c r="D700" s="132" t="str">
        <f t="shared" si="49"/>
        <v>3/8" Hex CIM -10</v>
      </c>
      <c r="E700" s="132">
        <v>1</v>
      </c>
      <c r="I700" s="132">
        <v>0</v>
      </c>
    </row>
    <row r="701" spans="1:9" ht="14.25" customHeight="1" x14ac:dyDescent="0.25">
      <c r="A701" s="132" t="s">
        <v>244</v>
      </c>
      <c r="B701" s="132" t="s">
        <v>6</v>
      </c>
      <c r="C701" s="132">
        <v>9</v>
      </c>
      <c r="D701" s="132" t="str">
        <f t="shared" ref="D701:D721" si="50">A701&amp;" "&amp;B701&amp;" "&amp;C701</f>
        <v>3/8" Hex CIM 9</v>
      </c>
      <c r="E701" s="132">
        <v>1</v>
      </c>
      <c r="I701" s="132">
        <v>0</v>
      </c>
    </row>
    <row r="702" spans="1:9" ht="14.25" customHeight="1" x14ac:dyDescent="0.25">
      <c r="A702" s="132" t="s">
        <v>244</v>
      </c>
      <c r="B702" s="132" t="s">
        <v>6</v>
      </c>
      <c r="C702" s="132">
        <v>12</v>
      </c>
      <c r="D702" s="132" t="str">
        <f t="shared" si="50"/>
        <v>3/8" Hex CIM 12</v>
      </c>
      <c r="E702" s="132">
        <v>1</v>
      </c>
      <c r="I702" s="132">
        <v>0</v>
      </c>
    </row>
    <row r="703" spans="1:9" ht="14.25" customHeight="1" x14ac:dyDescent="0.25">
      <c r="A703" s="132" t="s">
        <v>244</v>
      </c>
      <c r="B703" s="132" t="s">
        <v>6</v>
      </c>
      <c r="C703" s="132">
        <v>15</v>
      </c>
      <c r="D703" s="132" t="str">
        <f t="shared" si="50"/>
        <v>3/8" Hex CIM 15</v>
      </c>
      <c r="E703" s="132">
        <v>1</v>
      </c>
      <c r="I703" s="132">
        <v>0</v>
      </c>
    </row>
    <row r="704" spans="1:9" ht="14.25" customHeight="1" x14ac:dyDescent="0.25">
      <c r="A704" s="132" t="s">
        <v>244</v>
      </c>
      <c r="B704" s="132" t="s">
        <v>6</v>
      </c>
      <c r="C704" s="132">
        <v>16</v>
      </c>
      <c r="D704" s="132" t="str">
        <f t="shared" si="50"/>
        <v>3/8" Hex CIM 16</v>
      </c>
      <c r="E704" s="132">
        <v>1</v>
      </c>
      <c r="I704" s="132">
        <v>0</v>
      </c>
    </row>
    <row r="705" spans="1:9" ht="14.25" customHeight="1" x14ac:dyDescent="0.25">
      <c r="A705" s="132" t="s">
        <v>244</v>
      </c>
      <c r="B705" s="132" t="s">
        <v>6</v>
      </c>
      <c r="C705" s="132">
        <v>20</v>
      </c>
      <c r="D705" s="132" t="str">
        <f t="shared" si="50"/>
        <v>3/8" Hex CIM 20</v>
      </c>
      <c r="E705" s="132">
        <v>1</v>
      </c>
      <c r="I705" s="132">
        <v>0</v>
      </c>
    </row>
    <row r="706" spans="1:9" ht="14.25" customHeight="1" x14ac:dyDescent="0.25">
      <c r="A706" s="132" t="s">
        <v>244</v>
      </c>
      <c r="B706" s="132" t="s">
        <v>6</v>
      </c>
      <c r="C706" s="132">
        <v>21</v>
      </c>
      <c r="D706" s="132" t="str">
        <f t="shared" si="50"/>
        <v>3/8" Hex CIM 21</v>
      </c>
      <c r="E706" s="132">
        <v>1</v>
      </c>
      <c r="I706" s="132">
        <v>0</v>
      </c>
    </row>
    <row r="707" spans="1:9" ht="14.25" customHeight="1" x14ac:dyDescent="0.25">
      <c r="A707" s="132" t="s">
        <v>244</v>
      </c>
      <c r="B707" s="132" t="s">
        <v>6</v>
      </c>
      <c r="C707" s="132">
        <v>25</v>
      </c>
      <c r="D707" s="132" t="str">
        <f t="shared" si="50"/>
        <v>3/8" Hex CIM 25</v>
      </c>
      <c r="E707" s="132">
        <v>0</v>
      </c>
      <c r="I707" s="132">
        <v>0</v>
      </c>
    </row>
    <row r="708" spans="1:9" ht="14.25" customHeight="1" x14ac:dyDescent="0.25">
      <c r="A708" s="132" t="s">
        <v>244</v>
      </c>
      <c r="B708" s="132" t="s">
        <v>6</v>
      </c>
      <c r="C708" s="132">
        <v>27</v>
      </c>
      <c r="D708" s="132" t="str">
        <f t="shared" si="50"/>
        <v>3/8" Hex CIM 27</v>
      </c>
      <c r="E708" s="132">
        <v>0</v>
      </c>
      <c r="I708" s="132">
        <v>0</v>
      </c>
    </row>
    <row r="709" spans="1:9" ht="14.25" customHeight="1" x14ac:dyDescent="0.25">
      <c r="A709" s="132" t="s">
        <v>244</v>
      </c>
      <c r="B709" s="132" t="s">
        <v>6</v>
      </c>
      <c r="C709" s="132">
        <v>28</v>
      </c>
      <c r="D709" s="132" t="str">
        <f t="shared" si="50"/>
        <v>3/8" Hex CIM 28</v>
      </c>
      <c r="E709" s="132">
        <v>0</v>
      </c>
      <c r="I709" s="132">
        <v>0</v>
      </c>
    </row>
    <row r="710" spans="1:9" ht="14.25" customHeight="1" x14ac:dyDescent="0.25">
      <c r="A710" s="132" t="s">
        <v>244</v>
      </c>
      <c r="B710" s="132" t="s">
        <v>6</v>
      </c>
      <c r="C710" s="132">
        <v>30</v>
      </c>
      <c r="D710" s="132" t="str">
        <f t="shared" si="50"/>
        <v>3/8" Hex CIM 30</v>
      </c>
      <c r="E710" s="132">
        <v>0</v>
      </c>
      <c r="I710" s="132">
        <v>0</v>
      </c>
    </row>
    <row r="711" spans="1:9" ht="14.25" customHeight="1" x14ac:dyDescent="0.25">
      <c r="A711" s="132" t="s">
        <v>244</v>
      </c>
      <c r="B711" s="132" t="s">
        <v>6</v>
      </c>
      <c r="C711" s="132">
        <v>35</v>
      </c>
      <c r="D711" s="132" t="str">
        <f t="shared" si="50"/>
        <v>3/8" Hex CIM 35</v>
      </c>
      <c r="E711" s="132">
        <v>0</v>
      </c>
      <c r="I711" s="132">
        <v>0</v>
      </c>
    </row>
    <row r="712" spans="1:9" ht="14.25" customHeight="1" x14ac:dyDescent="0.25">
      <c r="A712" s="132" t="s">
        <v>244</v>
      </c>
      <c r="B712" s="132" t="s">
        <v>6</v>
      </c>
      <c r="C712" s="132">
        <v>36</v>
      </c>
      <c r="D712" s="132" t="str">
        <f t="shared" si="50"/>
        <v>3/8" Hex CIM 36</v>
      </c>
      <c r="E712" s="132">
        <v>0</v>
      </c>
      <c r="I712" s="132">
        <v>0</v>
      </c>
    </row>
    <row r="713" spans="1:9" ht="14.25" customHeight="1" x14ac:dyDescent="0.25">
      <c r="A713" s="132" t="s">
        <v>244</v>
      </c>
      <c r="B713" s="132" t="s">
        <v>6</v>
      </c>
      <c r="C713" s="132">
        <v>40</v>
      </c>
      <c r="D713" s="132" t="str">
        <f t="shared" si="50"/>
        <v>3/8" Hex CIM 40</v>
      </c>
      <c r="E713" s="132">
        <v>0</v>
      </c>
      <c r="I713" s="132">
        <v>0</v>
      </c>
    </row>
    <row r="714" spans="1:9" ht="14.25" customHeight="1" x14ac:dyDescent="0.25">
      <c r="A714" s="132" t="s">
        <v>244</v>
      </c>
      <c r="B714" s="132" t="s">
        <v>6</v>
      </c>
      <c r="C714" s="132">
        <v>45</v>
      </c>
      <c r="D714" s="132" t="str">
        <f t="shared" si="50"/>
        <v>3/8" Hex CIM 45</v>
      </c>
      <c r="E714" s="132">
        <v>0</v>
      </c>
      <c r="I714" s="132">
        <v>0</v>
      </c>
    </row>
    <row r="715" spans="1:9" ht="14.25" customHeight="1" x14ac:dyDescent="0.25">
      <c r="A715" s="132" t="s">
        <v>244</v>
      </c>
      <c r="B715" s="132" t="s">
        <v>6</v>
      </c>
      <c r="C715" s="132">
        <v>49</v>
      </c>
      <c r="D715" s="132" t="str">
        <f t="shared" si="50"/>
        <v>3/8" Hex CIM 49</v>
      </c>
      <c r="E715" s="132">
        <v>0</v>
      </c>
      <c r="I715" s="132">
        <v>0</v>
      </c>
    </row>
    <row r="716" spans="1:9" ht="14.25" customHeight="1" x14ac:dyDescent="0.25">
      <c r="A716" s="132" t="s">
        <v>244</v>
      </c>
      <c r="B716" s="132" t="s">
        <v>6</v>
      </c>
      <c r="C716" s="132">
        <v>50</v>
      </c>
      <c r="D716" s="132" t="str">
        <f t="shared" si="50"/>
        <v>3/8" Hex CIM 50</v>
      </c>
      <c r="E716" s="132">
        <v>0</v>
      </c>
      <c r="I716" s="132">
        <v>0</v>
      </c>
    </row>
    <row r="717" spans="1:9" ht="14.25" customHeight="1" x14ac:dyDescent="0.25">
      <c r="A717" s="132" t="s">
        <v>244</v>
      </c>
      <c r="B717" s="132" t="s">
        <v>6</v>
      </c>
      <c r="C717" s="132">
        <v>63</v>
      </c>
      <c r="D717" s="132" t="str">
        <f t="shared" si="50"/>
        <v>3/8" Hex CIM 63</v>
      </c>
      <c r="E717" s="132">
        <v>0</v>
      </c>
      <c r="I717" s="132">
        <v>0</v>
      </c>
    </row>
    <row r="718" spans="1:9" ht="14.25" customHeight="1" x14ac:dyDescent="0.25">
      <c r="A718" s="132" t="s">
        <v>244</v>
      </c>
      <c r="B718" s="132" t="s">
        <v>6</v>
      </c>
      <c r="C718" s="132">
        <v>70</v>
      </c>
      <c r="D718" s="132" t="str">
        <f t="shared" si="50"/>
        <v>3/8" Hex CIM 70</v>
      </c>
      <c r="E718" s="132">
        <v>0</v>
      </c>
      <c r="I718" s="132">
        <v>0</v>
      </c>
    </row>
    <row r="719" spans="1:9" ht="14.25" customHeight="1" x14ac:dyDescent="0.25">
      <c r="A719" s="132" t="s">
        <v>244</v>
      </c>
      <c r="B719" s="132" t="s">
        <v>6</v>
      </c>
      <c r="C719" s="132">
        <v>81</v>
      </c>
      <c r="D719" s="132" t="str">
        <f t="shared" si="50"/>
        <v>3/8" Hex CIM 81</v>
      </c>
      <c r="E719" s="132">
        <v>0</v>
      </c>
      <c r="I719" s="132">
        <v>0</v>
      </c>
    </row>
    <row r="720" spans="1:9" ht="14.25" customHeight="1" x14ac:dyDescent="0.25">
      <c r="A720" s="132" t="s">
        <v>244</v>
      </c>
      <c r="B720" s="132" t="s">
        <v>6</v>
      </c>
      <c r="C720" s="132">
        <v>90</v>
      </c>
      <c r="D720" s="132" t="str">
        <f t="shared" si="50"/>
        <v>3/8" Hex CIM 90</v>
      </c>
      <c r="E720" s="132">
        <v>0</v>
      </c>
      <c r="I720" s="132">
        <v>0</v>
      </c>
    </row>
    <row r="721" spans="1:9" ht="14.25" customHeight="1" x14ac:dyDescent="0.25">
      <c r="A721" s="132" t="s">
        <v>244</v>
      </c>
      <c r="B721" s="132" t="s">
        <v>6</v>
      </c>
      <c r="C721" s="132">
        <v>100</v>
      </c>
      <c r="D721" s="132" t="str">
        <f t="shared" si="50"/>
        <v>3/8" Hex CIM 100</v>
      </c>
      <c r="E721" s="132">
        <v>0</v>
      </c>
      <c r="I721" s="132">
        <v>0</v>
      </c>
    </row>
    <row r="722" spans="1:9" ht="14.25" customHeight="1" x14ac:dyDescent="0.25">
      <c r="A722" s="132" t="s">
        <v>244</v>
      </c>
      <c r="B722" s="132" t="s">
        <v>9</v>
      </c>
      <c r="C722" s="132">
        <v>-3</v>
      </c>
      <c r="D722" s="132" t="str">
        <f t="shared" ref="D722:D727" si="51">A722&amp;" "&amp;B722&amp;" "&amp;C722</f>
        <v>3/8" Hex NEO -3</v>
      </c>
      <c r="E722" s="132">
        <v>1</v>
      </c>
      <c r="I722" s="132">
        <v>0</v>
      </c>
    </row>
    <row r="723" spans="1:9" ht="14.25" customHeight="1" x14ac:dyDescent="0.25">
      <c r="A723" s="132" t="s">
        <v>244</v>
      </c>
      <c r="B723" s="132" t="s">
        <v>9</v>
      </c>
      <c r="C723" s="132">
        <v>-4</v>
      </c>
      <c r="D723" s="132" t="str">
        <f t="shared" si="51"/>
        <v>3/8" Hex NEO -4</v>
      </c>
      <c r="E723" s="132">
        <v>1</v>
      </c>
      <c r="I723" s="132">
        <v>0</v>
      </c>
    </row>
    <row r="724" spans="1:9" ht="14.25" customHeight="1" x14ac:dyDescent="0.25">
      <c r="A724" s="132" t="s">
        <v>244</v>
      </c>
      <c r="B724" s="132" t="s">
        <v>9</v>
      </c>
      <c r="C724" s="132">
        <v>-5</v>
      </c>
      <c r="D724" s="132" t="str">
        <f t="shared" si="51"/>
        <v>3/8" Hex NEO -5</v>
      </c>
      <c r="E724" s="132">
        <v>1</v>
      </c>
      <c r="I724" s="132">
        <v>0</v>
      </c>
    </row>
    <row r="725" spans="1:9" ht="14.25" customHeight="1" x14ac:dyDescent="0.25">
      <c r="A725" s="132" t="s">
        <v>244</v>
      </c>
      <c r="B725" s="132" t="s">
        <v>9</v>
      </c>
      <c r="C725" s="132">
        <v>-7</v>
      </c>
      <c r="D725" s="132" t="str">
        <f t="shared" si="51"/>
        <v>3/8" Hex NEO -7</v>
      </c>
      <c r="E725" s="132">
        <v>1</v>
      </c>
      <c r="I725" s="132">
        <v>0</v>
      </c>
    </row>
    <row r="726" spans="1:9" ht="14.25" customHeight="1" x14ac:dyDescent="0.25">
      <c r="A726" s="132" t="s">
        <v>244</v>
      </c>
      <c r="B726" s="132" t="s">
        <v>9</v>
      </c>
      <c r="C726" s="132">
        <v>-9</v>
      </c>
      <c r="D726" s="132" t="str">
        <f t="shared" si="51"/>
        <v>3/8" Hex NEO -9</v>
      </c>
      <c r="E726" s="132">
        <v>1</v>
      </c>
      <c r="I726" s="132">
        <v>0</v>
      </c>
    </row>
    <row r="727" spans="1:9" ht="14.25" customHeight="1" x14ac:dyDescent="0.25">
      <c r="A727" s="132" t="s">
        <v>244</v>
      </c>
      <c r="B727" s="132" t="s">
        <v>9</v>
      </c>
      <c r="C727" s="132">
        <v>-10</v>
      </c>
      <c r="D727" s="132" t="str">
        <f t="shared" si="51"/>
        <v>3/8" Hex NEO -10</v>
      </c>
      <c r="E727" s="132">
        <v>1</v>
      </c>
      <c r="I727" s="132">
        <v>0</v>
      </c>
    </row>
    <row r="728" spans="1:9" ht="14.25" customHeight="1" x14ac:dyDescent="0.25">
      <c r="A728" s="132" t="s">
        <v>244</v>
      </c>
      <c r="B728" s="132" t="s">
        <v>9</v>
      </c>
      <c r="C728" s="132">
        <v>9</v>
      </c>
      <c r="D728" s="132" t="str">
        <f t="shared" ref="D728:D748" si="52">A728&amp;" "&amp;B728&amp;" "&amp;C728</f>
        <v>3/8" Hex NEO 9</v>
      </c>
      <c r="E728" s="132">
        <v>1</v>
      </c>
      <c r="I728" s="132">
        <v>0</v>
      </c>
    </row>
    <row r="729" spans="1:9" ht="14.25" customHeight="1" x14ac:dyDescent="0.25">
      <c r="A729" s="132" t="s">
        <v>244</v>
      </c>
      <c r="B729" s="132" t="s">
        <v>9</v>
      </c>
      <c r="C729" s="132">
        <v>12</v>
      </c>
      <c r="D729" s="132" t="str">
        <f t="shared" si="52"/>
        <v>3/8" Hex NEO 12</v>
      </c>
      <c r="E729" s="132">
        <v>1</v>
      </c>
      <c r="I729" s="132">
        <v>0</v>
      </c>
    </row>
    <row r="730" spans="1:9" ht="14.25" customHeight="1" x14ac:dyDescent="0.25">
      <c r="A730" s="132" t="s">
        <v>244</v>
      </c>
      <c r="B730" s="132" t="s">
        <v>9</v>
      </c>
      <c r="C730" s="132">
        <v>15</v>
      </c>
      <c r="D730" s="132" t="str">
        <f t="shared" si="52"/>
        <v>3/8" Hex NEO 15</v>
      </c>
      <c r="E730" s="132">
        <v>1</v>
      </c>
      <c r="I730" s="132">
        <v>0</v>
      </c>
    </row>
    <row r="731" spans="1:9" ht="14.25" customHeight="1" x14ac:dyDescent="0.25">
      <c r="A731" s="132" t="s">
        <v>244</v>
      </c>
      <c r="B731" s="132" t="s">
        <v>9</v>
      </c>
      <c r="C731" s="132">
        <v>16</v>
      </c>
      <c r="D731" s="132" t="str">
        <f t="shared" si="52"/>
        <v>3/8" Hex NEO 16</v>
      </c>
      <c r="E731" s="132">
        <v>1</v>
      </c>
      <c r="I731" s="132">
        <v>0</v>
      </c>
    </row>
    <row r="732" spans="1:9" ht="14.25" customHeight="1" x14ac:dyDescent="0.25">
      <c r="A732" s="132" t="s">
        <v>244</v>
      </c>
      <c r="B732" s="132" t="s">
        <v>9</v>
      </c>
      <c r="C732" s="132">
        <v>20</v>
      </c>
      <c r="D732" s="132" t="str">
        <f t="shared" si="52"/>
        <v>3/8" Hex NEO 20</v>
      </c>
      <c r="E732" s="132">
        <v>0</v>
      </c>
      <c r="I732" s="132">
        <v>0</v>
      </c>
    </row>
    <row r="733" spans="1:9" ht="14.25" customHeight="1" x14ac:dyDescent="0.25">
      <c r="A733" s="132" t="s">
        <v>244</v>
      </c>
      <c r="B733" s="132" t="s">
        <v>9</v>
      </c>
      <c r="C733" s="132">
        <v>21</v>
      </c>
      <c r="D733" s="132" t="str">
        <f t="shared" si="52"/>
        <v>3/8" Hex NEO 21</v>
      </c>
      <c r="E733" s="132">
        <v>0</v>
      </c>
      <c r="I733" s="132">
        <v>0</v>
      </c>
    </row>
    <row r="734" spans="1:9" ht="14.25" customHeight="1" x14ac:dyDescent="0.25">
      <c r="A734" s="132" t="s">
        <v>244</v>
      </c>
      <c r="B734" s="132" t="s">
        <v>9</v>
      </c>
      <c r="C734" s="132">
        <v>25</v>
      </c>
      <c r="D734" s="132" t="str">
        <f t="shared" si="52"/>
        <v>3/8" Hex NEO 25</v>
      </c>
      <c r="E734" s="132">
        <v>0</v>
      </c>
      <c r="I734" s="132">
        <v>0</v>
      </c>
    </row>
    <row r="735" spans="1:9" ht="14.25" customHeight="1" x14ac:dyDescent="0.25">
      <c r="A735" s="132" t="s">
        <v>244</v>
      </c>
      <c r="B735" s="132" t="s">
        <v>9</v>
      </c>
      <c r="C735" s="132">
        <v>27</v>
      </c>
      <c r="D735" s="132" t="str">
        <f t="shared" si="52"/>
        <v>3/8" Hex NEO 27</v>
      </c>
      <c r="E735" s="132">
        <v>0</v>
      </c>
      <c r="I735" s="132">
        <v>0</v>
      </c>
    </row>
    <row r="736" spans="1:9" ht="14.25" customHeight="1" x14ac:dyDescent="0.25">
      <c r="A736" s="132" t="s">
        <v>244</v>
      </c>
      <c r="B736" s="132" t="s">
        <v>9</v>
      </c>
      <c r="C736" s="132">
        <v>28</v>
      </c>
      <c r="D736" s="132" t="str">
        <f t="shared" si="52"/>
        <v>3/8" Hex NEO 28</v>
      </c>
      <c r="E736" s="132">
        <v>0</v>
      </c>
      <c r="I736" s="132">
        <v>0</v>
      </c>
    </row>
    <row r="737" spans="1:9" ht="14.25" customHeight="1" x14ac:dyDescent="0.25">
      <c r="A737" s="132" t="s">
        <v>244</v>
      </c>
      <c r="B737" s="132" t="s">
        <v>9</v>
      </c>
      <c r="C737" s="132">
        <v>30</v>
      </c>
      <c r="D737" s="132" t="str">
        <f t="shared" si="52"/>
        <v>3/8" Hex NEO 30</v>
      </c>
      <c r="E737" s="132">
        <v>0</v>
      </c>
      <c r="I737" s="132">
        <v>0</v>
      </c>
    </row>
    <row r="738" spans="1:9" ht="14.25" customHeight="1" x14ac:dyDescent="0.25">
      <c r="A738" s="132" t="s">
        <v>244</v>
      </c>
      <c r="B738" s="132" t="s">
        <v>9</v>
      </c>
      <c r="C738" s="132">
        <v>35</v>
      </c>
      <c r="D738" s="132" t="str">
        <f t="shared" si="52"/>
        <v>3/8" Hex NEO 35</v>
      </c>
      <c r="E738" s="132">
        <v>0</v>
      </c>
      <c r="I738" s="132">
        <v>0</v>
      </c>
    </row>
    <row r="739" spans="1:9" ht="14.25" customHeight="1" x14ac:dyDescent="0.25">
      <c r="A739" s="132" t="s">
        <v>244</v>
      </c>
      <c r="B739" s="132" t="s">
        <v>9</v>
      </c>
      <c r="C739" s="132">
        <v>36</v>
      </c>
      <c r="D739" s="132" t="str">
        <f t="shared" si="52"/>
        <v>3/8" Hex NEO 36</v>
      </c>
      <c r="E739" s="132">
        <v>0</v>
      </c>
      <c r="I739" s="132">
        <v>0</v>
      </c>
    </row>
    <row r="740" spans="1:9" ht="14.25" customHeight="1" x14ac:dyDescent="0.25">
      <c r="A740" s="132" t="s">
        <v>244</v>
      </c>
      <c r="B740" s="132" t="s">
        <v>9</v>
      </c>
      <c r="C740" s="132">
        <v>40</v>
      </c>
      <c r="D740" s="132" t="str">
        <f t="shared" si="52"/>
        <v>3/8" Hex NEO 40</v>
      </c>
      <c r="E740" s="132">
        <v>0</v>
      </c>
      <c r="I740" s="132">
        <v>0</v>
      </c>
    </row>
    <row r="741" spans="1:9" ht="14.25" customHeight="1" x14ac:dyDescent="0.25">
      <c r="A741" s="132" t="s">
        <v>244</v>
      </c>
      <c r="B741" s="132" t="s">
        <v>9</v>
      </c>
      <c r="C741" s="132">
        <v>45</v>
      </c>
      <c r="D741" s="132" t="str">
        <f t="shared" si="52"/>
        <v>3/8" Hex NEO 45</v>
      </c>
      <c r="E741" s="132">
        <v>0</v>
      </c>
      <c r="I741" s="132">
        <v>0</v>
      </c>
    </row>
    <row r="742" spans="1:9" ht="14.25" customHeight="1" x14ac:dyDescent="0.25">
      <c r="A742" s="132" t="s">
        <v>244</v>
      </c>
      <c r="B742" s="132" t="s">
        <v>9</v>
      </c>
      <c r="C742" s="132">
        <v>49</v>
      </c>
      <c r="D742" s="132" t="str">
        <f t="shared" si="52"/>
        <v>3/8" Hex NEO 49</v>
      </c>
      <c r="E742" s="132">
        <v>0</v>
      </c>
      <c r="I742" s="132">
        <v>0</v>
      </c>
    </row>
    <row r="743" spans="1:9" ht="14.25" customHeight="1" x14ac:dyDescent="0.25">
      <c r="A743" s="132" t="s">
        <v>244</v>
      </c>
      <c r="B743" s="132" t="s">
        <v>9</v>
      </c>
      <c r="C743" s="132">
        <v>50</v>
      </c>
      <c r="D743" s="132" t="str">
        <f t="shared" si="52"/>
        <v>3/8" Hex NEO 50</v>
      </c>
      <c r="E743" s="132">
        <v>0</v>
      </c>
      <c r="I743" s="132">
        <v>0</v>
      </c>
    </row>
    <row r="744" spans="1:9" ht="14.25" customHeight="1" x14ac:dyDescent="0.25">
      <c r="A744" s="132" t="s">
        <v>244</v>
      </c>
      <c r="B744" s="132" t="s">
        <v>9</v>
      </c>
      <c r="C744" s="132">
        <v>63</v>
      </c>
      <c r="D744" s="132" t="str">
        <f t="shared" si="52"/>
        <v>3/8" Hex NEO 63</v>
      </c>
      <c r="E744" s="132">
        <v>0</v>
      </c>
      <c r="I744" s="132">
        <v>0</v>
      </c>
    </row>
    <row r="745" spans="1:9" ht="14.25" customHeight="1" x14ac:dyDescent="0.25">
      <c r="A745" s="132" t="s">
        <v>244</v>
      </c>
      <c r="B745" s="132" t="s">
        <v>9</v>
      </c>
      <c r="C745" s="132">
        <v>70</v>
      </c>
      <c r="D745" s="132" t="str">
        <f t="shared" si="52"/>
        <v>3/8" Hex NEO 70</v>
      </c>
      <c r="E745" s="132">
        <v>0</v>
      </c>
      <c r="I745" s="132">
        <v>0</v>
      </c>
    </row>
    <row r="746" spans="1:9" ht="14.25" customHeight="1" x14ac:dyDescent="0.25">
      <c r="A746" s="132" t="s">
        <v>244</v>
      </c>
      <c r="B746" s="132" t="s">
        <v>9</v>
      </c>
      <c r="C746" s="132">
        <v>81</v>
      </c>
      <c r="D746" s="132" t="str">
        <f t="shared" si="52"/>
        <v>3/8" Hex NEO 81</v>
      </c>
      <c r="E746" s="132">
        <v>0</v>
      </c>
      <c r="I746" s="132">
        <v>0</v>
      </c>
    </row>
    <row r="747" spans="1:9" ht="14.25" customHeight="1" x14ac:dyDescent="0.25">
      <c r="A747" s="132" t="s">
        <v>244</v>
      </c>
      <c r="B747" s="132" t="s">
        <v>9</v>
      </c>
      <c r="C747" s="132">
        <v>90</v>
      </c>
      <c r="D747" s="132" t="str">
        <f t="shared" si="52"/>
        <v>3/8" Hex NEO 90</v>
      </c>
      <c r="E747" s="132">
        <v>0</v>
      </c>
      <c r="I747" s="132">
        <v>0</v>
      </c>
    </row>
    <row r="748" spans="1:9" ht="14.25" customHeight="1" x14ac:dyDescent="0.25">
      <c r="A748" s="132" t="s">
        <v>244</v>
      </c>
      <c r="B748" s="132" t="s">
        <v>9</v>
      </c>
      <c r="C748" s="132">
        <v>100</v>
      </c>
      <c r="D748" s="132" t="str">
        <f t="shared" si="52"/>
        <v>3/8" Hex NEO 100</v>
      </c>
      <c r="E748" s="132">
        <v>0</v>
      </c>
      <c r="I748" s="132">
        <v>0</v>
      </c>
    </row>
    <row r="749" spans="1:9" ht="14.25" customHeight="1" x14ac:dyDescent="0.25">
      <c r="A749" s="132" t="s">
        <v>244</v>
      </c>
      <c r="B749" s="132" t="s">
        <v>334</v>
      </c>
      <c r="C749" s="132">
        <v>-3</v>
      </c>
      <c r="D749" s="132" t="str">
        <f t="shared" ref="D749:D754" si="53">A749&amp;" "&amp;B749&amp;" "&amp;C749</f>
        <v>3/8" Hex Falcon 500 -3</v>
      </c>
      <c r="E749" s="132">
        <v>1</v>
      </c>
      <c r="I749" s="132">
        <v>0</v>
      </c>
    </row>
    <row r="750" spans="1:9" ht="14.25" customHeight="1" x14ac:dyDescent="0.25">
      <c r="A750" s="132" t="s">
        <v>244</v>
      </c>
      <c r="B750" s="132" t="s">
        <v>334</v>
      </c>
      <c r="C750" s="132">
        <v>-4</v>
      </c>
      <c r="D750" s="132" t="str">
        <f t="shared" si="53"/>
        <v>3/8" Hex Falcon 500 -4</v>
      </c>
      <c r="E750" s="132">
        <v>1</v>
      </c>
      <c r="I750" s="132">
        <v>0</v>
      </c>
    </row>
    <row r="751" spans="1:9" ht="14.25" customHeight="1" x14ac:dyDescent="0.25">
      <c r="A751" s="132" t="s">
        <v>244</v>
      </c>
      <c r="B751" s="132" t="s">
        <v>334</v>
      </c>
      <c r="C751" s="132">
        <v>-5</v>
      </c>
      <c r="D751" s="132" t="str">
        <f t="shared" si="53"/>
        <v>3/8" Hex Falcon 500 -5</v>
      </c>
      <c r="E751" s="132">
        <v>1</v>
      </c>
      <c r="I751" s="132">
        <v>0</v>
      </c>
    </row>
    <row r="752" spans="1:9" ht="14.25" customHeight="1" x14ac:dyDescent="0.25">
      <c r="A752" s="132" t="s">
        <v>244</v>
      </c>
      <c r="B752" s="132" t="s">
        <v>334</v>
      </c>
      <c r="C752" s="132">
        <v>-7</v>
      </c>
      <c r="D752" s="132" t="str">
        <f t="shared" si="53"/>
        <v>3/8" Hex Falcon 500 -7</v>
      </c>
      <c r="E752" s="132">
        <v>1</v>
      </c>
      <c r="I752" s="132">
        <v>0</v>
      </c>
    </row>
    <row r="753" spans="1:9" ht="14.25" customHeight="1" x14ac:dyDescent="0.25">
      <c r="A753" s="132" t="s">
        <v>244</v>
      </c>
      <c r="B753" s="132" t="s">
        <v>334</v>
      </c>
      <c r="C753" s="132">
        <v>-9</v>
      </c>
      <c r="D753" s="132" t="str">
        <f t="shared" si="53"/>
        <v>3/8" Hex Falcon 500 -9</v>
      </c>
      <c r="E753" s="132">
        <v>1</v>
      </c>
      <c r="I753" s="132">
        <v>0</v>
      </c>
    </row>
    <row r="754" spans="1:9" ht="14.25" customHeight="1" x14ac:dyDescent="0.25">
      <c r="A754" s="132" t="s">
        <v>244</v>
      </c>
      <c r="B754" s="132" t="s">
        <v>334</v>
      </c>
      <c r="C754" s="132">
        <v>-10</v>
      </c>
      <c r="D754" s="132" t="str">
        <f t="shared" si="53"/>
        <v>3/8" Hex Falcon 500 -10</v>
      </c>
      <c r="E754" s="132">
        <v>1</v>
      </c>
      <c r="I754" s="132">
        <v>0</v>
      </c>
    </row>
    <row r="755" spans="1:9" ht="14.25" customHeight="1" x14ac:dyDescent="0.25">
      <c r="A755" s="132" t="s">
        <v>244</v>
      </c>
      <c r="B755" s="132" t="s">
        <v>334</v>
      </c>
      <c r="C755" s="132">
        <v>9</v>
      </c>
      <c r="D755" s="132" t="str">
        <f t="shared" ref="D755:D775" si="54">A755&amp;" "&amp;B755&amp;" "&amp;C755</f>
        <v>3/8" Hex Falcon 500 9</v>
      </c>
      <c r="E755" s="132">
        <v>1</v>
      </c>
      <c r="I755" s="132">
        <v>0</v>
      </c>
    </row>
    <row r="756" spans="1:9" ht="14.25" customHeight="1" x14ac:dyDescent="0.25">
      <c r="A756" s="132" t="s">
        <v>244</v>
      </c>
      <c r="B756" s="132" t="s">
        <v>334</v>
      </c>
      <c r="C756" s="132">
        <v>12</v>
      </c>
      <c r="D756" s="132" t="str">
        <f t="shared" si="54"/>
        <v>3/8" Hex Falcon 500 12</v>
      </c>
      <c r="E756" s="132">
        <v>1</v>
      </c>
      <c r="I756" s="132">
        <v>0</v>
      </c>
    </row>
    <row r="757" spans="1:9" ht="14.25" customHeight="1" x14ac:dyDescent="0.25">
      <c r="A757" s="132" t="s">
        <v>244</v>
      </c>
      <c r="B757" s="132" t="s">
        <v>334</v>
      </c>
      <c r="C757" s="132">
        <v>15</v>
      </c>
      <c r="D757" s="132" t="str">
        <f t="shared" si="54"/>
        <v>3/8" Hex Falcon 500 15</v>
      </c>
      <c r="E757" s="132">
        <v>0</v>
      </c>
      <c r="I757" s="132">
        <v>0</v>
      </c>
    </row>
    <row r="758" spans="1:9" ht="14.25" customHeight="1" x14ac:dyDescent="0.25">
      <c r="A758" s="132" t="s">
        <v>244</v>
      </c>
      <c r="B758" s="132" t="s">
        <v>334</v>
      </c>
      <c r="C758" s="132">
        <v>16</v>
      </c>
      <c r="D758" s="132" t="str">
        <f t="shared" si="54"/>
        <v>3/8" Hex Falcon 500 16</v>
      </c>
      <c r="E758" s="132">
        <v>0</v>
      </c>
      <c r="I758" s="132">
        <v>0</v>
      </c>
    </row>
    <row r="759" spans="1:9" ht="14.25" customHeight="1" x14ac:dyDescent="0.25">
      <c r="A759" s="132" t="s">
        <v>244</v>
      </c>
      <c r="B759" s="132" t="s">
        <v>334</v>
      </c>
      <c r="C759" s="132">
        <v>20</v>
      </c>
      <c r="D759" s="132" t="str">
        <f t="shared" si="54"/>
        <v>3/8" Hex Falcon 500 20</v>
      </c>
      <c r="E759" s="132">
        <v>0</v>
      </c>
      <c r="I759" s="132">
        <v>0</v>
      </c>
    </row>
    <row r="760" spans="1:9" ht="14.25" customHeight="1" x14ac:dyDescent="0.25">
      <c r="A760" s="132" t="s">
        <v>244</v>
      </c>
      <c r="B760" s="132" t="s">
        <v>334</v>
      </c>
      <c r="C760" s="132">
        <v>21</v>
      </c>
      <c r="D760" s="132" t="str">
        <f t="shared" si="54"/>
        <v>3/8" Hex Falcon 500 21</v>
      </c>
      <c r="E760" s="132">
        <v>0</v>
      </c>
      <c r="I760" s="132">
        <v>0</v>
      </c>
    </row>
    <row r="761" spans="1:9" ht="14.25" customHeight="1" x14ac:dyDescent="0.25">
      <c r="A761" s="132" t="s">
        <v>244</v>
      </c>
      <c r="B761" s="132" t="s">
        <v>334</v>
      </c>
      <c r="C761" s="132">
        <v>25</v>
      </c>
      <c r="D761" s="132" t="str">
        <f t="shared" si="54"/>
        <v>3/8" Hex Falcon 500 25</v>
      </c>
      <c r="E761" s="132">
        <v>0</v>
      </c>
      <c r="I761" s="132">
        <v>0</v>
      </c>
    </row>
    <row r="762" spans="1:9" ht="14.25" customHeight="1" x14ac:dyDescent="0.25">
      <c r="A762" s="132" t="s">
        <v>244</v>
      </c>
      <c r="B762" s="132" t="s">
        <v>334</v>
      </c>
      <c r="C762" s="132">
        <v>27</v>
      </c>
      <c r="D762" s="132" t="str">
        <f t="shared" si="54"/>
        <v>3/8" Hex Falcon 500 27</v>
      </c>
      <c r="E762" s="132">
        <v>0</v>
      </c>
      <c r="I762" s="132">
        <v>0</v>
      </c>
    </row>
    <row r="763" spans="1:9" ht="14.25" customHeight="1" x14ac:dyDescent="0.25">
      <c r="A763" s="132" t="s">
        <v>244</v>
      </c>
      <c r="B763" s="132" t="s">
        <v>334</v>
      </c>
      <c r="C763" s="132">
        <v>28</v>
      </c>
      <c r="D763" s="132" t="str">
        <f t="shared" si="54"/>
        <v>3/8" Hex Falcon 500 28</v>
      </c>
      <c r="E763" s="132">
        <v>0</v>
      </c>
      <c r="I763" s="132">
        <v>0</v>
      </c>
    </row>
    <row r="764" spans="1:9" ht="14.25" customHeight="1" x14ac:dyDescent="0.25">
      <c r="A764" s="132" t="s">
        <v>244</v>
      </c>
      <c r="B764" s="132" t="s">
        <v>334</v>
      </c>
      <c r="C764" s="132">
        <v>30</v>
      </c>
      <c r="D764" s="132" t="str">
        <f t="shared" si="54"/>
        <v>3/8" Hex Falcon 500 30</v>
      </c>
      <c r="E764" s="132">
        <v>0</v>
      </c>
      <c r="I764" s="132">
        <v>0</v>
      </c>
    </row>
    <row r="765" spans="1:9" ht="14.25" customHeight="1" x14ac:dyDescent="0.25">
      <c r="A765" s="132" t="s">
        <v>244</v>
      </c>
      <c r="B765" s="132" t="s">
        <v>334</v>
      </c>
      <c r="C765" s="132">
        <v>35</v>
      </c>
      <c r="D765" s="132" t="str">
        <f t="shared" si="54"/>
        <v>3/8" Hex Falcon 500 35</v>
      </c>
      <c r="E765" s="132">
        <v>0</v>
      </c>
      <c r="I765" s="132">
        <v>0</v>
      </c>
    </row>
    <row r="766" spans="1:9" ht="14.25" customHeight="1" x14ac:dyDescent="0.25">
      <c r="A766" s="132" t="s">
        <v>244</v>
      </c>
      <c r="B766" s="132" t="s">
        <v>334</v>
      </c>
      <c r="C766" s="132">
        <v>36</v>
      </c>
      <c r="D766" s="132" t="str">
        <f t="shared" si="54"/>
        <v>3/8" Hex Falcon 500 36</v>
      </c>
      <c r="E766" s="132">
        <v>0</v>
      </c>
      <c r="I766" s="132">
        <v>0</v>
      </c>
    </row>
    <row r="767" spans="1:9" ht="14.25" customHeight="1" x14ac:dyDescent="0.25">
      <c r="A767" s="132" t="s">
        <v>244</v>
      </c>
      <c r="B767" s="132" t="s">
        <v>334</v>
      </c>
      <c r="C767" s="132">
        <v>40</v>
      </c>
      <c r="D767" s="132" t="str">
        <f t="shared" si="54"/>
        <v>3/8" Hex Falcon 500 40</v>
      </c>
      <c r="E767" s="132">
        <v>0</v>
      </c>
      <c r="I767" s="132">
        <v>0</v>
      </c>
    </row>
    <row r="768" spans="1:9" ht="14.25" customHeight="1" x14ac:dyDescent="0.25">
      <c r="A768" s="132" t="s">
        <v>244</v>
      </c>
      <c r="B768" s="132" t="s">
        <v>334</v>
      </c>
      <c r="C768" s="132">
        <v>45</v>
      </c>
      <c r="D768" s="132" t="str">
        <f t="shared" si="54"/>
        <v>3/8" Hex Falcon 500 45</v>
      </c>
      <c r="E768" s="132">
        <v>0</v>
      </c>
      <c r="I768" s="132">
        <v>0</v>
      </c>
    </row>
    <row r="769" spans="1:9" ht="14.25" customHeight="1" x14ac:dyDescent="0.25">
      <c r="A769" s="132" t="s">
        <v>244</v>
      </c>
      <c r="B769" s="132" t="s">
        <v>334</v>
      </c>
      <c r="C769" s="132">
        <v>49</v>
      </c>
      <c r="D769" s="132" t="str">
        <f t="shared" si="54"/>
        <v>3/8" Hex Falcon 500 49</v>
      </c>
      <c r="E769" s="132">
        <v>0</v>
      </c>
      <c r="I769" s="132">
        <v>0</v>
      </c>
    </row>
    <row r="770" spans="1:9" ht="14.25" customHeight="1" x14ac:dyDescent="0.25">
      <c r="A770" s="132" t="s">
        <v>244</v>
      </c>
      <c r="B770" s="132" t="s">
        <v>334</v>
      </c>
      <c r="C770" s="132">
        <v>50</v>
      </c>
      <c r="D770" s="132" t="str">
        <f t="shared" si="54"/>
        <v>3/8" Hex Falcon 500 50</v>
      </c>
      <c r="E770" s="132">
        <v>0</v>
      </c>
      <c r="I770" s="132">
        <v>0</v>
      </c>
    </row>
    <row r="771" spans="1:9" ht="14.25" customHeight="1" x14ac:dyDescent="0.25">
      <c r="A771" s="132" t="s">
        <v>244</v>
      </c>
      <c r="B771" s="132" t="s">
        <v>334</v>
      </c>
      <c r="C771" s="132">
        <v>63</v>
      </c>
      <c r="D771" s="132" t="str">
        <f t="shared" si="54"/>
        <v>3/8" Hex Falcon 500 63</v>
      </c>
      <c r="E771" s="132">
        <v>0</v>
      </c>
      <c r="I771" s="132">
        <v>0</v>
      </c>
    </row>
    <row r="772" spans="1:9" ht="14.25" customHeight="1" x14ac:dyDescent="0.25">
      <c r="A772" s="132" t="s">
        <v>244</v>
      </c>
      <c r="B772" s="132" t="s">
        <v>334</v>
      </c>
      <c r="C772" s="132">
        <v>70</v>
      </c>
      <c r="D772" s="132" t="str">
        <f t="shared" si="54"/>
        <v>3/8" Hex Falcon 500 70</v>
      </c>
      <c r="E772" s="132">
        <v>0</v>
      </c>
      <c r="I772" s="132">
        <v>0</v>
      </c>
    </row>
    <row r="773" spans="1:9" ht="14.25" customHeight="1" x14ac:dyDescent="0.25">
      <c r="A773" s="132" t="s">
        <v>244</v>
      </c>
      <c r="B773" s="132" t="s">
        <v>334</v>
      </c>
      <c r="C773" s="132">
        <v>81</v>
      </c>
      <c r="D773" s="132" t="str">
        <f t="shared" si="54"/>
        <v>3/8" Hex Falcon 500 81</v>
      </c>
      <c r="E773" s="132">
        <v>0</v>
      </c>
      <c r="I773" s="132">
        <v>0</v>
      </c>
    </row>
    <row r="774" spans="1:9" ht="14.25" customHeight="1" x14ac:dyDescent="0.25">
      <c r="A774" s="132" t="s">
        <v>244</v>
      </c>
      <c r="B774" s="132" t="s">
        <v>334</v>
      </c>
      <c r="C774" s="132">
        <v>90</v>
      </c>
      <c r="D774" s="132" t="str">
        <f t="shared" si="54"/>
        <v>3/8" Hex Falcon 500 90</v>
      </c>
      <c r="E774" s="132">
        <v>0</v>
      </c>
      <c r="I774" s="132">
        <v>0</v>
      </c>
    </row>
    <row r="775" spans="1:9" ht="14.25" customHeight="1" x14ac:dyDescent="0.25">
      <c r="A775" s="132" t="s">
        <v>244</v>
      </c>
      <c r="B775" s="132" t="s">
        <v>334</v>
      </c>
      <c r="C775" s="132">
        <v>100</v>
      </c>
      <c r="D775" s="132" t="str">
        <f t="shared" si="54"/>
        <v>3/8" Hex Falcon 500 100</v>
      </c>
      <c r="E775" s="132">
        <v>0</v>
      </c>
      <c r="I775" s="132">
        <v>0</v>
      </c>
    </row>
    <row r="776" spans="1:9" ht="14.25" customHeight="1" x14ac:dyDescent="0.25">
      <c r="A776" s="132" t="s">
        <v>247</v>
      </c>
      <c r="B776" s="132" t="s">
        <v>11</v>
      </c>
      <c r="C776" s="132">
        <v>-3</v>
      </c>
      <c r="D776" s="132" t="str">
        <f t="shared" ref="D776:D781" si="55">A776&amp;" "&amp;B776&amp;" "&amp;C776</f>
        <v>CIM Motor AM 9015 -3</v>
      </c>
      <c r="E776" s="132">
        <v>1</v>
      </c>
      <c r="I776" s="132">
        <v>1</v>
      </c>
    </row>
    <row r="777" spans="1:9" ht="14.25" customHeight="1" x14ac:dyDescent="0.25">
      <c r="A777" s="132" t="s">
        <v>247</v>
      </c>
      <c r="B777" s="132" t="s">
        <v>11</v>
      </c>
      <c r="C777" s="132">
        <v>-4</v>
      </c>
      <c r="D777" s="132" t="str">
        <f t="shared" si="55"/>
        <v>CIM Motor AM 9015 -4</v>
      </c>
      <c r="E777" s="132">
        <v>1</v>
      </c>
      <c r="I777" s="132">
        <v>1</v>
      </c>
    </row>
    <row r="778" spans="1:9" ht="14.25" customHeight="1" x14ac:dyDescent="0.25">
      <c r="A778" s="132" t="s">
        <v>247</v>
      </c>
      <c r="B778" s="132" t="s">
        <v>11</v>
      </c>
      <c r="C778" s="132">
        <v>-5</v>
      </c>
      <c r="D778" s="132" t="str">
        <f t="shared" si="55"/>
        <v>CIM Motor AM 9015 -5</v>
      </c>
      <c r="E778" s="132">
        <v>1</v>
      </c>
      <c r="I778" s="132">
        <v>1</v>
      </c>
    </row>
    <row r="779" spans="1:9" ht="14.25" customHeight="1" x14ac:dyDescent="0.25">
      <c r="A779" s="132" t="s">
        <v>247</v>
      </c>
      <c r="B779" s="132" t="s">
        <v>11</v>
      </c>
      <c r="C779" s="132">
        <v>-7</v>
      </c>
      <c r="D779" s="132" t="str">
        <f t="shared" si="55"/>
        <v>CIM Motor AM 9015 -7</v>
      </c>
      <c r="E779" s="132">
        <v>1</v>
      </c>
      <c r="I779" s="132">
        <v>1</v>
      </c>
    </row>
    <row r="780" spans="1:9" ht="14.25" customHeight="1" x14ac:dyDescent="0.25">
      <c r="A780" s="132" t="s">
        <v>247</v>
      </c>
      <c r="B780" s="132" t="s">
        <v>11</v>
      </c>
      <c r="C780" s="132">
        <v>-9</v>
      </c>
      <c r="D780" s="132" t="str">
        <f t="shared" si="55"/>
        <v>CIM Motor AM 9015 -9</v>
      </c>
      <c r="E780" s="132">
        <v>1</v>
      </c>
      <c r="I780" s="132">
        <v>1</v>
      </c>
    </row>
    <row r="781" spans="1:9" ht="14.25" customHeight="1" x14ac:dyDescent="0.25">
      <c r="A781" s="132" t="s">
        <v>247</v>
      </c>
      <c r="B781" s="132" t="s">
        <v>11</v>
      </c>
      <c r="C781" s="132">
        <v>-10</v>
      </c>
      <c r="D781" s="132" t="str">
        <f t="shared" si="55"/>
        <v>CIM Motor AM 9015 -10</v>
      </c>
      <c r="E781" s="132">
        <v>1</v>
      </c>
      <c r="I781" s="132">
        <v>1</v>
      </c>
    </row>
    <row r="782" spans="1:9" ht="14.25" customHeight="1" x14ac:dyDescent="0.25">
      <c r="A782" s="132" t="s">
        <v>247</v>
      </c>
      <c r="B782" s="132" t="s">
        <v>11</v>
      </c>
      <c r="C782" s="132">
        <v>9</v>
      </c>
      <c r="D782" s="132" t="str">
        <f t="shared" ref="D782:D802" si="56">A782&amp;" "&amp;B782&amp;" "&amp;C782</f>
        <v>CIM Motor AM 9015 9</v>
      </c>
      <c r="E782" s="132">
        <v>7</v>
      </c>
      <c r="I782" s="132">
        <v>7</v>
      </c>
    </row>
    <row r="783" spans="1:9" ht="14.25" customHeight="1" x14ac:dyDescent="0.25">
      <c r="A783" s="132" t="s">
        <v>247</v>
      </c>
      <c r="B783" s="132" t="s">
        <v>11</v>
      </c>
      <c r="C783" s="132">
        <v>12</v>
      </c>
      <c r="D783" s="132" t="str">
        <f t="shared" si="56"/>
        <v>CIM Motor AM 9015 12</v>
      </c>
      <c r="E783" s="132">
        <v>5</v>
      </c>
      <c r="I783" s="132">
        <v>5</v>
      </c>
    </row>
    <row r="784" spans="1:9" ht="14.25" customHeight="1" x14ac:dyDescent="0.25">
      <c r="A784" s="132" t="s">
        <v>247</v>
      </c>
      <c r="B784" s="132" t="s">
        <v>11</v>
      </c>
      <c r="C784" s="132">
        <v>15</v>
      </c>
      <c r="D784" s="132" t="str">
        <f t="shared" si="56"/>
        <v>CIM Motor AM 9015 15</v>
      </c>
      <c r="E784" s="132">
        <v>4</v>
      </c>
      <c r="I784" s="132">
        <v>5</v>
      </c>
    </row>
    <row r="785" spans="1:9" ht="14.25" customHeight="1" x14ac:dyDescent="0.25">
      <c r="A785" s="132" t="s">
        <v>247</v>
      </c>
      <c r="B785" s="132" t="s">
        <v>11</v>
      </c>
      <c r="C785" s="132">
        <v>16</v>
      </c>
      <c r="D785" s="132" t="str">
        <f t="shared" si="56"/>
        <v>CIM Motor AM 9015 16</v>
      </c>
      <c r="E785" s="132">
        <v>4</v>
      </c>
      <c r="I785" s="132">
        <v>5</v>
      </c>
    </row>
    <row r="786" spans="1:9" ht="14.25" customHeight="1" x14ac:dyDescent="0.25">
      <c r="A786" s="132" t="s">
        <v>247</v>
      </c>
      <c r="B786" s="132" t="s">
        <v>11</v>
      </c>
      <c r="C786" s="132">
        <v>20</v>
      </c>
      <c r="D786" s="132" t="str">
        <f t="shared" si="56"/>
        <v>CIM Motor AM 9015 20</v>
      </c>
      <c r="E786" s="132">
        <v>3</v>
      </c>
      <c r="I786" s="132">
        <v>4</v>
      </c>
    </row>
    <row r="787" spans="1:9" ht="14.25" customHeight="1" x14ac:dyDescent="0.25">
      <c r="A787" s="132" t="s">
        <v>247</v>
      </c>
      <c r="B787" s="132" t="s">
        <v>11</v>
      </c>
      <c r="C787" s="132">
        <v>21</v>
      </c>
      <c r="D787" s="132" t="str">
        <f t="shared" si="56"/>
        <v>CIM Motor AM 9015 21</v>
      </c>
      <c r="E787" s="132">
        <v>3</v>
      </c>
      <c r="I787" s="132">
        <v>3</v>
      </c>
    </row>
    <row r="788" spans="1:9" ht="14.25" customHeight="1" x14ac:dyDescent="0.25">
      <c r="A788" s="132" t="s">
        <v>247</v>
      </c>
      <c r="B788" s="132" t="s">
        <v>11</v>
      </c>
      <c r="C788" s="132">
        <v>25</v>
      </c>
      <c r="D788" s="132" t="str">
        <f t="shared" si="56"/>
        <v>CIM Motor AM 9015 25</v>
      </c>
      <c r="E788" s="132">
        <v>1</v>
      </c>
      <c r="I788" s="132">
        <v>3</v>
      </c>
    </row>
    <row r="789" spans="1:9" ht="14.25" customHeight="1" x14ac:dyDescent="0.25">
      <c r="A789" s="132" t="s">
        <v>247</v>
      </c>
      <c r="B789" s="132" t="s">
        <v>11</v>
      </c>
      <c r="C789" s="132">
        <v>27</v>
      </c>
      <c r="D789" s="132" t="str">
        <f t="shared" si="56"/>
        <v>CIM Motor AM 9015 27</v>
      </c>
      <c r="E789" s="132">
        <v>1</v>
      </c>
      <c r="I789" s="132">
        <v>1</v>
      </c>
    </row>
    <row r="790" spans="1:9" ht="14.25" customHeight="1" x14ac:dyDescent="0.25">
      <c r="A790" s="132" t="s">
        <v>247</v>
      </c>
      <c r="B790" s="132" t="s">
        <v>11</v>
      </c>
      <c r="C790" s="132">
        <v>28</v>
      </c>
      <c r="D790" s="132" t="str">
        <f t="shared" si="56"/>
        <v>CIM Motor AM 9015 28</v>
      </c>
      <c r="E790" s="132">
        <v>1</v>
      </c>
      <c r="I790" s="132">
        <v>1</v>
      </c>
    </row>
    <row r="791" spans="1:9" ht="14.25" customHeight="1" x14ac:dyDescent="0.25">
      <c r="A791" s="132" t="s">
        <v>247</v>
      </c>
      <c r="B791" s="132" t="s">
        <v>11</v>
      </c>
      <c r="C791" s="132">
        <v>30</v>
      </c>
      <c r="D791" s="132" t="str">
        <f t="shared" si="56"/>
        <v>CIM Motor AM 9015 30</v>
      </c>
      <c r="E791" s="132">
        <v>1</v>
      </c>
      <c r="I791" s="132">
        <v>1</v>
      </c>
    </row>
    <row r="792" spans="1:9" ht="14.25" customHeight="1" x14ac:dyDescent="0.25">
      <c r="A792" s="132" t="s">
        <v>247</v>
      </c>
      <c r="B792" s="132" t="s">
        <v>11</v>
      </c>
      <c r="C792" s="132">
        <v>35</v>
      </c>
      <c r="D792" s="132" t="str">
        <f t="shared" si="56"/>
        <v>CIM Motor AM 9015 35</v>
      </c>
      <c r="E792" s="132">
        <v>1</v>
      </c>
      <c r="I792" s="132">
        <v>1</v>
      </c>
    </row>
    <row r="793" spans="1:9" ht="14.25" customHeight="1" x14ac:dyDescent="0.25">
      <c r="A793" s="132" t="s">
        <v>247</v>
      </c>
      <c r="B793" s="132" t="s">
        <v>11</v>
      </c>
      <c r="C793" s="132">
        <v>36</v>
      </c>
      <c r="D793" s="132" t="str">
        <f t="shared" si="56"/>
        <v>CIM Motor AM 9015 36</v>
      </c>
      <c r="E793" s="132">
        <v>1</v>
      </c>
      <c r="I793" s="132">
        <v>1</v>
      </c>
    </row>
    <row r="794" spans="1:9" ht="14.25" customHeight="1" x14ac:dyDescent="0.25">
      <c r="A794" s="132" t="s">
        <v>247</v>
      </c>
      <c r="B794" s="132" t="s">
        <v>11</v>
      </c>
      <c r="C794" s="132">
        <v>40</v>
      </c>
      <c r="D794" s="132" t="str">
        <f t="shared" si="56"/>
        <v>CIM Motor AM 9015 40</v>
      </c>
      <c r="E794" s="132">
        <v>1</v>
      </c>
      <c r="I794" s="132">
        <v>1</v>
      </c>
    </row>
    <row r="795" spans="1:9" ht="14.25" customHeight="1" x14ac:dyDescent="0.25">
      <c r="A795" s="132" t="s">
        <v>247</v>
      </c>
      <c r="B795" s="132" t="s">
        <v>11</v>
      </c>
      <c r="C795" s="132">
        <v>45</v>
      </c>
      <c r="D795" s="132" t="str">
        <f t="shared" si="56"/>
        <v>CIM Motor AM 9015 45</v>
      </c>
      <c r="E795" s="132">
        <v>1</v>
      </c>
      <c r="I795" s="132">
        <v>1</v>
      </c>
    </row>
    <row r="796" spans="1:9" ht="14.25" customHeight="1" x14ac:dyDescent="0.25">
      <c r="A796" s="132" t="s">
        <v>247</v>
      </c>
      <c r="B796" s="132" t="s">
        <v>11</v>
      </c>
      <c r="C796" s="132">
        <v>49</v>
      </c>
      <c r="D796" s="132" t="str">
        <f t="shared" si="56"/>
        <v>CIM Motor AM 9015 49</v>
      </c>
      <c r="E796" s="132">
        <v>1</v>
      </c>
      <c r="I796" s="132">
        <v>1</v>
      </c>
    </row>
    <row r="797" spans="1:9" ht="14.25" customHeight="1" x14ac:dyDescent="0.25">
      <c r="A797" s="132" t="s">
        <v>247</v>
      </c>
      <c r="B797" s="132" t="s">
        <v>11</v>
      </c>
      <c r="C797" s="132">
        <v>50</v>
      </c>
      <c r="D797" s="132" t="str">
        <f t="shared" si="56"/>
        <v>CIM Motor AM 9015 50</v>
      </c>
      <c r="E797" s="132">
        <v>1</v>
      </c>
      <c r="I797" s="132">
        <v>1</v>
      </c>
    </row>
    <row r="798" spans="1:9" ht="14.25" customHeight="1" x14ac:dyDescent="0.25">
      <c r="A798" s="132" t="s">
        <v>247</v>
      </c>
      <c r="B798" s="132" t="s">
        <v>11</v>
      </c>
      <c r="C798" s="132">
        <v>63</v>
      </c>
      <c r="D798" s="132" t="str">
        <f t="shared" si="56"/>
        <v>CIM Motor AM 9015 63</v>
      </c>
      <c r="E798" s="132">
        <v>1</v>
      </c>
      <c r="I798" s="132">
        <v>1</v>
      </c>
    </row>
    <row r="799" spans="1:9" ht="14.25" customHeight="1" x14ac:dyDescent="0.25">
      <c r="A799" s="132" t="s">
        <v>247</v>
      </c>
      <c r="B799" s="132" t="s">
        <v>11</v>
      </c>
      <c r="C799" s="132">
        <v>70</v>
      </c>
      <c r="D799" s="132" t="str">
        <f t="shared" si="56"/>
        <v>CIM Motor AM 9015 70</v>
      </c>
      <c r="E799" s="132">
        <v>0</v>
      </c>
      <c r="I799" s="132">
        <v>1</v>
      </c>
    </row>
    <row r="800" spans="1:9" ht="14.25" customHeight="1" x14ac:dyDescent="0.25">
      <c r="A800" s="132" t="s">
        <v>247</v>
      </c>
      <c r="B800" s="132" t="s">
        <v>11</v>
      </c>
      <c r="C800" s="132">
        <v>81</v>
      </c>
      <c r="D800" s="132" t="str">
        <f t="shared" si="56"/>
        <v>CIM Motor AM 9015 81</v>
      </c>
      <c r="E800" s="132">
        <v>0</v>
      </c>
      <c r="I800" s="132">
        <v>0</v>
      </c>
    </row>
    <row r="801" spans="1:9" ht="14.25" customHeight="1" x14ac:dyDescent="0.25">
      <c r="A801" s="132" t="s">
        <v>247</v>
      </c>
      <c r="B801" s="132" t="s">
        <v>11</v>
      </c>
      <c r="C801" s="132">
        <v>90</v>
      </c>
      <c r="D801" s="132" t="str">
        <f t="shared" si="56"/>
        <v>CIM Motor AM 9015 90</v>
      </c>
      <c r="E801" s="132">
        <v>0</v>
      </c>
      <c r="I801" s="132">
        <v>0</v>
      </c>
    </row>
    <row r="802" spans="1:9" ht="14.25" customHeight="1" x14ac:dyDescent="0.25">
      <c r="A802" s="132" t="s">
        <v>247</v>
      </c>
      <c r="B802" s="132" t="s">
        <v>11</v>
      </c>
      <c r="C802" s="132">
        <v>100</v>
      </c>
      <c r="D802" s="132" t="str">
        <f t="shared" si="56"/>
        <v>CIM Motor AM 9015 100</v>
      </c>
      <c r="E802" s="132">
        <v>0</v>
      </c>
      <c r="I802" s="132">
        <v>0</v>
      </c>
    </row>
    <row r="803" spans="1:9" ht="14.25" customHeight="1" x14ac:dyDescent="0.25">
      <c r="A803" s="132" t="s">
        <v>247</v>
      </c>
      <c r="B803" s="132" t="s">
        <v>327</v>
      </c>
      <c r="C803" s="132">
        <v>-3</v>
      </c>
      <c r="D803" s="132" t="str">
        <f t="shared" ref="D803:D808" si="57">A803&amp;" "&amp;B803&amp;" "&amp;C803</f>
        <v>CIM Motor BB RS-550 -3</v>
      </c>
      <c r="E803" s="132">
        <v>1</v>
      </c>
      <c r="F803" s="132">
        <v>1</v>
      </c>
      <c r="G803" s="132">
        <v>0</v>
      </c>
      <c r="H803" s="132">
        <v>1</v>
      </c>
      <c r="I803" s="132">
        <v>1</v>
      </c>
    </row>
    <row r="804" spans="1:9" ht="14.25" customHeight="1" x14ac:dyDescent="0.25">
      <c r="A804" s="132" t="s">
        <v>247</v>
      </c>
      <c r="B804" s="132" t="s">
        <v>327</v>
      </c>
      <c r="C804" s="132">
        <v>-4</v>
      </c>
      <c r="D804" s="132" t="str">
        <f t="shared" si="57"/>
        <v>CIM Motor BB RS-550 -4</v>
      </c>
      <c r="E804" s="132">
        <v>1</v>
      </c>
      <c r="F804" s="132">
        <v>1</v>
      </c>
      <c r="G804" s="132">
        <v>0</v>
      </c>
      <c r="H804" s="132">
        <v>0</v>
      </c>
      <c r="I804" s="132">
        <v>1</v>
      </c>
    </row>
    <row r="805" spans="1:9" ht="14.25" customHeight="1" x14ac:dyDescent="0.25">
      <c r="A805" s="132" t="s">
        <v>247</v>
      </c>
      <c r="B805" s="132" t="s">
        <v>327</v>
      </c>
      <c r="C805" s="132">
        <v>-5</v>
      </c>
      <c r="D805" s="132" t="str">
        <f t="shared" si="57"/>
        <v>CIM Motor BB RS-550 -5</v>
      </c>
      <c r="E805" s="132">
        <v>1</v>
      </c>
      <c r="F805" s="132">
        <v>1</v>
      </c>
      <c r="G805" s="132">
        <v>0</v>
      </c>
      <c r="H805" s="132">
        <v>0</v>
      </c>
      <c r="I805" s="132">
        <v>1</v>
      </c>
    </row>
    <row r="806" spans="1:9" ht="14.25" customHeight="1" x14ac:dyDescent="0.25">
      <c r="A806" s="132" t="s">
        <v>247</v>
      </c>
      <c r="B806" s="132" t="s">
        <v>327</v>
      </c>
      <c r="C806" s="132">
        <v>-7</v>
      </c>
      <c r="D806" s="132" t="str">
        <f t="shared" si="57"/>
        <v>CIM Motor BB RS-550 -7</v>
      </c>
      <c r="E806" s="132">
        <v>1</v>
      </c>
      <c r="F806" s="132">
        <v>1</v>
      </c>
      <c r="G806" s="132">
        <v>0</v>
      </c>
      <c r="H806" s="132">
        <v>0</v>
      </c>
      <c r="I806" s="132">
        <v>1</v>
      </c>
    </row>
    <row r="807" spans="1:9" ht="14.25" customHeight="1" x14ac:dyDescent="0.25">
      <c r="A807" s="132" t="s">
        <v>247</v>
      </c>
      <c r="B807" s="132" t="s">
        <v>327</v>
      </c>
      <c r="C807" s="132">
        <v>-9</v>
      </c>
      <c r="D807" s="132" t="str">
        <f t="shared" si="57"/>
        <v>CIM Motor BB RS-550 -9</v>
      </c>
      <c r="E807" s="132">
        <v>1</v>
      </c>
      <c r="F807" s="132">
        <v>1</v>
      </c>
      <c r="G807" s="132">
        <v>0</v>
      </c>
      <c r="H807" s="132">
        <v>0</v>
      </c>
      <c r="I807" s="132">
        <v>1</v>
      </c>
    </row>
    <row r="808" spans="1:9" ht="14.25" customHeight="1" x14ac:dyDescent="0.25">
      <c r="A808" s="132" t="s">
        <v>247</v>
      </c>
      <c r="B808" s="132" t="s">
        <v>327</v>
      </c>
      <c r="C808" s="132">
        <v>-10</v>
      </c>
      <c r="D808" s="132" t="str">
        <f t="shared" si="57"/>
        <v>CIM Motor BB RS-550 -10</v>
      </c>
      <c r="E808" s="132">
        <v>1</v>
      </c>
      <c r="F808" s="132">
        <v>1</v>
      </c>
      <c r="G808" s="132">
        <v>0</v>
      </c>
      <c r="H808" s="132">
        <v>0</v>
      </c>
      <c r="I808" s="132">
        <v>1</v>
      </c>
    </row>
    <row r="809" spans="1:9" ht="14.25" customHeight="1" x14ac:dyDescent="0.25">
      <c r="A809" s="132" t="s">
        <v>247</v>
      </c>
      <c r="B809" s="132" t="s">
        <v>327</v>
      </c>
      <c r="C809" s="132">
        <v>9</v>
      </c>
      <c r="D809" s="132" t="str">
        <f t="shared" ref="D809:D829" si="58">A809&amp;" "&amp;B809&amp;" "&amp;C809</f>
        <v>CIM Motor BB RS-550 9</v>
      </c>
      <c r="E809" s="132">
        <v>5</v>
      </c>
      <c r="F809" s="132">
        <v>3</v>
      </c>
      <c r="G809" s="132">
        <v>0</v>
      </c>
      <c r="H809" s="132">
        <v>0</v>
      </c>
      <c r="I809" s="132">
        <v>7</v>
      </c>
    </row>
    <row r="810" spans="1:9" ht="14.25" customHeight="1" x14ac:dyDescent="0.25">
      <c r="A810" s="132" t="s">
        <v>247</v>
      </c>
      <c r="B810" s="132" t="s">
        <v>327</v>
      </c>
      <c r="C810" s="132">
        <v>12</v>
      </c>
      <c r="D810" s="132" t="str">
        <f t="shared" si="58"/>
        <v>CIM Motor BB RS-550 12</v>
      </c>
      <c r="E810" s="132">
        <v>4</v>
      </c>
      <c r="F810" s="132">
        <v>1</v>
      </c>
      <c r="G810" s="132">
        <v>0</v>
      </c>
      <c r="H810" s="132">
        <v>0</v>
      </c>
      <c r="I810" s="132">
        <v>5</v>
      </c>
    </row>
    <row r="811" spans="1:9" ht="14.25" customHeight="1" x14ac:dyDescent="0.25">
      <c r="A811" s="132" t="s">
        <v>247</v>
      </c>
      <c r="B811" s="132" t="s">
        <v>327</v>
      </c>
      <c r="C811" s="132">
        <v>15</v>
      </c>
      <c r="D811" s="132" t="str">
        <f t="shared" si="58"/>
        <v>CIM Motor BB RS-550 15</v>
      </c>
      <c r="E811" s="132">
        <v>3</v>
      </c>
      <c r="F811" s="132">
        <v>1</v>
      </c>
      <c r="G811" s="132">
        <v>0</v>
      </c>
      <c r="H811" s="132">
        <v>0</v>
      </c>
      <c r="I811" s="132">
        <v>5</v>
      </c>
    </row>
    <row r="812" spans="1:9" ht="14.25" customHeight="1" x14ac:dyDescent="0.25">
      <c r="A812" s="132" t="s">
        <v>247</v>
      </c>
      <c r="B812" s="132" t="s">
        <v>327</v>
      </c>
      <c r="C812" s="132">
        <v>16</v>
      </c>
      <c r="D812" s="132" t="str">
        <f t="shared" si="58"/>
        <v>CIM Motor BB RS-550 16</v>
      </c>
      <c r="E812" s="132">
        <v>3</v>
      </c>
      <c r="F812" s="132">
        <v>1</v>
      </c>
      <c r="G812" s="132">
        <v>0</v>
      </c>
      <c r="H812" s="132">
        <v>0</v>
      </c>
      <c r="I812" s="132">
        <v>5</v>
      </c>
    </row>
    <row r="813" spans="1:9" ht="14.25" customHeight="1" x14ac:dyDescent="0.25">
      <c r="A813" s="132" t="s">
        <v>247</v>
      </c>
      <c r="B813" s="132" t="s">
        <v>327</v>
      </c>
      <c r="C813" s="132">
        <v>20</v>
      </c>
      <c r="D813" s="132" t="str">
        <f t="shared" si="58"/>
        <v>CIM Motor BB RS-550 20</v>
      </c>
      <c r="E813" s="132">
        <v>1</v>
      </c>
      <c r="F813" s="132">
        <v>1</v>
      </c>
      <c r="G813" s="132">
        <v>0</v>
      </c>
      <c r="H813" s="132">
        <v>0</v>
      </c>
      <c r="I813" s="132">
        <v>4</v>
      </c>
    </row>
    <row r="814" spans="1:9" ht="14.25" customHeight="1" x14ac:dyDescent="0.25">
      <c r="A814" s="132" t="s">
        <v>247</v>
      </c>
      <c r="B814" s="132" t="s">
        <v>327</v>
      </c>
      <c r="C814" s="132">
        <v>21</v>
      </c>
      <c r="D814" s="132" t="str">
        <f t="shared" si="58"/>
        <v>CIM Motor BB RS-550 21</v>
      </c>
      <c r="E814" s="132">
        <v>1</v>
      </c>
      <c r="F814" s="132">
        <v>1</v>
      </c>
      <c r="G814" s="132">
        <v>0</v>
      </c>
      <c r="H814" s="132">
        <v>0</v>
      </c>
      <c r="I814" s="132">
        <v>3</v>
      </c>
    </row>
    <row r="815" spans="1:9" ht="14.25" customHeight="1" x14ac:dyDescent="0.25">
      <c r="A815" s="132" t="s">
        <v>247</v>
      </c>
      <c r="B815" s="132" t="s">
        <v>327</v>
      </c>
      <c r="C815" s="132">
        <v>25</v>
      </c>
      <c r="D815" s="132" t="str">
        <f t="shared" si="58"/>
        <v>CIM Motor BB RS-550 25</v>
      </c>
      <c r="E815" s="132">
        <v>1</v>
      </c>
      <c r="F815" s="132">
        <v>1</v>
      </c>
      <c r="G815" s="132">
        <v>0</v>
      </c>
      <c r="H815" s="132">
        <v>0</v>
      </c>
      <c r="I815" s="132">
        <v>3</v>
      </c>
    </row>
    <row r="816" spans="1:9" ht="14.25" customHeight="1" x14ac:dyDescent="0.25">
      <c r="A816" s="132" t="s">
        <v>247</v>
      </c>
      <c r="B816" s="132" t="s">
        <v>327</v>
      </c>
      <c r="C816" s="132">
        <v>27</v>
      </c>
      <c r="D816" s="132" t="str">
        <f t="shared" si="58"/>
        <v>CIM Motor BB RS-550 27</v>
      </c>
      <c r="E816" s="132">
        <v>1</v>
      </c>
      <c r="F816" s="132">
        <v>1</v>
      </c>
      <c r="G816" s="132">
        <v>0</v>
      </c>
      <c r="H816" s="132">
        <v>0</v>
      </c>
      <c r="I816" s="132">
        <v>1</v>
      </c>
    </row>
    <row r="817" spans="1:9" ht="14.25" customHeight="1" x14ac:dyDescent="0.25">
      <c r="A817" s="132" t="s">
        <v>247</v>
      </c>
      <c r="B817" s="132" t="s">
        <v>327</v>
      </c>
      <c r="C817" s="132">
        <v>28</v>
      </c>
      <c r="D817" s="132" t="str">
        <f t="shared" si="58"/>
        <v>CIM Motor BB RS-550 28</v>
      </c>
      <c r="E817" s="132">
        <v>1</v>
      </c>
      <c r="F817" s="132">
        <v>1</v>
      </c>
      <c r="G817" s="132">
        <v>0</v>
      </c>
      <c r="H817" s="132">
        <v>0</v>
      </c>
      <c r="I817" s="132">
        <v>1</v>
      </c>
    </row>
    <row r="818" spans="1:9" ht="14.25" customHeight="1" x14ac:dyDescent="0.25">
      <c r="A818" s="132" t="s">
        <v>247</v>
      </c>
      <c r="B818" s="132" t="s">
        <v>327</v>
      </c>
      <c r="C818" s="132">
        <v>30</v>
      </c>
      <c r="D818" s="132" t="str">
        <f t="shared" si="58"/>
        <v>CIM Motor BB RS-550 30</v>
      </c>
      <c r="E818" s="132">
        <v>1</v>
      </c>
      <c r="F818" s="132">
        <v>0</v>
      </c>
      <c r="G818" s="132">
        <v>0</v>
      </c>
      <c r="H818" s="132">
        <v>0</v>
      </c>
      <c r="I818" s="132">
        <v>1</v>
      </c>
    </row>
    <row r="819" spans="1:9" ht="14.25" customHeight="1" x14ac:dyDescent="0.25">
      <c r="A819" s="132" t="s">
        <v>247</v>
      </c>
      <c r="B819" s="132" t="s">
        <v>327</v>
      </c>
      <c r="C819" s="132">
        <v>35</v>
      </c>
      <c r="D819" s="132" t="str">
        <f t="shared" si="58"/>
        <v>CIM Motor BB RS-550 35</v>
      </c>
      <c r="E819" s="132">
        <v>1</v>
      </c>
      <c r="F819" s="132">
        <v>0</v>
      </c>
      <c r="G819" s="132">
        <v>0</v>
      </c>
      <c r="H819" s="132">
        <v>0</v>
      </c>
      <c r="I819" s="132">
        <v>1</v>
      </c>
    </row>
    <row r="820" spans="1:9" ht="14.25" customHeight="1" x14ac:dyDescent="0.25">
      <c r="A820" s="132" t="s">
        <v>247</v>
      </c>
      <c r="B820" s="132" t="s">
        <v>327</v>
      </c>
      <c r="C820" s="132">
        <v>36</v>
      </c>
      <c r="D820" s="132" t="str">
        <f t="shared" si="58"/>
        <v>CIM Motor BB RS-550 36</v>
      </c>
      <c r="E820" s="132">
        <v>1</v>
      </c>
      <c r="F820" s="132">
        <v>0</v>
      </c>
      <c r="G820" s="132">
        <v>0</v>
      </c>
      <c r="H820" s="132">
        <v>0</v>
      </c>
      <c r="I820" s="132">
        <v>1</v>
      </c>
    </row>
    <row r="821" spans="1:9" ht="14.25" customHeight="1" x14ac:dyDescent="0.25">
      <c r="A821" s="132" t="s">
        <v>247</v>
      </c>
      <c r="B821" s="132" t="s">
        <v>327</v>
      </c>
      <c r="C821" s="132">
        <v>40</v>
      </c>
      <c r="D821" s="132" t="str">
        <f t="shared" si="58"/>
        <v>CIM Motor BB RS-550 40</v>
      </c>
      <c r="E821" s="132">
        <v>1</v>
      </c>
      <c r="F821" s="132">
        <v>0</v>
      </c>
      <c r="G821" s="132">
        <v>0</v>
      </c>
      <c r="H821" s="132">
        <v>0</v>
      </c>
      <c r="I821" s="132">
        <v>1</v>
      </c>
    </row>
    <row r="822" spans="1:9" ht="14.25" customHeight="1" x14ac:dyDescent="0.25">
      <c r="A822" s="132" t="s">
        <v>247</v>
      </c>
      <c r="B822" s="132" t="s">
        <v>327</v>
      </c>
      <c r="C822" s="132">
        <v>45</v>
      </c>
      <c r="D822" s="132" t="str">
        <f t="shared" si="58"/>
        <v>CIM Motor BB RS-550 45</v>
      </c>
      <c r="E822" s="132">
        <v>1</v>
      </c>
      <c r="F822" s="132">
        <v>0</v>
      </c>
      <c r="G822" s="132">
        <v>0</v>
      </c>
      <c r="H822" s="132">
        <v>0</v>
      </c>
      <c r="I822" s="132">
        <v>1</v>
      </c>
    </row>
    <row r="823" spans="1:9" ht="14.25" customHeight="1" x14ac:dyDescent="0.25">
      <c r="A823" s="132" t="s">
        <v>247</v>
      </c>
      <c r="B823" s="132" t="s">
        <v>327</v>
      </c>
      <c r="C823" s="132">
        <v>49</v>
      </c>
      <c r="D823" s="132" t="str">
        <f t="shared" si="58"/>
        <v>CIM Motor BB RS-550 49</v>
      </c>
      <c r="E823" s="132">
        <v>1</v>
      </c>
      <c r="F823" s="132">
        <v>0</v>
      </c>
      <c r="G823" s="132">
        <v>0</v>
      </c>
      <c r="H823" s="132">
        <v>0</v>
      </c>
      <c r="I823" s="132">
        <v>1</v>
      </c>
    </row>
    <row r="824" spans="1:9" ht="14.25" customHeight="1" x14ac:dyDescent="0.25">
      <c r="A824" s="132" t="s">
        <v>247</v>
      </c>
      <c r="B824" s="132" t="s">
        <v>327</v>
      </c>
      <c r="C824" s="132">
        <v>50</v>
      </c>
      <c r="D824" s="132" t="str">
        <f t="shared" si="58"/>
        <v>CIM Motor BB RS-550 50</v>
      </c>
      <c r="E824" s="132">
        <v>1</v>
      </c>
      <c r="F824" s="132">
        <v>0</v>
      </c>
      <c r="G824" s="132">
        <v>0</v>
      </c>
      <c r="H824" s="132">
        <v>0</v>
      </c>
      <c r="I824" s="132">
        <v>1</v>
      </c>
    </row>
    <row r="825" spans="1:9" ht="14.25" customHeight="1" x14ac:dyDescent="0.25">
      <c r="A825" s="132" t="s">
        <v>247</v>
      </c>
      <c r="B825" s="132" t="s">
        <v>327</v>
      </c>
      <c r="C825" s="132">
        <v>63</v>
      </c>
      <c r="D825" s="132" t="str">
        <f t="shared" si="58"/>
        <v>CIM Motor BB RS-550 63</v>
      </c>
      <c r="E825" s="132">
        <v>0</v>
      </c>
      <c r="F825" s="132">
        <v>0</v>
      </c>
      <c r="G825" s="132">
        <v>0</v>
      </c>
      <c r="H825" s="132">
        <v>0</v>
      </c>
      <c r="I825" s="132">
        <v>1</v>
      </c>
    </row>
    <row r="826" spans="1:9" ht="14.25" customHeight="1" x14ac:dyDescent="0.25">
      <c r="A826" s="132" t="s">
        <v>247</v>
      </c>
      <c r="B826" s="132" t="s">
        <v>327</v>
      </c>
      <c r="C826" s="132">
        <v>70</v>
      </c>
      <c r="D826" s="132" t="str">
        <f t="shared" si="58"/>
        <v>CIM Motor BB RS-550 70</v>
      </c>
      <c r="E826" s="132">
        <v>0</v>
      </c>
      <c r="F826" s="132">
        <v>0</v>
      </c>
      <c r="G826" s="132">
        <v>0</v>
      </c>
      <c r="H826" s="132">
        <v>0</v>
      </c>
      <c r="I826" s="132">
        <v>1</v>
      </c>
    </row>
    <row r="827" spans="1:9" ht="14.25" customHeight="1" x14ac:dyDescent="0.25">
      <c r="A827" s="132" t="s">
        <v>247</v>
      </c>
      <c r="B827" s="132" t="s">
        <v>327</v>
      </c>
      <c r="C827" s="132">
        <v>81</v>
      </c>
      <c r="D827" s="132" t="str">
        <f t="shared" si="58"/>
        <v>CIM Motor BB RS-550 81</v>
      </c>
      <c r="E827" s="132">
        <v>0</v>
      </c>
      <c r="F827" s="132">
        <v>0</v>
      </c>
      <c r="G827" s="132">
        <v>0</v>
      </c>
      <c r="H827" s="132">
        <v>0</v>
      </c>
      <c r="I827" s="132">
        <v>0</v>
      </c>
    </row>
    <row r="828" spans="1:9" ht="14.25" customHeight="1" x14ac:dyDescent="0.25">
      <c r="A828" s="132" t="s">
        <v>247</v>
      </c>
      <c r="B828" s="132" t="s">
        <v>327</v>
      </c>
      <c r="C828" s="132">
        <v>90</v>
      </c>
      <c r="D828" s="132" t="str">
        <f t="shared" si="58"/>
        <v>CIM Motor BB RS-550 90</v>
      </c>
      <c r="E828" s="132">
        <v>0</v>
      </c>
      <c r="F828" s="132">
        <v>0</v>
      </c>
      <c r="G828" s="132">
        <v>0</v>
      </c>
      <c r="H828" s="132">
        <v>0</v>
      </c>
      <c r="I828" s="132">
        <v>0</v>
      </c>
    </row>
    <row r="829" spans="1:9" ht="14.25" customHeight="1" x14ac:dyDescent="0.25">
      <c r="A829" s="132" t="s">
        <v>247</v>
      </c>
      <c r="B829" s="132" t="s">
        <v>327</v>
      </c>
      <c r="C829" s="132">
        <v>100</v>
      </c>
      <c r="D829" s="132" t="str">
        <f t="shared" si="58"/>
        <v>CIM Motor BB RS-550 100</v>
      </c>
      <c r="E829" s="132">
        <v>0</v>
      </c>
      <c r="F829" s="132">
        <v>0</v>
      </c>
      <c r="G829" s="132">
        <v>0</v>
      </c>
      <c r="H829" s="132">
        <v>0</v>
      </c>
      <c r="I829" s="132">
        <v>0</v>
      </c>
    </row>
    <row r="830" spans="1:9" ht="14.25" customHeight="1" x14ac:dyDescent="0.25">
      <c r="A830" s="132" t="s">
        <v>247</v>
      </c>
      <c r="B830" s="132" t="s">
        <v>328</v>
      </c>
      <c r="C830" s="132">
        <v>-3</v>
      </c>
      <c r="D830" s="132" t="str">
        <f t="shared" ref="D830:D835" si="59">A830&amp;" "&amp;B830&amp;" "&amp;C830</f>
        <v>CIM Motor BB RS-775 -3</v>
      </c>
      <c r="E830" s="132">
        <v>1</v>
      </c>
      <c r="F830" s="132">
        <v>1</v>
      </c>
      <c r="G830" s="132">
        <v>0</v>
      </c>
      <c r="H830" s="132">
        <v>0</v>
      </c>
      <c r="I830" s="132">
        <v>1</v>
      </c>
    </row>
    <row r="831" spans="1:9" ht="14.25" customHeight="1" x14ac:dyDescent="0.25">
      <c r="A831" s="132" t="s">
        <v>247</v>
      </c>
      <c r="B831" s="132" t="s">
        <v>328</v>
      </c>
      <c r="C831" s="132">
        <v>-4</v>
      </c>
      <c r="D831" s="132" t="str">
        <f t="shared" si="59"/>
        <v>CIM Motor BB RS-775 -4</v>
      </c>
      <c r="E831" s="132">
        <v>1</v>
      </c>
      <c r="F831" s="132">
        <v>1</v>
      </c>
      <c r="G831" s="132">
        <v>0</v>
      </c>
      <c r="H831" s="132">
        <v>0</v>
      </c>
      <c r="I831" s="132">
        <v>1</v>
      </c>
    </row>
    <row r="832" spans="1:9" ht="14.25" customHeight="1" x14ac:dyDescent="0.25">
      <c r="A832" s="132" t="s">
        <v>247</v>
      </c>
      <c r="B832" s="132" t="s">
        <v>328</v>
      </c>
      <c r="C832" s="132">
        <v>-5</v>
      </c>
      <c r="D832" s="132" t="str">
        <f t="shared" si="59"/>
        <v>CIM Motor BB RS-775 -5</v>
      </c>
      <c r="E832" s="132">
        <v>1</v>
      </c>
      <c r="F832" s="132">
        <v>1</v>
      </c>
      <c r="G832" s="132">
        <v>0</v>
      </c>
      <c r="H832" s="132">
        <v>0</v>
      </c>
      <c r="I832" s="132">
        <v>1</v>
      </c>
    </row>
    <row r="833" spans="1:9" ht="14.25" customHeight="1" x14ac:dyDescent="0.25">
      <c r="A833" s="132" t="s">
        <v>247</v>
      </c>
      <c r="B833" s="132" t="s">
        <v>328</v>
      </c>
      <c r="C833" s="132">
        <v>-7</v>
      </c>
      <c r="D833" s="132" t="str">
        <f t="shared" si="59"/>
        <v>CIM Motor BB RS-775 -7</v>
      </c>
      <c r="E833" s="132">
        <v>1</v>
      </c>
      <c r="F833" s="132">
        <v>1</v>
      </c>
      <c r="G833" s="132">
        <v>0</v>
      </c>
      <c r="H833" s="132">
        <v>0</v>
      </c>
      <c r="I833" s="132">
        <v>1</v>
      </c>
    </row>
    <row r="834" spans="1:9" ht="14.25" customHeight="1" x14ac:dyDescent="0.25">
      <c r="A834" s="132" t="s">
        <v>247</v>
      </c>
      <c r="B834" s="132" t="s">
        <v>328</v>
      </c>
      <c r="C834" s="132">
        <v>-9</v>
      </c>
      <c r="D834" s="132" t="str">
        <f t="shared" si="59"/>
        <v>CIM Motor BB RS-775 -9</v>
      </c>
      <c r="E834" s="132">
        <v>1</v>
      </c>
      <c r="F834" s="132">
        <v>1</v>
      </c>
      <c r="G834" s="132">
        <v>0</v>
      </c>
      <c r="H834" s="132">
        <v>0</v>
      </c>
      <c r="I834" s="132">
        <v>1</v>
      </c>
    </row>
    <row r="835" spans="1:9" ht="14.25" customHeight="1" x14ac:dyDescent="0.25">
      <c r="A835" s="132" t="s">
        <v>247</v>
      </c>
      <c r="B835" s="132" t="s">
        <v>328</v>
      </c>
      <c r="C835" s="132">
        <v>-10</v>
      </c>
      <c r="D835" s="132" t="str">
        <f t="shared" si="59"/>
        <v>CIM Motor BB RS-775 -10</v>
      </c>
      <c r="E835" s="132">
        <v>1</v>
      </c>
      <c r="F835" s="132">
        <v>1</v>
      </c>
      <c r="G835" s="132">
        <v>0</v>
      </c>
      <c r="H835" s="132">
        <v>0</v>
      </c>
      <c r="I835" s="132">
        <v>1</v>
      </c>
    </row>
    <row r="836" spans="1:9" ht="14.25" customHeight="1" x14ac:dyDescent="0.25">
      <c r="A836" s="132" t="s">
        <v>247</v>
      </c>
      <c r="B836" s="132" t="s">
        <v>328</v>
      </c>
      <c r="C836" s="132">
        <v>9</v>
      </c>
      <c r="D836" s="132" t="str">
        <f t="shared" ref="D836:D856" si="60">A836&amp;" "&amp;B836&amp;" "&amp;C836</f>
        <v>CIM Motor BB RS-775 9</v>
      </c>
      <c r="E836" s="132">
        <v>4</v>
      </c>
      <c r="F836" s="132">
        <v>1</v>
      </c>
      <c r="G836" s="132">
        <v>0</v>
      </c>
      <c r="H836" s="132">
        <v>0</v>
      </c>
      <c r="I836" s="132">
        <v>7</v>
      </c>
    </row>
    <row r="837" spans="1:9" ht="14.25" customHeight="1" x14ac:dyDescent="0.25">
      <c r="A837" s="132" t="s">
        <v>247</v>
      </c>
      <c r="B837" s="132" t="s">
        <v>328</v>
      </c>
      <c r="C837" s="132">
        <v>12</v>
      </c>
      <c r="D837" s="132" t="str">
        <f t="shared" si="60"/>
        <v>CIM Motor BB RS-775 12</v>
      </c>
      <c r="E837" s="132">
        <v>3</v>
      </c>
      <c r="F837" s="132">
        <v>1</v>
      </c>
      <c r="G837" s="132">
        <v>0</v>
      </c>
      <c r="H837" s="132">
        <v>0</v>
      </c>
      <c r="I837" s="132">
        <v>5</v>
      </c>
    </row>
    <row r="838" spans="1:9" ht="14.25" customHeight="1" x14ac:dyDescent="0.25">
      <c r="A838" s="132" t="s">
        <v>247</v>
      </c>
      <c r="B838" s="132" t="s">
        <v>328</v>
      </c>
      <c r="C838" s="132">
        <v>15</v>
      </c>
      <c r="D838" s="132" t="str">
        <f t="shared" si="60"/>
        <v>CIM Motor BB RS-775 15</v>
      </c>
      <c r="E838" s="132">
        <v>1</v>
      </c>
      <c r="F838" s="132">
        <v>1</v>
      </c>
      <c r="G838" s="132">
        <v>0</v>
      </c>
      <c r="H838" s="132">
        <v>0</v>
      </c>
      <c r="I838" s="132">
        <v>5</v>
      </c>
    </row>
    <row r="839" spans="1:9" ht="14.25" customHeight="1" x14ac:dyDescent="0.25">
      <c r="A839" s="132" t="s">
        <v>247</v>
      </c>
      <c r="B839" s="132" t="s">
        <v>328</v>
      </c>
      <c r="C839" s="132">
        <v>16</v>
      </c>
      <c r="D839" s="132" t="str">
        <f t="shared" si="60"/>
        <v>CIM Motor BB RS-775 16</v>
      </c>
      <c r="E839" s="132">
        <v>1</v>
      </c>
      <c r="F839" s="132">
        <v>1</v>
      </c>
      <c r="G839" s="132">
        <v>0</v>
      </c>
      <c r="H839" s="132">
        <v>0</v>
      </c>
      <c r="I839" s="132">
        <v>5</v>
      </c>
    </row>
    <row r="840" spans="1:9" ht="14.25" customHeight="1" x14ac:dyDescent="0.25">
      <c r="A840" s="132" t="s">
        <v>247</v>
      </c>
      <c r="B840" s="132" t="s">
        <v>328</v>
      </c>
      <c r="C840" s="132">
        <v>20</v>
      </c>
      <c r="D840" s="132" t="str">
        <f t="shared" si="60"/>
        <v>CIM Motor BB RS-775 20</v>
      </c>
      <c r="E840" s="132">
        <v>1</v>
      </c>
      <c r="F840" s="132">
        <v>0</v>
      </c>
      <c r="G840" s="132">
        <v>0</v>
      </c>
      <c r="H840" s="132">
        <v>0</v>
      </c>
      <c r="I840" s="132">
        <v>4</v>
      </c>
    </row>
    <row r="841" spans="1:9" ht="14.25" customHeight="1" x14ac:dyDescent="0.25">
      <c r="A841" s="132" t="s">
        <v>247</v>
      </c>
      <c r="B841" s="132" t="s">
        <v>328</v>
      </c>
      <c r="C841" s="132">
        <v>21</v>
      </c>
      <c r="D841" s="132" t="str">
        <f t="shared" si="60"/>
        <v>CIM Motor BB RS-775 21</v>
      </c>
      <c r="E841" s="132">
        <v>1</v>
      </c>
      <c r="F841" s="132">
        <v>0</v>
      </c>
      <c r="G841" s="132">
        <v>0</v>
      </c>
      <c r="H841" s="132">
        <v>0</v>
      </c>
      <c r="I841" s="132">
        <v>3</v>
      </c>
    </row>
    <row r="842" spans="1:9" ht="14.25" customHeight="1" x14ac:dyDescent="0.25">
      <c r="A842" s="132" t="s">
        <v>247</v>
      </c>
      <c r="B842" s="132" t="s">
        <v>328</v>
      </c>
      <c r="C842" s="132">
        <v>25</v>
      </c>
      <c r="D842" s="132" t="str">
        <f t="shared" si="60"/>
        <v>CIM Motor BB RS-775 25</v>
      </c>
      <c r="E842" s="132">
        <v>1</v>
      </c>
      <c r="F842" s="132">
        <v>0</v>
      </c>
      <c r="G842" s="132">
        <v>0</v>
      </c>
      <c r="H842" s="132">
        <v>0</v>
      </c>
      <c r="I842" s="132">
        <v>3</v>
      </c>
    </row>
    <row r="843" spans="1:9" ht="14.25" customHeight="1" x14ac:dyDescent="0.25">
      <c r="A843" s="132" t="s">
        <v>247</v>
      </c>
      <c r="B843" s="132" t="s">
        <v>328</v>
      </c>
      <c r="C843" s="132">
        <v>27</v>
      </c>
      <c r="D843" s="132" t="str">
        <f t="shared" si="60"/>
        <v>CIM Motor BB RS-775 27</v>
      </c>
      <c r="E843" s="132">
        <v>1</v>
      </c>
      <c r="F843" s="132">
        <v>0</v>
      </c>
      <c r="G843" s="132">
        <v>0</v>
      </c>
      <c r="H843" s="132">
        <v>0</v>
      </c>
      <c r="I843" s="132">
        <v>1</v>
      </c>
    </row>
    <row r="844" spans="1:9" ht="14.25" customHeight="1" x14ac:dyDescent="0.25">
      <c r="A844" s="132" t="s">
        <v>247</v>
      </c>
      <c r="B844" s="132" t="s">
        <v>328</v>
      </c>
      <c r="C844" s="132">
        <v>28</v>
      </c>
      <c r="D844" s="132" t="str">
        <f t="shared" si="60"/>
        <v>CIM Motor BB RS-775 28</v>
      </c>
      <c r="E844" s="132">
        <v>1</v>
      </c>
      <c r="F844" s="132">
        <v>0</v>
      </c>
      <c r="G844" s="132">
        <v>0</v>
      </c>
      <c r="H844" s="132">
        <v>0</v>
      </c>
      <c r="I844" s="132">
        <v>1</v>
      </c>
    </row>
    <row r="845" spans="1:9" ht="14.25" customHeight="1" x14ac:dyDescent="0.25">
      <c r="A845" s="132" t="s">
        <v>247</v>
      </c>
      <c r="B845" s="132" t="s">
        <v>328</v>
      </c>
      <c r="C845" s="132">
        <v>30</v>
      </c>
      <c r="D845" s="132" t="str">
        <f t="shared" si="60"/>
        <v>CIM Motor BB RS-775 30</v>
      </c>
      <c r="E845" s="132">
        <v>1</v>
      </c>
      <c r="F845" s="132">
        <v>0</v>
      </c>
      <c r="G845" s="132">
        <v>0</v>
      </c>
      <c r="H845" s="132">
        <v>0</v>
      </c>
      <c r="I845" s="132">
        <v>1</v>
      </c>
    </row>
    <row r="846" spans="1:9" ht="14.25" customHeight="1" x14ac:dyDescent="0.25">
      <c r="A846" s="132" t="s">
        <v>247</v>
      </c>
      <c r="B846" s="132" t="s">
        <v>328</v>
      </c>
      <c r="C846" s="132">
        <v>35</v>
      </c>
      <c r="D846" s="132" t="str">
        <f t="shared" si="60"/>
        <v>CIM Motor BB RS-775 35</v>
      </c>
      <c r="E846" s="132">
        <v>1</v>
      </c>
      <c r="F846" s="132">
        <v>0</v>
      </c>
      <c r="G846" s="132">
        <v>0</v>
      </c>
      <c r="H846" s="132">
        <v>0</v>
      </c>
      <c r="I846" s="132">
        <v>1</v>
      </c>
    </row>
    <row r="847" spans="1:9" ht="14.25" customHeight="1" x14ac:dyDescent="0.25">
      <c r="A847" s="132" t="s">
        <v>247</v>
      </c>
      <c r="B847" s="132" t="s">
        <v>328</v>
      </c>
      <c r="C847" s="132">
        <v>36</v>
      </c>
      <c r="D847" s="132" t="str">
        <f t="shared" si="60"/>
        <v>CIM Motor BB RS-775 36</v>
      </c>
      <c r="E847" s="132">
        <v>1</v>
      </c>
      <c r="F847" s="132">
        <v>0</v>
      </c>
      <c r="G847" s="132">
        <v>0</v>
      </c>
      <c r="H847" s="132">
        <v>0</v>
      </c>
      <c r="I847" s="132">
        <v>1</v>
      </c>
    </row>
    <row r="848" spans="1:9" ht="14.25" customHeight="1" x14ac:dyDescent="0.25">
      <c r="A848" s="132" t="s">
        <v>247</v>
      </c>
      <c r="B848" s="132" t="s">
        <v>328</v>
      </c>
      <c r="C848" s="132">
        <v>40</v>
      </c>
      <c r="D848" s="132" t="str">
        <f t="shared" si="60"/>
        <v>CIM Motor BB RS-775 40</v>
      </c>
      <c r="E848" s="132">
        <v>0</v>
      </c>
      <c r="F848" s="132">
        <v>0</v>
      </c>
      <c r="G848" s="132">
        <v>0</v>
      </c>
      <c r="H848" s="132">
        <v>0</v>
      </c>
      <c r="I848" s="132">
        <v>1</v>
      </c>
    </row>
    <row r="849" spans="1:9" ht="14.25" customHeight="1" x14ac:dyDescent="0.25">
      <c r="A849" s="132" t="s">
        <v>247</v>
      </c>
      <c r="B849" s="132" t="s">
        <v>328</v>
      </c>
      <c r="C849" s="132">
        <v>45</v>
      </c>
      <c r="D849" s="132" t="str">
        <f t="shared" si="60"/>
        <v>CIM Motor BB RS-775 45</v>
      </c>
      <c r="E849" s="132">
        <v>0</v>
      </c>
      <c r="F849" s="132">
        <v>0</v>
      </c>
      <c r="G849" s="132">
        <v>0</v>
      </c>
      <c r="H849" s="132">
        <v>0</v>
      </c>
      <c r="I849" s="132">
        <v>1</v>
      </c>
    </row>
    <row r="850" spans="1:9" ht="14.25" customHeight="1" x14ac:dyDescent="0.25">
      <c r="A850" s="132" t="s">
        <v>247</v>
      </c>
      <c r="B850" s="132" t="s">
        <v>328</v>
      </c>
      <c r="C850" s="132">
        <v>49</v>
      </c>
      <c r="D850" s="132" t="str">
        <f t="shared" si="60"/>
        <v>CIM Motor BB RS-775 49</v>
      </c>
      <c r="E850" s="132">
        <v>0</v>
      </c>
      <c r="F850" s="132">
        <v>0</v>
      </c>
      <c r="G850" s="132">
        <v>0</v>
      </c>
      <c r="H850" s="132">
        <v>0</v>
      </c>
      <c r="I850" s="132">
        <v>1</v>
      </c>
    </row>
    <row r="851" spans="1:9" ht="14.25" customHeight="1" x14ac:dyDescent="0.25">
      <c r="A851" s="132" t="s">
        <v>247</v>
      </c>
      <c r="B851" s="132" t="s">
        <v>328</v>
      </c>
      <c r="C851" s="132">
        <v>50</v>
      </c>
      <c r="D851" s="132" t="str">
        <f t="shared" si="60"/>
        <v>CIM Motor BB RS-775 50</v>
      </c>
      <c r="E851" s="132">
        <v>0</v>
      </c>
      <c r="F851" s="132">
        <v>0</v>
      </c>
      <c r="G851" s="132">
        <v>0</v>
      </c>
      <c r="H851" s="132">
        <v>0</v>
      </c>
      <c r="I851" s="132">
        <v>1</v>
      </c>
    </row>
    <row r="852" spans="1:9" ht="14.25" customHeight="1" x14ac:dyDescent="0.25">
      <c r="A852" s="132" t="s">
        <v>247</v>
      </c>
      <c r="B852" s="132" t="s">
        <v>328</v>
      </c>
      <c r="C852" s="132">
        <v>63</v>
      </c>
      <c r="D852" s="132" t="str">
        <f t="shared" si="60"/>
        <v>CIM Motor BB RS-775 63</v>
      </c>
      <c r="E852" s="132">
        <v>0</v>
      </c>
      <c r="F852" s="132">
        <v>0</v>
      </c>
      <c r="G852" s="132">
        <v>0</v>
      </c>
      <c r="H852" s="132">
        <v>0</v>
      </c>
      <c r="I852" s="132">
        <v>1</v>
      </c>
    </row>
    <row r="853" spans="1:9" ht="14.25" customHeight="1" x14ac:dyDescent="0.25">
      <c r="A853" s="132" t="s">
        <v>247</v>
      </c>
      <c r="B853" s="132" t="s">
        <v>328</v>
      </c>
      <c r="C853" s="132">
        <v>70</v>
      </c>
      <c r="D853" s="132" t="str">
        <f t="shared" si="60"/>
        <v>CIM Motor BB RS-775 70</v>
      </c>
      <c r="E853" s="132">
        <v>0</v>
      </c>
      <c r="F853" s="132">
        <v>0</v>
      </c>
      <c r="G853" s="132">
        <v>0</v>
      </c>
      <c r="H853" s="132">
        <v>0</v>
      </c>
      <c r="I853" s="132">
        <v>1</v>
      </c>
    </row>
    <row r="854" spans="1:9" ht="14.25" customHeight="1" x14ac:dyDescent="0.25">
      <c r="A854" s="132" t="s">
        <v>247</v>
      </c>
      <c r="B854" s="132" t="s">
        <v>328</v>
      </c>
      <c r="C854" s="132">
        <v>81</v>
      </c>
      <c r="D854" s="132" t="str">
        <f t="shared" si="60"/>
        <v>CIM Motor BB RS-775 81</v>
      </c>
      <c r="E854" s="132">
        <v>0</v>
      </c>
      <c r="F854" s="132">
        <v>0</v>
      </c>
      <c r="G854" s="132">
        <v>0</v>
      </c>
      <c r="H854" s="132">
        <v>0</v>
      </c>
      <c r="I854" s="132">
        <v>1</v>
      </c>
    </row>
    <row r="855" spans="1:9" ht="14.25" customHeight="1" x14ac:dyDescent="0.25">
      <c r="A855" s="132" t="s">
        <v>247</v>
      </c>
      <c r="B855" s="132" t="s">
        <v>328</v>
      </c>
      <c r="C855" s="132">
        <v>90</v>
      </c>
      <c r="D855" s="132" t="str">
        <f t="shared" si="60"/>
        <v>CIM Motor BB RS-775 90</v>
      </c>
      <c r="E855" s="132">
        <v>0</v>
      </c>
      <c r="F855" s="132">
        <v>0</v>
      </c>
      <c r="G855" s="132">
        <v>0</v>
      </c>
      <c r="H855" s="132">
        <v>0</v>
      </c>
      <c r="I855" s="132">
        <v>1</v>
      </c>
    </row>
    <row r="856" spans="1:9" ht="14.25" customHeight="1" x14ac:dyDescent="0.25">
      <c r="A856" s="132" t="s">
        <v>247</v>
      </c>
      <c r="B856" s="132" t="s">
        <v>328</v>
      </c>
      <c r="C856" s="132">
        <v>100</v>
      </c>
      <c r="D856" s="132" t="str">
        <f t="shared" si="60"/>
        <v>CIM Motor BB RS-775 100</v>
      </c>
      <c r="E856" s="132">
        <v>0</v>
      </c>
      <c r="F856" s="132">
        <v>0</v>
      </c>
      <c r="G856" s="132">
        <v>0</v>
      </c>
      <c r="H856" s="132">
        <v>0</v>
      </c>
      <c r="I856" s="132">
        <v>1</v>
      </c>
    </row>
    <row r="857" spans="1:9" ht="14.25" customHeight="1" x14ac:dyDescent="0.25">
      <c r="A857" s="132" t="s">
        <v>247</v>
      </c>
      <c r="B857" s="132" t="s">
        <v>8</v>
      </c>
      <c r="C857" s="132">
        <v>-3</v>
      </c>
      <c r="D857" s="132" t="str">
        <f t="shared" ref="D857:D862" si="61">A857&amp;" "&amp;B857&amp;" "&amp;C857</f>
        <v>CIM Motor BAG Motor -3</v>
      </c>
      <c r="E857" s="132">
        <v>1</v>
      </c>
      <c r="F857" s="132">
        <v>1</v>
      </c>
      <c r="G857" s="132">
        <v>0</v>
      </c>
      <c r="H857" s="132">
        <v>0</v>
      </c>
      <c r="I857" s="132">
        <v>1</v>
      </c>
    </row>
    <row r="858" spans="1:9" ht="14.25" customHeight="1" x14ac:dyDescent="0.25">
      <c r="A858" s="132" t="s">
        <v>247</v>
      </c>
      <c r="B858" s="132" t="s">
        <v>8</v>
      </c>
      <c r="C858" s="132">
        <v>-4</v>
      </c>
      <c r="D858" s="132" t="str">
        <f t="shared" si="61"/>
        <v>CIM Motor BAG Motor -4</v>
      </c>
      <c r="E858" s="132">
        <v>1</v>
      </c>
      <c r="F858" s="132">
        <v>1</v>
      </c>
      <c r="G858" s="132">
        <v>0</v>
      </c>
      <c r="H858" s="132">
        <v>0</v>
      </c>
      <c r="I858" s="132">
        <v>1</v>
      </c>
    </row>
    <row r="859" spans="1:9" ht="14.25" customHeight="1" x14ac:dyDescent="0.25">
      <c r="A859" s="132" t="s">
        <v>247</v>
      </c>
      <c r="B859" s="132" t="s">
        <v>8</v>
      </c>
      <c r="C859" s="132">
        <v>-5</v>
      </c>
      <c r="D859" s="132" t="str">
        <f t="shared" si="61"/>
        <v>CIM Motor BAG Motor -5</v>
      </c>
      <c r="E859" s="132">
        <v>1</v>
      </c>
      <c r="F859" s="132">
        <v>1</v>
      </c>
      <c r="G859" s="132">
        <v>0</v>
      </c>
      <c r="H859" s="132">
        <v>0</v>
      </c>
      <c r="I859" s="132">
        <v>1</v>
      </c>
    </row>
    <row r="860" spans="1:9" ht="14.25" customHeight="1" x14ac:dyDescent="0.25">
      <c r="A860" s="132" t="s">
        <v>247</v>
      </c>
      <c r="B860" s="132" t="s">
        <v>8</v>
      </c>
      <c r="C860" s="132">
        <v>-7</v>
      </c>
      <c r="D860" s="132" t="str">
        <f t="shared" si="61"/>
        <v>CIM Motor BAG Motor -7</v>
      </c>
      <c r="E860" s="132">
        <v>1</v>
      </c>
      <c r="F860" s="132">
        <v>1</v>
      </c>
      <c r="G860" s="132">
        <v>0</v>
      </c>
      <c r="H860" s="132">
        <v>0</v>
      </c>
      <c r="I860" s="132">
        <v>1</v>
      </c>
    </row>
    <row r="861" spans="1:9" ht="14.25" customHeight="1" x14ac:dyDescent="0.25">
      <c r="A861" s="132" t="s">
        <v>247</v>
      </c>
      <c r="B861" s="132" t="s">
        <v>8</v>
      </c>
      <c r="C861" s="132">
        <v>-9</v>
      </c>
      <c r="D861" s="132" t="str">
        <f t="shared" si="61"/>
        <v>CIM Motor BAG Motor -9</v>
      </c>
      <c r="E861" s="132">
        <v>1</v>
      </c>
      <c r="F861" s="132">
        <v>1</v>
      </c>
      <c r="G861" s="132">
        <v>0</v>
      </c>
      <c r="H861" s="132">
        <v>0</v>
      </c>
      <c r="I861" s="132">
        <v>1</v>
      </c>
    </row>
    <row r="862" spans="1:9" ht="14.25" customHeight="1" x14ac:dyDescent="0.25">
      <c r="A862" s="132" t="s">
        <v>247</v>
      </c>
      <c r="B862" s="132" t="s">
        <v>8</v>
      </c>
      <c r="C862" s="132">
        <v>-10</v>
      </c>
      <c r="D862" s="132" t="str">
        <f t="shared" si="61"/>
        <v>CIM Motor BAG Motor -10</v>
      </c>
      <c r="E862" s="132">
        <v>1</v>
      </c>
      <c r="F862" s="132">
        <v>1</v>
      </c>
      <c r="G862" s="132">
        <v>0</v>
      </c>
      <c r="H862" s="132">
        <v>0</v>
      </c>
      <c r="I862" s="132">
        <v>1</v>
      </c>
    </row>
    <row r="863" spans="1:9" ht="14.25" customHeight="1" x14ac:dyDescent="0.25">
      <c r="A863" s="132" t="s">
        <v>247</v>
      </c>
      <c r="B863" s="132" t="s">
        <v>8</v>
      </c>
      <c r="C863" s="132">
        <v>9</v>
      </c>
      <c r="D863" s="132" t="str">
        <f t="shared" ref="D863:D883" si="62">A863&amp;" "&amp;B863&amp;" "&amp;C863</f>
        <v>CIM Motor BAG Motor 9</v>
      </c>
      <c r="E863" s="132">
        <v>7</v>
      </c>
      <c r="F863" s="132">
        <v>3</v>
      </c>
      <c r="G863" s="132">
        <v>0</v>
      </c>
      <c r="H863" s="132">
        <v>0</v>
      </c>
      <c r="I863" s="132">
        <v>7</v>
      </c>
    </row>
    <row r="864" spans="1:9" ht="14.25" customHeight="1" x14ac:dyDescent="0.25">
      <c r="A864" s="132" t="s">
        <v>247</v>
      </c>
      <c r="B864" s="132" t="s">
        <v>8</v>
      </c>
      <c r="C864" s="132">
        <v>12</v>
      </c>
      <c r="D864" s="132" t="str">
        <f t="shared" si="62"/>
        <v>CIM Motor BAG Motor 12</v>
      </c>
      <c r="E864" s="132">
        <v>5</v>
      </c>
      <c r="F864" s="132">
        <v>1</v>
      </c>
      <c r="G864" s="132">
        <v>0</v>
      </c>
      <c r="H864" s="132">
        <v>0</v>
      </c>
      <c r="I864" s="132">
        <v>5</v>
      </c>
    </row>
    <row r="865" spans="1:9" ht="14.25" customHeight="1" x14ac:dyDescent="0.25">
      <c r="A865" s="132" t="s">
        <v>247</v>
      </c>
      <c r="B865" s="132" t="s">
        <v>8</v>
      </c>
      <c r="C865" s="132">
        <v>15</v>
      </c>
      <c r="D865" s="132" t="str">
        <f t="shared" si="62"/>
        <v>CIM Motor BAG Motor 15</v>
      </c>
      <c r="E865" s="132">
        <v>4</v>
      </c>
      <c r="F865" s="132">
        <v>1</v>
      </c>
      <c r="G865" s="132">
        <v>0</v>
      </c>
      <c r="H865" s="132">
        <v>0</v>
      </c>
      <c r="I865" s="132">
        <v>4</v>
      </c>
    </row>
    <row r="866" spans="1:9" ht="14.25" customHeight="1" x14ac:dyDescent="0.25">
      <c r="A866" s="132" t="s">
        <v>247</v>
      </c>
      <c r="B866" s="132" t="s">
        <v>8</v>
      </c>
      <c r="C866" s="132">
        <v>16</v>
      </c>
      <c r="D866" s="132" t="str">
        <f t="shared" si="62"/>
        <v>CIM Motor BAG Motor 16</v>
      </c>
      <c r="E866" s="132">
        <v>4</v>
      </c>
      <c r="F866" s="132">
        <v>1</v>
      </c>
      <c r="G866" s="132">
        <v>0</v>
      </c>
      <c r="H866" s="132">
        <v>0</v>
      </c>
      <c r="I866" s="132">
        <v>4</v>
      </c>
    </row>
    <row r="867" spans="1:9" ht="14.25" customHeight="1" x14ac:dyDescent="0.25">
      <c r="A867" s="132" t="s">
        <v>247</v>
      </c>
      <c r="B867" s="132" t="s">
        <v>8</v>
      </c>
      <c r="C867" s="132">
        <v>20</v>
      </c>
      <c r="D867" s="132" t="str">
        <f t="shared" si="62"/>
        <v>CIM Motor BAG Motor 20</v>
      </c>
      <c r="E867" s="132">
        <v>3</v>
      </c>
      <c r="F867" s="132">
        <v>1</v>
      </c>
      <c r="G867" s="132">
        <v>0</v>
      </c>
      <c r="H867" s="132">
        <v>0</v>
      </c>
      <c r="I867" s="132">
        <v>3</v>
      </c>
    </row>
    <row r="868" spans="1:9" ht="14.25" customHeight="1" x14ac:dyDescent="0.25">
      <c r="A868" s="132" t="s">
        <v>247</v>
      </c>
      <c r="B868" s="132" t="s">
        <v>8</v>
      </c>
      <c r="C868" s="132">
        <v>21</v>
      </c>
      <c r="D868" s="132" t="str">
        <f t="shared" si="62"/>
        <v>CIM Motor BAG Motor 21</v>
      </c>
      <c r="E868" s="132">
        <v>3</v>
      </c>
      <c r="F868" s="132">
        <v>1</v>
      </c>
      <c r="G868" s="132">
        <v>0</v>
      </c>
      <c r="H868" s="132">
        <v>0</v>
      </c>
      <c r="I868" s="132">
        <v>3</v>
      </c>
    </row>
    <row r="869" spans="1:9" ht="14.25" customHeight="1" x14ac:dyDescent="0.25">
      <c r="A869" s="132" t="s">
        <v>247</v>
      </c>
      <c r="B869" s="132" t="s">
        <v>8</v>
      </c>
      <c r="C869" s="132">
        <v>25</v>
      </c>
      <c r="D869" s="132" t="str">
        <f t="shared" si="62"/>
        <v>CIM Motor BAG Motor 25</v>
      </c>
      <c r="E869" s="132">
        <v>1</v>
      </c>
      <c r="F869" s="132">
        <v>1</v>
      </c>
      <c r="G869" s="132">
        <v>0</v>
      </c>
      <c r="H869" s="132">
        <v>0</v>
      </c>
      <c r="I869" s="132">
        <v>1</v>
      </c>
    </row>
    <row r="870" spans="1:9" ht="14.25" customHeight="1" x14ac:dyDescent="0.25">
      <c r="A870" s="132" t="s">
        <v>247</v>
      </c>
      <c r="B870" s="132" t="s">
        <v>8</v>
      </c>
      <c r="C870" s="132">
        <v>27</v>
      </c>
      <c r="D870" s="132" t="str">
        <f t="shared" si="62"/>
        <v>CIM Motor BAG Motor 27</v>
      </c>
      <c r="E870" s="132">
        <v>1</v>
      </c>
      <c r="F870" s="132">
        <v>1</v>
      </c>
      <c r="G870" s="132">
        <v>0</v>
      </c>
      <c r="H870" s="132">
        <v>0</v>
      </c>
      <c r="I870" s="132">
        <v>1</v>
      </c>
    </row>
    <row r="871" spans="1:9" ht="14.25" customHeight="1" x14ac:dyDescent="0.25">
      <c r="A871" s="132" t="s">
        <v>247</v>
      </c>
      <c r="B871" s="132" t="s">
        <v>8</v>
      </c>
      <c r="C871" s="132">
        <v>28</v>
      </c>
      <c r="D871" s="132" t="str">
        <f t="shared" si="62"/>
        <v>CIM Motor BAG Motor 28</v>
      </c>
      <c r="E871" s="132">
        <v>1</v>
      </c>
      <c r="F871" s="132">
        <v>1</v>
      </c>
      <c r="G871" s="132">
        <v>0</v>
      </c>
      <c r="H871" s="132">
        <v>0</v>
      </c>
      <c r="I871" s="132">
        <v>1</v>
      </c>
    </row>
    <row r="872" spans="1:9" ht="14.25" customHeight="1" x14ac:dyDescent="0.25">
      <c r="A872" s="132" t="s">
        <v>247</v>
      </c>
      <c r="B872" s="132" t="s">
        <v>8</v>
      </c>
      <c r="C872" s="132">
        <v>30</v>
      </c>
      <c r="D872" s="132" t="str">
        <f t="shared" si="62"/>
        <v>CIM Motor BAG Motor 30</v>
      </c>
      <c r="E872" s="132">
        <v>1</v>
      </c>
      <c r="F872" s="132">
        <v>1</v>
      </c>
      <c r="G872" s="132">
        <v>0</v>
      </c>
      <c r="H872" s="132">
        <v>0</v>
      </c>
      <c r="I872" s="132">
        <v>1</v>
      </c>
    </row>
    <row r="873" spans="1:9" ht="14.25" customHeight="1" x14ac:dyDescent="0.25">
      <c r="A873" s="132" t="s">
        <v>247</v>
      </c>
      <c r="B873" s="132" t="s">
        <v>8</v>
      </c>
      <c r="C873" s="132">
        <v>35</v>
      </c>
      <c r="D873" s="132" t="str">
        <f t="shared" si="62"/>
        <v>CIM Motor BAG Motor 35</v>
      </c>
      <c r="E873" s="132">
        <v>1</v>
      </c>
      <c r="F873" s="132">
        <v>0</v>
      </c>
      <c r="G873" s="132">
        <v>0</v>
      </c>
      <c r="H873" s="132">
        <v>0</v>
      </c>
      <c r="I873" s="132">
        <v>1</v>
      </c>
    </row>
    <row r="874" spans="1:9" ht="14.25" customHeight="1" x14ac:dyDescent="0.25">
      <c r="A874" s="132" t="s">
        <v>247</v>
      </c>
      <c r="B874" s="132" t="s">
        <v>8</v>
      </c>
      <c r="C874" s="132">
        <v>36</v>
      </c>
      <c r="D874" s="132" t="str">
        <f t="shared" si="62"/>
        <v>CIM Motor BAG Motor 36</v>
      </c>
      <c r="E874" s="132">
        <v>1</v>
      </c>
      <c r="F874" s="132">
        <v>0</v>
      </c>
      <c r="G874" s="132">
        <v>0</v>
      </c>
      <c r="H874" s="132">
        <v>0</v>
      </c>
      <c r="I874" s="132">
        <v>1</v>
      </c>
    </row>
    <row r="875" spans="1:9" ht="14.25" customHeight="1" x14ac:dyDescent="0.25">
      <c r="A875" s="132" t="s">
        <v>247</v>
      </c>
      <c r="B875" s="132" t="s">
        <v>8</v>
      </c>
      <c r="C875" s="132">
        <v>40</v>
      </c>
      <c r="D875" s="132" t="str">
        <f t="shared" si="62"/>
        <v>CIM Motor BAG Motor 40</v>
      </c>
      <c r="E875" s="132">
        <v>1</v>
      </c>
      <c r="F875" s="132">
        <v>0</v>
      </c>
      <c r="G875" s="132">
        <v>0</v>
      </c>
      <c r="H875" s="132">
        <v>0</v>
      </c>
      <c r="I875" s="132">
        <v>1</v>
      </c>
    </row>
    <row r="876" spans="1:9" ht="14.25" customHeight="1" x14ac:dyDescent="0.25">
      <c r="A876" s="132" t="s">
        <v>247</v>
      </c>
      <c r="B876" s="132" t="s">
        <v>8</v>
      </c>
      <c r="C876" s="132">
        <v>45</v>
      </c>
      <c r="D876" s="132" t="str">
        <f t="shared" si="62"/>
        <v>CIM Motor BAG Motor 45</v>
      </c>
      <c r="E876" s="132">
        <v>1</v>
      </c>
      <c r="F876" s="132">
        <v>0</v>
      </c>
      <c r="G876" s="132">
        <v>0</v>
      </c>
      <c r="H876" s="132">
        <v>0</v>
      </c>
      <c r="I876" s="132">
        <v>1</v>
      </c>
    </row>
    <row r="877" spans="1:9" ht="14.25" customHeight="1" x14ac:dyDescent="0.25">
      <c r="A877" s="132" t="s">
        <v>247</v>
      </c>
      <c r="B877" s="132" t="s">
        <v>8</v>
      </c>
      <c r="C877" s="132">
        <v>49</v>
      </c>
      <c r="D877" s="132" t="str">
        <f t="shared" si="62"/>
        <v>CIM Motor BAG Motor 49</v>
      </c>
      <c r="E877" s="132">
        <v>1</v>
      </c>
      <c r="F877" s="132">
        <v>0</v>
      </c>
      <c r="G877" s="132">
        <v>0</v>
      </c>
      <c r="H877" s="132">
        <v>0</v>
      </c>
      <c r="I877" s="132">
        <v>1</v>
      </c>
    </row>
    <row r="878" spans="1:9" ht="14.25" customHeight="1" x14ac:dyDescent="0.25">
      <c r="A878" s="132" t="s">
        <v>247</v>
      </c>
      <c r="B878" s="132" t="s">
        <v>8</v>
      </c>
      <c r="C878" s="132">
        <v>50</v>
      </c>
      <c r="D878" s="132" t="str">
        <f t="shared" si="62"/>
        <v>CIM Motor BAG Motor 50</v>
      </c>
      <c r="E878" s="132">
        <v>1</v>
      </c>
      <c r="F878" s="132">
        <v>0</v>
      </c>
      <c r="G878" s="132">
        <v>0</v>
      </c>
      <c r="H878" s="132">
        <v>0</v>
      </c>
      <c r="I878" s="132">
        <v>1</v>
      </c>
    </row>
    <row r="879" spans="1:9" ht="14.25" customHeight="1" x14ac:dyDescent="0.25">
      <c r="A879" s="132" t="s">
        <v>247</v>
      </c>
      <c r="B879" s="132" t="s">
        <v>8</v>
      </c>
      <c r="C879" s="132">
        <v>63</v>
      </c>
      <c r="D879" s="132" t="str">
        <f t="shared" si="62"/>
        <v>CIM Motor BAG Motor 63</v>
      </c>
      <c r="E879" s="132">
        <v>1</v>
      </c>
      <c r="F879" s="132">
        <v>0</v>
      </c>
      <c r="G879" s="132">
        <v>0</v>
      </c>
      <c r="H879" s="132">
        <v>0</v>
      </c>
      <c r="I879" s="132">
        <v>1</v>
      </c>
    </row>
    <row r="880" spans="1:9" ht="14.25" customHeight="1" x14ac:dyDescent="0.25">
      <c r="A880" s="132" t="s">
        <v>247</v>
      </c>
      <c r="B880" s="132" t="s">
        <v>8</v>
      </c>
      <c r="C880" s="132">
        <v>70</v>
      </c>
      <c r="D880" s="132" t="str">
        <f t="shared" si="62"/>
        <v>CIM Motor BAG Motor 70</v>
      </c>
      <c r="E880" s="132">
        <v>0</v>
      </c>
      <c r="F880" s="132">
        <v>0</v>
      </c>
      <c r="G880" s="132">
        <v>0</v>
      </c>
      <c r="H880" s="132">
        <v>0</v>
      </c>
      <c r="I880" s="132">
        <v>0</v>
      </c>
    </row>
    <row r="881" spans="1:9" ht="14.25" customHeight="1" x14ac:dyDescent="0.25">
      <c r="A881" s="132" t="s">
        <v>247</v>
      </c>
      <c r="B881" s="132" t="s">
        <v>8</v>
      </c>
      <c r="C881" s="132">
        <v>81</v>
      </c>
      <c r="D881" s="132" t="str">
        <f t="shared" si="62"/>
        <v>CIM Motor BAG Motor 81</v>
      </c>
      <c r="E881" s="132">
        <v>0</v>
      </c>
      <c r="F881" s="132">
        <v>0</v>
      </c>
      <c r="G881" s="132">
        <v>0</v>
      </c>
      <c r="H881" s="132">
        <v>0</v>
      </c>
      <c r="I881" s="132">
        <v>0</v>
      </c>
    </row>
    <row r="882" spans="1:9" ht="14.25" customHeight="1" x14ac:dyDescent="0.25">
      <c r="A882" s="132" t="s">
        <v>247</v>
      </c>
      <c r="B882" s="132" t="s">
        <v>8</v>
      </c>
      <c r="C882" s="132">
        <v>90</v>
      </c>
      <c r="D882" s="132" t="str">
        <f t="shared" si="62"/>
        <v>CIM Motor BAG Motor 90</v>
      </c>
      <c r="E882" s="132">
        <v>0</v>
      </c>
      <c r="F882" s="132">
        <v>0</v>
      </c>
      <c r="G882" s="132">
        <v>0</v>
      </c>
      <c r="H882" s="132">
        <v>0</v>
      </c>
      <c r="I882" s="132">
        <v>0</v>
      </c>
    </row>
    <row r="883" spans="1:9" ht="14.25" customHeight="1" x14ac:dyDescent="0.25">
      <c r="A883" s="132" t="s">
        <v>247</v>
      </c>
      <c r="B883" s="132" t="s">
        <v>8</v>
      </c>
      <c r="C883" s="132">
        <v>100</v>
      </c>
      <c r="D883" s="132" t="str">
        <f t="shared" si="62"/>
        <v>CIM Motor BAG Motor 100</v>
      </c>
      <c r="E883" s="132">
        <v>0</v>
      </c>
      <c r="F883" s="132">
        <v>0</v>
      </c>
      <c r="G883" s="132">
        <v>0</v>
      </c>
      <c r="H883" s="132">
        <v>0</v>
      </c>
      <c r="I883" s="132">
        <v>0</v>
      </c>
    </row>
    <row r="884" spans="1:9" ht="14.25" customHeight="1" x14ac:dyDescent="0.25">
      <c r="A884" s="132" t="s">
        <v>247</v>
      </c>
      <c r="B884" s="132" t="s">
        <v>256</v>
      </c>
      <c r="C884" s="132">
        <v>-3</v>
      </c>
      <c r="D884" s="132" t="str">
        <f t="shared" ref="D884:D889" si="63">A884&amp;" "&amp;B884&amp;" "&amp;C884</f>
        <v>CIM Motor 775pro -3</v>
      </c>
      <c r="E884" s="132">
        <v>1</v>
      </c>
      <c r="F884" s="132">
        <v>1</v>
      </c>
      <c r="G884" s="132">
        <v>0</v>
      </c>
      <c r="H884" s="132">
        <v>0</v>
      </c>
      <c r="I884" s="132">
        <v>1</v>
      </c>
    </row>
    <row r="885" spans="1:9" ht="14.25" customHeight="1" x14ac:dyDescent="0.25">
      <c r="A885" s="132" t="s">
        <v>247</v>
      </c>
      <c r="B885" s="132" t="s">
        <v>256</v>
      </c>
      <c r="C885" s="132">
        <v>-4</v>
      </c>
      <c r="D885" s="132" t="str">
        <f t="shared" si="63"/>
        <v>CIM Motor 775pro -4</v>
      </c>
      <c r="E885" s="132">
        <v>1</v>
      </c>
      <c r="F885" s="132">
        <v>1</v>
      </c>
      <c r="G885" s="132">
        <v>0</v>
      </c>
      <c r="H885" s="132">
        <v>0</v>
      </c>
      <c r="I885" s="132">
        <v>1</v>
      </c>
    </row>
    <row r="886" spans="1:9" ht="14.25" customHeight="1" x14ac:dyDescent="0.25">
      <c r="A886" s="132" t="s">
        <v>247</v>
      </c>
      <c r="B886" s="132" t="s">
        <v>256</v>
      </c>
      <c r="C886" s="132">
        <v>-5</v>
      </c>
      <c r="D886" s="132" t="str">
        <f t="shared" si="63"/>
        <v>CIM Motor 775pro -5</v>
      </c>
      <c r="E886" s="132">
        <v>1</v>
      </c>
      <c r="F886" s="132">
        <v>1</v>
      </c>
      <c r="G886" s="132">
        <v>0</v>
      </c>
      <c r="H886" s="132">
        <v>0</v>
      </c>
      <c r="I886" s="132">
        <v>1</v>
      </c>
    </row>
    <row r="887" spans="1:9" ht="14.25" customHeight="1" x14ac:dyDescent="0.25">
      <c r="A887" s="132" t="s">
        <v>247</v>
      </c>
      <c r="B887" s="132" t="s">
        <v>256</v>
      </c>
      <c r="C887" s="132">
        <v>-7</v>
      </c>
      <c r="D887" s="132" t="str">
        <f t="shared" si="63"/>
        <v>CIM Motor 775pro -7</v>
      </c>
      <c r="E887" s="132">
        <v>1</v>
      </c>
      <c r="F887" s="132">
        <v>1</v>
      </c>
      <c r="G887" s="132">
        <v>0</v>
      </c>
      <c r="H887" s="132">
        <v>0</v>
      </c>
      <c r="I887" s="132">
        <v>1</v>
      </c>
    </row>
    <row r="888" spans="1:9" ht="14.25" customHeight="1" x14ac:dyDescent="0.25">
      <c r="A888" s="132" t="s">
        <v>247</v>
      </c>
      <c r="B888" s="132" t="s">
        <v>256</v>
      </c>
      <c r="C888" s="132">
        <v>-9</v>
      </c>
      <c r="D888" s="132" t="str">
        <f t="shared" si="63"/>
        <v>CIM Motor 775pro -9</v>
      </c>
      <c r="E888" s="132">
        <v>1</v>
      </c>
      <c r="F888" s="132">
        <v>1</v>
      </c>
      <c r="G888" s="132">
        <v>0</v>
      </c>
      <c r="H888" s="132">
        <v>0</v>
      </c>
      <c r="I888" s="132">
        <v>1</v>
      </c>
    </row>
    <row r="889" spans="1:9" ht="14.25" customHeight="1" x14ac:dyDescent="0.25">
      <c r="A889" s="132" t="s">
        <v>247</v>
      </c>
      <c r="B889" s="132" t="s">
        <v>256</v>
      </c>
      <c r="C889" s="132">
        <v>-10</v>
      </c>
      <c r="D889" s="132" t="str">
        <f t="shared" si="63"/>
        <v>CIM Motor 775pro -10</v>
      </c>
      <c r="E889" s="132">
        <v>1</v>
      </c>
      <c r="F889" s="132">
        <v>1</v>
      </c>
      <c r="G889" s="132">
        <v>0</v>
      </c>
      <c r="H889" s="132">
        <v>0</v>
      </c>
      <c r="I889" s="132">
        <v>1</v>
      </c>
    </row>
    <row r="890" spans="1:9" ht="14.25" customHeight="1" x14ac:dyDescent="0.25">
      <c r="A890" s="132" t="s">
        <v>247</v>
      </c>
      <c r="B890" s="132" t="s">
        <v>256</v>
      </c>
      <c r="C890" s="132">
        <v>9</v>
      </c>
      <c r="D890" s="132" t="str">
        <f t="shared" ref="D890:D910" si="64">A890&amp;" "&amp;B890&amp;" "&amp;C890</f>
        <v>CIM Motor 775pro 9</v>
      </c>
      <c r="E890" s="132">
        <v>4</v>
      </c>
      <c r="F890" s="132">
        <v>1</v>
      </c>
      <c r="G890" s="132">
        <v>0</v>
      </c>
      <c r="H890" s="132">
        <v>0</v>
      </c>
      <c r="I890" s="132">
        <v>4</v>
      </c>
    </row>
    <row r="891" spans="1:9" ht="14.25" customHeight="1" x14ac:dyDescent="0.25">
      <c r="A891" s="132" t="s">
        <v>247</v>
      </c>
      <c r="B891" s="132" t="s">
        <v>256</v>
      </c>
      <c r="C891" s="132">
        <v>12</v>
      </c>
      <c r="D891" s="132" t="str">
        <f t="shared" si="64"/>
        <v>CIM Motor 775pro 12</v>
      </c>
      <c r="E891" s="132">
        <v>3</v>
      </c>
      <c r="F891" s="132">
        <v>1</v>
      </c>
      <c r="G891" s="132">
        <v>0</v>
      </c>
      <c r="H891" s="132">
        <v>0</v>
      </c>
      <c r="I891" s="132">
        <v>3</v>
      </c>
    </row>
    <row r="892" spans="1:9" ht="14.25" customHeight="1" x14ac:dyDescent="0.25">
      <c r="A892" s="132" t="s">
        <v>247</v>
      </c>
      <c r="B892" s="132" t="s">
        <v>256</v>
      </c>
      <c r="C892" s="132">
        <v>15</v>
      </c>
      <c r="D892" s="132" t="str">
        <f t="shared" si="64"/>
        <v>CIM Motor 775pro 15</v>
      </c>
      <c r="E892" s="132">
        <v>1</v>
      </c>
      <c r="F892" s="132">
        <v>1</v>
      </c>
      <c r="G892" s="132">
        <v>0</v>
      </c>
      <c r="H892" s="132">
        <v>0</v>
      </c>
      <c r="I892" s="132">
        <v>1</v>
      </c>
    </row>
    <row r="893" spans="1:9" ht="14.25" customHeight="1" x14ac:dyDescent="0.25">
      <c r="A893" s="132" t="s">
        <v>247</v>
      </c>
      <c r="B893" s="132" t="s">
        <v>256</v>
      </c>
      <c r="C893" s="132">
        <v>16</v>
      </c>
      <c r="D893" s="132" t="str">
        <f t="shared" si="64"/>
        <v>CIM Motor 775pro 16</v>
      </c>
      <c r="E893" s="132">
        <v>1</v>
      </c>
      <c r="F893" s="132">
        <v>1</v>
      </c>
      <c r="G893" s="132">
        <v>0</v>
      </c>
      <c r="H893" s="132">
        <v>0</v>
      </c>
      <c r="I893" s="132">
        <v>1</v>
      </c>
    </row>
    <row r="894" spans="1:9" ht="14.25" customHeight="1" x14ac:dyDescent="0.25">
      <c r="A894" s="132" t="s">
        <v>247</v>
      </c>
      <c r="B894" s="132" t="s">
        <v>256</v>
      </c>
      <c r="C894" s="132">
        <v>20</v>
      </c>
      <c r="D894" s="132" t="str">
        <f t="shared" si="64"/>
        <v>CIM Motor 775pro 20</v>
      </c>
      <c r="E894" s="132">
        <v>1</v>
      </c>
      <c r="F894" s="132">
        <v>1</v>
      </c>
      <c r="G894" s="132">
        <v>0</v>
      </c>
      <c r="H894" s="132">
        <v>0</v>
      </c>
      <c r="I894" s="132">
        <v>1</v>
      </c>
    </row>
    <row r="895" spans="1:9" ht="14.25" customHeight="1" x14ac:dyDescent="0.25">
      <c r="A895" s="132" t="s">
        <v>247</v>
      </c>
      <c r="B895" s="132" t="s">
        <v>256</v>
      </c>
      <c r="C895" s="132">
        <v>21</v>
      </c>
      <c r="D895" s="132" t="str">
        <f t="shared" si="64"/>
        <v>CIM Motor 775pro 21</v>
      </c>
      <c r="E895" s="132">
        <v>1</v>
      </c>
      <c r="F895" s="132">
        <v>0</v>
      </c>
      <c r="G895" s="132">
        <v>0</v>
      </c>
      <c r="H895" s="132">
        <v>0</v>
      </c>
      <c r="I895" s="132">
        <v>1</v>
      </c>
    </row>
    <row r="896" spans="1:9" ht="14.25" customHeight="1" x14ac:dyDescent="0.25">
      <c r="A896" s="132" t="s">
        <v>247</v>
      </c>
      <c r="B896" s="132" t="s">
        <v>256</v>
      </c>
      <c r="C896" s="132">
        <v>25</v>
      </c>
      <c r="D896" s="132" t="str">
        <f t="shared" si="64"/>
        <v>CIM Motor 775pro 25</v>
      </c>
      <c r="E896" s="132">
        <v>1</v>
      </c>
      <c r="F896" s="132">
        <v>0</v>
      </c>
      <c r="G896" s="132">
        <v>0</v>
      </c>
      <c r="H896" s="132">
        <v>0</v>
      </c>
      <c r="I896" s="132">
        <v>1</v>
      </c>
    </row>
    <row r="897" spans="1:9" ht="14.25" customHeight="1" x14ac:dyDescent="0.25">
      <c r="A897" s="132" t="s">
        <v>247</v>
      </c>
      <c r="B897" s="132" t="s">
        <v>256</v>
      </c>
      <c r="C897" s="132">
        <v>27</v>
      </c>
      <c r="D897" s="132" t="str">
        <f t="shared" si="64"/>
        <v>CIM Motor 775pro 27</v>
      </c>
      <c r="E897" s="132">
        <v>1</v>
      </c>
      <c r="F897" s="132">
        <v>0</v>
      </c>
      <c r="G897" s="132">
        <v>0</v>
      </c>
      <c r="H897" s="132">
        <v>0</v>
      </c>
      <c r="I897" s="132">
        <v>1</v>
      </c>
    </row>
    <row r="898" spans="1:9" ht="14.25" customHeight="1" x14ac:dyDescent="0.25">
      <c r="A898" s="132" t="s">
        <v>247</v>
      </c>
      <c r="B898" s="132" t="s">
        <v>256</v>
      </c>
      <c r="C898" s="132">
        <v>28</v>
      </c>
      <c r="D898" s="132" t="str">
        <f t="shared" si="64"/>
        <v>CIM Motor 775pro 28</v>
      </c>
      <c r="E898" s="132">
        <v>1</v>
      </c>
      <c r="F898" s="132">
        <v>0</v>
      </c>
      <c r="G898" s="132">
        <v>0</v>
      </c>
      <c r="H898" s="132">
        <v>0</v>
      </c>
      <c r="I898" s="132">
        <v>1</v>
      </c>
    </row>
    <row r="899" spans="1:9" ht="14.25" customHeight="1" x14ac:dyDescent="0.25">
      <c r="A899" s="132" t="s">
        <v>247</v>
      </c>
      <c r="B899" s="132" t="s">
        <v>256</v>
      </c>
      <c r="C899" s="132">
        <v>30</v>
      </c>
      <c r="D899" s="132" t="str">
        <f t="shared" si="64"/>
        <v>CIM Motor 775pro 30</v>
      </c>
      <c r="E899" s="132">
        <v>1</v>
      </c>
      <c r="F899" s="132">
        <v>0</v>
      </c>
      <c r="G899" s="132">
        <v>0</v>
      </c>
      <c r="H899" s="132">
        <v>0</v>
      </c>
      <c r="I899" s="132">
        <v>1</v>
      </c>
    </row>
    <row r="900" spans="1:9" ht="14.25" customHeight="1" x14ac:dyDescent="0.25">
      <c r="A900" s="132" t="s">
        <v>247</v>
      </c>
      <c r="B900" s="132" t="s">
        <v>256</v>
      </c>
      <c r="C900" s="132">
        <v>35</v>
      </c>
      <c r="D900" s="132" t="str">
        <f t="shared" si="64"/>
        <v>CIM Motor 775pro 35</v>
      </c>
      <c r="E900" s="132">
        <v>1</v>
      </c>
      <c r="F900" s="132">
        <v>0</v>
      </c>
      <c r="G900" s="132">
        <v>0</v>
      </c>
      <c r="H900" s="132">
        <v>0</v>
      </c>
      <c r="I900" s="132">
        <v>1</v>
      </c>
    </row>
    <row r="901" spans="1:9" ht="14.25" customHeight="1" x14ac:dyDescent="0.25">
      <c r="A901" s="132" t="s">
        <v>247</v>
      </c>
      <c r="B901" s="132" t="s">
        <v>256</v>
      </c>
      <c r="C901" s="132">
        <v>36</v>
      </c>
      <c r="D901" s="132" t="str">
        <f t="shared" si="64"/>
        <v>CIM Motor 775pro 36</v>
      </c>
      <c r="E901" s="132">
        <v>1</v>
      </c>
      <c r="F901" s="132">
        <v>0</v>
      </c>
      <c r="G901" s="132">
        <v>0</v>
      </c>
      <c r="H901" s="132">
        <v>0</v>
      </c>
      <c r="I901" s="132">
        <v>1</v>
      </c>
    </row>
    <row r="902" spans="1:9" ht="14.25" customHeight="1" x14ac:dyDescent="0.25">
      <c r="A902" s="132" t="s">
        <v>247</v>
      </c>
      <c r="B902" s="132" t="s">
        <v>256</v>
      </c>
      <c r="C902" s="132">
        <v>40</v>
      </c>
      <c r="D902" s="132" t="str">
        <f t="shared" si="64"/>
        <v>CIM Motor 775pro 40</v>
      </c>
      <c r="E902" s="132">
        <v>1</v>
      </c>
      <c r="F902" s="132">
        <v>0</v>
      </c>
      <c r="G902" s="132">
        <v>0</v>
      </c>
      <c r="H902" s="132">
        <v>0</v>
      </c>
      <c r="I902" s="132">
        <v>1</v>
      </c>
    </row>
    <row r="903" spans="1:9" ht="14.25" customHeight="1" x14ac:dyDescent="0.25">
      <c r="A903" s="132" t="s">
        <v>247</v>
      </c>
      <c r="B903" s="132" t="s">
        <v>256</v>
      </c>
      <c r="C903" s="132">
        <v>45</v>
      </c>
      <c r="D903" s="132" t="str">
        <f t="shared" si="64"/>
        <v>CIM Motor 775pro 45</v>
      </c>
      <c r="E903" s="132">
        <v>0</v>
      </c>
      <c r="F903" s="132">
        <v>0</v>
      </c>
      <c r="G903" s="132">
        <v>0</v>
      </c>
      <c r="H903" s="132">
        <v>0</v>
      </c>
      <c r="I903" s="132">
        <v>0</v>
      </c>
    </row>
    <row r="904" spans="1:9" ht="14.25" customHeight="1" x14ac:dyDescent="0.25">
      <c r="A904" s="132" t="s">
        <v>247</v>
      </c>
      <c r="B904" s="132" t="s">
        <v>256</v>
      </c>
      <c r="C904" s="132">
        <v>49</v>
      </c>
      <c r="D904" s="132" t="str">
        <f t="shared" si="64"/>
        <v>CIM Motor 775pro 49</v>
      </c>
      <c r="E904" s="132">
        <v>0</v>
      </c>
      <c r="F904" s="132">
        <v>0</v>
      </c>
      <c r="G904" s="132">
        <v>0</v>
      </c>
      <c r="H904" s="132">
        <v>0</v>
      </c>
      <c r="I904" s="132">
        <v>0</v>
      </c>
    </row>
    <row r="905" spans="1:9" ht="14.25" customHeight="1" x14ac:dyDescent="0.25">
      <c r="A905" s="132" t="s">
        <v>247</v>
      </c>
      <c r="B905" s="132" t="s">
        <v>256</v>
      </c>
      <c r="C905" s="132">
        <v>50</v>
      </c>
      <c r="D905" s="132" t="str">
        <f t="shared" si="64"/>
        <v>CIM Motor 775pro 50</v>
      </c>
      <c r="E905" s="132">
        <v>0</v>
      </c>
      <c r="F905" s="132">
        <v>0</v>
      </c>
      <c r="G905" s="132">
        <v>0</v>
      </c>
      <c r="H905" s="132">
        <v>0</v>
      </c>
      <c r="I905" s="132">
        <v>0</v>
      </c>
    </row>
    <row r="906" spans="1:9" ht="14.25" customHeight="1" x14ac:dyDescent="0.25">
      <c r="A906" s="132" t="s">
        <v>247</v>
      </c>
      <c r="B906" s="132" t="s">
        <v>256</v>
      </c>
      <c r="C906" s="132">
        <v>63</v>
      </c>
      <c r="D906" s="132" t="str">
        <f t="shared" si="64"/>
        <v>CIM Motor 775pro 63</v>
      </c>
      <c r="E906" s="132">
        <v>0</v>
      </c>
      <c r="F906" s="132">
        <v>0</v>
      </c>
      <c r="G906" s="132">
        <v>0</v>
      </c>
      <c r="H906" s="132">
        <v>0</v>
      </c>
      <c r="I906" s="132">
        <v>0</v>
      </c>
    </row>
    <row r="907" spans="1:9" ht="14.25" customHeight="1" x14ac:dyDescent="0.25">
      <c r="A907" s="132" t="s">
        <v>247</v>
      </c>
      <c r="B907" s="132" t="s">
        <v>256</v>
      </c>
      <c r="C907" s="132">
        <v>70</v>
      </c>
      <c r="D907" s="132" t="str">
        <f t="shared" si="64"/>
        <v>CIM Motor 775pro 70</v>
      </c>
      <c r="E907" s="132">
        <v>0</v>
      </c>
      <c r="F907" s="132">
        <v>0</v>
      </c>
      <c r="G907" s="132">
        <v>0</v>
      </c>
      <c r="H907" s="132">
        <v>0</v>
      </c>
      <c r="I907" s="132">
        <v>0</v>
      </c>
    </row>
    <row r="908" spans="1:9" ht="14.25" customHeight="1" x14ac:dyDescent="0.25">
      <c r="A908" s="132" t="s">
        <v>247</v>
      </c>
      <c r="B908" s="132" t="s">
        <v>256</v>
      </c>
      <c r="C908" s="132">
        <v>81</v>
      </c>
      <c r="D908" s="132" t="str">
        <f t="shared" si="64"/>
        <v>CIM Motor 775pro 81</v>
      </c>
      <c r="E908" s="132">
        <v>0</v>
      </c>
      <c r="F908" s="132">
        <v>0</v>
      </c>
      <c r="G908" s="132">
        <v>0</v>
      </c>
      <c r="H908" s="132">
        <v>0</v>
      </c>
      <c r="I908" s="132">
        <v>0</v>
      </c>
    </row>
    <row r="909" spans="1:9" ht="14.25" customHeight="1" x14ac:dyDescent="0.25">
      <c r="A909" s="132" t="s">
        <v>247</v>
      </c>
      <c r="B909" s="132" t="s">
        <v>256</v>
      </c>
      <c r="C909" s="132">
        <v>90</v>
      </c>
      <c r="D909" s="132" t="str">
        <f t="shared" si="64"/>
        <v>CIM Motor 775pro 90</v>
      </c>
      <c r="E909" s="132">
        <v>0</v>
      </c>
      <c r="F909" s="132">
        <v>0</v>
      </c>
      <c r="G909" s="132">
        <v>0</v>
      </c>
      <c r="H909" s="132">
        <v>0</v>
      </c>
      <c r="I909" s="132">
        <v>0</v>
      </c>
    </row>
    <row r="910" spans="1:9" ht="14.25" customHeight="1" x14ac:dyDescent="0.25">
      <c r="A910" s="132" t="s">
        <v>247</v>
      </c>
      <c r="B910" s="132" t="s">
        <v>256</v>
      </c>
      <c r="C910" s="132">
        <v>100</v>
      </c>
      <c r="D910" s="132" t="str">
        <f t="shared" si="64"/>
        <v>CIM Motor 775pro 100</v>
      </c>
      <c r="E910" s="132">
        <v>0</v>
      </c>
      <c r="F910" s="132">
        <v>0</v>
      </c>
      <c r="G910" s="132">
        <v>0</v>
      </c>
      <c r="H910" s="132">
        <v>0</v>
      </c>
      <c r="I910" s="132">
        <v>0</v>
      </c>
    </row>
    <row r="911" spans="1:9" ht="14.25" customHeight="1" x14ac:dyDescent="0.25">
      <c r="A911" s="132" t="s">
        <v>247</v>
      </c>
      <c r="B911" s="132" t="s">
        <v>7</v>
      </c>
      <c r="C911" s="132">
        <v>-3</v>
      </c>
      <c r="D911" s="132" t="str">
        <f t="shared" ref="D911:D916" si="65">A911&amp;" "&amp;B911&amp;" "&amp;C911</f>
        <v>CIM Motor Mini CIM -3</v>
      </c>
      <c r="E911" s="132">
        <v>1</v>
      </c>
      <c r="I911" s="132">
        <v>0</v>
      </c>
    </row>
    <row r="912" spans="1:9" ht="14.25" customHeight="1" x14ac:dyDescent="0.25">
      <c r="A912" s="132" t="s">
        <v>247</v>
      </c>
      <c r="B912" s="132" t="s">
        <v>7</v>
      </c>
      <c r="C912" s="132">
        <v>-4</v>
      </c>
      <c r="D912" s="132" t="str">
        <f t="shared" si="65"/>
        <v>CIM Motor Mini CIM -4</v>
      </c>
      <c r="E912" s="132">
        <v>1</v>
      </c>
      <c r="I912" s="132">
        <v>0</v>
      </c>
    </row>
    <row r="913" spans="1:9" ht="14.25" customHeight="1" x14ac:dyDescent="0.25">
      <c r="A913" s="132" t="s">
        <v>247</v>
      </c>
      <c r="B913" s="132" t="s">
        <v>7</v>
      </c>
      <c r="C913" s="132">
        <v>-5</v>
      </c>
      <c r="D913" s="132" t="str">
        <f t="shared" si="65"/>
        <v>CIM Motor Mini CIM -5</v>
      </c>
      <c r="E913" s="132">
        <v>1</v>
      </c>
      <c r="I913" s="132">
        <v>0</v>
      </c>
    </row>
    <row r="914" spans="1:9" ht="14.25" customHeight="1" x14ac:dyDescent="0.25">
      <c r="A914" s="132" t="s">
        <v>247</v>
      </c>
      <c r="B914" s="132" t="s">
        <v>7</v>
      </c>
      <c r="C914" s="132">
        <v>-7</v>
      </c>
      <c r="D914" s="132" t="str">
        <f t="shared" si="65"/>
        <v>CIM Motor Mini CIM -7</v>
      </c>
      <c r="E914" s="132">
        <v>1</v>
      </c>
      <c r="I914" s="132">
        <v>0</v>
      </c>
    </row>
    <row r="915" spans="1:9" ht="14.25" customHeight="1" x14ac:dyDescent="0.25">
      <c r="A915" s="132" t="s">
        <v>247</v>
      </c>
      <c r="B915" s="132" t="s">
        <v>7</v>
      </c>
      <c r="C915" s="132">
        <v>-9</v>
      </c>
      <c r="D915" s="132" t="str">
        <f t="shared" si="65"/>
        <v>CIM Motor Mini CIM -9</v>
      </c>
      <c r="E915" s="132">
        <v>1</v>
      </c>
      <c r="I915" s="132">
        <v>0</v>
      </c>
    </row>
    <row r="916" spans="1:9" ht="14.25" customHeight="1" x14ac:dyDescent="0.25">
      <c r="A916" s="132" t="s">
        <v>247</v>
      </c>
      <c r="B916" s="132" t="s">
        <v>7</v>
      </c>
      <c r="C916" s="132">
        <v>-10</v>
      </c>
      <c r="D916" s="132" t="str">
        <f t="shared" si="65"/>
        <v>CIM Motor Mini CIM -10</v>
      </c>
      <c r="E916" s="132">
        <v>1</v>
      </c>
      <c r="I916" s="132">
        <v>0</v>
      </c>
    </row>
    <row r="917" spans="1:9" ht="14.25" customHeight="1" x14ac:dyDescent="0.25">
      <c r="A917" s="132" t="s">
        <v>247</v>
      </c>
      <c r="B917" s="132" t="s">
        <v>7</v>
      </c>
      <c r="C917" s="132">
        <v>9</v>
      </c>
      <c r="D917" s="132" t="str">
        <f t="shared" ref="D917:D937" si="66">A917&amp;" "&amp;B917&amp;" "&amp;C917</f>
        <v>CIM Motor Mini CIM 9</v>
      </c>
      <c r="E917" s="132">
        <v>1</v>
      </c>
      <c r="I917" s="132">
        <v>0</v>
      </c>
    </row>
    <row r="918" spans="1:9" ht="14.25" customHeight="1" x14ac:dyDescent="0.25">
      <c r="A918" s="132" t="s">
        <v>247</v>
      </c>
      <c r="B918" s="132" t="s">
        <v>7</v>
      </c>
      <c r="C918" s="132">
        <v>12</v>
      </c>
      <c r="D918" s="132" t="str">
        <f t="shared" si="66"/>
        <v>CIM Motor Mini CIM 12</v>
      </c>
      <c r="E918" s="132">
        <v>1</v>
      </c>
      <c r="I918" s="132">
        <v>0</v>
      </c>
    </row>
    <row r="919" spans="1:9" ht="14.25" customHeight="1" x14ac:dyDescent="0.25">
      <c r="A919" s="132" t="s">
        <v>247</v>
      </c>
      <c r="B919" s="132" t="s">
        <v>7</v>
      </c>
      <c r="C919" s="132">
        <v>15</v>
      </c>
      <c r="D919" s="132" t="str">
        <f t="shared" si="66"/>
        <v>CIM Motor Mini CIM 15</v>
      </c>
      <c r="E919" s="132">
        <v>1</v>
      </c>
      <c r="I919" s="132">
        <v>0</v>
      </c>
    </row>
    <row r="920" spans="1:9" ht="14.25" customHeight="1" x14ac:dyDescent="0.25">
      <c r="A920" s="132" t="s">
        <v>247</v>
      </c>
      <c r="B920" s="132" t="s">
        <v>7</v>
      </c>
      <c r="C920" s="132">
        <v>16</v>
      </c>
      <c r="D920" s="132" t="str">
        <f t="shared" si="66"/>
        <v>CIM Motor Mini CIM 16</v>
      </c>
      <c r="E920" s="132">
        <v>1</v>
      </c>
      <c r="I920" s="132">
        <v>0</v>
      </c>
    </row>
    <row r="921" spans="1:9" ht="14.25" customHeight="1" x14ac:dyDescent="0.25">
      <c r="A921" s="132" t="s">
        <v>247</v>
      </c>
      <c r="B921" s="132" t="s">
        <v>7</v>
      </c>
      <c r="C921" s="132">
        <v>20</v>
      </c>
      <c r="D921" s="132" t="str">
        <f t="shared" si="66"/>
        <v>CIM Motor Mini CIM 20</v>
      </c>
      <c r="E921" s="132">
        <v>1</v>
      </c>
      <c r="I921" s="132">
        <v>0</v>
      </c>
    </row>
    <row r="922" spans="1:9" ht="14.25" customHeight="1" x14ac:dyDescent="0.25">
      <c r="A922" s="132" t="s">
        <v>247</v>
      </c>
      <c r="B922" s="132" t="s">
        <v>7</v>
      </c>
      <c r="C922" s="132">
        <v>21</v>
      </c>
      <c r="D922" s="132" t="str">
        <f t="shared" si="66"/>
        <v>CIM Motor Mini CIM 21</v>
      </c>
      <c r="E922" s="132">
        <v>0</v>
      </c>
      <c r="I922" s="132">
        <v>0</v>
      </c>
    </row>
    <row r="923" spans="1:9" ht="14.25" customHeight="1" x14ac:dyDescent="0.25">
      <c r="A923" s="132" t="s">
        <v>247</v>
      </c>
      <c r="B923" s="132" t="s">
        <v>7</v>
      </c>
      <c r="C923" s="132">
        <v>25</v>
      </c>
      <c r="D923" s="132" t="str">
        <f t="shared" si="66"/>
        <v>CIM Motor Mini CIM 25</v>
      </c>
      <c r="E923" s="132">
        <v>0</v>
      </c>
      <c r="I923" s="132">
        <v>0</v>
      </c>
    </row>
    <row r="924" spans="1:9" ht="14.25" customHeight="1" x14ac:dyDescent="0.25">
      <c r="A924" s="132" t="s">
        <v>247</v>
      </c>
      <c r="B924" s="132" t="s">
        <v>7</v>
      </c>
      <c r="C924" s="132">
        <v>27</v>
      </c>
      <c r="D924" s="132" t="str">
        <f t="shared" si="66"/>
        <v>CIM Motor Mini CIM 27</v>
      </c>
      <c r="E924" s="132">
        <v>0</v>
      </c>
      <c r="I924" s="132">
        <v>0</v>
      </c>
    </row>
    <row r="925" spans="1:9" ht="14.25" customHeight="1" x14ac:dyDescent="0.25">
      <c r="A925" s="132" t="s">
        <v>247</v>
      </c>
      <c r="B925" s="132" t="s">
        <v>7</v>
      </c>
      <c r="C925" s="132">
        <v>28</v>
      </c>
      <c r="D925" s="132" t="str">
        <f t="shared" si="66"/>
        <v>CIM Motor Mini CIM 28</v>
      </c>
      <c r="E925" s="132">
        <v>0</v>
      </c>
      <c r="I925" s="132">
        <v>0</v>
      </c>
    </row>
    <row r="926" spans="1:9" ht="14.25" customHeight="1" x14ac:dyDescent="0.25">
      <c r="A926" s="132" t="s">
        <v>247</v>
      </c>
      <c r="B926" s="132" t="s">
        <v>7</v>
      </c>
      <c r="C926" s="132">
        <v>30</v>
      </c>
      <c r="D926" s="132" t="str">
        <f t="shared" si="66"/>
        <v>CIM Motor Mini CIM 30</v>
      </c>
      <c r="E926" s="132">
        <v>0</v>
      </c>
      <c r="I926" s="132">
        <v>0</v>
      </c>
    </row>
    <row r="927" spans="1:9" ht="14.25" customHeight="1" x14ac:dyDescent="0.25">
      <c r="A927" s="132" t="s">
        <v>247</v>
      </c>
      <c r="B927" s="132" t="s">
        <v>7</v>
      </c>
      <c r="C927" s="132">
        <v>35</v>
      </c>
      <c r="D927" s="132" t="str">
        <f t="shared" si="66"/>
        <v>CIM Motor Mini CIM 35</v>
      </c>
      <c r="E927" s="132">
        <v>0</v>
      </c>
      <c r="I927" s="132">
        <v>0</v>
      </c>
    </row>
    <row r="928" spans="1:9" ht="14.25" customHeight="1" x14ac:dyDescent="0.25">
      <c r="A928" s="132" t="s">
        <v>247</v>
      </c>
      <c r="B928" s="132" t="s">
        <v>7</v>
      </c>
      <c r="C928" s="132">
        <v>36</v>
      </c>
      <c r="D928" s="132" t="str">
        <f t="shared" si="66"/>
        <v>CIM Motor Mini CIM 36</v>
      </c>
      <c r="E928" s="132">
        <v>0</v>
      </c>
      <c r="I928" s="132">
        <v>0</v>
      </c>
    </row>
    <row r="929" spans="1:9" ht="14.25" customHeight="1" x14ac:dyDescent="0.25">
      <c r="A929" s="132" t="s">
        <v>247</v>
      </c>
      <c r="B929" s="132" t="s">
        <v>7</v>
      </c>
      <c r="C929" s="132">
        <v>40</v>
      </c>
      <c r="D929" s="132" t="str">
        <f t="shared" si="66"/>
        <v>CIM Motor Mini CIM 40</v>
      </c>
      <c r="E929" s="132">
        <v>0</v>
      </c>
      <c r="I929" s="132">
        <v>0</v>
      </c>
    </row>
    <row r="930" spans="1:9" ht="14.25" customHeight="1" x14ac:dyDescent="0.25">
      <c r="A930" s="132" t="s">
        <v>247</v>
      </c>
      <c r="B930" s="132" t="s">
        <v>7</v>
      </c>
      <c r="C930" s="132">
        <v>45</v>
      </c>
      <c r="D930" s="132" t="str">
        <f t="shared" si="66"/>
        <v>CIM Motor Mini CIM 45</v>
      </c>
      <c r="E930" s="132">
        <v>0</v>
      </c>
      <c r="I930" s="132">
        <v>0</v>
      </c>
    </row>
    <row r="931" spans="1:9" ht="14.25" customHeight="1" x14ac:dyDescent="0.25">
      <c r="A931" s="132" t="s">
        <v>247</v>
      </c>
      <c r="B931" s="132" t="s">
        <v>7</v>
      </c>
      <c r="C931" s="132">
        <v>49</v>
      </c>
      <c r="D931" s="132" t="str">
        <f t="shared" si="66"/>
        <v>CIM Motor Mini CIM 49</v>
      </c>
      <c r="E931" s="132">
        <v>0</v>
      </c>
      <c r="I931" s="132">
        <v>0</v>
      </c>
    </row>
    <row r="932" spans="1:9" ht="14.25" customHeight="1" x14ac:dyDescent="0.25">
      <c r="A932" s="132" t="s">
        <v>247</v>
      </c>
      <c r="B932" s="132" t="s">
        <v>7</v>
      </c>
      <c r="C932" s="132">
        <v>50</v>
      </c>
      <c r="D932" s="132" t="str">
        <f t="shared" si="66"/>
        <v>CIM Motor Mini CIM 50</v>
      </c>
      <c r="E932" s="132">
        <v>0</v>
      </c>
      <c r="I932" s="132">
        <v>0</v>
      </c>
    </row>
    <row r="933" spans="1:9" ht="14.25" customHeight="1" x14ac:dyDescent="0.25">
      <c r="A933" s="132" t="s">
        <v>247</v>
      </c>
      <c r="B933" s="132" t="s">
        <v>7</v>
      </c>
      <c r="C933" s="132">
        <v>63</v>
      </c>
      <c r="D933" s="132" t="str">
        <f t="shared" si="66"/>
        <v>CIM Motor Mini CIM 63</v>
      </c>
      <c r="E933" s="132">
        <v>0</v>
      </c>
      <c r="I933" s="132">
        <v>0</v>
      </c>
    </row>
    <row r="934" spans="1:9" ht="14.25" customHeight="1" x14ac:dyDescent="0.25">
      <c r="A934" s="132" t="s">
        <v>247</v>
      </c>
      <c r="B934" s="132" t="s">
        <v>7</v>
      </c>
      <c r="C934" s="132">
        <v>70</v>
      </c>
      <c r="D934" s="132" t="str">
        <f t="shared" si="66"/>
        <v>CIM Motor Mini CIM 70</v>
      </c>
      <c r="E934" s="132">
        <v>0</v>
      </c>
      <c r="I934" s="132">
        <v>0</v>
      </c>
    </row>
    <row r="935" spans="1:9" ht="14.25" customHeight="1" x14ac:dyDescent="0.25">
      <c r="A935" s="132" t="s">
        <v>247</v>
      </c>
      <c r="B935" s="132" t="s">
        <v>7</v>
      </c>
      <c r="C935" s="132">
        <v>81</v>
      </c>
      <c r="D935" s="132" t="str">
        <f t="shared" si="66"/>
        <v>CIM Motor Mini CIM 81</v>
      </c>
      <c r="E935" s="132">
        <v>0</v>
      </c>
      <c r="I935" s="132">
        <v>0</v>
      </c>
    </row>
    <row r="936" spans="1:9" ht="14.25" customHeight="1" x14ac:dyDescent="0.25">
      <c r="A936" s="132" t="s">
        <v>247</v>
      </c>
      <c r="B936" s="132" t="s">
        <v>7</v>
      </c>
      <c r="C936" s="132">
        <v>90</v>
      </c>
      <c r="D936" s="132" t="str">
        <f t="shared" si="66"/>
        <v>CIM Motor Mini CIM 90</v>
      </c>
      <c r="E936" s="132">
        <v>0</v>
      </c>
      <c r="I936" s="132">
        <v>0</v>
      </c>
    </row>
    <row r="937" spans="1:9" ht="14.25" customHeight="1" x14ac:dyDescent="0.25">
      <c r="A937" s="132" t="s">
        <v>247</v>
      </c>
      <c r="B937" s="132" t="s">
        <v>7</v>
      </c>
      <c r="C937" s="132">
        <v>100</v>
      </c>
      <c r="D937" s="132" t="str">
        <f t="shared" si="66"/>
        <v>CIM Motor Mini CIM 100</v>
      </c>
      <c r="E937" s="132">
        <v>0</v>
      </c>
      <c r="I937" s="132">
        <v>0</v>
      </c>
    </row>
    <row r="938" spans="1:9" ht="14.25" customHeight="1" x14ac:dyDescent="0.25">
      <c r="A938" s="132" t="s">
        <v>247</v>
      </c>
      <c r="B938" s="132" t="s">
        <v>6</v>
      </c>
      <c r="C938" s="132">
        <v>-3</v>
      </c>
      <c r="D938" s="132" t="str">
        <f t="shared" ref="D938:D943" si="67">A938&amp;" "&amp;B938&amp;" "&amp;C938</f>
        <v>CIM Motor CIM -3</v>
      </c>
      <c r="E938" s="132">
        <v>1</v>
      </c>
      <c r="I938" s="132">
        <v>0</v>
      </c>
    </row>
    <row r="939" spans="1:9" ht="14.25" customHeight="1" x14ac:dyDescent="0.25">
      <c r="A939" s="132" t="s">
        <v>247</v>
      </c>
      <c r="B939" s="132" t="s">
        <v>6</v>
      </c>
      <c r="C939" s="132">
        <v>-4</v>
      </c>
      <c r="D939" s="132" t="str">
        <f t="shared" si="67"/>
        <v>CIM Motor CIM -4</v>
      </c>
      <c r="E939" s="132">
        <v>1</v>
      </c>
      <c r="I939" s="132">
        <v>0</v>
      </c>
    </row>
    <row r="940" spans="1:9" ht="14.25" customHeight="1" x14ac:dyDescent="0.25">
      <c r="A940" s="132" t="s">
        <v>247</v>
      </c>
      <c r="B940" s="132" t="s">
        <v>6</v>
      </c>
      <c r="C940" s="132">
        <v>-5</v>
      </c>
      <c r="D940" s="132" t="str">
        <f t="shared" si="67"/>
        <v>CIM Motor CIM -5</v>
      </c>
      <c r="E940" s="132">
        <v>1</v>
      </c>
      <c r="I940" s="132">
        <v>0</v>
      </c>
    </row>
    <row r="941" spans="1:9" ht="14.25" customHeight="1" x14ac:dyDescent="0.25">
      <c r="A941" s="132" t="s">
        <v>247</v>
      </c>
      <c r="B941" s="132" t="s">
        <v>6</v>
      </c>
      <c r="C941" s="132">
        <v>-7</v>
      </c>
      <c r="D941" s="132" t="str">
        <f t="shared" si="67"/>
        <v>CIM Motor CIM -7</v>
      </c>
      <c r="E941" s="132">
        <v>1</v>
      </c>
      <c r="I941" s="132">
        <v>0</v>
      </c>
    </row>
    <row r="942" spans="1:9" ht="14.25" customHeight="1" x14ac:dyDescent="0.25">
      <c r="A942" s="132" t="s">
        <v>247</v>
      </c>
      <c r="B942" s="132" t="s">
        <v>6</v>
      </c>
      <c r="C942" s="132">
        <v>-9</v>
      </c>
      <c r="D942" s="132" t="str">
        <f t="shared" si="67"/>
        <v>CIM Motor CIM -9</v>
      </c>
      <c r="E942" s="132">
        <v>1</v>
      </c>
      <c r="I942" s="132">
        <v>0</v>
      </c>
    </row>
    <row r="943" spans="1:9" ht="14.25" customHeight="1" x14ac:dyDescent="0.25">
      <c r="A943" s="132" t="s">
        <v>247</v>
      </c>
      <c r="B943" s="132" t="s">
        <v>6</v>
      </c>
      <c r="C943" s="132">
        <v>-10</v>
      </c>
      <c r="D943" s="132" t="str">
        <f t="shared" si="67"/>
        <v>CIM Motor CIM -10</v>
      </c>
      <c r="E943" s="132">
        <v>1</v>
      </c>
      <c r="I943" s="132">
        <v>0</v>
      </c>
    </row>
    <row r="944" spans="1:9" ht="14.25" customHeight="1" x14ac:dyDescent="0.25">
      <c r="A944" s="132" t="s">
        <v>247</v>
      </c>
      <c r="B944" s="132" t="s">
        <v>6</v>
      </c>
      <c r="C944" s="132">
        <v>9</v>
      </c>
      <c r="D944" s="132" t="str">
        <f t="shared" ref="D944:D964" si="68">A944&amp;" "&amp;B944&amp;" "&amp;C944</f>
        <v>CIM Motor CIM 9</v>
      </c>
      <c r="E944" s="132">
        <v>1</v>
      </c>
      <c r="I944" s="132">
        <v>0</v>
      </c>
    </row>
    <row r="945" spans="1:9" ht="14.25" customHeight="1" x14ac:dyDescent="0.25">
      <c r="A945" s="132" t="s">
        <v>247</v>
      </c>
      <c r="B945" s="132" t="s">
        <v>6</v>
      </c>
      <c r="C945" s="132">
        <v>12</v>
      </c>
      <c r="D945" s="132" t="str">
        <f t="shared" si="68"/>
        <v>CIM Motor CIM 12</v>
      </c>
      <c r="E945" s="132">
        <v>0</v>
      </c>
      <c r="I945" s="132">
        <v>0</v>
      </c>
    </row>
    <row r="946" spans="1:9" ht="14.25" customHeight="1" x14ac:dyDescent="0.25">
      <c r="A946" s="132" t="s">
        <v>247</v>
      </c>
      <c r="B946" s="132" t="s">
        <v>6</v>
      </c>
      <c r="C946" s="132">
        <v>15</v>
      </c>
      <c r="D946" s="132" t="str">
        <f t="shared" si="68"/>
        <v>CIM Motor CIM 15</v>
      </c>
      <c r="E946" s="132">
        <v>0</v>
      </c>
      <c r="I946" s="132">
        <v>0</v>
      </c>
    </row>
    <row r="947" spans="1:9" ht="14.25" customHeight="1" x14ac:dyDescent="0.25">
      <c r="A947" s="132" t="s">
        <v>247</v>
      </c>
      <c r="B947" s="132" t="s">
        <v>6</v>
      </c>
      <c r="C947" s="132">
        <v>16</v>
      </c>
      <c r="D947" s="132" t="str">
        <f t="shared" si="68"/>
        <v>CIM Motor CIM 16</v>
      </c>
      <c r="E947" s="132">
        <v>0</v>
      </c>
      <c r="I947" s="132">
        <v>0</v>
      </c>
    </row>
    <row r="948" spans="1:9" ht="14.25" customHeight="1" x14ac:dyDescent="0.25">
      <c r="A948" s="132" t="s">
        <v>247</v>
      </c>
      <c r="B948" s="132" t="s">
        <v>6</v>
      </c>
      <c r="C948" s="132">
        <v>20</v>
      </c>
      <c r="D948" s="132" t="str">
        <f t="shared" si="68"/>
        <v>CIM Motor CIM 20</v>
      </c>
      <c r="E948" s="132">
        <v>0</v>
      </c>
      <c r="I948" s="132">
        <v>0</v>
      </c>
    </row>
    <row r="949" spans="1:9" ht="14.25" customHeight="1" x14ac:dyDescent="0.25">
      <c r="A949" s="132" t="s">
        <v>247</v>
      </c>
      <c r="B949" s="132" t="s">
        <v>6</v>
      </c>
      <c r="C949" s="132">
        <v>21</v>
      </c>
      <c r="D949" s="132" t="str">
        <f t="shared" si="68"/>
        <v>CIM Motor CIM 21</v>
      </c>
      <c r="E949" s="132">
        <v>0</v>
      </c>
      <c r="I949" s="132">
        <v>0</v>
      </c>
    </row>
    <row r="950" spans="1:9" ht="14.25" customHeight="1" x14ac:dyDescent="0.25">
      <c r="A950" s="132" t="s">
        <v>247</v>
      </c>
      <c r="B950" s="132" t="s">
        <v>6</v>
      </c>
      <c r="C950" s="132">
        <v>25</v>
      </c>
      <c r="D950" s="132" t="str">
        <f t="shared" si="68"/>
        <v>CIM Motor CIM 25</v>
      </c>
      <c r="E950" s="132">
        <v>0</v>
      </c>
      <c r="I950" s="132">
        <v>0</v>
      </c>
    </row>
    <row r="951" spans="1:9" ht="14.25" customHeight="1" x14ac:dyDescent="0.25">
      <c r="A951" s="132" t="s">
        <v>247</v>
      </c>
      <c r="B951" s="132" t="s">
        <v>6</v>
      </c>
      <c r="C951" s="132">
        <v>27</v>
      </c>
      <c r="D951" s="132" t="str">
        <f t="shared" si="68"/>
        <v>CIM Motor CIM 27</v>
      </c>
      <c r="E951" s="132">
        <v>0</v>
      </c>
      <c r="I951" s="132">
        <v>0</v>
      </c>
    </row>
    <row r="952" spans="1:9" ht="14.25" customHeight="1" x14ac:dyDescent="0.25">
      <c r="A952" s="132" t="s">
        <v>247</v>
      </c>
      <c r="B952" s="132" t="s">
        <v>6</v>
      </c>
      <c r="C952" s="132">
        <v>28</v>
      </c>
      <c r="D952" s="132" t="str">
        <f t="shared" si="68"/>
        <v>CIM Motor CIM 28</v>
      </c>
      <c r="E952" s="132">
        <v>0</v>
      </c>
      <c r="I952" s="132">
        <v>0</v>
      </c>
    </row>
    <row r="953" spans="1:9" ht="14.25" customHeight="1" x14ac:dyDescent="0.25">
      <c r="A953" s="132" t="s">
        <v>247</v>
      </c>
      <c r="B953" s="132" t="s">
        <v>6</v>
      </c>
      <c r="C953" s="132">
        <v>30</v>
      </c>
      <c r="D953" s="132" t="str">
        <f t="shared" si="68"/>
        <v>CIM Motor CIM 30</v>
      </c>
      <c r="E953" s="132">
        <v>0</v>
      </c>
      <c r="I953" s="132">
        <v>0</v>
      </c>
    </row>
    <row r="954" spans="1:9" ht="14.25" customHeight="1" x14ac:dyDescent="0.25">
      <c r="A954" s="132" t="s">
        <v>247</v>
      </c>
      <c r="B954" s="132" t="s">
        <v>6</v>
      </c>
      <c r="C954" s="132">
        <v>35</v>
      </c>
      <c r="D954" s="132" t="str">
        <f t="shared" si="68"/>
        <v>CIM Motor CIM 35</v>
      </c>
      <c r="E954" s="132">
        <v>0</v>
      </c>
      <c r="I954" s="132">
        <v>0</v>
      </c>
    </row>
    <row r="955" spans="1:9" ht="14.25" customHeight="1" x14ac:dyDescent="0.25">
      <c r="A955" s="132" t="s">
        <v>247</v>
      </c>
      <c r="B955" s="132" t="s">
        <v>6</v>
      </c>
      <c r="C955" s="132">
        <v>36</v>
      </c>
      <c r="D955" s="132" t="str">
        <f t="shared" si="68"/>
        <v>CIM Motor CIM 36</v>
      </c>
      <c r="E955" s="132">
        <v>0</v>
      </c>
      <c r="I955" s="132">
        <v>0</v>
      </c>
    </row>
    <row r="956" spans="1:9" ht="14.25" customHeight="1" x14ac:dyDescent="0.25">
      <c r="A956" s="132" t="s">
        <v>247</v>
      </c>
      <c r="B956" s="132" t="s">
        <v>6</v>
      </c>
      <c r="C956" s="132">
        <v>40</v>
      </c>
      <c r="D956" s="132" t="str">
        <f t="shared" si="68"/>
        <v>CIM Motor CIM 40</v>
      </c>
      <c r="E956" s="132">
        <v>0</v>
      </c>
      <c r="I956" s="132">
        <v>0</v>
      </c>
    </row>
    <row r="957" spans="1:9" ht="14.25" customHeight="1" x14ac:dyDescent="0.25">
      <c r="A957" s="132" t="s">
        <v>247</v>
      </c>
      <c r="B957" s="132" t="s">
        <v>6</v>
      </c>
      <c r="C957" s="132">
        <v>45</v>
      </c>
      <c r="D957" s="132" t="str">
        <f t="shared" si="68"/>
        <v>CIM Motor CIM 45</v>
      </c>
      <c r="E957" s="132">
        <v>0</v>
      </c>
      <c r="I957" s="132">
        <v>0</v>
      </c>
    </row>
    <row r="958" spans="1:9" ht="14.25" customHeight="1" x14ac:dyDescent="0.25">
      <c r="A958" s="132" t="s">
        <v>247</v>
      </c>
      <c r="B958" s="132" t="s">
        <v>6</v>
      </c>
      <c r="C958" s="132">
        <v>49</v>
      </c>
      <c r="D958" s="132" t="str">
        <f t="shared" si="68"/>
        <v>CIM Motor CIM 49</v>
      </c>
      <c r="E958" s="132">
        <v>0</v>
      </c>
      <c r="I958" s="132">
        <v>0</v>
      </c>
    </row>
    <row r="959" spans="1:9" ht="14.25" customHeight="1" x14ac:dyDescent="0.25">
      <c r="A959" s="132" t="s">
        <v>247</v>
      </c>
      <c r="B959" s="132" t="s">
        <v>6</v>
      </c>
      <c r="C959" s="132">
        <v>50</v>
      </c>
      <c r="D959" s="132" t="str">
        <f t="shared" si="68"/>
        <v>CIM Motor CIM 50</v>
      </c>
      <c r="E959" s="132">
        <v>0</v>
      </c>
      <c r="I959" s="132">
        <v>0</v>
      </c>
    </row>
    <row r="960" spans="1:9" ht="14.25" customHeight="1" x14ac:dyDescent="0.25">
      <c r="A960" s="132" t="s">
        <v>247</v>
      </c>
      <c r="B960" s="132" t="s">
        <v>6</v>
      </c>
      <c r="C960" s="132">
        <v>63</v>
      </c>
      <c r="D960" s="132" t="str">
        <f t="shared" si="68"/>
        <v>CIM Motor CIM 63</v>
      </c>
      <c r="E960" s="132">
        <v>0</v>
      </c>
      <c r="I960" s="132">
        <v>0</v>
      </c>
    </row>
    <row r="961" spans="1:9" ht="14.25" customHeight="1" x14ac:dyDescent="0.25">
      <c r="A961" s="132" t="s">
        <v>247</v>
      </c>
      <c r="B961" s="132" t="s">
        <v>6</v>
      </c>
      <c r="C961" s="132">
        <v>70</v>
      </c>
      <c r="D961" s="132" t="str">
        <f t="shared" si="68"/>
        <v>CIM Motor CIM 70</v>
      </c>
      <c r="E961" s="132">
        <v>0</v>
      </c>
      <c r="I961" s="132">
        <v>0</v>
      </c>
    </row>
    <row r="962" spans="1:9" ht="14.25" customHeight="1" x14ac:dyDescent="0.25">
      <c r="A962" s="132" t="s">
        <v>247</v>
      </c>
      <c r="B962" s="132" t="s">
        <v>6</v>
      </c>
      <c r="C962" s="132">
        <v>81</v>
      </c>
      <c r="D962" s="132" t="str">
        <f t="shared" si="68"/>
        <v>CIM Motor CIM 81</v>
      </c>
      <c r="E962" s="132">
        <v>0</v>
      </c>
      <c r="I962" s="132">
        <v>0</v>
      </c>
    </row>
    <row r="963" spans="1:9" ht="14.25" customHeight="1" x14ac:dyDescent="0.25">
      <c r="A963" s="132" t="s">
        <v>247</v>
      </c>
      <c r="B963" s="132" t="s">
        <v>6</v>
      </c>
      <c r="C963" s="132">
        <v>90</v>
      </c>
      <c r="D963" s="132" t="str">
        <f t="shared" si="68"/>
        <v>CIM Motor CIM 90</v>
      </c>
      <c r="E963" s="132">
        <v>0</v>
      </c>
      <c r="I963" s="132">
        <v>0</v>
      </c>
    </row>
    <row r="964" spans="1:9" ht="14.25" customHeight="1" x14ac:dyDescent="0.25">
      <c r="A964" s="132" t="s">
        <v>247</v>
      </c>
      <c r="B964" s="132" t="s">
        <v>6</v>
      </c>
      <c r="C964" s="132">
        <v>100</v>
      </c>
      <c r="D964" s="132" t="str">
        <f t="shared" si="68"/>
        <v>CIM Motor CIM 100</v>
      </c>
      <c r="E964" s="132">
        <v>0</v>
      </c>
      <c r="I964" s="132">
        <v>0</v>
      </c>
    </row>
    <row r="965" spans="1:9" ht="14.25" customHeight="1" x14ac:dyDescent="0.25">
      <c r="A965" s="132" t="s">
        <v>247</v>
      </c>
      <c r="B965" s="132" t="s">
        <v>9</v>
      </c>
      <c r="C965" s="132">
        <v>-3</v>
      </c>
      <c r="D965" s="132" t="str">
        <f t="shared" ref="D965:D970" si="69">A965&amp;" "&amp;B965&amp;" "&amp;C965</f>
        <v>CIM Motor NEO -3</v>
      </c>
      <c r="E965" s="132">
        <v>1</v>
      </c>
      <c r="I965" s="132">
        <v>0</v>
      </c>
    </row>
    <row r="966" spans="1:9" ht="14.25" customHeight="1" x14ac:dyDescent="0.25">
      <c r="A966" s="132" t="s">
        <v>247</v>
      </c>
      <c r="B966" s="132" t="s">
        <v>9</v>
      </c>
      <c r="C966" s="132">
        <v>-4</v>
      </c>
      <c r="D966" s="132" t="str">
        <f t="shared" si="69"/>
        <v>CIM Motor NEO -4</v>
      </c>
      <c r="E966" s="132">
        <v>1</v>
      </c>
      <c r="I966" s="132">
        <v>0</v>
      </c>
    </row>
    <row r="967" spans="1:9" ht="14.25" customHeight="1" x14ac:dyDescent="0.25">
      <c r="A967" s="132" t="s">
        <v>247</v>
      </c>
      <c r="B967" s="132" t="s">
        <v>9</v>
      </c>
      <c r="C967" s="132">
        <v>-5</v>
      </c>
      <c r="D967" s="132" t="str">
        <f t="shared" si="69"/>
        <v>CIM Motor NEO -5</v>
      </c>
      <c r="E967" s="132">
        <v>1</v>
      </c>
      <c r="I967" s="132">
        <v>0</v>
      </c>
    </row>
    <row r="968" spans="1:9" ht="14.25" customHeight="1" x14ac:dyDescent="0.25">
      <c r="A968" s="132" t="s">
        <v>247</v>
      </c>
      <c r="B968" s="132" t="s">
        <v>9</v>
      </c>
      <c r="C968" s="132">
        <v>-7</v>
      </c>
      <c r="D968" s="132" t="str">
        <f t="shared" si="69"/>
        <v>CIM Motor NEO -7</v>
      </c>
      <c r="E968" s="132">
        <v>1</v>
      </c>
      <c r="I968" s="132">
        <v>0</v>
      </c>
    </row>
    <row r="969" spans="1:9" ht="14.25" customHeight="1" x14ac:dyDescent="0.25">
      <c r="A969" s="132" t="s">
        <v>247</v>
      </c>
      <c r="B969" s="132" t="s">
        <v>9</v>
      </c>
      <c r="C969" s="132">
        <v>-9</v>
      </c>
      <c r="D969" s="132" t="str">
        <f t="shared" si="69"/>
        <v>CIM Motor NEO -9</v>
      </c>
      <c r="E969" s="132">
        <v>1</v>
      </c>
      <c r="I969" s="132">
        <v>0</v>
      </c>
    </row>
    <row r="970" spans="1:9" ht="14.25" customHeight="1" x14ac:dyDescent="0.25">
      <c r="A970" s="132" t="s">
        <v>247</v>
      </c>
      <c r="B970" s="132" t="s">
        <v>9</v>
      </c>
      <c r="C970" s="132">
        <v>-10</v>
      </c>
      <c r="D970" s="132" t="str">
        <f t="shared" si="69"/>
        <v>CIM Motor NEO -10</v>
      </c>
      <c r="E970" s="132">
        <v>1</v>
      </c>
      <c r="I970" s="132">
        <v>0</v>
      </c>
    </row>
    <row r="971" spans="1:9" ht="14.25" customHeight="1" x14ac:dyDescent="0.25">
      <c r="A971" s="132" t="s">
        <v>247</v>
      </c>
      <c r="B971" s="132" t="s">
        <v>9</v>
      </c>
      <c r="C971" s="132">
        <v>9</v>
      </c>
      <c r="D971" s="132" t="str">
        <f t="shared" ref="D971:D991" si="70">A971&amp;" "&amp;B971&amp;" "&amp;C971</f>
        <v>CIM Motor NEO 9</v>
      </c>
      <c r="E971" s="132">
        <v>0</v>
      </c>
      <c r="I971" s="132">
        <v>0</v>
      </c>
    </row>
    <row r="972" spans="1:9" ht="14.25" customHeight="1" x14ac:dyDescent="0.25">
      <c r="A972" s="132" t="s">
        <v>247</v>
      </c>
      <c r="B972" s="132" t="s">
        <v>9</v>
      </c>
      <c r="C972" s="132">
        <v>12</v>
      </c>
      <c r="D972" s="132" t="str">
        <f t="shared" si="70"/>
        <v>CIM Motor NEO 12</v>
      </c>
      <c r="E972" s="132">
        <v>0</v>
      </c>
      <c r="I972" s="132">
        <v>0</v>
      </c>
    </row>
    <row r="973" spans="1:9" ht="14.25" customHeight="1" x14ac:dyDescent="0.25">
      <c r="A973" s="132" t="s">
        <v>247</v>
      </c>
      <c r="B973" s="132" t="s">
        <v>9</v>
      </c>
      <c r="C973" s="132">
        <v>15</v>
      </c>
      <c r="D973" s="132" t="str">
        <f t="shared" si="70"/>
        <v>CIM Motor NEO 15</v>
      </c>
      <c r="E973" s="132">
        <v>0</v>
      </c>
      <c r="I973" s="132">
        <v>0</v>
      </c>
    </row>
    <row r="974" spans="1:9" ht="14.25" customHeight="1" x14ac:dyDescent="0.25">
      <c r="A974" s="132" t="s">
        <v>247</v>
      </c>
      <c r="B974" s="132" t="s">
        <v>9</v>
      </c>
      <c r="C974" s="132">
        <v>16</v>
      </c>
      <c r="D974" s="132" t="str">
        <f t="shared" si="70"/>
        <v>CIM Motor NEO 16</v>
      </c>
      <c r="E974" s="132">
        <v>0</v>
      </c>
      <c r="I974" s="132">
        <v>0</v>
      </c>
    </row>
    <row r="975" spans="1:9" ht="14.25" customHeight="1" x14ac:dyDescent="0.25">
      <c r="A975" s="132" t="s">
        <v>247</v>
      </c>
      <c r="B975" s="132" t="s">
        <v>9</v>
      </c>
      <c r="C975" s="132">
        <v>20</v>
      </c>
      <c r="D975" s="132" t="str">
        <f t="shared" si="70"/>
        <v>CIM Motor NEO 20</v>
      </c>
      <c r="E975" s="132">
        <v>0</v>
      </c>
      <c r="I975" s="132">
        <v>0</v>
      </c>
    </row>
    <row r="976" spans="1:9" ht="14.25" customHeight="1" x14ac:dyDescent="0.25">
      <c r="A976" s="132" t="s">
        <v>247</v>
      </c>
      <c r="B976" s="132" t="s">
        <v>9</v>
      </c>
      <c r="C976" s="132">
        <v>21</v>
      </c>
      <c r="D976" s="132" t="str">
        <f t="shared" si="70"/>
        <v>CIM Motor NEO 21</v>
      </c>
      <c r="E976" s="132">
        <v>0</v>
      </c>
      <c r="I976" s="132">
        <v>0</v>
      </c>
    </row>
    <row r="977" spans="1:9" ht="14.25" customHeight="1" x14ac:dyDescent="0.25">
      <c r="A977" s="132" t="s">
        <v>247</v>
      </c>
      <c r="B977" s="132" t="s">
        <v>9</v>
      </c>
      <c r="C977" s="132">
        <v>25</v>
      </c>
      <c r="D977" s="132" t="str">
        <f t="shared" si="70"/>
        <v>CIM Motor NEO 25</v>
      </c>
      <c r="E977" s="132">
        <v>0</v>
      </c>
      <c r="I977" s="132">
        <v>0</v>
      </c>
    </row>
    <row r="978" spans="1:9" ht="14.25" customHeight="1" x14ac:dyDescent="0.25">
      <c r="A978" s="132" t="s">
        <v>247</v>
      </c>
      <c r="B978" s="132" t="s">
        <v>9</v>
      </c>
      <c r="C978" s="132">
        <v>27</v>
      </c>
      <c r="D978" s="132" t="str">
        <f t="shared" si="70"/>
        <v>CIM Motor NEO 27</v>
      </c>
      <c r="E978" s="132">
        <v>0</v>
      </c>
      <c r="I978" s="132">
        <v>0</v>
      </c>
    </row>
    <row r="979" spans="1:9" ht="14.25" customHeight="1" x14ac:dyDescent="0.25">
      <c r="A979" s="132" t="s">
        <v>247</v>
      </c>
      <c r="B979" s="132" t="s">
        <v>9</v>
      </c>
      <c r="C979" s="132">
        <v>28</v>
      </c>
      <c r="D979" s="132" t="str">
        <f t="shared" si="70"/>
        <v>CIM Motor NEO 28</v>
      </c>
      <c r="E979" s="132">
        <v>0</v>
      </c>
      <c r="I979" s="132">
        <v>0</v>
      </c>
    </row>
    <row r="980" spans="1:9" ht="14.25" customHeight="1" x14ac:dyDescent="0.25">
      <c r="A980" s="132" t="s">
        <v>247</v>
      </c>
      <c r="B980" s="132" t="s">
        <v>9</v>
      </c>
      <c r="C980" s="132">
        <v>30</v>
      </c>
      <c r="D980" s="132" t="str">
        <f t="shared" si="70"/>
        <v>CIM Motor NEO 30</v>
      </c>
      <c r="E980" s="132">
        <v>0</v>
      </c>
      <c r="I980" s="132">
        <v>0</v>
      </c>
    </row>
    <row r="981" spans="1:9" ht="14.25" customHeight="1" x14ac:dyDescent="0.25">
      <c r="A981" s="132" t="s">
        <v>247</v>
      </c>
      <c r="B981" s="132" t="s">
        <v>9</v>
      </c>
      <c r="C981" s="132">
        <v>35</v>
      </c>
      <c r="D981" s="132" t="str">
        <f t="shared" si="70"/>
        <v>CIM Motor NEO 35</v>
      </c>
      <c r="E981" s="132">
        <v>0</v>
      </c>
      <c r="I981" s="132">
        <v>0</v>
      </c>
    </row>
    <row r="982" spans="1:9" ht="14.25" customHeight="1" x14ac:dyDescent="0.25">
      <c r="A982" s="132" t="s">
        <v>247</v>
      </c>
      <c r="B982" s="132" t="s">
        <v>9</v>
      </c>
      <c r="C982" s="132">
        <v>36</v>
      </c>
      <c r="D982" s="132" t="str">
        <f t="shared" si="70"/>
        <v>CIM Motor NEO 36</v>
      </c>
      <c r="E982" s="132">
        <v>0</v>
      </c>
      <c r="I982" s="132">
        <v>0</v>
      </c>
    </row>
    <row r="983" spans="1:9" ht="14.25" customHeight="1" x14ac:dyDescent="0.25">
      <c r="A983" s="132" t="s">
        <v>247</v>
      </c>
      <c r="B983" s="132" t="s">
        <v>9</v>
      </c>
      <c r="C983" s="132">
        <v>40</v>
      </c>
      <c r="D983" s="132" t="str">
        <f t="shared" si="70"/>
        <v>CIM Motor NEO 40</v>
      </c>
      <c r="E983" s="132">
        <v>0</v>
      </c>
      <c r="I983" s="132">
        <v>0</v>
      </c>
    </row>
    <row r="984" spans="1:9" ht="14.25" customHeight="1" x14ac:dyDescent="0.25">
      <c r="A984" s="132" t="s">
        <v>247</v>
      </c>
      <c r="B984" s="132" t="s">
        <v>9</v>
      </c>
      <c r="C984" s="132">
        <v>45</v>
      </c>
      <c r="D984" s="132" t="str">
        <f t="shared" si="70"/>
        <v>CIM Motor NEO 45</v>
      </c>
      <c r="E984" s="132">
        <v>0</v>
      </c>
      <c r="I984" s="132">
        <v>0</v>
      </c>
    </row>
    <row r="985" spans="1:9" ht="14.25" customHeight="1" x14ac:dyDescent="0.25">
      <c r="A985" s="132" t="s">
        <v>247</v>
      </c>
      <c r="B985" s="132" t="s">
        <v>9</v>
      </c>
      <c r="C985" s="132">
        <v>49</v>
      </c>
      <c r="D985" s="132" t="str">
        <f t="shared" si="70"/>
        <v>CIM Motor NEO 49</v>
      </c>
      <c r="E985" s="132">
        <v>0</v>
      </c>
      <c r="I985" s="132">
        <v>0</v>
      </c>
    </row>
    <row r="986" spans="1:9" ht="14.25" customHeight="1" x14ac:dyDescent="0.25">
      <c r="A986" s="132" t="s">
        <v>247</v>
      </c>
      <c r="B986" s="132" t="s">
        <v>9</v>
      </c>
      <c r="C986" s="132">
        <v>50</v>
      </c>
      <c r="D986" s="132" t="str">
        <f t="shared" si="70"/>
        <v>CIM Motor NEO 50</v>
      </c>
      <c r="E986" s="132">
        <v>0</v>
      </c>
      <c r="I986" s="132">
        <v>0</v>
      </c>
    </row>
    <row r="987" spans="1:9" ht="14.25" customHeight="1" x14ac:dyDescent="0.25">
      <c r="A987" s="132" t="s">
        <v>247</v>
      </c>
      <c r="B987" s="132" t="s">
        <v>9</v>
      </c>
      <c r="C987" s="132">
        <v>63</v>
      </c>
      <c r="D987" s="132" t="str">
        <f t="shared" si="70"/>
        <v>CIM Motor NEO 63</v>
      </c>
      <c r="E987" s="132">
        <v>0</v>
      </c>
      <c r="I987" s="132">
        <v>0</v>
      </c>
    </row>
    <row r="988" spans="1:9" ht="14.25" customHeight="1" x14ac:dyDescent="0.25">
      <c r="A988" s="132" t="s">
        <v>247</v>
      </c>
      <c r="B988" s="132" t="s">
        <v>9</v>
      </c>
      <c r="C988" s="132">
        <v>70</v>
      </c>
      <c r="D988" s="132" t="str">
        <f t="shared" si="70"/>
        <v>CIM Motor NEO 70</v>
      </c>
      <c r="E988" s="132">
        <v>0</v>
      </c>
      <c r="I988" s="132">
        <v>0</v>
      </c>
    </row>
    <row r="989" spans="1:9" ht="14.25" customHeight="1" x14ac:dyDescent="0.25">
      <c r="A989" s="132" t="s">
        <v>247</v>
      </c>
      <c r="B989" s="132" t="s">
        <v>9</v>
      </c>
      <c r="C989" s="132">
        <v>81</v>
      </c>
      <c r="D989" s="132" t="str">
        <f t="shared" si="70"/>
        <v>CIM Motor NEO 81</v>
      </c>
      <c r="E989" s="132">
        <v>0</v>
      </c>
      <c r="I989" s="132">
        <v>0</v>
      </c>
    </row>
    <row r="990" spans="1:9" ht="14.25" customHeight="1" x14ac:dyDescent="0.25">
      <c r="A990" s="132" t="s">
        <v>247</v>
      </c>
      <c r="B990" s="132" t="s">
        <v>9</v>
      </c>
      <c r="C990" s="132">
        <v>90</v>
      </c>
      <c r="D990" s="132" t="str">
        <f t="shared" si="70"/>
        <v>CIM Motor NEO 90</v>
      </c>
      <c r="E990" s="132">
        <v>0</v>
      </c>
      <c r="I990" s="132">
        <v>0</v>
      </c>
    </row>
    <row r="991" spans="1:9" ht="14.25" customHeight="1" x14ac:dyDescent="0.25">
      <c r="A991" s="132" t="s">
        <v>247</v>
      </c>
      <c r="B991" s="132" t="s">
        <v>9</v>
      </c>
      <c r="C991" s="132">
        <v>100</v>
      </c>
      <c r="D991" s="132" t="str">
        <f t="shared" si="70"/>
        <v>CIM Motor NEO 100</v>
      </c>
      <c r="E991" s="132">
        <v>0</v>
      </c>
      <c r="I991" s="132">
        <v>0</v>
      </c>
    </row>
    <row r="992" spans="1:9" ht="14.25" customHeight="1" x14ac:dyDescent="0.25">
      <c r="A992" s="132" t="s">
        <v>247</v>
      </c>
      <c r="B992" s="132" t="s">
        <v>334</v>
      </c>
      <c r="C992" s="132">
        <v>-3</v>
      </c>
      <c r="D992" s="132" t="str">
        <f t="shared" ref="D992:D997" si="71">A992&amp;" "&amp;B992&amp;" "&amp;C992</f>
        <v>CIM Motor Falcon 500 -3</v>
      </c>
      <c r="E992" s="132">
        <v>1</v>
      </c>
      <c r="I992" s="132">
        <v>0</v>
      </c>
    </row>
    <row r="993" spans="1:9" ht="14.25" customHeight="1" x14ac:dyDescent="0.25">
      <c r="A993" s="132" t="s">
        <v>247</v>
      </c>
      <c r="B993" s="132" t="s">
        <v>334</v>
      </c>
      <c r="C993" s="132">
        <v>-4</v>
      </c>
      <c r="D993" s="132" t="str">
        <f t="shared" si="71"/>
        <v>CIM Motor Falcon 500 -4</v>
      </c>
      <c r="E993" s="132">
        <v>1</v>
      </c>
      <c r="I993" s="132">
        <v>0</v>
      </c>
    </row>
    <row r="994" spans="1:9" ht="14.25" customHeight="1" x14ac:dyDescent="0.25">
      <c r="A994" s="132" t="s">
        <v>247</v>
      </c>
      <c r="B994" s="132" t="s">
        <v>334</v>
      </c>
      <c r="C994" s="132">
        <v>-5</v>
      </c>
      <c r="D994" s="132" t="str">
        <f t="shared" si="71"/>
        <v>CIM Motor Falcon 500 -5</v>
      </c>
      <c r="E994" s="132">
        <v>1</v>
      </c>
      <c r="I994" s="132">
        <v>0</v>
      </c>
    </row>
    <row r="995" spans="1:9" ht="14.25" customHeight="1" x14ac:dyDescent="0.25">
      <c r="A995" s="132" t="s">
        <v>247</v>
      </c>
      <c r="B995" s="132" t="s">
        <v>334</v>
      </c>
      <c r="C995" s="132">
        <v>-7</v>
      </c>
      <c r="D995" s="132" t="str">
        <f t="shared" si="71"/>
        <v>CIM Motor Falcon 500 -7</v>
      </c>
      <c r="E995" s="132">
        <v>1</v>
      </c>
      <c r="I995" s="132">
        <v>0</v>
      </c>
    </row>
    <row r="996" spans="1:9" ht="14.25" customHeight="1" x14ac:dyDescent="0.25">
      <c r="A996" s="132" t="s">
        <v>247</v>
      </c>
      <c r="B996" s="132" t="s">
        <v>334</v>
      </c>
      <c r="C996" s="132">
        <v>-9</v>
      </c>
      <c r="D996" s="132" t="str">
        <f t="shared" si="71"/>
        <v>CIM Motor Falcon 500 -9</v>
      </c>
      <c r="E996" s="132">
        <v>1</v>
      </c>
      <c r="I996" s="132">
        <v>0</v>
      </c>
    </row>
    <row r="997" spans="1:9" ht="14.25" customHeight="1" x14ac:dyDescent="0.25">
      <c r="A997" s="132" t="s">
        <v>247</v>
      </c>
      <c r="B997" s="132" t="s">
        <v>334</v>
      </c>
      <c r="C997" s="132">
        <v>-10</v>
      </c>
      <c r="D997" s="132" t="str">
        <f t="shared" si="71"/>
        <v>CIM Motor Falcon 500 -10</v>
      </c>
      <c r="E997" s="132">
        <v>1</v>
      </c>
      <c r="I997" s="132">
        <v>0</v>
      </c>
    </row>
    <row r="998" spans="1:9" ht="14.25" customHeight="1" x14ac:dyDescent="0.25">
      <c r="A998" s="132" t="s">
        <v>247</v>
      </c>
      <c r="B998" s="132" t="s">
        <v>334</v>
      </c>
      <c r="C998" s="132">
        <v>9</v>
      </c>
      <c r="D998" s="132" t="str">
        <f t="shared" ref="D998:D1018" si="72">A998&amp;" "&amp;B998&amp;" "&amp;C998</f>
        <v>CIM Motor Falcon 500 9</v>
      </c>
      <c r="E998" s="132">
        <v>0</v>
      </c>
      <c r="I998" s="132">
        <v>0</v>
      </c>
    </row>
    <row r="999" spans="1:9" ht="14.25" customHeight="1" x14ac:dyDescent="0.25">
      <c r="A999" s="132" t="s">
        <v>247</v>
      </c>
      <c r="B999" s="132" t="s">
        <v>334</v>
      </c>
      <c r="C999" s="132">
        <v>12</v>
      </c>
      <c r="D999" s="132" t="str">
        <f t="shared" si="72"/>
        <v>CIM Motor Falcon 500 12</v>
      </c>
      <c r="E999" s="132">
        <v>0</v>
      </c>
      <c r="I999" s="132">
        <v>0</v>
      </c>
    </row>
    <row r="1000" spans="1:9" ht="14.25" customHeight="1" x14ac:dyDescent="0.25">
      <c r="A1000" s="132" t="s">
        <v>247</v>
      </c>
      <c r="B1000" s="132" t="s">
        <v>334</v>
      </c>
      <c r="C1000" s="132">
        <v>15</v>
      </c>
      <c r="D1000" s="132" t="str">
        <f t="shared" si="72"/>
        <v>CIM Motor Falcon 500 15</v>
      </c>
      <c r="E1000" s="132">
        <v>0</v>
      </c>
      <c r="I1000" s="132">
        <v>0</v>
      </c>
    </row>
    <row r="1001" spans="1:9" ht="14.25" customHeight="1" x14ac:dyDescent="0.25">
      <c r="A1001" s="132" t="s">
        <v>247</v>
      </c>
      <c r="B1001" s="132" t="s">
        <v>334</v>
      </c>
      <c r="C1001" s="132">
        <v>16</v>
      </c>
      <c r="D1001" s="132" t="str">
        <f t="shared" si="72"/>
        <v>CIM Motor Falcon 500 16</v>
      </c>
      <c r="E1001" s="132">
        <v>0</v>
      </c>
      <c r="I1001" s="132">
        <v>0</v>
      </c>
    </row>
    <row r="1002" spans="1:9" ht="15" customHeight="1" x14ac:dyDescent="0.25">
      <c r="A1002" s="132" t="s">
        <v>247</v>
      </c>
      <c r="B1002" s="132" t="s">
        <v>334</v>
      </c>
      <c r="C1002" s="132">
        <v>20</v>
      </c>
      <c r="D1002" s="132" t="str">
        <f t="shared" si="72"/>
        <v>CIM Motor Falcon 500 20</v>
      </c>
      <c r="E1002" s="132">
        <v>0</v>
      </c>
      <c r="I1002" s="132">
        <v>0</v>
      </c>
    </row>
    <row r="1003" spans="1:9" ht="15" customHeight="1" x14ac:dyDescent="0.25">
      <c r="A1003" s="132" t="s">
        <v>247</v>
      </c>
      <c r="B1003" s="132" t="s">
        <v>334</v>
      </c>
      <c r="C1003" s="132">
        <v>21</v>
      </c>
      <c r="D1003" s="132" t="str">
        <f t="shared" si="72"/>
        <v>CIM Motor Falcon 500 21</v>
      </c>
      <c r="E1003" s="132">
        <v>0</v>
      </c>
      <c r="I1003" s="132">
        <v>0</v>
      </c>
    </row>
    <row r="1004" spans="1:9" ht="15" customHeight="1" x14ac:dyDescent="0.25">
      <c r="A1004" s="132" t="s">
        <v>247</v>
      </c>
      <c r="B1004" s="132" t="s">
        <v>334</v>
      </c>
      <c r="C1004" s="132">
        <v>25</v>
      </c>
      <c r="D1004" s="132" t="str">
        <f t="shared" si="72"/>
        <v>CIM Motor Falcon 500 25</v>
      </c>
      <c r="E1004" s="132">
        <v>0</v>
      </c>
      <c r="I1004" s="132">
        <v>0</v>
      </c>
    </row>
    <row r="1005" spans="1:9" ht="15" customHeight="1" x14ac:dyDescent="0.25">
      <c r="A1005" s="132" t="s">
        <v>247</v>
      </c>
      <c r="B1005" s="132" t="s">
        <v>334</v>
      </c>
      <c r="C1005" s="132">
        <v>27</v>
      </c>
      <c r="D1005" s="132" t="str">
        <f t="shared" si="72"/>
        <v>CIM Motor Falcon 500 27</v>
      </c>
      <c r="E1005" s="132">
        <v>0</v>
      </c>
      <c r="I1005" s="132">
        <v>0</v>
      </c>
    </row>
    <row r="1006" spans="1:9" ht="15" customHeight="1" x14ac:dyDescent="0.25">
      <c r="A1006" s="132" t="s">
        <v>247</v>
      </c>
      <c r="B1006" s="132" t="s">
        <v>334</v>
      </c>
      <c r="C1006" s="132">
        <v>28</v>
      </c>
      <c r="D1006" s="132" t="str">
        <f t="shared" si="72"/>
        <v>CIM Motor Falcon 500 28</v>
      </c>
      <c r="E1006" s="132">
        <v>0</v>
      </c>
      <c r="I1006" s="132">
        <v>0</v>
      </c>
    </row>
    <row r="1007" spans="1:9" ht="15" customHeight="1" x14ac:dyDescent="0.25">
      <c r="A1007" s="132" t="s">
        <v>247</v>
      </c>
      <c r="B1007" s="132" t="s">
        <v>334</v>
      </c>
      <c r="C1007" s="132">
        <v>30</v>
      </c>
      <c r="D1007" s="132" t="str">
        <f t="shared" si="72"/>
        <v>CIM Motor Falcon 500 30</v>
      </c>
      <c r="E1007" s="132">
        <v>0</v>
      </c>
      <c r="I1007" s="132">
        <v>0</v>
      </c>
    </row>
    <row r="1008" spans="1:9" ht="15" customHeight="1" x14ac:dyDescent="0.25">
      <c r="A1008" s="132" t="s">
        <v>247</v>
      </c>
      <c r="B1008" s="132" t="s">
        <v>334</v>
      </c>
      <c r="C1008" s="132">
        <v>35</v>
      </c>
      <c r="D1008" s="132" t="str">
        <f t="shared" si="72"/>
        <v>CIM Motor Falcon 500 35</v>
      </c>
      <c r="E1008" s="132">
        <v>0</v>
      </c>
      <c r="I1008" s="132">
        <v>0</v>
      </c>
    </row>
    <row r="1009" spans="1:9" ht="15" customHeight="1" x14ac:dyDescent="0.25">
      <c r="A1009" s="132" t="s">
        <v>247</v>
      </c>
      <c r="B1009" s="132" t="s">
        <v>334</v>
      </c>
      <c r="C1009" s="132">
        <v>36</v>
      </c>
      <c r="D1009" s="132" t="str">
        <f t="shared" si="72"/>
        <v>CIM Motor Falcon 500 36</v>
      </c>
      <c r="E1009" s="132">
        <v>0</v>
      </c>
      <c r="I1009" s="132">
        <v>0</v>
      </c>
    </row>
    <row r="1010" spans="1:9" ht="15" customHeight="1" x14ac:dyDescent="0.25">
      <c r="A1010" s="132" t="s">
        <v>247</v>
      </c>
      <c r="B1010" s="132" t="s">
        <v>334</v>
      </c>
      <c r="C1010" s="132">
        <v>40</v>
      </c>
      <c r="D1010" s="132" t="str">
        <f t="shared" si="72"/>
        <v>CIM Motor Falcon 500 40</v>
      </c>
      <c r="E1010" s="132">
        <v>0</v>
      </c>
      <c r="I1010" s="132">
        <v>0</v>
      </c>
    </row>
    <row r="1011" spans="1:9" ht="15" customHeight="1" x14ac:dyDescent="0.25">
      <c r="A1011" s="132" t="s">
        <v>247</v>
      </c>
      <c r="B1011" s="132" t="s">
        <v>334</v>
      </c>
      <c r="C1011" s="132">
        <v>45</v>
      </c>
      <c r="D1011" s="132" t="str">
        <f t="shared" si="72"/>
        <v>CIM Motor Falcon 500 45</v>
      </c>
      <c r="E1011" s="132">
        <v>0</v>
      </c>
      <c r="I1011" s="132">
        <v>0</v>
      </c>
    </row>
    <row r="1012" spans="1:9" ht="15" customHeight="1" x14ac:dyDescent="0.25">
      <c r="A1012" s="132" t="s">
        <v>247</v>
      </c>
      <c r="B1012" s="132" t="s">
        <v>334</v>
      </c>
      <c r="C1012" s="132">
        <v>49</v>
      </c>
      <c r="D1012" s="132" t="str">
        <f t="shared" si="72"/>
        <v>CIM Motor Falcon 500 49</v>
      </c>
      <c r="E1012" s="132">
        <v>0</v>
      </c>
      <c r="I1012" s="132">
        <v>0</v>
      </c>
    </row>
    <row r="1013" spans="1:9" ht="15" customHeight="1" x14ac:dyDescent="0.25">
      <c r="A1013" s="132" t="s">
        <v>247</v>
      </c>
      <c r="B1013" s="132" t="s">
        <v>334</v>
      </c>
      <c r="C1013" s="132">
        <v>50</v>
      </c>
      <c r="D1013" s="132" t="str">
        <f t="shared" si="72"/>
        <v>CIM Motor Falcon 500 50</v>
      </c>
      <c r="E1013" s="132">
        <v>0</v>
      </c>
      <c r="I1013" s="132">
        <v>0</v>
      </c>
    </row>
    <row r="1014" spans="1:9" ht="15" customHeight="1" x14ac:dyDescent="0.25">
      <c r="A1014" s="132" t="s">
        <v>247</v>
      </c>
      <c r="B1014" s="132" t="s">
        <v>334</v>
      </c>
      <c r="C1014" s="132">
        <v>63</v>
      </c>
      <c r="D1014" s="132" t="str">
        <f t="shared" si="72"/>
        <v>CIM Motor Falcon 500 63</v>
      </c>
      <c r="E1014" s="132">
        <v>0</v>
      </c>
      <c r="I1014" s="132">
        <v>0</v>
      </c>
    </row>
    <row r="1015" spans="1:9" ht="15" customHeight="1" x14ac:dyDescent="0.25">
      <c r="A1015" s="132" t="s">
        <v>247</v>
      </c>
      <c r="B1015" s="132" t="s">
        <v>334</v>
      </c>
      <c r="C1015" s="132">
        <v>70</v>
      </c>
      <c r="D1015" s="132" t="str">
        <f t="shared" si="72"/>
        <v>CIM Motor Falcon 500 70</v>
      </c>
      <c r="E1015" s="132">
        <v>0</v>
      </c>
      <c r="I1015" s="132">
        <v>0</v>
      </c>
    </row>
    <row r="1016" spans="1:9" ht="15" customHeight="1" x14ac:dyDescent="0.25">
      <c r="A1016" s="132" t="s">
        <v>247</v>
      </c>
      <c r="B1016" s="132" t="s">
        <v>334</v>
      </c>
      <c r="C1016" s="132">
        <v>81</v>
      </c>
      <c r="D1016" s="132" t="str">
        <f t="shared" si="72"/>
        <v>CIM Motor Falcon 500 81</v>
      </c>
      <c r="E1016" s="132">
        <v>0</v>
      </c>
      <c r="I1016" s="132">
        <v>0</v>
      </c>
    </row>
    <row r="1017" spans="1:9" ht="15" customHeight="1" x14ac:dyDescent="0.25">
      <c r="A1017" s="132" t="s">
        <v>247</v>
      </c>
      <c r="B1017" s="132" t="s">
        <v>334</v>
      </c>
      <c r="C1017" s="132">
        <v>90</v>
      </c>
      <c r="D1017" s="132" t="str">
        <f t="shared" si="72"/>
        <v>CIM Motor Falcon 500 90</v>
      </c>
      <c r="E1017" s="132">
        <v>0</v>
      </c>
      <c r="I1017" s="132">
        <v>0</v>
      </c>
    </row>
    <row r="1018" spans="1:9" ht="15" customHeight="1" x14ac:dyDescent="0.25">
      <c r="A1018" s="132" t="s">
        <v>247</v>
      </c>
      <c r="B1018" s="132" t="s">
        <v>334</v>
      </c>
      <c r="C1018" s="132">
        <v>100</v>
      </c>
      <c r="D1018" s="132" t="str">
        <f t="shared" si="72"/>
        <v>CIM Motor Falcon 500 100</v>
      </c>
      <c r="E1018" s="132">
        <v>0</v>
      </c>
      <c r="I1018" s="132">
        <v>0</v>
      </c>
    </row>
    <row r="1019" spans="1:9" ht="15" customHeight="1" x14ac:dyDescent="0.25">
      <c r="A1019" s="132" t="s">
        <v>250</v>
      </c>
      <c r="B1019" s="132" t="s">
        <v>11</v>
      </c>
      <c r="C1019" s="132">
        <v>-3</v>
      </c>
      <c r="D1019" s="132" t="str">
        <f t="shared" ref="D1019:D1024" si="73">A1019&amp;" "&amp;B1019&amp;" "&amp;C1019</f>
        <v>Female AM 9015 -3</v>
      </c>
      <c r="E1019" s="132">
        <v>1</v>
      </c>
      <c r="I1019" s="132">
        <v>1</v>
      </c>
    </row>
    <row r="1020" spans="1:9" ht="15" customHeight="1" x14ac:dyDescent="0.25">
      <c r="A1020" s="132" t="s">
        <v>250</v>
      </c>
      <c r="B1020" s="132" t="s">
        <v>11</v>
      </c>
      <c r="C1020" s="132">
        <v>-4</v>
      </c>
      <c r="D1020" s="132" t="str">
        <f t="shared" si="73"/>
        <v>Female AM 9015 -4</v>
      </c>
      <c r="E1020" s="132">
        <v>1</v>
      </c>
      <c r="I1020" s="132">
        <v>1</v>
      </c>
    </row>
    <row r="1021" spans="1:9" ht="15" customHeight="1" x14ac:dyDescent="0.25">
      <c r="A1021" s="132" t="s">
        <v>250</v>
      </c>
      <c r="B1021" s="132" t="s">
        <v>11</v>
      </c>
      <c r="C1021" s="132">
        <v>-5</v>
      </c>
      <c r="D1021" s="132" t="str">
        <f t="shared" si="73"/>
        <v>Female AM 9015 -5</v>
      </c>
      <c r="E1021" s="132">
        <v>1</v>
      </c>
      <c r="I1021" s="132">
        <v>1</v>
      </c>
    </row>
    <row r="1022" spans="1:9" ht="15" customHeight="1" x14ac:dyDescent="0.25">
      <c r="A1022" s="132" t="s">
        <v>250</v>
      </c>
      <c r="B1022" s="132" t="s">
        <v>11</v>
      </c>
      <c r="C1022" s="132">
        <v>-7</v>
      </c>
      <c r="D1022" s="132" t="str">
        <f t="shared" si="73"/>
        <v>Female AM 9015 -7</v>
      </c>
      <c r="E1022" s="132">
        <v>1</v>
      </c>
      <c r="I1022" s="132">
        <v>1</v>
      </c>
    </row>
    <row r="1023" spans="1:9" ht="15" customHeight="1" x14ac:dyDescent="0.25">
      <c r="A1023" s="132" t="s">
        <v>250</v>
      </c>
      <c r="B1023" s="132" t="s">
        <v>11</v>
      </c>
      <c r="C1023" s="132">
        <v>-9</v>
      </c>
      <c r="D1023" s="132" t="str">
        <f t="shared" si="73"/>
        <v>Female AM 9015 -9</v>
      </c>
      <c r="E1023" s="132">
        <v>1</v>
      </c>
      <c r="I1023" s="132">
        <v>1</v>
      </c>
    </row>
    <row r="1024" spans="1:9" ht="15" customHeight="1" x14ac:dyDescent="0.25">
      <c r="A1024" s="132" t="s">
        <v>250</v>
      </c>
      <c r="B1024" s="132" t="s">
        <v>11</v>
      </c>
      <c r="C1024" s="132">
        <v>-10</v>
      </c>
      <c r="D1024" s="132" t="str">
        <f t="shared" si="73"/>
        <v>Female AM 9015 -10</v>
      </c>
      <c r="E1024" s="132">
        <v>1</v>
      </c>
      <c r="I1024" s="132">
        <v>1</v>
      </c>
    </row>
    <row r="1025" spans="1:9" ht="15" customHeight="1" x14ac:dyDescent="0.25">
      <c r="A1025" s="132" t="s">
        <v>250</v>
      </c>
      <c r="B1025" s="132" t="s">
        <v>11</v>
      </c>
      <c r="C1025" s="132">
        <v>9</v>
      </c>
      <c r="D1025" s="132" t="str">
        <f t="shared" ref="D1025:D1045" si="74">A1025&amp;" "&amp;B1025&amp;" "&amp;C1025</f>
        <v>Female AM 9015 9</v>
      </c>
      <c r="E1025" s="132">
        <v>10</v>
      </c>
      <c r="I1025" s="132">
        <v>10</v>
      </c>
    </row>
    <row r="1026" spans="1:9" ht="15" customHeight="1" x14ac:dyDescent="0.25">
      <c r="A1026" s="132" t="s">
        <v>250</v>
      </c>
      <c r="B1026" s="132" t="s">
        <v>11</v>
      </c>
      <c r="C1026" s="132">
        <v>12</v>
      </c>
      <c r="D1026" s="132" t="str">
        <f t="shared" si="74"/>
        <v>Female AM 9015 12</v>
      </c>
      <c r="E1026" s="132">
        <v>10</v>
      </c>
      <c r="I1026" s="132">
        <v>7</v>
      </c>
    </row>
    <row r="1027" spans="1:9" ht="15" customHeight="1" x14ac:dyDescent="0.25">
      <c r="A1027" s="132" t="s">
        <v>250</v>
      </c>
      <c r="B1027" s="132" t="s">
        <v>11</v>
      </c>
      <c r="C1027" s="132">
        <v>15</v>
      </c>
      <c r="D1027" s="132" t="str">
        <f t="shared" si="74"/>
        <v>Female AM 9015 15</v>
      </c>
      <c r="E1027" s="132">
        <v>10</v>
      </c>
      <c r="I1027" s="132">
        <v>5</v>
      </c>
    </row>
    <row r="1028" spans="1:9" ht="15" customHeight="1" x14ac:dyDescent="0.25">
      <c r="A1028" s="132" t="s">
        <v>250</v>
      </c>
      <c r="B1028" s="132" t="s">
        <v>11</v>
      </c>
      <c r="C1028" s="132">
        <v>16</v>
      </c>
      <c r="D1028" s="132" t="str">
        <f t="shared" si="74"/>
        <v>Female AM 9015 16</v>
      </c>
      <c r="E1028" s="132">
        <v>10</v>
      </c>
      <c r="I1028" s="132">
        <v>5</v>
      </c>
    </row>
    <row r="1029" spans="1:9" ht="15" customHeight="1" x14ac:dyDescent="0.25">
      <c r="A1029" s="132" t="s">
        <v>250</v>
      </c>
      <c r="B1029" s="132" t="s">
        <v>11</v>
      </c>
      <c r="C1029" s="132">
        <v>20</v>
      </c>
      <c r="D1029" s="132" t="str">
        <f t="shared" si="74"/>
        <v>Female AM 9015 20</v>
      </c>
      <c r="E1029" s="132">
        <v>10</v>
      </c>
      <c r="I1029" s="132">
        <v>4</v>
      </c>
    </row>
    <row r="1030" spans="1:9" ht="15" customHeight="1" x14ac:dyDescent="0.25">
      <c r="A1030" s="132" t="s">
        <v>250</v>
      </c>
      <c r="B1030" s="132" t="s">
        <v>11</v>
      </c>
      <c r="C1030" s="132">
        <v>21</v>
      </c>
      <c r="D1030" s="132" t="str">
        <f t="shared" si="74"/>
        <v>Female AM 9015 21</v>
      </c>
      <c r="E1030" s="132">
        <v>10</v>
      </c>
      <c r="I1030" s="132">
        <v>4</v>
      </c>
    </row>
    <row r="1031" spans="1:9" ht="15" customHeight="1" x14ac:dyDescent="0.25">
      <c r="A1031" s="132" t="s">
        <v>250</v>
      </c>
      <c r="B1031" s="132" t="s">
        <v>11</v>
      </c>
      <c r="C1031" s="132">
        <v>25</v>
      </c>
      <c r="D1031" s="132" t="str">
        <f t="shared" si="74"/>
        <v>Female AM 9015 25</v>
      </c>
      <c r="E1031" s="132">
        <v>7</v>
      </c>
      <c r="I1031" s="132">
        <v>3</v>
      </c>
    </row>
    <row r="1032" spans="1:9" ht="15" customHeight="1" x14ac:dyDescent="0.25">
      <c r="A1032" s="132" t="s">
        <v>250</v>
      </c>
      <c r="B1032" s="132" t="s">
        <v>11</v>
      </c>
      <c r="C1032" s="132">
        <v>27</v>
      </c>
      <c r="D1032" s="132" t="str">
        <f t="shared" si="74"/>
        <v>Female AM 9015 27</v>
      </c>
      <c r="E1032" s="132">
        <v>7</v>
      </c>
      <c r="I1032" s="132">
        <v>3</v>
      </c>
    </row>
    <row r="1033" spans="1:9" ht="15" customHeight="1" x14ac:dyDescent="0.25">
      <c r="A1033" s="132" t="s">
        <v>250</v>
      </c>
      <c r="B1033" s="132" t="s">
        <v>11</v>
      </c>
      <c r="C1033" s="132">
        <v>28</v>
      </c>
      <c r="D1033" s="132" t="str">
        <f t="shared" si="74"/>
        <v>Female AM 9015 28</v>
      </c>
      <c r="E1033" s="132">
        <v>7</v>
      </c>
      <c r="I1033" s="132">
        <v>3</v>
      </c>
    </row>
    <row r="1034" spans="1:9" ht="15" customHeight="1" x14ac:dyDescent="0.25">
      <c r="A1034" s="132" t="s">
        <v>250</v>
      </c>
      <c r="B1034" s="132" t="s">
        <v>11</v>
      </c>
      <c r="C1034" s="132">
        <v>30</v>
      </c>
      <c r="D1034" s="132" t="str">
        <f t="shared" si="74"/>
        <v>Female AM 9015 30</v>
      </c>
      <c r="E1034" s="132">
        <v>7</v>
      </c>
      <c r="I1034" s="132">
        <v>3</v>
      </c>
    </row>
    <row r="1035" spans="1:9" ht="15" customHeight="1" x14ac:dyDescent="0.25">
      <c r="A1035" s="132" t="s">
        <v>250</v>
      </c>
      <c r="B1035" s="132" t="s">
        <v>11</v>
      </c>
      <c r="C1035" s="132">
        <v>35</v>
      </c>
      <c r="D1035" s="132" t="str">
        <f t="shared" si="74"/>
        <v>Female AM 9015 35</v>
      </c>
      <c r="E1035" s="132">
        <v>5</v>
      </c>
      <c r="I1035" s="132">
        <v>1</v>
      </c>
    </row>
    <row r="1036" spans="1:9" ht="15" customHeight="1" x14ac:dyDescent="0.25">
      <c r="A1036" s="132" t="s">
        <v>250</v>
      </c>
      <c r="B1036" s="132" t="s">
        <v>11</v>
      </c>
      <c r="C1036" s="132">
        <v>36</v>
      </c>
      <c r="D1036" s="132" t="str">
        <f t="shared" si="74"/>
        <v>Female AM 9015 36</v>
      </c>
      <c r="E1036" s="132">
        <v>5</v>
      </c>
      <c r="I1036" s="132">
        <v>1</v>
      </c>
    </row>
    <row r="1037" spans="1:9" ht="15" customHeight="1" x14ac:dyDescent="0.25">
      <c r="A1037" s="132" t="s">
        <v>250</v>
      </c>
      <c r="B1037" s="132" t="s">
        <v>11</v>
      </c>
      <c r="C1037" s="132">
        <v>40</v>
      </c>
      <c r="D1037" s="132" t="str">
        <f t="shared" si="74"/>
        <v>Female AM 9015 40</v>
      </c>
      <c r="E1037" s="132">
        <v>5</v>
      </c>
      <c r="I1037" s="132">
        <v>1</v>
      </c>
    </row>
    <row r="1038" spans="1:9" ht="15" customHeight="1" x14ac:dyDescent="0.25">
      <c r="A1038" s="132" t="s">
        <v>250</v>
      </c>
      <c r="B1038" s="132" t="s">
        <v>11</v>
      </c>
      <c r="C1038" s="132">
        <v>45</v>
      </c>
      <c r="D1038" s="132" t="str">
        <f t="shared" si="74"/>
        <v>Female AM 9015 45</v>
      </c>
      <c r="E1038" s="132">
        <v>5</v>
      </c>
      <c r="I1038" s="132">
        <v>1</v>
      </c>
    </row>
    <row r="1039" spans="1:9" ht="15" customHeight="1" x14ac:dyDescent="0.25">
      <c r="A1039" s="132" t="s">
        <v>250</v>
      </c>
      <c r="B1039" s="132" t="s">
        <v>11</v>
      </c>
      <c r="C1039" s="132">
        <v>49</v>
      </c>
      <c r="D1039" s="132" t="str">
        <f t="shared" si="74"/>
        <v>Female AM 9015 49</v>
      </c>
      <c r="E1039" s="132">
        <v>5</v>
      </c>
      <c r="I1039" s="132">
        <v>1</v>
      </c>
    </row>
    <row r="1040" spans="1:9" ht="15" customHeight="1" x14ac:dyDescent="0.25">
      <c r="A1040" s="132" t="s">
        <v>250</v>
      </c>
      <c r="B1040" s="132" t="s">
        <v>11</v>
      </c>
      <c r="C1040" s="132">
        <v>50</v>
      </c>
      <c r="D1040" s="132" t="str">
        <f t="shared" si="74"/>
        <v>Female AM 9015 50</v>
      </c>
      <c r="E1040" s="132">
        <v>5</v>
      </c>
      <c r="I1040" s="132">
        <v>1</v>
      </c>
    </row>
    <row r="1041" spans="1:9" ht="15" customHeight="1" x14ac:dyDescent="0.25">
      <c r="A1041" s="132" t="s">
        <v>250</v>
      </c>
      <c r="B1041" s="132" t="s">
        <v>11</v>
      </c>
      <c r="C1041" s="132">
        <v>63</v>
      </c>
      <c r="D1041" s="132" t="str">
        <f t="shared" si="74"/>
        <v>Female AM 9015 63</v>
      </c>
      <c r="E1041" s="132">
        <v>5</v>
      </c>
      <c r="I1041" s="132">
        <v>1</v>
      </c>
    </row>
    <row r="1042" spans="1:9" ht="15" customHeight="1" x14ac:dyDescent="0.25">
      <c r="A1042" s="132" t="s">
        <v>250</v>
      </c>
      <c r="B1042" s="132" t="s">
        <v>11</v>
      </c>
      <c r="C1042" s="132">
        <v>70</v>
      </c>
      <c r="D1042" s="132" t="str">
        <f t="shared" si="74"/>
        <v>Female AM 9015 70</v>
      </c>
      <c r="E1042" s="132">
        <v>4</v>
      </c>
      <c r="I1042" s="132">
        <v>1</v>
      </c>
    </row>
    <row r="1043" spans="1:9" ht="15" customHeight="1" x14ac:dyDescent="0.25">
      <c r="A1043" s="132" t="s">
        <v>250</v>
      </c>
      <c r="B1043" s="132" t="s">
        <v>11</v>
      </c>
      <c r="C1043" s="132">
        <v>81</v>
      </c>
      <c r="D1043" s="132" t="str">
        <f t="shared" si="74"/>
        <v>Female AM 9015 81</v>
      </c>
      <c r="E1043" s="132">
        <v>4</v>
      </c>
      <c r="I1043" s="132">
        <v>1</v>
      </c>
    </row>
    <row r="1044" spans="1:9" ht="15" customHeight="1" x14ac:dyDescent="0.25">
      <c r="A1044" s="132" t="s">
        <v>250</v>
      </c>
      <c r="B1044" s="132" t="s">
        <v>11</v>
      </c>
      <c r="C1044" s="132">
        <v>90</v>
      </c>
      <c r="D1044" s="132" t="str">
        <f t="shared" si="74"/>
        <v>Female AM 9015 90</v>
      </c>
      <c r="E1044" s="132">
        <v>3</v>
      </c>
      <c r="I1044" s="132">
        <v>1</v>
      </c>
    </row>
    <row r="1045" spans="1:9" ht="15" customHeight="1" x14ac:dyDescent="0.25">
      <c r="A1045" s="132" t="s">
        <v>250</v>
      </c>
      <c r="B1045" s="132" t="s">
        <v>11</v>
      </c>
      <c r="C1045" s="132">
        <v>100</v>
      </c>
      <c r="D1045" s="132" t="str">
        <f t="shared" si="74"/>
        <v>Female AM 9015 100</v>
      </c>
      <c r="E1045" s="132">
        <v>3</v>
      </c>
      <c r="I1045" s="132">
        <v>0</v>
      </c>
    </row>
    <row r="1046" spans="1:9" ht="15" customHeight="1" x14ac:dyDescent="0.25">
      <c r="A1046" s="132" t="s">
        <v>250</v>
      </c>
      <c r="B1046" s="132" t="s">
        <v>327</v>
      </c>
      <c r="C1046" s="132">
        <v>-3</v>
      </c>
      <c r="D1046" s="132" t="str">
        <f t="shared" ref="D1046:D1051" si="75">A1046&amp;" "&amp;B1046&amp;" "&amp;C1046</f>
        <v>Female BB RS-550 -3</v>
      </c>
      <c r="E1046" s="132">
        <v>1</v>
      </c>
      <c r="F1046" s="132">
        <v>1</v>
      </c>
      <c r="G1046" s="132">
        <v>1</v>
      </c>
      <c r="H1046" s="132">
        <v>1</v>
      </c>
      <c r="I1046" s="132">
        <v>1</v>
      </c>
    </row>
    <row r="1047" spans="1:9" ht="15" customHeight="1" x14ac:dyDescent="0.25">
      <c r="A1047" s="132" t="s">
        <v>250</v>
      </c>
      <c r="B1047" s="132" t="s">
        <v>327</v>
      </c>
      <c r="C1047" s="132">
        <v>-4</v>
      </c>
      <c r="D1047" s="132" t="str">
        <f t="shared" si="75"/>
        <v>Female BB RS-550 -4</v>
      </c>
      <c r="E1047" s="132">
        <v>1</v>
      </c>
      <c r="F1047" s="132">
        <v>1</v>
      </c>
      <c r="G1047" s="132">
        <v>1</v>
      </c>
      <c r="H1047" s="132">
        <v>1</v>
      </c>
      <c r="I1047" s="132">
        <v>1</v>
      </c>
    </row>
    <row r="1048" spans="1:9" ht="15" customHeight="1" x14ac:dyDescent="0.25">
      <c r="A1048" s="132" t="s">
        <v>250</v>
      </c>
      <c r="B1048" s="132" t="s">
        <v>327</v>
      </c>
      <c r="C1048" s="132">
        <v>-5</v>
      </c>
      <c r="D1048" s="132" t="str">
        <f t="shared" si="75"/>
        <v>Female BB RS-550 -5</v>
      </c>
      <c r="E1048" s="132">
        <v>1</v>
      </c>
      <c r="F1048" s="132">
        <v>1</v>
      </c>
      <c r="G1048" s="132">
        <v>1</v>
      </c>
      <c r="H1048" s="132">
        <v>1</v>
      </c>
      <c r="I1048" s="132">
        <v>1</v>
      </c>
    </row>
    <row r="1049" spans="1:9" ht="15" customHeight="1" x14ac:dyDescent="0.25">
      <c r="A1049" s="132" t="s">
        <v>250</v>
      </c>
      <c r="B1049" s="132" t="s">
        <v>327</v>
      </c>
      <c r="C1049" s="132">
        <v>-7</v>
      </c>
      <c r="D1049" s="132" t="str">
        <f t="shared" si="75"/>
        <v>Female BB RS-550 -7</v>
      </c>
      <c r="E1049" s="132">
        <v>1</v>
      </c>
      <c r="F1049" s="132">
        <v>1</v>
      </c>
      <c r="G1049" s="132">
        <v>1</v>
      </c>
      <c r="H1049" s="132">
        <v>0</v>
      </c>
      <c r="I1049" s="132">
        <v>1</v>
      </c>
    </row>
    <row r="1050" spans="1:9" ht="15" customHeight="1" x14ac:dyDescent="0.25">
      <c r="A1050" s="132" t="s">
        <v>250</v>
      </c>
      <c r="B1050" s="132" t="s">
        <v>327</v>
      </c>
      <c r="C1050" s="132">
        <v>-9</v>
      </c>
      <c r="D1050" s="132" t="str">
        <f t="shared" si="75"/>
        <v>Female BB RS-550 -9</v>
      </c>
      <c r="E1050" s="132">
        <v>1</v>
      </c>
      <c r="F1050" s="132">
        <v>1</v>
      </c>
      <c r="G1050" s="132">
        <v>0</v>
      </c>
      <c r="H1050" s="132">
        <v>0</v>
      </c>
      <c r="I1050" s="132">
        <v>1</v>
      </c>
    </row>
    <row r="1051" spans="1:9" ht="15" customHeight="1" x14ac:dyDescent="0.25">
      <c r="A1051" s="132" t="s">
        <v>250</v>
      </c>
      <c r="B1051" s="132" t="s">
        <v>327</v>
      </c>
      <c r="C1051" s="132">
        <v>-10</v>
      </c>
      <c r="D1051" s="132" t="str">
        <f t="shared" si="75"/>
        <v>Female BB RS-550 -10</v>
      </c>
      <c r="E1051" s="132">
        <v>1</v>
      </c>
      <c r="F1051" s="132">
        <v>1</v>
      </c>
      <c r="G1051" s="132">
        <v>0</v>
      </c>
      <c r="H1051" s="132">
        <v>0</v>
      </c>
      <c r="I1051" s="132">
        <v>1</v>
      </c>
    </row>
    <row r="1052" spans="1:9" ht="15" customHeight="1" x14ac:dyDescent="0.25">
      <c r="A1052" s="132" t="s">
        <v>250</v>
      </c>
      <c r="B1052" s="132" t="s">
        <v>327</v>
      </c>
      <c r="C1052" s="132">
        <v>9</v>
      </c>
      <c r="D1052" s="132" t="str">
        <f t="shared" ref="D1052:D1072" si="76">A1052&amp;" "&amp;B1052&amp;" "&amp;C1052</f>
        <v>Female BB RS-550 9</v>
      </c>
      <c r="E1052" s="132">
        <v>10</v>
      </c>
      <c r="F1052" s="132">
        <v>10</v>
      </c>
      <c r="G1052" s="132">
        <v>1</v>
      </c>
      <c r="H1052" s="132">
        <v>0</v>
      </c>
      <c r="I1052" s="132">
        <v>10</v>
      </c>
    </row>
    <row r="1053" spans="1:9" ht="15" customHeight="1" x14ac:dyDescent="0.25">
      <c r="A1053" s="132" t="s">
        <v>250</v>
      </c>
      <c r="B1053" s="132" t="s">
        <v>327</v>
      </c>
      <c r="C1053" s="132">
        <v>12</v>
      </c>
      <c r="D1053" s="132" t="str">
        <f t="shared" si="76"/>
        <v>Female BB RS-550 12</v>
      </c>
      <c r="E1053" s="132">
        <v>10</v>
      </c>
      <c r="F1053" s="132">
        <v>7</v>
      </c>
      <c r="G1053" s="132">
        <v>0</v>
      </c>
      <c r="H1053" s="132">
        <v>0</v>
      </c>
      <c r="I1053" s="132">
        <v>7</v>
      </c>
    </row>
    <row r="1054" spans="1:9" ht="15" customHeight="1" x14ac:dyDescent="0.25">
      <c r="A1054" s="132" t="s">
        <v>250</v>
      </c>
      <c r="B1054" s="132" t="s">
        <v>327</v>
      </c>
      <c r="C1054" s="132">
        <v>15</v>
      </c>
      <c r="D1054" s="132" t="str">
        <f t="shared" si="76"/>
        <v>Female BB RS-550 15</v>
      </c>
      <c r="E1054" s="132">
        <v>10</v>
      </c>
      <c r="F1054" s="132">
        <v>5</v>
      </c>
      <c r="G1054" s="132">
        <v>0</v>
      </c>
      <c r="H1054" s="132">
        <v>0</v>
      </c>
      <c r="I1054" s="132">
        <v>5</v>
      </c>
    </row>
    <row r="1055" spans="1:9" ht="15" customHeight="1" x14ac:dyDescent="0.25">
      <c r="A1055" s="132" t="s">
        <v>250</v>
      </c>
      <c r="B1055" s="132" t="s">
        <v>327</v>
      </c>
      <c r="C1055" s="132">
        <v>16</v>
      </c>
      <c r="D1055" s="132" t="str">
        <f t="shared" si="76"/>
        <v>Female BB RS-550 16</v>
      </c>
      <c r="E1055" s="132">
        <v>10</v>
      </c>
      <c r="F1055" s="132">
        <v>5</v>
      </c>
      <c r="G1055" s="132">
        <v>0</v>
      </c>
      <c r="H1055" s="132">
        <v>0</v>
      </c>
      <c r="I1055" s="132">
        <v>5</v>
      </c>
    </row>
    <row r="1056" spans="1:9" ht="15" customHeight="1" x14ac:dyDescent="0.25">
      <c r="A1056" s="132" t="s">
        <v>250</v>
      </c>
      <c r="B1056" s="132" t="s">
        <v>327</v>
      </c>
      <c r="C1056" s="132">
        <v>20</v>
      </c>
      <c r="D1056" s="132" t="str">
        <f t="shared" si="76"/>
        <v>Female BB RS-550 20</v>
      </c>
      <c r="E1056" s="132">
        <v>9</v>
      </c>
      <c r="F1056" s="132">
        <v>5</v>
      </c>
      <c r="G1056" s="132">
        <v>0</v>
      </c>
      <c r="H1056" s="132">
        <v>0</v>
      </c>
      <c r="I1056" s="132">
        <v>4</v>
      </c>
    </row>
    <row r="1057" spans="1:9" ht="15" customHeight="1" x14ac:dyDescent="0.25">
      <c r="A1057" s="132" t="s">
        <v>250</v>
      </c>
      <c r="B1057" s="132" t="s">
        <v>327</v>
      </c>
      <c r="C1057" s="132">
        <v>21</v>
      </c>
      <c r="D1057" s="132" t="str">
        <f t="shared" si="76"/>
        <v>Female BB RS-550 21</v>
      </c>
      <c r="E1057" s="132">
        <v>9</v>
      </c>
      <c r="F1057" s="132">
        <v>5</v>
      </c>
      <c r="G1057" s="132">
        <v>0</v>
      </c>
      <c r="H1057" s="132">
        <v>0</v>
      </c>
      <c r="I1057" s="132">
        <v>4</v>
      </c>
    </row>
    <row r="1058" spans="1:9" ht="15" customHeight="1" x14ac:dyDescent="0.25">
      <c r="A1058" s="132" t="s">
        <v>250</v>
      </c>
      <c r="B1058" s="132" t="s">
        <v>327</v>
      </c>
      <c r="C1058" s="132">
        <v>25</v>
      </c>
      <c r="D1058" s="132" t="str">
        <f t="shared" si="76"/>
        <v>Female BB RS-550 25</v>
      </c>
      <c r="E1058" s="132">
        <v>7</v>
      </c>
      <c r="F1058" s="132">
        <v>5</v>
      </c>
      <c r="G1058" s="132">
        <v>0</v>
      </c>
      <c r="H1058" s="132">
        <v>0</v>
      </c>
      <c r="I1058" s="132">
        <v>3</v>
      </c>
    </row>
    <row r="1059" spans="1:9" ht="15" customHeight="1" x14ac:dyDescent="0.25">
      <c r="A1059" s="132" t="s">
        <v>250</v>
      </c>
      <c r="B1059" s="132" t="s">
        <v>327</v>
      </c>
      <c r="C1059" s="132">
        <v>27</v>
      </c>
      <c r="D1059" s="132" t="str">
        <f t="shared" si="76"/>
        <v>Female BB RS-550 27</v>
      </c>
      <c r="E1059" s="132">
        <v>7</v>
      </c>
      <c r="F1059" s="132">
        <v>5</v>
      </c>
      <c r="G1059" s="132">
        <v>0</v>
      </c>
      <c r="H1059" s="132">
        <v>0</v>
      </c>
      <c r="I1059" s="132">
        <v>3</v>
      </c>
    </row>
    <row r="1060" spans="1:9" ht="15" customHeight="1" x14ac:dyDescent="0.25">
      <c r="A1060" s="132" t="s">
        <v>250</v>
      </c>
      <c r="B1060" s="132" t="s">
        <v>327</v>
      </c>
      <c r="C1060" s="132">
        <v>28</v>
      </c>
      <c r="D1060" s="132" t="str">
        <f t="shared" si="76"/>
        <v>Female BB RS-550 28</v>
      </c>
      <c r="E1060" s="132">
        <v>7</v>
      </c>
      <c r="F1060" s="132">
        <v>5</v>
      </c>
      <c r="G1060" s="132">
        <v>0</v>
      </c>
      <c r="H1060" s="132">
        <v>0</v>
      </c>
      <c r="I1060" s="132">
        <v>3</v>
      </c>
    </row>
    <row r="1061" spans="1:9" ht="15" customHeight="1" x14ac:dyDescent="0.25">
      <c r="A1061" s="132" t="s">
        <v>250</v>
      </c>
      <c r="B1061" s="132" t="s">
        <v>327</v>
      </c>
      <c r="C1061" s="132">
        <v>30</v>
      </c>
      <c r="D1061" s="132" t="str">
        <f t="shared" si="76"/>
        <v>Female BB RS-550 30</v>
      </c>
      <c r="E1061" s="132">
        <v>5</v>
      </c>
      <c r="F1061" s="132">
        <v>5</v>
      </c>
      <c r="G1061" s="132">
        <v>0</v>
      </c>
      <c r="H1061" s="132">
        <v>0</v>
      </c>
      <c r="I1061" s="132">
        <v>3</v>
      </c>
    </row>
    <row r="1062" spans="1:9" ht="15" customHeight="1" x14ac:dyDescent="0.25">
      <c r="A1062" s="132" t="s">
        <v>250</v>
      </c>
      <c r="B1062" s="132" t="s">
        <v>327</v>
      </c>
      <c r="C1062" s="132">
        <v>35</v>
      </c>
      <c r="D1062" s="132" t="str">
        <f t="shared" si="76"/>
        <v>Female BB RS-550 35</v>
      </c>
      <c r="E1062" s="132">
        <v>5</v>
      </c>
      <c r="F1062" s="132">
        <v>4</v>
      </c>
      <c r="G1062" s="132">
        <v>0</v>
      </c>
      <c r="H1062" s="132">
        <v>0</v>
      </c>
      <c r="I1062" s="132">
        <v>1</v>
      </c>
    </row>
    <row r="1063" spans="1:9" ht="15" customHeight="1" x14ac:dyDescent="0.25">
      <c r="A1063" s="132" t="s">
        <v>250</v>
      </c>
      <c r="B1063" s="132" t="s">
        <v>327</v>
      </c>
      <c r="C1063" s="132">
        <v>36</v>
      </c>
      <c r="D1063" s="132" t="str">
        <f t="shared" si="76"/>
        <v>Female BB RS-550 36</v>
      </c>
      <c r="E1063" s="132">
        <v>5</v>
      </c>
      <c r="F1063" s="132">
        <v>4</v>
      </c>
      <c r="G1063" s="132">
        <v>0</v>
      </c>
      <c r="H1063" s="132">
        <v>0</v>
      </c>
      <c r="I1063" s="132">
        <v>1</v>
      </c>
    </row>
    <row r="1064" spans="1:9" ht="15" customHeight="1" x14ac:dyDescent="0.25">
      <c r="A1064" s="132" t="s">
        <v>250</v>
      </c>
      <c r="B1064" s="132" t="s">
        <v>327</v>
      </c>
      <c r="C1064" s="132">
        <v>40</v>
      </c>
      <c r="D1064" s="132" t="str">
        <f t="shared" si="76"/>
        <v>Female BB RS-550 40</v>
      </c>
      <c r="E1064" s="132">
        <v>5</v>
      </c>
      <c r="F1064" s="132">
        <v>3</v>
      </c>
      <c r="G1064" s="132">
        <v>0</v>
      </c>
      <c r="H1064" s="132">
        <v>0</v>
      </c>
      <c r="I1064" s="132">
        <v>1</v>
      </c>
    </row>
    <row r="1065" spans="1:9" ht="15" customHeight="1" x14ac:dyDescent="0.25">
      <c r="A1065" s="132" t="s">
        <v>250</v>
      </c>
      <c r="B1065" s="132" t="s">
        <v>327</v>
      </c>
      <c r="C1065" s="132">
        <v>45</v>
      </c>
      <c r="D1065" s="132" t="str">
        <f t="shared" si="76"/>
        <v>Female BB RS-550 45</v>
      </c>
      <c r="E1065" s="132">
        <v>5</v>
      </c>
      <c r="F1065" s="132">
        <v>3</v>
      </c>
      <c r="G1065" s="132">
        <v>0</v>
      </c>
      <c r="H1065" s="132">
        <v>0</v>
      </c>
      <c r="I1065" s="132">
        <v>1</v>
      </c>
    </row>
    <row r="1066" spans="1:9" ht="15" customHeight="1" x14ac:dyDescent="0.25">
      <c r="A1066" s="132" t="s">
        <v>250</v>
      </c>
      <c r="B1066" s="132" t="s">
        <v>327</v>
      </c>
      <c r="C1066" s="132">
        <v>49</v>
      </c>
      <c r="D1066" s="132" t="str">
        <f t="shared" si="76"/>
        <v>Female BB RS-550 49</v>
      </c>
      <c r="E1066" s="132">
        <v>5</v>
      </c>
      <c r="F1066" s="132">
        <v>3</v>
      </c>
      <c r="G1066" s="132">
        <v>0</v>
      </c>
      <c r="H1066" s="132">
        <v>0</v>
      </c>
      <c r="I1066" s="132">
        <v>1</v>
      </c>
    </row>
    <row r="1067" spans="1:9" ht="15" customHeight="1" x14ac:dyDescent="0.25">
      <c r="A1067" s="132" t="s">
        <v>250</v>
      </c>
      <c r="B1067" s="132" t="s">
        <v>327</v>
      </c>
      <c r="C1067" s="132">
        <v>50</v>
      </c>
      <c r="D1067" s="132" t="str">
        <f t="shared" si="76"/>
        <v>Female BB RS-550 50</v>
      </c>
      <c r="E1067" s="132">
        <v>5</v>
      </c>
      <c r="F1067" s="132">
        <v>3</v>
      </c>
      <c r="G1067" s="132">
        <v>0</v>
      </c>
      <c r="H1067" s="132">
        <v>0</v>
      </c>
      <c r="I1067" s="132">
        <v>1</v>
      </c>
    </row>
    <row r="1068" spans="1:9" ht="15" customHeight="1" x14ac:dyDescent="0.25">
      <c r="A1068" s="132" t="s">
        <v>250</v>
      </c>
      <c r="B1068" s="132" t="s">
        <v>327</v>
      </c>
      <c r="C1068" s="132">
        <v>63</v>
      </c>
      <c r="D1068" s="132" t="str">
        <f t="shared" si="76"/>
        <v>Female BB RS-550 63</v>
      </c>
      <c r="E1068" s="132">
        <v>4</v>
      </c>
      <c r="F1068" s="132">
        <v>1</v>
      </c>
      <c r="G1068" s="132">
        <v>0</v>
      </c>
      <c r="H1068" s="132">
        <v>0</v>
      </c>
      <c r="I1068" s="132">
        <v>1</v>
      </c>
    </row>
    <row r="1069" spans="1:9" ht="15" customHeight="1" x14ac:dyDescent="0.25">
      <c r="A1069" s="132" t="s">
        <v>250</v>
      </c>
      <c r="B1069" s="132" t="s">
        <v>327</v>
      </c>
      <c r="C1069" s="132">
        <v>70</v>
      </c>
      <c r="D1069" s="132" t="str">
        <f t="shared" si="76"/>
        <v>Female BB RS-550 70</v>
      </c>
      <c r="E1069" s="132">
        <v>4</v>
      </c>
      <c r="F1069" s="132">
        <v>1</v>
      </c>
      <c r="G1069" s="132">
        <v>0</v>
      </c>
      <c r="H1069" s="132">
        <v>0</v>
      </c>
      <c r="I1069" s="132">
        <v>1</v>
      </c>
    </row>
    <row r="1070" spans="1:9" ht="15" customHeight="1" x14ac:dyDescent="0.25">
      <c r="A1070" s="132" t="s">
        <v>250</v>
      </c>
      <c r="B1070" s="132" t="s">
        <v>327</v>
      </c>
      <c r="C1070" s="132">
        <v>81</v>
      </c>
      <c r="D1070" s="132" t="str">
        <f t="shared" si="76"/>
        <v>Female BB RS-550 81</v>
      </c>
      <c r="E1070" s="132">
        <v>3</v>
      </c>
      <c r="F1070" s="132">
        <v>1</v>
      </c>
      <c r="G1070" s="132">
        <v>0</v>
      </c>
      <c r="H1070" s="132">
        <v>0</v>
      </c>
      <c r="I1070" s="132">
        <v>1</v>
      </c>
    </row>
    <row r="1071" spans="1:9" ht="15" customHeight="1" x14ac:dyDescent="0.25">
      <c r="A1071" s="132" t="s">
        <v>250</v>
      </c>
      <c r="B1071" s="132" t="s">
        <v>327</v>
      </c>
      <c r="C1071" s="132">
        <v>90</v>
      </c>
      <c r="D1071" s="132" t="str">
        <f t="shared" si="76"/>
        <v>Female BB RS-550 90</v>
      </c>
      <c r="E1071" s="132">
        <v>3</v>
      </c>
      <c r="F1071" s="132">
        <v>1</v>
      </c>
      <c r="G1071" s="132">
        <v>0</v>
      </c>
      <c r="H1071" s="132">
        <v>0</v>
      </c>
      <c r="I1071" s="132">
        <v>1</v>
      </c>
    </row>
    <row r="1072" spans="1:9" ht="15" customHeight="1" x14ac:dyDescent="0.25">
      <c r="A1072" s="132" t="s">
        <v>250</v>
      </c>
      <c r="B1072" s="132" t="s">
        <v>327</v>
      </c>
      <c r="C1072" s="132">
        <v>100</v>
      </c>
      <c r="D1072" s="132" t="str">
        <f t="shared" si="76"/>
        <v>Female BB RS-550 100</v>
      </c>
      <c r="E1072" s="132">
        <v>3</v>
      </c>
      <c r="F1072" s="132">
        <v>0</v>
      </c>
      <c r="G1072" s="132">
        <v>0</v>
      </c>
      <c r="H1072" s="132">
        <v>0</v>
      </c>
      <c r="I1072" s="132">
        <v>0</v>
      </c>
    </row>
    <row r="1073" spans="1:9" ht="15" customHeight="1" x14ac:dyDescent="0.25">
      <c r="A1073" s="132" t="s">
        <v>250</v>
      </c>
      <c r="B1073" s="132" t="s">
        <v>328</v>
      </c>
      <c r="C1073" s="132">
        <v>-3</v>
      </c>
      <c r="D1073" s="132" t="str">
        <f t="shared" ref="D1073:D1078" si="77">A1073&amp;" "&amp;B1073&amp;" "&amp;C1073</f>
        <v>Female BB RS-775 -3</v>
      </c>
      <c r="E1073" s="132">
        <v>1</v>
      </c>
      <c r="F1073" s="132">
        <v>1</v>
      </c>
      <c r="G1073" s="132">
        <v>1</v>
      </c>
      <c r="H1073" s="132">
        <v>0</v>
      </c>
      <c r="I1073" s="132">
        <v>1</v>
      </c>
    </row>
    <row r="1074" spans="1:9" ht="15" customHeight="1" x14ac:dyDescent="0.25">
      <c r="A1074" s="132" t="s">
        <v>250</v>
      </c>
      <c r="B1074" s="132" t="s">
        <v>328</v>
      </c>
      <c r="C1074" s="132">
        <v>-4</v>
      </c>
      <c r="D1074" s="132" t="str">
        <f t="shared" si="77"/>
        <v>Female BB RS-775 -4</v>
      </c>
      <c r="E1074" s="132">
        <v>1</v>
      </c>
      <c r="F1074" s="132">
        <v>1</v>
      </c>
      <c r="G1074" s="132">
        <v>1</v>
      </c>
      <c r="H1074" s="132">
        <v>0</v>
      </c>
      <c r="I1074" s="132">
        <v>1</v>
      </c>
    </row>
    <row r="1075" spans="1:9" ht="15" customHeight="1" x14ac:dyDescent="0.25">
      <c r="A1075" s="132" t="s">
        <v>250</v>
      </c>
      <c r="B1075" s="132" t="s">
        <v>328</v>
      </c>
      <c r="C1075" s="132">
        <v>-5</v>
      </c>
      <c r="D1075" s="132" t="str">
        <f t="shared" si="77"/>
        <v>Female BB RS-775 -5</v>
      </c>
      <c r="E1075" s="132">
        <v>1</v>
      </c>
      <c r="F1075" s="132">
        <v>1</v>
      </c>
      <c r="G1075" s="132">
        <v>1</v>
      </c>
      <c r="H1075" s="132">
        <v>0</v>
      </c>
      <c r="I1075" s="132">
        <v>1</v>
      </c>
    </row>
    <row r="1076" spans="1:9" ht="15" customHeight="1" x14ac:dyDescent="0.25">
      <c r="A1076" s="132" t="s">
        <v>250</v>
      </c>
      <c r="B1076" s="132" t="s">
        <v>328</v>
      </c>
      <c r="C1076" s="132">
        <v>-7</v>
      </c>
      <c r="D1076" s="132" t="str">
        <f t="shared" si="77"/>
        <v>Female BB RS-775 -7</v>
      </c>
      <c r="E1076" s="132">
        <v>1</v>
      </c>
      <c r="F1076" s="132">
        <v>1</v>
      </c>
      <c r="G1076" s="132">
        <v>0</v>
      </c>
      <c r="H1076" s="132">
        <v>0</v>
      </c>
      <c r="I1076" s="132">
        <v>1</v>
      </c>
    </row>
    <row r="1077" spans="1:9" ht="15" customHeight="1" x14ac:dyDescent="0.25">
      <c r="A1077" s="132" t="s">
        <v>250</v>
      </c>
      <c r="B1077" s="132" t="s">
        <v>328</v>
      </c>
      <c r="C1077" s="132">
        <v>-9</v>
      </c>
      <c r="D1077" s="132" t="str">
        <f t="shared" si="77"/>
        <v>Female BB RS-775 -9</v>
      </c>
      <c r="E1077" s="132">
        <v>1</v>
      </c>
      <c r="F1077" s="132">
        <v>1</v>
      </c>
      <c r="G1077" s="132">
        <v>0</v>
      </c>
      <c r="H1077" s="132">
        <v>0</v>
      </c>
      <c r="I1077" s="132">
        <v>1</v>
      </c>
    </row>
    <row r="1078" spans="1:9" ht="15" customHeight="1" x14ac:dyDescent="0.25">
      <c r="A1078" s="132" t="s">
        <v>250</v>
      </c>
      <c r="B1078" s="132" t="s">
        <v>328</v>
      </c>
      <c r="C1078" s="132">
        <v>-10</v>
      </c>
      <c r="D1078" s="132" t="str">
        <f t="shared" si="77"/>
        <v>Female BB RS-775 -10</v>
      </c>
      <c r="E1078" s="132">
        <v>1</v>
      </c>
      <c r="F1078" s="132">
        <v>1</v>
      </c>
      <c r="G1078" s="132">
        <v>0</v>
      </c>
      <c r="H1078" s="132">
        <v>0</v>
      </c>
      <c r="I1078" s="132">
        <v>1</v>
      </c>
    </row>
    <row r="1079" spans="1:9" ht="15" customHeight="1" x14ac:dyDescent="0.25">
      <c r="A1079" s="132" t="s">
        <v>250</v>
      </c>
      <c r="B1079" s="132" t="s">
        <v>328</v>
      </c>
      <c r="C1079" s="132">
        <v>9</v>
      </c>
      <c r="D1079" s="132" t="str">
        <f t="shared" ref="D1079:D1099" si="78">A1079&amp;" "&amp;B1079&amp;" "&amp;C1079</f>
        <v>Female BB RS-775 9</v>
      </c>
      <c r="E1079" s="132">
        <v>10</v>
      </c>
      <c r="F1079" s="132">
        <v>5</v>
      </c>
      <c r="G1079" s="132">
        <v>0</v>
      </c>
      <c r="H1079" s="132">
        <v>0</v>
      </c>
      <c r="I1079" s="132">
        <v>10</v>
      </c>
    </row>
    <row r="1080" spans="1:9" ht="15" customHeight="1" x14ac:dyDescent="0.25">
      <c r="A1080" s="132" t="s">
        <v>250</v>
      </c>
      <c r="B1080" s="132" t="s">
        <v>328</v>
      </c>
      <c r="C1080" s="132">
        <v>12</v>
      </c>
      <c r="D1080" s="132" t="str">
        <f t="shared" si="78"/>
        <v>Female BB RS-775 12</v>
      </c>
      <c r="E1080" s="132">
        <v>10</v>
      </c>
      <c r="F1080" s="132">
        <v>5</v>
      </c>
      <c r="G1080" s="132">
        <v>0</v>
      </c>
      <c r="H1080" s="132">
        <v>0</v>
      </c>
      <c r="I1080" s="132">
        <v>10</v>
      </c>
    </row>
    <row r="1081" spans="1:9" ht="15" customHeight="1" x14ac:dyDescent="0.25">
      <c r="A1081" s="132" t="s">
        <v>250</v>
      </c>
      <c r="B1081" s="132" t="s">
        <v>328</v>
      </c>
      <c r="C1081" s="132">
        <v>15</v>
      </c>
      <c r="D1081" s="132" t="str">
        <f t="shared" si="78"/>
        <v>Female BB RS-775 15</v>
      </c>
      <c r="E1081" s="132">
        <v>10</v>
      </c>
      <c r="F1081" s="132">
        <v>5</v>
      </c>
      <c r="G1081" s="132">
        <v>0</v>
      </c>
      <c r="H1081" s="132">
        <v>0</v>
      </c>
      <c r="I1081" s="132">
        <v>7</v>
      </c>
    </row>
    <row r="1082" spans="1:9" ht="15" customHeight="1" x14ac:dyDescent="0.25">
      <c r="A1082" s="132" t="s">
        <v>250</v>
      </c>
      <c r="B1082" s="132" t="s">
        <v>328</v>
      </c>
      <c r="C1082" s="132">
        <v>16</v>
      </c>
      <c r="D1082" s="132" t="str">
        <f t="shared" si="78"/>
        <v>Female BB RS-775 16</v>
      </c>
      <c r="E1082" s="132">
        <v>10</v>
      </c>
      <c r="F1082" s="132">
        <v>5</v>
      </c>
      <c r="G1082" s="132">
        <v>0</v>
      </c>
      <c r="H1082" s="132">
        <v>0</v>
      </c>
      <c r="I1082" s="132">
        <v>7</v>
      </c>
    </row>
    <row r="1083" spans="1:9" ht="15" customHeight="1" x14ac:dyDescent="0.25">
      <c r="A1083" s="132" t="s">
        <v>250</v>
      </c>
      <c r="B1083" s="132" t="s">
        <v>328</v>
      </c>
      <c r="C1083" s="132">
        <v>20</v>
      </c>
      <c r="D1083" s="132" t="str">
        <f t="shared" si="78"/>
        <v>Female BB RS-775 20</v>
      </c>
      <c r="E1083" s="132">
        <v>10</v>
      </c>
      <c r="F1083" s="132">
        <v>4</v>
      </c>
      <c r="G1083" s="132">
        <v>0</v>
      </c>
      <c r="H1083" s="132">
        <v>0</v>
      </c>
      <c r="I1083" s="132">
        <v>5</v>
      </c>
    </row>
    <row r="1084" spans="1:9" ht="15" customHeight="1" x14ac:dyDescent="0.25">
      <c r="A1084" s="132" t="s">
        <v>250</v>
      </c>
      <c r="B1084" s="132" t="s">
        <v>328</v>
      </c>
      <c r="C1084" s="132">
        <v>21</v>
      </c>
      <c r="D1084" s="132" t="str">
        <f t="shared" si="78"/>
        <v>Female BB RS-775 21</v>
      </c>
      <c r="E1084" s="132">
        <v>10</v>
      </c>
      <c r="F1084" s="132">
        <v>4</v>
      </c>
      <c r="G1084" s="132">
        <v>0</v>
      </c>
      <c r="H1084" s="132">
        <v>0</v>
      </c>
      <c r="I1084" s="132">
        <v>5</v>
      </c>
    </row>
    <row r="1085" spans="1:9" ht="15" customHeight="1" x14ac:dyDescent="0.25">
      <c r="A1085" s="132" t="s">
        <v>250</v>
      </c>
      <c r="B1085" s="132" t="s">
        <v>328</v>
      </c>
      <c r="C1085" s="132">
        <v>25</v>
      </c>
      <c r="D1085" s="132" t="str">
        <f t="shared" si="78"/>
        <v>Female BB RS-775 25</v>
      </c>
      <c r="E1085" s="132">
        <v>7</v>
      </c>
      <c r="F1085" s="132">
        <v>3</v>
      </c>
      <c r="G1085" s="132">
        <v>0</v>
      </c>
      <c r="H1085" s="132">
        <v>0</v>
      </c>
      <c r="I1085" s="132">
        <v>5</v>
      </c>
    </row>
    <row r="1086" spans="1:9" ht="15" customHeight="1" x14ac:dyDescent="0.25">
      <c r="A1086" s="132" t="s">
        <v>250</v>
      </c>
      <c r="B1086" s="132" t="s">
        <v>328</v>
      </c>
      <c r="C1086" s="132">
        <v>27</v>
      </c>
      <c r="D1086" s="132" t="str">
        <f t="shared" si="78"/>
        <v>Female BB RS-775 27</v>
      </c>
      <c r="E1086" s="132">
        <v>7</v>
      </c>
      <c r="F1086" s="132">
        <v>3</v>
      </c>
      <c r="G1086" s="132">
        <v>0</v>
      </c>
      <c r="H1086" s="132">
        <v>0</v>
      </c>
      <c r="I1086" s="132">
        <v>4</v>
      </c>
    </row>
    <row r="1087" spans="1:9" ht="15" customHeight="1" x14ac:dyDescent="0.25">
      <c r="A1087" s="132" t="s">
        <v>250</v>
      </c>
      <c r="B1087" s="132" t="s">
        <v>328</v>
      </c>
      <c r="C1087" s="132">
        <v>28</v>
      </c>
      <c r="D1087" s="132" t="str">
        <f t="shared" si="78"/>
        <v>Female BB RS-775 28</v>
      </c>
      <c r="E1087" s="132">
        <v>7</v>
      </c>
      <c r="F1087" s="132">
        <v>3</v>
      </c>
      <c r="G1087" s="132">
        <v>0</v>
      </c>
      <c r="H1087" s="132">
        <v>0</v>
      </c>
      <c r="I1087" s="132">
        <v>4</v>
      </c>
    </row>
    <row r="1088" spans="1:9" ht="15" customHeight="1" x14ac:dyDescent="0.25">
      <c r="A1088" s="132" t="s">
        <v>250</v>
      </c>
      <c r="B1088" s="132" t="s">
        <v>328</v>
      </c>
      <c r="C1088" s="132">
        <v>30</v>
      </c>
      <c r="D1088" s="132" t="str">
        <f t="shared" si="78"/>
        <v>Female BB RS-775 30</v>
      </c>
      <c r="E1088" s="132">
        <v>7</v>
      </c>
      <c r="F1088" s="132">
        <v>3</v>
      </c>
      <c r="G1088" s="132">
        <v>0</v>
      </c>
      <c r="H1088" s="132">
        <v>0</v>
      </c>
      <c r="I1088" s="132">
        <v>4</v>
      </c>
    </row>
    <row r="1089" spans="1:9" ht="15" customHeight="1" x14ac:dyDescent="0.25">
      <c r="A1089" s="132" t="s">
        <v>250</v>
      </c>
      <c r="B1089" s="132" t="s">
        <v>328</v>
      </c>
      <c r="C1089" s="132">
        <v>35</v>
      </c>
      <c r="D1089" s="132" t="str">
        <f t="shared" si="78"/>
        <v>Female BB RS-775 35</v>
      </c>
      <c r="E1089" s="132">
        <v>5</v>
      </c>
      <c r="F1089" s="132">
        <v>1</v>
      </c>
      <c r="G1089" s="132">
        <v>0</v>
      </c>
      <c r="H1089" s="132">
        <v>0</v>
      </c>
      <c r="I1089" s="132">
        <v>3</v>
      </c>
    </row>
    <row r="1090" spans="1:9" ht="15" customHeight="1" x14ac:dyDescent="0.25">
      <c r="A1090" s="132" t="s">
        <v>250</v>
      </c>
      <c r="B1090" s="132" t="s">
        <v>328</v>
      </c>
      <c r="C1090" s="132">
        <v>36</v>
      </c>
      <c r="D1090" s="132" t="str">
        <f t="shared" si="78"/>
        <v>Female BB RS-775 36</v>
      </c>
      <c r="E1090" s="132">
        <v>5</v>
      </c>
      <c r="F1090" s="132">
        <v>1</v>
      </c>
      <c r="G1090" s="132">
        <v>0</v>
      </c>
      <c r="H1090" s="132">
        <v>0</v>
      </c>
      <c r="I1090" s="132">
        <v>3</v>
      </c>
    </row>
    <row r="1091" spans="1:9" ht="15" customHeight="1" x14ac:dyDescent="0.25">
      <c r="A1091" s="132" t="s">
        <v>250</v>
      </c>
      <c r="B1091" s="132" t="s">
        <v>328</v>
      </c>
      <c r="C1091" s="132">
        <v>40</v>
      </c>
      <c r="D1091" s="132" t="str">
        <f t="shared" si="78"/>
        <v>Female BB RS-775 40</v>
      </c>
      <c r="E1091" s="132">
        <v>5</v>
      </c>
      <c r="F1091" s="132">
        <v>1</v>
      </c>
      <c r="G1091" s="132">
        <v>0</v>
      </c>
      <c r="H1091" s="132">
        <v>0</v>
      </c>
      <c r="I1091" s="132">
        <v>3</v>
      </c>
    </row>
    <row r="1092" spans="1:9" ht="15" customHeight="1" x14ac:dyDescent="0.25">
      <c r="A1092" s="132" t="s">
        <v>250</v>
      </c>
      <c r="B1092" s="132" t="s">
        <v>328</v>
      </c>
      <c r="C1092" s="132">
        <v>45</v>
      </c>
      <c r="D1092" s="132" t="str">
        <f t="shared" si="78"/>
        <v>Female BB RS-775 45</v>
      </c>
      <c r="E1092" s="132">
        <v>5</v>
      </c>
      <c r="F1092" s="132">
        <v>1</v>
      </c>
      <c r="G1092" s="132">
        <v>0</v>
      </c>
      <c r="H1092" s="132">
        <v>0</v>
      </c>
      <c r="I1092" s="132">
        <v>1</v>
      </c>
    </row>
    <row r="1093" spans="1:9" ht="15" customHeight="1" x14ac:dyDescent="0.25">
      <c r="A1093" s="132" t="s">
        <v>250</v>
      </c>
      <c r="B1093" s="132" t="s">
        <v>328</v>
      </c>
      <c r="C1093" s="132">
        <v>49</v>
      </c>
      <c r="D1093" s="132" t="str">
        <f t="shared" si="78"/>
        <v>Female BB RS-775 49</v>
      </c>
      <c r="E1093" s="132">
        <v>5</v>
      </c>
      <c r="F1093" s="132">
        <v>1</v>
      </c>
      <c r="G1093" s="132">
        <v>0</v>
      </c>
      <c r="H1093" s="132">
        <v>0</v>
      </c>
      <c r="I1093" s="132">
        <v>1</v>
      </c>
    </row>
    <row r="1094" spans="1:9" ht="15" customHeight="1" x14ac:dyDescent="0.25">
      <c r="A1094" s="132" t="s">
        <v>250</v>
      </c>
      <c r="B1094" s="132" t="s">
        <v>328</v>
      </c>
      <c r="C1094" s="132">
        <v>50</v>
      </c>
      <c r="D1094" s="132" t="str">
        <f t="shared" si="78"/>
        <v>Female BB RS-775 50</v>
      </c>
      <c r="E1094" s="132">
        <v>5</v>
      </c>
      <c r="F1094" s="132">
        <v>1</v>
      </c>
      <c r="G1094" s="132">
        <v>0</v>
      </c>
      <c r="H1094" s="132">
        <v>0</v>
      </c>
      <c r="I1094" s="132">
        <v>1</v>
      </c>
    </row>
    <row r="1095" spans="1:9" ht="15" customHeight="1" x14ac:dyDescent="0.25">
      <c r="A1095" s="132" t="s">
        <v>250</v>
      </c>
      <c r="B1095" s="132" t="s">
        <v>328</v>
      </c>
      <c r="C1095" s="132">
        <v>63</v>
      </c>
      <c r="D1095" s="132" t="str">
        <f t="shared" si="78"/>
        <v>Female BB RS-775 63</v>
      </c>
      <c r="E1095" s="132">
        <v>5</v>
      </c>
      <c r="F1095" s="132">
        <v>0</v>
      </c>
      <c r="G1095" s="132">
        <v>0</v>
      </c>
      <c r="H1095" s="132">
        <v>0</v>
      </c>
      <c r="I1095" s="132">
        <v>1</v>
      </c>
    </row>
    <row r="1096" spans="1:9" ht="15" customHeight="1" x14ac:dyDescent="0.25">
      <c r="A1096" s="132" t="s">
        <v>250</v>
      </c>
      <c r="B1096" s="132" t="s">
        <v>328</v>
      </c>
      <c r="C1096" s="132">
        <v>70</v>
      </c>
      <c r="D1096" s="132" t="str">
        <f t="shared" si="78"/>
        <v>Female BB RS-775 70</v>
      </c>
      <c r="E1096" s="132">
        <v>4</v>
      </c>
      <c r="F1096" s="132">
        <v>0</v>
      </c>
      <c r="G1096" s="132">
        <v>0</v>
      </c>
      <c r="H1096" s="132">
        <v>0</v>
      </c>
      <c r="I1096" s="132">
        <v>1</v>
      </c>
    </row>
    <row r="1097" spans="1:9" ht="15" customHeight="1" x14ac:dyDescent="0.25">
      <c r="A1097" s="132" t="s">
        <v>250</v>
      </c>
      <c r="B1097" s="132" t="s">
        <v>328</v>
      </c>
      <c r="C1097" s="132">
        <v>81</v>
      </c>
      <c r="D1097" s="132" t="str">
        <f t="shared" si="78"/>
        <v>Female BB RS-775 81</v>
      </c>
      <c r="E1097" s="132">
        <v>4</v>
      </c>
      <c r="F1097" s="132">
        <v>0</v>
      </c>
      <c r="G1097" s="132">
        <v>0</v>
      </c>
      <c r="H1097" s="132">
        <v>0</v>
      </c>
      <c r="I1097" s="132">
        <v>1</v>
      </c>
    </row>
    <row r="1098" spans="1:9" ht="15" customHeight="1" x14ac:dyDescent="0.25">
      <c r="A1098" s="132" t="s">
        <v>250</v>
      </c>
      <c r="B1098" s="132" t="s">
        <v>328</v>
      </c>
      <c r="C1098" s="132">
        <v>90</v>
      </c>
      <c r="D1098" s="132" t="str">
        <f t="shared" si="78"/>
        <v>Female BB RS-775 90</v>
      </c>
      <c r="E1098" s="132">
        <v>3</v>
      </c>
      <c r="F1098" s="132">
        <v>0</v>
      </c>
      <c r="G1098" s="132">
        <v>0</v>
      </c>
      <c r="H1098" s="132">
        <v>0</v>
      </c>
      <c r="I1098" s="132">
        <v>1</v>
      </c>
    </row>
    <row r="1099" spans="1:9" ht="15" customHeight="1" x14ac:dyDescent="0.25">
      <c r="A1099" s="132" t="s">
        <v>250</v>
      </c>
      <c r="B1099" s="132" t="s">
        <v>328</v>
      </c>
      <c r="C1099" s="132">
        <v>100</v>
      </c>
      <c r="D1099" s="132" t="str">
        <f t="shared" si="78"/>
        <v>Female BB RS-775 100</v>
      </c>
      <c r="E1099" s="132">
        <v>3</v>
      </c>
      <c r="F1099" s="132">
        <v>0</v>
      </c>
      <c r="G1099" s="132">
        <v>0</v>
      </c>
      <c r="H1099" s="132">
        <v>0</v>
      </c>
      <c r="I1099" s="132">
        <v>1</v>
      </c>
    </row>
    <row r="1100" spans="1:9" ht="15" customHeight="1" x14ac:dyDescent="0.25">
      <c r="A1100" s="132" t="s">
        <v>250</v>
      </c>
      <c r="B1100" s="132" t="s">
        <v>8</v>
      </c>
      <c r="C1100" s="132">
        <v>-3</v>
      </c>
      <c r="D1100" s="132" t="str">
        <f t="shared" ref="D1100:D1105" si="79">A1100&amp;" "&amp;B1100&amp;" "&amp;C1100</f>
        <v>Female BAG Motor -3</v>
      </c>
      <c r="E1100" s="132">
        <v>1</v>
      </c>
      <c r="F1100" s="132">
        <v>1</v>
      </c>
      <c r="G1100" s="132">
        <v>1</v>
      </c>
      <c r="H1100" s="132">
        <v>0</v>
      </c>
      <c r="I1100" s="132">
        <v>1</v>
      </c>
    </row>
    <row r="1101" spans="1:9" ht="15" customHeight="1" x14ac:dyDescent="0.25">
      <c r="A1101" s="132" t="s">
        <v>250</v>
      </c>
      <c r="B1101" s="132" t="s">
        <v>8</v>
      </c>
      <c r="C1101" s="132">
        <v>-4</v>
      </c>
      <c r="D1101" s="132" t="str">
        <f t="shared" si="79"/>
        <v>Female BAG Motor -4</v>
      </c>
      <c r="E1101" s="132">
        <v>1</v>
      </c>
      <c r="F1101" s="132">
        <v>1</v>
      </c>
      <c r="G1101" s="132">
        <v>1</v>
      </c>
      <c r="H1101" s="132">
        <v>0</v>
      </c>
      <c r="I1101" s="132">
        <v>1</v>
      </c>
    </row>
    <row r="1102" spans="1:9" ht="15" customHeight="1" x14ac:dyDescent="0.25">
      <c r="A1102" s="132" t="s">
        <v>250</v>
      </c>
      <c r="B1102" s="132" t="s">
        <v>8</v>
      </c>
      <c r="C1102" s="132">
        <v>-5</v>
      </c>
      <c r="D1102" s="132" t="str">
        <f t="shared" si="79"/>
        <v>Female BAG Motor -5</v>
      </c>
      <c r="E1102" s="132">
        <v>1</v>
      </c>
      <c r="F1102" s="132">
        <v>1</v>
      </c>
      <c r="G1102" s="132">
        <v>1</v>
      </c>
      <c r="H1102" s="132">
        <v>0</v>
      </c>
      <c r="I1102" s="132">
        <v>1</v>
      </c>
    </row>
    <row r="1103" spans="1:9" ht="15" customHeight="1" x14ac:dyDescent="0.25">
      <c r="A1103" s="132" t="s">
        <v>250</v>
      </c>
      <c r="B1103" s="132" t="s">
        <v>8</v>
      </c>
      <c r="C1103" s="132">
        <v>-7</v>
      </c>
      <c r="D1103" s="132" t="str">
        <f t="shared" si="79"/>
        <v>Female BAG Motor -7</v>
      </c>
      <c r="E1103" s="132">
        <v>1</v>
      </c>
      <c r="F1103" s="132">
        <v>1</v>
      </c>
      <c r="G1103" s="132">
        <v>1</v>
      </c>
      <c r="H1103" s="132">
        <v>0</v>
      </c>
      <c r="I1103" s="132">
        <v>1</v>
      </c>
    </row>
    <row r="1104" spans="1:9" ht="15" customHeight="1" x14ac:dyDescent="0.25">
      <c r="A1104" s="132" t="s">
        <v>250</v>
      </c>
      <c r="B1104" s="132" t="s">
        <v>8</v>
      </c>
      <c r="C1104" s="132">
        <v>-9</v>
      </c>
      <c r="D1104" s="132" t="str">
        <f t="shared" si="79"/>
        <v>Female BAG Motor -9</v>
      </c>
      <c r="E1104" s="132">
        <v>1</v>
      </c>
      <c r="F1104" s="132">
        <v>1</v>
      </c>
      <c r="G1104" s="132">
        <v>0</v>
      </c>
      <c r="H1104" s="132">
        <v>0</v>
      </c>
      <c r="I1104" s="132">
        <v>1</v>
      </c>
    </row>
    <row r="1105" spans="1:9" ht="15" customHeight="1" x14ac:dyDescent="0.25">
      <c r="A1105" s="132" t="s">
        <v>250</v>
      </c>
      <c r="B1105" s="132" t="s">
        <v>8</v>
      </c>
      <c r="C1105" s="132">
        <v>-10</v>
      </c>
      <c r="D1105" s="132" t="str">
        <f t="shared" si="79"/>
        <v>Female BAG Motor -10</v>
      </c>
      <c r="E1105" s="132">
        <v>1</v>
      </c>
      <c r="F1105" s="132">
        <v>1</v>
      </c>
      <c r="G1105" s="132">
        <v>0</v>
      </c>
      <c r="H1105" s="132">
        <v>0</v>
      </c>
      <c r="I1105" s="132">
        <v>1</v>
      </c>
    </row>
    <row r="1106" spans="1:9" ht="15" customHeight="1" x14ac:dyDescent="0.25">
      <c r="A1106" s="132" t="s">
        <v>250</v>
      </c>
      <c r="B1106" s="132" t="s">
        <v>8</v>
      </c>
      <c r="C1106" s="132">
        <v>9</v>
      </c>
      <c r="D1106" s="132" t="str">
        <f t="shared" ref="D1106:D1126" si="80">A1106&amp;" "&amp;B1106&amp;" "&amp;C1106</f>
        <v>Female BAG Motor 9</v>
      </c>
      <c r="E1106" s="132">
        <v>10</v>
      </c>
      <c r="F1106" s="132">
        <v>10</v>
      </c>
      <c r="G1106" s="132">
        <v>1</v>
      </c>
      <c r="H1106" s="132">
        <v>0</v>
      </c>
      <c r="I1106" s="132">
        <v>9</v>
      </c>
    </row>
    <row r="1107" spans="1:9" ht="15" customHeight="1" x14ac:dyDescent="0.25">
      <c r="A1107" s="132" t="s">
        <v>250</v>
      </c>
      <c r="B1107" s="132" t="s">
        <v>8</v>
      </c>
      <c r="C1107" s="132">
        <v>12</v>
      </c>
      <c r="D1107" s="132" t="str">
        <f t="shared" si="80"/>
        <v>Female BAG Motor 12</v>
      </c>
      <c r="E1107" s="132">
        <v>10</v>
      </c>
      <c r="F1107" s="132">
        <v>9</v>
      </c>
      <c r="G1107" s="132">
        <v>1</v>
      </c>
      <c r="H1107" s="132">
        <v>0</v>
      </c>
      <c r="I1107" s="132">
        <v>5</v>
      </c>
    </row>
    <row r="1108" spans="1:9" ht="15" customHeight="1" x14ac:dyDescent="0.25">
      <c r="A1108" s="132" t="s">
        <v>250</v>
      </c>
      <c r="B1108" s="132" t="s">
        <v>8</v>
      </c>
      <c r="C1108" s="132">
        <v>15</v>
      </c>
      <c r="D1108" s="132" t="str">
        <f t="shared" si="80"/>
        <v>Female BAG Motor 15</v>
      </c>
      <c r="E1108" s="132">
        <v>10</v>
      </c>
      <c r="F1108" s="132">
        <v>7</v>
      </c>
      <c r="G1108" s="132">
        <v>0</v>
      </c>
      <c r="H1108" s="132">
        <v>0</v>
      </c>
      <c r="I1108" s="132">
        <v>5</v>
      </c>
    </row>
    <row r="1109" spans="1:9" ht="15" customHeight="1" x14ac:dyDescent="0.25">
      <c r="A1109" s="132" t="s">
        <v>250</v>
      </c>
      <c r="B1109" s="132" t="s">
        <v>8</v>
      </c>
      <c r="C1109" s="132">
        <v>16</v>
      </c>
      <c r="D1109" s="132" t="str">
        <f t="shared" si="80"/>
        <v>Female BAG Motor 16</v>
      </c>
      <c r="E1109" s="132">
        <v>10</v>
      </c>
      <c r="F1109" s="132">
        <v>5</v>
      </c>
      <c r="G1109" s="132">
        <v>0</v>
      </c>
      <c r="H1109" s="132">
        <v>0</v>
      </c>
      <c r="I1109" s="132">
        <v>5</v>
      </c>
    </row>
    <row r="1110" spans="1:9" ht="15" customHeight="1" x14ac:dyDescent="0.25">
      <c r="A1110" s="132" t="s">
        <v>250</v>
      </c>
      <c r="B1110" s="132" t="s">
        <v>8</v>
      </c>
      <c r="C1110" s="132">
        <v>20</v>
      </c>
      <c r="D1110" s="132" t="str">
        <f t="shared" si="80"/>
        <v>Female BAG Motor 20</v>
      </c>
      <c r="E1110" s="132">
        <v>9</v>
      </c>
      <c r="F1110" s="132">
        <v>5</v>
      </c>
      <c r="G1110" s="132">
        <v>0</v>
      </c>
      <c r="H1110" s="132">
        <v>0</v>
      </c>
      <c r="I1110" s="132">
        <v>4</v>
      </c>
    </row>
    <row r="1111" spans="1:9" ht="15" customHeight="1" x14ac:dyDescent="0.25">
      <c r="A1111" s="132" t="s">
        <v>250</v>
      </c>
      <c r="B1111" s="132" t="s">
        <v>8</v>
      </c>
      <c r="C1111" s="132">
        <v>21</v>
      </c>
      <c r="D1111" s="132" t="str">
        <f t="shared" si="80"/>
        <v>Female BAG Motor 21</v>
      </c>
      <c r="E1111" s="132">
        <v>9</v>
      </c>
      <c r="F1111" s="132">
        <v>5</v>
      </c>
      <c r="G1111" s="132">
        <v>0</v>
      </c>
      <c r="H1111" s="132">
        <v>0</v>
      </c>
      <c r="I1111" s="132">
        <v>3</v>
      </c>
    </row>
    <row r="1112" spans="1:9" ht="15" customHeight="1" x14ac:dyDescent="0.25">
      <c r="A1112" s="132" t="s">
        <v>250</v>
      </c>
      <c r="B1112" s="132" t="s">
        <v>8</v>
      </c>
      <c r="C1112" s="132">
        <v>25</v>
      </c>
      <c r="D1112" s="132" t="str">
        <f t="shared" si="80"/>
        <v>Female BAG Motor 25</v>
      </c>
      <c r="E1112" s="132">
        <v>7</v>
      </c>
      <c r="F1112" s="132">
        <v>5</v>
      </c>
      <c r="G1112" s="132">
        <v>0</v>
      </c>
      <c r="H1112" s="132">
        <v>0</v>
      </c>
      <c r="I1112" s="132">
        <v>3</v>
      </c>
    </row>
    <row r="1113" spans="1:9" ht="15" customHeight="1" x14ac:dyDescent="0.25">
      <c r="A1113" s="132" t="s">
        <v>250</v>
      </c>
      <c r="B1113" s="132" t="s">
        <v>8</v>
      </c>
      <c r="C1113" s="132">
        <v>27</v>
      </c>
      <c r="D1113" s="132" t="str">
        <f t="shared" si="80"/>
        <v>Female BAG Motor 27</v>
      </c>
      <c r="E1113" s="132">
        <v>7</v>
      </c>
      <c r="F1113" s="132">
        <v>5</v>
      </c>
      <c r="G1113" s="132">
        <v>0</v>
      </c>
      <c r="H1113" s="132">
        <v>0</v>
      </c>
      <c r="I1113" s="132">
        <v>3</v>
      </c>
    </row>
    <row r="1114" spans="1:9" ht="15" customHeight="1" x14ac:dyDescent="0.25">
      <c r="A1114" s="132" t="s">
        <v>250</v>
      </c>
      <c r="B1114" s="132" t="s">
        <v>8</v>
      </c>
      <c r="C1114" s="132">
        <v>28</v>
      </c>
      <c r="D1114" s="132" t="str">
        <f t="shared" si="80"/>
        <v>Female BAG Motor 28</v>
      </c>
      <c r="E1114" s="132">
        <v>7</v>
      </c>
      <c r="F1114" s="132">
        <v>5</v>
      </c>
      <c r="G1114" s="132">
        <v>0</v>
      </c>
      <c r="H1114" s="132">
        <v>0</v>
      </c>
      <c r="I1114" s="132">
        <v>1</v>
      </c>
    </row>
    <row r="1115" spans="1:9" ht="15" customHeight="1" x14ac:dyDescent="0.25">
      <c r="A1115" s="132" t="s">
        <v>250</v>
      </c>
      <c r="B1115" s="132" t="s">
        <v>8</v>
      </c>
      <c r="C1115" s="132">
        <v>30</v>
      </c>
      <c r="D1115" s="132" t="str">
        <f t="shared" si="80"/>
        <v>Female BAG Motor 30</v>
      </c>
      <c r="E1115" s="132">
        <v>5</v>
      </c>
      <c r="F1115" s="132">
        <v>5</v>
      </c>
      <c r="G1115" s="132">
        <v>0</v>
      </c>
      <c r="H1115" s="132">
        <v>0</v>
      </c>
      <c r="I1115" s="132">
        <v>1</v>
      </c>
    </row>
    <row r="1116" spans="1:9" ht="15" customHeight="1" x14ac:dyDescent="0.25">
      <c r="A1116" s="132" t="s">
        <v>250</v>
      </c>
      <c r="B1116" s="132" t="s">
        <v>8</v>
      </c>
      <c r="C1116" s="132">
        <v>35</v>
      </c>
      <c r="D1116" s="132" t="str">
        <f t="shared" si="80"/>
        <v>Female BAG Motor 35</v>
      </c>
      <c r="E1116" s="132">
        <v>5</v>
      </c>
      <c r="F1116" s="132">
        <v>4</v>
      </c>
      <c r="G1116" s="132">
        <v>0</v>
      </c>
      <c r="H1116" s="132">
        <v>0</v>
      </c>
      <c r="I1116" s="132">
        <v>1</v>
      </c>
    </row>
    <row r="1117" spans="1:9" ht="15" customHeight="1" x14ac:dyDescent="0.25">
      <c r="A1117" s="132" t="s">
        <v>250</v>
      </c>
      <c r="B1117" s="132" t="s">
        <v>8</v>
      </c>
      <c r="C1117" s="132">
        <v>36</v>
      </c>
      <c r="D1117" s="132" t="str">
        <f t="shared" si="80"/>
        <v>Female BAG Motor 36</v>
      </c>
      <c r="E1117" s="132">
        <v>5</v>
      </c>
      <c r="F1117" s="132">
        <v>4</v>
      </c>
      <c r="G1117" s="132">
        <v>0</v>
      </c>
      <c r="H1117" s="132">
        <v>0</v>
      </c>
      <c r="I1117" s="132">
        <v>1</v>
      </c>
    </row>
    <row r="1118" spans="1:9" ht="15" customHeight="1" x14ac:dyDescent="0.25">
      <c r="A1118" s="132" t="s">
        <v>250</v>
      </c>
      <c r="B1118" s="132" t="s">
        <v>8</v>
      </c>
      <c r="C1118" s="132">
        <v>40</v>
      </c>
      <c r="D1118" s="132" t="str">
        <f t="shared" si="80"/>
        <v>Female BAG Motor 40</v>
      </c>
      <c r="E1118" s="132">
        <v>5</v>
      </c>
      <c r="F1118" s="132">
        <v>4</v>
      </c>
      <c r="G1118" s="132">
        <v>0</v>
      </c>
      <c r="H1118" s="132">
        <v>0</v>
      </c>
      <c r="I1118" s="132">
        <v>1</v>
      </c>
    </row>
    <row r="1119" spans="1:9" ht="15" customHeight="1" x14ac:dyDescent="0.25">
      <c r="A1119" s="132" t="s">
        <v>250</v>
      </c>
      <c r="B1119" s="132" t="s">
        <v>8</v>
      </c>
      <c r="C1119" s="132">
        <v>45</v>
      </c>
      <c r="D1119" s="132" t="str">
        <f t="shared" si="80"/>
        <v>Female BAG Motor 45</v>
      </c>
      <c r="E1119" s="132">
        <v>5</v>
      </c>
      <c r="F1119" s="132">
        <v>3</v>
      </c>
      <c r="G1119" s="132">
        <v>0</v>
      </c>
      <c r="H1119" s="132">
        <v>0</v>
      </c>
      <c r="I1119" s="132">
        <v>1</v>
      </c>
    </row>
    <row r="1120" spans="1:9" ht="15" customHeight="1" x14ac:dyDescent="0.25">
      <c r="A1120" s="132" t="s">
        <v>250</v>
      </c>
      <c r="B1120" s="132" t="s">
        <v>8</v>
      </c>
      <c r="C1120" s="132">
        <v>49</v>
      </c>
      <c r="D1120" s="132" t="str">
        <f t="shared" si="80"/>
        <v>Female BAG Motor 49</v>
      </c>
      <c r="E1120" s="132">
        <v>5</v>
      </c>
      <c r="F1120" s="132">
        <v>3</v>
      </c>
      <c r="G1120" s="132">
        <v>0</v>
      </c>
      <c r="H1120" s="132">
        <v>0</v>
      </c>
      <c r="I1120" s="132">
        <v>1</v>
      </c>
    </row>
    <row r="1121" spans="1:9" ht="15" customHeight="1" x14ac:dyDescent="0.25">
      <c r="A1121" s="132" t="s">
        <v>250</v>
      </c>
      <c r="B1121" s="132" t="s">
        <v>8</v>
      </c>
      <c r="C1121" s="132">
        <v>50</v>
      </c>
      <c r="D1121" s="132" t="str">
        <f t="shared" si="80"/>
        <v>Female BAG Motor 50</v>
      </c>
      <c r="E1121" s="132">
        <v>5</v>
      </c>
      <c r="F1121" s="132">
        <v>3</v>
      </c>
      <c r="G1121" s="132">
        <v>0</v>
      </c>
      <c r="H1121" s="132">
        <v>0</v>
      </c>
      <c r="I1121" s="132">
        <v>1</v>
      </c>
    </row>
    <row r="1122" spans="1:9" ht="15" customHeight="1" x14ac:dyDescent="0.25">
      <c r="A1122" s="132" t="s">
        <v>250</v>
      </c>
      <c r="B1122" s="132" t="s">
        <v>8</v>
      </c>
      <c r="C1122" s="132">
        <v>63</v>
      </c>
      <c r="D1122" s="132" t="str">
        <f t="shared" si="80"/>
        <v>Female BAG Motor 63</v>
      </c>
      <c r="E1122" s="132">
        <v>4</v>
      </c>
      <c r="F1122" s="132">
        <v>1</v>
      </c>
      <c r="G1122" s="132">
        <v>0</v>
      </c>
      <c r="H1122" s="132">
        <v>0</v>
      </c>
      <c r="I1122" s="132">
        <v>1</v>
      </c>
    </row>
    <row r="1123" spans="1:9" ht="15" customHeight="1" x14ac:dyDescent="0.25">
      <c r="A1123" s="132" t="s">
        <v>250</v>
      </c>
      <c r="B1123" s="132" t="s">
        <v>8</v>
      </c>
      <c r="C1123" s="132">
        <v>70</v>
      </c>
      <c r="D1123" s="132" t="str">
        <f t="shared" si="80"/>
        <v>Female BAG Motor 70</v>
      </c>
      <c r="E1123" s="132">
        <v>4</v>
      </c>
      <c r="F1123" s="132">
        <v>1</v>
      </c>
      <c r="G1123" s="132">
        <v>0</v>
      </c>
      <c r="H1123" s="132">
        <v>0</v>
      </c>
      <c r="I1123" s="132">
        <v>1</v>
      </c>
    </row>
    <row r="1124" spans="1:9" ht="15" customHeight="1" x14ac:dyDescent="0.25">
      <c r="A1124" s="132" t="s">
        <v>250</v>
      </c>
      <c r="B1124" s="132" t="s">
        <v>8</v>
      </c>
      <c r="C1124" s="132">
        <v>81</v>
      </c>
      <c r="D1124" s="132" t="str">
        <f t="shared" si="80"/>
        <v>Female BAG Motor 81</v>
      </c>
      <c r="E1124" s="132">
        <v>3</v>
      </c>
      <c r="F1124" s="132">
        <v>1</v>
      </c>
      <c r="G1124" s="132">
        <v>0</v>
      </c>
      <c r="H1124" s="132">
        <v>0</v>
      </c>
      <c r="I1124" s="132">
        <v>1</v>
      </c>
    </row>
    <row r="1125" spans="1:9" ht="15" customHeight="1" x14ac:dyDescent="0.25">
      <c r="A1125" s="132" t="s">
        <v>250</v>
      </c>
      <c r="B1125" s="132" t="s">
        <v>8</v>
      </c>
      <c r="C1125" s="132">
        <v>90</v>
      </c>
      <c r="D1125" s="132" t="str">
        <f t="shared" si="80"/>
        <v>Female BAG Motor 90</v>
      </c>
      <c r="E1125" s="132">
        <v>3</v>
      </c>
      <c r="F1125" s="132">
        <v>1</v>
      </c>
      <c r="G1125" s="132">
        <v>0</v>
      </c>
      <c r="H1125" s="132">
        <v>0</v>
      </c>
      <c r="I1125" s="132">
        <v>0</v>
      </c>
    </row>
    <row r="1126" spans="1:9" ht="15" customHeight="1" x14ac:dyDescent="0.25">
      <c r="A1126" s="132" t="s">
        <v>250</v>
      </c>
      <c r="B1126" s="132" t="s">
        <v>8</v>
      </c>
      <c r="C1126" s="132">
        <v>100</v>
      </c>
      <c r="D1126" s="132" t="str">
        <f t="shared" si="80"/>
        <v>Female BAG Motor 100</v>
      </c>
      <c r="E1126" s="132">
        <v>3</v>
      </c>
      <c r="F1126" s="132">
        <v>1</v>
      </c>
      <c r="G1126" s="132">
        <v>0</v>
      </c>
      <c r="H1126" s="132">
        <v>0</v>
      </c>
      <c r="I1126" s="132">
        <v>0</v>
      </c>
    </row>
    <row r="1127" spans="1:9" ht="15" customHeight="1" x14ac:dyDescent="0.25">
      <c r="A1127" s="132" t="s">
        <v>250</v>
      </c>
      <c r="B1127" s="132" t="s">
        <v>256</v>
      </c>
      <c r="C1127" s="132">
        <v>-3</v>
      </c>
      <c r="D1127" s="132" t="str">
        <f t="shared" ref="D1127:D1132" si="81">A1127&amp;" "&amp;B1127&amp;" "&amp;C1127</f>
        <v>Female 775pro -3</v>
      </c>
      <c r="E1127" s="132">
        <v>1</v>
      </c>
      <c r="F1127" s="132">
        <v>1</v>
      </c>
      <c r="G1127" s="132">
        <v>1</v>
      </c>
      <c r="H1127" s="132">
        <v>0</v>
      </c>
      <c r="I1127" s="132">
        <v>1</v>
      </c>
    </row>
    <row r="1128" spans="1:9" ht="15" customHeight="1" x14ac:dyDescent="0.25">
      <c r="A1128" s="132" t="s">
        <v>250</v>
      </c>
      <c r="B1128" s="132" t="s">
        <v>256</v>
      </c>
      <c r="C1128" s="132">
        <v>-4</v>
      </c>
      <c r="D1128" s="132" t="str">
        <f t="shared" si="81"/>
        <v>Female 775pro -4</v>
      </c>
      <c r="E1128" s="132">
        <v>1</v>
      </c>
      <c r="F1128" s="132">
        <v>1</v>
      </c>
      <c r="G1128" s="132">
        <v>1</v>
      </c>
      <c r="H1128" s="132">
        <v>0</v>
      </c>
      <c r="I1128" s="132">
        <v>1</v>
      </c>
    </row>
    <row r="1129" spans="1:9" ht="15" customHeight="1" x14ac:dyDescent="0.25">
      <c r="A1129" s="132" t="s">
        <v>250</v>
      </c>
      <c r="B1129" s="132" t="s">
        <v>256</v>
      </c>
      <c r="C1129" s="132">
        <v>-5</v>
      </c>
      <c r="D1129" s="132" t="str">
        <f t="shared" si="81"/>
        <v>Female 775pro -5</v>
      </c>
      <c r="E1129" s="132">
        <v>1</v>
      </c>
      <c r="F1129" s="132">
        <v>1</v>
      </c>
      <c r="G1129" s="132">
        <v>1</v>
      </c>
      <c r="H1129" s="132">
        <v>0</v>
      </c>
      <c r="I1129" s="132">
        <v>1</v>
      </c>
    </row>
    <row r="1130" spans="1:9" ht="15" customHeight="1" x14ac:dyDescent="0.25">
      <c r="A1130" s="132" t="s">
        <v>250</v>
      </c>
      <c r="B1130" s="132" t="s">
        <v>256</v>
      </c>
      <c r="C1130" s="132">
        <v>-7</v>
      </c>
      <c r="D1130" s="132" t="str">
        <f t="shared" si="81"/>
        <v>Female 775pro -7</v>
      </c>
      <c r="E1130" s="132">
        <v>1</v>
      </c>
      <c r="F1130" s="132">
        <v>1</v>
      </c>
      <c r="G1130" s="132">
        <v>0</v>
      </c>
      <c r="H1130" s="132">
        <v>0</v>
      </c>
      <c r="I1130" s="132">
        <v>1</v>
      </c>
    </row>
    <row r="1131" spans="1:9" ht="15" customHeight="1" x14ac:dyDescent="0.25">
      <c r="A1131" s="132" t="s">
        <v>250</v>
      </c>
      <c r="B1131" s="132" t="s">
        <v>256</v>
      </c>
      <c r="C1131" s="132">
        <v>-9</v>
      </c>
      <c r="D1131" s="132" t="str">
        <f t="shared" si="81"/>
        <v>Female 775pro -9</v>
      </c>
      <c r="E1131" s="132">
        <v>1</v>
      </c>
      <c r="F1131" s="132">
        <v>1</v>
      </c>
      <c r="G1131" s="132">
        <v>0</v>
      </c>
      <c r="H1131" s="132">
        <v>0</v>
      </c>
      <c r="I1131" s="132">
        <v>1</v>
      </c>
    </row>
    <row r="1132" spans="1:9" ht="15" customHeight="1" x14ac:dyDescent="0.25">
      <c r="A1132" s="132" t="s">
        <v>250</v>
      </c>
      <c r="B1132" s="132" t="s">
        <v>256</v>
      </c>
      <c r="C1132" s="132">
        <v>-10</v>
      </c>
      <c r="D1132" s="132" t="str">
        <f t="shared" si="81"/>
        <v>Female 775pro -10</v>
      </c>
      <c r="E1132" s="132">
        <v>1</v>
      </c>
      <c r="F1132" s="132">
        <v>1</v>
      </c>
      <c r="G1132" s="132">
        <v>0</v>
      </c>
      <c r="H1132" s="132">
        <v>0</v>
      </c>
      <c r="I1132" s="132">
        <v>1</v>
      </c>
    </row>
    <row r="1133" spans="1:9" ht="15" customHeight="1" x14ac:dyDescent="0.25">
      <c r="A1133" s="132" t="s">
        <v>250</v>
      </c>
      <c r="B1133" s="132" t="s">
        <v>256</v>
      </c>
      <c r="C1133" s="132">
        <v>9</v>
      </c>
      <c r="D1133" s="132" t="str">
        <f t="shared" ref="D1133:D1153" si="82">A1133&amp;" "&amp;B1133&amp;" "&amp;C1133</f>
        <v>Female 775pro 9</v>
      </c>
      <c r="E1133" s="132">
        <v>10</v>
      </c>
      <c r="F1133" s="132">
        <v>7</v>
      </c>
      <c r="G1133" s="132">
        <v>0</v>
      </c>
      <c r="H1133" s="132">
        <v>0</v>
      </c>
      <c r="I1133" s="132">
        <v>5</v>
      </c>
    </row>
    <row r="1134" spans="1:9" ht="15" customHeight="1" x14ac:dyDescent="0.25">
      <c r="A1134" s="132" t="s">
        <v>250</v>
      </c>
      <c r="B1134" s="132" t="s">
        <v>256</v>
      </c>
      <c r="C1134" s="132">
        <v>12</v>
      </c>
      <c r="D1134" s="132" t="str">
        <f t="shared" si="82"/>
        <v>Female 775pro 12</v>
      </c>
      <c r="E1134" s="132">
        <v>10</v>
      </c>
      <c r="F1134" s="132">
        <v>5</v>
      </c>
      <c r="G1134" s="132">
        <v>0</v>
      </c>
      <c r="H1134" s="132">
        <v>0</v>
      </c>
      <c r="I1134" s="132">
        <v>4</v>
      </c>
    </row>
    <row r="1135" spans="1:9" ht="15" customHeight="1" x14ac:dyDescent="0.25">
      <c r="A1135" s="132" t="s">
        <v>250</v>
      </c>
      <c r="B1135" s="132" t="s">
        <v>256</v>
      </c>
      <c r="C1135" s="132">
        <v>15</v>
      </c>
      <c r="D1135" s="132" t="str">
        <f t="shared" si="82"/>
        <v>Female 775pro 15</v>
      </c>
      <c r="E1135" s="132">
        <v>9</v>
      </c>
      <c r="F1135" s="132">
        <v>5</v>
      </c>
      <c r="G1135" s="132">
        <v>0</v>
      </c>
      <c r="H1135" s="132">
        <v>0</v>
      </c>
      <c r="I1135" s="132">
        <v>3</v>
      </c>
    </row>
    <row r="1136" spans="1:9" ht="15" customHeight="1" x14ac:dyDescent="0.25">
      <c r="A1136" s="132" t="s">
        <v>250</v>
      </c>
      <c r="B1136" s="132" t="s">
        <v>256</v>
      </c>
      <c r="C1136" s="132">
        <v>16</v>
      </c>
      <c r="D1136" s="132" t="str">
        <f t="shared" si="82"/>
        <v>Female 775pro 16</v>
      </c>
      <c r="E1136" s="132">
        <v>7</v>
      </c>
      <c r="F1136" s="132">
        <v>5</v>
      </c>
      <c r="G1136" s="132">
        <v>0</v>
      </c>
      <c r="H1136" s="132">
        <v>0</v>
      </c>
      <c r="I1136" s="132">
        <v>3</v>
      </c>
    </row>
    <row r="1137" spans="1:9" ht="15" customHeight="1" x14ac:dyDescent="0.25">
      <c r="A1137" s="132" t="s">
        <v>250</v>
      </c>
      <c r="B1137" s="132" t="s">
        <v>256</v>
      </c>
      <c r="C1137" s="132">
        <v>20</v>
      </c>
      <c r="D1137" s="132" t="str">
        <f t="shared" si="82"/>
        <v>Female 775pro 20</v>
      </c>
      <c r="E1137" s="132">
        <v>5</v>
      </c>
      <c r="F1137" s="132">
        <v>5</v>
      </c>
      <c r="G1137" s="132">
        <v>0</v>
      </c>
      <c r="H1137" s="132">
        <v>0</v>
      </c>
      <c r="I1137" s="132">
        <v>1</v>
      </c>
    </row>
    <row r="1138" spans="1:9" ht="15" customHeight="1" x14ac:dyDescent="0.25">
      <c r="A1138" s="132" t="s">
        <v>250</v>
      </c>
      <c r="B1138" s="132" t="s">
        <v>256</v>
      </c>
      <c r="C1138" s="132">
        <v>21</v>
      </c>
      <c r="D1138" s="132" t="str">
        <f t="shared" si="82"/>
        <v>Female 775pro 21</v>
      </c>
      <c r="E1138" s="132">
        <v>5</v>
      </c>
      <c r="F1138" s="132">
        <v>5</v>
      </c>
      <c r="G1138" s="132">
        <v>0</v>
      </c>
      <c r="H1138" s="132">
        <v>0</v>
      </c>
      <c r="I1138" s="132">
        <v>1</v>
      </c>
    </row>
    <row r="1139" spans="1:9" ht="15" customHeight="1" x14ac:dyDescent="0.25">
      <c r="A1139" s="132" t="s">
        <v>250</v>
      </c>
      <c r="B1139" s="132" t="s">
        <v>256</v>
      </c>
      <c r="C1139" s="132">
        <v>25</v>
      </c>
      <c r="D1139" s="132" t="str">
        <f t="shared" si="82"/>
        <v>Female 775pro 25</v>
      </c>
      <c r="E1139" s="132">
        <v>5</v>
      </c>
      <c r="F1139" s="132">
        <v>4</v>
      </c>
      <c r="G1139" s="132">
        <v>0</v>
      </c>
      <c r="H1139" s="132">
        <v>0</v>
      </c>
      <c r="I1139" s="132">
        <v>1</v>
      </c>
    </row>
    <row r="1140" spans="1:9" ht="15" customHeight="1" x14ac:dyDescent="0.25">
      <c r="A1140" s="132" t="s">
        <v>250</v>
      </c>
      <c r="B1140" s="132" t="s">
        <v>256</v>
      </c>
      <c r="C1140" s="132">
        <v>27</v>
      </c>
      <c r="D1140" s="132" t="str">
        <f t="shared" si="82"/>
        <v>Female 775pro 27</v>
      </c>
      <c r="E1140" s="132">
        <v>5</v>
      </c>
      <c r="F1140" s="132">
        <v>4</v>
      </c>
      <c r="G1140" s="132">
        <v>0</v>
      </c>
      <c r="H1140" s="132">
        <v>0</v>
      </c>
      <c r="I1140" s="132">
        <v>1</v>
      </c>
    </row>
    <row r="1141" spans="1:9" ht="15" customHeight="1" x14ac:dyDescent="0.25">
      <c r="A1141" s="132" t="s">
        <v>250</v>
      </c>
      <c r="B1141" s="132" t="s">
        <v>256</v>
      </c>
      <c r="C1141" s="132">
        <v>28</v>
      </c>
      <c r="D1141" s="132" t="str">
        <f t="shared" si="82"/>
        <v>Female 775pro 28</v>
      </c>
      <c r="E1141" s="132">
        <v>5</v>
      </c>
      <c r="F1141" s="132">
        <v>3</v>
      </c>
      <c r="G1141" s="132">
        <v>0</v>
      </c>
      <c r="H1141" s="132">
        <v>0</v>
      </c>
      <c r="I1141" s="132">
        <v>1</v>
      </c>
    </row>
    <row r="1142" spans="1:9" ht="15" customHeight="1" x14ac:dyDescent="0.25">
      <c r="A1142" s="132" t="s">
        <v>250</v>
      </c>
      <c r="B1142" s="132" t="s">
        <v>256</v>
      </c>
      <c r="C1142" s="132">
        <v>30</v>
      </c>
      <c r="D1142" s="132" t="str">
        <f t="shared" si="82"/>
        <v>Female 775pro 30</v>
      </c>
      <c r="E1142" s="132">
        <v>5</v>
      </c>
      <c r="F1142" s="132">
        <v>3</v>
      </c>
      <c r="G1142" s="132">
        <v>0</v>
      </c>
      <c r="H1142" s="132">
        <v>0</v>
      </c>
      <c r="I1142" s="132">
        <v>1</v>
      </c>
    </row>
    <row r="1143" spans="1:9" ht="15" customHeight="1" x14ac:dyDescent="0.25">
      <c r="A1143" s="132" t="s">
        <v>250</v>
      </c>
      <c r="B1143" s="132" t="s">
        <v>256</v>
      </c>
      <c r="C1143" s="132">
        <v>35</v>
      </c>
      <c r="D1143" s="132" t="str">
        <f t="shared" si="82"/>
        <v>Female 775pro 35</v>
      </c>
      <c r="E1143" s="132">
        <v>5</v>
      </c>
      <c r="F1143" s="132">
        <v>3</v>
      </c>
      <c r="G1143" s="132">
        <v>0</v>
      </c>
      <c r="H1143" s="132">
        <v>0</v>
      </c>
      <c r="I1143" s="132">
        <v>1</v>
      </c>
    </row>
    <row r="1144" spans="1:9" ht="15" customHeight="1" x14ac:dyDescent="0.25">
      <c r="A1144" s="132" t="s">
        <v>250</v>
      </c>
      <c r="B1144" s="132" t="s">
        <v>256</v>
      </c>
      <c r="C1144" s="132">
        <v>36</v>
      </c>
      <c r="D1144" s="132" t="str">
        <f t="shared" si="82"/>
        <v>Female 775pro 36</v>
      </c>
      <c r="E1144" s="132">
        <v>5</v>
      </c>
      <c r="F1144" s="132">
        <v>3</v>
      </c>
      <c r="G1144" s="132">
        <v>0</v>
      </c>
      <c r="H1144" s="132">
        <v>0</v>
      </c>
      <c r="I1144" s="132">
        <v>1</v>
      </c>
    </row>
    <row r="1145" spans="1:9" ht="15" customHeight="1" x14ac:dyDescent="0.25">
      <c r="A1145" s="132" t="s">
        <v>250</v>
      </c>
      <c r="B1145" s="132" t="s">
        <v>256</v>
      </c>
      <c r="C1145" s="132">
        <v>40</v>
      </c>
      <c r="D1145" s="132" t="str">
        <f t="shared" si="82"/>
        <v>Female 775pro 40</v>
      </c>
      <c r="E1145" s="132">
        <v>5</v>
      </c>
      <c r="F1145" s="132">
        <v>1</v>
      </c>
      <c r="G1145" s="132">
        <v>0</v>
      </c>
      <c r="H1145" s="132">
        <v>0</v>
      </c>
      <c r="I1145" s="132">
        <v>1</v>
      </c>
    </row>
    <row r="1146" spans="1:9" ht="15" customHeight="1" x14ac:dyDescent="0.25">
      <c r="A1146" s="132" t="s">
        <v>250</v>
      </c>
      <c r="B1146" s="132" t="s">
        <v>256</v>
      </c>
      <c r="C1146" s="132">
        <v>45</v>
      </c>
      <c r="D1146" s="132" t="str">
        <f t="shared" si="82"/>
        <v>Female 775pro 45</v>
      </c>
      <c r="E1146" s="132">
        <v>4</v>
      </c>
      <c r="F1146" s="132">
        <v>1</v>
      </c>
      <c r="G1146" s="132">
        <v>0</v>
      </c>
      <c r="H1146" s="132">
        <v>0</v>
      </c>
      <c r="I1146" s="132">
        <v>1</v>
      </c>
    </row>
    <row r="1147" spans="1:9" ht="15" customHeight="1" x14ac:dyDescent="0.25">
      <c r="A1147" s="132" t="s">
        <v>250</v>
      </c>
      <c r="B1147" s="132" t="s">
        <v>256</v>
      </c>
      <c r="C1147" s="132">
        <v>49</v>
      </c>
      <c r="D1147" s="132" t="str">
        <f t="shared" si="82"/>
        <v>Female 775pro 49</v>
      </c>
      <c r="E1147" s="132">
        <v>4</v>
      </c>
      <c r="F1147" s="132">
        <v>1</v>
      </c>
      <c r="G1147" s="132">
        <v>0</v>
      </c>
      <c r="H1147" s="132">
        <v>0</v>
      </c>
      <c r="I1147" s="132">
        <v>1</v>
      </c>
    </row>
    <row r="1148" spans="1:9" ht="15" customHeight="1" x14ac:dyDescent="0.25">
      <c r="A1148" s="132" t="s">
        <v>250</v>
      </c>
      <c r="B1148" s="132" t="s">
        <v>256</v>
      </c>
      <c r="C1148" s="132">
        <v>50</v>
      </c>
      <c r="D1148" s="132" t="str">
        <f t="shared" si="82"/>
        <v>Female 775pro 50</v>
      </c>
      <c r="E1148" s="132">
        <v>4</v>
      </c>
      <c r="F1148" s="132">
        <v>1</v>
      </c>
      <c r="G1148" s="132">
        <v>0</v>
      </c>
      <c r="H1148" s="132">
        <v>0</v>
      </c>
      <c r="I1148" s="132">
        <v>0</v>
      </c>
    </row>
    <row r="1149" spans="1:9" ht="15" customHeight="1" x14ac:dyDescent="0.25">
      <c r="A1149" s="132" t="s">
        <v>250</v>
      </c>
      <c r="B1149" s="132" t="s">
        <v>256</v>
      </c>
      <c r="C1149" s="132">
        <v>63</v>
      </c>
      <c r="D1149" s="132" t="str">
        <f t="shared" si="82"/>
        <v>Female 775pro 63</v>
      </c>
      <c r="E1149" s="132">
        <v>3</v>
      </c>
      <c r="F1149" s="132">
        <v>1</v>
      </c>
      <c r="G1149" s="132">
        <v>0</v>
      </c>
      <c r="H1149" s="132">
        <v>0</v>
      </c>
      <c r="I1149" s="132">
        <v>0</v>
      </c>
    </row>
    <row r="1150" spans="1:9" ht="15" customHeight="1" x14ac:dyDescent="0.25">
      <c r="A1150" s="132" t="s">
        <v>250</v>
      </c>
      <c r="B1150" s="132" t="s">
        <v>256</v>
      </c>
      <c r="C1150" s="132">
        <v>70</v>
      </c>
      <c r="D1150" s="132" t="str">
        <f t="shared" si="82"/>
        <v>Female 775pro 70</v>
      </c>
      <c r="E1150" s="132">
        <v>3</v>
      </c>
      <c r="F1150" s="132">
        <v>0</v>
      </c>
      <c r="G1150" s="132">
        <v>0</v>
      </c>
      <c r="H1150" s="132">
        <v>0</v>
      </c>
      <c r="I1150" s="132">
        <v>0</v>
      </c>
    </row>
    <row r="1151" spans="1:9" ht="15" customHeight="1" x14ac:dyDescent="0.25">
      <c r="A1151" s="132" t="s">
        <v>250</v>
      </c>
      <c r="B1151" s="132" t="s">
        <v>256</v>
      </c>
      <c r="C1151" s="132">
        <v>81</v>
      </c>
      <c r="D1151" s="132" t="str">
        <f t="shared" si="82"/>
        <v>Female 775pro 81</v>
      </c>
      <c r="E1151" s="132">
        <v>1</v>
      </c>
      <c r="F1151" s="132">
        <v>0</v>
      </c>
      <c r="G1151" s="132">
        <v>0</v>
      </c>
      <c r="H1151" s="132">
        <v>0</v>
      </c>
      <c r="I1151" s="132">
        <v>0</v>
      </c>
    </row>
    <row r="1152" spans="1:9" ht="15" customHeight="1" x14ac:dyDescent="0.25">
      <c r="A1152" s="132" t="s">
        <v>250</v>
      </c>
      <c r="B1152" s="132" t="s">
        <v>256</v>
      </c>
      <c r="C1152" s="132">
        <v>90</v>
      </c>
      <c r="D1152" s="132" t="str">
        <f t="shared" si="82"/>
        <v>Female 775pro 90</v>
      </c>
      <c r="E1152" s="132">
        <v>1</v>
      </c>
      <c r="F1152" s="132">
        <v>0</v>
      </c>
      <c r="G1152" s="132">
        <v>0</v>
      </c>
      <c r="H1152" s="132">
        <v>0</v>
      </c>
      <c r="I1152" s="132">
        <v>0</v>
      </c>
    </row>
    <row r="1153" spans="1:9" ht="15" customHeight="1" x14ac:dyDescent="0.25">
      <c r="A1153" s="132" t="s">
        <v>250</v>
      </c>
      <c r="B1153" s="132" t="s">
        <v>256</v>
      </c>
      <c r="C1153" s="132">
        <v>100</v>
      </c>
      <c r="D1153" s="132" t="str">
        <f t="shared" si="82"/>
        <v>Female 775pro 100</v>
      </c>
      <c r="E1153" s="132">
        <v>1</v>
      </c>
      <c r="F1153" s="132">
        <v>0</v>
      </c>
      <c r="G1153" s="132">
        <v>0</v>
      </c>
      <c r="H1153" s="132">
        <v>0</v>
      </c>
      <c r="I1153" s="132">
        <v>0</v>
      </c>
    </row>
    <row r="1154" spans="1:9" ht="15" customHeight="1" x14ac:dyDescent="0.25">
      <c r="A1154" s="132" t="s">
        <v>250</v>
      </c>
      <c r="B1154" s="132" t="s">
        <v>7</v>
      </c>
      <c r="C1154" s="132">
        <v>-3</v>
      </c>
      <c r="D1154" s="132" t="str">
        <f t="shared" ref="D1154:D1159" si="83">A1154&amp;" "&amp;B1154&amp;" "&amp;C1154</f>
        <v>Female Mini CIM -3</v>
      </c>
      <c r="E1154" s="132">
        <v>1</v>
      </c>
      <c r="I1154" s="132">
        <v>0</v>
      </c>
    </row>
    <row r="1155" spans="1:9" ht="15" customHeight="1" x14ac:dyDescent="0.25">
      <c r="A1155" s="132" t="s">
        <v>250</v>
      </c>
      <c r="B1155" s="132" t="s">
        <v>7</v>
      </c>
      <c r="C1155" s="132">
        <v>-4</v>
      </c>
      <c r="D1155" s="132" t="str">
        <f t="shared" si="83"/>
        <v>Female Mini CIM -4</v>
      </c>
      <c r="E1155" s="132">
        <v>1</v>
      </c>
      <c r="I1155" s="132">
        <v>0</v>
      </c>
    </row>
    <row r="1156" spans="1:9" ht="15" customHeight="1" x14ac:dyDescent="0.25">
      <c r="A1156" s="132" t="s">
        <v>250</v>
      </c>
      <c r="B1156" s="132" t="s">
        <v>7</v>
      </c>
      <c r="C1156" s="132">
        <v>-5</v>
      </c>
      <c r="D1156" s="132" t="str">
        <f t="shared" si="83"/>
        <v>Female Mini CIM -5</v>
      </c>
      <c r="E1156" s="132">
        <v>1</v>
      </c>
      <c r="I1156" s="132">
        <v>0</v>
      </c>
    </row>
    <row r="1157" spans="1:9" ht="15" customHeight="1" x14ac:dyDescent="0.25">
      <c r="A1157" s="132" t="s">
        <v>250</v>
      </c>
      <c r="B1157" s="132" t="s">
        <v>7</v>
      </c>
      <c r="C1157" s="132">
        <v>-7</v>
      </c>
      <c r="D1157" s="132" t="str">
        <f t="shared" si="83"/>
        <v>Female Mini CIM -7</v>
      </c>
      <c r="E1157" s="132">
        <v>1</v>
      </c>
      <c r="I1157" s="132">
        <v>0</v>
      </c>
    </row>
    <row r="1158" spans="1:9" ht="15" customHeight="1" x14ac:dyDescent="0.25">
      <c r="A1158" s="132" t="s">
        <v>250</v>
      </c>
      <c r="B1158" s="132" t="s">
        <v>7</v>
      </c>
      <c r="C1158" s="132">
        <v>-9</v>
      </c>
      <c r="D1158" s="132" t="str">
        <f t="shared" si="83"/>
        <v>Female Mini CIM -9</v>
      </c>
      <c r="E1158" s="132">
        <v>1</v>
      </c>
      <c r="I1158" s="132">
        <v>0</v>
      </c>
    </row>
    <row r="1159" spans="1:9" ht="15" customHeight="1" x14ac:dyDescent="0.25">
      <c r="A1159" s="132" t="s">
        <v>250</v>
      </c>
      <c r="B1159" s="132" t="s">
        <v>7</v>
      </c>
      <c r="C1159" s="132">
        <v>-10</v>
      </c>
      <c r="D1159" s="132" t="str">
        <f t="shared" si="83"/>
        <v>Female Mini CIM -10</v>
      </c>
      <c r="E1159" s="132">
        <v>1</v>
      </c>
      <c r="I1159" s="132">
        <v>0</v>
      </c>
    </row>
    <row r="1160" spans="1:9" ht="15" customHeight="1" x14ac:dyDescent="0.25">
      <c r="A1160" s="132" t="s">
        <v>250</v>
      </c>
      <c r="B1160" s="132" t="s">
        <v>7</v>
      </c>
      <c r="C1160" s="132">
        <v>9</v>
      </c>
      <c r="D1160" s="132" t="str">
        <f t="shared" ref="D1160:D1180" si="84">A1160&amp;" "&amp;B1160&amp;" "&amp;C1160</f>
        <v>Female Mini CIM 9</v>
      </c>
      <c r="E1160" s="132">
        <v>7</v>
      </c>
      <c r="I1160" s="132">
        <v>0</v>
      </c>
    </row>
    <row r="1161" spans="1:9" ht="15" customHeight="1" x14ac:dyDescent="0.25">
      <c r="A1161" s="132" t="s">
        <v>250</v>
      </c>
      <c r="B1161" s="132" t="s">
        <v>7</v>
      </c>
      <c r="C1161" s="132">
        <v>12</v>
      </c>
      <c r="D1161" s="132" t="str">
        <f t="shared" si="84"/>
        <v>Female Mini CIM 12</v>
      </c>
      <c r="E1161" s="132">
        <v>5</v>
      </c>
      <c r="I1161" s="132">
        <v>0</v>
      </c>
    </row>
    <row r="1162" spans="1:9" ht="15" customHeight="1" x14ac:dyDescent="0.25">
      <c r="A1162" s="132" t="s">
        <v>250</v>
      </c>
      <c r="B1162" s="132" t="s">
        <v>7</v>
      </c>
      <c r="C1162" s="132">
        <v>15</v>
      </c>
      <c r="D1162" s="132" t="str">
        <f t="shared" si="84"/>
        <v>Female Mini CIM 15</v>
      </c>
      <c r="E1162" s="132">
        <v>5</v>
      </c>
      <c r="I1162" s="132">
        <v>0</v>
      </c>
    </row>
    <row r="1163" spans="1:9" ht="15" customHeight="1" x14ac:dyDescent="0.25">
      <c r="A1163" s="132" t="s">
        <v>250</v>
      </c>
      <c r="B1163" s="132" t="s">
        <v>7</v>
      </c>
      <c r="C1163" s="132">
        <v>16</v>
      </c>
      <c r="D1163" s="132" t="str">
        <f t="shared" si="84"/>
        <v>Female Mini CIM 16</v>
      </c>
      <c r="E1163" s="132">
        <v>5</v>
      </c>
      <c r="I1163" s="132">
        <v>0</v>
      </c>
    </row>
    <row r="1164" spans="1:9" ht="15" customHeight="1" x14ac:dyDescent="0.25">
      <c r="A1164" s="132" t="s">
        <v>250</v>
      </c>
      <c r="B1164" s="132" t="s">
        <v>7</v>
      </c>
      <c r="C1164" s="132">
        <v>20</v>
      </c>
      <c r="D1164" s="132" t="str">
        <f t="shared" si="84"/>
        <v>Female Mini CIM 20</v>
      </c>
      <c r="E1164" s="132">
        <v>5</v>
      </c>
      <c r="I1164" s="132">
        <v>0</v>
      </c>
    </row>
    <row r="1165" spans="1:9" ht="15" customHeight="1" x14ac:dyDescent="0.25">
      <c r="A1165" s="132" t="s">
        <v>250</v>
      </c>
      <c r="B1165" s="132" t="s">
        <v>7</v>
      </c>
      <c r="C1165" s="132">
        <v>21</v>
      </c>
      <c r="D1165" s="132" t="str">
        <f t="shared" si="84"/>
        <v>Female Mini CIM 21</v>
      </c>
      <c r="E1165" s="132">
        <v>5</v>
      </c>
      <c r="I1165" s="132">
        <v>0</v>
      </c>
    </row>
    <row r="1166" spans="1:9" ht="15" customHeight="1" x14ac:dyDescent="0.25">
      <c r="A1166" s="132" t="s">
        <v>250</v>
      </c>
      <c r="B1166" s="132" t="s">
        <v>7</v>
      </c>
      <c r="C1166" s="132">
        <v>25</v>
      </c>
      <c r="D1166" s="132" t="str">
        <f t="shared" si="84"/>
        <v>Female Mini CIM 25</v>
      </c>
      <c r="E1166" s="132">
        <v>4</v>
      </c>
      <c r="I1166" s="132">
        <v>0</v>
      </c>
    </row>
    <row r="1167" spans="1:9" ht="15" customHeight="1" x14ac:dyDescent="0.25">
      <c r="A1167" s="132" t="s">
        <v>250</v>
      </c>
      <c r="B1167" s="132" t="s">
        <v>7</v>
      </c>
      <c r="C1167" s="132">
        <v>27</v>
      </c>
      <c r="D1167" s="132" t="str">
        <f t="shared" si="84"/>
        <v>Female Mini CIM 27</v>
      </c>
      <c r="E1167" s="132">
        <v>4</v>
      </c>
      <c r="I1167" s="132">
        <v>0</v>
      </c>
    </row>
    <row r="1168" spans="1:9" ht="15" customHeight="1" x14ac:dyDescent="0.25">
      <c r="A1168" s="132" t="s">
        <v>250</v>
      </c>
      <c r="B1168" s="132" t="s">
        <v>7</v>
      </c>
      <c r="C1168" s="132">
        <v>28</v>
      </c>
      <c r="D1168" s="132" t="str">
        <f t="shared" si="84"/>
        <v>Female Mini CIM 28</v>
      </c>
      <c r="E1168" s="132">
        <v>3</v>
      </c>
      <c r="I1168" s="132">
        <v>0</v>
      </c>
    </row>
    <row r="1169" spans="1:9" ht="15" customHeight="1" x14ac:dyDescent="0.25">
      <c r="A1169" s="132" t="s">
        <v>250</v>
      </c>
      <c r="B1169" s="132" t="s">
        <v>7</v>
      </c>
      <c r="C1169" s="132">
        <v>30</v>
      </c>
      <c r="D1169" s="132" t="str">
        <f t="shared" si="84"/>
        <v>Female Mini CIM 30</v>
      </c>
      <c r="E1169" s="132">
        <v>3</v>
      </c>
      <c r="I1169" s="132">
        <v>0</v>
      </c>
    </row>
    <row r="1170" spans="1:9" ht="15" customHeight="1" x14ac:dyDescent="0.25">
      <c r="A1170" s="132" t="s">
        <v>250</v>
      </c>
      <c r="B1170" s="132" t="s">
        <v>7</v>
      </c>
      <c r="C1170" s="132">
        <v>35</v>
      </c>
      <c r="D1170" s="132" t="str">
        <f t="shared" si="84"/>
        <v>Female Mini CIM 35</v>
      </c>
      <c r="E1170" s="132">
        <v>3</v>
      </c>
      <c r="I1170" s="132">
        <v>0</v>
      </c>
    </row>
    <row r="1171" spans="1:9" ht="15" customHeight="1" x14ac:dyDescent="0.25">
      <c r="A1171" s="132" t="s">
        <v>250</v>
      </c>
      <c r="B1171" s="132" t="s">
        <v>7</v>
      </c>
      <c r="C1171" s="132">
        <v>36</v>
      </c>
      <c r="D1171" s="132" t="str">
        <f t="shared" si="84"/>
        <v>Female Mini CIM 36</v>
      </c>
      <c r="E1171" s="132">
        <v>3</v>
      </c>
      <c r="I1171" s="132">
        <v>0</v>
      </c>
    </row>
    <row r="1172" spans="1:9" ht="15" customHeight="1" x14ac:dyDescent="0.25">
      <c r="A1172" s="132" t="s">
        <v>250</v>
      </c>
      <c r="B1172" s="132" t="s">
        <v>7</v>
      </c>
      <c r="C1172" s="132">
        <v>40</v>
      </c>
      <c r="D1172" s="132" t="str">
        <f t="shared" si="84"/>
        <v>Female Mini CIM 40</v>
      </c>
      <c r="E1172" s="132">
        <v>1</v>
      </c>
      <c r="I1172" s="132">
        <v>0</v>
      </c>
    </row>
    <row r="1173" spans="1:9" ht="15" customHeight="1" x14ac:dyDescent="0.25">
      <c r="A1173" s="132" t="s">
        <v>250</v>
      </c>
      <c r="B1173" s="132" t="s">
        <v>7</v>
      </c>
      <c r="C1173" s="132">
        <v>45</v>
      </c>
      <c r="D1173" s="132" t="str">
        <f t="shared" si="84"/>
        <v>Female Mini CIM 45</v>
      </c>
      <c r="E1173" s="132">
        <v>1</v>
      </c>
      <c r="I1173" s="132">
        <v>0</v>
      </c>
    </row>
    <row r="1174" spans="1:9" ht="15" customHeight="1" x14ac:dyDescent="0.25">
      <c r="A1174" s="132" t="s">
        <v>250</v>
      </c>
      <c r="B1174" s="132" t="s">
        <v>7</v>
      </c>
      <c r="C1174" s="132">
        <v>49</v>
      </c>
      <c r="D1174" s="132" t="str">
        <f t="shared" si="84"/>
        <v>Female Mini CIM 49</v>
      </c>
      <c r="E1174" s="132">
        <v>1</v>
      </c>
      <c r="I1174" s="132">
        <v>0</v>
      </c>
    </row>
    <row r="1175" spans="1:9" ht="15" customHeight="1" x14ac:dyDescent="0.25">
      <c r="A1175" s="132" t="s">
        <v>250</v>
      </c>
      <c r="B1175" s="132" t="s">
        <v>7</v>
      </c>
      <c r="C1175" s="132">
        <v>50</v>
      </c>
      <c r="D1175" s="132" t="str">
        <f t="shared" si="84"/>
        <v>Female Mini CIM 50</v>
      </c>
      <c r="E1175" s="132">
        <v>1</v>
      </c>
      <c r="I1175" s="132">
        <v>0</v>
      </c>
    </row>
    <row r="1176" spans="1:9" ht="15" customHeight="1" x14ac:dyDescent="0.25">
      <c r="A1176" s="132" t="s">
        <v>250</v>
      </c>
      <c r="B1176" s="132" t="s">
        <v>7</v>
      </c>
      <c r="C1176" s="132">
        <v>63</v>
      </c>
      <c r="D1176" s="132" t="str">
        <f t="shared" si="84"/>
        <v>Female Mini CIM 63</v>
      </c>
      <c r="E1176" s="132">
        <v>1</v>
      </c>
      <c r="I1176" s="132">
        <v>0</v>
      </c>
    </row>
    <row r="1177" spans="1:9" ht="15" customHeight="1" x14ac:dyDescent="0.25">
      <c r="A1177" s="132" t="s">
        <v>250</v>
      </c>
      <c r="B1177" s="132" t="s">
        <v>7</v>
      </c>
      <c r="C1177" s="132">
        <v>70</v>
      </c>
      <c r="D1177" s="132" t="str">
        <f t="shared" si="84"/>
        <v>Female Mini CIM 70</v>
      </c>
      <c r="E1177" s="132">
        <v>0</v>
      </c>
      <c r="I1177" s="132">
        <v>0</v>
      </c>
    </row>
    <row r="1178" spans="1:9" ht="15" customHeight="1" x14ac:dyDescent="0.25">
      <c r="A1178" s="132" t="s">
        <v>250</v>
      </c>
      <c r="B1178" s="132" t="s">
        <v>7</v>
      </c>
      <c r="C1178" s="132">
        <v>81</v>
      </c>
      <c r="D1178" s="132" t="str">
        <f t="shared" si="84"/>
        <v>Female Mini CIM 81</v>
      </c>
      <c r="E1178" s="132">
        <v>0</v>
      </c>
      <c r="I1178" s="132">
        <v>0</v>
      </c>
    </row>
    <row r="1179" spans="1:9" ht="15" customHeight="1" x14ac:dyDescent="0.25">
      <c r="A1179" s="132" t="s">
        <v>250</v>
      </c>
      <c r="B1179" s="132" t="s">
        <v>7</v>
      </c>
      <c r="C1179" s="132">
        <v>90</v>
      </c>
      <c r="D1179" s="132" t="str">
        <f t="shared" si="84"/>
        <v>Female Mini CIM 90</v>
      </c>
      <c r="E1179" s="132">
        <v>0</v>
      </c>
      <c r="I1179" s="132">
        <v>0</v>
      </c>
    </row>
    <row r="1180" spans="1:9" ht="15" customHeight="1" x14ac:dyDescent="0.25">
      <c r="A1180" s="132" t="s">
        <v>250</v>
      </c>
      <c r="B1180" s="132" t="s">
        <v>7</v>
      </c>
      <c r="C1180" s="132">
        <v>100</v>
      </c>
      <c r="D1180" s="132" t="str">
        <f t="shared" si="84"/>
        <v>Female Mini CIM 100</v>
      </c>
      <c r="E1180" s="132">
        <v>0</v>
      </c>
      <c r="I1180" s="132">
        <v>0</v>
      </c>
    </row>
    <row r="1181" spans="1:9" ht="15" customHeight="1" x14ac:dyDescent="0.25">
      <c r="A1181" s="132" t="s">
        <v>250</v>
      </c>
      <c r="B1181" s="132" t="s">
        <v>6</v>
      </c>
      <c r="C1181" s="132">
        <v>-3</v>
      </c>
      <c r="D1181" s="132" t="str">
        <f t="shared" ref="D1181:D1186" si="85">A1181&amp;" "&amp;B1181&amp;" "&amp;C1181</f>
        <v>Female CIM -3</v>
      </c>
      <c r="E1181" s="132">
        <v>1</v>
      </c>
      <c r="I1181" s="132">
        <v>0</v>
      </c>
    </row>
    <row r="1182" spans="1:9" ht="15" customHeight="1" x14ac:dyDescent="0.25">
      <c r="A1182" s="132" t="s">
        <v>250</v>
      </c>
      <c r="B1182" s="132" t="s">
        <v>6</v>
      </c>
      <c r="C1182" s="132">
        <v>-4</v>
      </c>
      <c r="D1182" s="132" t="str">
        <f t="shared" si="85"/>
        <v>Female CIM -4</v>
      </c>
      <c r="E1182" s="132">
        <v>1</v>
      </c>
      <c r="I1182" s="132">
        <v>0</v>
      </c>
    </row>
    <row r="1183" spans="1:9" ht="15" customHeight="1" x14ac:dyDescent="0.25">
      <c r="A1183" s="132" t="s">
        <v>250</v>
      </c>
      <c r="B1183" s="132" t="s">
        <v>6</v>
      </c>
      <c r="C1183" s="132">
        <v>-5</v>
      </c>
      <c r="D1183" s="132" t="str">
        <f t="shared" si="85"/>
        <v>Female CIM -5</v>
      </c>
      <c r="E1183" s="132">
        <v>1</v>
      </c>
      <c r="I1183" s="132">
        <v>0</v>
      </c>
    </row>
    <row r="1184" spans="1:9" ht="15" customHeight="1" x14ac:dyDescent="0.25">
      <c r="A1184" s="132" t="s">
        <v>250</v>
      </c>
      <c r="B1184" s="132" t="s">
        <v>6</v>
      </c>
      <c r="C1184" s="132">
        <v>-7</v>
      </c>
      <c r="D1184" s="132" t="str">
        <f t="shared" si="85"/>
        <v>Female CIM -7</v>
      </c>
      <c r="E1184" s="132">
        <v>1</v>
      </c>
      <c r="I1184" s="132">
        <v>0</v>
      </c>
    </row>
    <row r="1185" spans="1:9" ht="15" customHeight="1" x14ac:dyDescent="0.25">
      <c r="A1185" s="132" t="s">
        <v>250</v>
      </c>
      <c r="B1185" s="132" t="s">
        <v>6</v>
      </c>
      <c r="C1185" s="132">
        <v>-9</v>
      </c>
      <c r="D1185" s="132" t="str">
        <f t="shared" si="85"/>
        <v>Female CIM -9</v>
      </c>
      <c r="E1185" s="132">
        <v>1</v>
      </c>
      <c r="I1185" s="132">
        <v>0</v>
      </c>
    </row>
    <row r="1186" spans="1:9" ht="15" customHeight="1" x14ac:dyDescent="0.25">
      <c r="A1186" s="132" t="s">
        <v>250</v>
      </c>
      <c r="B1186" s="132" t="s">
        <v>6</v>
      </c>
      <c r="C1186" s="132">
        <v>-10</v>
      </c>
      <c r="D1186" s="132" t="str">
        <f t="shared" si="85"/>
        <v>Female CIM -10</v>
      </c>
      <c r="E1186" s="132">
        <v>1</v>
      </c>
      <c r="I1186" s="132">
        <v>0</v>
      </c>
    </row>
    <row r="1187" spans="1:9" ht="15" customHeight="1" x14ac:dyDescent="0.25">
      <c r="A1187" s="132" t="s">
        <v>250</v>
      </c>
      <c r="B1187" s="132" t="s">
        <v>6</v>
      </c>
      <c r="C1187" s="132">
        <v>9</v>
      </c>
      <c r="D1187" s="132" t="str">
        <f t="shared" ref="D1187:D1207" si="86">A1187&amp;" "&amp;B1187&amp;" "&amp;C1187</f>
        <v>Female CIM 9</v>
      </c>
      <c r="E1187" s="132">
        <v>5</v>
      </c>
      <c r="I1187" s="132">
        <v>0</v>
      </c>
    </row>
    <row r="1188" spans="1:9" ht="15" customHeight="1" x14ac:dyDescent="0.25">
      <c r="A1188" s="132" t="s">
        <v>250</v>
      </c>
      <c r="B1188" s="132" t="s">
        <v>6</v>
      </c>
      <c r="C1188" s="132">
        <v>12</v>
      </c>
      <c r="D1188" s="132" t="str">
        <f t="shared" si="86"/>
        <v>Female CIM 12</v>
      </c>
      <c r="E1188" s="132">
        <v>5</v>
      </c>
      <c r="I1188" s="132">
        <v>0</v>
      </c>
    </row>
    <row r="1189" spans="1:9" ht="15" customHeight="1" x14ac:dyDescent="0.25">
      <c r="A1189" s="132" t="s">
        <v>250</v>
      </c>
      <c r="B1189" s="132" t="s">
        <v>6</v>
      </c>
      <c r="C1189" s="132">
        <v>15</v>
      </c>
      <c r="D1189" s="132" t="str">
        <f t="shared" si="86"/>
        <v>Female CIM 15</v>
      </c>
      <c r="E1189" s="132">
        <v>4</v>
      </c>
      <c r="I1189" s="132">
        <v>0</v>
      </c>
    </row>
    <row r="1190" spans="1:9" ht="15" customHeight="1" x14ac:dyDescent="0.25">
      <c r="A1190" s="132" t="s">
        <v>250</v>
      </c>
      <c r="B1190" s="132" t="s">
        <v>6</v>
      </c>
      <c r="C1190" s="132">
        <v>16</v>
      </c>
      <c r="D1190" s="132" t="str">
        <f t="shared" si="86"/>
        <v>Female CIM 16</v>
      </c>
      <c r="E1190" s="132">
        <v>4</v>
      </c>
      <c r="I1190" s="132">
        <v>0</v>
      </c>
    </row>
    <row r="1191" spans="1:9" ht="15" customHeight="1" x14ac:dyDescent="0.25">
      <c r="A1191" s="132" t="s">
        <v>250</v>
      </c>
      <c r="B1191" s="132" t="s">
        <v>6</v>
      </c>
      <c r="C1191" s="132">
        <v>20</v>
      </c>
      <c r="D1191" s="132" t="str">
        <f t="shared" si="86"/>
        <v>Female CIM 20</v>
      </c>
      <c r="E1191" s="132">
        <v>3</v>
      </c>
      <c r="I1191" s="132">
        <v>0</v>
      </c>
    </row>
    <row r="1192" spans="1:9" ht="15" customHeight="1" x14ac:dyDescent="0.25">
      <c r="A1192" s="132" t="s">
        <v>250</v>
      </c>
      <c r="B1192" s="132" t="s">
        <v>6</v>
      </c>
      <c r="C1192" s="132">
        <v>21</v>
      </c>
      <c r="D1192" s="132" t="str">
        <f t="shared" si="86"/>
        <v>Female CIM 21</v>
      </c>
      <c r="E1192" s="132">
        <v>3</v>
      </c>
      <c r="I1192" s="132">
        <v>0</v>
      </c>
    </row>
    <row r="1193" spans="1:9" ht="15" customHeight="1" x14ac:dyDescent="0.25">
      <c r="A1193" s="132" t="s">
        <v>250</v>
      </c>
      <c r="B1193" s="132" t="s">
        <v>6</v>
      </c>
      <c r="C1193" s="132">
        <v>25</v>
      </c>
      <c r="D1193" s="132" t="str">
        <f t="shared" si="86"/>
        <v>Female CIM 25</v>
      </c>
      <c r="E1193" s="132">
        <v>1</v>
      </c>
      <c r="I1193" s="132">
        <v>0</v>
      </c>
    </row>
    <row r="1194" spans="1:9" ht="15" customHeight="1" x14ac:dyDescent="0.25">
      <c r="A1194" s="132" t="s">
        <v>250</v>
      </c>
      <c r="B1194" s="132" t="s">
        <v>6</v>
      </c>
      <c r="C1194" s="132">
        <v>27</v>
      </c>
      <c r="D1194" s="132" t="str">
        <f t="shared" si="86"/>
        <v>Female CIM 27</v>
      </c>
      <c r="E1194" s="132">
        <v>1</v>
      </c>
      <c r="I1194" s="132">
        <v>0</v>
      </c>
    </row>
    <row r="1195" spans="1:9" ht="15" customHeight="1" x14ac:dyDescent="0.25">
      <c r="A1195" s="132" t="s">
        <v>250</v>
      </c>
      <c r="B1195" s="132" t="s">
        <v>6</v>
      </c>
      <c r="C1195" s="132">
        <v>28</v>
      </c>
      <c r="D1195" s="132" t="str">
        <f t="shared" si="86"/>
        <v>Female CIM 28</v>
      </c>
      <c r="E1195" s="132">
        <v>1</v>
      </c>
      <c r="I1195" s="132">
        <v>0</v>
      </c>
    </row>
    <row r="1196" spans="1:9" ht="15" customHeight="1" x14ac:dyDescent="0.25">
      <c r="A1196" s="132" t="s">
        <v>250</v>
      </c>
      <c r="B1196" s="132" t="s">
        <v>6</v>
      </c>
      <c r="C1196" s="132">
        <v>30</v>
      </c>
      <c r="D1196" s="132" t="str">
        <f t="shared" si="86"/>
        <v>Female CIM 30</v>
      </c>
      <c r="E1196" s="132">
        <v>1</v>
      </c>
      <c r="I1196" s="132">
        <v>0</v>
      </c>
    </row>
    <row r="1197" spans="1:9" ht="15" customHeight="1" x14ac:dyDescent="0.25">
      <c r="A1197" s="132" t="s">
        <v>250</v>
      </c>
      <c r="B1197" s="132" t="s">
        <v>6</v>
      </c>
      <c r="C1197" s="132">
        <v>35</v>
      </c>
      <c r="D1197" s="132" t="str">
        <f t="shared" si="86"/>
        <v>Female CIM 35</v>
      </c>
      <c r="E1197" s="132">
        <v>1</v>
      </c>
      <c r="I1197" s="132">
        <v>0</v>
      </c>
    </row>
    <row r="1198" spans="1:9" ht="15" customHeight="1" x14ac:dyDescent="0.25">
      <c r="A1198" s="132" t="s">
        <v>250</v>
      </c>
      <c r="B1198" s="132" t="s">
        <v>6</v>
      </c>
      <c r="C1198" s="132">
        <v>36</v>
      </c>
      <c r="D1198" s="132" t="str">
        <f t="shared" si="86"/>
        <v>Female CIM 36</v>
      </c>
      <c r="E1198" s="132">
        <v>1</v>
      </c>
      <c r="I1198" s="132">
        <v>0</v>
      </c>
    </row>
    <row r="1199" spans="1:9" ht="15" customHeight="1" x14ac:dyDescent="0.25">
      <c r="A1199" s="132" t="s">
        <v>250</v>
      </c>
      <c r="B1199" s="132" t="s">
        <v>6</v>
      </c>
      <c r="C1199" s="132">
        <v>40</v>
      </c>
      <c r="D1199" s="132" t="str">
        <f t="shared" si="86"/>
        <v>Female CIM 40</v>
      </c>
      <c r="E1199" s="132">
        <v>1</v>
      </c>
      <c r="I1199" s="132">
        <v>0</v>
      </c>
    </row>
    <row r="1200" spans="1:9" ht="15" customHeight="1" x14ac:dyDescent="0.25">
      <c r="A1200" s="132" t="s">
        <v>250</v>
      </c>
      <c r="B1200" s="132" t="s">
        <v>6</v>
      </c>
      <c r="C1200" s="132">
        <v>45</v>
      </c>
      <c r="D1200" s="132" t="str">
        <f t="shared" si="86"/>
        <v>Female CIM 45</v>
      </c>
      <c r="E1200" s="132">
        <v>1</v>
      </c>
      <c r="I1200" s="132">
        <v>0</v>
      </c>
    </row>
    <row r="1201" spans="1:9" ht="15" customHeight="1" x14ac:dyDescent="0.25">
      <c r="A1201" s="132" t="s">
        <v>250</v>
      </c>
      <c r="B1201" s="132" t="s">
        <v>6</v>
      </c>
      <c r="C1201" s="132">
        <v>49</v>
      </c>
      <c r="D1201" s="132" t="str">
        <f t="shared" si="86"/>
        <v>Female CIM 49</v>
      </c>
      <c r="E1201" s="132">
        <v>0</v>
      </c>
      <c r="I1201" s="132">
        <v>0</v>
      </c>
    </row>
    <row r="1202" spans="1:9" ht="15" customHeight="1" x14ac:dyDescent="0.25">
      <c r="A1202" s="132" t="s">
        <v>250</v>
      </c>
      <c r="B1202" s="132" t="s">
        <v>6</v>
      </c>
      <c r="C1202" s="132">
        <v>50</v>
      </c>
      <c r="D1202" s="132" t="str">
        <f t="shared" si="86"/>
        <v>Female CIM 50</v>
      </c>
      <c r="E1202" s="132">
        <v>1</v>
      </c>
      <c r="I1202" s="132">
        <v>0</v>
      </c>
    </row>
    <row r="1203" spans="1:9" ht="15" customHeight="1" x14ac:dyDescent="0.25">
      <c r="A1203" s="132" t="s">
        <v>250</v>
      </c>
      <c r="B1203" s="132" t="s">
        <v>6</v>
      </c>
      <c r="C1203" s="132">
        <v>63</v>
      </c>
      <c r="D1203" s="132" t="str">
        <f t="shared" si="86"/>
        <v>Female CIM 63</v>
      </c>
      <c r="E1203" s="132">
        <v>0</v>
      </c>
      <c r="I1203" s="132">
        <v>0</v>
      </c>
    </row>
    <row r="1204" spans="1:9" ht="15" customHeight="1" x14ac:dyDescent="0.25">
      <c r="A1204" s="132" t="s">
        <v>250</v>
      </c>
      <c r="B1204" s="132" t="s">
        <v>6</v>
      </c>
      <c r="C1204" s="132">
        <v>70</v>
      </c>
      <c r="D1204" s="132" t="str">
        <f t="shared" si="86"/>
        <v>Female CIM 70</v>
      </c>
      <c r="E1204" s="132">
        <v>0</v>
      </c>
      <c r="I1204" s="132">
        <v>0</v>
      </c>
    </row>
    <row r="1205" spans="1:9" ht="15" customHeight="1" x14ac:dyDescent="0.25">
      <c r="A1205" s="132" t="s">
        <v>250</v>
      </c>
      <c r="B1205" s="132" t="s">
        <v>6</v>
      </c>
      <c r="C1205" s="132">
        <v>81</v>
      </c>
      <c r="D1205" s="132" t="str">
        <f t="shared" si="86"/>
        <v>Female CIM 81</v>
      </c>
      <c r="E1205" s="132">
        <v>0</v>
      </c>
      <c r="I1205" s="132">
        <v>0</v>
      </c>
    </row>
    <row r="1206" spans="1:9" ht="15" customHeight="1" x14ac:dyDescent="0.25">
      <c r="A1206" s="132" t="s">
        <v>250</v>
      </c>
      <c r="B1206" s="132" t="s">
        <v>6</v>
      </c>
      <c r="C1206" s="132">
        <v>90</v>
      </c>
      <c r="D1206" s="132" t="str">
        <f t="shared" si="86"/>
        <v>Female CIM 90</v>
      </c>
      <c r="E1206" s="132">
        <v>0</v>
      </c>
      <c r="I1206" s="132">
        <v>0</v>
      </c>
    </row>
    <row r="1207" spans="1:9" ht="15" customHeight="1" x14ac:dyDescent="0.25">
      <c r="A1207" s="132" t="s">
        <v>250</v>
      </c>
      <c r="B1207" s="132" t="s">
        <v>6</v>
      </c>
      <c r="C1207" s="132">
        <v>100</v>
      </c>
      <c r="D1207" s="132" t="str">
        <f t="shared" si="86"/>
        <v>Female CIM 100</v>
      </c>
      <c r="E1207" s="132">
        <v>0</v>
      </c>
      <c r="I1207" s="132">
        <v>0</v>
      </c>
    </row>
    <row r="1208" spans="1:9" ht="15" customHeight="1" x14ac:dyDescent="0.25">
      <c r="A1208" s="132" t="s">
        <v>250</v>
      </c>
      <c r="B1208" s="132" t="s">
        <v>9</v>
      </c>
      <c r="C1208" s="132">
        <v>-3</v>
      </c>
      <c r="D1208" s="132" t="str">
        <f t="shared" ref="D1208:D1213" si="87">A1208&amp;" "&amp;B1208&amp;" "&amp;C1208</f>
        <v>Female NEO -3</v>
      </c>
      <c r="E1208" s="132">
        <v>1</v>
      </c>
      <c r="I1208" s="132">
        <v>0</v>
      </c>
    </row>
    <row r="1209" spans="1:9" ht="15" customHeight="1" x14ac:dyDescent="0.25">
      <c r="A1209" s="132" t="s">
        <v>250</v>
      </c>
      <c r="B1209" s="132" t="s">
        <v>9</v>
      </c>
      <c r="C1209" s="132">
        <v>-4</v>
      </c>
      <c r="D1209" s="132" t="str">
        <f t="shared" si="87"/>
        <v>Female NEO -4</v>
      </c>
      <c r="E1209" s="132">
        <v>1</v>
      </c>
      <c r="I1209" s="132">
        <v>0</v>
      </c>
    </row>
    <row r="1210" spans="1:9" ht="15" customHeight="1" x14ac:dyDescent="0.25">
      <c r="A1210" s="132" t="s">
        <v>250</v>
      </c>
      <c r="B1210" s="132" t="s">
        <v>9</v>
      </c>
      <c r="C1210" s="132">
        <v>-5</v>
      </c>
      <c r="D1210" s="132" t="str">
        <f t="shared" si="87"/>
        <v>Female NEO -5</v>
      </c>
      <c r="E1210" s="132">
        <v>1</v>
      </c>
      <c r="I1210" s="132">
        <v>0</v>
      </c>
    </row>
    <row r="1211" spans="1:9" ht="15" customHeight="1" x14ac:dyDescent="0.25">
      <c r="A1211" s="132" t="s">
        <v>250</v>
      </c>
      <c r="B1211" s="132" t="s">
        <v>9</v>
      </c>
      <c r="C1211" s="132">
        <v>-7</v>
      </c>
      <c r="D1211" s="132" t="str">
        <f t="shared" si="87"/>
        <v>Female NEO -7</v>
      </c>
      <c r="E1211" s="132">
        <v>1</v>
      </c>
      <c r="I1211" s="132">
        <v>0</v>
      </c>
    </row>
    <row r="1212" spans="1:9" ht="15" customHeight="1" x14ac:dyDescent="0.25">
      <c r="A1212" s="132" t="s">
        <v>250</v>
      </c>
      <c r="B1212" s="132" t="s">
        <v>9</v>
      </c>
      <c r="C1212" s="132">
        <v>-9</v>
      </c>
      <c r="D1212" s="132" t="str">
        <f t="shared" si="87"/>
        <v>Female NEO -9</v>
      </c>
      <c r="E1212" s="132">
        <v>1</v>
      </c>
      <c r="I1212" s="132">
        <v>0</v>
      </c>
    </row>
    <row r="1213" spans="1:9" ht="15" customHeight="1" x14ac:dyDescent="0.25">
      <c r="A1213" s="132" t="s">
        <v>250</v>
      </c>
      <c r="B1213" s="132" t="s">
        <v>9</v>
      </c>
      <c r="C1213" s="132">
        <v>-10</v>
      </c>
      <c r="D1213" s="132" t="str">
        <f t="shared" si="87"/>
        <v>Female NEO -10</v>
      </c>
      <c r="E1213" s="132">
        <v>1</v>
      </c>
      <c r="I1213" s="132">
        <v>0</v>
      </c>
    </row>
    <row r="1214" spans="1:9" ht="15" customHeight="1" x14ac:dyDescent="0.25">
      <c r="A1214" s="132" t="s">
        <v>250</v>
      </c>
      <c r="B1214" s="132" t="s">
        <v>9</v>
      </c>
      <c r="C1214" s="132">
        <v>9</v>
      </c>
      <c r="D1214" s="132" t="str">
        <f t="shared" ref="D1214:D1234" si="88">A1214&amp;" "&amp;B1214&amp;" "&amp;C1214</f>
        <v>Female NEO 9</v>
      </c>
      <c r="E1214" s="132">
        <v>5</v>
      </c>
      <c r="I1214" s="132">
        <v>0</v>
      </c>
    </row>
    <row r="1215" spans="1:9" ht="15" customHeight="1" x14ac:dyDescent="0.25">
      <c r="A1215" s="132" t="s">
        <v>250</v>
      </c>
      <c r="B1215" s="132" t="s">
        <v>9</v>
      </c>
      <c r="C1215" s="132">
        <v>12</v>
      </c>
      <c r="D1215" s="132" t="str">
        <f t="shared" si="88"/>
        <v>Female NEO 12</v>
      </c>
      <c r="E1215" s="132">
        <v>3</v>
      </c>
      <c r="I1215" s="132">
        <v>0</v>
      </c>
    </row>
    <row r="1216" spans="1:9" ht="15" customHeight="1" x14ac:dyDescent="0.25">
      <c r="A1216" s="132" t="s">
        <v>250</v>
      </c>
      <c r="B1216" s="132" t="s">
        <v>9</v>
      </c>
      <c r="C1216" s="132">
        <v>15</v>
      </c>
      <c r="D1216" s="132" t="str">
        <f t="shared" si="88"/>
        <v>Female NEO 15</v>
      </c>
      <c r="E1216" s="132">
        <v>3</v>
      </c>
      <c r="I1216" s="132">
        <v>0</v>
      </c>
    </row>
    <row r="1217" spans="1:9" ht="15" customHeight="1" x14ac:dyDescent="0.25">
      <c r="A1217" s="132" t="s">
        <v>250</v>
      </c>
      <c r="B1217" s="132" t="s">
        <v>9</v>
      </c>
      <c r="C1217" s="132">
        <v>16</v>
      </c>
      <c r="D1217" s="132" t="str">
        <f t="shared" si="88"/>
        <v>Female NEO 16</v>
      </c>
      <c r="E1217" s="132">
        <v>1</v>
      </c>
      <c r="I1217" s="132">
        <v>0</v>
      </c>
    </row>
    <row r="1218" spans="1:9" ht="15" customHeight="1" x14ac:dyDescent="0.25">
      <c r="A1218" s="132" t="s">
        <v>250</v>
      </c>
      <c r="B1218" s="132" t="s">
        <v>9</v>
      </c>
      <c r="C1218" s="132">
        <v>20</v>
      </c>
      <c r="D1218" s="132" t="str">
        <f t="shared" si="88"/>
        <v>Female NEO 20</v>
      </c>
      <c r="E1218" s="132">
        <v>1</v>
      </c>
      <c r="I1218" s="132">
        <v>0</v>
      </c>
    </row>
    <row r="1219" spans="1:9" ht="15" customHeight="1" x14ac:dyDescent="0.25">
      <c r="A1219" s="132" t="s">
        <v>250</v>
      </c>
      <c r="B1219" s="132" t="s">
        <v>9</v>
      </c>
      <c r="C1219" s="132">
        <v>21</v>
      </c>
      <c r="D1219" s="132" t="str">
        <f t="shared" si="88"/>
        <v>Female NEO 21</v>
      </c>
      <c r="E1219" s="132">
        <v>1</v>
      </c>
      <c r="I1219" s="132">
        <v>0</v>
      </c>
    </row>
    <row r="1220" spans="1:9" ht="15" customHeight="1" x14ac:dyDescent="0.25">
      <c r="A1220" s="132" t="s">
        <v>250</v>
      </c>
      <c r="B1220" s="132" t="s">
        <v>9</v>
      </c>
      <c r="C1220" s="132">
        <v>25</v>
      </c>
      <c r="D1220" s="132" t="str">
        <f t="shared" si="88"/>
        <v>Female NEO 25</v>
      </c>
      <c r="E1220" s="132">
        <v>1</v>
      </c>
      <c r="I1220" s="132">
        <v>0</v>
      </c>
    </row>
    <row r="1221" spans="1:9" ht="15" customHeight="1" x14ac:dyDescent="0.25">
      <c r="A1221" s="132" t="s">
        <v>250</v>
      </c>
      <c r="B1221" s="132" t="s">
        <v>9</v>
      </c>
      <c r="C1221" s="132">
        <v>27</v>
      </c>
      <c r="D1221" s="132" t="str">
        <f t="shared" si="88"/>
        <v>Female NEO 27</v>
      </c>
      <c r="E1221" s="132">
        <v>1</v>
      </c>
      <c r="I1221" s="132">
        <v>0</v>
      </c>
    </row>
    <row r="1222" spans="1:9" ht="15" customHeight="1" x14ac:dyDescent="0.25">
      <c r="A1222" s="132" t="s">
        <v>250</v>
      </c>
      <c r="B1222" s="132" t="s">
        <v>9</v>
      </c>
      <c r="C1222" s="132">
        <v>28</v>
      </c>
      <c r="D1222" s="132" t="str">
        <f t="shared" si="88"/>
        <v>Female NEO 28</v>
      </c>
      <c r="E1222" s="132">
        <v>1</v>
      </c>
      <c r="I1222" s="132">
        <v>0</v>
      </c>
    </row>
    <row r="1223" spans="1:9" ht="15" customHeight="1" x14ac:dyDescent="0.25">
      <c r="A1223" s="132" t="s">
        <v>250</v>
      </c>
      <c r="B1223" s="132" t="s">
        <v>9</v>
      </c>
      <c r="C1223" s="132">
        <v>30</v>
      </c>
      <c r="D1223" s="132" t="str">
        <f t="shared" si="88"/>
        <v>Female NEO 30</v>
      </c>
      <c r="E1223" s="132">
        <v>1</v>
      </c>
      <c r="I1223" s="132">
        <v>0</v>
      </c>
    </row>
    <row r="1224" spans="1:9" ht="15" customHeight="1" x14ac:dyDescent="0.25">
      <c r="A1224" s="132" t="s">
        <v>250</v>
      </c>
      <c r="B1224" s="132" t="s">
        <v>9</v>
      </c>
      <c r="C1224" s="132">
        <v>35</v>
      </c>
      <c r="D1224" s="132" t="str">
        <f t="shared" si="88"/>
        <v>Female NEO 35</v>
      </c>
      <c r="E1224" s="132">
        <v>1</v>
      </c>
      <c r="I1224" s="132">
        <v>0</v>
      </c>
    </row>
    <row r="1225" spans="1:9" ht="15" customHeight="1" x14ac:dyDescent="0.25">
      <c r="A1225" s="132" t="s">
        <v>250</v>
      </c>
      <c r="B1225" s="132" t="s">
        <v>9</v>
      </c>
      <c r="C1225" s="132">
        <v>36</v>
      </c>
      <c r="D1225" s="132" t="str">
        <f t="shared" si="88"/>
        <v>Female NEO 36</v>
      </c>
      <c r="E1225" s="132">
        <v>1</v>
      </c>
      <c r="I1225" s="132">
        <v>0</v>
      </c>
    </row>
    <row r="1226" spans="1:9" ht="15" customHeight="1" x14ac:dyDescent="0.25">
      <c r="A1226" s="132" t="s">
        <v>250</v>
      </c>
      <c r="B1226" s="132" t="s">
        <v>9</v>
      </c>
      <c r="C1226" s="132">
        <v>40</v>
      </c>
      <c r="D1226" s="132" t="str">
        <f t="shared" si="88"/>
        <v>Female NEO 40</v>
      </c>
      <c r="E1226" s="132">
        <v>1</v>
      </c>
      <c r="I1226" s="132">
        <v>0</v>
      </c>
    </row>
    <row r="1227" spans="1:9" ht="15" customHeight="1" x14ac:dyDescent="0.25">
      <c r="A1227" s="132" t="s">
        <v>250</v>
      </c>
      <c r="B1227" s="132" t="s">
        <v>9</v>
      </c>
      <c r="C1227" s="132">
        <v>45</v>
      </c>
      <c r="D1227" s="132" t="str">
        <f t="shared" si="88"/>
        <v>Female NEO 45</v>
      </c>
      <c r="E1227" s="132">
        <v>1</v>
      </c>
      <c r="I1227" s="132">
        <v>0</v>
      </c>
    </row>
    <row r="1228" spans="1:9" ht="15" customHeight="1" x14ac:dyDescent="0.25">
      <c r="A1228" s="132" t="s">
        <v>250</v>
      </c>
      <c r="B1228" s="132" t="s">
        <v>9</v>
      </c>
      <c r="C1228" s="132">
        <v>49</v>
      </c>
      <c r="D1228" s="132" t="str">
        <f t="shared" si="88"/>
        <v>Female NEO 49</v>
      </c>
      <c r="E1228" s="132">
        <v>0</v>
      </c>
      <c r="I1228" s="132">
        <v>0</v>
      </c>
    </row>
    <row r="1229" spans="1:9" ht="15" customHeight="1" x14ac:dyDescent="0.25">
      <c r="A1229" s="132" t="s">
        <v>250</v>
      </c>
      <c r="B1229" s="132" t="s">
        <v>9</v>
      </c>
      <c r="C1229" s="132">
        <v>50</v>
      </c>
      <c r="D1229" s="132" t="str">
        <f t="shared" si="88"/>
        <v>Female NEO 50</v>
      </c>
      <c r="E1229" s="132">
        <v>0</v>
      </c>
      <c r="I1229" s="132">
        <v>0</v>
      </c>
    </row>
    <row r="1230" spans="1:9" ht="15" customHeight="1" x14ac:dyDescent="0.25">
      <c r="A1230" s="132" t="s">
        <v>250</v>
      </c>
      <c r="B1230" s="132" t="s">
        <v>9</v>
      </c>
      <c r="C1230" s="132">
        <v>63</v>
      </c>
      <c r="D1230" s="132" t="str">
        <f t="shared" si="88"/>
        <v>Female NEO 63</v>
      </c>
      <c r="E1230" s="132">
        <v>0</v>
      </c>
      <c r="I1230" s="132">
        <v>0</v>
      </c>
    </row>
    <row r="1231" spans="1:9" ht="15" customHeight="1" x14ac:dyDescent="0.25">
      <c r="A1231" s="132" t="s">
        <v>250</v>
      </c>
      <c r="B1231" s="132" t="s">
        <v>9</v>
      </c>
      <c r="C1231" s="132">
        <v>70</v>
      </c>
      <c r="D1231" s="132" t="str">
        <f t="shared" si="88"/>
        <v>Female NEO 70</v>
      </c>
      <c r="E1231" s="132">
        <v>0</v>
      </c>
      <c r="I1231" s="132">
        <v>0</v>
      </c>
    </row>
    <row r="1232" spans="1:9" ht="15" customHeight="1" x14ac:dyDescent="0.25">
      <c r="A1232" s="132" t="s">
        <v>250</v>
      </c>
      <c r="B1232" s="132" t="s">
        <v>9</v>
      </c>
      <c r="C1232" s="132">
        <v>81</v>
      </c>
      <c r="D1232" s="132" t="str">
        <f t="shared" si="88"/>
        <v>Female NEO 81</v>
      </c>
      <c r="E1232" s="132">
        <v>0</v>
      </c>
      <c r="I1232" s="132">
        <v>0</v>
      </c>
    </row>
    <row r="1233" spans="1:9" ht="15" customHeight="1" x14ac:dyDescent="0.25">
      <c r="A1233" s="132" t="s">
        <v>250</v>
      </c>
      <c r="B1233" s="132" t="s">
        <v>9</v>
      </c>
      <c r="C1233" s="132">
        <v>90</v>
      </c>
      <c r="D1233" s="132" t="str">
        <f t="shared" si="88"/>
        <v>Female NEO 90</v>
      </c>
      <c r="E1233" s="132">
        <v>0</v>
      </c>
      <c r="I1233" s="132">
        <v>0</v>
      </c>
    </row>
    <row r="1234" spans="1:9" ht="15" customHeight="1" x14ac:dyDescent="0.25">
      <c r="A1234" s="132" t="s">
        <v>250</v>
      </c>
      <c r="B1234" s="132" t="s">
        <v>9</v>
      </c>
      <c r="C1234" s="132">
        <v>100</v>
      </c>
      <c r="D1234" s="132" t="str">
        <f t="shared" si="88"/>
        <v>Female NEO 100</v>
      </c>
      <c r="E1234" s="132">
        <v>0</v>
      </c>
      <c r="I1234" s="132">
        <v>0</v>
      </c>
    </row>
    <row r="1235" spans="1:9" ht="15" customHeight="1" x14ac:dyDescent="0.25">
      <c r="A1235" s="132" t="s">
        <v>250</v>
      </c>
      <c r="B1235" s="132" t="s">
        <v>334</v>
      </c>
      <c r="C1235" s="132">
        <v>-3</v>
      </c>
      <c r="D1235" s="132" t="str">
        <f t="shared" ref="D1235:D1240" si="89">A1235&amp;" "&amp;B1235&amp;" "&amp;C1235</f>
        <v>Female Falcon 500 -3</v>
      </c>
      <c r="E1235" s="132">
        <v>1</v>
      </c>
      <c r="I1235" s="132">
        <v>0</v>
      </c>
    </row>
    <row r="1236" spans="1:9" ht="15" customHeight="1" x14ac:dyDescent="0.25">
      <c r="A1236" s="132" t="s">
        <v>250</v>
      </c>
      <c r="B1236" s="132" t="s">
        <v>334</v>
      </c>
      <c r="C1236" s="132">
        <v>-4</v>
      </c>
      <c r="D1236" s="132" t="str">
        <f t="shared" si="89"/>
        <v>Female Falcon 500 -4</v>
      </c>
      <c r="E1236" s="132">
        <v>1</v>
      </c>
      <c r="I1236" s="132">
        <v>0</v>
      </c>
    </row>
    <row r="1237" spans="1:9" ht="15" customHeight="1" x14ac:dyDescent="0.25">
      <c r="A1237" s="132" t="s">
        <v>250</v>
      </c>
      <c r="B1237" s="132" t="s">
        <v>334</v>
      </c>
      <c r="C1237" s="132">
        <v>-5</v>
      </c>
      <c r="D1237" s="132" t="str">
        <f t="shared" si="89"/>
        <v>Female Falcon 500 -5</v>
      </c>
      <c r="E1237" s="132">
        <v>1</v>
      </c>
      <c r="I1237" s="132">
        <v>0</v>
      </c>
    </row>
    <row r="1238" spans="1:9" ht="15" customHeight="1" x14ac:dyDescent="0.25">
      <c r="A1238" s="132" t="s">
        <v>250</v>
      </c>
      <c r="B1238" s="132" t="s">
        <v>334</v>
      </c>
      <c r="C1238" s="132">
        <v>-7</v>
      </c>
      <c r="D1238" s="132" t="str">
        <f t="shared" si="89"/>
        <v>Female Falcon 500 -7</v>
      </c>
      <c r="E1238" s="132">
        <v>1</v>
      </c>
      <c r="I1238" s="132">
        <v>0</v>
      </c>
    </row>
    <row r="1239" spans="1:9" ht="15" customHeight="1" x14ac:dyDescent="0.25">
      <c r="A1239" s="132" t="s">
        <v>250</v>
      </c>
      <c r="B1239" s="132" t="s">
        <v>334</v>
      </c>
      <c r="C1239" s="132">
        <v>-9</v>
      </c>
      <c r="D1239" s="132" t="str">
        <f t="shared" si="89"/>
        <v>Female Falcon 500 -9</v>
      </c>
      <c r="E1239" s="132">
        <v>1</v>
      </c>
      <c r="I1239" s="132">
        <v>0</v>
      </c>
    </row>
    <row r="1240" spans="1:9" ht="15" customHeight="1" x14ac:dyDescent="0.25">
      <c r="A1240" s="132" t="s">
        <v>250</v>
      </c>
      <c r="B1240" s="132" t="s">
        <v>334</v>
      </c>
      <c r="C1240" s="132">
        <v>-10</v>
      </c>
      <c r="D1240" s="132" t="str">
        <f t="shared" si="89"/>
        <v>Female Falcon 500 -10</v>
      </c>
      <c r="E1240" s="132">
        <v>1</v>
      </c>
      <c r="I1240" s="132">
        <v>0</v>
      </c>
    </row>
    <row r="1241" spans="1:9" ht="15" customHeight="1" x14ac:dyDescent="0.25">
      <c r="A1241" s="132" t="s">
        <v>250</v>
      </c>
      <c r="B1241" s="132" t="s">
        <v>334</v>
      </c>
      <c r="C1241" s="132">
        <v>9</v>
      </c>
      <c r="D1241" s="132" t="str">
        <f t="shared" ref="D1241:D1261" si="90">A1241&amp;" "&amp;B1241&amp;" "&amp;C1241</f>
        <v>Female Falcon 500 9</v>
      </c>
      <c r="E1241" s="132">
        <v>3</v>
      </c>
      <c r="I1241" s="132">
        <v>0</v>
      </c>
    </row>
    <row r="1242" spans="1:9" ht="15" customHeight="1" x14ac:dyDescent="0.25">
      <c r="A1242" s="132" t="s">
        <v>250</v>
      </c>
      <c r="B1242" s="132" t="s">
        <v>334</v>
      </c>
      <c r="C1242" s="132">
        <v>12</v>
      </c>
      <c r="D1242" s="132" t="str">
        <f t="shared" si="90"/>
        <v>Female Falcon 500 12</v>
      </c>
      <c r="E1242" s="132">
        <v>1</v>
      </c>
      <c r="I1242" s="132">
        <v>0</v>
      </c>
    </row>
    <row r="1243" spans="1:9" ht="15" customHeight="1" x14ac:dyDescent="0.25">
      <c r="A1243" s="132" t="s">
        <v>250</v>
      </c>
      <c r="B1243" s="132" t="s">
        <v>334</v>
      </c>
      <c r="C1243" s="132">
        <v>15</v>
      </c>
      <c r="D1243" s="132" t="str">
        <f t="shared" si="90"/>
        <v>Female Falcon 500 15</v>
      </c>
      <c r="E1243" s="132">
        <v>1</v>
      </c>
      <c r="I1243" s="132">
        <v>0</v>
      </c>
    </row>
    <row r="1244" spans="1:9" ht="15" customHeight="1" x14ac:dyDescent="0.25">
      <c r="A1244" s="132" t="s">
        <v>250</v>
      </c>
      <c r="B1244" s="132" t="s">
        <v>334</v>
      </c>
      <c r="C1244" s="132">
        <v>16</v>
      </c>
      <c r="D1244" s="132" t="str">
        <f t="shared" si="90"/>
        <v>Female Falcon 500 16</v>
      </c>
      <c r="E1244" s="132">
        <v>1</v>
      </c>
      <c r="I1244" s="132">
        <v>0</v>
      </c>
    </row>
    <row r="1245" spans="1:9" ht="15" customHeight="1" x14ac:dyDescent="0.25">
      <c r="A1245" s="132" t="s">
        <v>250</v>
      </c>
      <c r="B1245" s="132" t="s">
        <v>334</v>
      </c>
      <c r="C1245" s="132">
        <v>20</v>
      </c>
      <c r="D1245" s="132" t="str">
        <f t="shared" si="90"/>
        <v>Female Falcon 500 20</v>
      </c>
      <c r="E1245" s="132">
        <v>1</v>
      </c>
      <c r="I1245" s="132">
        <v>0</v>
      </c>
    </row>
    <row r="1246" spans="1:9" ht="15" customHeight="1" x14ac:dyDescent="0.25">
      <c r="A1246" s="132" t="s">
        <v>250</v>
      </c>
      <c r="B1246" s="132" t="s">
        <v>334</v>
      </c>
      <c r="C1246" s="132">
        <v>21</v>
      </c>
      <c r="D1246" s="132" t="str">
        <f t="shared" si="90"/>
        <v>Female Falcon 500 21</v>
      </c>
      <c r="E1246" s="132">
        <v>1</v>
      </c>
      <c r="I1246" s="132">
        <v>0</v>
      </c>
    </row>
    <row r="1247" spans="1:9" ht="15" customHeight="1" x14ac:dyDescent="0.25">
      <c r="A1247" s="132" t="s">
        <v>250</v>
      </c>
      <c r="B1247" s="132" t="s">
        <v>334</v>
      </c>
      <c r="C1247" s="132">
        <v>25</v>
      </c>
      <c r="D1247" s="132" t="str">
        <f t="shared" si="90"/>
        <v>Female Falcon 500 25</v>
      </c>
      <c r="E1247" s="132">
        <v>1</v>
      </c>
      <c r="I1247" s="132">
        <v>0</v>
      </c>
    </row>
    <row r="1248" spans="1:9" ht="15" customHeight="1" x14ac:dyDescent="0.25">
      <c r="A1248" s="132" t="s">
        <v>250</v>
      </c>
      <c r="B1248" s="132" t="s">
        <v>334</v>
      </c>
      <c r="C1248" s="132">
        <v>27</v>
      </c>
      <c r="D1248" s="132" t="str">
        <f t="shared" si="90"/>
        <v>Female Falcon 500 27</v>
      </c>
      <c r="E1248" s="132">
        <v>1</v>
      </c>
      <c r="I1248" s="132">
        <v>0</v>
      </c>
    </row>
    <row r="1249" spans="1:9" ht="15" customHeight="1" x14ac:dyDescent="0.25">
      <c r="A1249" s="132" t="s">
        <v>250</v>
      </c>
      <c r="B1249" s="132" t="s">
        <v>334</v>
      </c>
      <c r="C1249" s="132">
        <v>28</v>
      </c>
      <c r="D1249" s="132" t="str">
        <f t="shared" si="90"/>
        <v>Female Falcon 500 28</v>
      </c>
      <c r="E1249" s="132">
        <v>1</v>
      </c>
      <c r="I1249" s="132">
        <v>0</v>
      </c>
    </row>
    <row r="1250" spans="1:9" ht="15" customHeight="1" x14ac:dyDescent="0.25">
      <c r="A1250" s="132" t="s">
        <v>250</v>
      </c>
      <c r="B1250" s="132" t="s">
        <v>334</v>
      </c>
      <c r="C1250" s="132">
        <v>30</v>
      </c>
      <c r="D1250" s="132" t="str">
        <f t="shared" si="90"/>
        <v>Female Falcon 500 30</v>
      </c>
      <c r="E1250" s="132">
        <v>1</v>
      </c>
      <c r="I1250" s="132">
        <v>0</v>
      </c>
    </row>
    <row r="1251" spans="1:9" ht="15" customHeight="1" x14ac:dyDescent="0.25">
      <c r="A1251" s="132" t="s">
        <v>250</v>
      </c>
      <c r="B1251" s="132" t="s">
        <v>334</v>
      </c>
      <c r="C1251" s="132">
        <v>35</v>
      </c>
      <c r="D1251" s="132" t="str">
        <f t="shared" si="90"/>
        <v>Female Falcon 500 35</v>
      </c>
      <c r="E1251" s="132">
        <v>0</v>
      </c>
      <c r="I1251" s="132">
        <v>0</v>
      </c>
    </row>
    <row r="1252" spans="1:9" ht="15" customHeight="1" x14ac:dyDescent="0.25">
      <c r="A1252" s="132" t="s">
        <v>250</v>
      </c>
      <c r="B1252" s="132" t="s">
        <v>334</v>
      </c>
      <c r="C1252" s="132">
        <v>36</v>
      </c>
      <c r="D1252" s="132" t="str">
        <f t="shared" si="90"/>
        <v>Female Falcon 500 36</v>
      </c>
      <c r="E1252" s="132">
        <v>0</v>
      </c>
      <c r="I1252" s="132">
        <v>0</v>
      </c>
    </row>
    <row r="1253" spans="1:9" ht="15" customHeight="1" x14ac:dyDescent="0.25">
      <c r="A1253" s="132" t="s">
        <v>250</v>
      </c>
      <c r="B1253" s="132" t="s">
        <v>334</v>
      </c>
      <c r="C1253" s="132">
        <v>40</v>
      </c>
      <c r="D1253" s="132" t="str">
        <f t="shared" si="90"/>
        <v>Female Falcon 500 40</v>
      </c>
      <c r="E1253" s="132">
        <v>0</v>
      </c>
      <c r="I1253" s="132">
        <v>0</v>
      </c>
    </row>
    <row r="1254" spans="1:9" ht="15" customHeight="1" x14ac:dyDescent="0.25">
      <c r="A1254" s="132" t="s">
        <v>250</v>
      </c>
      <c r="B1254" s="132" t="s">
        <v>334</v>
      </c>
      <c r="C1254" s="132">
        <v>45</v>
      </c>
      <c r="D1254" s="132" t="str">
        <f t="shared" si="90"/>
        <v>Female Falcon 500 45</v>
      </c>
      <c r="E1254" s="132">
        <v>0</v>
      </c>
      <c r="I1254" s="132">
        <v>0</v>
      </c>
    </row>
    <row r="1255" spans="1:9" ht="15" customHeight="1" x14ac:dyDescent="0.25">
      <c r="A1255" s="132" t="s">
        <v>250</v>
      </c>
      <c r="B1255" s="132" t="s">
        <v>334</v>
      </c>
      <c r="C1255" s="132">
        <v>49</v>
      </c>
      <c r="D1255" s="132" t="str">
        <f t="shared" si="90"/>
        <v>Female Falcon 500 49</v>
      </c>
      <c r="E1255" s="132">
        <v>0</v>
      </c>
      <c r="I1255" s="132">
        <v>0</v>
      </c>
    </row>
    <row r="1256" spans="1:9" ht="15" customHeight="1" x14ac:dyDescent="0.25">
      <c r="A1256" s="132" t="s">
        <v>250</v>
      </c>
      <c r="B1256" s="132" t="s">
        <v>334</v>
      </c>
      <c r="C1256" s="132">
        <v>50</v>
      </c>
      <c r="D1256" s="132" t="str">
        <f t="shared" si="90"/>
        <v>Female Falcon 500 50</v>
      </c>
      <c r="E1256" s="132">
        <v>0</v>
      </c>
      <c r="I1256" s="132">
        <v>0</v>
      </c>
    </row>
    <row r="1257" spans="1:9" ht="15" customHeight="1" x14ac:dyDescent="0.25">
      <c r="A1257" s="132" t="s">
        <v>250</v>
      </c>
      <c r="B1257" s="132" t="s">
        <v>334</v>
      </c>
      <c r="C1257" s="132">
        <v>63</v>
      </c>
      <c r="D1257" s="132" t="str">
        <f t="shared" si="90"/>
        <v>Female Falcon 500 63</v>
      </c>
      <c r="E1257" s="132">
        <v>0</v>
      </c>
      <c r="I1257" s="132">
        <v>0</v>
      </c>
    </row>
    <row r="1258" spans="1:9" ht="15" customHeight="1" x14ac:dyDescent="0.25">
      <c r="A1258" s="132" t="s">
        <v>250</v>
      </c>
      <c r="B1258" s="132" t="s">
        <v>334</v>
      </c>
      <c r="C1258" s="132">
        <v>70</v>
      </c>
      <c r="D1258" s="132" t="str">
        <f t="shared" si="90"/>
        <v>Female Falcon 500 70</v>
      </c>
      <c r="E1258" s="132">
        <v>0</v>
      </c>
      <c r="I1258" s="132">
        <v>0</v>
      </c>
    </row>
    <row r="1259" spans="1:9" ht="15" customHeight="1" x14ac:dyDescent="0.25">
      <c r="A1259" s="132" t="s">
        <v>250</v>
      </c>
      <c r="B1259" s="132" t="s">
        <v>334</v>
      </c>
      <c r="C1259" s="132">
        <v>81</v>
      </c>
      <c r="D1259" s="132" t="str">
        <f t="shared" si="90"/>
        <v>Female Falcon 500 81</v>
      </c>
      <c r="E1259" s="132">
        <v>0</v>
      </c>
      <c r="I1259" s="132">
        <v>0</v>
      </c>
    </row>
    <row r="1260" spans="1:9" ht="15" customHeight="1" x14ac:dyDescent="0.25">
      <c r="A1260" s="132" t="s">
        <v>250</v>
      </c>
      <c r="B1260" s="132" t="s">
        <v>334</v>
      </c>
      <c r="C1260" s="132">
        <v>90</v>
      </c>
      <c r="D1260" s="132" t="str">
        <f t="shared" si="90"/>
        <v>Female Falcon 500 90</v>
      </c>
      <c r="E1260" s="132">
        <v>0</v>
      </c>
      <c r="I1260" s="132">
        <v>0</v>
      </c>
    </row>
    <row r="1261" spans="1:9" ht="15" customHeight="1" x14ac:dyDescent="0.25">
      <c r="A1261" s="132" t="s">
        <v>250</v>
      </c>
      <c r="B1261" s="132" t="s">
        <v>334</v>
      </c>
      <c r="C1261" s="132">
        <v>100</v>
      </c>
      <c r="D1261" s="132" t="str">
        <f t="shared" si="90"/>
        <v>Female Falcon 500 100</v>
      </c>
      <c r="E1261" s="132">
        <v>0</v>
      </c>
      <c r="I1261"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321</v>
      </c>
    </row>
    <row r="3" spans="2:14" s="133" customFormat="1" ht="14.25" customHeight="1" x14ac:dyDescent="0.3"/>
    <row r="4" spans="2:14" s="133" customFormat="1" ht="14.25" customHeight="1" x14ac:dyDescent="0.3">
      <c r="B4" s="8" t="b">
        <v>0</v>
      </c>
      <c r="C4" s="133" t="s">
        <v>0</v>
      </c>
    </row>
    <row r="5" spans="2:14" ht="18" customHeight="1" x14ac:dyDescent="0.3">
      <c r="H5" s="242" t="s">
        <v>322</v>
      </c>
      <c r="I5" s="243"/>
      <c r="K5" s="242" t="s">
        <v>323</v>
      </c>
      <c r="L5" s="243"/>
    </row>
    <row r="6" spans="2:14" ht="14.25" customHeight="1" x14ac:dyDescent="0.25">
      <c r="C6" s="141" t="s">
        <v>310</v>
      </c>
      <c r="D6" s="150" t="s">
        <v>256</v>
      </c>
      <c r="F6" s="244" t="s">
        <v>311</v>
      </c>
      <c r="H6" s="153" t="s">
        <v>312</v>
      </c>
      <c r="I6" s="154" t="s">
        <v>313</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312</v>
      </c>
      <c r="L6" s="154" t="s">
        <v>313</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326</v>
      </c>
    </row>
    <row r="7" spans="2:14" ht="14.25" customHeight="1" x14ac:dyDescent="0.25">
      <c r="C7" s="141" t="s">
        <v>314</v>
      </c>
      <c r="D7" s="150" t="s">
        <v>258</v>
      </c>
      <c r="E7" s="142">
        <f>CHOOSE(MATCH($D$7, {"None","DM Nyl 1:1","DM Nyl 3.75:1","DM Nyl 5.33:1","DM Al 1:1","DM Al 3.75:1","DM Al 5.33:1","Dual Motor"}, 0), 1, 2, 7.5, 10.67, 2, 7.5, 10.67, 2)</f>
        <v>1</v>
      </c>
      <c r="F7" s="245"/>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326</v>
      </c>
    </row>
    <row r="8" spans="2:14" ht="14.25" customHeight="1" x14ac:dyDescent="0.25">
      <c r="C8" s="141" t="s">
        <v>324</v>
      </c>
      <c r="D8" s="150" t="s">
        <v>303</v>
      </c>
      <c r="F8" s="245"/>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326</v>
      </c>
    </row>
    <row r="9" spans="2:14" ht="14.25" customHeight="1" x14ac:dyDescent="0.25">
      <c r="C9" s="141" t="s">
        <v>315</v>
      </c>
      <c r="D9" s="151" t="s">
        <v>268</v>
      </c>
      <c r="F9" s="245"/>
      <c r="H9" s="155">
        <f t="shared" si="0"/>
        <v>1</v>
      </c>
      <c r="I9" s="156" t="str">
        <f t="shared" si="1"/>
        <v>217-3102</v>
      </c>
      <c r="J9" s="142" t="str">
        <f t="shared" si="2"/>
        <v>217-2819,</v>
      </c>
      <c r="K9" s="155">
        <f t="shared" si="3"/>
        <v>1</v>
      </c>
      <c r="L9" s="156" t="str">
        <f t="shared" si="4"/>
        <v>217-3564</v>
      </c>
      <c r="M9" s="142" t="str">
        <f t="shared" si="5"/>
        <v>217-4649,217-5832,217-3102,217-5832,217-2819,</v>
      </c>
      <c r="N9" s="143" t="s">
        <v>326</v>
      </c>
    </row>
    <row r="10" spans="2:14" ht="14.25" customHeight="1" x14ac:dyDescent="0.25">
      <c r="C10" s="141" t="s">
        <v>316</v>
      </c>
      <c r="D10" s="151" t="s">
        <v>265</v>
      </c>
      <c r="F10" s="246"/>
      <c r="H10" s="155">
        <f t="shared" si="0"/>
        <v>1</v>
      </c>
      <c r="I10" s="156" t="str">
        <f t="shared" si="1"/>
        <v>217-2819</v>
      </c>
      <c r="J10" s="142" t="str">
        <f t="shared" si="2"/>
        <v/>
      </c>
      <c r="K10" s="155">
        <f t="shared" si="3"/>
        <v>1</v>
      </c>
      <c r="L10" s="156" t="str">
        <f t="shared" si="4"/>
        <v>217-4649</v>
      </c>
      <c r="M10" s="142" t="str">
        <f t="shared" si="5"/>
        <v>217-5832,217-3102,217-5832,217-2819,</v>
      </c>
      <c r="N10" s="143" t="s">
        <v>326</v>
      </c>
    </row>
    <row r="11" spans="2:14" ht="14.25" customHeight="1" x14ac:dyDescent="0.3">
      <c r="C11" s="141" t="s">
        <v>236</v>
      </c>
      <c r="D11" s="151" t="s">
        <v>258</v>
      </c>
      <c r="H11" s="155" t="str">
        <f t="shared" si="0"/>
        <v/>
      </c>
      <c r="I11" s="156" t="str">
        <f t="shared" si="1"/>
        <v/>
      </c>
      <c r="J11" s="142" t="str">
        <f t="shared" si="2"/>
        <v/>
      </c>
      <c r="K11" s="155">
        <f t="shared" si="3"/>
        <v>2</v>
      </c>
      <c r="L11" s="156" t="str">
        <f t="shared" si="4"/>
        <v>217-5832</v>
      </c>
      <c r="M11" s="142" t="str">
        <f t="shared" si="5"/>
        <v>217-3102,217-2819,</v>
      </c>
      <c r="N11" s="143" t="s">
        <v>326</v>
      </c>
    </row>
    <row r="12" spans="2:14" ht="14.25" customHeight="1" x14ac:dyDescent="0.25">
      <c r="C12" s="141" t="s">
        <v>304</v>
      </c>
      <c r="D12" s="150" t="s">
        <v>303</v>
      </c>
      <c r="F12" s="250" t="s">
        <v>344</v>
      </c>
      <c r="G12" s="144"/>
      <c r="H12" s="155" t="str">
        <f t="shared" si="0"/>
        <v/>
      </c>
      <c r="I12" s="156" t="str">
        <f t="shared" si="1"/>
        <v/>
      </c>
      <c r="J12" s="142" t="str">
        <f t="shared" si="2"/>
        <v/>
      </c>
      <c r="K12" s="155">
        <f t="shared" si="3"/>
        <v>1</v>
      </c>
      <c r="L12" s="156" t="str">
        <f t="shared" si="4"/>
        <v>217-3102</v>
      </c>
      <c r="M12" s="142" t="str">
        <f t="shared" si="5"/>
        <v>217-2819,</v>
      </c>
      <c r="N12" s="143" t="s">
        <v>326</v>
      </c>
    </row>
    <row r="13" spans="2:14" ht="14.25" customHeight="1" x14ac:dyDescent="0.25">
      <c r="C13" s="141" t="s">
        <v>306</v>
      </c>
      <c r="D13" s="150" t="s">
        <v>303</v>
      </c>
      <c r="F13" s="251"/>
      <c r="G13" s="144"/>
      <c r="H13" s="155" t="str">
        <f t="shared" si="0"/>
        <v/>
      </c>
      <c r="I13" s="156" t="str">
        <f t="shared" si="1"/>
        <v/>
      </c>
      <c r="J13" s="142" t="str">
        <f t="shared" si="2"/>
        <v/>
      </c>
      <c r="K13" s="155">
        <f t="shared" si="3"/>
        <v>1</v>
      </c>
      <c r="L13" s="156" t="str">
        <f t="shared" si="4"/>
        <v>217-2819</v>
      </c>
      <c r="M13" s="142" t="str">
        <f t="shared" si="5"/>
        <v/>
      </c>
      <c r="N13" s="143" t="s">
        <v>326</v>
      </c>
    </row>
    <row r="14" spans="2:14" ht="14.25" customHeight="1" x14ac:dyDescent="0.25">
      <c r="C14" s="141" t="s">
        <v>308</v>
      </c>
      <c r="D14" s="150" t="s">
        <v>303</v>
      </c>
      <c r="F14" s="251"/>
      <c r="G14" s="144"/>
      <c r="H14" s="155" t="str">
        <f t="shared" si="0"/>
        <v/>
      </c>
      <c r="I14" s="156" t="str">
        <f t="shared" si="1"/>
        <v/>
      </c>
      <c r="J14" s="142" t="str">
        <f t="shared" si="2"/>
        <v/>
      </c>
      <c r="K14" s="155" t="str">
        <f t="shared" si="3"/>
        <v/>
      </c>
      <c r="L14" s="156" t="str">
        <f t="shared" si="4"/>
        <v/>
      </c>
      <c r="M14" s="142" t="str">
        <f t="shared" si="5"/>
        <v/>
      </c>
      <c r="N14" s="143" t="s">
        <v>326</v>
      </c>
    </row>
    <row r="15" spans="2:14" ht="14.25" customHeight="1" x14ac:dyDescent="0.25">
      <c r="C15" s="141" t="s">
        <v>234</v>
      </c>
      <c r="D15" s="150" t="s">
        <v>117</v>
      </c>
      <c r="F15" s="252"/>
      <c r="G15" s="144"/>
      <c r="H15" s="155" t="str">
        <f t="shared" si="0"/>
        <v/>
      </c>
      <c r="I15" s="156" t="str">
        <f t="shared" si="1"/>
        <v/>
      </c>
      <c r="J15" s="142" t="str">
        <f t="shared" si="2"/>
        <v/>
      </c>
      <c r="K15" s="155" t="str">
        <f t="shared" si="3"/>
        <v/>
      </c>
      <c r="L15" s="156" t="str">
        <f t="shared" si="4"/>
        <v/>
      </c>
      <c r="M15" s="142" t="str">
        <f t="shared" si="5"/>
        <v/>
      </c>
      <c r="N15" s="143" t="s">
        <v>326</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326</v>
      </c>
    </row>
    <row r="17" spans="3:14" ht="14.25" customHeight="1" x14ac:dyDescent="0.25">
      <c r="C17" s="141" t="s">
        <v>330</v>
      </c>
      <c r="D17" s="145">
        <f>VALUE(IF($D$9="None", 1, LEFT($D$9, 2)))*VALUE(IF($D$10="None", 1, LEFT($D$10, 2)))*VALUE(IF($D$11="None", 1, LEFT($D$11, 2)))</f>
        <v>35</v>
      </c>
      <c r="F17" s="247" t="s">
        <v>317</v>
      </c>
      <c r="H17" s="155" t="str">
        <f t="shared" si="0"/>
        <v/>
      </c>
      <c r="I17" s="156" t="str">
        <f t="shared" si="1"/>
        <v/>
      </c>
      <c r="J17" s="142" t="str">
        <f t="shared" si="2"/>
        <v/>
      </c>
      <c r="K17" s="155" t="str">
        <f t="shared" si="3"/>
        <v/>
      </c>
      <c r="L17" s="156" t="str">
        <f t="shared" si="4"/>
        <v/>
      </c>
      <c r="M17" s="142" t="str">
        <f t="shared" si="5"/>
        <v/>
      </c>
      <c r="N17" s="143" t="s">
        <v>326</v>
      </c>
    </row>
    <row r="18" spans="3:14" ht="14.25" customHeight="1" x14ac:dyDescent="0.25">
      <c r="C18" s="141" t="s">
        <v>320</v>
      </c>
      <c r="D18" s="146">
        <f>VLOOKUP($D$6, MotorSpecs, 2, FALSE)/D17</f>
        <v>535.14285714285711</v>
      </c>
      <c r="F18" s="248"/>
      <c r="H18" s="155" t="str">
        <f t="shared" si="0"/>
        <v/>
      </c>
      <c r="I18" s="156" t="str">
        <f t="shared" si="1"/>
        <v/>
      </c>
      <c r="J18" s="142" t="str">
        <f t="shared" si="2"/>
        <v/>
      </c>
      <c r="K18" s="155" t="str">
        <f t="shared" si="3"/>
        <v/>
      </c>
      <c r="L18" s="156" t="str">
        <f t="shared" si="4"/>
        <v/>
      </c>
      <c r="M18" s="142" t="str">
        <f t="shared" si="5"/>
        <v/>
      </c>
      <c r="N18" s="143" t="s">
        <v>326</v>
      </c>
    </row>
    <row r="19" spans="3:14" ht="14.25" customHeight="1" thickBot="1" x14ac:dyDescent="0.3">
      <c r="C19" s="141" t="str">
        <f>"Stall Torque ("&amp;IF($B$4,"Nm","ft-lbs")&amp;")"</f>
        <v>Stall Torque (ft-lbs)</v>
      </c>
      <c r="D19" s="147">
        <f>VLOOKUP($D$6,MotorSpecs,3,FALSE)*D17*IF($B$4,1,0.73756)</f>
        <v>18.328365999999999</v>
      </c>
      <c r="F19" s="249"/>
      <c r="H19" s="155" t="str">
        <f t="shared" si="0"/>
        <v/>
      </c>
      <c r="I19" s="156" t="str">
        <f t="shared" si="1"/>
        <v/>
      </c>
      <c r="J19" s="142" t="str">
        <f t="shared" si="2"/>
        <v/>
      </c>
      <c r="K19" s="155" t="str">
        <f t="shared" si="3"/>
        <v/>
      </c>
      <c r="L19" s="156" t="str">
        <f t="shared" si="4"/>
        <v/>
      </c>
      <c r="M19" s="142" t="str">
        <f t="shared" si="5"/>
        <v/>
      </c>
      <c r="N19" s="143" t="s">
        <v>326</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326</v>
      </c>
    </row>
    <row r="21" spans="3:14" ht="14.25" customHeight="1" x14ac:dyDescent="0.25">
      <c r="C21" s="141" t="s">
        <v>345</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47" t="s">
        <v>325</v>
      </c>
      <c r="H21" s="155" t="str">
        <f t="shared" si="0"/>
        <v/>
      </c>
      <c r="I21" s="156" t="str">
        <f t="shared" si="1"/>
        <v/>
      </c>
      <c r="J21" s="142" t="str">
        <f t="shared" si="2"/>
        <v/>
      </c>
      <c r="K21" s="155" t="str">
        <f t="shared" si="3"/>
        <v/>
      </c>
      <c r="L21" s="156" t="str">
        <f t="shared" si="4"/>
        <v/>
      </c>
      <c r="M21" s="142" t="str">
        <f t="shared" si="5"/>
        <v/>
      </c>
      <c r="N21" s="143" t="s">
        <v>326</v>
      </c>
    </row>
    <row r="22" spans="3:14" ht="14.25" customHeight="1" x14ac:dyDescent="0.25">
      <c r="C22" s="141" t="s">
        <v>318</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48"/>
      <c r="H22" s="155" t="str">
        <f t="shared" si="0"/>
        <v/>
      </c>
      <c r="I22" s="156" t="str">
        <f t="shared" si="1"/>
        <v/>
      </c>
      <c r="J22" s="142" t="str">
        <f t="shared" si="2"/>
        <v/>
      </c>
      <c r="K22" s="155" t="str">
        <f t="shared" si="3"/>
        <v/>
      </c>
      <c r="L22" s="156" t="str">
        <f t="shared" si="4"/>
        <v/>
      </c>
      <c r="M22" s="142" t="str">
        <f t="shared" si="5"/>
        <v/>
      </c>
      <c r="N22" s="143" t="s">
        <v>326</v>
      </c>
    </row>
    <row r="23" spans="3:14" ht="14.25" customHeight="1" x14ac:dyDescent="0.25">
      <c r="C23" s="141" t="str">
        <f>"VP Weight ("&amp;IF($B$4,"kg","lbs")&amp;")"</f>
        <v>VP Weight (lbs)</v>
      </c>
      <c r="D23" s="185">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48"/>
      <c r="H23" s="155" t="str">
        <f t="shared" si="0"/>
        <v/>
      </c>
      <c r="I23" s="156" t="str">
        <f t="shared" si="1"/>
        <v/>
      </c>
      <c r="J23" s="142" t="str">
        <f t="shared" si="2"/>
        <v/>
      </c>
      <c r="K23" s="155" t="str">
        <f t="shared" si="3"/>
        <v/>
      </c>
      <c r="L23" s="156" t="str">
        <f t="shared" si="4"/>
        <v/>
      </c>
      <c r="M23" s="142" t="str">
        <f t="shared" si="5"/>
        <v/>
      </c>
      <c r="N23" s="143" t="s">
        <v>326</v>
      </c>
    </row>
    <row r="24" spans="3:14" ht="14.25" customHeight="1" thickBot="1" x14ac:dyDescent="0.3">
      <c r="F24" s="249"/>
      <c r="H24" s="155" t="str">
        <f t="shared" si="0"/>
        <v/>
      </c>
      <c r="I24" s="156" t="str">
        <f t="shared" si="1"/>
        <v/>
      </c>
      <c r="J24" s="142" t="str">
        <f t="shared" si="2"/>
        <v/>
      </c>
      <c r="K24" s="155" t="str">
        <f t="shared" si="3"/>
        <v/>
      </c>
      <c r="L24" s="156" t="str">
        <f t="shared" si="4"/>
        <v/>
      </c>
      <c r="M24" s="142" t="str">
        <f t="shared" si="5"/>
        <v/>
      </c>
      <c r="N24" s="143" t="s">
        <v>326</v>
      </c>
    </row>
    <row r="25" spans="3:14" ht="14.25" customHeight="1" x14ac:dyDescent="0.25">
      <c r="C25" s="141" t="s">
        <v>346</v>
      </c>
      <c r="D25" s="152"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326</v>
      </c>
    </row>
    <row r="26" spans="3:14" ht="14.25" customHeight="1" x14ac:dyDescent="0.25">
      <c r="C26" s="141" t="s">
        <v>319</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85">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84"/>
    </row>
    <row r="29" spans="3:14" ht="14.25" customHeight="1" x14ac:dyDescent="0.25">
      <c r="E29" s="184"/>
    </row>
  </sheetData>
  <sheetProtection sheet="1" objects="1" scenarios="1"/>
  <mergeCells count="6">
    <mergeCell ref="K5:L5"/>
    <mergeCell ref="F6:F10"/>
    <mergeCell ref="F17:F19"/>
    <mergeCell ref="F21:F24"/>
    <mergeCell ref="H5:I5"/>
    <mergeCell ref="F12:F15"/>
  </mergeCells>
  <conditionalFormatting sqref="D21 D25">
    <cfRule type="cellIs" dxfId="11" priority="6" operator="equal">
      <formula>FALSE</formula>
    </cfRule>
    <cfRule type="cellIs" dxfId="10" priority="11" operator="equal">
      <formula>TRUE</formula>
    </cfRule>
  </conditionalFormatting>
  <conditionalFormatting sqref="F21:F24">
    <cfRule type="expression" dxfId="9"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8" priority="13">
      <formula>OR($D$7="None", OR($D$6="775pro", $D$6="BB RS-775", $D$6="BB RS-550", $D$6="BAG"))</formula>
    </cfRule>
  </conditionalFormatting>
  <conditionalFormatting sqref="D6:D7">
    <cfRule type="expression" dxfId="7" priority="10">
      <formula>NOT(OR($D$7="None", OR($D$6="775pro", $D$6="BB RS-775", $D$6="BB RS-550", $D$6="BAG")))</formula>
    </cfRule>
  </conditionalFormatting>
  <conditionalFormatting sqref="D9:D10">
    <cfRule type="expression" dxfId="6" priority="9">
      <formula>VALUE(IF($D$10="None", 1, LEFT($D$10, 2)))&gt;VALUE(IF($D$9="None", 1, LEFT($D$9, 2)))</formula>
    </cfRule>
  </conditionalFormatting>
  <conditionalFormatting sqref="D10:D11">
    <cfRule type="expression" dxfId="5" priority="8">
      <formula>VALUE(IF($D$11="None", 1, LEFT($D$11, 2)))&gt;VALUE(IF($D$10="None", 1, LEFT($D$10, 2)))</formula>
    </cfRule>
  </conditionalFormatting>
  <conditionalFormatting sqref="D9 D11">
    <cfRule type="expression" dxfId="4" priority="7">
      <formula>VALUE(IF($D$11="None", 1, LEFT($D$11, 2)))&gt;VALUE(IF($D$9="None", 1, LEFT($D$9, 2)))</formula>
    </cfRule>
  </conditionalFormatting>
  <conditionalFormatting sqref="H5:I25">
    <cfRule type="expression" dxfId="3" priority="2">
      <formula>NOT($D$21)</formula>
    </cfRule>
    <cfRule type="expression" dxfId="2" priority="5">
      <formula>$D$21</formula>
    </cfRule>
  </conditionalFormatting>
  <conditionalFormatting sqref="K5:L25">
    <cfRule type="expression" dxfId="1" priority="39">
      <formula>NOT($D$25)</formula>
    </cfRule>
    <cfRule type="expression" dxfId="0"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210</v>
      </c>
      <c r="J2" s="2" t="s">
        <v>20</v>
      </c>
      <c r="Q2" s="2" t="s">
        <v>215</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217</v>
      </c>
      <c r="S4" s="125" t="s">
        <v>218</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220</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221</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334</v>
      </c>
      <c r="C8" s="74">
        <v>6380</v>
      </c>
      <c r="D8" s="74">
        <v>4.6900000000000004</v>
      </c>
      <c r="E8" s="74">
        <v>1.5</v>
      </c>
      <c r="F8" s="74">
        <v>257</v>
      </c>
      <c r="G8" s="127">
        <f t="shared" ref="G8:G26" si="1">IF(ISBLANK(B8), "", (C8/60*2*PI())*D8/4)</f>
        <v>783.36136416037095</v>
      </c>
      <c r="J8" s="73" t="s">
        <v>28</v>
      </c>
      <c r="K8" s="128">
        <v>3</v>
      </c>
      <c r="L8" s="128">
        <v>9</v>
      </c>
      <c r="M8" s="128">
        <v>3</v>
      </c>
      <c r="N8" s="129">
        <v>0</v>
      </c>
      <c r="Q8" s="130" t="s">
        <v>216</v>
      </c>
      <c r="R8" s="74">
        <v>193000</v>
      </c>
      <c r="S8" s="131">
        <v>77000</v>
      </c>
    </row>
    <row r="9" spans="1:19" ht="14.45" x14ac:dyDescent="0.3">
      <c r="B9" s="73" t="s">
        <v>256</v>
      </c>
      <c r="C9" s="74">
        <v>18730</v>
      </c>
      <c r="D9" s="74">
        <v>0.71</v>
      </c>
      <c r="E9" s="74">
        <v>0.7</v>
      </c>
      <c r="F9" s="74">
        <v>134</v>
      </c>
      <c r="G9" s="127">
        <f t="shared" si="1"/>
        <v>348.14867987694288</v>
      </c>
      <c r="J9" s="73"/>
      <c r="K9" s="128"/>
      <c r="L9" s="128"/>
      <c r="M9" s="128"/>
      <c r="N9" s="129"/>
      <c r="Q9" s="130"/>
      <c r="R9" s="74"/>
      <c r="S9" s="131"/>
    </row>
    <row r="10" spans="1:19" ht="14.45" x14ac:dyDescent="0.3">
      <c r="B10" s="73" t="s">
        <v>329</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336</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328</v>
      </c>
      <c r="C15" s="74">
        <v>13050</v>
      </c>
      <c r="D15" s="74">
        <v>0.72</v>
      </c>
      <c r="E15" s="74">
        <v>2.7</v>
      </c>
      <c r="F15" s="74">
        <v>97</v>
      </c>
      <c r="G15" s="127">
        <f t="shared" si="1"/>
        <v>245.98670477608078</v>
      </c>
    </row>
    <row r="16" spans="1:19" ht="14.45" x14ac:dyDescent="0.3">
      <c r="B16" s="73" t="s">
        <v>327</v>
      </c>
      <c r="C16" s="74">
        <v>19000</v>
      </c>
      <c r="D16" s="74">
        <v>0.38</v>
      </c>
      <c r="E16" s="74">
        <v>0.4</v>
      </c>
      <c r="F16" s="74">
        <v>84</v>
      </c>
      <c r="G16" s="127">
        <f t="shared" si="1"/>
        <v>189.01915799098592</v>
      </c>
    </row>
    <row r="17" spans="2:13" ht="14.45" x14ac:dyDescent="0.3">
      <c r="B17" s="73" t="s">
        <v>335</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331</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233</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2020-01-11T12:03:30Z</dcterms:modified>
</cp:coreProperties>
</file>